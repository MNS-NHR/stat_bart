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mhenc\Desktop\iDISCO\"/>
    </mc:Choice>
  </mc:AlternateContent>
  <xr:revisionPtr revIDLastSave="0" documentId="8_{86B2BBAF-BA0A-4D52-A5A0-5FA9D58A4D73}" xr6:coauthVersionLast="47" xr6:coauthVersionMax="47" xr10:uidLastSave="{00000000-0000-0000-0000-000000000000}"/>
  <bookViews>
    <workbookView xWindow="-110" yWindow="-110" windowWidth="19420" windowHeight="11020" tabRatio="937" firstSheet="6" activeTab="6" xr2:uid="{00000000-000D-0000-FFFF-FFFF00000000}"/>
  </bookViews>
  <sheets>
    <sheet name="Activation map" sheetId="3" state="hidden" r:id="rId1"/>
    <sheet name="Total-corrected counts Z&lt;2" sheetId="16" state="hidden" r:id="rId2"/>
    <sheet name="Brain networks" sheetId="10" state="hidden" r:id="rId3"/>
    <sheet name="Activation map corrected Z&lt;2" sheetId="17" state="hidden" r:id="rId4"/>
    <sheet name="Brain networks corrected Z&lt;2" sheetId="18" state="hidden" r:id="rId5"/>
    <sheet name="Z-scores&lt;2" sheetId="22" state="hidden" r:id="rId6"/>
    <sheet name="Region order" sheetId="14" r:id="rId7"/>
    <sheet name="Blad1" sheetId="30" r:id="rId8"/>
    <sheet name="Cluster counts corrected Z&lt;3" sheetId="29" state="hidden" r:id="rId9"/>
  </sheets>
  <definedNames>
    <definedName name="_xlnm._FilterDatabase" localSheetId="1" hidden="1">'Total-corrected counts Z&lt;2'!$A$2:$Y$1244</definedName>
    <definedName name="_xlnm._FilterDatabase" localSheetId="5" hidden="1">'Z-scores&lt;2'!$C$1:$UP$24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2" l="1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BP4" i="22"/>
  <c r="BQ4" i="22"/>
  <c r="BR4" i="22"/>
  <c r="BS4" i="22"/>
  <c r="BT4" i="22"/>
  <c r="BU4" i="22"/>
  <c r="BV4" i="22"/>
  <c r="BW4" i="22"/>
  <c r="BX4" i="22"/>
  <c r="BY4" i="22"/>
  <c r="BZ4" i="22"/>
  <c r="CA4" i="22"/>
  <c r="CB4" i="22"/>
  <c r="CC4" i="22"/>
  <c r="CD4" i="22"/>
  <c r="CE4" i="22"/>
  <c r="CF4" i="22"/>
  <c r="CG4" i="22"/>
  <c r="CH4" i="22"/>
  <c r="CI4" i="22"/>
  <c r="CJ4" i="22"/>
  <c r="CK4" i="22"/>
  <c r="CL4" i="22"/>
  <c r="CM4" i="22"/>
  <c r="CN4" i="22"/>
  <c r="CO4" i="22"/>
  <c r="CP4" i="22"/>
  <c r="CQ4" i="22"/>
  <c r="CR4" i="22"/>
  <c r="CS4" i="22"/>
  <c r="CT4" i="22"/>
  <c r="CU4" i="22"/>
  <c r="CV4" i="22"/>
  <c r="CW4" i="22"/>
  <c r="CX4" i="22"/>
  <c r="CY4" i="22"/>
  <c r="CZ4" i="22"/>
  <c r="DA4" i="22"/>
  <c r="DB4" i="22"/>
  <c r="DC4" i="22"/>
  <c r="DD4" i="22"/>
  <c r="DE4" i="22"/>
  <c r="DF4" i="22"/>
  <c r="DG4" i="22"/>
  <c r="DH4" i="22"/>
  <c r="DI4" i="22"/>
  <c r="DJ4" i="22"/>
  <c r="DK4" i="22"/>
  <c r="DL4" i="22"/>
  <c r="DM4" i="22"/>
  <c r="DN4" i="22"/>
  <c r="DO4" i="22"/>
  <c r="DP4" i="22"/>
  <c r="DQ4" i="22"/>
  <c r="DR4" i="22"/>
  <c r="DS4" i="22"/>
  <c r="DT4" i="22"/>
  <c r="DU4" i="22"/>
  <c r="DV4" i="22"/>
  <c r="DW4" i="22"/>
  <c r="DX4" i="22"/>
  <c r="DY4" i="22"/>
  <c r="DZ4" i="22"/>
  <c r="EA4" i="22"/>
  <c r="EB4" i="22"/>
  <c r="EC4" i="22"/>
  <c r="ED4" i="22"/>
  <c r="EE4" i="22"/>
  <c r="EF4" i="22"/>
  <c r="EG4" i="22"/>
  <c r="EH4" i="22"/>
  <c r="EI4" i="22"/>
  <c r="EJ4" i="22"/>
  <c r="EK4" i="22"/>
  <c r="EL4" i="22"/>
  <c r="EM4" i="22"/>
  <c r="EN4" i="22"/>
  <c r="EO4" i="22"/>
  <c r="EP4" i="22"/>
  <c r="EQ4" i="22"/>
  <c r="ER4" i="22"/>
  <c r="ES4" i="22"/>
  <c r="ET4" i="22"/>
  <c r="EU4" i="22"/>
  <c r="EV4" i="22"/>
  <c r="EW4" i="22"/>
  <c r="EX4" i="22"/>
  <c r="EY4" i="22"/>
  <c r="EZ4" i="22"/>
  <c r="FA4" i="22"/>
  <c r="FB4" i="22"/>
  <c r="FC4" i="22"/>
  <c r="FD4" i="22"/>
  <c r="FE4" i="22"/>
  <c r="FF4" i="22"/>
  <c r="FG4" i="22"/>
  <c r="FH4" i="22"/>
  <c r="FI4" i="22"/>
  <c r="FJ4" i="22"/>
  <c r="FK4" i="22"/>
  <c r="FL4" i="22"/>
  <c r="FM4" i="22"/>
  <c r="FN4" i="22"/>
  <c r="FO4" i="22"/>
  <c r="FP4" i="22"/>
  <c r="FQ4" i="22"/>
  <c r="FR4" i="22"/>
  <c r="FS4" i="22"/>
  <c r="FT4" i="22"/>
  <c r="FU4" i="22"/>
  <c r="FV4" i="22"/>
  <c r="FW4" i="22"/>
  <c r="FX4" i="22"/>
  <c r="FY4" i="22"/>
  <c r="FZ4" i="22"/>
  <c r="GA4" i="22"/>
  <c r="GB4" i="22"/>
  <c r="GC4" i="22"/>
  <c r="GD4" i="22"/>
  <c r="GE4" i="22"/>
  <c r="GF4" i="22"/>
  <c r="GG4" i="22"/>
  <c r="GH4" i="22"/>
  <c r="GI4" i="22"/>
  <c r="GJ4" i="22"/>
  <c r="GK4" i="22"/>
  <c r="GL4" i="22"/>
  <c r="GM4" i="22"/>
  <c r="GN4" i="22"/>
  <c r="GO4" i="22"/>
  <c r="GP4" i="22"/>
  <c r="GQ4" i="22"/>
  <c r="GR4" i="22"/>
  <c r="GS4" i="22"/>
  <c r="GT4" i="22"/>
  <c r="GU4" i="22"/>
  <c r="GV4" i="22"/>
  <c r="GW4" i="22"/>
  <c r="GX4" i="22"/>
  <c r="GY4" i="22"/>
  <c r="GZ4" i="22"/>
  <c r="HA4" i="22"/>
  <c r="HB4" i="22"/>
  <c r="HC4" i="22"/>
  <c r="HD4" i="22"/>
  <c r="HE4" i="22"/>
  <c r="HF4" i="22"/>
  <c r="HG4" i="22"/>
  <c r="HH4" i="22"/>
  <c r="HI4" i="22"/>
  <c r="HJ4" i="22"/>
  <c r="HK4" i="22"/>
  <c r="HL4" i="22"/>
  <c r="HM4" i="22"/>
  <c r="HN4" i="22"/>
  <c r="HO4" i="22"/>
  <c r="HP4" i="22"/>
  <c r="HQ4" i="22"/>
  <c r="HR4" i="22"/>
  <c r="HS4" i="22"/>
  <c r="HT4" i="22"/>
  <c r="HU4" i="22"/>
  <c r="HV4" i="22"/>
  <c r="HW4" i="22"/>
  <c r="HX4" i="22"/>
  <c r="HY4" i="22"/>
  <c r="HZ4" i="22"/>
  <c r="IA4" i="22"/>
  <c r="IB4" i="22"/>
  <c r="IC4" i="22"/>
  <c r="ID4" i="22"/>
  <c r="IE4" i="22"/>
  <c r="IF4" i="22"/>
  <c r="IG4" i="22"/>
  <c r="IH4" i="22"/>
  <c r="II4" i="22"/>
  <c r="IJ4" i="22"/>
  <c r="IK4" i="22"/>
  <c r="IL4" i="22"/>
  <c r="IM4" i="22"/>
  <c r="IN4" i="22"/>
  <c r="IO4" i="22"/>
  <c r="IP4" i="22"/>
  <c r="IQ4" i="22"/>
  <c r="IR4" i="22"/>
  <c r="IS4" i="22"/>
  <c r="IT4" i="22"/>
  <c r="IU4" i="22"/>
  <c r="IV4" i="22"/>
  <c r="IW4" i="22"/>
  <c r="IX4" i="22"/>
  <c r="IY4" i="22"/>
  <c r="IZ4" i="22"/>
  <c r="JA4" i="22"/>
  <c r="JB4" i="22"/>
  <c r="JC4" i="22"/>
  <c r="JD4" i="22"/>
  <c r="JE4" i="22"/>
  <c r="JF4" i="22"/>
  <c r="JG4" i="22"/>
  <c r="JH4" i="22"/>
  <c r="JI4" i="22"/>
  <c r="JJ4" i="22"/>
  <c r="JK4" i="22"/>
  <c r="JL4" i="22"/>
  <c r="JM4" i="22"/>
  <c r="JN4" i="22"/>
  <c r="JO4" i="22"/>
  <c r="JP4" i="22"/>
  <c r="JQ4" i="22"/>
  <c r="JR4" i="22"/>
  <c r="JS4" i="22"/>
  <c r="JT4" i="22"/>
  <c r="JU4" i="22"/>
  <c r="JV4" i="22"/>
  <c r="JW4" i="22"/>
  <c r="JX4" i="22"/>
  <c r="JY4" i="22"/>
  <c r="JZ4" i="22"/>
  <c r="KA4" i="22"/>
  <c r="KB4" i="22"/>
  <c r="KC4" i="22"/>
  <c r="KD4" i="22"/>
  <c r="KE4" i="22"/>
  <c r="KF4" i="22"/>
  <c r="KG4" i="22"/>
  <c r="KH4" i="22"/>
  <c r="KI4" i="22"/>
  <c r="KJ4" i="22"/>
  <c r="KK4" i="22"/>
  <c r="KL4" i="22"/>
  <c r="KM4" i="22"/>
  <c r="KN4" i="22"/>
  <c r="KO4" i="22"/>
  <c r="KP4" i="22"/>
  <c r="KQ4" i="22"/>
  <c r="KR4" i="22"/>
  <c r="KS4" i="22"/>
  <c r="KT4" i="22"/>
  <c r="KU4" i="22"/>
  <c r="KV4" i="22"/>
  <c r="KW4" i="22"/>
  <c r="KX4" i="22"/>
  <c r="KY4" i="22"/>
  <c r="KZ4" i="22"/>
  <c r="LA4" i="22"/>
  <c r="LB4" i="22"/>
  <c r="LC4" i="22"/>
  <c r="LD4" i="22"/>
  <c r="LE4" i="22"/>
  <c r="LF4" i="22"/>
  <c r="LG4" i="22"/>
  <c r="LH4" i="22"/>
  <c r="LI4" i="22"/>
  <c r="LJ4" i="22"/>
  <c r="LK4" i="22"/>
  <c r="LL4" i="22"/>
  <c r="LM4" i="22"/>
  <c r="LN4" i="22"/>
  <c r="LO4" i="22"/>
  <c r="LP4" i="22"/>
  <c r="LQ4" i="22"/>
  <c r="LR4" i="22"/>
  <c r="LS4" i="22"/>
  <c r="LT4" i="22"/>
  <c r="LU4" i="22"/>
  <c r="LV4" i="22"/>
  <c r="LW4" i="22"/>
  <c r="LX4" i="22"/>
  <c r="LY4" i="22"/>
  <c r="LZ4" i="22"/>
  <c r="MA4" i="22"/>
  <c r="MB4" i="22"/>
  <c r="MC4" i="22"/>
  <c r="MD4" i="22"/>
  <c r="ME4" i="22"/>
  <c r="MF4" i="22"/>
  <c r="MG4" i="22"/>
  <c r="MH4" i="22"/>
  <c r="MI4" i="22"/>
  <c r="MJ4" i="22"/>
  <c r="MK4" i="22"/>
  <c r="ML4" i="22"/>
  <c r="MM4" i="22"/>
  <c r="MN4" i="22"/>
  <c r="MO4" i="22"/>
  <c r="MP4" i="22"/>
  <c r="MQ4" i="22"/>
  <c r="MR4" i="22"/>
  <c r="MS4" i="22"/>
  <c r="MT4" i="22"/>
  <c r="MU4" i="22"/>
  <c r="MV4" i="22"/>
  <c r="MW4" i="22"/>
  <c r="MX4" i="22"/>
  <c r="MY4" i="22"/>
  <c r="MZ4" i="22"/>
  <c r="NA4" i="22"/>
  <c r="NB4" i="22"/>
  <c r="NC4" i="22"/>
  <c r="ND4" i="22"/>
  <c r="NE4" i="22"/>
  <c r="NF4" i="22"/>
  <c r="NG4" i="22"/>
  <c r="NH4" i="22"/>
  <c r="NI4" i="22"/>
  <c r="NJ4" i="22"/>
  <c r="NK4" i="22"/>
  <c r="NL4" i="22"/>
  <c r="NM4" i="22"/>
  <c r="NN4" i="22"/>
  <c r="NO4" i="22"/>
  <c r="NP4" i="22"/>
  <c r="NQ4" i="22"/>
  <c r="NR4" i="22"/>
  <c r="NS4" i="22"/>
  <c r="NT4" i="22"/>
  <c r="NU4" i="22"/>
  <c r="NV4" i="22"/>
  <c r="NW4" i="22"/>
  <c r="NX4" i="22"/>
  <c r="NY4" i="22"/>
  <c r="NZ4" i="22"/>
  <c r="OA4" i="22"/>
  <c r="OB4" i="22"/>
  <c r="OC4" i="22"/>
  <c r="OD4" i="22"/>
  <c r="OE4" i="22"/>
  <c r="OF4" i="22"/>
  <c r="OG4" i="22"/>
  <c r="OH4" i="22"/>
  <c r="OI4" i="22"/>
  <c r="OJ4" i="22"/>
  <c r="OK4" i="22"/>
  <c r="OL4" i="22"/>
  <c r="OM4" i="22"/>
  <c r="ON4" i="22"/>
  <c r="OO4" i="22"/>
  <c r="OP4" i="22"/>
  <c r="OQ4" i="22"/>
  <c r="OR4" i="22"/>
  <c r="OS4" i="22"/>
  <c r="OT4" i="22"/>
  <c r="OU4" i="22"/>
  <c r="OV4" i="22"/>
  <c r="OW4" i="22"/>
  <c r="OX4" i="22"/>
  <c r="OY4" i="22"/>
  <c r="OZ4" i="22"/>
  <c r="PA4" i="22"/>
  <c r="PB4" i="22"/>
  <c r="PC4" i="22"/>
  <c r="PD4" i="22"/>
  <c r="PE4" i="22"/>
  <c r="PF4" i="22"/>
  <c r="PG4" i="22"/>
  <c r="PH4" i="22"/>
  <c r="PI4" i="22"/>
  <c r="PJ4" i="22"/>
  <c r="PK4" i="22"/>
  <c r="PL4" i="22"/>
  <c r="PM4" i="22"/>
  <c r="PN4" i="22"/>
  <c r="PO4" i="22"/>
  <c r="PP4" i="22"/>
  <c r="PQ4" i="22"/>
  <c r="PR4" i="22"/>
  <c r="PS4" i="22"/>
  <c r="PT4" i="22"/>
  <c r="PU4" i="22"/>
  <c r="PV4" i="22"/>
  <c r="PW4" i="22"/>
  <c r="PX4" i="22"/>
  <c r="PY4" i="22"/>
  <c r="PZ4" i="22"/>
  <c r="QA4" i="22"/>
  <c r="QB4" i="22"/>
  <c r="QC4" i="22"/>
  <c r="QD4" i="22"/>
  <c r="QE4" i="22"/>
  <c r="QF4" i="22"/>
  <c r="QG4" i="22"/>
  <c r="QH4" i="22"/>
  <c r="QI4" i="22"/>
  <c r="QJ4" i="22"/>
  <c r="QK4" i="22"/>
  <c r="QL4" i="22"/>
  <c r="QM4" i="22"/>
  <c r="QN4" i="22"/>
  <c r="QO4" i="22"/>
  <c r="QP4" i="22"/>
  <c r="QQ4" i="22"/>
  <c r="QR4" i="22"/>
  <c r="QS4" i="22"/>
  <c r="QT4" i="22"/>
  <c r="QU4" i="22"/>
  <c r="QV4" i="22"/>
  <c r="QW4" i="22"/>
  <c r="QX4" i="22"/>
  <c r="QY4" i="22"/>
  <c r="QZ4" i="22"/>
  <c r="RA4" i="22"/>
  <c r="RB4" i="22"/>
  <c r="RC4" i="22"/>
  <c r="RD4" i="22"/>
  <c r="RE4" i="22"/>
  <c r="RF4" i="22"/>
  <c r="RG4" i="22"/>
  <c r="RH4" i="22"/>
  <c r="RI4" i="22"/>
  <c r="RJ4" i="22"/>
  <c r="RK4" i="22"/>
  <c r="RL4" i="22"/>
  <c r="RM4" i="22"/>
  <c r="RN4" i="22"/>
  <c r="RO4" i="22"/>
  <c r="RP4" i="22"/>
  <c r="RQ4" i="22"/>
  <c r="RR4" i="22"/>
  <c r="RS4" i="22"/>
  <c r="RT4" i="22"/>
  <c r="RU4" i="22"/>
  <c r="RV4" i="22"/>
  <c r="RW4" i="22"/>
  <c r="RX4" i="22"/>
  <c r="RY4" i="22"/>
  <c r="RZ4" i="22"/>
  <c r="SA4" i="22"/>
  <c r="SB4" i="22"/>
  <c r="SC4" i="22"/>
  <c r="SD4" i="22"/>
  <c r="SE4" i="22"/>
  <c r="SF4" i="22"/>
  <c r="SG4" i="22"/>
  <c r="SH4" i="22"/>
  <c r="SI4" i="22"/>
  <c r="SJ4" i="22"/>
  <c r="SK4" i="22"/>
  <c r="SL4" i="22"/>
  <c r="SM4" i="22"/>
  <c r="SN4" i="22"/>
  <c r="SO4" i="22"/>
  <c r="SP4" i="22"/>
  <c r="SQ4" i="22"/>
  <c r="SR4" i="22"/>
  <c r="SS4" i="22"/>
  <c r="ST4" i="22"/>
  <c r="SU4" i="22"/>
  <c r="SV4" i="22"/>
  <c r="SW4" i="22"/>
  <c r="SX4" i="22"/>
  <c r="SY4" i="22"/>
  <c r="SZ4" i="22"/>
  <c r="TA4" i="22"/>
  <c r="TB4" i="22"/>
  <c r="TC4" i="22"/>
  <c r="TD4" i="22"/>
  <c r="TE4" i="22"/>
  <c r="TF4" i="22"/>
  <c r="TG4" i="22"/>
  <c r="TH4" i="22"/>
  <c r="TI4" i="22"/>
  <c r="TJ4" i="22"/>
  <c r="TK4" i="22"/>
  <c r="TL4" i="22"/>
  <c r="TM4" i="22"/>
  <c r="TN4" i="22"/>
  <c r="TO4" i="22"/>
  <c r="TP4" i="22"/>
  <c r="TQ4" i="22"/>
  <c r="TR4" i="22"/>
  <c r="TS4" i="22"/>
  <c r="TT4" i="22"/>
  <c r="TU4" i="22"/>
  <c r="TV4" i="22"/>
  <c r="TW4" i="22"/>
  <c r="TX4" i="22"/>
  <c r="TY4" i="22"/>
  <c r="TZ4" i="22"/>
  <c r="UA4" i="22"/>
  <c r="UB4" i="22"/>
  <c r="UC4" i="22"/>
  <c r="UD4" i="22"/>
  <c r="UE4" i="22"/>
  <c r="UF4" i="22"/>
  <c r="UG4" i="22"/>
  <c r="UH4" i="22"/>
  <c r="UI4" i="22"/>
  <c r="UJ4" i="22"/>
  <c r="UK4" i="22"/>
  <c r="UL4" i="22"/>
  <c r="UM4" i="22"/>
  <c r="UN4" i="22"/>
  <c r="UO4" i="22"/>
  <c r="UP4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CU5" i="22"/>
  <c r="CV5" i="22"/>
  <c r="CW5" i="22"/>
  <c r="CX5" i="22"/>
  <c r="CY5" i="22"/>
  <c r="CZ5" i="22"/>
  <c r="DA5" i="22"/>
  <c r="DB5" i="22"/>
  <c r="DC5" i="22"/>
  <c r="DD5" i="22"/>
  <c r="DE5" i="22"/>
  <c r="DF5" i="22"/>
  <c r="DG5" i="22"/>
  <c r="DH5" i="22"/>
  <c r="DI5" i="22"/>
  <c r="DJ5" i="22"/>
  <c r="DK5" i="22"/>
  <c r="DL5" i="22"/>
  <c r="DM5" i="22"/>
  <c r="DN5" i="22"/>
  <c r="DO5" i="22"/>
  <c r="DP5" i="22"/>
  <c r="DQ5" i="22"/>
  <c r="DR5" i="22"/>
  <c r="DS5" i="22"/>
  <c r="DT5" i="22"/>
  <c r="DU5" i="22"/>
  <c r="DV5" i="22"/>
  <c r="DW5" i="22"/>
  <c r="DX5" i="22"/>
  <c r="DY5" i="22"/>
  <c r="DZ5" i="22"/>
  <c r="EA5" i="22"/>
  <c r="EB5" i="22"/>
  <c r="EC5" i="22"/>
  <c r="ED5" i="22"/>
  <c r="EE5" i="22"/>
  <c r="EF5" i="22"/>
  <c r="EG5" i="22"/>
  <c r="EH5" i="22"/>
  <c r="EI5" i="22"/>
  <c r="EJ5" i="22"/>
  <c r="EK5" i="22"/>
  <c r="EL5" i="22"/>
  <c r="EM5" i="22"/>
  <c r="EN5" i="22"/>
  <c r="EO5" i="22"/>
  <c r="EP5" i="22"/>
  <c r="EQ5" i="22"/>
  <c r="ER5" i="22"/>
  <c r="ES5" i="22"/>
  <c r="ET5" i="22"/>
  <c r="EU5" i="22"/>
  <c r="EV5" i="22"/>
  <c r="EW5" i="22"/>
  <c r="EX5" i="22"/>
  <c r="EY5" i="22"/>
  <c r="EZ5" i="22"/>
  <c r="FA5" i="22"/>
  <c r="FB5" i="22"/>
  <c r="FC5" i="22"/>
  <c r="FD5" i="22"/>
  <c r="FE5" i="22"/>
  <c r="FF5" i="22"/>
  <c r="FG5" i="22"/>
  <c r="FH5" i="22"/>
  <c r="FI5" i="22"/>
  <c r="FJ5" i="22"/>
  <c r="FK5" i="22"/>
  <c r="FL5" i="22"/>
  <c r="FM5" i="22"/>
  <c r="FN5" i="22"/>
  <c r="FO5" i="22"/>
  <c r="FP5" i="22"/>
  <c r="FQ5" i="22"/>
  <c r="FR5" i="22"/>
  <c r="FS5" i="22"/>
  <c r="FT5" i="22"/>
  <c r="FU5" i="22"/>
  <c r="FV5" i="22"/>
  <c r="FW5" i="22"/>
  <c r="FX5" i="22"/>
  <c r="FY5" i="22"/>
  <c r="FZ5" i="22"/>
  <c r="GA5" i="22"/>
  <c r="GB5" i="22"/>
  <c r="GC5" i="22"/>
  <c r="GD5" i="22"/>
  <c r="GE5" i="22"/>
  <c r="GF5" i="22"/>
  <c r="GG5" i="22"/>
  <c r="GH5" i="22"/>
  <c r="GI5" i="22"/>
  <c r="GJ5" i="22"/>
  <c r="GK5" i="22"/>
  <c r="GL5" i="22"/>
  <c r="GM5" i="22"/>
  <c r="GN5" i="22"/>
  <c r="GO5" i="22"/>
  <c r="GP5" i="22"/>
  <c r="GQ5" i="22"/>
  <c r="GR5" i="22"/>
  <c r="GS5" i="22"/>
  <c r="GT5" i="22"/>
  <c r="GU5" i="22"/>
  <c r="GV5" i="22"/>
  <c r="GW5" i="22"/>
  <c r="GX5" i="22"/>
  <c r="GY5" i="22"/>
  <c r="GZ5" i="22"/>
  <c r="HA5" i="22"/>
  <c r="HB5" i="22"/>
  <c r="HC5" i="22"/>
  <c r="HD5" i="22"/>
  <c r="HE5" i="22"/>
  <c r="HF5" i="22"/>
  <c r="HG5" i="22"/>
  <c r="HH5" i="22"/>
  <c r="HI5" i="22"/>
  <c r="HJ5" i="22"/>
  <c r="HK5" i="22"/>
  <c r="HL5" i="22"/>
  <c r="HM5" i="22"/>
  <c r="HN5" i="22"/>
  <c r="HO5" i="22"/>
  <c r="HP5" i="22"/>
  <c r="HQ5" i="22"/>
  <c r="HR5" i="22"/>
  <c r="HS5" i="22"/>
  <c r="HT5" i="22"/>
  <c r="HU5" i="22"/>
  <c r="HV5" i="22"/>
  <c r="HW5" i="22"/>
  <c r="HX5" i="22"/>
  <c r="HY5" i="22"/>
  <c r="HZ5" i="22"/>
  <c r="IA5" i="22"/>
  <c r="IB5" i="22"/>
  <c r="IC5" i="22"/>
  <c r="ID5" i="22"/>
  <c r="IE5" i="22"/>
  <c r="IF5" i="22"/>
  <c r="IG5" i="22"/>
  <c r="IH5" i="22"/>
  <c r="II5" i="22"/>
  <c r="IJ5" i="22"/>
  <c r="IK5" i="22"/>
  <c r="IL5" i="22"/>
  <c r="IM5" i="22"/>
  <c r="IN5" i="22"/>
  <c r="IO5" i="22"/>
  <c r="IP5" i="22"/>
  <c r="IQ5" i="22"/>
  <c r="IR5" i="22"/>
  <c r="IS5" i="22"/>
  <c r="IT5" i="22"/>
  <c r="IU5" i="22"/>
  <c r="IV5" i="22"/>
  <c r="IW5" i="22"/>
  <c r="IX5" i="22"/>
  <c r="IY5" i="22"/>
  <c r="IZ5" i="22"/>
  <c r="JA5" i="22"/>
  <c r="JB5" i="22"/>
  <c r="JC5" i="22"/>
  <c r="JD5" i="22"/>
  <c r="JE5" i="22"/>
  <c r="JF5" i="22"/>
  <c r="JG5" i="22"/>
  <c r="JH5" i="22"/>
  <c r="JI5" i="22"/>
  <c r="JJ5" i="22"/>
  <c r="JK5" i="22"/>
  <c r="JL5" i="22"/>
  <c r="JM5" i="22"/>
  <c r="JN5" i="22"/>
  <c r="JO5" i="22"/>
  <c r="JP5" i="22"/>
  <c r="JQ5" i="22"/>
  <c r="JR5" i="22"/>
  <c r="JS5" i="22"/>
  <c r="JT5" i="22"/>
  <c r="JU5" i="22"/>
  <c r="JV5" i="22"/>
  <c r="JW5" i="22"/>
  <c r="JX5" i="22"/>
  <c r="JY5" i="22"/>
  <c r="JZ5" i="22"/>
  <c r="KA5" i="22"/>
  <c r="KB5" i="22"/>
  <c r="KC5" i="22"/>
  <c r="KD5" i="22"/>
  <c r="KE5" i="22"/>
  <c r="KF5" i="22"/>
  <c r="KG5" i="22"/>
  <c r="KH5" i="22"/>
  <c r="KI5" i="22"/>
  <c r="KJ5" i="22"/>
  <c r="KK5" i="22"/>
  <c r="KL5" i="22"/>
  <c r="KM5" i="22"/>
  <c r="KN5" i="22"/>
  <c r="KO5" i="22"/>
  <c r="KP5" i="22"/>
  <c r="KQ5" i="22"/>
  <c r="KR5" i="22"/>
  <c r="KS5" i="22"/>
  <c r="KT5" i="22"/>
  <c r="KU5" i="22"/>
  <c r="KV5" i="22"/>
  <c r="KW5" i="22"/>
  <c r="KX5" i="22"/>
  <c r="KY5" i="22"/>
  <c r="KZ5" i="22"/>
  <c r="LA5" i="22"/>
  <c r="LB5" i="22"/>
  <c r="LC5" i="22"/>
  <c r="LD5" i="22"/>
  <c r="LE5" i="22"/>
  <c r="LF5" i="22"/>
  <c r="LG5" i="22"/>
  <c r="LH5" i="22"/>
  <c r="LI5" i="22"/>
  <c r="LJ5" i="22"/>
  <c r="LK5" i="22"/>
  <c r="LL5" i="22"/>
  <c r="LM5" i="22"/>
  <c r="LN5" i="22"/>
  <c r="LO5" i="22"/>
  <c r="LP5" i="22"/>
  <c r="LQ5" i="22"/>
  <c r="LR5" i="22"/>
  <c r="LS5" i="22"/>
  <c r="LT5" i="22"/>
  <c r="LU5" i="22"/>
  <c r="LV5" i="22"/>
  <c r="LW5" i="22"/>
  <c r="LX5" i="22"/>
  <c r="LY5" i="22"/>
  <c r="LZ5" i="22"/>
  <c r="MA5" i="22"/>
  <c r="MB5" i="22"/>
  <c r="MC5" i="22"/>
  <c r="MD5" i="22"/>
  <c r="ME5" i="22"/>
  <c r="MF5" i="22"/>
  <c r="MG5" i="22"/>
  <c r="MH5" i="22"/>
  <c r="MI5" i="22"/>
  <c r="MJ5" i="22"/>
  <c r="MK5" i="22"/>
  <c r="ML5" i="22"/>
  <c r="MM5" i="22"/>
  <c r="MN5" i="22"/>
  <c r="MO5" i="22"/>
  <c r="MP5" i="22"/>
  <c r="MQ5" i="22"/>
  <c r="MR5" i="22"/>
  <c r="MS5" i="22"/>
  <c r="MT5" i="22"/>
  <c r="MU5" i="22"/>
  <c r="MV5" i="22"/>
  <c r="MW5" i="22"/>
  <c r="MX5" i="22"/>
  <c r="MY5" i="22"/>
  <c r="MZ5" i="22"/>
  <c r="NA5" i="22"/>
  <c r="NB5" i="22"/>
  <c r="NC5" i="22"/>
  <c r="ND5" i="22"/>
  <c r="NE5" i="22"/>
  <c r="NF5" i="22"/>
  <c r="NG5" i="22"/>
  <c r="NH5" i="22"/>
  <c r="NI5" i="22"/>
  <c r="NJ5" i="22"/>
  <c r="NK5" i="22"/>
  <c r="NL5" i="22"/>
  <c r="NM5" i="22"/>
  <c r="NN5" i="22"/>
  <c r="NO5" i="22"/>
  <c r="NP5" i="22"/>
  <c r="NQ5" i="22"/>
  <c r="NR5" i="22"/>
  <c r="NS5" i="22"/>
  <c r="NT5" i="22"/>
  <c r="NU5" i="22"/>
  <c r="NV5" i="22"/>
  <c r="NW5" i="22"/>
  <c r="NX5" i="22"/>
  <c r="NY5" i="22"/>
  <c r="NZ5" i="22"/>
  <c r="OA5" i="22"/>
  <c r="OB5" i="22"/>
  <c r="OC5" i="22"/>
  <c r="OD5" i="22"/>
  <c r="OE5" i="22"/>
  <c r="OF5" i="22"/>
  <c r="OG5" i="22"/>
  <c r="OH5" i="22"/>
  <c r="OI5" i="22"/>
  <c r="OJ5" i="22"/>
  <c r="OK5" i="22"/>
  <c r="OL5" i="22"/>
  <c r="OM5" i="22"/>
  <c r="ON5" i="22"/>
  <c r="OO5" i="22"/>
  <c r="OP5" i="22"/>
  <c r="OQ5" i="22"/>
  <c r="OR5" i="22"/>
  <c r="OS5" i="22"/>
  <c r="OT5" i="22"/>
  <c r="OU5" i="22"/>
  <c r="OV5" i="22"/>
  <c r="OW5" i="22"/>
  <c r="OX5" i="22"/>
  <c r="OY5" i="22"/>
  <c r="OZ5" i="22"/>
  <c r="PA5" i="22"/>
  <c r="PB5" i="22"/>
  <c r="PC5" i="22"/>
  <c r="PD5" i="22"/>
  <c r="PE5" i="22"/>
  <c r="PF5" i="22"/>
  <c r="PG5" i="22"/>
  <c r="PH5" i="22"/>
  <c r="PI5" i="22"/>
  <c r="PJ5" i="22"/>
  <c r="PK5" i="22"/>
  <c r="PL5" i="22"/>
  <c r="PM5" i="22"/>
  <c r="PN5" i="22"/>
  <c r="PO5" i="22"/>
  <c r="PP5" i="22"/>
  <c r="PQ5" i="22"/>
  <c r="PR5" i="22"/>
  <c r="PS5" i="22"/>
  <c r="PT5" i="22"/>
  <c r="PU5" i="22"/>
  <c r="PV5" i="22"/>
  <c r="PW5" i="22"/>
  <c r="PX5" i="22"/>
  <c r="PY5" i="22"/>
  <c r="PZ5" i="22"/>
  <c r="QA5" i="22"/>
  <c r="QB5" i="22"/>
  <c r="QC5" i="22"/>
  <c r="QD5" i="22"/>
  <c r="QE5" i="22"/>
  <c r="QF5" i="22"/>
  <c r="QG5" i="22"/>
  <c r="QH5" i="22"/>
  <c r="QI5" i="22"/>
  <c r="QJ5" i="22"/>
  <c r="QK5" i="22"/>
  <c r="QL5" i="22"/>
  <c r="QM5" i="22"/>
  <c r="QN5" i="22"/>
  <c r="QO5" i="22"/>
  <c r="QP5" i="22"/>
  <c r="QQ5" i="22"/>
  <c r="QR5" i="22"/>
  <c r="QS5" i="22"/>
  <c r="QT5" i="22"/>
  <c r="QU5" i="22"/>
  <c r="QV5" i="22"/>
  <c r="QW5" i="22"/>
  <c r="QX5" i="22"/>
  <c r="QY5" i="22"/>
  <c r="QZ5" i="22"/>
  <c r="RA5" i="22"/>
  <c r="RB5" i="22"/>
  <c r="RC5" i="22"/>
  <c r="RD5" i="22"/>
  <c r="RE5" i="22"/>
  <c r="RF5" i="22"/>
  <c r="RG5" i="22"/>
  <c r="RH5" i="22"/>
  <c r="RI5" i="22"/>
  <c r="RJ5" i="22"/>
  <c r="RK5" i="22"/>
  <c r="RL5" i="22"/>
  <c r="RM5" i="22"/>
  <c r="RN5" i="22"/>
  <c r="RO5" i="22"/>
  <c r="RP5" i="22"/>
  <c r="RQ5" i="22"/>
  <c r="RR5" i="22"/>
  <c r="RS5" i="22"/>
  <c r="RT5" i="22"/>
  <c r="RU5" i="22"/>
  <c r="RV5" i="22"/>
  <c r="RW5" i="22"/>
  <c r="RX5" i="22"/>
  <c r="RY5" i="22"/>
  <c r="RZ5" i="22"/>
  <c r="SA5" i="22"/>
  <c r="SB5" i="22"/>
  <c r="SC5" i="22"/>
  <c r="SD5" i="22"/>
  <c r="SE5" i="22"/>
  <c r="SF5" i="22"/>
  <c r="SG5" i="22"/>
  <c r="SH5" i="22"/>
  <c r="SI5" i="22"/>
  <c r="SJ5" i="22"/>
  <c r="SK5" i="22"/>
  <c r="SL5" i="22"/>
  <c r="SM5" i="22"/>
  <c r="SN5" i="22"/>
  <c r="SO5" i="22"/>
  <c r="SP5" i="22"/>
  <c r="SQ5" i="22"/>
  <c r="SR5" i="22"/>
  <c r="SS5" i="22"/>
  <c r="ST5" i="22"/>
  <c r="SU5" i="22"/>
  <c r="SV5" i="22"/>
  <c r="SW5" i="22"/>
  <c r="SX5" i="22"/>
  <c r="SY5" i="22"/>
  <c r="SZ5" i="22"/>
  <c r="TA5" i="22"/>
  <c r="TB5" i="22"/>
  <c r="TC5" i="22"/>
  <c r="TD5" i="22"/>
  <c r="TE5" i="22"/>
  <c r="TF5" i="22"/>
  <c r="TG5" i="22"/>
  <c r="TH5" i="22"/>
  <c r="TI5" i="22"/>
  <c r="TJ5" i="22"/>
  <c r="TK5" i="22"/>
  <c r="TL5" i="22"/>
  <c r="TM5" i="22"/>
  <c r="TN5" i="22"/>
  <c r="TO5" i="22"/>
  <c r="TP5" i="22"/>
  <c r="TQ5" i="22"/>
  <c r="TR5" i="22"/>
  <c r="TS5" i="22"/>
  <c r="TT5" i="22"/>
  <c r="TU5" i="22"/>
  <c r="TV5" i="22"/>
  <c r="TW5" i="22"/>
  <c r="TX5" i="22"/>
  <c r="TY5" i="22"/>
  <c r="TZ5" i="22"/>
  <c r="UA5" i="22"/>
  <c r="UB5" i="22"/>
  <c r="UC5" i="22"/>
  <c r="UD5" i="22"/>
  <c r="UE5" i="22"/>
  <c r="UF5" i="22"/>
  <c r="UG5" i="22"/>
  <c r="UH5" i="22"/>
  <c r="UI5" i="22"/>
  <c r="UJ5" i="22"/>
  <c r="UK5" i="22"/>
  <c r="UL5" i="22"/>
  <c r="UM5" i="22"/>
  <c r="UN5" i="22"/>
  <c r="UO5" i="22"/>
  <c r="UP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CU6" i="22"/>
  <c r="CV6" i="22"/>
  <c r="CW6" i="22"/>
  <c r="CX6" i="22"/>
  <c r="CY6" i="22"/>
  <c r="CZ6" i="22"/>
  <c r="DA6" i="22"/>
  <c r="DB6" i="22"/>
  <c r="DC6" i="22"/>
  <c r="DD6" i="22"/>
  <c r="DE6" i="22"/>
  <c r="DF6" i="22"/>
  <c r="DG6" i="22"/>
  <c r="DH6" i="22"/>
  <c r="DI6" i="22"/>
  <c r="DJ6" i="22"/>
  <c r="DK6" i="22"/>
  <c r="DL6" i="22"/>
  <c r="DM6" i="22"/>
  <c r="DN6" i="22"/>
  <c r="DO6" i="22"/>
  <c r="DP6" i="22"/>
  <c r="DQ6" i="22"/>
  <c r="DR6" i="22"/>
  <c r="DS6" i="22"/>
  <c r="DT6" i="22"/>
  <c r="DU6" i="22"/>
  <c r="DV6" i="22"/>
  <c r="DW6" i="22"/>
  <c r="DX6" i="22"/>
  <c r="DY6" i="22"/>
  <c r="DZ6" i="22"/>
  <c r="EA6" i="22"/>
  <c r="EB6" i="22"/>
  <c r="EC6" i="22"/>
  <c r="ED6" i="22"/>
  <c r="EE6" i="22"/>
  <c r="EF6" i="22"/>
  <c r="EG6" i="22"/>
  <c r="EH6" i="22"/>
  <c r="EI6" i="22"/>
  <c r="EJ6" i="22"/>
  <c r="EK6" i="22"/>
  <c r="EL6" i="22"/>
  <c r="EM6" i="22"/>
  <c r="EN6" i="22"/>
  <c r="EO6" i="22"/>
  <c r="EP6" i="22"/>
  <c r="EQ6" i="22"/>
  <c r="ER6" i="22"/>
  <c r="ES6" i="22"/>
  <c r="ET6" i="22"/>
  <c r="EU6" i="22"/>
  <c r="EV6" i="22"/>
  <c r="EW6" i="22"/>
  <c r="EX6" i="22"/>
  <c r="EY6" i="22"/>
  <c r="EZ6" i="22"/>
  <c r="FA6" i="22"/>
  <c r="FB6" i="22"/>
  <c r="FC6" i="22"/>
  <c r="FD6" i="22"/>
  <c r="FE6" i="22"/>
  <c r="FF6" i="22"/>
  <c r="FG6" i="22"/>
  <c r="FH6" i="22"/>
  <c r="FI6" i="22"/>
  <c r="FJ6" i="22"/>
  <c r="FK6" i="22"/>
  <c r="FL6" i="22"/>
  <c r="FM6" i="22"/>
  <c r="FN6" i="22"/>
  <c r="FO6" i="22"/>
  <c r="FP6" i="22"/>
  <c r="FQ6" i="22"/>
  <c r="FR6" i="22"/>
  <c r="FS6" i="22"/>
  <c r="FT6" i="22"/>
  <c r="FU6" i="22"/>
  <c r="FV6" i="22"/>
  <c r="FW6" i="22"/>
  <c r="FX6" i="22"/>
  <c r="FY6" i="22"/>
  <c r="FZ6" i="22"/>
  <c r="GA6" i="22"/>
  <c r="GB6" i="22"/>
  <c r="GC6" i="22"/>
  <c r="GD6" i="22"/>
  <c r="GE6" i="22"/>
  <c r="GF6" i="22"/>
  <c r="GG6" i="22"/>
  <c r="GH6" i="22"/>
  <c r="GI6" i="22"/>
  <c r="GJ6" i="22"/>
  <c r="GK6" i="22"/>
  <c r="GL6" i="22"/>
  <c r="GM6" i="22"/>
  <c r="GN6" i="22"/>
  <c r="GO6" i="22"/>
  <c r="GP6" i="22"/>
  <c r="GQ6" i="22"/>
  <c r="GR6" i="22"/>
  <c r="GS6" i="22"/>
  <c r="GT6" i="22"/>
  <c r="GU6" i="22"/>
  <c r="GV6" i="22"/>
  <c r="GW6" i="22"/>
  <c r="GX6" i="22"/>
  <c r="GY6" i="22"/>
  <c r="GZ6" i="22"/>
  <c r="HA6" i="22"/>
  <c r="HB6" i="22"/>
  <c r="HC6" i="22"/>
  <c r="HD6" i="22"/>
  <c r="HE6" i="22"/>
  <c r="HF6" i="22"/>
  <c r="HG6" i="22"/>
  <c r="HH6" i="22"/>
  <c r="HI6" i="22"/>
  <c r="HJ6" i="22"/>
  <c r="HK6" i="22"/>
  <c r="HL6" i="22"/>
  <c r="HM6" i="22"/>
  <c r="HN6" i="22"/>
  <c r="HO6" i="22"/>
  <c r="HP6" i="22"/>
  <c r="HQ6" i="22"/>
  <c r="HR6" i="22"/>
  <c r="HS6" i="22"/>
  <c r="HT6" i="22"/>
  <c r="HU6" i="22"/>
  <c r="HV6" i="22"/>
  <c r="HW6" i="22"/>
  <c r="HX6" i="22"/>
  <c r="HY6" i="22"/>
  <c r="HZ6" i="22"/>
  <c r="IA6" i="22"/>
  <c r="IB6" i="22"/>
  <c r="IC6" i="22"/>
  <c r="ID6" i="22"/>
  <c r="IE6" i="22"/>
  <c r="IF6" i="22"/>
  <c r="IG6" i="22"/>
  <c r="IH6" i="22"/>
  <c r="II6" i="22"/>
  <c r="IJ6" i="22"/>
  <c r="IK6" i="22"/>
  <c r="IL6" i="22"/>
  <c r="IM6" i="22"/>
  <c r="IN6" i="22"/>
  <c r="IO6" i="22"/>
  <c r="IP6" i="22"/>
  <c r="IQ6" i="22"/>
  <c r="IR6" i="22"/>
  <c r="IS6" i="22"/>
  <c r="IT6" i="22"/>
  <c r="IU6" i="22"/>
  <c r="IV6" i="22"/>
  <c r="IW6" i="22"/>
  <c r="IX6" i="22"/>
  <c r="IY6" i="22"/>
  <c r="IZ6" i="22"/>
  <c r="JA6" i="22"/>
  <c r="JB6" i="22"/>
  <c r="JC6" i="22"/>
  <c r="JD6" i="22"/>
  <c r="JE6" i="22"/>
  <c r="JF6" i="22"/>
  <c r="JG6" i="22"/>
  <c r="JH6" i="22"/>
  <c r="JI6" i="22"/>
  <c r="JJ6" i="22"/>
  <c r="JK6" i="22"/>
  <c r="JL6" i="22"/>
  <c r="JM6" i="22"/>
  <c r="JN6" i="22"/>
  <c r="JO6" i="22"/>
  <c r="JP6" i="22"/>
  <c r="JQ6" i="22"/>
  <c r="JR6" i="22"/>
  <c r="JS6" i="22"/>
  <c r="JT6" i="22"/>
  <c r="JU6" i="22"/>
  <c r="JV6" i="22"/>
  <c r="JW6" i="22"/>
  <c r="JX6" i="22"/>
  <c r="JY6" i="22"/>
  <c r="JZ6" i="22"/>
  <c r="KA6" i="22"/>
  <c r="KB6" i="22"/>
  <c r="KC6" i="22"/>
  <c r="KD6" i="22"/>
  <c r="KE6" i="22"/>
  <c r="KF6" i="22"/>
  <c r="KG6" i="22"/>
  <c r="KH6" i="22"/>
  <c r="KI6" i="22"/>
  <c r="KJ6" i="22"/>
  <c r="KK6" i="22"/>
  <c r="KL6" i="22"/>
  <c r="KM6" i="22"/>
  <c r="KN6" i="22"/>
  <c r="KO6" i="22"/>
  <c r="KP6" i="22"/>
  <c r="KQ6" i="22"/>
  <c r="KR6" i="22"/>
  <c r="KS6" i="22"/>
  <c r="KT6" i="22"/>
  <c r="KU6" i="22"/>
  <c r="KV6" i="22"/>
  <c r="KW6" i="22"/>
  <c r="KX6" i="22"/>
  <c r="KY6" i="22"/>
  <c r="KZ6" i="22"/>
  <c r="LA6" i="22"/>
  <c r="LB6" i="22"/>
  <c r="LC6" i="22"/>
  <c r="LD6" i="22"/>
  <c r="LE6" i="22"/>
  <c r="LF6" i="22"/>
  <c r="LG6" i="22"/>
  <c r="LH6" i="22"/>
  <c r="LI6" i="22"/>
  <c r="LJ6" i="22"/>
  <c r="LK6" i="22"/>
  <c r="LL6" i="22"/>
  <c r="LM6" i="22"/>
  <c r="LN6" i="22"/>
  <c r="LO6" i="22"/>
  <c r="LP6" i="22"/>
  <c r="LQ6" i="22"/>
  <c r="LR6" i="22"/>
  <c r="LS6" i="22"/>
  <c r="LT6" i="22"/>
  <c r="LU6" i="22"/>
  <c r="LV6" i="22"/>
  <c r="LW6" i="22"/>
  <c r="LX6" i="22"/>
  <c r="LY6" i="22"/>
  <c r="LZ6" i="22"/>
  <c r="MA6" i="22"/>
  <c r="MB6" i="22"/>
  <c r="MC6" i="22"/>
  <c r="MD6" i="22"/>
  <c r="ME6" i="22"/>
  <c r="MF6" i="22"/>
  <c r="MG6" i="22"/>
  <c r="MH6" i="22"/>
  <c r="MI6" i="22"/>
  <c r="MJ6" i="22"/>
  <c r="MK6" i="22"/>
  <c r="ML6" i="22"/>
  <c r="MM6" i="22"/>
  <c r="MN6" i="22"/>
  <c r="MO6" i="22"/>
  <c r="MP6" i="22"/>
  <c r="MQ6" i="22"/>
  <c r="MR6" i="22"/>
  <c r="MS6" i="22"/>
  <c r="MT6" i="22"/>
  <c r="MU6" i="22"/>
  <c r="MV6" i="22"/>
  <c r="MW6" i="22"/>
  <c r="MX6" i="22"/>
  <c r="MY6" i="22"/>
  <c r="MZ6" i="22"/>
  <c r="NA6" i="22"/>
  <c r="NB6" i="22"/>
  <c r="NC6" i="22"/>
  <c r="ND6" i="22"/>
  <c r="NE6" i="22"/>
  <c r="NF6" i="22"/>
  <c r="NG6" i="22"/>
  <c r="NH6" i="22"/>
  <c r="NI6" i="22"/>
  <c r="NJ6" i="22"/>
  <c r="NK6" i="22"/>
  <c r="NL6" i="22"/>
  <c r="NM6" i="22"/>
  <c r="NN6" i="22"/>
  <c r="NO6" i="22"/>
  <c r="NP6" i="22"/>
  <c r="NQ6" i="22"/>
  <c r="NR6" i="22"/>
  <c r="NS6" i="22"/>
  <c r="NT6" i="22"/>
  <c r="NU6" i="22"/>
  <c r="NV6" i="22"/>
  <c r="NW6" i="22"/>
  <c r="NX6" i="22"/>
  <c r="NY6" i="22"/>
  <c r="NZ6" i="22"/>
  <c r="OA6" i="22"/>
  <c r="OB6" i="22"/>
  <c r="OC6" i="22"/>
  <c r="OD6" i="22"/>
  <c r="OE6" i="22"/>
  <c r="OF6" i="22"/>
  <c r="OG6" i="22"/>
  <c r="OH6" i="22"/>
  <c r="OI6" i="22"/>
  <c r="OJ6" i="22"/>
  <c r="OK6" i="22"/>
  <c r="OL6" i="22"/>
  <c r="OM6" i="22"/>
  <c r="ON6" i="22"/>
  <c r="OO6" i="22"/>
  <c r="OP6" i="22"/>
  <c r="OQ6" i="22"/>
  <c r="OR6" i="22"/>
  <c r="OS6" i="22"/>
  <c r="OT6" i="22"/>
  <c r="OU6" i="22"/>
  <c r="OV6" i="22"/>
  <c r="OW6" i="22"/>
  <c r="OX6" i="22"/>
  <c r="OY6" i="22"/>
  <c r="OZ6" i="22"/>
  <c r="PA6" i="22"/>
  <c r="PB6" i="22"/>
  <c r="PC6" i="22"/>
  <c r="PD6" i="22"/>
  <c r="PE6" i="22"/>
  <c r="PF6" i="22"/>
  <c r="PG6" i="22"/>
  <c r="PH6" i="22"/>
  <c r="PI6" i="22"/>
  <c r="PJ6" i="22"/>
  <c r="PK6" i="22"/>
  <c r="PL6" i="22"/>
  <c r="PM6" i="22"/>
  <c r="PN6" i="22"/>
  <c r="PO6" i="22"/>
  <c r="PP6" i="22"/>
  <c r="PQ6" i="22"/>
  <c r="PR6" i="22"/>
  <c r="PS6" i="22"/>
  <c r="PT6" i="22"/>
  <c r="PU6" i="22"/>
  <c r="PV6" i="22"/>
  <c r="PW6" i="22"/>
  <c r="PX6" i="22"/>
  <c r="PY6" i="22"/>
  <c r="PZ6" i="22"/>
  <c r="QA6" i="22"/>
  <c r="QB6" i="22"/>
  <c r="QC6" i="22"/>
  <c r="QD6" i="22"/>
  <c r="QE6" i="22"/>
  <c r="QF6" i="22"/>
  <c r="QG6" i="22"/>
  <c r="QH6" i="22"/>
  <c r="QI6" i="22"/>
  <c r="QJ6" i="22"/>
  <c r="QK6" i="22"/>
  <c r="QL6" i="22"/>
  <c r="QM6" i="22"/>
  <c r="QN6" i="22"/>
  <c r="QO6" i="22"/>
  <c r="QP6" i="22"/>
  <c r="QQ6" i="22"/>
  <c r="QR6" i="22"/>
  <c r="QS6" i="22"/>
  <c r="QT6" i="22"/>
  <c r="QU6" i="22"/>
  <c r="QV6" i="22"/>
  <c r="QW6" i="22"/>
  <c r="QX6" i="22"/>
  <c r="QY6" i="22"/>
  <c r="QZ6" i="22"/>
  <c r="RA6" i="22"/>
  <c r="RB6" i="22"/>
  <c r="RC6" i="22"/>
  <c r="RD6" i="22"/>
  <c r="RE6" i="22"/>
  <c r="RF6" i="22"/>
  <c r="RG6" i="22"/>
  <c r="RH6" i="22"/>
  <c r="RI6" i="22"/>
  <c r="RJ6" i="22"/>
  <c r="RK6" i="22"/>
  <c r="RL6" i="22"/>
  <c r="RM6" i="22"/>
  <c r="RN6" i="22"/>
  <c r="RO6" i="22"/>
  <c r="RP6" i="22"/>
  <c r="RQ6" i="22"/>
  <c r="RR6" i="22"/>
  <c r="RS6" i="22"/>
  <c r="RT6" i="22"/>
  <c r="RU6" i="22"/>
  <c r="RV6" i="22"/>
  <c r="RW6" i="22"/>
  <c r="RX6" i="22"/>
  <c r="RY6" i="22"/>
  <c r="RZ6" i="22"/>
  <c r="SA6" i="22"/>
  <c r="SB6" i="22"/>
  <c r="SC6" i="22"/>
  <c r="SD6" i="22"/>
  <c r="SE6" i="22"/>
  <c r="SF6" i="22"/>
  <c r="SG6" i="22"/>
  <c r="SH6" i="22"/>
  <c r="SI6" i="22"/>
  <c r="SJ6" i="22"/>
  <c r="SK6" i="22"/>
  <c r="SL6" i="22"/>
  <c r="SM6" i="22"/>
  <c r="SN6" i="22"/>
  <c r="SO6" i="22"/>
  <c r="SP6" i="22"/>
  <c r="SQ6" i="22"/>
  <c r="SR6" i="22"/>
  <c r="SS6" i="22"/>
  <c r="ST6" i="22"/>
  <c r="SU6" i="22"/>
  <c r="SV6" i="22"/>
  <c r="SW6" i="22"/>
  <c r="SX6" i="22"/>
  <c r="SY6" i="22"/>
  <c r="SZ6" i="22"/>
  <c r="TA6" i="22"/>
  <c r="TB6" i="22"/>
  <c r="TC6" i="22"/>
  <c r="TD6" i="22"/>
  <c r="TE6" i="22"/>
  <c r="TF6" i="22"/>
  <c r="TG6" i="22"/>
  <c r="TH6" i="22"/>
  <c r="TI6" i="22"/>
  <c r="TJ6" i="22"/>
  <c r="TK6" i="22"/>
  <c r="TL6" i="22"/>
  <c r="TM6" i="22"/>
  <c r="TN6" i="22"/>
  <c r="TO6" i="22"/>
  <c r="TP6" i="22"/>
  <c r="TQ6" i="22"/>
  <c r="TR6" i="22"/>
  <c r="TS6" i="22"/>
  <c r="TT6" i="22"/>
  <c r="TU6" i="22"/>
  <c r="TV6" i="22"/>
  <c r="TW6" i="22"/>
  <c r="TX6" i="22"/>
  <c r="TY6" i="22"/>
  <c r="TZ6" i="22"/>
  <c r="UA6" i="22"/>
  <c r="UB6" i="22"/>
  <c r="UC6" i="22"/>
  <c r="UD6" i="22"/>
  <c r="UE6" i="22"/>
  <c r="UF6" i="22"/>
  <c r="UG6" i="22"/>
  <c r="UH6" i="22"/>
  <c r="UI6" i="22"/>
  <c r="UJ6" i="22"/>
  <c r="UK6" i="22"/>
  <c r="UL6" i="22"/>
  <c r="UM6" i="22"/>
  <c r="UN6" i="22"/>
  <c r="UO6" i="22"/>
  <c r="UP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CV7" i="22"/>
  <c r="CW7" i="22"/>
  <c r="CX7" i="22"/>
  <c r="CY7" i="22"/>
  <c r="CZ7" i="22"/>
  <c r="DA7" i="22"/>
  <c r="DB7" i="22"/>
  <c r="DC7" i="22"/>
  <c r="DD7" i="22"/>
  <c r="DE7" i="22"/>
  <c r="DF7" i="22"/>
  <c r="DG7" i="22"/>
  <c r="DH7" i="22"/>
  <c r="DI7" i="22"/>
  <c r="DJ7" i="22"/>
  <c r="DK7" i="22"/>
  <c r="DL7" i="22"/>
  <c r="DM7" i="22"/>
  <c r="DN7" i="22"/>
  <c r="DO7" i="22"/>
  <c r="DP7" i="22"/>
  <c r="DQ7" i="22"/>
  <c r="DR7" i="22"/>
  <c r="DS7" i="22"/>
  <c r="DT7" i="22"/>
  <c r="DU7" i="22"/>
  <c r="DV7" i="22"/>
  <c r="DW7" i="22"/>
  <c r="DX7" i="22"/>
  <c r="DY7" i="22"/>
  <c r="DZ7" i="22"/>
  <c r="EA7" i="22"/>
  <c r="EB7" i="22"/>
  <c r="EC7" i="22"/>
  <c r="ED7" i="22"/>
  <c r="EE7" i="22"/>
  <c r="EF7" i="22"/>
  <c r="EG7" i="22"/>
  <c r="EH7" i="22"/>
  <c r="EI7" i="22"/>
  <c r="EJ7" i="22"/>
  <c r="EK7" i="22"/>
  <c r="EL7" i="22"/>
  <c r="EM7" i="22"/>
  <c r="EN7" i="22"/>
  <c r="EO7" i="22"/>
  <c r="EP7" i="22"/>
  <c r="EQ7" i="22"/>
  <c r="ER7" i="22"/>
  <c r="ES7" i="22"/>
  <c r="ET7" i="22"/>
  <c r="EU7" i="22"/>
  <c r="EV7" i="22"/>
  <c r="EW7" i="22"/>
  <c r="EX7" i="22"/>
  <c r="EY7" i="22"/>
  <c r="EZ7" i="22"/>
  <c r="FA7" i="22"/>
  <c r="FB7" i="22"/>
  <c r="FC7" i="22"/>
  <c r="FD7" i="22"/>
  <c r="FE7" i="22"/>
  <c r="FF7" i="22"/>
  <c r="FG7" i="22"/>
  <c r="FH7" i="22"/>
  <c r="FI7" i="22"/>
  <c r="FJ7" i="22"/>
  <c r="FK7" i="22"/>
  <c r="FL7" i="22"/>
  <c r="FM7" i="22"/>
  <c r="FN7" i="22"/>
  <c r="FO7" i="22"/>
  <c r="FP7" i="22"/>
  <c r="FQ7" i="22"/>
  <c r="FR7" i="22"/>
  <c r="FS7" i="22"/>
  <c r="FT7" i="22"/>
  <c r="FU7" i="22"/>
  <c r="FV7" i="22"/>
  <c r="FW7" i="22"/>
  <c r="FX7" i="22"/>
  <c r="FY7" i="22"/>
  <c r="FZ7" i="22"/>
  <c r="GA7" i="22"/>
  <c r="GB7" i="22"/>
  <c r="GC7" i="22"/>
  <c r="GD7" i="22"/>
  <c r="GE7" i="22"/>
  <c r="GF7" i="22"/>
  <c r="GG7" i="22"/>
  <c r="GH7" i="22"/>
  <c r="GI7" i="22"/>
  <c r="GJ7" i="22"/>
  <c r="GK7" i="22"/>
  <c r="GL7" i="22"/>
  <c r="GM7" i="22"/>
  <c r="GN7" i="22"/>
  <c r="GO7" i="22"/>
  <c r="GP7" i="22"/>
  <c r="GQ7" i="22"/>
  <c r="GR7" i="22"/>
  <c r="GS7" i="22"/>
  <c r="GT7" i="22"/>
  <c r="GU7" i="22"/>
  <c r="GV7" i="22"/>
  <c r="GW7" i="22"/>
  <c r="GX7" i="22"/>
  <c r="GY7" i="22"/>
  <c r="GZ7" i="22"/>
  <c r="HA7" i="22"/>
  <c r="HB7" i="22"/>
  <c r="HC7" i="22"/>
  <c r="HD7" i="22"/>
  <c r="HE7" i="22"/>
  <c r="HF7" i="22"/>
  <c r="HG7" i="22"/>
  <c r="HH7" i="22"/>
  <c r="HI7" i="22"/>
  <c r="HJ7" i="22"/>
  <c r="HK7" i="22"/>
  <c r="HL7" i="22"/>
  <c r="HM7" i="22"/>
  <c r="HN7" i="22"/>
  <c r="HO7" i="22"/>
  <c r="HP7" i="22"/>
  <c r="HQ7" i="22"/>
  <c r="HR7" i="22"/>
  <c r="HS7" i="22"/>
  <c r="HT7" i="22"/>
  <c r="HU7" i="22"/>
  <c r="HV7" i="22"/>
  <c r="HW7" i="22"/>
  <c r="HX7" i="22"/>
  <c r="HY7" i="22"/>
  <c r="HZ7" i="22"/>
  <c r="IA7" i="22"/>
  <c r="IB7" i="22"/>
  <c r="IC7" i="22"/>
  <c r="ID7" i="22"/>
  <c r="IE7" i="22"/>
  <c r="IF7" i="22"/>
  <c r="IG7" i="22"/>
  <c r="IH7" i="22"/>
  <c r="II7" i="22"/>
  <c r="IJ7" i="22"/>
  <c r="IK7" i="22"/>
  <c r="IL7" i="22"/>
  <c r="IM7" i="22"/>
  <c r="IN7" i="22"/>
  <c r="IO7" i="22"/>
  <c r="IP7" i="22"/>
  <c r="IQ7" i="22"/>
  <c r="IR7" i="22"/>
  <c r="IS7" i="22"/>
  <c r="IT7" i="22"/>
  <c r="IU7" i="22"/>
  <c r="IV7" i="22"/>
  <c r="IW7" i="22"/>
  <c r="IX7" i="22"/>
  <c r="IY7" i="22"/>
  <c r="IZ7" i="22"/>
  <c r="JA7" i="22"/>
  <c r="JB7" i="22"/>
  <c r="JC7" i="22"/>
  <c r="JD7" i="22"/>
  <c r="JE7" i="22"/>
  <c r="JF7" i="22"/>
  <c r="JG7" i="22"/>
  <c r="JH7" i="22"/>
  <c r="JI7" i="22"/>
  <c r="JJ7" i="22"/>
  <c r="JK7" i="22"/>
  <c r="JL7" i="22"/>
  <c r="JM7" i="22"/>
  <c r="JN7" i="22"/>
  <c r="JO7" i="22"/>
  <c r="JP7" i="22"/>
  <c r="JQ7" i="22"/>
  <c r="JR7" i="22"/>
  <c r="JS7" i="22"/>
  <c r="JT7" i="22"/>
  <c r="JU7" i="22"/>
  <c r="JV7" i="22"/>
  <c r="JW7" i="22"/>
  <c r="JX7" i="22"/>
  <c r="JY7" i="22"/>
  <c r="JZ7" i="22"/>
  <c r="KA7" i="22"/>
  <c r="KB7" i="22"/>
  <c r="KC7" i="22"/>
  <c r="KD7" i="22"/>
  <c r="KE7" i="22"/>
  <c r="KF7" i="22"/>
  <c r="KG7" i="22"/>
  <c r="KH7" i="22"/>
  <c r="KI7" i="22"/>
  <c r="KJ7" i="22"/>
  <c r="KK7" i="22"/>
  <c r="KL7" i="22"/>
  <c r="KM7" i="22"/>
  <c r="KN7" i="22"/>
  <c r="KO7" i="22"/>
  <c r="KP7" i="22"/>
  <c r="KQ7" i="22"/>
  <c r="KR7" i="22"/>
  <c r="KS7" i="22"/>
  <c r="KT7" i="22"/>
  <c r="KU7" i="22"/>
  <c r="KV7" i="22"/>
  <c r="KW7" i="22"/>
  <c r="KX7" i="22"/>
  <c r="KY7" i="22"/>
  <c r="KZ7" i="22"/>
  <c r="LA7" i="22"/>
  <c r="LB7" i="22"/>
  <c r="LC7" i="22"/>
  <c r="LD7" i="22"/>
  <c r="LE7" i="22"/>
  <c r="LF7" i="22"/>
  <c r="LG7" i="22"/>
  <c r="LH7" i="22"/>
  <c r="LI7" i="22"/>
  <c r="LJ7" i="22"/>
  <c r="LK7" i="22"/>
  <c r="LL7" i="22"/>
  <c r="LM7" i="22"/>
  <c r="LN7" i="22"/>
  <c r="LO7" i="22"/>
  <c r="LP7" i="22"/>
  <c r="LQ7" i="22"/>
  <c r="LR7" i="22"/>
  <c r="LS7" i="22"/>
  <c r="LT7" i="22"/>
  <c r="LU7" i="22"/>
  <c r="LV7" i="22"/>
  <c r="LW7" i="22"/>
  <c r="LX7" i="22"/>
  <c r="LY7" i="22"/>
  <c r="LZ7" i="22"/>
  <c r="MA7" i="22"/>
  <c r="MB7" i="22"/>
  <c r="MC7" i="22"/>
  <c r="MD7" i="22"/>
  <c r="ME7" i="22"/>
  <c r="MF7" i="22"/>
  <c r="MG7" i="22"/>
  <c r="MH7" i="22"/>
  <c r="MI7" i="22"/>
  <c r="MJ7" i="22"/>
  <c r="MK7" i="22"/>
  <c r="ML7" i="22"/>
  <c r="MM7" i="22"/>
  <c r="MN7" i="22"/>
  <c r="MO7" i="22"/>
  <c r="MP7" i="22"/>
  <c r="MQ7" i="22"/>
  <c r="MR7" i="22"/>
  <c r="MS7" i="22"/>
  <c r="MT7" i="22"/>
  <c r="MU7" i="22"/>
  <c r="MV7" i="22"/>
  <c r="MW7" i="22"/>
  <c r="MX7" i="22"/>
  <c r="MY7" i="22"/>
  <c r="MZ7" i="22"/>
  <c r="NA7" i="22"/>
  <c r="NB7" i="22"/>
  <c r="NC7" i="22"/>
  <c r="ND7" i="22"/>
  <c r="NE7" i="22"/>
  <c r="NF7" i="22"/>
  <c r="NG7" i="22"/>
  <c r="NH7" i="22"/>
  <c r="NI7" i="22"/>
  <c r="NJ7" i="22"/>
  <c r="NK7" i="22"/>
  <c r="NL7" i="22"/>
  <c r="NM7" i="22"/>
  <c r="NN7" i="22"/>
  <c r="NO7" i="22"/>
  <c r="NP7" i="22"/>
  <c r="NQ7" i="22"/>
  <c r="NR7" i="22"/>
  <c r="NS7" i="22"/>
  <c r="NT7" i="22"/>
  <c r="NU7" i="22"/>
  <c r="NV7" i="22"/>
  <c r="NW7" i="22"/>
  <c r="NX7" i="22"/>
  <c r="NY7" i="22"/>
  <c r="NZ7" i="22"/>
  <c r="OA7" i="22"/>
  <c r="OB7" i="22"/>
  <c r="OC7" i="22"/>
  <c r="OD7" i="22"/>
  <c r="OE7" i="22"/>
  <c r="OF7" i="22"/>
  <c r="OG7" i="22"/>
  <c r="OH7" i="22"/>
  <c r="OI7" i="22"/>
  <c r="OJ7" i="22"/>
  <c r="OK7" i="22"/>
  <c r="OL7" i="22"/>
  <c r="OM7" i="22"/>
  <c r="ON7" i="22"/>
  <c r="OO7" i="22"/>
  <c r="OP7" i="22"/>
  <c r="OQ7" i="22"/>
  <c r="OR7" i="22"/>
  <c r="OS7" i="22"/>
  <c r="OT7" i="22"/>
  <c r="OU7" i="22"/>
  <c r="OV7" i="22"/>
  <c r="OW7" i="22"/>
  <c r="OX7" i="22"/>
  <c r="OY7" i="22"/>
  <c r="OZ7" i="22"/>
  <c r="PA7" i="22"/>
  <c r="PB7" i="22"/>
  <c r="PC7" i="22"/>
  <c r="PD7" i="22"/>
  <c r="PE7" i="22"/>
  <c r="PF7" i="22"/>
  <c r="PG7" i="22"/>
  <c r="PH7" i="22"/>
  <c r="PI7" i="22"/>
  <c r="PJ7" i="22"/>
  <c r="PK7" i="22"/>
  <c r="PL7" i="22"/>
  <c r="PM7" i="22"/>
  <c r="PN7" i="22"/>
  <c r="PO7" i="22"/>
  <c r="PP7" i="22"/>
  <c r="PQ7" i="22"/>
  <c r="PR7" i="22"/>
  <c r="PS7" i="22"/>
  <c r="PT7" i="22"/>
  <c r="PU7" i="22"/>
  <c r="PV7" i="22"/>
  <c r="PW7" i="22"/>
  <c r="PX7" i="22"/>
  <c r="PY7" i="22"/>
  <c r="PZ7" i="22"/>
  <c r="QA7" i="22"/>
  <c r="QB7" i="22"/>
  <c r="QC7" i="22"/>
  <c r="QD7" i="22"/>
  <c r="QE7" i="22"/>
  <c r="QF7" i="22"/>
  <c r="QG7" i="22"/>
  <c r="QH7" i="22"/>
  <c r="QI7" i="22"/>
  <c r="QJ7" i="22"/>
  <c r="QK7" i="22"/>
  <c r="QL7" i="22"/>
  <c r="QM7" i="22"/>
  <c r="QN7" i="22"/>
  <c r="QO7" i="22"/>
  <c r="QP7" i="22"/>
  <c r="QQ7" i="22"/>
  <c r="QR7" i="22"/>
  <c r="QS7" i="22"/>
  <c r="QT7" i="22"/>
  <c r="QU7" i="22"/>
  <c r="QV7" i="22"/>
  <c r="QW7" i="22"/>
  <c r="QX7" i="22"/>
  <c r="QY7" i="22"/>
  <c r="QZ7" i="22"/>
  <c r="RA7" i="22"/>
  <c r="RB7" i="22"/>
  <c r="RC7" i="22"/>
  <c r="RD7" i="22"/>
  <c r="RE7" i="22"/>
  <c r="RF7" i="22"/>
  <c r="RG7" i="22"/>
  <c r="RH7" i="22"/>
  <c r="RI7" i="22"/>
  <c r="RJ7" i="22"/>
  <c r="RK7" i="22"/>
  <c r="RL7" i="22"/>
  <c r="RM7" i="22"/>
  <c r="RN7" i="22"/>
  <c r="RO7" i="22"/>
  <c r="RP7" i="22"/>
  <c r="RQ7" i="22"/>
  <c r="RR7" i="22"/>
  <c r="RS7" i="22"/>
  <c r="RT7" i="22"/>
  <c r="RU7" i="22"/>
  <c r="RV7" i="22"/>
  <c r="RW7" i="22"/>
  <c r="RX7" i="22"/>
  <c r="RY7" i="22"/>
  <c r="RZ7" i="22"/>
  <c r="SA7" i="22"/>
  <c r="SB7" i="22"/>
  <c r="SC7" i="22"/>
  <c r="SD7" i="22"/>
  <c r="SE7" i="22"/>
  <c r="SF7" i="22"/>
  <c r="SG7" i="22"/>
  <c r="SH7" i="22"/>
  <c r="SI7" i="22"/>
  <c r="SJ7" i="22"/>
  <c r="SK7" i="22"/>
  <c r="SL7" i="22"/>
  <c r="SM7" i="22"/>
  <c r="SN7" i="22"/>
  <c r="SO7" i="22"/>
  <c r="SP7" i="22"/>
  <c r="SQ7" i="22"/>
  <c r="SR7" i="22"/>
  <c r="SS7" i="22"/>
  <c r="ST7" i="22"/>
  <c r="SU7" i="22"/>
  <c r="SV7" i="22"/>
  <c r="SW7" i="22"/>
  <c r="SX7" i="22"/>
  <c r="SY7" i="22"/>
  <c r="SZ7" i="22"/>
  <c r="TA7" i="22"/>
  <c r="TB7" i="22"/>
  <c r="TC7" i="22"/>
  <c r="TD7" i="22"/>
  <c r="TE7" i="22"/>
  <c r="TF7" i="22"/>
  <c r="TG7" i="22"/>
  <c r="TH7" i="22"/>
  <c r="TI7" i="22"/>
  <c r="TJ7" i="22"/>
  <c r="TK7" i="22"/>
  <c r="TL7" i="22"/>
  <c r="TM7" i="22"/>
  <c r="TN7" i="22"/>
  <c r="TO7" i="22"/>
  <c r="TP7" i="22"/>
  <c r="TQ7" i="22"/>
  <c r="TR7" i="22"/>
  <c r="TS7" i="22"/>
  <c r="TT7" i="22"/>
  <c r="TU7" i="22"/>
  <c r="TV7" i="22"/>
  <c r="TW7" i="22"/>
  <c r="TX7" i="22"/>
  <c r="TY7" i="22"/>
  <c r="TZ7" i="22"/>
  <c r="UA7" i="22"/>
  <c r="UB7" i="22"/>
  <c r="UC7" i="22"/>
  <c r="UD7" i="22"/>
  <c r="UE7" i="22"/>
  <c r="UF7" i="22"/>
  <c r="UG7" i="22"/>
  <c r="UH7" i="22"/>
  <c r="UI7" i="22"/>
  <c r="UJ7" i="22"/>
  <c r="UK7" i="22"/>
  <c r="UL7" i="22"/>
  <c r="UM7" i="22"/>
  <c r="UN7" i="22"/>
  <c r="UO7" i="22"/>
  <c r="UP7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CU8" i="22"/>
  <c r="CV8" i="22"/>
  <c r="CW8" i="22"/>
  <c r="CX8" i="22"/>
  <c r="CY8" i="22"/>
  <c r="CZ8" i="22"/>
  <c r="DA8" i="22"/>
  <c r="DB8" i="22"/>
  <c r="DC8" i="22"/>
  <c r="DD8" i="22"/>
  <c r="DE8" i="22"/>
  <c r="DF8" i="22"/>
  <c r="DG8" i="22"/>
  <c r="DH8" i="22"/>
  <c r="DI8" i="22"/>
  <c r="DJ8" i="22"/>
  <c r="DK8" i="22"/>
  <c r="DL8" i="22"/>
  <c r="DM8" i="22"/>
  <c r="DN8" i="22"/>
  <c r="DO8" i="22"/>
  <c r="DP8" i="22"/>
  <c r="DQ8" i="22"/>
  <c r="DR8" i="22"/>
  <c r="DS8" i="22"/>
  <c r="DT8" i="22"/>
  <c r="DU8" i="22"/>
  <c r="DV8" i="22"/>
  <c r="DW8" i="22"/>
  <c r="DX8" i="22"/>
  <c r="DY8" i="22"/>
  <c r="DZ8" i="22"/>
  <c r="EA8" i="22"/>
  <c r="EB8" i="22"/>
  <c r="EC8" i="22"/>
  <c r="ED8" i="22"/>
  <c r="EE8" i="22"/>
  <c r="EF8" i="22"/>
  <c r="EG8" i="22"/>
  <c r="EH8" i="22"/>
  <c r="EI8" i="22"/>
  <c r="EJ8" i="22"/>
  <c r="EK8" i="22"/>
  <c r="EL8" i="22"/>
  <c r="EM8" i="22"/>
  <c r="EN8" i="22"/>
  <c r="EO8" i="22"/>
  <c r="EP8" i="22"/>
  <c r="EQ8" i="22"/>
  <c r="ER8" i="22"/>
  <c r="ES8" i="22"/>
  <c r="ET8" i="22"/>
  <c r="EU8" i="22"/>
  <c r="EV8" i="22"/>
  <c r="EW8" i="22"/>
  <c r="EX8" i="22"/>
  <c r="EY8" i="22"/>
  <c r="EZ8" i="22"/>
  <c r="FA8" i="22"/>
  <c r="FB8" i="22"/>
  <c r="FC8" i="22"/>
  <c r="FD8" i="22"/>
  <c r="FE8" i="22"/>
  <c r="FF8" i="22"/>
  <c r="FG8" i="22"/>
  <c r="FH8" i="22"/>
  <c r="FI8" i="22"/>
  <c r="FJ8" i="22"/>
  <c r="FK8" i="22"/>
  <c r="FL8" i="22"/>
  <c r="FM8" i="22"/>
  <c r="FN8" i="22"/>
  <c r="FO8" i="22"/>
  <c r="FP8" i="22"/>
  <c r="FQ8" i="22"/>
  <c r="FR8" i="22"/>
  <c r="FS8" i="22"/>
  <c r="FT8" i="22"/>
  <c r="FU8" i="22"/>
  <c r="FV8" i="22"/>
  <c r="FW8" i="22"/>
  <c r="FX8" i="22"/>
  <c r="FY8" i="22"/>
  <c r="FZ8" i="22"/>
  <c r="GA8" i="22"/>
  <c r="GB8" i="22"/>
  <c r="GC8" i="22"/>
  <c r="GD8" i="22"/>
  <c r="GE8" i="22"/>
  <c r="GF8" i="22"/>
  <c r="GG8" i="22"/>
  <c r="GH8" i="22"/>
  <c r="GI8" i="22"/>
  <c r="GJ8" i="22"/>
  <c r="GK8" i="22"/>
  <c r="GL8" i="22"/>
  <c r="GM8" i="22"/>
  <c r="GN8" i="22"/>
  <c r="GO8" i="22"/>
  <c r="GP8" i="22"/>
  <c r="GQ8" i="22"/>
  <c r="GR8" i="22"/>
  <c r="GS8" i="22"/>
  <c r="GT8" i="22"/>
  <c r="GU8" i="22"/>
  <c r="GV8" i="22"/>
  <c r="GW8" i="22"/>
  <c r="GX8" i="22"/>
  <c r="GY8" i="22"/>
  <c r="GZ8" i="22"/>
  <c r="HA8" i="22"/>
  <c r="HB8" i="22"/>
  <c r="HC8" i="22"/>
  <c r="HD8" i="22"/>
  <c r="HE8" i="22"/>
  <c r="HF8" i="22"/>
  <c r="HG8" i="22"/>
  <c r="HH8" i="22"/>
  <c r="HI8" i="22"/>
  <c r="HJ8" i="22"/>
  <c r="HK8" i="22"/>
  <c r="HL8" i="22"/>
  <c r="HM8" i="22"/>
  <c r="HN8" i="22"/>
  <c r="HO8" i="22"/>
  <c r="HP8" i="22"/>
  <c r="HQ8" i="22"/>
  <c r="HR8" i="22"/>
  <c r="HS8" i="22"/>
  <c r="HT8" i="22"/>
  <c r="HU8" i="22"/>
  <c r="HV8" i="22"/>
  <c r="HW8" i="22"/>
  <c r="HX8" i="22"/>
  <c r="HY8" i="22"/>
  <c r="HZ8" i="22"/>
  <c r="IA8" i="22"/>
  <c r="IB8" i="22"/>
  <c r="IC8" i="22"/>
  <c r="ID8" i="22"/>
  <c r="IE8" i="22"/>
  <c r="IF8" i="22"/>
  <c r="IG8" i="22"/>
  <c r="IH8" i="22"/>
  <c r="II8" i="22"/>
  <c r="IJ8" i="22"/>
  <c r="IK8" i="22"/>
  <c r="IL8" i="22"/>
  <c r="IM8" i="22"/>
  <c r="IN8" i="22"/>
  <c r="IO8" i="22"/>
  <c r="IP8" i="22"/>
  <c r="IQ8" i="22"/>
  <c r="IR8" i="22"/>
  <c r="IS8" i="22"/>
  <c r="IT8" i="22"/>
  <c r="IU8" i="22"/>
  <c r="IV8" i="22"/>
  <c r="IW8" i="22"/>
  <c r="IX8" i="22"/>
  <c r="IY8" i="22"/>
  <c r="IZ8" i="22"/>
  <c r="JA8" i="22"/>
  <c r="JB8" i="22"/>
  <c r="JC8" i="22"/>
  <c r="JD8" i="22"/>
  <c r="JE8" i="22"/>
  <c r="JF8" i="22"/>
  <c r="JG8" i="22"/>
  <c r="JH8" i="22"/>
  <c r="JI8" i="22"/>
  <c r="JJ8" i="22"/>
  <c r="JK8" i="22"/>
  <c r="JL8" i="22"/>
  <c r="JM8" i="22"/>
  <c r="JN8" i="22"/>
  <c r="JO8" i="22"/>
  <c r="JP8" i="22"/>
  <c r="JQ8" i="22"/>
  <c r="JR8" i="22"/>
  <c r="JS8" i="22"/>
  <c r="JT8" i="22"/>
  <c r="JU8" i="22"/>
  <c r="JV8" i="22"/>
  <c r="JW8" i="22"/>
  <c r="JX8" i="22"/>
  <c r="JY8" i="22"/>
  <c r="JZ8" i="22"/>
  <c r="KA8" i="22"/>
  <c r="KB8" i="22"/>
  <c r="KC8" i="22"/>
  <c r="KD8" i="22"/>
  <c r="KE8" i="22"/>
  <c r="KF8" i="22"/>
  <c r="KG8" i="22"/>
  <c r="KH8" i="22"/>
  <c r="KI8" i="22"/>
  <c r="KJ8" i="22"/>
  <c r="KK8" i="22"/>
  <c r="KL8" i="22"/>
  <c r="KM8" i="22"/>
  <c r="KN8" i="22"/>
  <c r="KO8" i="22"/>
  <c r="KP8" i="22"/>
  <c r="KQ8" i="22"/>
  <c r="KR8" i="22"/>
  <c r="KS8" i="22"/>
  <c r="KT8" i="22"/>
  <c r="KU8" i="22"/>
  <c r="KV8" i="22"/>
  <c r="KW8" i="22"/>
  <c r="KX8" i="22"/>
  <c r="KY8" i="22"/>
  <c r="KZ8" i="22"/>
  <c r="LA8" i="22"/>
  <c r="LB8" i="22"/>
  <c r="LC8" i="22"/>
  <c r="LD8" i="22"/>
  <c r="LE8" i="22"/>
  <c r="LF8" i="22"/>
  <c r="LG8" i="22"/>
  <c r="LH8" i="22"/>
  <c r="LI8" i="22"/>
  <c r="LJ8" i="22"/>
  <c r="LK8" i="22"/>
  <c r="LL8" i="22"/>
  <c r="LM8" i="22"/>
  <c r="LN8" i="22"/>
  <c r="LO8" i="22"/>
  <c r="LP8" i="22"/>
  <c r="LQ8" i="22"/>
  <c r="LR8" i="22"/>
  <c r="LS8" i="22"/>
  <c r="LT8" i="22"/>
  <c r="LU8" i="22"/>
  <c r="LV8" i="22"/>
  <c r="LW8" i="22"/>
  <c r="LX8" i="22"/>
  <c r="LY8" i="22"/>
  <c r="LZ8" i="22"/>
  <c r="MA8" i="22"/>
  <c r="MB8" i="22"/>
  <c r="MC8" i="22"/>
  <c r="MD8" i="22"/>
  <c r="ME8" i="22"/>
  <c r="MF8" i="22"/>
  <c r="MG8" i="22"/>
  <c r="MH8" i="22"/>
  <c r="MI8" i="22"/>
  <c r="MJ8" i="22"/>
  <c r="MK8" i="22"/>
  <c r="ML8" i="22"/>
  <c r="MM8" i="22"/>
  <c r="MN8" i="22"/>
  <c r="MO8" i="22"/>
  <c r="MP8" i="22"/>
  <c r="MQ8" i="22"/>
  <c r="MR8" i="22"/>
  <c r="MS8" i="22"/>
  <c r="MT8" i="22"/>
  <c r="MU8" i="22"/>
  <c r="MV8" i="22"/>
  <c r="MW8" i="22"/>
  <c r="MX8" i="22"/>
  <c r="MY8" i="22"/>
  <c r="MZ8" i="22"/>
  <c r="NA8" i="22"/>
  <c r="NB8" i="22"/>
  <c r="NC8" i="22"/>
  <c r="ND8" i="22"/>
  <c r="NE8" i="22"/>
  <c r="NF8" i="22"/>
  <c r="NG8" i="22"/>
  <c r="NH8" i="22"/>
  <c r="NI8" i="22"/>
  <c r="NJ8" i="22"/>
  <c r="NK8" i="22"/>
  <c r="NL8" i="22"/>
  <c r="NM8" i="22"/>
  <c r="NN8" i="22"/>
  <c r="NO8" i="22"/>
  <c r="NP8" i="22"/>
  <c r="NQ8" i="22"/>
  <c r="NR8" i="22"/>
  <c r="NS8" i="22"/>
  <c r="NT8" i="22"/>
  <c r="NU8" i="22"/>
  <c r="NV8" i="22"/>
  <c r="NW8" i="22"/>
  <c r="NX8" i="22"/>
  <c r="NY8" i="22"/>
  <c r="NZ8" i="22"/>
  <c r="OA8" i="22"/>
  <c r="OB8" i="22"/>
  <c r="OC8" i="22"/>
  <c r="OD8" i="22"/>
  <c r="OE8" i="22"/>
  <c r="OF8" i="22"/>
  <c r="OG8" i="22"/>
  <c r="OH8" i="22"/>
  <c r="OI8" i="22"/>
  <c r="OJ8" i="22"/>
  <c r="OK8" i="22"/>
  <c r="OL8" i="22"/>
  <c r="OM8" i="22"/>
  <c r="ON8" i="22"/>
  <c r="OO8" i="22"/>
  <c r="OP8" i="22"/>
  <c r="OQ8" i="22"/>
  <c r="OR8" i="22"/>
  <c r="OS8" i="22"/>
  <c r="OT8" i="22"/>
  <c r="OU8" i="22"/>
  <c r="OV8" i="22"/>
  <c r="OW8" i="22"/>
  <c r="OX8" i="22"/>
  <c r="OY8" i="22"/>
  <c r="OZ8" i="22"/>
  <c r="PA8" i="22"/>
  <c r="PB8" i="22"/>
  <c r="PC8" i="22"/>
  <c r="PD8" i="22"/>
  <c r="PE8" i="22"/>
  <c r="PF8" i="22"/>
  <c r="PG8" i="22"/>
  <c r="PH8" i="22"/>
  <c r="PI8" i="22"/>
  <c r="PJ8" i="22"/>
  <c r="PK8" i="22"/>
  <c r="PL8" i="22"/>
  <c r="PM8" i="22"/>
  <c r="PN8" i="22"/>
  <c r="PO8" i="22"/>
  <c r="PP8" i="22"/>
  <c r="PQ8" i="22"/>
  <c r="PR8" i="22"/>
  <c r="PS8" i="22"/>
  <c r="PT8" i="22"/>
  <c r="PU8" i="22"/>
  <c r="PV8" i="22"/>
  <c r="PW8" i="22"/>
  <c r="PX8" i="22"/>
  <c r="PY8" i="22"/>
  <c r="PZ8" i="22"/>
  <c r="QA8" i="22"/>
  <c r="QB8" i="22"/>
  <c r="QC8" i="22"/>
  <c r="QD8" i="22"/>
  <c r="QE8" i="22"/>
  <c r="QF8" i="22"/>
  <c r="QG8" i="22"/>
  <c r="QH8" i="22"/>
  <c r="QI8" i="22"/>
  <c r="QJ8" i="22"/>
  <c r="QK8" i="22"/>
  <c r="QL8" i="22"/>
  <c r="QM8" i="22"/>
  <c r="QN8" i="22"/>
  <c r="QO8" i="22"/>
  <c r="QP8" i="22"/>
  <c r="QQ8" i="22"/>
  <c r="QR8" i="22"/>
  <c r="QS8" i="22"/>
  <c r="QT8" i="22"/>
  <c r="QU8" i="22"/>
  <c r="QV8" i="22"/>
  <c r="QW8" i="22"/>
  <c r="QX8" i="22"/>
  <c r="QY8" i="22"/>
  <c r="QZ8" i="22"/>
  <c r="RA8" i="22"/>
  <c r="RB8" i="22"/>
  <c r="RC8" i="22"/>
  <c r="RD8" i="22"/>
  <c r="RE8" i="22"/>
  <c r="RF8" i="22"/>
  <c r="RG8" i="22"/>
  <c r="RH8" i="22"/>
  <c r="RI8" i="22"/>
  <c r="RJ8" i="22"/>
  <c r="RK8" i="22"/>
  <c r="RL8" i="22"/>
  <c r="RM8" i="22"/>
  <c r="RN8" i="22"/>
  <c r="RO8" i="22"/>
  <c r="RP8" i="22"/>
  <c r="RQ8" i="22"/>
  <c r="RR8" i="22"/>
  <c r="RS8" i="22"/>
  <c r="RT8" i="22"/>
  <c r="RU8" i="22"/>
  <c r="RV8" i="22"/>
  <c r="RW8" i="22"/>
  <c r="RX8" i="22"/>
  <c r="RY8" i="22"/>
  <c r="RZ8" i="22"/>
  <c r="SA8" i="22"/>
  <c r="SB8" i="22"/>
  <c r="SC8" i="22"/>
  <c r="SD8" i="22"/>
  <c r="SE8" i="22"/>
  <c r="SF8" i="22"/>
  <c r="SG8" i="22"/>
  <c r="SH8" i="22"/>
  <c r="SI8" i="22"/>
  <c r="SJ8" i="22"/>
  <c r="SK8" i="22"/>
  <c r="SL8" i="22"/>
  <c r="SM8" i="22"/>
  <c r="SN8" i="22"/>
  <c r="SO8" i="22"/>
  <c r="SP8" i="22"/>
  <c r="SQ8" i="22"/>
  <c r="SR8" i="22"/>
  <c r="SS8" i="22"/>
  <c r="ST8" i="22"/>
  <c r="SU8" i="22"/>
  <c r="SV8" i="22"/>
  <c r="SW8" i="22"/>
  <c r="SX8" i="22"/>
  <c r="SY8" i="22"/>
  <c r="SZ8" i="22"/>
  <c r="TA8" i="22"/>
  <c r="TB8" i="22"/>
  <c r="TC8" i="22"/>
  <c r="TD8" i="22"/>
  <c r="TE8" i="22"/>
  <c r="TF8" i="22"/>
  <c r="TG8" i="22"/>
  <c r="TH8" i="22"/>
  <c r="TI8" i="22"/>
  <c r="TJ8" i="22"/>
  <c r="TK8" i="22"/>
  <c r="TL8" i="22"/>
  <c r="TM8" i="22"/>
  <c r="TN8" i="22"/>
  <c r="TO8" i="22"/>
  <c r="TP8" i="22"/>
  <c r="TQ8" i="22"/>
  <c r="TR8" i="22"/>
  <c r="TS8" i="22"/>
  <c r="TT8" i="22"/>
  <c r="TU8" i="22"/>
  <c r="TV8" i="22"/>
  <c r="TW8" i="22"/>
  <c r="TX8" i="22"/>
  <c r="TY8" i="22"/>
  <c r="TZ8" i="22"/>
  <c r="UA8" i="22"/>
  <c r="UB8" i="22"/>
  <c r="UC8" i="22"/>
  <c r="UD8" i="22"/>
  <c r="UE8" i="22"/>
  <c r="UF8" i="22"/>
  <c r="UG8" i="22"/>
  <c r="UH8" i="22"/>
  <c r="UI8" i="22"/>
  <c r="UJ8" i="22"/>
  <c r="UK8" i="22"/>
  <c r="UL8" i="22"/>
  <c r="UM8" i="22"/>
  <c r="UN8" i="22"/>
  <c r="UO8" i="22"/>
  <c r="UP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U9" i="22"/>
  <c r="CV9" i="22"/>
  <c r="CW9" i="22"/>
  <c r="CX9" i="22"/>
  <c r="CY9" i="22"/>
  <c r="CZ9" i="22"/>
  <c r="DA9" i="22"/>
  <c r="DB9" i="22"/>
  <c r="DC9" i="22"/>
  <c r="DD9" i="22"/>
  <c r="DE9" i="22"/>
  <c r="DF9" i="22"/>
  <c r="DG9" i="22"/>
  <c r="DH9" i="22"/>
  <c r="DI9" i="22"/>
  <c r="DJ9" i="22"/>
  <c r="DK9" i="22"/>
  <c r="DL9" i="22"/>
  <c r="DM9" i="22"/>
  <c r="DN9" i="22"/>
  <c r="DO9" i="22"/>
  <c r="DP9" i="22"/>
  <c r="DQ9" i="22"/>
  <c r="DR9" i="22"/>
  <c r="DS9" i="22"/>
  <c r="DT9" i="22"/>
  <c r="DU9" i="22"/>
  <c r="DV9" i="22"/>
  <c r="DW9" i="22"/>
  <c r="DX9" i="22"/>
  <c r="DY9" i="22"/>
  <c r="DZ9" i="22"/>
  <c r="EA9" i="22"/>
  <c r="EB9" i="22"/>
  <c r="EC9" i="22"/>
  <c r="ED9" i="22"/>
  <c r="EE9" i="22"/>
  <c r="EF9" i="22"/>
  <c r="EG9" i="22"/>
  <c r="EH9" i="22"/>
  <c r="EI9" i="22"/>
  <c r="EJ9" i="22"/>
  <c r="EK9" i="22"/>
  <c r="EL9" i="22"/>
  <c r="EM9" i="22"/>
  <c r="EN9" i="22"/>
  <c r="EO9" i="22"/>
  <c r="EP9" i="22"/>
  <c r="EQ9" i="22"/>
  <c r="ER9" i="22"/>
  <c r="ES9" i="22"/>
  <c r="ET9" i="22"/>
  <c r="EU9" i="22"/>
  <c r="EV9" i="22"/>
  <c r="EW9" i="22"/>
  <c r="EX9" i="22"/>
  <c r="EY9" i="22"/>
  <c r="EZ9" i="22"/>
  <c r="FA9" i="22"/>
  <c r="FB9" i="22"/>
  <c r="FC9" i="22"/>
  <c r="FD9" i="22"/>
  <c r="FE9" i="22"/>
  <c r="FF9" i="22"/>
  <c r="FG9" i="22"/>
  <c r="FH9" i="22"/>
  <c r="FI9" i="22"/>
  <c r="FJ9" i="22"/>
  <c r="FK9" i="22"/>
  <c r="FL9" i="22"/>
  <c r="FM9" i="22"/>
  <c r="FN9" i="22"/>
  <c r="FO9" i="22"/>
  <c r="FP9" i="22"/>
  <c r="FQ9" i="22"/>
  <c r="FR9" i="22"/>
  <c r="FS9" i="22"/>
  <c r="FT9" i="22"/>
  <c r="FU9" i="22"/>
  <c r="FV9" i="22"/>
  <c r="FW9" i="22"/>
  <c r="FX9" i="22"/>
  <c r="FY9" i="22"/>
  <c r="FZ9" i="22"/>
  <c r="GA9" i="22"/>
  <c r="GB9" i="22"/>
  <c r="GC9" i="22"/>
  <c r="GD9" i="22"/>
  <c r="GE9" i="22"/>
  <c r="GF9" i="22"/>
  <c r="GG9" i="22"/>
  <c r="GH9" i="22"/>
  <c r="GI9" i="22"/>
  <c r="GJ9" i="22"/>
  <c r="GK9" i="22"/>
  <c r="GL9" i="22"/>
  <c r="GM9" i="22"/>
  <c r="GN9" i="22"/>
  <c r="GO9" i="22"/>
  <c r="GP9" i="22"/>
  <c r="GQ9" i="22"/>
  <c r="GR9" i="22"/>
  <c r="GS9" i="22"/>
  <c r="GT9" i="22"/>
  <c r="GU9" i="22"/>
  <c r="GV9" i="22"/>
  <c r="GW9" i="22"/>
  <c r="GX9" i="22"/>
  <c r="GY9" i="22"/>
  <c r="GZ9" i="22"/>
  <c r="HA9" i="22"/>
  <c r="HB9" i="22"/>
  <c r="HC9" i="22"/>
  <c r="HD9" i="22"/>
  <c r="HE9" i="22"/>
  <c r="HF9" i="22"/>
  <c r="HG9" i="22"/>
  <c r="HH9" i="22"/>
  <c r="HI9" i="22"/>
  <c r="HJ9" i="22"/>
  <c r="HK9" i="22"/>
  <c r="HL9" i="22"/>
  <c r="HM9" i="22"/>
  <c r="HN9" i="22"/>
  <c r="HO9" i="22"/>
  <c r="HP9" i="22"/>
  <c r="HQ9" i="22"/>
  <c r="HR9" i="22"/>
  <c r="HS9" i="22"/>
  <c r="HT9" i="22"/>
  <c r="HU9" i="22"/>
  <c r="HV9" i="22"/>
  <c r="HW9" i="22"/>
  <c r="HX9" i="22"/>
  <c r="HY9" i="22"/>
  <c r="HZ9" i="22"/>
  <c r="IA9" i="22"/>
  <c r="IB9" i="22"/>
  <c r="IC9" i="22"/>
  <c r="ID9" i="22"/>
  <c r="IE9" i="22"/>
  <c r="IF9" i="22"/>
  <c r="IG9" i="22"/>
  <c r="IH9" i="22"/>
  <c r="II9" i="22"/>
  <c r="IJ9" i="22"/>
  <c r="IK9" i="22"/>
  <c r="IL9" i="22"/>
  <c r="IM9" i="22"/>
  <c r="IN9" i="22"/>
  <c r="IO9" i="22"/>
  <c r="IP9" i="22"/>
  <c r="IQ9" i="22"/>
  <c r="IR9" i="22"/>
  <c r="IS9" i="22"/>
  <c r="IT9" i="22"/>
  <c r="IU9" i="22"/>
  <c r="IV9" i="22"/>
  <c r="IW9" i="22"/>
  <c r="IX9" i="22"/>
  <c r="IY9" i="22"/>
  <c r="IZ9" i="22"/>
  <c r="JA9" i="22"/>
  <c r="JB9" i="22"/>
  <c r="JC9" i="22"/>
  <c r="JD9" i="22"/>
  <c r="JE9" i="22"/>
  <c r="JF9" i="22"/>
  <c r="JG9" i="22"/>
  <c r="JH9" i="22"/>
  <c r="JI9" i="22"/>
  <c r="JJ9" i="22"/>
  <c r="JK9" i="22"/>
  <c r="JL9" i="22"/>
  <c r="JM9" i="22"/>
  <c r="JN9" i="22"/>
  <c r="JO9" i="22"/>
  <c r="JP9" i="22"/>
  <c r="JQ9" i="22"/>
  <c r="JR9" i="22"/>
  <c r="JS9" i="22"/>
  <c r="JT9" i="22"/>
  <c r="JU9" i="22"/>
  <c r="JV9" i="22"/>
  <c r="JW9" i="22"/>
  <c r="JX9" i="22"/>
  <c r="JY9" i="22"/>
  <c r="JZ9" i="22"/>
  <c r="KA9" i="22"/>
  <c r="KB9" i="22"/>
  <c r="KC9" i="22"/>
  <c r="KD9" i="22"/>
  <c r="KE9" i="22"/>
  <c r="KF9" i="22"/>
  <c r="KG9" i="22"/>
  <c r="KH9" i="22"/>
  <c r="KI9" i="22"/>
  <c r="KJ9" i="22"/>
  <c r="KK9" i="22"/>
  <c r="KL9" i="22"/>
  <c r="KM9" i="22"/>
  <c r="KN9" i="22"/>
  <c r="KO9" i="22"/>
  <c r="KP9" i="22"/>
  <c r="KQ9" i="22"/>
  <c r="KR9" i="22"/>
  <c r="KS9" i="22"/>
  <c r="KT9" i="22"/>
  <c r="KU9" i="22"/>
  <c r="KV9" i="22"/>
  <c r="KW9" i="22"/>
  <c r="KX9" i="22"/>
  <c r="KY9" i="22"/>
  <c r="KZ9" i="22"/>
  <c r="LA9" i="22"/>
  <c r="LB9" i="22"/>
  <c r="LC9" i="22"/>
  <c r="LD9" i="22"/>
  <c r="LE9" i="22"/>
  <c r="LF9" i="22"/>
  <c r="LG9" i="22"/>
  <c r="LH9" i="22"/>
  <c r="LI9" i="22"/>
  <c r="LJ9" i="22"/>
  <c r="LK9" i="22"/>
  <c r="LL9" i="22"/>
  <c r="LM9" i="22"/>
  <c r="LN9" i="22"/>
  <c r="LO9" i="22"/>
  <c r="LP9" i="22"/>
  <c r="LQ9" i="22"/>
  <c r="LR9" i="22"/>
  <c r="LS9" i="22"/>
  <c r="LT9" i="22"/>
  <c r="LU9" i="22"/>
  <c r="LV9" i="22"/>
  <c r="LW9" i="22"/>
  <c r="LX9" i="22"/>
  <c r="LY9" i="22"/>
  <c r="LZ9" i="22"/>
  <c r="MA9" i="22"/>
  <c r="MB9" i="22"/>
  <c r="MC9" i="22"/>
  <c r="MD9" i="22"/>
  <c r="ME9" i="22"/>
  <c r="MF9" i="22"/>
  <c r="MG9" i="22"/>
  <c r="MH9" i="22"/>
  <c r="MI9" i="22"/>
  <c r="MJ9" i="22"/>
  <c r="MK9" i="22"/>
  <c r="ML9" i="22"/>
  <c r="MM9" i="22"/>
  <c r="MN9" i="22"/>
  <c r="MO9" i="22"/>
  <c r="MP9" i="22"/>
  <c r="MQ9" i="22"/>
  <c r="MR9" i="22"/>
  <c r="MS9" i="22"/>
  <c r="MT9" i="22"/>
  <c r="MU9" i="22"/>
  <c r="MV9" i="22"/>
  <c r="MW9" i="22"/>
  <c r="MX9" i="22"/>
  <c r="MY9" i="22"/>
  <c r="MZ9" i="22"/>
  <c r="NA9" i="22"/>
  <c r="NB9" i="22"/>
  <c r="NC9" i="22"/>
  <c r="ND9" i="22"/>
  <c r="NE9" i="22"/>
  <c r="NF9" i="22"/>
  <c r="NG9" i="22"/>
  <c r="NH9" i="22"/>
  <c r="NI9" i="22"/>
  <c r="NJ9" i="22"/>
  <c r="NK9" i="22"/>
  <c r="NL9" i="22"/>
  <c r="NM9" i="22"/>
  <c r="NN9" i="22"/>
  <c r="NO9" i="22"/>
  <c r="NP9" i="22"/>
  <c r="NQ9" i="22"/>
  <c r="NR9" i="22"/>
  <c r="NS9" i="22"/>
  <c r="NT9" i="22"/>
  <c r="NU9" i="22"/>
  <c r="NV9" i="22"/>
  <c r="NW9" i="22"/>
  <c r="NX9" i="22"/>
  <c r="NY9" i="22"/>
  <c r="NZ9" i="22"/>
  <c r="OA9" i="22"/>
  <c r="OB9" i="22"/>
  <c r="OC9" i="22"/>
  <c r="OD9" i="22"/>
  <c r="OE9" i="22"/>
  <c r="OF9" i="22"/>
  <c r="OG9" i="22"/>
  <c r="OH9" i="22"/>
  <c r="OI9" i="22"/>
  <c r="OJ9" i="22"/>
  <c r="OK9" i="22"/>
  <c r="OL9" i="22"/>
  <c r="OM9" i="22"/>
  <c r="ON9" i="22"/>
  <c r="OO9" i="22"/>
  <c r="OP9" i="22"/>
  <c r="OQ9" i="22"/>
  <c r="OR9" i="22"/>
  <c r="OS9" i="22"/>
  <c r="OT9" i="22"/>
  <c r="OU9" i="22"/>
  <c r="OV9" i="22"/>
  <c r="OW9" i="22"/>
  <c r="OX9" i="22"/>
  <c r="OY9" i="22"/>
  <c r="OZ9" i="22"/>
  <c r="PA9" i="22"/>
  <c r="PB9" i="22"/>
  <c r="PC9" i="22"/>
  <c r="PD9" i="22"/>
  <c r="PE9" i="22"/>
  <c r="PF9" i="22"/>
  <c r="PG9" i="22"/>
  <c r="PH9" i="22"/>
  <c r="PI9" i="22"/>
  <c r="PJ9" i="22"/>
  <c r="PK9" i="22"/>
  <c r="PL9" i="22"/>
  <c r="PM9" i="22"/>
  <c r="PN9" i="22"/>
  <c r="PO9" i="22"/>
  <c r="PP9" i="22"/>
  <c r="PQ9" i="22"/>
  <c r="PR9" i="22"/>
  <c r="PS9" i="22"/>
  <c r="PT9" i="22"/>
  <c r="PU9" i="22"/>
  <c r="PV9" i="22"/>
  <c r="PW9" i="22"/>
  <c r="PX9" i="22"/>
  <c r="PY9" i="22"/>
  <c r="PZ9" i="22"/>
  <c r="QA9" i="22"/>
  <c r="QB9" i="22"/>
  <c r="QC9" i="22"/>
  <c r="QD9" i="22"/>
  <c r="QE9" i="22"/>
  <c r="QF9" i="22"/>
  <c r="QG9" i="22"/>
  <c r="QH9" i="22"/>
  <c r="QI9" i="22"/>
  <c r="QJ9" i="22"/>
  <c r="QK9" i="22"/>
  <c r="QL9" i="22"/>
  <c r="QM9" i="22"/>
  <c r="QN9" i="22"/>
  <c r="QO9" i="22"/>
  <c r="QP9" i="22"/>
  <c r="QQ9" i="22"/>
  <c r="QR9" i="22"/>
  <c r="QS9" i="22"/>
  <c r="QT9" i="22"/>
  <c r="QU9" i="22"/>
  <c r="QV9" i="22"/>
  <c r="QW9" i="22"/>
  <c r="QX9" i="22"/>
  <c r="QY9" i="22"/>
  <c r="QZ9" i="22"/>
  <c r="RA9" i="22"/>
  <c r="RB9" i="22"/>
  <c r="RC9" i="22"/>
  <c r="RD9" i="22"/>
  <c r="RE9" i="22"/>
  <c r="RF9" i="22"/>
  <c r="RG9" i="22"/>
  <c r="RH9" i="22"/>
  <c r="RI9" i="22"/>
  <c r="RJ9" i="22"/>
  <c r="RK9" i="22"/>
  <c r="RL9" i="22"/>
  <c r="RM9" i="22"/>
  <c r="RN9" i="22"/>
  <c r="RO9" i="22"/>
  <c r="RP9" i="22"/>
  <c r="RQ9" i="22"/>
  <c r="RR9" i="22"/>
  <c r="RS9" i="22"/>
  <c r="RT9" i="22"/>
  <c r="RU9" i="22"/>
  <c r="RV9" i="22"/>
  <c r="RW9" i="22"/>
  <c r="RX9" i="22"/>
  <c r="RY9" i="22"/>
  <c r="RZ9" i="22"/>
  <c r="SA9" i="22"/>
  <c r="SB9" i="22"/>
  <c r="SC9" i="22"/>
  <c r="SD9" i="22"/>
  <c r="SE9" i="22"/>
  <c r="SF9" i="22"/>
  <c r="SG9" i="22"/>
  <c r="SH9" i="22"/>
  <c r="SI9" i="22"/>
  <c r="SJ9" i="22"/>
  <c r="SK9" i="22"/>
  <c r="SL9" i="22"/>
  <c r="SM9" i="22"/>
  <c r="SN9" i="22"/>
  <c r="SO9" i="22"/>
  <c r="SP9" i="22"/>
  <c r="SQ9" i="22"/>
  <c r="SR9" i="22"/>
  <c r="SS9" i="22"/>
  <c r="ST9" i="22"/>
  <c r="SU9" i="22"/>
  <c r="SV9" i="22"/>
  <c r="SW9" i="22"/>
  <c r="SX9" i="22"/>
  <c r="SY9" i="22"/>
  <c r="SZ9" i="22"/>
  <c r="TA9" i="22"/>
  <c r="TB9" i="22"/>
  <c r="TC9" i="22"/>
  <c r="TD9" i="22"/>
  <c r="TE9" i="22"/>
  <c r="TF9" i="22"/>
  <c r="TG9" i="22"/>
  <c r="TH9" i="22"/>
  <c r="TI9" i="22"/>
  <c r="TJ9" i="22"/>
  <c r="TK9" i="22"/>
  <c r="TL9" i="22"/>
  <c r="TM9" i="22"/>
  <c r="TN9" i="22"/>
  <c r="TO9" i="22"/>
  <c r="TP9" i="22"/>
  <c r="TQ9" i="22"/>
  <c r="TR9" i="22"/>
  <c r="TS9" i="22"/>
  <c r="TT9" i="22"/>
  <c r="TU9" i="22"/>
  <c r="TV9" i="22"/>
  <c r="TW9" i="22"/>
  <c r="TX9" i="22"/>
  <c r="TY9" i="22"/>
  <c r="TZ9" i="22"/>
  <c r="UA9" i="22"/>
  <c r="UB9" i="22"/>
  <c r="UC9" i="22"/>
  <c r="UD9" i="22"/>
  <c r="UE9" i="22"/>
  <c r="UF9" i="22"/>
  <c r="UG9" i="22"/>
  <c r="UH9" i="22"/>
  <c r="UI9" i="22"/>
  <c r="UJ9" i="22"/>
  <c r="UK9" i="22"/>
  <c r="UL9" i="22"/>
  <c r="UM9" i="22"/>
  <c r="UN9" i="22"/>
  <c r="UO9" i="22"/>
  <c r="UP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CE10" i="22"/>
  <c r="CF10" i="22"/>
  <c r="CG10" i="22"/>
  <c r="CH10" i="22"/>
  <c r="CI10" i="22"/>
  <c r="CJ10" i="22"/>
  <c r="CK10" i="22"/>
  <c r="CL10" i="22"/>
  <c r="CM10" i="22"/>
  <c r="CN10" i="22"/>
  <c r="CO10" i="22"/>
  <c r="CP10" i="22"/>
  <c r="CQ10" i="22"/>
  <c r="CR10" i="22"/>
  <c r="CS10" i="22"/>
  <c r="CT10" i="22"/>
  <c r="CU10" i="22"/>
  <c r="CV10" i="22"/>
  <c r="CW10" i="22"/>
  <c r="CX10" i="22"/>
  <c r="CY10" i="22"/>
  <c r="CZ10" i="22"/>
  <c r="DA10" i="22"/>
  <c r="DB10" i="22"/>
  <c r="DC10" i="22"/>
  <c r="DD10" i="22"/>
  <c r="DE10" i="22"/>
  <c r="DF10" i="22"/>
  <c r="DG10" i="22"/>
  <c r="DH10" i="22"/>
  <c r="DI1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FH10" i="22"/>
  <c r="FI10" i="22"/>
  <c r="FJ10" i="22"/>
  <c r="FK10" i="22"/>
  <c r="FL10" i="22"/>
  <c r="FM10" i="22"/>
  <c r="FN10" i="22"/>
  <c r="FO10" i="22"/>
  <c r="FP10" i="22"/>
  <c r="FQ10" i="22"/>
  <c r="FR10" i="22"/>
  <c r="FS10" i="22"/>
  <c r="FT10" i="22"/>
  <c r="FU10" i="22"/>
  <c r="FV10" i="22"/>
  <c r="FW10" i="22"/>
  <c r="FX10" i="22"/>
  <c r="FY10" i="22"/>
  <c r="FZ10" i="22"/>
  <c r="GA10" i="22"/>
  <c r="GB10" i="22"/>
  <c r="GC10" i="22"/>
  <c r="GD10" i="22"/>
  <c r="GE10" i="22"/>
  <c r="GF10" i="22"/>
  <c r="GG10" i="22"/>
  <c r="GH10" i="22"/>
  <c r="GI10" i="22"/>
  <c r="GJ10" i="22"/>
  <c r="GK10" i="22"/>
  <c r="GL10" i="22"/>
  <c r="GM10" i="22"/>
  <c r="GN10" i="22"/>
  <c r="GO10" i="22"/>
  <c r="GP10" i="22"/>
  <c r="GQ10" i="22"/>
  <c r="GR10" i="22"/>
  <c r="GS10" i="22"/>
  <c r="GT10" i="22"/>
  <c r="GU10" i="22"/>
  <c r="GV10" i="22"/>
  <c r="GW10" i="22"/>
  <c r="GX10" i="22"/>
  <c r="GY10" i="22"/>
  <c r="GZ10" i="22"/>
  <c r="HA10" i="22"/>
  <c r="HB10" i="22"/>
  <c r="HC10" i="22"/>
  <c r="HD10" i="22"/>
  <c r="HE10" i="22"/>
  <c r="HF10" i="22"/>
  <c r="HG10" i="22"/>
  <c r="HH10" i="22"/>
  <c r="HI10" i="22"/>
  <c r="HJ10" i="22"/>
  <c r="HK10" i="22"/>
  <c r="HL10" i="22"/>
  <c r="HM10" i="22"/>
  <c r="HN10" i="22"/>
  <c r="HO10" i="22"/>
  <c r="HP10" i="22"/>
  <c r="HQ10" i="22"/>
  <c r="HR10" i="22"/>
  <c r="HS10" i="22"/>
  <c r="HT10" i="22"/>
  <c r="HU10" i="22"/>
  <c r="HV10" i="22"/>
  <c r="HW10" i="22"/>
  <c r="HX10" i="22"/>
  <c r="HY10" i="22"/>
  <c r="HZ10" i="22"/>
  <c r="IA10" i="22"/>
  <c r="IB10" i="22"/>
  <c r="IC10" i="22"/>
  <c r="ID10" i="22"/>
  <c r="IE10" i="22"/>
  <c r="IF10" i="22"/>
  <c r="IG10" i="22"/>
  <c r="IH10" i="22"/>
  <c r="II10" i="22"/>
  <c r="IJ10" i="22"/>
  <c r="IK10" i="22"/>
  <c r="IL10" i="22"/>
  <c r="IM10" i="22"/>
  <c r="IN10" i="22"/>
  <c r="IO10" i="22"/>
  <c r="IP10" i="22"/>
  <c r="IQ10" i="22"/>
  <c r="IR10" i="22"/>
  <c r="IS10" i="22"/>
  <c r="IT10" i="22"/>
  <c r="IU10" i="22"/>
  <c r="IV10" i="22"/>
  <c r="IW10" i="22"/>
  <c r="IX10" i="22"/>
  <c r="IY10" i="22"/>
  <c r="IZ10" i="22"/>
  <c r="JA10" i="22"/>
  <c r="JB10" i="22"/>
  <c r="JC10" i="22"/>
  <c r="JD10" i="22"/>
  <c r="JE10" i="22"/>
  <c r="JF10" i="22"/>
  <c r="JG10" i="22"/>
  <c r="JH10" i="22"/>
  <c r="JI10" i="22"/>
  <c r="JJ10" i="22"/>
  <c r="JK10" i="22"/>
  <c r="JL10" i="22"/>
  <c r="JM10" i="22"/>
  <c r="JN10" i="22"/>
  <c r="JO10" i="22"/>
  <c r="JP10" i="22"/>
  <c r="JQ10" i="22"/>
  <c r="JR10" i="22"/>
  <c r="JS10" i="22"/>
  <c r="JT10" i="22"/>
  <c r="JU10" i="22"/>
  <c r="JV10" i="22"/>
  <c r="JW10" i="22"/>
  <c r="JX10" i="22"/>
  <c r="JY10" i="22"/>
  <c r="JZ10" i="22"/>
  <c r="KA10" i="22"/>
  <c r="KB10" i="22"/>
  <c r="KC10" i="22"/>
  <c r="KD10" i="22"/>
  <c r="KE10" i="22"/>
  <c r="KF10" i="22"/>
  <c r="KG10" i="22"/>
  <c r="KH10" i="22"/>
  <c r="KI10" i="22"/>
  <c r="KJ10" i="22"/>
  <c r="KK10" i="22"/>
  <c r="KL10" i="22"/>
  <c r="KM10" i="22"/>
  <c r="KN10" i="22"/>
  <c r="KO10" i="22"/>
  <c r="KP10" i="22"/>
  <c r="KQ10" i="22"/>
  <c r="KR10" i="22"/>
  <c r="KS10" i="22"/>
  <c r="KT10" i="22"/>
  <c r="KU10" i="22"/>
  <c r="KV10" i="22"/>
  <c r="KW10" i="22"/>
  <c r="KX10" i="22"/>
  <c r="KY10" i="22"/>
  <c r="KZ10" i="22"/>
  <c r="LA10" i="22"/>
  <c r="LB10" i="22"/>
  <c r="LC10" i="22"/>
  <c r="LD10" i="22"/>
  <c r="LE10" i="22"/>
  <c r="LF10" i="22"/>
  <c r="LG10" i="22"/>
  <c r="LH10" i="22"/>
  <c r="LI10" i="22"/>
  <c r="LJ10" i="22"/>
  <c r="LK10" i="22"/>
  <c r="LL10" i="22"/>
  <c r="LM10" i="22"/>
  <c r="LN10" i="22"/>
  <c r="LO10" i="22"/>
  <c r="LP10" i="22"/>
  <c r="LQ10" i="22"/>
  <c r="LR10" i="22"/>
  <c r="LS10" i="22"/>
  <c r="LT10" i="22"/>
  <c r="LU10" i="22"/>
  <c r="LV10" i="22"/>
  <c r="LW10" i="22"/>
  <c r="LX10" i="22"/>
  <c r="LY10" i="22"/>
  <c r="LZ10" i="22"/>
  <c r="MA10" i="22"/>
  <c r="MB10" i="22"/>
  <c r="MC10" i="22"/>
  <c r="MD10" i="22"/>
  <c r="ME10" i="22"/>
  <c r="MF10" i="22"/>
  <c r="MG10" i="22"/>
  <c r="MH10" i="22"/>
  <c r="MI10" i="22"/>
  <c r="MJ10" i="22"/>
  <c r="MK10" i="22"/>
  <c r="ML10" i="22"/>
  <c r="MM10" i="22"/>
  <c r="MN10" i="22"/>
  <c r="MO10" i="22"/>
  <c r="MP10" i="22"/>
  <c r="MQ10" i="22"/>
  <c r="MR10" i="22"/>
  <c r="MS10" i="22"/>
  <c r="MT10" i="22"/>
  <c r="MU10" i="22"/>
  <c r="MV10" i="22"/>
  <c r="MW10" i="22"/>
  <c r="MX10" i="22"/>
  <c r="MY10" i="22"/>
  <c r="MZ10" i="22"/>
  <c r="NA10" i="22"/>
  <c r="NB10" i="22"/>
  <c r="NC10" i="22"/>
  <c r="ND10" i="22"/>
  <c r="NE10" i="22"/>
  <c r="NF10" i="22"/>
  <c r="NG10" i="22"/>
  <c r="NH10" i="22"/>
  <c r="NI10" i="22"/>
  <c r="NJ10" i="22"/>
  <c r="NK10" i="22"/>
  <c r="NL10" i="22"/>
  <c r="NM10" i="22"/>
  <c r="NN10" i="22"/>
  <c r="NO10" i="22"/>
  <c r="NP10" i="22"/>
  <c r="NQ10" i="22"/>
  <c r="NR10" i="22"/>
  <c r="NS10" i="22"/>
  <c r="NT10" i="22"/>
  <c r="NU10" i="22"/>
  <c r="NV10" i="22"/>
  <c r="NW10" i="22"/>
  <c r="NX10" i="22"/>
  <c r="NY10" i="22"/>
  <c r="NZ10" i="22"/>
  <c r="OA10" i="22"/>
  <c r="OB10" i="22"/>
  <c r="OC10" i="22"/>
  <c r="OD10" i="22"/>
  <c r="OE10" i="22"/>
  <c r="OF10" i="22"/>
  <c r="OG10" i="22"/>
  <c r="OH10" i="22"/>
  <c r="OI10" i="22"/>
  <c r="OJ10" i="22"/>
  <c r="OK10" i="22"/>
  <c r="OL10" i="22"/>
  <c r="OM10" i="22"/>
  <c r="ON10" i="22"/>
  <c r="OO10" i="22"/>
  <c r="OP10" i="22"/>
  <c r="OQ10" i="22"/>
  <c r="OR10" i="22"/>
  <c r="OS10" i="22"/>
  <c r="OT10" i="22"/>
  <c r="OU10" i="22"/>
  <c r="OV10" i="22"/>
  <c r="OW10" i="22"/>
  <c r="OX10" i="22"/>
  <c r="OY10" i="22"/>
  <c r="OZ10" i="22"/>
  <c r="PA10" i="22"/>
  <c r="PB10" i="22"/>
  <c r="PC10" i="22"/>
  <c r="PD10" i="22"/>
  <c r="PE10" i="22"/>
  <c r="PF10" i="22"/>
  <c r="PG10" i="22"/>
  <c r="PH10" i="22"/>
  <c r="PI10" i="22"/>
  <c r="PJ10" i="22"/>
  <c r="PK10" i="22"/>
  <c r="PL10" i="22"/>
  <c r="PM10" i="22"/>
  <c r="PN10" i="22"/>
  <c r="PO10" i="22"/>
  <c r="PP10" i="22"/>
  <c r="PQ10" i="22"/>
  <c r="PR10" i="22"/>
  <c r="PS10" i="22"/>
  <c r="PT10" i="22"/>
  <c r="PU10" i="22"/>
  <c r="PV10" i="22"/>
  <c r="PW10" i="22"/>
  <c r="PX10" i="22"/>
  <c r="PY10" i="22"/>
  <c r="PZ10" i="22"/>
  <c r="QA10" i="22"/>
  <c r="QB10" i="22"/>
  <c r="QC10" i="22"/>
  <c r="QD10" i="22"/>
  <c r="QE10" i="22"/>
  <c r="QF10" i="22"/>
  <c r="QG10" i="22"/>
  <c r="QH10" i="22"/>
  <c r="QI10" i="22"/>
  <c r="QJ10" i="22"/>
  <c r="QK10" i="22"/>
  <c r="QL10" i="22"/>
  <c r="QM10" i="22"/>
  <c r="QN10" i="22"/>
  <c r="QO10" i="22"/>
  <c r="QP10" i="22"/>
  <c r="QQ10" i="22"/>
  <c r="QR10" i="22"/>
  <c r="QS10" i="22"/>
  <c r="QT10" i="22"/>
  <c r="QU10" i="22"/>
  <c r="QV10" i="22"/>
  <c r="QW10" i="22"/>
  <c r="QX10" i="22"/>
  <c r="QY10" i="22"/>
  <c r="QZ10" i="22"/>
  <c r="RA10" i="22"/>
  <c r="RB10" i="22"/>
  <c r="RC10" i="22"/>
  <c r="RD10" i="22"/>
  <c r="RE10" i="22"/>
  <c r="RF10" i="22"/>
  <c r="RG10" i="22"/>
  <c r="RH10" i="22"/>
  <c r="RI10" i="22"/>
  <c r="RJ10" i="22"/>
  <c r="RK10" i="22"/>
  <c r="RL10" i="22"/>
  <c r="RM10" i="22"/>
  <c r="RN10" i="22"/>
  <c r="RO10" i="22"/>
  <c r="RP10" i="22"/>
  <c r="RQ10" i="22"/>
  <c r="RR10" i="22"/>
  <c r="RS10" i="22"/>
  <c r="RT10" i="22"/>
  <c r="RU10" i="22"/>
  <c r="RV10" i="22"/>
  <c r="RW10" i="22"/>
  <c r="RX10" i="22"/>
  <c r="RY10" i="22"/>
  <c r="RZ10" i="22"/>
  <c r="SA10" i="22"/>
  <c r="SB10" i="22"/>
  <c r="SC10" i="22"/>
  <c r="SD10" i="22"/>
  <c r="SE10" i="22"/>
  <c r="SF10" i="22"/>
  <c r="SG10" i="22"/>
  <c r="SH10" i="22"/>
  <c r="SI10" i="22"/>
  <c r="SJ10" i="22"/>
  <c r="SK10" i="22"/>
  <c r="SL10" i="22"/>
  <c r="SM10" i="22"/>
  <c r="SN10" i="22"/>
  <c r="SO10" i="22"/>
  <c r="SP10" i="22"/>
  <c r="SQ10" i="22"/>
  <c r="SR10" i="22"/>
  <c r="SS10" i="22"/>
  <c r="ST10" i="22"/>
  <c r="SU10" i="22"/>
  <c r="SV10" i="22"/>
  <c r="SW10" i="22"/>
  <c r="SX10" i="22"/>
  <c r="SY10" i="22"/>
  <c r="SZ10" i="22"/>
  <c r="TA10" i="22"/>
  <c r="TB10" i="22"/>
  <c r="TC10" i="22"/>
  <c r="TD10" i="22"/>
  <c r="TE10" i="22"/>
  <c r="TF10" i="22"/>
  <c r="TG10" i="22"/>
  <c r="TH10" i="22"/>
  <c r="TI10" i="22"/>
  <c r="TJ10" i="22"/>
  <c r="TK10" i="22"/>
  <c r="TL10" i="22"/>
  <c r="TM10" i="22"/>
  <c r="TN10" i="22"/>
  <c r="TO10" i="22"/>
  <c r="TP10" i="22"/>
  <c r="TQ10" i="22"/>
  <c r="TR10" i="22"/>
  <c r="TS10" i="22"/>
  <c r="TT10" i="22"/>
  <c r="TU10" i="22"/>
  <c r="TV10" i="22"/>
  <c r="TW10" i="22"/>
  <c r="TX10" i="22"/>
  <c r="TY10" i="22"/>
  <c r="TZ10" i="22"/>
  <c r="UA10" i="22"/>
  <c r="UB10" i="22"/>
  <c r="UC10" i="22"/>
  <c r="UD10" i="22"/>
  <c r="UE10" i="22"/>
  <c r="UF10" i="22"/>
  <c r="UG10" i="22"/>
  <c r="UH10" i="22"/>
  <c r="UI10" i="22"/>
  <c r="UJ10" i="22"/>
  <c r="UK10" i="22"/>
  <c r="UL10" i="22"/>
  <c r="UM10" i="22"/>
  <c r="UN10" i="22"/>
  <c r="UO10" i="22"/>
  <c r="UP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BT11" i="22"/>
  <c r="BU11" i="22"/>
  <c r="BV11" i="22"/>
  <c r="BW11" i="22"/>
  <c r="BX11" i="22"/>
  <c r="BY11" i="22"/>
  <c r="BZ11" i="22"/>
  <c r="CA11" i="22"/>
  <c r="CB11" i="22"/>
  <c r="CC11" i="22"/>
  <c r="CD11" i="22"/>
  <c r="CE11" i="22"/>
  <c r="CF11" i="22"/>
  <c r="CG11" i="22"/>
  <c r="CH11" i="22"/>
  <c r="CI11" i="22"/>
  <c r="CJ11" i="22"/>
  <c r="CK11" i="22"/>
  <c r="CL11" i="22"/>
  <c r="CM11" i="22"/>
  <c r="CN11" i="22"/>
  <c r="CO11" i="22"/>
  <c r="CP11" i="22"/>
  <c r="CQ11" i="22"/>
  <c r="CR11" i="22"/>
  <c r="CS11" i="22"/>
  <c r="CT11" i="22"/>
  <c r="CU11" i="22"/>
  <c r="CV11" i="22"/>
  <c r="CW11" i="22"/>
  <c r="CX11" i="22"/>
  <c r="CY11" i="22"/>
  <c r="CZ11" i="22"/>
  <c r="DA11" i="22"/>
  <c r="DB11" i="22"/>
  <c r="DC11" i="22"/>
  <c r="DD11" i="22"/>
  <c r="DE11" i="22"/>
  <c r="DF11" i="22"/>
  <c r="DG11" i="22"/>
  <c r="DH11" i="22"/>
  <c r="DI11" i="22"/>
  <c r="DJ11" i="22"/>
  <c r="DK11" i="22"/>
  <c r="DL11" i="22"/>
  <c r="DM11" i="22"/>
  <c r="DN11" i="22"/>
  <c r="DO11" i="22"/>
  <c r="DP11" i="22"/>
  <c r="DQ11" i="22"/>
  <c r="DR11" i="22"/>
  <c r="DS11" i="22"/>
  <c r="DT11" i="22"/>
  <c r="DU11" i="22"/>
  <c r="DV11" i="22"/>
  <c r="DW11" i="22"/>
  <c r="DX11" i="22"/>
  <c r="DY11" i="22"/>
  <c r="DZ11" i="22"/>
  <c r="EA11" i="22"/>
  <c r="EB11" i="22"/>
  <c r="EC11" i="22"/>
  <c r="ED11" i="22"/>
  <c r="EE11" i="22"/>
  <c r="EF11" i="22"/>
  <c r="EG11" i="22"/>
  <c r="EH11" i="22"/>
  <c r="EI11" i="22"/>
  <c r="EJ11" i="22"/>
  <c r="EK11" i="22"/>
  <c r="EL11" i="22"/>
  <c r="EM11" i="22"/>
  <c r="EN11" i="22"/>
  <c r="EO11" i="22"/>
  <c r="EP11" i="22"/>
  <c r="EQ11" i="22"/>
  <c r="ER11" i="22"/>
  <c r="ES11" i="22"/>
  <c r="ET11" i="22"/>
  <c r="EU11" i="22"/>
  <c r="EV11" i="22"/>
  <c r="EW11" i="22"/>
  <c r="EX11" i="22"/>
  <c r="EY11" i="22"/>
  <c r="EZ11" i="22"/>
  <c r="FA11" i="22"/>
  <c r="FB11" i="22"/>
  <c r="FC11" i="22"/>
  <c r="FD11" i="22"/>
  <c r="FE11" i="22"/>
  <c r="FF11" i="22"/>
  <c r="FG11" i="22"/>
  <c r="FH11" i="22"/>
  <c r="FI11" i="22"/>
  <c r="FJ11" i="22"/>
  <c r="FK11" i="22"/>
  <c r="FL11" i="22"/>
  <c r="FM11" i="22"/>
  <c r="FN11" i="22"/>
  <c r="FO11" i="22"/>
  <c r="FP11" i="22"/>
  <c r="FQ11" i="22"/>
  <c r="FR11" i="22"/>
  <c r="FS11" i="22"/>
  <c r="FT11" i="22"/>
  <c r="FU11" i="22"/>
  <c r="FV11" i="22"/>
  <c r="FW11" i="22"/>
  <c r="FX11" i="22"/>
  <c r="FY11" i="22"/>
  <c r="FZ11" i="22"/>
  <c r="GA11" i="22"/>
  <c r="GB11" i="22"/>
  <c r="GC11" i="22"/>
  <c r="GD11" i="22"/>
  <c r="GE11" i="22"/>
  <c r="GF11" i="22"/>
  <c r="GG11" i="22"/>
  <c r="GH11" i="22"/>
  <c r="GI11" i="22"/>
  <c r="GJ11" i="22"/>
  <c r="GK11" i="22"/>
  <c r="GL11" i="22"/>
  <c r="GM11" i="22"/>
  <c r="GN11" i="22"/>
  <c r="GO11" i="22"/>
  <c r="GP11" i="22"/>
  <c r="GQ11" i="22"/>
  <c r="GR11" i="22"/>
  <c r="GS11" i="22"/>
  <c r="GT11" i="22"/>
  <c r="GU11" i="22"/>
  <c r="GV11" i="22"/>
  <c r="GW11" i="22"/>
  <c r="GX11" i="22"/>
  <c r="GY11" i="22"/>
  <c r="GZ11" i="22"/>
  <c r="HA11" i="22"/>
  <c r="HB11" i="22"/>
  <c r="HC11" i="22"/>
  <c r="HD11" i="22"/>
  <c r="HE11" i="22"/>
  <c r="HF11" i="22"/>
  <c r="HG11" i="22"/>
  <c r="HH11" i="22"/>
  <c r="HI11" i="22"/>
  <c r="HJ11" i="22"/>
  <c r="HK11" i="22"/>
  <c r="HL11" i="22"/>
  <c r="HM11" i="22"/>
  <c r="HN11" i="22"/>
  <c r="HO11" i="22"/>
  <c r="HP11" i="22"/>
  <c r="HQ11" i="22"/>
  <c r="HR11" i="22"/>
  <c r="HS11" i="22"/>
  <c r="HT11" i="22"/>
  <c r="HU11" i="22"/>
  <c r="HV11" i="22"/>
  <c r="HW11" i="22"/>
  <c r="HX11" i="22"/>
  <c r="HY11" i="22"/>
  <c r="HZ11" i="22"/>
  <c r="IA11" i="22"/>
  <c r="IB11" i="22"/>
  <c r="IC11" i="22"/>
  <c r="ID11" i="22"/>
  <c r="IE11" i="22"/>
  <c r="IF11" i="22"/>
  <c r="IG11" i="22"/>
  <c r="IH11" i="22"/>
  <c r="II11" i="22"/>
  <c r="IJ11" i="22"/>
  <c r="IK11" i="22"/>
  <c r="IL11" i="22"/>
  <c r="IM11" i="22"/>
  <c r="IN11" i="22"/>
  <c r="IO11" i="22"/>
  <c r="IP11" i="22"/>
  <c r="IQ11" i="22"/>
  <c r="IR11" i="22"/>
  <c r="IS11" i="22"/>
  <c r="IT11" i="22"/>
  <c r="IU11" i="22"/>
  <c r="IV11" i="22"/>
  <c r="IW11" i="22"/>
  <c r="IX11" i="22"/>
  <c r="IY11" i="22"/>
  <c r="IZ11" i="22"/>
  <c r="JA11" i="22"/>
  <c r="JB11" i="22"/>
  <c r="JC11" i="22"/>
  <c r="JD11" i="22"/>
  <c r="JE11" i="22"/>
  <c r="JF11" i="22"/>
  <c r="JG11" i="22"/>
  <c r="JH11" i="22"/>
  <c r="JI11" i="22"/>
  <c r="JJ11" i="22"/>
  <c r="JK11" i="22"/>
  <c r="JL11" i="22"/>
  <c r="JM11" i="22"/>
  <c r="JN11" i="22"/>
  <c r="JO11" i="22"/>
  <c r="JP11" i="22"/>
  <c r="JQ11" i="22"/>
  <c r="JR11" i="22"/>
  <c r="JS11" i="22"/>
  <c r="JT11" i="22"/>
  <c r="JU11" i="22"/>
  <c r="JV11" i="22"/>
  <c r="JW11" i="22"/>
  <c r="JX11" i="22"/>
  <c r="JY11" i="22"/>
  <c r="JZ11" i="22"/>
  <c r="KA11" i="22"/>
  <c r="KB11" i="22"/>
  <c r="KC11" i="22"/>
  <c r="KD11" i="22"/>
  <c r="KE11" i="22"/>
  <c r="KF11" i="22"/>
  <c r="KG11" i="22"/>
  <c r="KH11" i="22"/>
  <c r="KI11" i="22"/>
  <c r="KJ11" i="22"/>
  <c r="KK11" i="22"/>
  <c r="KL11" i="22"/>
  <c r="KM11" i="22"/>
  <c r="KN11" i="22"/>
  <c r="KO11" i="22"/>
  <c r="KP11" i="22"/>
  <c r="KQ11" i="22"/>
  <c r="KR11" i="22"/>
  <c r="KS11" i="22"/>
  <c r="KT11" i="22"/>
  <c r="KU11" i="22"/>
  <c r="KV11" i="22"/>
  <c r="KW11" i="22"/>
  <c r="KX11" i="22"/>
  <c r="KY11" i="22"/>
  <c r="KZ11" i="22"/>
  <c r="LA11" i="22"/>
  <c r="LB11" i="22"/>
  <c r="LC11" i="22"/>
  <c r="LD11" i="22"/>
  <c r="LE11" i="22"/>
  <c r="LF11" i="22"/>
  <c r="LG11" i="22"/>
  <c r="LH11" i="22"/>
  <c r="LI11" i="22"/>
  <c r="LJ11" i="22"/>
  <c r="LK11" i="22"/>
  <c r="LL11" i="22"/>
  <c r="LM11" i="22"/>
  <c r="LN11" i="22"/>
  <c r="LO11" i="22"/>
  <c r="LP11" i="22"/>
  <c r="LQ11" i="22"/>
  <c r="LR11" i="22"/>
  <c r="LS11" i="22"/>
  <c r="LT11" i="22"/>
  <c r="LU11" i="22"/>
  <c r="LV11" i="22"/>
  <c r="LW11" i="22"/>
  <c r="LX11" i="22"/>
  <c r="LY11" i="22"/>
  <c r="LZ11" i="22"/>
  <c r="MA11" i="22"/>
  <c r="MB11" i="22"/>
  <c r="MC11" i="22"/>
  <c r="MD11" i="22"/>
  <c r="ME11" i="22"/>
  <c r="MF11" i="22"/>
  <c r="MG11" i="22"/>
  <c r="MH11" i="22"/>
  <c r="MI11" i="22"/>
  <c r="MJ11" i="22"/>
  <c r="MK11" i="22"/>
  <c r="ML11" i="22"/>
  <c r="MM11" i="22"/>
  <c r="MN11" i="22"/>
  <c r="MO11" i="22"/>
  <c r="MP11" i="22"/>
  <c r="MQ11" i="22"/>
  <c r="MR11" i="22"/>
  <c r="MS11" i="22"/>
  <c r="MT11" i="22"/>
  <c r="MU11" i="22"/>
  <c r="MV11" i="22"/>
  <c r="MW11" i="22"/>
  <c r="MX11" i="22"/>
  <c r="MY11" i="22"/>
  <c r="MZ11" i="22"/>
  <c r="NA11" i="22"/>
  <c r="NB11" i="22"/>
  <c r="NC11" i="22"/>
  <c r="ND11" i="22"/>
  <c r="NE11" i="22"/>
  <c r="NF11" i="22"/>
  <c r="NG11" i="22"/>
  <c r="NH11" i="22"/>
  <c r="NI11" i="22"/>
  <c r="NJ11" i="22"/>
  <c r="NK11" i="22"/>
  <c r="NL11" i="22"/>
  <c r="NM11" i="22"/>
  <c r="NN11" i="22"/>
  <c r="NO11" i="22"/>
  <c r="NP11" i="22"/>
  <c r="NQ11" i="22"/>
  <c r="NR11" i="22"/>
  <c r="NS11" i="22"/>
  <c r="NT11" i="22"/>
  <c r="NU11" i="22"/>
  <c r="NV11" i="22"/>
  <c r="NW11" i="22"/>
  <c r="NX11" i="22"/>
  <c r="NY11" i="22"/>
  <c r="NZ11" i="22"/>
  <c r="OA11" i="22"/>
  <c r="OB11" i="22"/>
  <c r="OC11" i="22"/>
  <c r="OD11" i="22"/>
  <c r="OE11" i="22"/>
  <c r="OF11" i="22"/>
  <c r="OG11" i="22"/>
  <c r="OH11" i="22"/>
  <c r="OI11" i="22"/>
  <c r="OJ11" i="22"/>
  <c r="OK11" i="22"/>
  <c r="OL11" i="22"/>
  <c r="OM11" i="22"/>
  <c r="ON11" i="22"/>
  <c r="OO11" i="22"/>
  <c r="OP11" i="22"/>
  <c r="OQ11" i="22"/>
  <c r="OR11" i="22"/>
  <c r="OS11" i="22"/>
  <c r="OT11" i="22"/>
  <c r="OU11" i="22"/>
  <c r="OV11" i="22"/>
  <c r="OW11" i="22"/>
  <c r="OX11" i="22"/>
  <c r="OY11" i="22"/>
  <c r="OZ11" i="22"/>
  <c r="PA11" i="22"/>
  <c r="PB11" i="22"/>
  <c r="PC11" i="22"/>
  <c r="PD11" i="22"/>
  <c r="PE11" i="22"/>
  <c r="PF11" i="22"/>
  <c r="PG11" i="22"/>
  <c r="PH11" i="22"/>
  <c r="PI11" i="22"/>
  <c r="PJ11" i="22"/>
  <c r="PK11" i="22"/>
  <c r="PL11" i="22"/>
  <c r="PM11" i="22"/>
  <c r="PN11" i="22"/>
  <c r="PO11" i="22"/>
  <c r="PP11" i="22"/>
  <c r="PQ11" i="22"/>
  <c r="PR11" i="22"/>
  <c r="PS11" i="22"/>
  <c r="PT11" i="22"/>
  <c r="PU11" i="22"/>
  <c r="PV11" i="22"/>
  <c r="PW11" i="22"/>
  <c r="PX11" i="22"/>
  <c r="PY11" i="22"/>
  <c r="PZ11" i="22"/>
  <c r="QA11" i="22"/>
  <c r="QB11" i="22"/>
  <c r="QC11" i="22"/>
  <c r="QD11" i="22"/>
  <c r="QE11" i="22"/>
  <c r="QF11" i="22"/>
  <c r="QG11" i="22"/>
  <c r="QH11" i="22"/>
  <c r="QI11" i="22"/>
  <c r="QJ11" i="22"/>
  <c r="QK11" i="22"/>
  <c r="QL11" i="22"/>
  <c r="QM11" i="22"/>
  <c r="QN11" i="22"/>
  <c r="QO11" i="22"/>
  <c r="QP11" i="22"/>
  <c r="QQ11" i="22"/>
  <c r="QR11" i="22"/>
  <c r="QS11" i="22"/>
  <c r="QT11" i="22"/>
  <c r="QU11" i="22"/>
  <c r="QV11" i="22"/>
  <c r="QW11" i="22"/>
  <c r="QX11" i="22"/>
  <c r="QY11" i="22"/>
  <c r="QZ11" i="22"/>
  <c r="RA11" i="22"/>
  <c r="RB11" i="22"/>
  <c r="RC11" i="22"/>
  <c r="RD11" i="22"/>
  <c r="RE11" i="22"/>
  <c r="RF11" i="22"/>
  <c r="RG11" i="22"/>
  <c r="RH11" i="22"/>
  <c r="RI11" i="22"/>
  <c r="RJ11" i="22"/>
  <c r="RK11" i="22"/>
  <c r="RL11" i="22"/>
  <c r="RM11" i="22"/>
  <c r="RN11" i="22"/>
  <c r="RO11" i="22"/>
  <c r="RP11" i="22"/>
  <c r="RQ11" i="22"/>
  <c r="RR11" i="22"/>
  <c r="RS11" i="22"/>
  <c r="RT11" i="22"/>
  <c r="RU11" i="22"/>
  <c r="RV11" i="22"/>
  <c r="RW11" i="22"/>
  <c r="RX11" i="22"/>
  <c r="RY11" i="22"/>
  <c r="RZ11" i="22"/>
  <c r="SA11" i="22"/>
  <c r="SB11" i="22"/>
  <c r="SC11" i="22"/>
  <c r="SD11" i="22"/>
  <c r="SE11" i="22"/>
  <c r="SF11" i="22"/>
  <c r="SG11" i="22"/>
  <c r="SH11" i="22"/>
  <c r="SI11" i="22"/>
  <c r="SJ11" i="22"/>
  <c r="SK11" i="22"/>
  <c r="SL11" i="22"/>
  <c r="SM11" i="22"/>
  <c r="SN11" i="22"/>
  <c r="SO11" i="22"/>
  <c r="SP11" i="22"/>
  <c r="SQ11" i="22"/>
  <c r="SR11" i="22"/>
  <c r="SS11" i="22"/>
  <c r="ST11" i="22"/>
  <c r="SU11" i="22"/>
  <c r="SV11" i="22"/>
  <c r="SW11" i="22"/>
  <c r="SX11" i="22"/>
  <c r="SY11" i="22"/>
  <c r="SZ11" i="22"/>
  <c r="TA11" i="22"/>
  <c r="TB11" i="22"/>
  <c r="TC11" i="22"/>
  <c r="TD11" i="22"/>
  <c r="TE11" i="22"/>
  <c r="TF11" i="22"/>
  <c r="TG11" i="22"/>
  <c r="TH11" i="22"/>
  <c r="TI11" i="22"/>
  <c r="TJ11" i="22"/>
  <c r="TK11" i="22"/>
  <c r="TL11" i="22"/>
  <c r="TM11" i="22"/>
  <c r="TN11" i="22"/>
  <c r="TO11" i="22"/>
  <c r="TP11" i="22"/>
  <c r="TQ11" i="22"/>
  <c r="TR11" i="22"/>
  <c r="TS11" i="22"/>
  <c r="TT11" i="22"/>
  <c r="TU11" i="22"/>
  <c r="TV11" i="22"/>
  <c r="TW11" i="22"/>
  <c r="TX11" i="22"/>
  <c r="TY11" i="22"/>
  <c r="TZ11" i="22"/>
  <c r="UA11" i="22"/>
  <c r="UB11" i="22"/>
  <c r="UC11" i="22"/>
  <c r="UD11" i="22"/>
  <c r="UE11" i="22"/>
  <c r="UF11" i="22"/>
  <c r="UG11" i="22"/>
  <c r="UH11" i="22"/>
  <c r="UI11" i="22"/>
  <c r="UJ11" i="22"/>
  <c r="UK11" i="22"/>
  <c r="UL11" i="22"/>
  <c r="UM11" i="22"/>
  <c r="UN11" i="22"/>
  <c r="UO11" i="22"/>
  <c r="UP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V12" i="22"/>
  <c r="AW12" i="22"/>
  <c r="AX12" i="22"/>
  <c r="AY12" i="22"/>
  <c r="AZ12" i="22"/>
  <c r="BA12" i="22"/>
  <c r="BB12" i="22"/>
  <c r="BC12" i="22"/>
  <c r="BD12" i="22"/>
  <c r="BE12" i="22"/>
  <c r="BF12" i="22"/>
  <c r="BG12" i="22"/>
  <c r="BH12" i="22"/>
  <c r="BI12" i="22"/>
  <c r="BJ12" i="22"/>
  <c r="BK12" i="22"/>
  <c r="BL12" i="22"/>
  <c r="BM12" i="22"/>
  <c r="BN12" i="22"/>
  <c r="BO12" i="22"/>
  <c r="BP12" i="22"/>
  <c r="BQ12" i="22"/>
  <c r="BR12" i="22"/>
  <c r="BS12" i="22"/>
  <c r="BT12" i="22"/>
  <c r="BU12" i="22"/>
  <c r="BV12" i="22"/>
  <c r="BW12" i="22"/>
  <c r="BX12" i="22"/>
  <c r="BY12" i="22"/>
  <c r="BZ12" i="22"/>
  <c r="CA12" i="22"/>
  <c r="CB12" i="22"/>
  <c r="CC12" i="22"/>
  <c r="CD12" i="22"/>
  <c r="CE12" i="22"/>
  <c r="CF12" i="22"/>
  <c r="CG12" i="22"/>
  <c r="CH12" i="22"/>
  <c r="CI12" i="22"/>
  <c r="CJ12" i="22"/>
  <c r="CK12" i="22"/>
  <c r="CL12" i="22"/>
  <c r="CM12" i="22"/>
  <c r="CN12" i="22"/>
  <c r="CO12" i="22"/>
  <c r="CP12" i="22"/>
  <c r="CQ12" i="22"/>
  <c r="CR12" i="22"/>
  <c r="CS12" i="22"/>
  <c r="CT12" i="22"/>
  <c r="CU12" i="22"/>
  <c r="CV12" i="22"/>
  <c r="CW12" i="22"/>
  <c r="CX12" i="22"/>
  <c r="CY12" i="22"/>
  <c r="CZ12" i="22"/>
  <c r="DA12" i="22"/>
  <c r="DB12" i="22"/>
  <c r="DC12" i="22"/>
  <c r="DD12" i="22"/>
  <c r="DE12" i="22"/>
  <c r="DF12" i="22"/>
  <c r="DG12" i="22"/>
  <c r="DH12" i="22"/>
  <c r="DI12" i="22"/>
  <c r="DJ12" i="22"/>
  <c r="DK12" i="22"/>
  <c r="DL12" i="22"/>
  <c r="DM12" i="22"/>
  <c r="DN12" i="22"/>
  <c r="DO12" i="22"/>
  <c r="DP12" i="22"/>
  <c r="DQ12" i="22"/>
  <c r="DR12" i="22"/>
  <c r="DS12" i="22"/>
  <c r="DT12" i="22"/>
  <c r="DU12" i="22"/>
  <c r="DV12" i="22"/>
  <c r="DW12" i="22"/>
  <c r="DX12" i="22"/>
  <c r="DY12" i="22"/>
  <c r="DZ12" i="22"/>
  <c r="EA12" i="22"/>
  <c r="EB12" i="22"/>
  <c r="EC12" i="22"/>
  <c r="ED12" i="22"/>
  <c r="EE12" i="22"/>
  <c r="EF12" i="22"/>
  <c r="EG12" i="22"/>
  <c r="EH12" i="22"/>
  <c r="EI12" i="22"/>
  <c r="EJ12" i="22"/>
  <c r="EK12" i="22"/>
  <c r="EL12" i="22"/>
  <c r="EM12" i="22"/>
  <c r="EN12" i="22"/>
  <c r="EO12" i="22"/>
  <c r="EP12" i="22"/>
  <c r="EQ12" i="22"/>
  <c r="ER12" i="22"/>
  <c r="ES12" i="22"/>
  <c r="ET12" i="22"/>
  <c r="EU12" i="22"/>
  <c r="EV12" i="22"/>
  <c r="EW12" i="22"/>
  <c r="EX12" i="22"/>
  <c r="EY12" i="22"/>
  <c r="EZ12" i="22"/>
  <c r="FA12" i="22"/>
  <c r="FB12" i="22"/>
  <c r="FC12" i="22"/>
  <c r="FD12" i="22"/>
  <c r="FE12" i="22"/>
  <c r="FF12" i="22"/>
  <c r="FG12" i="22"/>
  <c r="FH12" i="22"/>
  <c r="FI12" i="22"/>
  <c r="FJ12" i="22"/>
  <c r="FK12" i="22"/>
  <c r="FL12" i="22"/>
  <c r="FM12" i="22"/>
  <c r="FN12" i="22"/>
  <c r="FO12" i="22"/>
  <c r="FP12" i="22"/>
  <c r="FQ12" i="22"/>
  <c r="FR12" i="22"/>
  <c r="FS12" i="22"/>
  <c r="FT12" i="22"/>
  <c r="FU12" i="22"/>
  <c r="FV12" i="22"/>
  <c r="FW12" i="22"/>
  <c r="FX12" i="22"/>
  <c r="FY12" i="22"/>
  <c r="FZ12" i="22"/>
  <c r="GA12" i="22"/>
  <c r="GB12" i="22"/>
  <c r="GC12" i="22"/>
  <c r="GD12" i="22"/>
  <c r="GE12" i="22"/>
  <c r="GF12" i="22"/>
  <c r="GG12" i="22"/>
  <c r="GH12" i="22"/>
  <c r="GI12" i="22"/>
  <c r="GJ12" i="22"/>
  <c r="GK12" i="22"/>
  <c r="GL12" i="22"/>
  <c r="GM12" i="22"/>
  <c r="GN12" i="22"/>
  <c r="GO12" i="22"/>
  <c r="GP12" i="22"/>
  <c r="GQ12" i="22"/>
  <c r="GR12" i="22"/>
  <c r="GS12" i="22"/>
  <c r="GT12" i="22"/>
  <c r="GU12" i="22"/>
  <c r="GV12" i="22"/>
  <c r="GW12" i="22"/>
  <c r="GX12" i="22"/>
  <c r="GY12" i="22"/>
  <c r="GZ12" i="22"/>
  <c r="HA12" i="22"/>
  <c r="HB12" i="22"/>
  <c r="HC12" i="22"/>
  <c r="HD12" i="22"/>
  <c r="HE12" i="22"/>
  <c r="HF12" i="22"/>
  <c r="HG12" i="22"/>
  <c r="HH12" i="22"/>
  <c r="HI12" i="22"/>
  <c r="HJ12" i="22"/>
  <c r="HK12" i="22"/>
  <c r="HL12" i="22"/>
  <c r="HM12" i="22"/>
  <c r="HN12" i="22"/>
  <c r="HO12" i="22"/>
  <c r="HP12" i="22"/>
  <c r="HQ12" i="22"/>
  <c r="HR12" i="22"/>
  <c r="HS12" i="22"/>
  <c r="HT12" i="22"/>
  <c r="HU12" i="22"/>
  <c r="HV12" i="22"/>
  <c r="HW12" i="22"/>
  <c r="HX12" i="22"/>
  <c r="HY12" i="22"/>
  <c r="HZ12" i="22"/>
  <c r="IA12" i="22"/>
  <c r="IB12" i="22"/>
  <c r="IC12" i="22"/>
  <c r="ID12" i="22"/>
  <c r="IE12" i="22"/>
  <c r="IF12" i="22"/>
  <c r="IG12" i="22"/>
  <c r="IH12" i="22"/>
  <c r="II12" i="22"/>
  <c r="IJ12" i="22"/>
  <c r="IK12" i="22"/>
  <c r="IL12" i="22"/>
  <c r="IM12" i="22"/>
  <c r="IN12" i="22"/>
  <c r="IO12" i="22"/>
  <c r="IP12" i="22"/>
  <c r="IQ12" i="22"/>
  <c r="IR12" i="22"/>
  <c r="IS12" i="22"/>
  <c r="IT12" i="22"/>
  <c r="IU12" i="22"/>
  <c r="IV12" i="22"/>
  <c r="IW12" i="22"/>
  <c r="IX12" i="22"/>
  <c r="IY12" i="22"/>
  <c r="IZ12" i="22"/>
  <c r="JA12" i="22"/>
  <c r="JB12" i="22"/>
  <c r="JC12" i="22"/>
  <c r="JD12" i="22"/>
  <c r="JE12" i="22"/>
  <c r="JF12" i="22"/>
  <c r="JG12" i="22"/>
  <c r="JH12" i="22"/>
  <c r="JI12" i="22"/>
  <c r="JJ12" i="22"/>
  <c r="JK12" i="22"/>
  <c r="JL12" i="22"/>
  <c r="JM12" i="22"/>
  <c r="JN12" i="22"/>
  <c r="JO12" i="22"/>
  <c r="JP12" i="22"/>
  <c r="JQ12" i="22"/>
  <c r="JR12" i="22"/>
  <c r="JS12" i="22"/>
  <c r="JT12" i="22"/>
  <c r="JU12" i="22"/>
  <c r="JV12" i="22"/>
  <c r="JW12" i="22"/>
  <c r="JX12" i="22"/>
  <c r="JY12" i="22"/>
  <c r="JZ12" i="22"/>
  <c r="KA12" i="22"/>
  <c r="KB12" i="22"/>
  <c r="KC12" i="22"/>
  <c r="KD12" i="22"/>
  <c r="KE12" i="22"/>
  <c r="KF12" i="22"/>
  <c r="KG12" i="22"/>
  <c r="KH12" i="22"/>
  <c r="KI12" i="22"/>
  <c r="KJ12" i="22"/>
  <c r="KK12" i="22"/>
  <c r="KL12" i="22"/>
  <c r="KM12" i="22"/>
  <c r="KN12" i="22"/>
  <c r="KO12" i="22"/>
  <c r="KP12" i="22"/>
  <c r="KQ12" i="22"/>
  <c r="KR12" i="22"/>
  <c r="KS12" i="22"/>
  <c r="KT12" i="22"/>
  <c r="KU12" i="22"/>
  <c r="KV12" i="22"/>
  <c r="KW12" i="22"/>
  <c r="KX12" i="22"/>
  <c r="KY12" i="22"/>
  <c r="KZ12" i="22"/>
  <c r="LA12" i="22"/>
  <c r="LB12" i="22"/>
  <c r="LC12" i="22"/>
  <c r="LD12" i="22"/>
  <c r="LE12" i="22"/>
  <c r="LF12" i="22"/>
  <c r="LG12" i="22"/>
  <c r="LH12" i="22"/>
  <c r="LI12" i="22"/>
  <c r="LJ12" i="22"/>
  <c r="LK12" i="22"/>
  <c r="LL12" i="22"/>
  <c r="LM12" i="22"/>
  <c r="LN12" i="22"/>
  <c r="LO12" i="22"/>
  <c r="LP12" i="22"/>
  <c r="LQ12" i="22"/>
  <c r="LR12" i="22"/>
  <c r="LS12" i="22"/>
  <c r="LT12" i="22"/>
  <c r="LU12" i="22"/>
  <c r="LV12" i="22"/>
  <c r="LW12" i="22"/>
  <c r="LX12" i="22"/>
  <c r="LY12" i="22"/>
  <c r="LZ12" i="22"/>
  <c r="MA12" i="22"/>
  <c r="MB12" i="22"/>
  <c r="MC12" i="22"/>
  <c r="MD12" i="22"/>
  <c r="ME12" i="22"/>
  <c r="MF12" i="22"/>
  <c r="MG12" i="22"/>
  <c r="MH12" i="22"/>
  <c r="MI12" i="22"/>
  <c r="MJ12" i="22"/>
  <c r="MK12" i="22"/>
  <c r="ML12" i="22"/>
  <c r="MM12" i="22"/>
  <c r="MN12" i="22"/>
  <c r="MO12" i="22"/>
  <c r="MP12" i="22"/>
  <c r="MQ12" i="22"/>
  <c r="MR12" i="22"/>
  <c r="MS12" i="22"/>
  <c r="MT12" i="22"/>
  <c r="MU12" i="22"/>
  <c r="MV12" i="22"/>
  <c r="MW12" i="22"/>
  <c r="MX12" i="22"/>
  <c r="MY12" i="22"/>
  <c r="MZ12" i="22"/>
  <c r="NA12" i="22"/>
  <c r="NB12" i="22"/>
  <c r="NC12" i="22"/>
  <c r="ND12" i="22"/>
  <c r="NE12" i="22"/>
  <c r="NF12" i="22"/>
  <c r="NG12" i="22"/>
  <c r="NH12" i="22"/>
  <c r="NI12" i="22"/>
  <c r="NJ12" i="22"/>
  <c r="NK12" i="22"/>
  <c r="NL12" i="22"/>
  <c r="NM12" i="22"/>
  <c r="NN12" i="22"/>
  <c r="NO12" i="22"/>
  <c r="NP12" i="22"/>
  <c r="NQ12" i="22"/>
  <c r="NR12" i="22"/>
  <c r="NS12" i="22"/>
  <c r="NT12" i="22"/>
  <c r="NU12" i="22"/>
  <c r="NV12" i="22"/>
  <c r="NW12" i="22"/>
  <c r="NX12" i="22"/>
  <c r="NY12" i="22"/>
  <c r="NZ12" i="22"/>
  <c r="OA12" i="22"/>
  <c r="OB12" i="22"/>
  <c r="OC12" i="22"/>
  <c r="OD12" i="22"/>
  <c r="OE12" i="22"/>
  <c r="OF12" i="22"/>
  <c r="OG12" i="22"/>
  <c r="OH12" i="22"/>
  <c r="OI12" i="22"/>
  <c r="OJ12" i="22"/>
  <c r="OK12" i="22"/>
  <c r="OL12" i="22"/>
  <c r="OM12" i="22"/>
  <c r="ON12" i="22"/>
  <c r="OO12" i="22"/>
  <c r="OP12" i="22"/>
  <c r="OQ12" i="22"/>
  <c r="OR12" i="22"/>
  <c r="OS12" i="22"/>
  <c r="OT12" i="22"/>
  <c r="OU12" i="22"/>
  <c r="OV12" i="22"/>
  <c r="OW12" i="22"/>
  <c r="OX12" i="22"/>
  <c r="OY12" i="22"/>
  <c r="OZ12" i="22"/>
  <c r="PA12" i="22"/>
  <c r="PB12" i="22"/>
  <c r="PC12" i="22"/>
  <c r="PD12" i="22"/>
  <c r="PE12" i="22"/>
  <c r="PF12" i="22"/>
  <c r="PG12" i="22"/>
  <c r="PH12" i="22"/>
  <c r="PI12" i="22"/>
  <c r="PJ12" i="22"/>
  <c r="PK12" i="22"/>
  <c r="PL12" i="22"/>
  <c r="PM12" i="22"/>
  <c r="PN12" i="22"/>
  <c r="PO12" i="22"/>
  <c r="PP12" i="22"/>
  <c r="PQ12" i="22"/>
  <c r="PR12" i="22"/>
  <c r="PS12" i="22"/>
  <c r="PT12" i="22"/>
  <c r="PU12" i="22"/>
  <c r="PV12" i="22"/>
  <c r="PW12" i="22"/>
  <c r="PX12" i="22"/>
  <c r="PY12" i="22"/>
  <c r="PZ12" i="22"/>
  <c r="QA12" i="22"/>
  <c r="QB12" i="22"/>
  <c r="QC12" i="22"/>
  <c r="QD12" i="22"/>
  <c r="QE12" i="22"/>
  <c r="QF12" i="22"/>
  <c r="QG12" i="22"/>
  <c r="QH12" i="22"/>
  <c r="QI12" i="22"/>
  <c r="QJ12" i="22"/>
  <c r="QK12" i="22"/>
  <c r="QL12" i="22"/>
  <c r="QM12" i="22"/>
  <c r="QN12" i="22"/>
  <c r="QO12" i="22"/>
  <c r="QP12" i="22"/>
  <c r="QQ12" i="22"/>
  <c r="QR12" i="22"/>
  <c r="QS12" i="22"/>
  <c r="QT12" i="22"/>
  <c r="QU12" i="22"/>
  <c r="QV12" i="22"/>
  <c r="QW12" i="22"/>
  <c r="QX12" i="22"/>
  <c r="QY12" i="22"/>
  <c r="QZ12" i="22"/>
  <c r="RA12" i="22"/>
  <c r="RB12" i="22"/>
  <c r="RC12" i="22"/>
  <c r="RD12" i="22"/>
  <c r="RE12" i="22"/>
  <c r="RF12" i="22"/>
  <c r="RG12" i="22"/>
  <c r="RH12" i="22"/>
  <c r="RI12" i="22"/>
  <c r="RJ12" i="22"/>
  <c r="RK12" i="22"/>
  <c r="RL12" i="22"/>
  <c r="RM12" i="22"/>
  <c r="RN12" i="22"/>
  <c r="RO12" i="22"/>
  <c r="RP12" i="22"/>
  <c r="RQ12" i="22"/>
  <c r="RR12" i="22"/>
  <c r="RS12" i="22"/>
  <c r="RT12" i="22"/>
  <c r="RU12" i="22"/>
  <c r="RV12" i="22"/>
  <c r="RW12" i="22"/>
  <c r="RX12" i="22"/>
  <c r="RY12" i="22"/>
  <c r="RZ12" i="22"/>
  <c r="SA12" i="22"/>
  <c r="SB12" i="22"/>
  <c r="SC12" i="22"/>
  <c r="SD12" i="22"/>
  <c r="SE12" i="22"/>
  <c r="SF12" i="22"/>
  <c r="SG12" i="22"/>
  <c r="SH12" i="22"/>
  <c r="SI12" i="22"/>
  <c r="SJ12" i="22"/>
  <c r="SK12" i="22"/>
  <c r="SL12" i="22"/>
  <c r="SM12" i="22"/>
  <c r="SN12" i="22"/>
  <c r="SO12" i="22"/>
  <c r="SP12" i="22"/>
  <c r="SQ12" i="22"/>
  <c r="SR12" i="22"/>
  <c r="SS12" i="22"/>
  <c r="ST12" i="22"/>
  <c r="SU12" i="22"/>
  <c r="SV12" i="22"/>
  <c r="SW12" i="22"/>
  <c r="SX12" i="22"/>
  <c r="SY12" i="22"/>
  <c r="SZ12" i="22"/>
  <c r="TA12" i="22"/>
  <c r="TB12" i="22"/>
  <c r="TC12" i="22"/>
  <c r="TD12" i="22"/>
  <c r="TE12" i="22"/>
  <c r="TF12" i="22"/>
  <c r="TG12" i="22"/>
  <c r="TH12" i="22"/>
  <c r="TI12" i="22"/>
  <c r="TJ12" i="22"/>
  <c r="TK12" i="22"/>
  <c r="TL12" i="22"/>
  <c r="TM12" i="22"/>
  <c r="TN12" i="22"/>
  <c r="TO12" i="22"/>
  <c r="TP12" i="22"/>
  <c r="TQ12" i="22"/>
  <c r="TR12" i="22"/>
  <c r="TS12" i="22"/>
  <c r="TT12" i="22"/>
  <c r="TU12" i="22"/>
  <c r="TV12" i="22"/>
  <c r="TW12" i="22"/>
  <c r="TX12" i="22"/>
  <c r="TY12" i="22"/>
  <c r="TZ12" i="22"/>
  <c r="UA12" i="22"/>
  <c r="UB12" i="22"/>
  <c r="UC12" i="22"/>
  <c r="UD12" i="22"/>
  <c r="UE12" i="22"/>
  <c r="UF12" i="22"/>
  <c r="UG12" i="22"/>
  <c r="UH12" i="22"/>
  <c r="UI12" i="22"/>
  <c r="UJ12" i="22"/>
  <c r="UK12" i="22"/>
  <c r="UL12" i="22"/>
  <c r="UM12" i="22"/>
  <c r="UN12" i="22"/>
  <c r="UO12" i="22"/>
  <c r="UP12" i="22"/>
  <c r="C13" i="22"/>
  <c r="D13" i="22"/>
  <c r="E13" i="22"/>
  <c r="E22" i="22" s="1"/>
  <c r="F13" i="22"/>
  <c r="G13" i="22"/>
  <c r="H13" i="22"/>
  <c r="I13" i="22"/>
  <c r="J13" i="22"/>
  <c r="J22" i="22" s="1"/>
  <c r="K13" i="22"/>
  <c r="K22" i="22" s="1"/>
  <c r="L13" i="22"/>
  <c r="M13" i="22"/>
  <c r="N13" i="22"/>
  <c r="O13" i="22"/>
  <c r="P13" i="22"/>
  <c r="P22" i="22" s="1"/>
  <c r="Q13" i="22"/>
  <c r="R13" i="22"/>
  <c r="R22" i="22" s="1"/>
  <c r="S13" i="22"/>
  <c r="T13" i="22"/>
  <c r="U13" i="22"/>
  <c r="U22" i="22" s="1"/>
  <c r="V13" i="22"/>
  <c r="W13" i="22"/>
  <c r="X13" i="22"/>
  <c r="X22" i="22" s="1"/>
  <c r="Y13" i="22"/>
  <c r="Z13" i="22"/>
  <c r="Z22" i="22" s="1"/>
  <c r="AA13" i="22"/>
  <c r="AA22" i="22" s="1"/>
  <c r="AB13" i="22"/>
  <c r="AC13" i="22"/>
  <c r="AD13" i="22"/>
  <c r="AE13" i="22"/>
  <c r="AF13" i="22"/>
  <c r="AF22" i="22" s="1"/>
  <c r="AG13" i="22"/>
  <c r="AH13" i="22"/>
  <c r="AI13" i="22"/>
  <c r="AJ13" i="22"/>
  <c r="AK13" i="22"/>
  <c r="AK22" i="22" s="1"/>
  <c r="AL13" i="22"/>
  <c r="AM13" i="22"/>
  <c r="AN13" i="22"/>
  <c r="AO13" i="22"/>
  <c r="AP13" i="22"/>
  <c r="AP22" i="22" s="1"/>
  <c r="AQ13" i="22"/>
  <c r="AQ22" i="22" s="1"/>
  <c r="AR13" i="22"/>
  <c r="AS13" i="22"/>
  <c r="AT13" i="22"/>
  <c r="AU13" i="22"/>
  <c r="AV13" i="22"/>
  <c r="AV22" i="22" s="1"/>
  <c r="AW13" i="22"/>
  <c r="AX13" i="22"/>
  <c r="AY13" i="22"/>
  <c r="AZ13" i="22"/>
  <c r="BA13" i="22"/>
  <c r="BA22" i="22" s="1"/>
  <c r="BB13" i="22"/>
  <c r="BC13" i="22"/>
  <c r="BD13" i="22"/>
  <c r="BE13" i="22"/>
  <c r="BF13" i="22"/>
  <c r="BF22" i="22" s="1"/>
  <c r="BG13" i="22"/>
  <c r="BG22" i="22" s="1"/>
  <c r="BH13" i="22"/>
  <c r="BH22" i="22" s="1"/>
  <c r="BI13" i="22"/>
  <c r="BJ13" i="22"/>
  <c r="BK13" i="22"/>
  <c r="BL13" i="22"/>
  <c r="BL22" i="22" s="1"/>
  <c r="BM13" i="22"/>
  <c r="BN13" i="22"/>
  <c r="BN22" i="22" s="1"/>
  <c r="BO13" i="22"/>
  <c r="BP13" i="22"/>
  <c r="BQ13" i="22"/>
  <c r="BR13" i="22"/>
  <c r="BS13" i="22"/>
  <c r="BT13" i="22"/>
  <c r="BT22" i="22" s="1"/>
  <c r="BU13" i="22"/>
  <c r="BV13" i="22"/>
  <c r="BW13" i="22"/>
  <c r="BW22" i="22" s="1"/>
  <c r="BX13" i="22"/>
  <c r="BX22" i="22" s="1"/>
  <c r="BY13" i="22"/>
  <c r="BZ13" i="22"/>
  <c r="CA13" i="22"/>
  <c r="CB13" i="22"/>
  <c r="CC13" i="22"/>
  <c r="CD13" i="22"/>
  <c r="CE13" i="22"/>
  <c r="CE22" i="22" s="1"/>
  <c r="CF13" i="22"/>
  <c r="CG13" i="22"/>
  <c r="CH13" i="22"/>
  <c r="CI13" i="22"/>
  <c r="CJ13" i="22"/>
  <c r="CJ22" i="22" s="1"/>
  <c r="CK13" i="22"/>
  <c r="CL13" i="22"/>
  <c r="CL22" i="22" s="1"/>
  <c r="CM13" i="22"/>
  <c r="CM22" i="22" s="1"/>
  <c r="CN13" i="22"/>
  <c r="CO13" i="22"/>
  <c r="CP13" i="22"/>
  <c r="CQ13" i="22"/>
  <c r="CR13" i="22"/>
  <c r="CS13" i="22"/>
  <c r="CT13" i="22"/>
  <c r="CT22" i="22" s="1"/>
  <c r="CU13" i="22"/>
  <c r="CV13" i="22"/>
  <c r="CW13" i="22"/>
  <c r="CX13" i="22"/>
  <c r="CY13" i="22"/>
  <c r="CZ13" i="22"/>
  <c r="CZ22" i="22" s="1"/>
  <c r="DA13" i="22"/>
  <c r="DB13" i="22"/>
  <c r="DB22" i="22" s="1"/>
  <c r="DC13" i="22"/>
  <c r="DD13" i="22"/>
  <c r="DE13" i="22"/>
  <c r="DF13" i="22"/>
  <c r="DG13" i="22"/>
  <c r="DH13" i="22"/>
  <c r="DI13" i="22"/>
  <c r="DJ13" i="22"/>
  <c r="DK13" i="22"/>
  <c r="DL13" i="22"/>
  <c r="DM13" i="22"/>
  <c r="DM22" i="22" s="1"/>
  <c r="DN13" i="22"/>
  <c r="DO13" i="22"/>
  <c r="DP13" i="22"/>
  <c r="DQ13" i="22"/>
  <c r="DR13" i="22"/>
  <c r="DR22" i="22" s="1"/>
  <c r="DS13" i="22"/>
  <c r="DT13" i="22"/>
  <c r="DU13" i="22"/>
  <c r="DV13" i="22"/>
  <c r="DW13" i="22"/>
  <c r="DW22" i="22" s="1"/>
  <c r="DX13" i="22"/>
  <c r="DX22" i="22" s="1"/>
  <c r="DY13" i="22"/>
  <c r="DZ13" i="22"/>
  <c r="EA13" i="22"/>
  <c r="EB13" i="22"/>
  <c r="EC13" i="22"/>
  <c r="ED13" i="22"/>
  <c r="EE13" i="22"/>
  <c r="EF13" i="22"/>
  <c r="EF22" i="22" s="1"/>
  <c r="EG13" i="22"/>
  <c r="EH13" i="22"/>
  <c r="EH22" i="22" s="1"/>
  <c r="EI13" i="22"/>
  <c r="EJ13" i="22"/>
  <c r="EK13" i="22"/>
  <c r="EL13" i="22"/>
  <c r="EM13" i="22"/>
  <c r="EN13" i="22"/>
  <c r="EO13" i="22"/>
  <c r="EP13" i="22"/>
  <c r="EQ13" i="22"/>
  <c r="ER13" i="22"/>
  <c r="ES13" i="22"/>
  <c r="ES22" i="22" s="1"/>
  <c r="ET13" i="22"/>
  <c r="EU13" i="22"/>
  <c r="EV13" i="22"/>
  <c r="EV22" i="22" s="1"/>
  <c r="EW13" i="22"/>
  <c r="EW22" i="22" s="1"/>
  <c r="EX13" i="22"/>
  <c r="EX22" i="22" s="1"/>
  <c r="EY13" i="22"/>
  <c r="EY22" i="22" s="1"/>
  <c r="EZ13" i="22"/>
  <c r="FA13" i="22"/>
  <c r="FB13" i="22"/>
  <c r="FC13" i="22"/>
  <c r="FD13" i="22"/>
  <c r="FD22" i="22" s="1"/>
  <c r="FE13" i="22"/>
  <c r="FF13" i="22"/>
  <c r="FG13" i="22"/>
  <c r="FH13" i="22"/>
  <c r="FI13" i="22"/>
  <c r="FI22" i="22" s="1"/>
  <c r="FJ13" i="22"/>
  <c r="FK13" i="22"/>
  <c r="FL13" i="22"/>
  <c r="FL22" i="22" s="1"/>
  <c r="FM13" i="22"/>
  <c r="FN13" i="22"/>
  <c r="FN22" i="22" s="1"/>
  <c r="FO13" i="22"/>
  <c r="FP13" i="22"/>
  <c r="FQ13" i="22"/>
  <c r="FR13" i="22"/>
  <c r="FS13" i="22"/>
  <c r="FT13" i="22"/>
  <c r="FT22" i="22" s="1"/>
  <c r="FU13" i="22"/>
  <c r="FV13" i="22"/>
  <c r="FW13" i="22"/>
  <c r="FX13" i="22"/>
  <c r="FX22" i="22" s="1"/>
  <c r="FY13" i="22"/>
  <c r="FY22" i="22" s="1"/>
  <c r="FZ13" i="22"/>
  <c r="GA13" i="22"/>
  <c r="GB13" i="22"/>
  <c r="GB22" i="22" s="1"/>
  <c r="GC13" i="22"/>
  <c r="GD13" i="22"/>
  <c r="GD22" i="22" s="1"/>
  <c r="GE13" i="22"/>
  <c r="GE22" i="22" s="1"/>
  <c r="GF13" i="22"/>
  <c r="GG13" i="22"/>
  <c r="GH13" i="22"/>
  <c r="GI13" i="22"/>
  <c r="GJ13" i="22"/>
  <c r="GK13" i="22"/>
  <c r="GL13" i="22"/>
  <c r="GM13" i="22"/>
  <c r="GN13" i="22"/>
  <c r="GO13" i="22"/>
  <c r="GO22" i="22" s="1"/>
  <c r="GP13" i="22"/>
  <c r="GQ13" i="22"/>
  <c r="GR13" i="22"/>
  <c r="GS13" i="22"/>
  <c r="GT13" i="22"/>
  <c r="GU13" i="22"/>
  <c r="GU22" i="22" s="1"/>
  <c r="GV13" i="22"/>
  <c r="GW13" i="22"/>
  <c r="GX13" i="22"/>
  <c r="GY13" i="22"/>
  <c r="GZ13" i="22"/>
  <c r="HA13" i="22"/>
  <c r="HB13" i="22"/>
  <c r="HC13" i="22"/>
  <c r="HD13" i="22"/>
  <c r="HE13" i="22"/>
  <c r="HE22" i="22" s="1"/>
  <c r="HF13" i="22"/>
  <c r="HG13" i="22"/>
  <c r="HH13" i="22"/>
  <c r="HH22" i="22" s="1"/>
  <c r="HI13" i="22"/>
  <c r="HJ13" i="22"/>
  <c r="HK13" i="22"/>
  <c r="HL13" i="22"/>
  <c r="HM13" i="22"/>
  <c r="HN13" i="22"/>
  <c r="HO13" i="22"/>
  <c r="HP13" i="22"/>
  <c r="HP22" i="22" s="1"/>
  <c r="HQ13" i="22"/>
  <c r="HR13" i="22"/>
  <c r="HS13" i="22"/>
  <c r="HT13" i="22"/>
  <c r="HU13" i="22"/>
  <c r="HU22" i="22" s="1"/>
  <c r="HV13" i="22"/>
  <c r="HW13" i="22"/>
  <c r="HX13" i="22"/>
  <c r="HX22" i="22" s="1"/>
  <c r="HY13" i="22"/>
  <c r="HZ13" i="22"/>
  <c r="HZ22" i="22" s="1"/>
  <c r="IA13" i="22"/>
  <c r="IA22" i="22" s="1"/>
  <c r="IB13" i="22"/>
  <c r="IC13" i="22"/>
  <c r="ID13" i="22"/>
  <c r="IE13" i="22"/>
  <c r="IF13" i="22"/>
  <c r="IG13" i="22"/>
  <c r="IH13" i="22"/>
  <c r="II13" i="22"/>
  <c r="IJ13" i="22"/>
  <c r="IK13" i="22"/>
  <c r="IL13" i="22"/>
  <c r="IM13" i="22"/>
  <c r="IN13" i="22"/>
  <c r="IO13" i="22"/>
  <c r="IP13" i="22"/>
  <c r="IP22" i="22" s="1"/>
  <c r="IQ13" i="22"/>
  <c r="IQ22" i="22" s="1"/>
  <c r="IR13" i="22"/>
  <c r="IS13" i="22"/>
  <c r="IT13" i="22"/>
  <c r="IU13" i="22"/>
  <c r="IV13" i="22"/>
  <c r="IV22" i="22" s="1"/>
  <c r="IW13" i="22"/>
  <c r="IX13" i="22"/>
  <c r="IY13" i="22"/>
  <c r="IZ13" i="22"/>
  <c r="JA13" i="22"/>
  <c r="JB13" i="22"/>
  <c r="JC13" i="22"/>
  <c r="JD13" i="22"/>
  <c r="JE13" i="22"/>
  <c r="JF13" i="22"/>
  <c r="JF22" i="22" s="1"/>
  <c r="JG13" i="22"/>
  <c r="JG22" i="22" s="1"/>
  <c r="JH13" i="22"/>
  <c r="JI13" i="22"/>
  <c r="JJ13" i="22"/>
  <c r="JK13" i="22"/>
  <c r="JL13" i="22"/>
  <c r="JL22" i="22" s="1"/>
  <c r="JM13" i="22"/>
  <c r="JN13" i="22"/>
  <c r="JO13" i="22"/>
  <c r="JP13" i="22"/>
  <c r="JQ13" i="22"/>
  <c r="JR13" i="22"/>
  <c r="JS13" i="22"/>
  <c r="JT13" i="22"/>
  <c r="JT22" i="22" s="1"/>
  <c r="JU13" i="22"/>
  <c r="JV13" i="22"/>
  <c r="JV22" i="22" s="1"/>
  <c r="JW13" i="22"/>
  <c r="JX13" i="22"/>
  <c r="JY13" i="22"/>
  <c r="JZ13" i="22"/>
  <c r="KA13" i="22"/>
  <c r="KB13" i="22"/>
  <c r="KC13" i="22"/>
  <c r="KD13" i="22"/>
  <c r="KE13" i="22"/>
  <c r="KF13" i="22"/>
  <c r="KG13" i="22"/>
  <c r="KG22" i="22" s="1"/>
  <c r="KH13" i="22"/>
  <c r="KI13" i="22"/>
  <c r="KJ13" i="22"/>
  <c r="KJ22" i="22" s="1"/>
  <c r="KK13" i="22"/>
  <c r="KK22" i="22" s="1"/>
  <c r="KL13" i="22"/>
  <c r="KL22" i="22" s="1"/>
  <c r="KM13" i="22"/>
  <c r="KN13" i="22"/>
  <c r="KO13" i="22"/>
  <c r="KP13" i="22"/>
  <c r="KQ13" i="22"/>
  <c r="KR13" i="22"/>
  <c r="KR22" i="22" s="1"/>
  <c r="KS13" i="22"/>
  <c r="KT13" i="22"/>
  <c r="KU13" i="22"/>
  <c r="KV13" i="22"/>
  <c r="KV22" i="22" s="1"/>
  <c r="KW13" i="22"/>
  <c r="KW22" i="22" s="1"/>
  <c r="KX13" i="22"/>
  <c r="KY13" i="22"/>
  <c r="KZ13" i="22"/>
  <c r="LA13" i="22"/>
  <c r="LB13" i="22"/>
  <c r="LB22" i="22" s="1"/>
  <c r="LC13" i="22"/>
  <c r="LC22" i="22" s="1"/>
  <c r="LD13" i="22"/>
  <c r="LE13" i="22"/>
  <c r="LF13" i="22"/>
  <c r="LG13" i="22"/>
  <c r="LH13" i="22"/>
  <c r="LH22" i="22" s="1"/>
  <c r="LI13" i="22"/>
  <c r="LJ13" i="22"/>
  <c r="LK13" i="22"/>
  <c r="LL13" i="22"/>
  <c r="LM13" i="22"/>
  <c r="LN13" i="22"/>
  <c r="LO13" i="22"/>
  <c r="LP13" i="22"/>
  <c r="LP22" i="22" s="1"/>
  <c r="LQ13" i="22"/>
  <c r="LR13" i="22"/>
  <c r="LR22" i="22" s="1"/>
  <c r="LS13" i="22"/>
  <c r="LS22" i="22" s="1"/>
  <c r="LT13" i="22"/>
  <c r="LU13" i="22"/>
  <c r="LV13" i="22"/>
  <c r="LW13" i="22"/>
  <c r="LX13" i="22"/>
  <c r="LX22" i="22" s="1"/>
  <c r="LY13" i="22"/>
  <c r="LZ13" i="22"/>
  <c r="LZ22" i="22" s="1"/>
  <c r="MA13" i="22"/>
  <c r="MA22" i="22" s="1"/>
  <c r="MB13" i="22"/>
  <c r="MC13" i="22"/>
  <c r="MC22" i="22" s="1"/>
  <c r="MD13" i="22"/>
  <c r="ME13" i="22"/>
  <c r="MF13" i="22"/>
  <c r="MF22" i="22" s="1"/>
  <c r="MG13" i="22"/>
  <c r="MH13" i="22"/>
  <c r="MI13" i="22"/>
  <c r="MI22" i="22" s="1"/>
  <c r="MJ13" i="22"/>
  <c r="MK13" i="22"/>
  <c r="ML13" i="22"/>
  <c r="MM13" i="22"/>
  <c r="MN13" i="22"/>
  <c r="MO13" i="22"/>
  <c r="MO22" i="22" s="1"/>
  <c r="MP13" i="22"/>
  <c r="MP22" i="22" s="1"/>
  <c r="MQ13" i="22"/>
  <c r="MR13" i="22"/>
  <c r="MR22" i="22" s="1"/>
  <c r="MS13" i="22"/>
  <c r="MS22" i="22" s="1"/>
  <c r="MT13" i="22"/>
  <c r="MU13" i="22"/>
  <c r="MV13" i="22"/>
  <c r="MV22" i="22" s="1"/>
  <c r="MW13" i="22"/>
  <c r="MX13" i="22"/>
  <c r="MY13" i="22"/>
  <c r="MY22" i="22" s="1"/>
  <c r="MZ13" i="22"/>
  <c r="NA13" i="22"/>
  <c r="NB13" i="22"/>
  <c r="NC13" i="22"/>
  <c r="ND13" i="22"/>
  <c r="NE13" i="22"/>
  <c r="NF13" i="22"/>
  <c r="NG13" i="22"/>
  <c r="NH13" i="22"/>
  <c r="NI13" i="22"/>
  <c r="NJ13" i="22"/>
  <c r="NK13" i="22"/>
  <c r="NL13" i="22"/>
  <c r="NL22" i="22" s="1"/>
  <c r="NM13" i="22"/>
  <c r="NN13" i="22"/>
  <c r="NN22" i="22" s="1"/>
  <c r="NO13" i="22"/>
  <c r="NO22" i="22" s="1"/>
  <c r="NP13" i="22"/>
  <c r="NQ13" i="22"/>
  <c r="NR13" i="22"/>
  <c r="NS13" i="22"/>
  <c r="NT13" i="22"/>
  <c r="NU13" i="22"/>
  <c r="NV13" i="22"/>
  <c r="NV22" i="22" s="1"/>
  <c r="NW13" i="22"/>
  <c r="NX13" i="22"/>
  <c r="NY13" i="22"/>
  <c r="NZ13" i="22"/>
  <c r="OA13" i="22"/>
  <c r="OB13" i="22"/>
  <c r="OC13" i="22"/>
  <c r="OD13" i="22"/>
  <c r="OD22" i="22" s="1"/>
  <c r="OE13" i="22"/>
  <c r="OE22" i="22" s="1"/>
  <c r="OF13" i="22"/>
  <c r="OG13" i="22"/>
  <c r="OH13" i="22"/>
  <c r="OI13" i="22"/>
  <c r="OJ13" i="22"/>
  <c r="OJ22" i="22" s="1"/>
  <c r="OK13" i="22"/>
  <c r="OL13" i="22"/>
  <c r="OM13" i="22"/>
  <c r="ON13" i="22"/>
  <c r="OO13" i="22"/>
  <c r="OP13" i="22"/>
  <c r="OQ13" i="22"/>
  <c r="OR13" i="22"/>
  <c r="OS13" i="22"/>
  <c r="OT13" i="22"/>
  <c r="OT22" i="22" s="1"/>
  <c r="OU13" i="22"/>
  <c r="OV13" i="22"/>
  <c r="OW13" i="22"/>
  <c r="OX13" i="22"/>
  <c r="OY13" i="22"/>
  <c r="OZ13" i="22"/>
  <c r="OZ22" i="22" s="1"/>
  <c r="PA13" i="22"/>
  <c r="PB13" i="22"/>
  <c r="PC13" i="22"/>
  <c r="PD13" i="22"/>
  <c r="PE13" i="22"/>
  <c r="PF13" i="22"/>
  <c r="PG13" i="22"/>
  <c r="PH13" i="22"/>
  <c r="PI13" i="22"/>
  <c r="PJ13" i="22"/>
  <c r="PJ22" i="22" s="1"/>
  <c r="PK13" i="22"/>
  <c r="PL13" i="22"/>
  <c r="PM13" i="22"/>
  <c r="PN13" i="22"/>
  <c r="PO13" i="22"/>
  <c r="PP13" i="22"/>
  <c r="PQ13" i="22"/>
  <c r="PR13" i="22"/>
  <c r="PS13" i="22"/>
  <c r="PT13" i="22"/>
  <c r="PU13" i="22"/>
  <c r="PV13" i="22"/>
  <c r="PW13" i="22"/>
  <c r="PX13" i="22"/>
  <c r="PY13" i="22"/>
  <c r="PZ13" i="22"/>
  <c r="PZ22" i="22" s="1"/>
  <c r="QA13" i="22"/>
  <c r="QB13" i="22"/>
  <c r="QC13" i="22"/>
  <c r="QD13" i="22"/>
  <c r="QE13" i="22"/>
  <c r="QF13" i="22"/>
  <c r="QG13" i="22"/>
  <c r="QH13" i="22"/>
  <c r="QI13" i="22"/>
  <c r="QJ13" i="22"/>
  <c r="QK13" i="22"/>
  <c r="QL13" i="22"/>
  <c r="QM13" i="22"/>
  <c r="QN13" i="22"/>
  <c r="QN22" i="22" s="1"/>
  <c r="QO13" i="22"/>
  <c r="QP13" i="22"/>
  <c r="QP22" i="22" s="1"/>
  <c r="QQ13" i="22"/>
  <c r="QR13" i="22"/>
  <c r="QS13" i="22"/>
  <c r="QT13" i="22"/>
  <c r="QU13" i="22"/>
  <c r="QV13" i="22"/>
  <c r="QV22" i="22" s="1"/>
  <c r="QW13" i="22"/>
  <c r="QX13" i="22"/>
  <c r="QY13" i="22"/>
  <c r="QZ13" i="22"/>
  <c r="QZ22" i="22" s="1"/>
  <c r="RA13" i="22"/>
  <c r="RA22" i="22" s="1"/>
  <c r="RB13" i="22"/>
  <c r="RC13" i="22"/>
  <c r="RD13" i="22"/>
  <c r="RD22" i="22" s="1"/>
  <c r="RE13" i="22"/>
  <c r="RE22" i="22" s="1"/>
  <c r="RF13" i="22"/>
  <c r="RG13" i="22"/>
  <c r="RG22" i="22" s="1"/>
  <c r="RH13" i="22"/>
  <c r="RI13" i="22"/>
  <c r="RJ13" i="22"/>
  <c r="RK13" i="22"/>
  <c r="RL13" i="22"/>
  <c r="RM13" i="22"/>
  <c r="RN13" i="22"/>
  <c r="RO13" i="22"/>
  <c r="RP13" i="22"/>
  <c r="RQ13" i="22"/>
  <c r="RQ22" i="22" s="1"/>
  <c r="RR13" i="22"/>
  <c r="RS13" i="22"/>
  <c r="RT13" i="22"/>
  <c r="RU13" i="22"/>
  <c r="RV13" i="22"/>
  <c r="RW13" i="22"/>
  <c r="RW22" i="22" s="1"/>
  <c r="RX13" i="22"/>
  <c r="RY13" i="22"/>
  <c r="RZ13" i="22"/>
  <c r="SA13" i="22"/>
  <c r="SB13" i="22"/>
  <c r="SB22" i="22" s="1"/>
  <c r="SC13" i="22"/>
  <c r="SD13" i="22"/>
  <c r="SE13" i="22"/>
  <c r="SF13" i="22"/>
  <c r="SG13" i="22"/>
  <c r="SG22" i="22" s="1"/>
  <c r="SH13" i="22"/>
  <c r="SI13" i="22"/>
  <c r="SJ13" i="22"/>
  <c r="SJ22" i="22" s="1"/>
  <c r="SK13" i="22"/>
  <c r="SL13" i="22"/>
  <c r="SM13" i="22"/>
  <c r="SM22" i="22" s="1"/>
  <c r="SN13" i="22"/>
  <c r="SO13" i="22"/>
  <c r="SP13" i="22"/>
  <c r="SQ13" i="22"/>
  <c r="SR13" i="22"/>
  <c r="SR22" i="22" s="1"/>
  <c r="SS13" i="22"/>
  <c r="ST13" i="22"/>
  <c r="SU13" i="22"/>
  <c r="SV13" i="22"/>
  <c r="SW13" i="22"/>
  <c r="SW22" i="22" s="1"/>
  <c r="SX13" i="22"/>
  <c r="SY13" i="22"/>
  <c r="SZ13" i="22"/>
  <c r="TA13" i="22"/>
  <c r="TB13" i="22"/>
  <c r="TB22" i="22" s="1"/>
  <c r="TC13" i="22"/>
  <c r="TC22" i="22" s="1"/>
  <c r="TD13" i="22"/>
  <c r="TE13" i="22"/>
  <c r="TF13" i="22"/>
  <c r="TG13" i="22"/>
  <c r="TH13" i="22"/>
  <c r="TI13" i="22"/>
  <c r="TJ13" i="22"/>
  <c r="TK13" i="22"/>
  <c r="TL13" i="22"/>
  <c r="TM13" i="22"/>
  <c r="TN13" i="22"/>
  <c r="TO13" i="22"/>
  <c r="TO22" i="22" s="1"/>
  <c r="TP13" i="22"/>
  <c r="TP22" i="22" s="1"/>
  <c r="TQ13" i="22"/>
  <c r="TR13" i="22"/>
  <c r="TR22" i="22" s="1"/>
  <c r="TS13" i="22"/>
  <c r="TT13" i="22"/>
  <c r="TU13" i="22"/>
  <c r="TV13" i="22"/>
  <c r="TW13" i="22"/>
  <c r="TX13" i="22"/>
  <c r="TX22" i="22" s="1"/>
  <c r="TY13" i="22"/>
  <c r="TZ13" i="22"/>
  <c r="TZ22" i="22" s="1"/>
  <c r="UA13" i="22"/>
  <c r="UB13" i="22"/>
  <c r="UC13" i="22"/>
  <c r="UC22" i="22" s="1"/>
  <c r="UD13" i="22"/>
  <c r="UE13" i="22"/>
  <c r="UF13" i="22"/>
  <c r="UF22" i="22" s="1"/>
  <c r="UG13" i="22"/>
  <c r="UH13" i="22"/>
  <c r="UH22" i="22" s="1"/>
  <c r="UI13" i="22"/>
  <c r="UJ13" i="22"/>
  <c r="UK13" i="22"/>
  <c r="UL13" i="22"/>
  <c r="UM13" i="22"/>
  <c r="UM22" i="22" s="1"/>
  <c r="UN13" i="22"/>
  <c r="UO13" i="22"/>
  <c r="UP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V14" i="22"/>
  <c r="AW14" i="22"/>
  <c r="AX14" i="22"/>
  <c r="AY14" i="22"/>
  <c r="AZ14" i="22"/>
  <c r="BA14" i="22"/>
  <c r="BB14" i="22"/>
  <c r="BC14" i="22"/>
  <c r="BD14" i="22"/>
  <c r="BE14" i="22"/>
  <c r="BF14" i="22"/>
  <c r="BG14" i="22"/>
  <c r="BH14" i="22"/>
  <c r="BI14" i="22"/>
  <c r="BJ14" i="22"/>
  <c r="BK14" i="22"/>
  <c r="BL14" i="22"/>
  <c r="BM14" i="22"/>
  <c r="BN14" i="22"/>
  <c r="BO14" i="22"/>
  <c r="BP14" i="22"/>
  <c r="BQ14" i="22"/>
  <c r="BR14" i="22"/>
  <c r="BS14" i="22"/>
  <c r="BT14" i="22"/>
  <c r="BU14" i="22"/>
  <c r="BV14" i="22"/>
  <c r="BW14" i="22"/>
  <c r="BX14" i="22"/>
  <c r="BY14" i="22"/>
  <c r="BZ14" i="22"/>
  <c r="CA14" i="22"/>
  <c r="CB14" i="22"/>
  <c r="CC14" i="22"/>
  <c r="CD14" i="22"/>
  <c r="CE14" i="22"/>
  <c r="CF14" i="22"/>
  <c r="CG14" i="22"/>
  <c r="CH14" i="22"/>
  <c r="CI14" i="22"/>
  <c r="CJ14" i="22"/>
  <c r="CK14" i="22"/>
  <c r="CL14" i="22"/>
  <c r="CM14" i="22"/>
  <c r="CN14" i="22"/>
  <c r="CO14" i="22"/>
  <c r="CP14" i="22"/>
  <c r="CQ14" i="22"/>
  <c r="CR14" i="22"/>
  <c r="CS14" i="22"/>
  <c r="CT14" i="22"/>
  <c r="CU14" i="22"/>
  <c r="CV14" i="22"/>
  <c r="CW14" i="22"/>
  <c r="CX14" i="22"/>
  <c r="CY14" i="22"/>
  <c r="CZ14" i="22"/>
  <c r="DA14" i="22"/>
  <c r="DB14" i="22"/>
  <c r="DC14" i="22"/>
  <c r="DD14" i="22"/>
  <c r="DE14" i="22"/>
  <c r="DF14" i="22"/>
  <c r="DG14" i="22"/>
  <c r="DH14" i="22"/>
  <c r="DI14" i="22"/>
  <c r="DJ14" i="22"/>
  <c r="DK14" i="22"/>
  <c r="DL14" i="22"/>
  <c r="DM14" i="22"/>
  <c r="DN14" i="22"/>
  <c r="DO14" i="22"/>
  <c r="DP14" i="22"/>
  <c r="DQ14" i="22"/>
  <c r="DR14" i="22"/>
  <c r="DS14" i="22"/>
  <c r="DT14" i="22"/>
  <c r="DU14" i="22"/>
  <c r="DV14" i="22"/>
  <c r="DW14" i="22"/>
  <c r="DX14" i="22"/>
  <c r="DY14" i="22"/>
  <c r="DZ14" i="22"/>
  <c r="EA14" i="22"/>
  <c r="EB14" i="22"/>
  <c r="EC14" i="22"/>
  <c r="ED14" i="22"/>
  <c r="EE14" i="22"/>
  <c r="EF14" i="22"/>
  <c r="EG14" i="22"/>
  <c r="EH14" i="22"/>
  <c r="EI14" i="22"/>
  <c r="EJ14" i="22"/>
  <c r="EK14" i="22"/>
  <c r="EL14" i="22"/>
  <c r="EM14" i="22"/>
  <c r="EN14" i="22"/>
  <c r="EO14" i="22"/>
  <c r="EP14" i="22"/>
  <c r="EQ14" i="22"/>
  <c r="ER14" i="22"/>
  <c r="ES14" i="22"/>
  <c r="ET14" i="22"/>
  <c r="EU14" i="22"/>
  <c r="EV14" i="22"/>
  <c r="EW14" i="22"/>
  <c r="EX14" i="22"/>
  <c r="EY14" i="22"/>
  <c r="EZ14" i="22"/>
  <c r="FA14" i="22"/>
  <c r="FB14" i="22"/>
  <c r="FC14" i="22"/>
  <c r="FD14" i="22"/>
  <c r="FE14" i="22"/>
  <c r="FF14" i="22"/>
  <c r="FG14" i="22"/>
  <c r="FH14" i="22"/>
  <c r="FI14" i="22"/>
  <c r="FJ14" i="22"/>
  <c r="FK14" i="22"/>
  <c r="FL14" i="22"/>
  <c r="FM14" i="22"/>
  <c r="FN14" i="22"/>
  <c r="FO14" i="22"/>
  <c r="FP14" i="22"/>
  <c r="FQ14" i="22"/>
  <c r="FR14" i="22"/>
  <c r="FS14" i="22"/>
  <c r="FT14" i="22"/>
  <c r="FU14" i="22"/>
  <c r="FV14" i="22"/>
  <c r="FW14" i="22"/>
  <c r="FX14" i="22"/>
  <c r="FY14" i="22"/>
  <c r="FZ14" i="22"/>
  <c r="GA14" i="22"/>
  <c r="GB14" i="22"/>
  <c r="GC14" i="22"/>
  <c r="GD14" i="22"/>
  <c r="GE14" i="22"/>
  <c r="GF14" i="22"/>
  <c r="GG14" i="22"/>
  <c r="GH14" i="22"/>
  <c r="GI14" i="22"/>
  <c r="GJ14" i="22"/>
  <c r="GK14" i="22"/>
  <c r="GL14" i="22"/>
  <c r="GM14" i="22"/>
  <c r="GN14" i="22"/>
  <c r="GO14" i="22"/>
  <c r="GP14" i="22"/>
  <c r="GQ14" i="22"/>
  <c r="GR14" i="22"/>
  <c r="GS14" i="22"/>
  <c r="GT14" i="22"/>
  <c r="GU14" i="22"/>
  <c r="GV14" i="22"/>
  <c r="GW14" i="22"/>
  <c r="GX14" i="22"/>
  <c r="GY14" i="22"/>
  <c r="GZ14" i="22"/>
  <c r="HA14" i="22"/>
  <c r="HB14" i="22"/>
  <c r="HC14" i="22"/>
  <c r="HD14" i="22"/>
  <c r="HE14" i="22"/>
  <c r="HF14" i="22"/>
  <c r="HG14" i="22"/>
  <c r="HH14" i="22"/>
  <c r="HI14" i="22"/>
  <c r="HJ14" i="22"/>
  <c r="HK14" i="22"/>
  <c r="HL14" i="22"/>
  <c r="HM14" i="22"/>
  <c r="HN14" i="22"/>
  <c r="HO14" i="22"/>
  <c r="HP14" i="22"/>
  <c r="HQ14" i="22"/>
  <c r="HR14" i="22"/>
  <c r="HS14" i="22"/>
  <c r="HT14" i="22"/>
  <c r="HU14" i="22"/>
  <c r="HV14" i="22"/>
  <c r="HW14" i="22"/>
  <c r="HX14" i="22"/>
  <c r="HY14" i="22"/>
  <c r="HZ14" i="22"/>
  <c r="IA14" i="22"/>
  <c r="IB14" i="22"/>
  <c r="IC14" i="22"/>
  <c r="ID14" i="22"/>
  <c r="IE14" i="22"/>
  <c r="IF14" i="22"/>
  <c r="IG14" i="22"/>
  <c r="IH14" i="22"/>
  <c r="II14" i="22"/>
  <c r="IJ14" i="22"/>
  <c r="IK14" i="22"/>
  <c r="IL14" i="22"/>
  <c r="IM14" i="22"/>
  <c r="IN14" i="22"/>
  <c r="IO14" i="22"/>
  <c r="IP14" i="22"/>
  <c r="IQ14" i="22"/>
  <c r="IR14" i="22"/>
  <c r="IS14" i="22"/>
  <c r="IT14" i="22"/>
  <c r="IU14" i="22"/>
  <c r="IV14" i="22"/>
  <c r="IW14" i="22"/>
  <c r="IX14" i="22"/>
  <c r="IY14" i="22"/>
  <c r="IZ14" i="22"/>
  <c r="JA14" i="22"/>
  <c r="JB14" i="22"/>
  <c r="JC14" i="22"/>
  <c r="JD14" i="22"/>
  <c r="JE14" i="22"/>
  <c r="JF14" i="22"/>
  <c r="JG14" i="22"/>
  <c r="JH14" i="22"/>
  <c r="JI14" i="22"/>
  <c r="JJ14" i="22"/>
  <c r="JK14" i="22"/>
  <c r="JL14" i="22"/>
  <c r="JM14" i="22"/>
  <c r="JN14" i="22"/>
  <c r="JO14" i="22"/>
  <c r="JP14" i="22"/>
  <c r="JQ14" i="22"/>
  <c r="JR14" i="22"/>
  <c r="JS14" i="22"/>
  <c r="JT14" i="22"/>
  <c r="JU14" i="22"/>
  <c r="JV14" i="22"/>
  <c r="JW14" i="22"/>
  <c r="JX14" i="22"/>
  <c r="JY14" i="22"/>
  <c r="JZ14" i="22"/>
  <c r="KA14" i="22"/>
  <c r="KB14" i="22"/>
  <c r="KC14" i="22"/>
  <c r="KD14" i="22"/>
  <c r="KE14" i="22"/>
  <c r="KF14" i="22"/>
  <c r="KG14" i="22"/>
  <c r="KH14" i="22"/>
  <c r="KI14" i="22"/>
  <c r="KJ14" i="22"/>
  <c r="KK14" i="22"/>
  <c r="KL14" i="22"/>
  <c r="KM14" i="22"/>
  <c r="KN14" i="22"/>
  <c r="KO14" i="22"/>
  <c r="KP14" i="22"/>
  <c r="KQ14" i="22"/>
  <c r="KR14" i="22"/>
  <c r="KS14" i="22"/>
  <c r="KT14" i="22"/>
  <c r="KU14" i="22"/>
  <c r="KV14" i="22"/>
  <c r="KW14" i="22"/>
  <c r="KX14" i="22"/>
  <c r="KY14" i="22"/>
  <c r="KZ14" i="22"/>
  <c r="LA14" i="22"/>
  <c r="LB14" i="22"/>
  <c r="LC14" i="22"/>
  <c r="LD14" i="22"/>
  <c r="LE14" i="22"/>
  <c r="LF14" i="22"/>
  <c r="LG14" i="22"/>
  <c r="LH14" i="22"/>
  <c r="LI14" i="22"/>
  <c r="LJ14" i="22"/>
  <c r="LK14" i="22"/>
  <c r="LL14" i="22"/>
  <c r="LM14" i="22"/>
  <c r="LN14" i="22"/>
  <c r="LO14" i="22"/>
  <c r="LP14" i="22"/>
  <c r="LQ14" i="22"/>
  <c r="LR14" i="22"/>
  <c r="LS14" i="22"/>
  <c r="LT14" i="22"/>
  <c r="LU14" i="22"/>
  <c r="LV14" i="22"/>
  <c r="LW14" i="22"/>
  <c r="LX14" i="22"/>
  <c r="LY14" i="22"/>
  <c r="LZ14" i="22"/>
  <c r="MA14" i="22"/>
  <c r="MB14" i="22"/>
  <c r="MC14" i="22"/>
  <c r="MD14" i="22"/>
  <c r="ME14" i="22"/>
  <c r="MF14" i="22"/>
  <c r="MG14" i="22"/>
  <c r="MH14" i="22"/>
  <c r="MI14" i="22"/>
  <c r="MJ14" i="22"/>
  <c r="MK14" i="22"/>
  <c r="ML14" i="22"/>
  <c r="MM14" i="22"/>
  <c r="MN14" i="22"/>
  <c r="MO14" i="22"/>
  <c r="MP14" i="22"/>
  <c r="MQ14" i="22"/>
  <c r="MR14" i="22"/>
  <c r="MS14" i="22"/>
  <c r="MT14" i="22"/>
  <c r="MU14" i="22"/>
  <c r="MV14" i="22"/>
  <c r="MW14" i="22"/>
  <c r="MX14" i="22"/>
  <c r="MY14" i="22"/>
  <c r="MZ14" i="22"/>
  <c r="NA14" i="22"/>
  <c r="NB14" i="22"/>
  <c r="NC14" i="22"/>
  <c r="ND14" i="22"/>
  <c r="NE14" i="22"/>
  <c r="NF14" i="22"/>
  <c r="NG14" i="22"/>
  <c r="NH14" i="22"/>
  <c r="NI14" i="22"/>
  <c r="NJ14" i="22"/>
  <c r="NK14" i="22"/>
  <c r="NL14" i="22"/>
  <c r="NM14" i="22"/>
  <c r="NN14" i="22"/>
  <c r="NO14" i="22"/>
  <c r="NP14" i="22"/>
  <c r="NQ14" i="22"/>
  <c r="NR14" i="22"/>
  <c r="NS14" i="22"/>
  <c r="NT14" i="22"/>
  <c r="NU14" i="22"/>
  <c r="NV14" i="22"/>
  <c r="NW14" i="22"/>
  <c r="NX14" i="22"/>
  <c r="NY14" i="22"/>
  <c r="NZ14" i="22"/>
  <c r="OA14" i="22"/>
  <c r="OB14" i="22"/>
  <c r="OC14" i="22"/>
  <c r="OD14" i="22"/>
  <c r="OE14" i="22"/>
  <c r="OF14" i="22"/>
  <c r="OG14" i="22"/>
  <c r="OH14" i="22"/>
  <c r="OI14" i="22"/>
  <c r="OJ14" i="22"/>
  <c r="OK14" i="22"/>
  <c r="OL14" i="22"/>
  <c r="OM14" i="22"/>
  <c r="ON14" i="22"/>
  <c r="OO14" i="22"/>
  <c r="OP14" i="22"/>
  <c r="OQ14" i="22"/>
  <c r="OR14" i="22"/>
  <c r="OR22" i="22" s="1"/>
  <c r="OS14" i="22"/>
  <c r="OT14" i="22"/>
  <c r="OU14" i="22"/>
  <c r="OV14" i="22"/>
  <c r="OW14" i="22"/>
  <c r="OX14" i="22"/>
  <c r="OY14" i="22"/>
  <c r="OZ14" i="22"/>
  <c r="PA14" i="22"/>
  <c r="PB14" i="22"/>
  <c r="PC14" i="22"/>
  <c r="PD14" i="22"/>
  <c r="PE14" i="22"/>
  <c r="PF14" i="22"/>
  <c r="PG14" i="22"/>
  <c r="PH14" i="22"/>
  <c r="PI14" i="22"/>
  <c r="PJ14" i="22"/>
  <c r="PK14" i="22"/>
  <c r="PL14" i="22"/>
  <c r="PM14" i="22"/>
  <c r="PN14" i="22"/>
  <c r="PO14" i="22"/>
  <c r="PP14" i="22"/>
  <c r="PQ14" i="22"/>
  <c r="PR14" i="22"/>
  <c r="PS14" i="22"/>
  <c r="PT14" i="22"/>
  <c r="PU14" i="22"/>
  <c r="PV14" i="22"/>
  <c r="PW14" i="22"/>
  <c r="PX14" i="22"/>
  <c r="PY14" i="22"/>
  <c r="PZ14" i="22"/>
  <c r="QA14" i="22"/>
  <c r="QB14" i="22"/>
  <c r="QC14" i="22"/>
  <c r="QD14" i="22"/>
  <c r="QE14" i="22"/>
  <c r="QF14" i="22"/>
  <c r="QG14" i="22"/>
  <c r="QH14" i="22"/>
  <c r="QI14" i="22"/>
  <c r="QJ14" i="22"/>
  <c r="QK14" i="22"/>
  <c r="QL14" i="22"/>
  <c r="QM14" i="22"/>
  <c r="QN14" i="22"/>
  <c r="QO14" i="22"/>
  <c r="QP14" i="22"/>
  <c r="QQ14" i="22"/>
  <c r="QR14" i="22"/>
  <c r="QS14" i="22"/>
  <c r="QT14" i="22"/>
  <c r="QU14" i="22"/>
  <c r="QV14" i="22"/>
  <c r="QW14" i="22"/>
  <c r="QX14" i="22"/>
  <c r="QY14" i="22"/>
  <c r="QZ14" i="22"/>
  <c r="RA14" i="22"/>
  <c r="RB14" i="22"/>
  <c r="RC14" i="22"/>
  <c r="RD14" i="22"/>
  <c r="RE14" i="22"/>
  <c r="RF14" i="22"/>
  <c r="RG14" i="22"/>
  <c r="RH14" i="22"/>
  <c r="RI14" i="22"/>
  <c r="RJ14" i="22"/>
  <c r="RK14" i="22"/>
  <c r="RL14" i="22"/>
  <c r="RL22" i="22" s="1"/>
  <c r="RM14" i="22"/>
  <c r="RN14" i="22"/>
  <c r="RO14" i="22"/>
  <c r="RP14" i="22"/>
  <c r="RQ14" i="22"/>
  <c r="RR14" i="22"/>
  <c r="RS14" i="22"/>
  <c r="RT14" i="22"/>
  <c r="RU14" i="22"/>
  <c r="RV14" i="22"/>
  <c r="RV22" i="22" s="1"/>
  <c r="RW14" i="22"/>
  <c r="RX14" i="22"/>
  <c r="RY14" i="22"/>
  <c r="RZ14" i="22"/>
  <c r="SA14" i="22"/>
  <c r="SB14" i="22"/>
  <c r="SC14" i="22"/>
  <c r="SD14" i="22"/>
  <c r="SE14" i="22"/>
  <c r="SF14" i="22"/>
  <c r="SG14" i="22"/>
  <c r="SH14" i="22"/>
  <c r="SI14" i="22"/>
  <c r="SJ14" i="22"/>
  <c r="SK14" i="22"/>
  <c r="SL14" i="22"/>
  <c r="SM14" i="22"/>
  <c r="SN14" i="22"/>
  <c r="SO14" i="22"/>
  <c r="SP14" i="22"/>
  <c r="SQ14" i="22"/>
  <c r="SR14" i="22"/>
  <c r="SS14" i="22"/>
  <c r="ST14" i="22"/>
  <c r="SU14" i="22"/>
  <c r="SV14" i="22"/>
  <c r="SW14" i="22"/>
  <c r="SX14" i="22"/>
  <c r="SY14" i="22"/>
  <c r="SZ14" i="22"/>
  <c r="TA14" i="22"/>
  <c r="TB14" i="22"/>
  <c r="TC14" i="22"/>
  <c r="TD14" i="22"/>
  <c r="TE14" i="22"/>
  <c r="TF14" i="22"/>
  <c r="TG14" i="22"/>
  <c r="TH14" i="22"/>
  <c r="TI14" i="22"/>
  <c r="TJ14" i="22"/>
  <c r="TK14" i="22"/>
  <c r="TL14" i="22"/>
  <c r="TM14" i="22"/>
  <c r="TN14" i="22"/>
  <c r="TO14" i="22"/>
  <c r="TP14" i="22"/>
  <c r="TQ14" i="22"/>
  <c r="TR14" i="22"/>
  <c r="TS14" i="22"/>
  <c r="TT14" i="22"/>
  <c r="TU14" i="22"/>
  <c r="TV14" i="22"/>
  <c r="TW14" i="22"/>
  <c r="TX14" i="22"/>
  <c r="TY14" i="22"/>
  <c r="TZ14" i="22"/>
  <c r="UA14" i="22"/>
  <c r="UB14" i="22"/>
  <c r="UC14" i="22"/>
  <c r="UD14" i="22"/>
  <c r="UE14" i="22"/>
  <c r="UF14" i="22"/>
  <c r="UG14" i="22"/>
  <c r="UH14" i="22"/>
  <c r="UI14" i="22"/>
  <c r="UJ14" i="22"/>
  <c r="UK14" i="22"/>
  <c r="UL14" i="22"/>
  <c r="UM14" i="22"/>
  <c r="UN14" i="22"/>
  <c r="UO14" i="22"/>
  <c r="UP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P15" i="22"/>
  <c r="BQ15" i="22"/>
  <c r="BR15" i="22"/>
  <c r="BS15" i="22"/>
  <c r="BT15" i="22"/>
  <c r="BU15" i="22"/>
  <c r="BV15" i="22"/>
  <c r="BV22" i="22" s="1"/>
  <c r="BW15" i="22"/>
  <c r="BX15" i="22"/>
  <c r="BY15" i="22"/>
  <c r="BZ15" i="22"/>
  <c r="CA15" i="22"/>
  <c r="CB15" i="22"/>
  <c r="CC15" i="22"/>
  <c r="CD15" i="22"/>
  <c r="CE15" i="22"/>
  <c r="CF15" i="22"/>
  <c r="CG15" i="22"/>
  <c r="CH15" i="22"/>
  <c r="CI15" i="22"/>
  <c r="CJ15" i="22"/>
  <c r="CK15" i="22"/>
  <c r="CL15" i="22"/>
  <c r="CM15" i="22"/>
  <c r="CN15" i="22"/>
  <c r="CO15" i="22"/>
  <c r="CP15" i="22"/>
  <c r="CQ15" i="22"/>
  <c r="CR15" i="22"/>
  <c r="CS15" i="22"/>
  <c r="CT15" i="22"/>
  <c r="CU15" i="22"/>
  <c r="CV15" i="22"/>
  <c r="CW15" i="22"/>
  <c r="CX15" i="22"/>
  <c r="CY15" i="22"/>
  <c r="CZ15" i="22"/>
  <c r="DA15" i="22"/>
  <c r="DB15" i="22"/>
  <c r="DC15" i="22"/>
  <c r="DD15" i="22"/>
  <c r="DE15" i="22"/>
  <c r="DF15" i="22"/>
  <c r="DG15" i="22"/>
  <c r="DH15" i="22"/>
  <c r="DI15" i="22"/>
  <c r="DJ15" i="22"/>
  <c r="DK15" i="22"/>
  <c r="DL15" i="22"/>
  <c r="DM15" i="22"/>
  <c r="DN15" i="22"/>
  <c r="DO15" i="22"/>
  <c r="DP15" i="22"/>
  <c r="DP22" i="22" s="1"/>
  <c r="DQ15" i="22"/>
  <c r="DR15" i="22"/>
  <c r="DS15" i="22"/>
  <c r="DT15" i="22"/>
  <c r="DU15" i="22"/>
  <c r="DV15" i="22"/>
  <c r="DW15" i="22"/>
  <c r="DX15" i="22"/>
  <c r="DY15" i="22"/>
  <c r="DZ15" i="22"/>
  <c r="EA15" i="22"/>
  <c r="EB15" i="22"/>
  <c r="EC15" i="22"/>
  <c r="ED15" i="22"/>
  <c r="EE15" i="22"/>
  <c r="EF15" i="22"/>
  <c r="EG15" i="22"/>
  <c r="EH15" i="22"/>
  <c r="EI15" i="22"/>
  <c r="EJ15" i="22"/>
  <c r="EK15" i="22"/>
  <c r="EL15" i="22"/>
  <c r="EM15" i="22"/>
  <c r="EN15" i="22"/>
  <c r="EN22" i="22" s="1"/>
  <c r="EO15" i="22"/>
  <c r="EP15" i="22"/>
  <c r="EQ15" i="22"/>
  <c r="ER15" i="22"/>
  <c r="ES15" i="22"/>
  <c r="ET15" i="22"/>
  <c r="EU15" i="22"/>
  <c r="EV15" i="22"/>
  <c r="EW15" i="22"/>
  <c r="EX15" i="22"/>
  <c r="EY15" i="22"/>
  <c r="EZ15" i="22"/>
  <c r="FA15" i="22"/>
  <c r="FB15" i="22"/>
  <c r="FC15" i="22"/>
  <c r="FD15" i="22"/>
  <c r="FE15" i="22"/>
  <c r="FF15" i="22"/>
  <c r="FG15" i="22"/>
  <c r="FH15" i="22"/>
  <c r="FI15" i="22"/>
  <c r="FJ15" i="22"/>
  <c r="FK15" i="22"/>
  <c r="FL15" i="22"/>
  <c r="FM15" i="22"/>
  <c r="FN15" i="22"/>
  <c r="FO15" i="22"/>
  <c r="FP15" i="22"/>
  <c r="FQ15" i="22"/>
  <c r="FR15" i="22"/>
  <c r="FS15" i="22"/>
  <c r="FT15" i="22"/>
  <c r="FU15" i="22"/>
  <c r="FV15" i="22"/>
  <c r="FW15" i="22"/>
  <c r="FX15" i="22"/>
  <c r="FY15" i="22"/>
  <c r="FZ15" i="22"/>
  <c r="GA15" i="22"/>
  <c r="GB15" i="22"/>
  <c r="GC15" i="22"/>
  <c r="GD15" i="22"/>
  <c r="GE15" i="22"/>
  <c r="GF15" i="22"/>
  <c r="GG15" i="22"/>
  <c r="GH15" i="22"/>
  <c r="GI15" i="22"/>
  <c r="GJ15" i="22"/>
  <c r="GK15" i="22"/>
  <c r="GL15" i="22"/>
  <c r="GM15" i="22"/>
  <c r="GN15" i="22"/>
  <c r="GO15" i="22"/>
  <c r="GP15" i="22"/>
  <c r="GQ15" i="22"/>
  <c r="GR15" i="22"/>
  <c r="GS15" i="22"/>
  <c r="GT15" i="22"/>
  <c r="GT22" i="22" s="1"/>
  <c r="GU15" i="22"/>
  <c r="GV15" i="22"/>
  <c r="GW15" i="22"/>
  <c r="GX15" i="22"/>
  <c r="GY15" i="22"/>
  <c r="GZ15" i="22"/>
  <c r="HA15" i="22"/>
  <c r="HB15" i="22"/>
  <c r="HC15" i="22"/>
  <c r="HD15" i="22"/>
  <c r="HE15" i="22"/>
  <c r="HF15" i="22"/>
  <c r="HG15" i="22"/>
  <c r="HH15" i="22"/>
  <c r="HI15" i="22"/>
  <c r="HJ15" i="22"/>
  <c r="HK15" i="22"/>
  <c r="HL15" i="22"/>
  <c r="HM15" i="22"/>
  <c r="HN15" i="22"/>
  <c r="HO15" i="22"/>
  <c r="HP15" i="22"/>
  <c r="HQ15" i="22"/>
  <c r="HR15" i="22"/>
  <c r="HS15" i="22"/>
  <c r="HT15" i="22"/>
  <c r="HU15" i="22"/>
  <c r="HV15" i="22"/>
  <c r="HW15" i="22"/>
  <c r="HX15" i="22"/>
  <c r="HY15" i="22"/>
  <c r="HZ15" i="22"/>
  <c r="IA15" i="22"/>
  <c r="IB15" i="22"/>
  <c r="IC15" i="22"/>
  <c r="ID15" i="22"/>
  <c r="IE15" i="22"/>
  <c r="IF15" i="22"/>
  <c r="IG15" i="22"/>
  <c r="IH15" i="22"/>
  <c r="II15" i="22"/>
  <c r="IJ15" i="22"/>
  <c r="IK15" i="22"/>
  <c r="IL15" i="22"/>
  <c r="IM15" i="22"/>
  <c r="IN15" i="22"/>
  <c r="IN22" i="22" s="1"/>
  <c r="IO15" i="22"/>
  <c r="IP15" i="22"/>
  <c r="IQ15" i="22"/>
  <c r="IR15" i="22"/>
  <c r="IS15" i="22"/>
  <c r="IT15" i="22"/>
  <c r="IU15" i="22"/>
  <c r="IV15" i="22"/>
  <c r="IW15" i="22"/>
  <c r="IX15" i="22"/>
  <c r="IY15" i="22"/>
  <c r="IZ15" i="22"/>
  <c r="JA15" i="22"/>
  <c r="JB15" i="22"/>
  <c r="JC15" i="22"/>
  <c r="JD15" i="22"/>
  <c r="JE15" i="22"/>
  <c r="JF15" i="22"/>
  <c r="JG15" i="22"/>
  <c r="JH15" i="22"/>
  <c r="JI15" i="22"/>
  <c r="JJ15" i="22"/>
  <c r="JK15" i="22"/>
  <c r="JL15" i="22"/>
  <c r="JM15" i="22"/>
  <c r="JN15" i="22"/>
  <c r="JO15" i="22"/>
  <c r="JP15" i="22"/>
  <c r="JQ15" i="22"/>
  <c r="JR15" i="22"/>
  <c r="JS15" i="22"/>
  <c r="JT15" i="22"/>
  <c r="JU15" i="22"/>
  <c r="JV15" i="22"/>
  <c r="JW15" i="22"/>
  <c r="JX15" i="22"/>
  <c r="JY15" i="22"/>
  <c r="JZ15" i="22"/>
  <c r="KA15" i="22"/>
  <c r="KB15" i="22"/>
  <c r="KB22" i="22" s="1"/>
  <c r="KC15" i="22"/>
  <c r="KD15" i="22"/>
  <c r="KE15" i="22"/>
  <c r="KF15" i="22"/>
  <c r="KG15" i="22"/>
  <c r="KH15" i="22"/>
  <c r="KI15" i="22"/>
  <c r="KJ15" i="22"/>
  <c r="KK15" i="22"/>
  <c r="KL15" i="22"/>
  <c r="KM15" i="22"/>
  <c r="KN15" i="22"/>
  <c r="KO15" i="22"/>
  <c r="KP15" i="22"/>
  <c r="KQ15" i="22"/>
  <c r="KR15" i="22"/>
  <c r="KS15" i="22"/>
  <c r="KT15" i="22"/>
  <c r="KT22" i="22" s="1"/>
  <c r="KU15" i="22"/>
  <c r="KV15" i="22"/>
  <c r="KW15" i="22"/>
  <c r="KX15" i="22"/>
  <c r="KY15" i="22"/>
  <c r="KZ15" i="22"/>
  <c r="LA15" i="22"/>
  <c r="LB15" i="22"/>
  <c r="LC15" i="22"/>
  <c r="LD15" i="22"/>
  <c r="LE15" i="22"/>
  <c r="LF15" i="22"/>
  <c r="LG15" i="22"/>
  <c r="LH15" i="22"/>
  <c r="LI15" i="22"/>
  <c r="LJ15" i="22"/>
  <c r="LK15" i="22"/>
  <c r="LL15" i="22"/>
  <c r="LM15" i="22"/>
  <c r="LN15" i="22"/>
  <c r="LO15" i="22"/>
  <c r="LP15" i="22"/>
  <c r="LQ15" i="22"/>
  <c r="LR15" i="22"/>
  <c r="LS15" i="22"/>
  <c r="LT15" i="22"/>
  <c r="LU15" i="22"/>
  <c r="LV15" i="22"/>
  <c r="LW15" i="22"/>
  <c r="LX15" i="22"/>
  <c r="LY15" i="22"/>
  <c r="LZ15" i="22"/>
  <c r="MA15" i="22"/>
  <c r="MB15" i="22"/>
  <c r="MC15" i="22"/>
  <c r="MD15" i="22"/>
  <c r="ME15" i="22"/>
  <c r="MF15" i="22"/>
  <c r="MG15" i="22"/>
  <c r="MH15" i="22"/>
  <c r="MH22" i="22" s="1"/>
  <c r="MI15" i="22"/>
  <c r="MJ15" i="22"/>
  <c r="MK15" i="22"/>
  <c r="ML15" i="22"/>
  <c r="MM15" i="22"/>
  <c r="MN15" i="22"/>
  <c r="MO15" i="22"/>
  <c r="MP15" i="22"/>
  <c r="MQ15" i="22"/>
  <c r="MR15" i="22"/>
  <c r="MS15" i="22"/>
  <c r="MT15" i="22"/>
  <c r="MU15" i="22"/>
  <c r="MV15" i="22"/>
  <c r="MW15" i="22"/>
  <c r="MX15" i="22"/>
  <c r="MY15" i="22"/>
  <c r="MZ15" i="22"/>
  <c r="NA15" i="22"/>
  <c r="NB15" i="22"/>
  <c r="NC15" i="22"/>
  <c r="ND15" i="22"/>
  <c r="NE15" i="22"/>
  <c r="NF15" i="22"/>
  <c r="NG15" i="22"/>
  <c r="NH15" i="22"/>
  <c r="NI15" i="22"/>
  <c r="NJ15" i="22"/>
  <c r="NK15" i="22"/>
  <c r="NL15" i="22"/>
  <c r="NM15" i="22"/>
  <c r="NN15" i="22"/>
  <c r="NO15" i="22"/>
  <c r="NP15" i="22"/>
  <c r="NQ15" i="22"/>
  <c r="NR15" i="22"/>
  <c r="NS15" i="22"/>
  <c r="NT15" i="22"/>
  <c r="NU15" i="22"/>
  <c r="NV15" i="22"/>
  <c r="NW15" i="22"/>
  <c r="NX15" i="22"/>
  <c r="NY15" i="22"/>
  <c r="NZ15" i="22"/>
  <c r="OA15" i="22"/>
  <c r="OB15" i="22"/>
  <c r="OC15" i="22"/>
  <c r="OD15" i="22"/>
  <c r="OE15" i="22"/>
  <c r="OF15" i="22"/>
  <c r="OG15" i="22"/>
  <c r="OH15" i="22"/>
  <c r="OI15" i="22"/>
  <c r="OJ15" i="22"/>
  <c r="OK15" i="22"/>
  <c r="OL15" i="22"/>
  <c r="OM15" i="22"/>
  <c r="ON15" i="22"/>
  <c r="OO15" i="22"/>
  <c r="OP15" i="22"/>
  <c r="OQ15" i="22"/>
  <c r="OR15" i="22"/>
  <c r="OS15" i="22"/>
  <c r="OT15" i="22"/>
  <c r="OU15" i="22"/>
  <c r="OV15" i="22"/>
  <c r="OW15" i="22"/>
  <c r="OX15" i="22"/>
  <c r="OY15" i="22"/>
  <c r="OZ15" i="22"/>
  <c r="PA15" i="22"/>
  <c r="PB15" i="22"/>
  <c r="PC15" i="22"/>
  <c r="PD15" i="22"/>
  <c r="PE15" i="22"/>
  <c r="PF15" i="22"/>
  <c r="PG15" i="22"/>
  <c r="PH15" i="22"/>
  <c r="PI15" i="22"/>
  <c r="PJ15" i="22"/>
  <c r="PK15" i="22"/>
  <c r="PL15" i="22"/>
  <c r="PM15" i="22"/>
  <c r="PN15" i="22"/>
  <c r="PO15" i="22"/>
  <c r="PP15" i="22"/>
  <c r="PQ15" i="22"/>
  <c r="PR15" i="22"/>
  <c r="PS15" i="22"/>
  <c r="PT15" i="22"/>
  <c r="PU15" i="22"/>
  <c r="PV15" i="22"/>
  <c r="PW15" i="22"/>
  <c r="PX15" i="22"/>
  <c r="PY15" i="22"/>
  <c r="PZ15" i="22"/>
  <c r="QA15" i="22"/>
  <c r="QB15" i="22"/>
  <c r="QC15" i="22"/>
  <c r="QD15" i="22"/>
  <c r="QE15" i="22"/>
  <c r="QF15" i="22"/>
  <c r="QG15" i="22"/>
  <c r="QH15" i="22"/>
  <c r="QI15" i="22"/>
  <c r="QJ15" i="22"/>
  <c r="QK15" i="22"/>
  <c r="QL15" i="22"/>
  <c r="QM15" i="22"/>
  <c r="QN15" i="22"/>
  <c r="QO15" i="22"/>
  <c r="QP15" i="22"/>
  <c r="QQ15" i="22"/>
  <c r="QR15" i="22"/>
  <c r="QS15" i="22"/>
  <c r="QT15" i="22"/>
  <c r="QU15" i="22"/>
  <c r="QV15" i="22"/>
  <c r="QW15" i="22"/>
  <c r="QX15" i="22"/>
  <c r="QY15" i="22"/>
  <c r="QZ15" i="22"/>
  <c r="RA15" i="22"/>
  <c r="RB15" i="22"/>
  <c r="RC15" i="22"/>
  <c r="RD15" i="22"/>
  <c r="RE15" i="22"/>
  <c r="RF15" i="22"/>
  <c r="RG15" i="22"/>
  <c r="RH15" i="22"/>
  <c r="RI15" i="22"/>
  <c r="RJ15" i="22"/>
  <c r="RK15" i="22"/>
  <c r="RL15" i="22"/>
  <c r="RM15" i="22"/>
  <c r="RN15" i="22"/>
  <c r="RO15" i="22"/>
  <c r="RP15" i="22"/>
  <c r="RQ15" i="22"/>
  <c r="RR15" i="22"/>
  <c r="RS15" i="22"/>
  <c r="RT15" i="22"/>
  <c r="RU15" i="22"/>
  <c r="RV15" i="22"/>
  <c r="RW15" i="22"/>
  <c r="RX15" i="22"/>
  <c r="RY15" i="22"/>
  <c r="RZ15" i="22"/>
  <c r="SA15" i="22"/>
  <c r="SB15" i="22"/>
  <c r="SC15" i="22"/>
  <c r="SD15" i="22"/>
  <c r="SE15" i="22"/>
  <c r="SF15" i="22"/>
  <c r="SG15" i="22"/>
  <c r="SH15" i="22"/>
  <c r="SI15" i="22"/>
  <c r="SJ15" i="22"/>
  <c r="SK15" i="22"/>
  <c r="SL15" i="22"/>
  <c r="SM15" i="22"/>
  <c r="SN15" i="22"/>
  <c r="SO15" i="22"/>
  <c r="SP15" i="22"/>
  <c r="SQ15" i="22"/>
  <c r="SR15" i="22"/>
  <c r="SS15" i="22"/>
  <c r="ST15" i="22"/>
  <c r="SU15" i="22"/>
  <c r="SV15" i="22"/>
  <c r="SW15" i="22"/>
  <c r="SX15" i="22"/>
  <c r="SY15" i="22"/>
  <c r="SZ15" i="22"/>
  <c r="TA15" i="22"/>
  <c r="TB15" i="22"/>
  <c r="TC15" i="22"/>
  <c r="TD15" i="22"/>
  <c r="TE15" i="22"/>
  <c r="TF15" i="22"/>
  <c r="TG15" i="22"/>
  <c r="TH15" i="22"/>
  <c r="TI15" i="22"/>
  <c r="TJ15" i="22"/>
  <c r="TK15" i="22"/>
  <c r="TL15" i="22"/>
  <c r="TM15" i="22"/>
  <c r="TN15" i="22"/>
  <c r="TO15" i="22"/>
  <c r="TP15" i="22"/>
  <c r="TQ15" i="22"/>
  <c r="TR15" i="22"/>
  <c r="TS15" i="22"/>
  <c r="TT15" i="22"/>
  <c r="TU15" i="22"/>
  <c r="TV15" i="22"/>
  <c r="TW15" i="22"/>
  <c r="TX15" i="22"/>
  <c r="TY15" i="22"/>
  <c r="TZ15" i="22"/>
  <c r="UA15" i="22"/>
  <c r="UB15" i="22"/>
  <c r="UC15" i="22"/>
  <c r="UD15" i="22"/>
  <c r="UE15" i="22"/>
  <c r="UF15" i="22"/>
  <c r="UG15" i="22"/>
  <c r="UH15" i="22"/>
  <c r="UI15" i="22"/>
  <c r="UJ15" i="22"/>
  <c r="UK15" i="22"/>
  <c r="UL15" i="22"/>
  <c r="UM15" i="22"/>
  <c r="UN15" i="22"/>
  <c r="UO15" i="22"/>
  <c r="UP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U16" i="22"/>
  <c r="AV16" i="22"/>
  <c r="AW16" i="22"/>
  <c r="AX16" i="22"/>
  <c r="AY16" i="22"/>
  <c r="AZ16" i="22"/>
  <c r="BA16" i="22"/>
  <c r="BB16" i="22"/>
  <c r="BC16" i="22"/>
  <c r="BD16" i="22"/>
  <c r="BE16" i="22"/>
  <c r="BF16" i="22"/>
  <c r="BG16" i="22"/>
  <c r="BH16" i="22"/>
  <c r="BI16" i="22"/>
  <c r="BJ16" i="22"/>
  <c r="BK16" i="22"/>
  <c r="BL16" i="22"/>
  <c r="BM16" i="22"/>
  <c r="BN16" i="22"/>
  <c r="BO16" i="22"/>
  <c r="BP16" i="22"/>
  <c r="BQ16" i="22"/>
  <c r="BR16" i="22"/>
  <c r="BS16" i="22"/>
  <c r="BT16" i="22"/>
  <c r="BU16" i="22"/>
  <c r="BV16" i="22"/>
  <c r="BW16" i="22"/>
  <c r="BX16" i="22"/>
  <c r="BY16" i="22"/>
  <c r="BZ16" i="22"/>
  <c r="CA16" i="22"/>
  <c r="CB16" i="22"/>
  <c r="CC16" i="22"/>
  <c r="CD16" i="22"/>
  <c r="CE16" i="22"/>
  <c r="CF16" i="22"/>
  <c r="CG16" i="22"/>
  <c r="CH16" i="22"/>
  <c r="CI16" i="22"/>
  <c r="CJ16" i="22"/>
  <c r="CK16" i="22"/>
  <c r="CL16" i="22"/>
  <c r="CM16" i="22"/>
  <c r="CN16" i="22"/>
  <c r="CO16" i="22"/>
  <c r="CP16" i="22"/>
  <c r="CQ16" i="22"/>
  <c r="CR16" i="22"/>
  <c r="CS16" i="22"/>
  <c r="CT16" i="22"/>
  <c r="CU16" i="22"/>
  <c r="CV16" i="22"/>
  <c r="CW16" i="22"/>
  <c r="CX16" i="22"/>
  <c r="CY16" i="22"/>
  <c r="CZ16" i="22"/>
  <c r="DA16" i="22"/>
  <c r="DB16" i="22"/>
  <c r="DC16" i="22"/>
  <c r="DD16" i="22"/>
  <c r="DE16" i="22"/>
  <c r="DF16" i="22"/>
  <c r="DG16" i="22"/>
  <c r="DH16" i="22"/>
  <c r="DI16" i="22"/>
  <c r="DJ16" i="22"/>
  <c r="DK16" i="22"/>
  <c r="DL16" i="22"/>
  <c r="DM16" i="22"/>
  <c r="DN16" i="22"/>
  <c r="DO16" i="22"/>
  <c r="DP16" i="22"/>
  <c r="DQ16" i="22"/>
  <c r="DR16" i="22"/>
  <c r="DS16" i="22"/>
  <c r="DT16" i="22"/>
  <c r="DU16" i="22"/>
  <c r="DV16" i="22"/>
  <c r="DW16" i="22"/>
  <c r="DX16" i="22"/>
  <c r="DY16" i="22"/>
  <c r="DZ16" i="22"/>
  <c r="EA16" i="22"/>
  <c r="EB16" i="22"/>
  <c r="EC16" i="22"/>
  <c r="ED16" i="22"/>
  <c r="EE16" i="22"/>
  <c r="EF16" i="22"/>
  <c r="EG16" i="22"/>
  <c r="EH16" i="22"/>
  <c r="EI16" i="22"/>
  <c r="EJ16" i="22"/>
  <c r="EK16" i="22"/>
  <c r="EL16" i="22"/>
  <c r="EM16" i="22"/>
  <c r="EN16" i="22"/>
  <c r="EO16" i="22"/>
  <c r="EP16" i="22"/>
  <c r="EQ16" i="22"/>
  <c r="ER16" i="22"/>
  <c r="ES16" i="22"/>
  <c r="ET16" i="22"/>
  <c r="EU16" i="22"/>
  <c r="EV16" i="22"/>
  <c r="EW16" i="22"/>
  <c r="EX16" i="22"/>
  <c r="EY16" i="22"/>
  <c r="EZ16" i="22"/>
  <c r="FA16" i="22"/>
  <c r="FB16" i="22"/>
  <c r="FC16" i="22"/>
  <c r="FD16" i="22"/>
  <c r="FE16" i="22"/>
  <c r="FF16" i="22"/>
  <c r="FG16" i="22"/>
  <c r="FH16" i="22"/>
  <c r="FI16" i="22"/>
  <c r="FJ16" i="22"/>
  <c r="FK16" i="22"/>
  <c r="FL16" i="22"/>
  <c r="FM16" i="22"/>
  <c r="FN16" i="22"/>
  <c r="FO16" i="22"/>
  <c r="FP16" i="22"/>
  <c r="FQ16" i="22"/>
  <c r="FR16" i="22"/>
  <c r="FS16" i="22"/>
  <c r="FT16" i="22"/>
  <c r="FU16" i="22"/>
  <c r="FV16" i="22"/>
  <c r="FW16" i="22"/>
  <c r="FX16" i="22"/>
  <c r="FY16" i="22"/>
  <c r="FZ16" i="22"/>
  <c r="GA16" i="22"/>
  <c r="GB16" i="22"/>
  <c r="GC16" i="22"/>
  <c r="GD16" i="22"/>
  <c r="GE16" i="22"/>
  <c r="GF16" i="22"/>
  <c r="GG16" i="22"/>
  <c r="GH16" i="22"/>
  <c r="GI16" i="22"/>
  <c r="GJ16" i="22"/>
  <c r="GK16" i="22"/>
  <c r="GL16" i="22"/>
  <c r="GM16" i="22"/>
  <c r="GN16" i="22"/>
  <c r="GO16" i="22"/>
  <c r="GP16" i="22"/>
  <c r="GQ16" i="22"/>
  <c r="GR16" i="22"/>
  <c r="GS16" i="22"/>
  <c r="GT16" i="22"/>
  <c r="GU16" i="22"/>
  <c r="GV16" i="22"/>
  <c r="GW16" i="22"/>
  <c r="GX16" i="22"/>
  <c r="GY16" i="22"/>
  <c r="GZ16" i="22"/>
  <c r="HA16" i="22"/>
  <c r="HB16" i="22"/>
  <c r="HC16" i="22"/>
  <c r="HD16" i="22"/>
  <c r="HE16" i="22"/>
  <c r="HF16" i="22"/>
  <c r="HG16" i="22"/>
  <c r="HH16" i="22"/>
  <c r="HI16" i="22"/>
  <c r="HJ16" i="22"/>
  <c r="HK16" i="22"/>
  <c r="HL16" i="22"/>
  <c r="HM16" i="22"/>
  <c r="HN16" i="22"/>
  <c r="HO16" i="22"/>
  <c r="HP16" i="22"/>
  <c r="HQ16" i="22"/>
  <c r="HR16" i="22"/>
  <c r="HS16" i="22"/>
  <c r="HT16" i="22"/>
  <c r="HU16" i="22"/>
  <c r="HV16" i="22"/>
  <c r="HW16" i="22"/>
  <c r="HX16" i="22"/>
  <c r="HY16" i="22"/>
  <c r="HZ16" i="22"/>
  <c r="IA16" i="22"/>
  <c r="IB16" i="22"/>
  <c r="IC16" i="22"/>
  <c r="ID16" i="22"/>
  <c r="IE16" i="22"/>
  <c r="IF16" i="22"/>
  <c r="IG16" i="22"/>
  <c r="IH16" i="22"/>
  <c r="II16" i="22"/>
  <c r="IJ16" i="22"/>
  <c r="IK16" i="22"/>
  <c r="IL16" i="22"/>
  <c r="IM16" i="22"/>
  <c r="IN16" i="22"/>
  <c r="IO16" i="22"/>
  <c r="IP16" i="22"/>
  <c r="IQ16" i="22"/>
  <c r="IR16" i="22"/>
  <c r="IS16" i="22"/>
  <c r="IT16" i="22"/>
  <c r="IU16" i="22"/>
  <c r="IV16" i="22"/>
  <c r="IW16" i="22"/>
  <c r="IX16" i="22"/>
  <c r="IY16" i="22"/>
  <c r="IZ16" i="22"/>
  <c r="JA16" i="22"/>
  <c r="JB16" i="22"/>
  <c r="JC16" i="22"/>
  <c r="JD16" i="22"/>
  <c r="JE16" i="22"/>
  <c r="JF16" i="22"/>
  <c r="JG16" i="22"/>
  <c r="JH16" i="22"/>
  <c r="JI16" i="22"/>
  <c r="JJ16" i="22"/>
  <c r="JK16" i="22"/>
  <c r="JL16" i="22"/>
  <c r="JM16" i="22"/>
  <c r="JN16" i="22"/>
  <c r="JO16" i="22"/>
  <c r="JP16" i="22"/>
  <c r="JQ16" i="22"/>
  <c r="JR16" i="22"/>
  <c r="JS16" i="22"/>
  <c r="JT16" i="22"/>
  <c r="JU16" i="22"/>
  <c r="JV16" i="22"/>
  <c r="JW16" i="22"/>
  <c r="JX16" i="22"/>
  <c r="JY16" i="22"/>
  <c r="JZ16" i="22"/>
  <c r="KA16" i="22"/>
  <c r="KB16" i="22"/>
  <c r="KC16" i="22"/>
  <c r="KD16" i="22"/>
  <c r="KE16" i="22"/>
  <c r="KF16" i="22"/>
  <c r="KG16" i="22"/>
  <c r="KH16" i="22"/>
  <c r="KI16" i="22"/>
  <c r="KJ16" i="22"/>
  <c r="KK16" i="22"/>
  <c r="KL16" i="22"/>
  <c r="KM16" i="22"/>
  <c r="KN16" i="22"/>
  <c r="KO16" i="22"/>
  <c r="KP16" i="22"/>
  <c r="KQ16" i="22"/>
  <c r="KR16" i="22"/>
  <c r="KS16" i="22"/>
  <c r="KT16" i="22"/>
  <c r="KU16" i="22"/>
  <c r="KV16" i="22"/>
  <c r="KW16" i="22"/>
  <c r="KX16" i="22"/>
  <c r="KY16" i="22"/>
  <c r="KZ16" i="22"/>
  <c r="LA16" i="22"/>
  <c r="LB16" i="22"/>
  <c r="LC16" i="22"/>
  <c r="LD16" i="22"/>
  <c r="LE16" i="22"/>
  <c r="LF16" i="22"/>
  <c r="LG16" i="22"/>
  <c r="LH16" i="22"/>
  <c r="LI16" i="22"/>
  <c r="LJ16" i="22"/>
  <c r="LK16" i="22"/>
  <c r="LL16" i="22"/>
  <c r="LM16" i="22"/>
  <c r="LN16" i="22"/>
  <c r="LO16" i="22"/>
  <c r="LP16" i="22"/>
  <c r="LQ16" i="22"/>
  <c r="LR16" i="22"/>
  <c r="LS16" i="22"/>
  <c r="LT16" i="22"/>
  <c r="LU16" i="22"/>
  <c r="LV16" i="22"/>
  <c r="LW16" i="22"/>
  <c r="LX16" i="22"/>
  <c r="LY16" i="22"/>
  <c r="LZ16" i="22"/>
  <c r="MA16" i="22"/>
  <c r="MB16" i="22"/>
  <c r="MC16" i="22"/>
  <c r="MD16" i="22"/>
  <c r="ME16" i="22"/>
  <c r="MF16" i="22"/>
  <c r="MG16" i="22"/>
  <c r="MH16" i="22"/>
  <c r="MI16" i="22"/>
  <c r="MJ16" i="22"/>
  <c r="MK16" i="22"/>
  <c r="ML16" i="22"/>
  <c r="MM16" i="22"/>
  <c r="MN16" i="22"/>
  <c r="MO16" i="22"/>
  <c r="MP16" i="22"/>
  <c r="MQ16" i="22"/>
  <c r="MR16" i="22"/>
  <c r="MS16" i="22"/>
  <c r="MT16" i="22"/>
  <c r="MU16" i="22"/>
  <c r="MV16" i="22"/>
  <c r="MW16" i="22"/>
  <c r="MX16" i="22"/>
  <c r="MY16" i="22"/>
  <c r="MZ16" i="22"/>
  <c r="NA16" i="22"/>
  <c r="NB16" i="22"/>
  <c r="NC16" i="22"/>
  <c r="ND16" i="22"/>
  <c r="NE16" i="22"/>
  <c r="NF16" i="22"/>
  <c r="NG16" i="22"/>
  <c r="NH16" i="22"/>
  <c r="NI16" i="22"/>
  <c r="NJ16" i="22"/>
  <c r="NK16" i="22"/>
  <c r="NL16" i="22"/>
  <c r="NM16" i="22"/>
  <c r="NN16" i="22"/>
  <c r="NO16" i="22"/>
  <c r="NP16" i="22"/>
  <c r="NQ16" i="22"/>
  <c r="NR16" i="22"/>
  <c r="NS16" i="22"/>
  <c r="NT16" i="22"/>
  <c r="NU16" i="22"/>
  <c r="NV16" i="22"/>
  <c r="NW16" i="22"/>
  <c r="NX16" i="22"/>
  <c r="NY16" i="22"/>
  <c r="NZ16" i="22"/>
  <c r="OA16" i="22"/>
  <c r="OB16" i="22"/>
  <c r="OC16" i="22"/>
  <c r="OD16" i="22"/>
  <c r="OE16" i="22"/>
  <c r="OF16" i="22"/>
  <c r="OG16" i="22"/>
  <c r="OH16" i="22"/>
  <c r="OI16" i="22"/>
  <c r="OJ16" i="22"/>
  <c r="OK16" i="22"/>
  <c r="OL16" i="22"/>
  <c r="OM16" i="22"/>
  <c r="ON16" i="22"/>
  <c r="OO16" i="22"/>
  <c r="OP16" i="22"/>
  <c r="OQ16" i="22"/>
  <c r="OR16" i="22"/>
  <c r="OS16" i="22"/>
  <c r="OT16" i="22"/>
  <c r="OU16" i="22"/>
  <c r="OV16" i="22"/>
  <c r="OW16" i="22"/>
  <c r="OX16" i="22"/>
  <c r="OY16" i="22"/>
  <c r="OZ16" i="22"/>
  <c r="PA16" i="22"/>
  <c r="PB16" i="22"/>
  <c r="PC16" i="22"/>
  <c r="PD16" i="22"/>
  <c r="PE16" i="22"/>
  <c r="PF16" i="22"/>
  <c r="PG16" i="22"/>
  <c r="PH16" i="22"/>
  <c r="PI16" i="22"/>
  <c r="PJ16" i="22"/>
  <c r="PK16" i="22"/>
  <c r="PL16" i="22"/>
  <c r="PM16" i="22"/>
  <c r="PN16" i="22"/>
  <c r="PO16" i="22"/>
  <c r="PP16" i="22"/>
  <c r="PQ16" i="22"/>
  <c r="PR16" i="22"/>
  <c r="PS16" i="22"/>
  <c r="PT16" i="22"/>
  <c r="PU16" i="22"/>
  <c r="PV16" i="22"/>
  <c r="PW16" i="22"/>
  <c r="PX16" i="22"/>
  <c r="PY16" i="22"/>
  <c r="PZ16" i="22"/>
  <c r="QA16" i="22"/>
  <c r="QB16" i="22"/>
  <c r="QC16" i="22"/>
  <c r="QD16" i="22"/>
  <c r="QE16" i="22"/>
  <c r="QF16" i="22"/>
  <c r="QG16" i="22"/>
  <c r="QH16" i="22"/>
  <c r="QI16" i="22"/>
  <c r="QJ16" i="22"/>
  <c r="QK16" i="22"/>
  <c r="QL16" i="22"/>
  <c r="QM16" i="22"/>
  <c r="QN16" i="22"/>
  <c r="QO16" i="22"/>
  <c r="QP16" i="22"/>
  <c r="QQ16" i="22"/>
  <c r="QR16" i="22"/>
  <c r="QS16" i="22"/>
  <c r="QT16" i="22"/>
  <c r="QU16" i="22"/>
  <c r="QV16" i="22"/>
  <c r="QW16" i="22"/>
  <c r="QX16" i="22"/>
  <c r="QY16" i="22"/>
  <c r="QZ16" i="22"/>
  <c r="RA16" i="22"/>
  <c r="RB16" i="22"/>
  <c r="RC16" i="22"/>
  <c r="RD16" i="22"/>
  <c r="RE16" i="22"/>
  <c r="RF16" i="22"/>
  <c r="RG16" i="22"/>
  <c r="RH16" i="22"/>
  <c r="RI16" i="22"/>
  <c r="RJ16" i="22"/>
  <c r="RK16" i="22"/>
  <c r="RL16" i="22"/>
  <c r="RM16" i="22"/>
  <c r="RN16" i="22"/>
  <c r="RO16" i="22"/>
  <c r="RP16" i="22"/>
  <c r="RQ16" i="22"/>
  <c r="RR16" i="22"/>
  <c r="RS16" i="22"/>
  <c r="RT16" i="22"/>
  <c r="RU16" i="22"/>
  <c r="RV16" i="22"/>
  <c r="RW16" i="22"/>
  <c r="RX16" i="22"/>
  <c r="RY16" i="22"/>
  <c r="RZ16" i="22"/>
  <c r="SA16" i="22"/>
  <c r="SB16" i="22"/>
  <c r="SC16" i="22"/>
  <c r="SD16" i="22"/>
  <c r="SE16" i="22"/>
  <c r="SF16" i="22"/>
  <c r="SG16" i="22"/>
  <c r="SH16" i="22"/>
  <c r="SI16" i="22"/>
  <c r="SJ16" i="22"/>
  <c r="SK16" i="22"/>
  <c r="SL16" i="22"/>
  <c r="SM16" i="22"/>
  <c r="SN16" i="22"/>
  <c r="SO16" i="22"/>
  <c r="SP16" i="22"/>
  <c r="SQ16" i="22"/>
  <c r="SR16" i="22"/>
  <c r="SS16" i="22"/>
  <c r="ST16" i="22"/>
  <c r="SU16" i="22"/>
  <c r="SV16" i="22"/>
  <c r="SW16" i="22"/>
  <c r="SX16" i="22"/>
  <c r="SY16" i="22"/>
  <c r="SZ16" i="22"/>
  <c r="TA16" i="22"/>
  <c r="TB16" i="22"/>
  <c r="TC16" i="22"/>
  <c r="TD16" i="22"/>
  <c r="TE16" i="22"/>
  <c r="TF16" i="22"/>
  <c r="TG16" i="22"/>
  <c r="TH16" i="22"/>
  <c r="TI16" i="22"/>
  <c r="TJ16" i="22"/>
  <c r="TK16" i="22"/>
  <c r="TL16" i="22"/>
  <c r="TM16" i="22"/>
  <c r="TN16" i="22"/>
  <c r="TO16" i="22"/>
  <c r="TP16" i="22"/>
  <c r="TQ16" i="22"/>
  <c r="TR16" i="22"/>
  <c r="TS16" i="22"/>
  <c r="TT16" i="22"/>
  <c r="TU16" i="22"/>
  <c r="TV16" i="22"/>
  <c r="TW16" i="22"/>
  <c r="TX16" i="22"/>
  <c r="TY16" i="22"/>
  <c r="TZ16" i="22"/>
  <c r="UA16" i="22"/>
  <c r="UB16" i="22"/>
  <c r="UC16" i="22"/>
  <c r="UD16" i="22"/>
  <c r="UE16" i="22"/>
  <c r="UF16" i="22"/>
  <c r="UG16" i="22"/>
  <c r="UH16" i="22"/>
  <c r="UI16" i="22"/>
  <c r="UJ16" i="22"/>
  <c r="UK16" i="22"/>
  <c r="UL16" i="22"/>
  <c r="UM16" i="22"/>
  <c r="UN16" i="22"/>
  <c r="UO16" i="22"/>
  <c r="UP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AU17" i="22"/>
  <c r="AV17" i="22"/>
  <c r="AW17" i="22"/>
  <c r="AX17" i="22"/>
  <c r="AY17" i="22"/>
  <c r="AZ17" i="22"/>
  <c r="BA17" i="22"/>
  <c r="BB17" i="22"/>
  <c r="BC17" i="22"/>
  <c r="BD17" i="22"/>
  <c r="BE17" i="22"/>
  <c r="BF17" i="22"/>
  <c r="BG17" i="22"/>
  <c r="BH17" i="22"/>
  <c r="BI17" i="22"/>
  <c r="BJ17" i="22"/>
  <c r="BK17" i="22"/>
  <c r="BL17" i="22"/>
  <c r="BM17" i="22"/>
  <c r="BN17" i="22"/>
  <c r="BO17" i="22"/>
  <c r="BP17" i="22"/>
  <c r="BQ17" i="22"/>
  <c r="BR17" i="22"/>
  <c r="BS17" i="22"/>
  <c r="BT17" i="22"/>
  <c r="BU17" i="22"/>
  <c r="BV17" i="22"/>
  <c r="BW17" i="22"/>
  <c r="BX17" i="22"/>
  <c r="BY17" i="22"/>
  <c r="BZ17" i="22"/>
  <c r="CA17" i="22"/>
  <c r="CB17" i="22"/>
  <c r="CC17" i="22"/>
  <c r="CD17" i="22"/>
  <c r="CE17" i="22"/>
  <c r="CF17" i="22"/>
  <c r="CG17" i="22"/>
  <c r="CH17" i="22"/>
  <c r="CI17" i="22"/>
  <c r="CJ17" i="22"/>
  <c r="CK17" i="22"/>
  <c r="CL17" i="22"/>
  <c r="CM17" i="22"/>
  <c r="CN17" i="22"/>
  <c r="CO17" i="22"/>
  <c r="CP17" i="22"/>
  <c r="CQ17" i="22"/>
  <c r="CR17" i="22"/>
  <c r="CS17" i="22"/>
  <c r="CT17" i="22"/>
  <c r="CU17" i="22"/>
  <c r="CV17" i="22"/>
  <c r="CW17" i="22"/>
  <c r="CX17" i="22"/>
  <c r="CY17" i="22"/>
  <c r="CZ17" i="22"/>
  <c r="DA17" i="22"/>
  <c r="DB17" i="22"/>
  <c r="DC17" i="22"/>
  <c r="DD17" i="22"/>
  <c r="DE17" i="22"/>
  <c r="DF17" i="22"/>
  <c r="DG17" i="22"/>
  <c r="DH17" i="22"/>
  <c r="DI17" i="22"/>
  <c r="DJ17" i="22"/>
  <c r="DK17" i="22"/>
  <c r="DL17" i="22"/>
  <c r="DM17" i="22"/>
  <c r="DN17" i="22"/>
  <c r="DO17" i="22"/>
  <c r="DP17" i="22"/>
  <c r="DQ17" i="22"/>
  <c r="DR17" i="22"/>
  <c r="DS17" i="22"/>
  <c r="DT17" i="22"/>
  <c r="DU17" i="22"/>
  <c r="DV17" i="22"/>
  <c r="DW17" i="22"/>
  <c r="DX17" i="22"/>
  <c r="DY17" i="22"/>
  <c r="DZ17" i="22"/>
  <c r="EA17" i="22"/>
  <c r="EB17" i="22"/>
  <c r="EC17" i="22"/>
  <c r="ED17" i="22"/>
  <c r="EE17" i="22"/>
  <c r="EF17" i="22"/>
  <c r="EG17" i="22"/>
  <c r="EH17" i="22"/>
  <c r="EI17" i="22"/>
  <c r="EJ17" i="22"/>
  <c r="EK17" i="22"/>
  <c r="EL17" i="22"/>
  <c r="EM17" i="22"/>
  <c r="EN17" i="22"/>
  <c r="EO17" i="22"/>
  <c r="EP17" i="22"/>
  <c r="EQ17" i="22"/>
  <c r="ER17" i="22"/>
  <c r="ES17" i="22"/>
  <c r="ET17" i="22"/>
  <c r="EU17" i="22"/>
  <c r="EV17" i="22"/>
  <c r="EW17" i="22"/>
  <c r="EX17" i="22"/>
  <c r="EY17" i="22"/>
  <c r="EZ17" i="22"/>
  <c r="FA17" i="22"/>
  <c r="FB17" i="22"/>
  <c r="FC17" i="22"/>
  <c r="FD17" i="22"/>
  <c r="FE17" i="22"/>
  <c r="FF17" i="22"/>
  <c r="FG17" i="22"/>
  <c r="FH17" i="22"/>
  <c r="FI17" i="22"/>
  <c r="FJ17" i="22"/>
  <c r="FK17" i="22"/>
  <c r="FL17" i="22"/>
  <c r="FM17" i="22"/>
  <c r="FN17" i="22"/>
  <c r="FO17" i="22"/>
  <c r="FP17" i="22"/>
  <c r="FQ17" i="22"/>
  <c r="FR17" i="22"/>
  <c r="FS17" i="22"/>
  <c r="FT17" i="22"/>
  <c r="FU17" i="22"/>
  <c r="FV17" i="22"/>
  <c r="FW17" i="22"/>
  <c r="FX17" i="22"/>
  <c r="FY17" i="22"/>
  <c r="FZ17" i="22"/>
  <c r="GA17" i="22"/>
  <c r="GB17" i="22"/>
  <c r="GC17" i="22"/>
  <c r="GD17" i="22"/>
  <c r="GE17" i="22"/>
  <c r="GF17" i="22"/>
  <c r="GG17" i="22"/>
  <c r="GH17" i="22"/>
  <c r="GI17" i="22"/>
  <c r="GJ17" i="22"/>
  <c r="GK17" i="22"/>
  <c r="GL17" i="22"/>
  <c r="GM17" i="22"/>
  <c r="GN17" i="22"/>
  <c r="GO17" i="22"/>
  <c r="GP17" i="22"/>
  <c r="GQ17" i="22"/>
  <c r="GR17" i="22"/>
  <c r="GS17" i="22"/>
  <c r="GT17" i="22"/>
  <c r="GU17" i="22"/>
  <c r="GV17" i="22"/>
  <c r="GW17" i="22"/>
  <c r="GX17" i="22"/>
  <c r="GY17" i="22"/>
  <c r="GZ17" i="22"/>
  <c r="HA17" i="22"/>
  <c r="HB17" i="22"/>
  <c r="HC17" i="22"/>
  <c r="HD17" i="22"/>
  <c r="HE17" i="22"/>
  <c r="HF17" i="22"/>
  <c r="HG17" i="22"/>
  <c r="HH17" i="22"/>
  <c r="HI17" i="22"/>
  <c r="HJ17" i="22"/>
  <c r="HK17" i="22"/>
  <c r="HL17" i="22"/>
  <c r="HM17" i="22"/>
  <c r="HN17" i="22"/>
  <c r="HO17" i="22"/>
  <c r="HP17" i="22"/>
  <c r="HQ17" i="22"/>
  <c r="HR17" i="22"/>
  <c r="HS17" i="22"/>
  <c r="HT17" i="22"/>
  <c r="HU17" i="22"/>
  <c r="HV17" i="22"/>
  <c r="HW17" i="22"/>
  <c r="HX17" i="22"/>
  <c r="HY17" i="22"/>
  <c r="HZ17" i="22"/>
  <c r="IA17" i="22"/>
  <c r="IB17" i="22"/>
  <c r="IC17" i="22"/>
  <c r="ID17" i="22"/>
  <c r="IE17" i="22"/>
  <c r="IF17" i="22"/>
  <c r="IG17" i="22"/>
  <c r="IH17" i="22"/>
  <c r="II17" i="22"/>
  <c r="IJ17" i="22"/>
  <c r="IK17" i="22"/>
  <c r="IL17" i="22"/>
  <c r="IM17" i="22"/>
  <c r="IN17" i="22"/>
  <c r="IO17" i="22"/>
  <c r="IP17" i="22"/>
  <c r="IQ17" i="22"/>
  <c r="IR17" i="22"/>
  <c r="IS17" i="22"/>
  <c r="IT17" i="22"/>
  <c r="IU17" i="22"/>
  <c r="IV17" i="22"/>
  <c r="IW17" i="22"/>
  <c r="IX17" i="22"/>
  <c r="IY17" i="22"/>
  <c r="IZ17" i="22"/>
  <c r="JA17" i="22"/>
  <c r="JB17" i="22"/>
  <c r="JC17" i="22"/>
  <c r="JD17" i="22"/>
  <c r="JE17" i="22"/>
  <c r="JF17" i="22"/>
  <c r="JG17" i="22"/>
  <c r="JH17" i="22"/>
  <c r="JI17" i="22"/>
  <c r="JJ17" i="22"/>
  <c r="JK17" i="22"/>
  <c r="JL17" i="22"/>
  <c r="JM17" i="22"/>
  <c r="JN17" i="22"/>
  <c r="JO17" i="22"/>
  <c r="JP17" i="22"/>
  <c r="JQ17" i="22"/>
  <c r="JR17" i="22"/>
  <c r="JS17" i="22"/>
  <c r="JT17" i="22"/>
  <c r="JU17" i="22"/>
  <c r="JV17" i="22"/>
  <c r="JW17" i="22"/>
  <c r="JX17" i="22"/>
  <c r="JY17" i="22"/>
  <c r="JZ17" i="22"/>
  <c r="KA17" i="22"/>
  <c r="KB17" i="22"/>
  <c r="KC17" i="22"/>
  <c r="KD17" i="22"/>
  <c r="KE17" i="22"/>
  <c r="KF17" i="22"/>
  <c r="KG17" i="22"/>
  <c r="KH17" i="22"/>
  <c r="KI17" i="22"/>
  <c r="KJ17" i="22"/>
  <c r="KK17" i="22"/>
  <c r="KL17" i="22"/>
  <c r="KM17" i="22"/>
  <c r="KN17" i="22"/>
  <c r="KO17" i="22"/>
  <c r="KP17" i="22"/>
  <c r="KQ17" i="22"/>
  <c r="KR17" i="22"/>
  <c r="KS17" i="22"/>
  <c r="KT17" i="22"/>
  <c r="KU17" i="22"/>
  <c r="KV17" i="22"/>
  <c r="KW17" i="22"/>
  <c r="KX17" i="22"/>
  <c r="KY17" i="22"/>
  <c r="KZ17" i="22"/>
  <c r="LA17" i="22"/>
  <c r="LB17" i="22"/>
  <c r="LC17" i="22"/>
  <c r="LD17" i="22"/>
  <c r="LE17" i="22"/>
  <c r="LF17" i="22"/>
  <c r="LG17" i="22"/>
  <c r="LH17" i="22"/>
  <c r="LI17" i="22"/>
  <c r="LJ17" i="22"/>
  <c r="LK17" i="22"/>
  <c r="LL17" i="22"/>
  <c r="LM17" i="22"/>
  <c r="LN17" i="22"/>
  <c r="LO17" i="22"/>
  <c r="LP17" i="22"/>
  <c r="LQ17" i="22"/>
  <c r="LR17" i="22"/>
  <c r="LS17" i="22"/>
  <c r="LT17" i="22"/>
  <c r="LU17" i="22"/>
  <c r="LV17" i="22"/>
  <c r="LW17" i="22"/>
  <c r="LX17" i="22"/>
  <c r="LY17" i="22"/>
  <c r="LZ17" i="22"/>
  <c r="MA17" i="22"/>
  <c r="MB17" i="22"/>
  <c r="MC17" i="22"/>
  <c r="MD17" i="22"/>
  <c r="ME17" i="22"/>
  <c r="MF17" i="22"/>
  <c r="MG17" i="22"/>
  <c r="MH17" i="22"/>
  <c r="MI17" i="22"/>
  <c r="MJ17" i="22"/>
  <c r="MK17" i="22"/>
  <c r="ML17" i="22"/>
  <c r="MM17" i="22"/>
  <c r="MN17" i="22"/>
  <c r="MO17" i="22"/>
  <c r="MP17" i="22"/>
  <c r="MQ17" i="22"/>
  <c r="MR17" i="22"/>
  <c r="MS17" i="22"/>
  <c r="MT17" i="22"/>
  <c r="MU17" i="22"/>
  <c r="MV17" i="22"/>
  <c r="MW17" i="22"/>
  <c r="MX17" i="22"/>
  <c r="MY17" i="22"/>
  <c r="MZ17" i="22"/>
  <c r="NA17" i="22"/>
  <c r="NB17" i="22"/>
  <c r="NC17" i="22"/>
  <c r="ND17" i="22"/>
  <c r="NE17" i="22"/>
  <c r="NF17" i="22"/>
  <c r="NG17" i="22"/>
  <c r="NH17" i="22"/>
  <c r="NI17" i="22"/>
  <c r="NJ17" i="22"/>
  <c r="NK17" i="22"/>
  <c r="NL17" i="22"/>
  <c r="NM17" i="22"/>
  <c r="NN17" i="22"/>
  <c r="NO17" i="22"/>
  <c r="NP17" i="22"/>
  <c r="NQ17" i="22"/>
  <c r="NR17" i="22"/>
  <c r="NS17" i="22"/>
  <c r="NT17" i="22"/>
  <c r="NU17" i="22"/>
  <c r="NV17" i="22"/>
  <c r="NW17" i="22"/>
  <c r="NX17" i="22"/>
  <c r="NY17" i="22"/>
  <c r="NZ17" i="22"/>
  <c r="OA17" i="22"/>
  <c r="OB17" i="22"/>
  <c r="OC17" i="22"/>
  <c r="OD17" i="22"/>
  <c r="OE17" i="22"/>
  <c r="OF17" i="22"/>
  <c r="OG17" i="22"/>
  <c r="OH17" i="22"/>
  <c r="OI17" i="22"/>
  <c r="OJ17" i="22"/>
  <c r="OK17" i="22"/>
  <c r="OL17" i="22"/>
  <c r="OM17" i="22"/>
  <c r="ON17" i="22"/>
  <c r="OO17" i="22"/>
  <c r="OP17" i="22"/>
  <c r="OQ17" i="22"/>
  <c r="OR17" i="22"/>
  <c r="OS17" i="22"/>
  <c r="OT17" i="22"/>
  <c r="OU17" i="22"/>
  <c r="OV17" i="22"/>
  <c r="OW17" i="22"/>
  <c r="OX17" i="22"/>
  <c r="OY17" i="22"/>
  <c r="OZ17" i="22"/>
  <c r="PA17" i="22"/>
  <c r="PB17" i="22"/>
  <c r="PC17" i="22"/>
  <c r="PD17" i="22"/>
  <c r="PE17" i="22"/>
  <c r="PF17" i="22"/>
  <c r="PG17" i="22"/>
  <c r="PH17" i="22"/>
  <c r="PI17" i="22"/>
  <c r="PJ17" i="22"/>
  <c r="PK17" i="22"/>
  <c r="PL17" i="22"/>
  <c r="PM17" i="22"/>
  <c r="PN17" i="22"/>
  <c r="PO17" i="22"/>
  <c r="PP17" i="22"/>
  <c r="PQ17" i="22"/>
  <c r="PR17" i="22"/>
  <c r="PS17" i="22"/>
  <c r="PT17" i="22"/>
  <c r="PU17" i="22"/>
  <c r="PV17" i="22"/>
  <c r="PW17" i="22"/>
  <c r="PX17" i="22"/>
  <c r="PY17" i="22"/>
  <c r="PZ17" i="22"/>
  <c r="QA17" i="22"/>
  <c r="QB17" i="22"/>
  <c r="QC17" i="22"/>
  <c r="QD17" i="22"/>
  <c r="QE17" i="22"/>
  <c r="QF17" i="22"/>
  <c r="QG17" i="22"/>
  <c r="QH17" i="22"/>
  <c r="QI17" i="22"/>
  <c r="QJ17" i="22"/>
  <c r="QK17" i="22"/>
  <c r="QL17" i="22"/>
  <c r="QM17" i="22"/>
  <c r="QN17" i="22"/>
  <c r="QO17" i="22"/>
  <c r="QP17" i="22"/>
  <c r="QQ17" i="22"/>
  <c r="QR17" i="22"/>
  <c r="QS17" i="22"/>
  <c r="QT17" i="22"/>
  <c r="QU17" i="22"/>
  <c r="QV17" i="22"/>
  <c r="QW17" i="22"/>
  <c r="QX17" i="22"/>
  <c r="QY17" i="22"/>
  <c r="QZ17" i="22"/>
  <c r="RA17" i="22"/>
  <c r="RB17" i="22"/>
  <c r="RC17" i="22"/>
  <c r="RD17" i="22"/>
  <c r="RE17" i="22"/>
  <c r="RF17" i="22"/>
  <c r="RG17" i="22"/>
  <c r="RH17" i="22"/>
  <c r="RI17" i="22"/>
  <c r="RJ17" i="22"/>
  <c r="RK17" i="22"/>
  <c r="RL17" i="22"/>
  <c r="RM17" i="22"/>
  <c r="RN17" i="22"/>
  <c r="RO17" i="22"/>
  <c r="RP17" i="22"/>
  <c r="RQ17" i="22"/>
  <c r="RR17" i="22"/>
  <c r="RS17" i="22"/>
  <c r="RT17" i="22"/>
  <c r="RU17" i="22"/>
  <c r="RV17" i="22"/>
  <c r="RW17" i="22"/>
  <c r="RX17" i="22"/>
  <c r="RY17" i="22"/>
  <c r="RZ17" i="22"/>
  <c r="SA17" i="22"/>
  <c r="SB17" i="22"/>
  <c r="SC17" i="22"/>
  <c r="SD17" i="22"/>
  <c r="SE17" i="22"/>
  <c r="SF17" i="22"/>
  <c r="SG17" i="22"/>
  <c r="SH17" i="22"/>
  <c r="SI17" i="22"/>
  <c r="SJ17" i="22"/>
  <c r="SK17" i="22"/>
  <c r="SL17" i="22"/>
  <c r="SM17" i="22"/>
  <c r="SN17" i="22"/>
  <c r="SO17" i="22"/>
  <c r="SP17" i="22"/>
  <c r="SQ17" i="22"/>
  <c r="SR17" i="22"/>
  <c r="SS17" i="22"/>
  <c r="ST17" i="22"/>
  <c r="SU17" i="22"/>
  <c r="SV17" i="22"/>
  <c r="SW17" i="22"/>
  <c r="SX17" i="22"/>
  <c r="SY17" i="22"/>
  <c r="SZ17" i="22"/>
  <c r="TA17" i="22"/>
  <c r="TB17" i="22"/>
  <c r="TC17" i="22"/>
  <c r="TD17" i="22"/>
  <c r="TE17" i="22"/>
  <c r="TF17" i="22"/>
  <c r="TG17" i="22"/>
  <c r="TH17" i="22"/>
  <c r="TI17" i="22"/>
  <c r="TJ17" i="22"/>
  <c r="TK17" i="22"/>
  <c r="TL17" i="22"/>
  <c r="TM17" i="22"/>
  <c r="TN17" i="22"/>
  <c r="TO17" i="22"/>
  <c r="TP17" i="22"/>
  <c r="TQ17" i="22"/>
  <c r="TR17" i="22"/>
  <c r="TS17" i="22"/>
  <c r="TT17" i="22"/>
  <c r="TU17" i="22"/>
  <c r="TV17" i="22"/>
  <c r="TW17" i="22"/>
  <c r="TX17" i="22"/>
  <c r="TY17" i="22"/>
  <c r="TZ17" i="22"/>
  <c r="UA17" i="22"/>
  <c r="UB17" i="22"/>
  <c r="UC17" i="22"/>
  <c r="UD17" i="22"/>
  <c r="UE17" i="22"/>
  <c r="UF17" i="22"/>
  <c r="UG17" i="22"/>
  <c r="UH17" i="22"/>
  <c r="UI17" i="22"/>
  <c r="UJ17" i="22"/>
  <c r="UK17" i="22"/>
  <c r="UL17" i="22"/>
  <c r="UM17" i="22"/>
  <c r="UN17" i="22"/>
  <c r="UO17" i="22"/>
  <c r="UP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AU18" i="22"/>
  <c r="AV18" i="22"/>
  <c r="AW18" i="22"/>
  <c r="AX18" i="22"/>
  <c r="AY18" i="22"/>
  <c r="AZ18" i="22"/>
  <c r="BA18" i="22"/>
  <c r="BB18" i="22"/>
  <c r="BC18" i="22"/>
  <c r="BD18" i="22"/>
  <c r="BE18" i="22"/>
  <c r="BF18" i="22"/>
  <c r="BG18" i="22"/>
  <c r="BH18" i="22"/>
  <c r="BI18" i="22"/>
  <c r="BJ18" i="22"/>
  <c r="BK18" i="22"/>
  <c r="BL18" i="22"/>
  <c r="BM18" i="22"/>
  <c r="BN18" i="22"/>
  <c r="BO18" i="22"/>
  <c r="BP18" i="22"/>
  <c r="BQ18" i="22"/>
  <c r="BR18" i="22"/>
  <c r="BS18" i="22"/>
  <c r="BT18" i="22"/>
  <c r="BU18" i="22"/>
  <c r="BV18" i="22"/>
  <c r="BW18" i="22"/>
  <c r="BX18" i="22"/>
  <c r="BY18" i="22"/>
  <c r="BZ18" i="22"/>
  <c r="CA18" i="22"/>
  <c r="CB18" i="22"/>
  <c r="CC18" i="22"/>
  <c r="CD18" i="22"/>
  <c r="CE18" i="22"/>
  <c r="CF18" i="22"/>
  <c r="CG18" i="22"/>
  <c r="CH18" i="22"/>
  <c r="CI18" i="22"/>
  <c r="CJ18" i="22"/>
  <c r="CK18" i="22"/>
  <c r="CL18" i="22"/>
  <c r="CM18" i="22"/>
  <c r="CN18" i="22"/>
  <c r="CO18" i="22"/>
  <c r="CP18" i="22"/>
  <c r="CQ18" i="22"/>
  <c r="CR18" i="22"/>
  <c r="CS18" i="22"/>
  <c r="CT18" i="22"/>
  <c r="CU18" i="22"/>
  <c r="CV18" i="22"/>
  <c r="CW18" i="22"/>
  <c r="CX18" i="22"/>
  <c r="CY18" i="22"/>
  <c r="CZ18" i="22"/>
  <c r="DA18" i="22"/>
  <c r="DB18" i="22"/>
  <c r="DC18" i="22"/>
  <c r="DD18" i="22"/>
  <c r="DE18" i="22"/>
  <c r="DF18" i="22"/>
  <c r="DG18" i="22"/>
  <c r="DH18" i="22"/>
  <c r="DI18" i="22"/>
  <c r="DJ18" i="22"/>
  <c r="DK18" i="22"/>
  <c r="DL18" i="22"/>
  <c r="DM18" i="22"/>
  <c r="DN18" i="22"/>
  <c r="DO18" i="22"/>
  <c r="DP18" i="22"/>
  <c r="DQ18" i="22"/>
  <c r="DR18" i="22"/>
  <c r="DS18" i="22"/>
  <c r="DT18" i="22"/>
  <c r="DU18" i="22"/>
  <c r="DV18" i="22"/>
  <c r="DW18" i="22"/>
  <c r="DX18" i="22"/>
  <c r="DY18" i="22"/>
  <c r="DZ18" i="22"/>
  <c r="EA18" i="22"/>
  <c r="EB18" i="22"/>
  <c r="EC18" i="22"/>
  <c r="ED18" i="22"/>
  <c r="EE18" i="22"/>
  <c r="EF18" i="22"/>
  <c r="EG18" i="22"/>
  <c r="EH18" i="22"/>
  <c r="EI18" i="22"/>
  <c r="EJ18" i="22"/>
  <c r="EK18" i="22"/>
  <c r="EL18" i="22"/>
  <c r="EM18" i="22"/>
  <c r="EN18" i="22"/>
  <c r="EO18" i="22"/>
  <c r="EP18" i="22"/>
  <c r="EQ18" i="22"/>
  <c r="ER18" i="22"/>
  <c r="ES18" i="22"/>
  <c r="ET18" i="22"/>
  <c r="EU18" i="22"/>
  <c r="EV18" i="22"/>
  <c r="EW18" i="22"/>
  <c r="EX18" i="22"/>
  <c r="EY18" i="22"/>
  <c r="EZ18" i="22"/>
  <c r="FA18" i="22"/>
  <c r="FB18" i="22"/>
  <c r="FC18" i="22"/>
  <c r="FD18" i="22"/>
  <c r="FE18" i="22"/>
  <c r="FF18" i="22"/>
  <c r="FG18" i="22"/>
  <c r="FH18" i="22"/>
  <c r="FI18" i="22"/>
  <c r="FJ18" i="22"/>
  <c r="FK18" i="22"/>
  <c r="FL18" i="22"/>
  <c r="FM18" i="22"/>
  <c r="FN18" i="22"/>
  <c r="FO18" i="22"/>
  <c r="FP18" i="22"/>
  <c r="FQ18" i="22"/>
  <c r="FR18" i="22"/>
  <c r="FS18" i="22"/>
  <c r="FT18" i="22"/>
  <c r="FU18" i="22"/>
  <c r="FV18" i="22"/>
  <c r="FW18" i="22"/>
  <c r="FX18" i="22"/>
  <c r="FY18" i="22"/>
  <c r="FZ18" i="22"/>
  <c r="GA18" i="22"/>
  <c r="GB18" i="22"/>
  <c r="GC18" i="22"/>
  <c r="GD18" i="22"/>
  <c r="GE18" i="22"/>
  <c r="GF18" i="22"/>
  <c r="GG18" i="22"/>
  <c r="GH18" i="22"/>
  <c r="GI18" i="22"/>
  <c r="GJ18" i="22"/>
  <c r="GK18" i="22"/>
  <c r="GL18" i="22"/>
  <c r="GM18" i="22"/>
  <c r="GN18" i="22"/>
  <c r="GO18" i="22"/>
  <c r="GP18" i="22"/>
  <c r="GQ18" i="22"/>
  <c r="GR18" i="22"/>
  <c r="GS18" i="22"/>
  <c r="GT18" i="22"/>
  <c r="GU18" i="22"/>
  <c r="GV18" i="22"/>
  <c r="GW18" i="22"/>
  <c r="GX18" i="22"/>
  <c r="GY18" i="22"/>
  <c r="GZ18" i="22"/>
  <c r="HA18" i="22"/>
  <c r="HB18" i="22"/>
  <c r="HC18" i="22"/>
  <c r="HD18" i="22"/>
  <c r="HE18" i="22"/>
  <c r="HF18" i="22"/>
  <c r="HG18" i="22"/>
  <c r="HH18" i="22"/>
  <c r="HI18" i="22"/>
  <c r="HJ18" i="22"/>
  <c r="HK18" i="22"/>
  <c r="HL18" i="22"/>
  <c r="HM18" i="22"/>
  <c r="HN18" i="22"/>
  <c r="HO18" i="22"/>
  <c r="HP18" i="22"/>
  <c r="HQ18" i="22"/>
  <c r="HR18" i="22"/>
  <c r="HS18" i="22"/>
  <c r="HT18" i="22"/>
  <c r="HU18" i="22"/>
  <c r="HV18" i="22"/>
  <c r="HW18" i="22"/>
  <c r="HX18" i="22"/>
  <c r="HY18" i="22"/>
  <c r="HZ18" i="22"/>
  <c r="IA18" i="22"/>
  <c r="IB18" i="22"/>
  <c r="IC18" i="22"/>
  <c r="ID18" i="22"/>
  <c r="IE18" i="22"/>
  <c r="IF18" i="22"/>
  <c r="IG18" i="22"/>
  <c r="IH18" i="22"/>
  <c r="II18" i="22"/>
  <c r="IJ18" i="22"/>
  <c r="IK18" i="22"/>
  <c r="IL18" i="22"/>
  <c r="IM18" i="22"/>
  <c r="IN18" i="22"/>
  <c r="IO18" i="22"/>
  <c r="IP18" i="22"/>
  <c r="IQ18" i="22"/>
  <c r="IR18" i="22"/>
  <c r="IS18" i="22"/>
  <c r="IT18" i="22"/>
  <c r="IU18" i="22"/>
  <c r="IV18" i="22"/>
  <c r="IW18" i="22"/>
  <c r="IX18" i="22"/>
  <c r="IY18" i="22"/>
  <c r="IZ18" i="22"/>
  <c r="JA18" i="22"/>
  <c r="JB18" i="22"/>
  <c r="JC18" i="22"/>
  <c r="JD18" i="22"/>
  <c r="JE18" i="22"/>
  <c r="JF18" i="22"/>
  <c r="JG18" i="22"/>
  <c r="JH18" i="22"/>
  <c r="JI18" i="22"/>
  <c r="JJ18" i="22"/>
  <c r="JK18" i="22"/>
  <c r="JL18" i="22"/>
  <c r="JM18" i="22"/>
  <c r="JN18" i="22"/>
  <c r="JO18" i="22"/>
  <c r="JP18" i="22"/>
  <c r="JQ18" i="22"/>
  <c r="JR18" i="22"/>
  <c r="JS18" i="22"/>
  <c r="JT18" i="22"/>
  <c r="JU18" i="22"/>
  <c r="JV18" i="22"/>
  <c r="JW18" i="22"/>
  <c r="JX18" i="22"/>
  <c r="JY18" i="22"/>
  <c r="JZ18" i="22"/>
  <c r="KA18" i="22"/>
  <c r="KB18" i="22"/>
  <c r="KC18" i="22"/>
  <c r="KD18" i="22"/>
  <c r="KE18" i="22"/>
  <c r="KF18" i="22"/>
  <c r="KG18" i="22"/>
  <c r="KH18" i="22"/>
  <c r="KI18" i="22"/>
  <c r="KJ18" i="22"/>
  <c r="KK18" i="22"/>
  <c r="KL18" i="22"/>
  <c r="KM18" i="22"/>
  <c r="KN18" i="22"/>
  <c r="KO18" i="22"/>
  <c r="KP18" i="22"/>
  <c r="KQ18" i="22"/>
  <c r="KR18" i="22"/>
  <c r="KS18" i="22"/>
  <c r="KT18" i="22"/>
  <c r="KU18" i="22"/>
  <c r="KV18" i="22"/>
  <c r="KW18" i="22"/>
  <c r="KX18" i="22"/>
  <c r="KY18" i="22"/>
  <c r="KZ18" i="22"/>
  <c r="LA18" i="22"/>
  <c r="LB18" i="22"/>
  <c r="LC18" i="22"/>
  <c r="LD18" i="22"/>
  <c r="LE18" i="22"/>
  <c r="LF18" i="22"/>
  <c r="LG18" i="22"/>
  <c r="LH18" i="22"/>
  <c r="LI18" i="22"/>
  <c r="LJ18" i="22"/>
  <c r="LK18" i="22"/>
  <c r="LL18" i="22"/>
  <c r="LM18" i="22"/>
  <c r="LN18" i="22"/>
  <c r="LO18" i="22"/>
  <c r="LP18" i="22"/>
  <c r="LQ18" i="22"/>
  <c r="LR18" i="22"/>
  <c r="LS18" i="22"/>
  <c r="LT18" i="22"/>
  <c r="LU18" i="22"/>
  <c r="LV18" i="22"/>
  <c r="LW18" i="22"/>
  <c r="LX18" i="22"/>
  <c r="LY18" i="22"/>
  <c r="LZ18" i="22"/>
  <c r="MA18" i="22"/>
  <c r="MB18" i="22"/>
  <c r="MC18" i="22"/>
  <c r="MD18" i="22"/>
  <c r="ME18" i="22"/>
  <c r="MF18" i="22"/>
  <c r="MG18" i="22"/>
  <c r="MH18" i="22"/>
  <c r="MI18" i="22"/>
  <c r="MJ18" i="22"/>
  <c r="MK18" i="22"/>
  <c r="ML18" i="22"/>
  <c r="MM18" i="22"/>
  <c r="MN18" i="22"/>
  <c r="MO18" i="22"/>
  <c r="MP18" i="22"/>
  <c r="MQ18" i="22"/>
  <c r="MR18" i="22"/>
  <c r="MS18" i="22"/>
  <c r="MT18" i="22"/>
  <c r="MU18" i="22"/>
  <c r="MV18" i="22"/>
  <c r="MW18" i="22"/>
  <c r="MX18" i="22"/>
  <c r="MY18" i="22"/>
  <c r="MZ18" i="22"/>
  <c r="NA18" i="22"/>
  <c r="NB18" i="22"/>
  <c r="NC18" i="22"/>
  <c r="ND18" i="22"/>
  <c r="NE18" i="22"/>
  <c r="NF18" i="22"/>
  <c r="NG18" i="22"/>
  <c r="NH18" i="22"/>
  <c r="NI18" i="22"/>
  <c r="NJ18" i="22"/>
  <c r="NK18" i="22"/>
  <c r="NL18" i="22"/>
  <c r="NM18" i="22"/>
  <c r="NN18" i="22"/>
  <c r="NO18" i="22"/>
  <c r="NP18" i="22"/>
  <c r="NQ18" i="22"/>
  <c r="NR18" i="22"/>
  <c r="NS18" i="22"/>
  <c r="NT18" i="22"/>
  <c r="NU18" i="22"/>
  <c r="NV18" i="22"/>
  <c r="NW18" i="22"/>
  <c r="NX18" i="22"/>
  <c r="NY18" i="22"/>
  <c r="NZ18" i="22"/>
  <c r="OA18" i="22"/>
  <c r="OB18" i="22"/>
  <c r="OC18" i="22"/>
  <c r="OD18" i="22"/>
  <c r="OE18" i="22"/>
  <c r="OF18" i="22"/>
  <c r="OG18" i="22"/>
  <c r="OH18" i="22"/>
  <c r="OI18" i="22"/>
  <c r="OJ18" i="22"/>
  <c r="OK18" i="22"/>
  <c r="OL18" i="22"/>
  <c r="OM18" i="22"/>
  <c r="ON18" i="22"/>
  <c r="OO18" i="22"/>
  <c r="OP18" i="22"/>
  <c r="OQ18" i="22"/>
  <c r="OR18" i="22"/>
  <c r="OS18" i="22"/>
  <c r="OT18" i="22"/>
  <c r="OU18" i="22"/>
  <c r="OV18" i="22"/>
  <c r="OW18" i="22"/>
  <c r="OX18" i="22"/>
  <c r="OY18" i="22"/>
  <c r="OZ18" i="22"/>
  <c r="PA18" i="22"/>
  <c r="PB18" i="22"/>
  <c r="PC18" i="22"/>
  <c r="PD18" i="22"/>
  <c r="PE18" i="22"/>
  <c r="PF18" i="22"/>
  <c r="PG18" i="22"/>
  <c r="PH18" i="22"/>
  <c r="PI18" i="22"/>
  <c r="PJ18" i="22"/>
  <c r="PK18" i="22"/>
  <c r="PL18" i="22"/>
  <c r="PM18" i="22"/>
  <c r="PN18" i="22"/>
  <c r="PO18" i="22"/>
  <c r="PP18" i="22"/>
  <c r="PQ18" i="22"/>
  <c r="PR18" i="22"/>
  <c r="PS18" i="22"/>
  <c r="PT18" i="22"/>
  <c r="PU18" i="22"/>
  <c r="PV18" i="22"/>
  <c r="PW18" i="22"/>
  <c r="PX18" i="22"/>
  <c r="PY18" i="22"/>
  <c r="PZ18" i="22"/>
  <c r="QA18" i="22"/>
  <c r="QB18" i="22"/>
  <c r="QC18" i="22"/>
  <c r="QD18" i="22"/>
  <c r="QE18" i="22"/>
  <c r="QF18" i="22"/>
  <c r="QG18" i="22"/>
  <c r="QH18" i="22"/>
  <c r="QI18" i="22"/>
  <c r="QJ18" i="22"/>
  <c r="QK18" i="22"/>
  <c r="QL18" i="22"/>
  <c r="QM18" i="22"/>
  <c r="QN18" i="22"/>
  <c r="QO18" i="22"/>
  <c r="QP18" i="22"/>
  <c r="QQ18" i="22"/>
  <c r="QR18" i="22"/>
  <c r="QS18" i="22"/>
  <c r="QT18" i="22"/>
  <c r="QU18" i="22"/>
  <c r="QV18" i="22"/>
  <c r="QW18" i="22"/>
  <c r="QX18" i="22"/>
  <c r="QY18" i="22"/>
  <c r="QZ18" i="22"/>
  <c r="RA18" i="22"/>
  <c r="RB18" i="22"/>
  <c r="RC18" i="22"/>
  <c r="RD18" i="22"/>
  <c r="RE18" i="22"/>
  <c r="RF18" i="22"/>
  <c r="RG18" i="22"/>
  <c r="RH18" i="22"/>
  <c r="RI18" i="22"/>
  <c r="RJ18" i="22"/>
  <c r="RK18" i="22"/>
  <c r="RL18" i="22"/>
  <c r="RM18" i="22"/>
  <c r="RN18" i="22"/>
  <c r="RO18" i="22"/>
  <c r="RP18" i="22"/>
  <c r="RQ18" i="22"/>
  <c r="RR18" i="22"/>
  <c r="RS18" i="22"/>
  <c r="RT18" i="22"/>
  <c r="RU18" i="22"/>
  <c r="RV18" i="22"/>
  <c r="RW18" i="22"/>
  <c r="RX18" i="22"/>
  <c r="RY18" i="22"/>
  <c r="RZ18" i="22"/>
  <c r="SA18" i="22"/>
  <c r="SB18" i="22"/>
  <c r="SC18" i="22"/>
  <c r="SD18" i="22"/>
  <c r="SE18" i="22"/>
  <c r="SF18" i="22"/>
  <c r="SG18" i="22"/>
  <c r="SH18" i="22"/>
  <c r="SI18" i="22"/>
  <c r="SJ18" i="22"/>
  <c r="SK18" i="22"/>
  <c r="SL18" i="22"/>
  <c r="SM18" i="22"/>
  <c r="SN18" i="22"/>
  <c r="SO18" i="22"/>
  <c r="SP18" i="22"/>
  <c r="SQ18" i="22"/>
  <c r="SR18" i="22"/>
  <c r="SS18" i="22"/>
  <c r="ST18" i="22"/>
  <c r="SU18" i="22"/>
  <c r="SV18" i="22"/>
  <c r="SW18" i="22"/>
  <c r="SX18" i="22"/>
  <c r="SY18" i="22"/>
  <c r="SZ18" i="22"/>
  <c r="TA18" i="22"/>
  <c r="TB18" i="22"/>
  <c r="TC18" i="22"/>
  <c r="TD18" i="22"/>
  <c r="TE18" i="22"/>
  <c r="TF18" i="22"/>
  <c r="TG18" i="22"/>
  <c r="TH18" i="22"/>
  <c r="TI18" i="22"/>
  <c r="TJ18" i="22"/>
  <c r="TK18" i="22"/>
  <c r="TL18" i="22"/>
  <c r="TM18" i="22"/>
  <c r="TN18" i="22"/>
  <c r="TO18" i="22"/>
  <c r="TP18" i="22"/>
  <c r="TQ18" i="22"/>
  <c r="TR18" i="22"/>
  <c r="TS18" i="22"/>
  <c r="TT18" i="22"/>
  <c r="TU18" i="22"/>
  <c r="TV18" i="22"/>
  <c r="TW18" i="22"/>
  <c r="TX18" i="22"/>
  <c r="TY18" i="22"/>
  <c r="TZ18" i="22"/>
  <c r="UA18" i="22"/>
  <c r="UB18" i="22"/>
  <c r="UC18" i="22"/>
  <c r="UD18" i="22"/>
  <c r="UE18" i="22"/>
  <c r="UF18" i="22"/>
  <c r="UG18" i="22"/>
  <c r="UH18" i="22"/>
  <c r="UI18" i="22"/>
  <c r="UJ18" i="22"/>
  <c r="UK18" i="22"/>
  <c r="UL18" i="22"/>
  <c r="UM18" i="22"/>
  <c r="UN18" i="22"/>
  <c r="UO18" i="22"/>
  <c r="UP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V19" i="22"/>
  <c r="AW19" i="22"/>
  <c r="AX19" i="22"/>
  <c r="AY19" i="22"/>
  <c r="AZ19" i="22"/>
  <c r="BA19" i="22"/>
  <c r="BB19" i="22"/>
  <c r="BC19" i="22"/>
  <c r="BD19" i="22"/>
  <c r="BE19" i="22"/>
  <c r="BF19" i="22"/>
  <c r="BG19" i="22"/>
  <c r="BH19" i="22"/>
  <c r="BI19" i="22"/>
  <c r="BJ19" i="22"/>
  <c r="BK19" i="22"/>
  <c r="BL19" i="22"/>
  <c r="BM19" i="22"/>
  <c r="BN19" i="22"/>
  <c r="BO19" i="22"/>
  <c r="BP19" i="22"/>
  <c r="BQ19" i="22"/>
  <c r="BR19" i="22"/>
  <c r="BS19" i="22"/>
  <c r="BT19" i="22"/>
  <c r="BU19" i="22"/>
  <c r="BV19" i="22"/>
  <c r="BW19" i="22"/>
  <c r="BX19" i="22"/>
  <c r="BY19" i="22"/>
  <c r="BZ19" i="22"/>
  <c r="CA19" i="22"/>
  <c r="CB19" i="22"/>
  <c r="CC19" i="22"/>
  <c r="CD19" i="22"/>
  <c r="CE19" i="22"/>
  <c r="CF19" i="22"/>
  <c r="CG19" i="22"/>
  <c r="CH19" i="22"/>
  <c r="CI19" i="22"/>
  <c r="CJ19" i="22"/>
  <c r="CK19" i="22"/>
  <c r="CL19" i="22"/>
  <c r="CM19" i="22"/>
  <c r="CN19" i="22"/>
  <c r="CO19" i="22"/>
  <c r="CP19" i="22"/>
  <c r="CQ19" i="22"/>
  <c r="CR19" i="22"/>
  <c r="CS19" i="22"/>
  <c r="CT19" i="22"/>
  <c r="CU19" i="22"/>
  <c r="CV19" i="22"/>
  <c r="CW19" i="22"/>
  <c r="CX19" i="22"/>
  <c r="CY19" i="22"/>
  <c r="CZ19" i="22"/>
  <c r="DA19" i="22"/>
  <c r="DB19" i="22"/>
  <c r="DC19" i="22"/>
  <c r="DD19" i="22"/>
  <c r="DE19" i="22"/>
  <c r="DF19" i="22"/>
  <c r="DG19" i="22"/>
  <c r="DH19" i="22"/>
  <c r="DI19" i="22"/>
  <c r="DJ19" i="22"/>
  <c r="DK19" i="22"/>
  <c r="DL19" i="22"/>
  <c r="DM19" i="22"/>
  <c r="DN19" i="22"/>
  <c r="DO19" i="22"/>
  <c r="DP19" i="22"/>
  <c r="DQ19" i="22"/>
  <c r="DR19" i="22"/>
  <c r="DS19" i="22"/>
  <c r="DT19" i="22"/>
  <c r="DU19" i="22"/>
  <c r="DV19" i="22"/>
  <c r="DW19" i="22"/>
  <c r="DX19" i="22"/>
  <c r="DY19" i="22"/>
  <c r="DZ19" i="22"/>
  <c r="EA19" i="22"/>
  <c r="EB19" i="22"/>
  <c r="EC19" i="22"/>
  <c r="ED19" i="22"/>
  <c r="EE19" i="22"/>
  <c r="EF19" i="22"/>
  <c r="EG19" i="22"/>
  <c r="EH19" i="22"/>
  <c r="EI19" i="22"/>
  <c r="EJ19" i="22"/>
  <c r="EK19" i="22"/>
  <c r="EL19" i="22"/>
  <c r="EM19" i="22"/>
  <c r="EN19" i="22"/>
  <c r="EO19" i="22"/>
  <c r="EP19" i="22"/>
  <c r="EQ19" i="22"/>
  <c r="ER19" i="22"/>
  <c r="ES19" i="22"/>
  <c r="ET19" i="22"/>
  <c r="EU19" i="22"/>
  <c r="EV19" i="22"/>
  <c r="EW19" i="22"/>
  <c r="EX19" i="22"/>
  <c r="EY19" i="22"/>
  <c r="EZ19" i="22"/>
  <c r="FA19" i="22"/>
  <c r="FB19" i="22"/>
  <c r="FC19" i="22"/>
  <c r="FD19" i="22"/>
  <c r="FE19" i="22"/>
  <c r="FF19" i="22"/>
  <c r="FG19" i="22"/>
  <c r="FH19" i="22"/>
  <c r="FI19" i="22"/>
  <c r="FJ19" i="22"/>
  <c r="FK19" i="22"/>
  <c r="FL19" i="22"/>
  <c r="FM19" i="22"/>
  <c r="FN19" i="22"/>
  <c r="FO19" i="22"/>
  <c r="FP19" i="22"/>
  <c r="FQ19" i="22"/>
  <c r="FR19" i="22"/>
  <c r="FS19" i="22"/>
  <c r="FT19" i="22"/>
  <c r="FU19" i="22"/>
  <c r="FV19" i="22"/>
  <c r="FW19" i="22"/>
  <c r="FX19" i="22"/>
  <c r="FY19" i="22"/>
  <c r="FZ19" i="22"/>
  <c r="GA19" i="22"/>
  <c r="GB19" i="22"/>
  <c r="GC19" i="22"/>
  <c r="GD19" i="22"/>
  <c r="GE19" i="22"/>
  <c r="GF19" i="22"/>
  <c r="GG19" i="22"/>
  <c r="GH19" i="22"/>
  <c r="GI19" i="22"/>
  <c r="GJ19" i="22"/>
  <c r="GK19" i="22"/>
  <c r="GL19" i="22"/>
  <c r="GM19" i="22"/>
  <c r="GN19" i="22"/>
  <c r="GO19" i="22"/>
  <c r="GP19" i="22"/>
  <c r="GQ19" i="22"/>
  <c r="GR19" i="22"/>
  <c r="GS19" i="22"/>
  <c r="GT19" i="22"/>
  <c r="GU19" i="22"/>
  <c r="GV19" i="22"/>
  <c r="GW19" i="22"/>
  <c r="GX19" i="22"/>
  <c r="GY19" i="22"/>
  <c r="GZ19" i="22"/>
  <c r="HA19" i="22"/>
  <c r="HB19" i="22"/>
  <c r="HC19" i="22"/>
  <c r="HD19" i="22"/>
  <c r="HE19" i="22"/>
  <c r="HF19" i="22"/>
  <c r="HG19" i="22"/>
  <c r="HH19" i="22"/>
  <c r="HI19" i="22"/>
  <c r="HJ19" i="22"/>
  <c r="HK19" i="22"/>
  <c r="HL19" i="22"/>
  <c r="HM19" i="22"/>
  <c r="HN19" i="22"/>
  <c r="HO19" i="22"/>
  <c r="HP19" i="22"/>
  <c r="HQ19" i="22"/>
  <c r="HR19" i="22"/>
  <c r="HS19" i="22"/>
  <c r="HT19" i="22"/>
  <c r="HU19" i="22"/>
  <c r="HV19" i="22"/>
  <c r="HW19" i="22"/>
  <c r="HX19" i="22"/>
  <c r="HY19" i="22"/>
  <c r="HZ19" i="22"/>
  <c r="IA19" i="22"/>
  <c r="IB19" i="22"/>
  <c r="IC19" i="22"/>
  <c r="ID19" i="22"/>
  <c r="IE19" i="22"/>
  <c r="IF19" i="22"/>
  <c r="IG19" i="22"/>
  <c r="IH19" i="22"/>
  <c r="II19" i="22"/>
  <c r="IJ19" i="22"/>
  <c r="IK19" i="22"/>
  <c r="IL19" i="22"/>
  <c r="IM19" i="22"/>
  <c r="IN19" i="22"/>
  <c r="IO19" i="22"/>
  <c r="IP19" i="22"/>
  <c r="IQ19" i="22"/>
  <c r="IR19" i="22"/>
  <c r="IS19" i="22"/>
  <c r="IT19" i="22"/>
  <c r="IU19" i="22"/>
  <c r="IV19" i="22"/>
  <c r="IW19" i="22"/>
  <c r="IX19" i="22"/>
  <c r="IY19" i="22"/>
  <c r="IZ19" i="22"/>
  <c r="JA19" i="22"/>
  <c r="JB19" i="22"/>
  <c r="JC19" i="22"/>
  <c r="JD19" i="22"/>
  <c r="JE19" i="22"/>
  <c r="JF19" i="22"/>
  <c r="JG19" i="22"/>
  <c r="JH19" i="22"/>
  <c r="JI19" i="22"/>
  <c r="JJ19" i="22"/>
  <c r="JK19" i="22"/>
  <c r="JL19" i="22"/>
  <c r="JM19" i="22"/>
  <c r="JN19" i="22"/>
  <c r="JO19" i="22"/>
  <c r="JP19" i="22"/>
  <c r="JQ19" i="22"/>
  <c r="JR19" i="22"/>
  <c r="JS19" i="22"/>
  <c r="JT19" i="22"/>
  <c r="JU19" i="22"/>
  <c r="JV19" i="22"/>
  <c r="JW19" i="22"/>
  <c r="JX19" i="22"/>
  <c r="JY19" i="22"/>
  <c r="JZ19" i="22"/>
  <c r="KA19" i="22"/>
  <c r="KB19" i="22"/>
  <c r="KC19" i="22"/>
  <c r="KD19" i="22"/>
  <c r="KE19" i="22"/>
  <c r="KF19" i="22"/>
  <c r="KG19" i="22"/>
  <c r="KH19" i="22"/>
  <c r="KI19" i="22"/>
  <c r="KJ19" i="22"/>
  <c r="KK19" i="22"/>
  <c r="KL19" i="22"/>
  <c r="KM19" i="22"/>
  <c r="KN19" i="22"/>
  <c r="KO19" i="22"/>
  <c r="KP19" i="22"/>
  <c r="KQ19" i="22"/>
  <c r="KR19" i="22"/>
  <c r="KS19" i="22"/>
  <c r="KT19" i="22"/>
  <c r="KU19" i="22"/>
  <c r="KV19" i="22"/>
  <c r="KW19" i="22"/>
  <c r="KX19" i="22"/>
  <c r="KY19" i="22"/>
  <c r="KZ19" i="22"/>
  <c r="LA19" i="22"/>
  <c r="LB19" i="22"/>
  <c r="LC19" i="22"/>
  <c r="LD19" i="22"/>
  <c r="LE19" i="22"/>
  <c r="LF19" i="22"/>
  <c r="LG19" i="22"/>
  <c r="LH19" i="22"/>
  <c r="LI19" i="22"/>
  <c r="LJ19" i="22"/>
  <c r="LK19" i="22"/>
  <c r="LL19" i="22"/>
  <c r="LM19" i="22"/>
  <c r="LN19" i="22"/>
  <c r="LO19" i="22"/>
  <c r="LP19" i="22"/>
  <c r="LQ19" i="22"/>
  <c r="LR19" i="22"/>
  <c r="LS19" i="22"/>
  <c r="LT19" i="22"/>
  <c r="LU19" i="22"/>
  <c r="LV19" i="22"/>
  <c r="LW19" i="22"/>
  <c r="LX19" i="22"/>
  <c r="LY19" i="22"/>
  <c r="LZ19" i="22"/>
  <c r="MA19" i="22"/>
  <c r="MB19" i="22"/>
  <c r="MC19" i="22"/>
  <c r="MD19" i="22"/>
  <c r="ME19" i="22"/>
  <c r="MF19" i="22"/>
  <c r="MG19" i="22"/>
  <c r="MH19" i="22"/>
  <c r="MI19" i="22"/>
  <c r="MJ19" i="22"/>
  <c r="MK19" i="22"/>
  <c r="ML19" i="22"/>
  <c r="MM19" i="22"/>
  <c r="MN19" i="22"/>
  <c r="MO19" i="22"/>
  <c r="MP19" i="22"/>
  <c r="MQ19" i="22"/>
  <c r="MR19" i="22"/>
  <c r="MS19" i="22"/>
  <c r="MT19" i="22"/>
  <c r="MU19" i="22"/>
  <c r="MV19" i="22"/>
  <c r="MW19" i="22"/>
  <c r="MX19" i="22"/>
  <c r="MY19" i="22"/>
  <c r="MZ19" i="22"/>
  <c r="NA19" i="22"/>
  <c r="NB19" i="22"/>
  <c r="NC19" i="22"/>
  <c r="ND19" i="22"/>
  <c r="NE19" i="22"/>
  <c r="NF19" i="22"/>
  <c r="NG19" i="22"/>
  <c r="NH19" i="22"/>
  <c r="NI19" i="22"/>
  <c r="NJ19" i="22"/>
  <c r="NK19" i="22"/>
  <c r="NL19" i="22"/>
  <c r="NM19" i="22"/>
  <c r="NN19" i="22"/>
  <c r="NO19" i="22"/>
  <c r="NP19" i="22"/>
  <c r="NQ19" i="22"/>
  <c r="NR19" i="22"/>
  <c r="NS19" i="22"/>
  <c r="NT19" i="22"/>
  <c r="NU19" i="22"/>
  <c r="NV19" i="22"/>
  <c r="NW19" i="22"/>
  <c r="NX19" i="22"/>
  <c r="NY19" i="22"/>
  <c r="NZ19" i="22"/>
  <c r="OA19" i="22"/>
  <c r="OB19" i="22"/>
  <c r="OC19" i="22"/>
  <c r="OD19" i="22"/>
  <c r="OE19" i="22"/>
  <c r="OF19" i="22"/>
  <c r="OG19" i="22"/>
  <c r="OH19" i="22"/>
  <c r="OI19" i="22"/>
  <c r="OJ19" i="22"/>
  <c r="OK19" i="22"/>
  <c r="OL19" i="22"/>
  <c r="OM19" i="22"/>
  <c r="ON19" i="22"/>
  <c r="OO19" i="22"/>
  <c r="OP19" i="22"/>
  <c r="OQ19" i="22"/>
  <c r="OR19" i="22"/>
  <c r="OS19" i="22"/>
  <c r="OT19" i="22"/>
  <c r="OU19" i="22"/>
  <c r="OV19" i="22"/>
  <c r="OW19" i="22"/>
  <c r="OX19" i="22"/>
  <c r="OY19" i="22"/>
  <c r="OZ19" i="22"/>
  <c r="PA19" i="22"/>
  <c r="PB19" i="22"/>
  <c r="PC19" i="22"/>
  <c r="PD19" i="22"/>
  <c r="PE19" i="22"/>
  <c r="PF19" i="22"/>
  <c r="PG19" i="22"/>
  <c r="PH19" i="22"/>
  <c r="PI19" i="22"/>
  <c r="PJ19" i="22"/>
  <c r="PK19" i="22"/>
  <c r="PL19" i="22"/>
  <c r="PM19" i="22"/>
  <c r="PN19" i="22"/>
  <c r="PO19" i="22"/>
  <c r="PP19" i="22"/>
  <c r="PQ19" i="22"/>
  <c r="PR19" i="22"/>
  <c r="PS19" i="22"/>
  <c r="PT19" i="22"/>
  <c r="PU19" i="22"/>
  <c r="PV19" i="22"/>
  <c r="PW19" i="22"/>
  <c r="PX19" i="22"/>
  <c r="PY19" i="22"/>
  <c r="PZ19" i="22"/>
  <c r="QA19" i="22"/>
  <c r="QB19" i="22"/>
  <c r="QC19" i="22"/>
  <c r="QD19" i="22"/>
  <c r="QE19" i="22"/>
  <c r="QF19" i="22"/>
  <c r="QG19" i="22"/>
  <c r="QH19" i="22"/>
  <c r="QI19" i="22"/>
  <c r="QJ19" i="22"/>
  <c r="QK19" i="22"/>
  <c r="QL19" i="22"/>
  <c r="QM19" i="22"/>
  <c r="QN19" i="22"/>
  <c r="QO19" i="22"/>
  <c r="QP19" i="22"/>
  <c r="QQ19" i="22"/>
  <c r="QR19" i="22"/>
  <c r="QS19" i="22"/>
  <c r="QT19" i="22"/>
  <c r="QU19" i="22"/>
  <c r="QV19" i="22"/>
  <c r="QW19" i="22"/>
  <c r="QX19" i="22"/>
  <c r="QY19" i="22"/>
  <c r="QZ19" i="22"/>
  <c r="RA19" i="22"/>
  <c r="RB19" i="22"/>
  <c r="RC19" i="22"/>
  <c r="RD19" i="22"/>
  <c r="RE19" i="22"/>
  <c r="RF19" i="22"/>
  <c r="RG19" i="22"/>
  <c r="RH19" i="22"/>
  <c r="RI19" i="22"/>
  <c r="RJ19" i="22"/>
  <c r="RK19" i="22"/>
  <c r="RL19" i="22"/>
  <c r="RM19" i="22"/>
  <c r="RN19" i="22"/>
  <c r="RO19" i="22"/>
  <c r="RP19" i="22"/>
  <c r="RQ19" i="22"/>
  <c r="RR19" i="22"/>
  <c r="RS19" i="22"/>
  <c r="RT19" i="22"/>
  <c r="RU19" i="22"/>
  <c r="RV19" i="22"/>
  <c r="RW19" i="22"/>
  <c r="RX19" i="22"/>
  <c r="RY19" i="22"/>
  <c r="RZ19" i="22"/>
  <c r="SA19" i="22"/>
  <c r="SB19" i="22"/>
  <c r="SC19" i="22"/>
  <c r="SD19" i="22"/>
  <c r="SE19" i="22"/>
  <c r="SF19" i="22"/>
  <c r="SG19" i="22"/>
  <c r="SH19" i="22"/>
  <c r="SI19" i="22"/>
  <c r="SJ19" i="22"/>
  <c r="SK19" i="22"/>
  <c r="SL19" i="22"/>
  <c r="SM19" i="22"/>
  <c r="SN19" i="22"/>
  <c r="SO19" i="22"/>
  <c r="SP19" i="22"/>
  <c r="SQ19" i="22"/>
  <c r="SR19" i="22"/>
  <c r="SS19" i="22"/>
  <c r="ST19" i="22"/>
  <c r="SU19" i="22"/>
  <c r="SV19" i="22"/>
  <c r="SW19" i="22"/>
  <c r="SX19" i="22"/>
  <c r="SY19" i="22"/>
  <c r="SZ19" i="22"/>
  <c r="TA19" i="22"/>
  <c r="TB19" i="22"/>
  <c r="TC19" i="22"/>
  <c r="TD19" i="22"/>
  <c r="TE19" i="22"/>
  <c r="TF19" i="22"/>
  <c r="TG19" i="22"/>
  <c r="TH19" i="22"/>
  <c r="TI19" i="22"/>
  <c r="TJ19" i="22"/>
  <c r="TK19" i="22"/>
  <c r="TL19" i="22"/>
  <c r="TM19" i="22"/>
  <c r="TN19" i="22"/>
  <c r="TO19" i="22"/>
  <c r="TP19" i="22"/>
  <c r="TQ19" i="22"/>
  <c r="TR19" i="22"/>
  <c r="TS19" i="22"/>
  <c r="TT19" i="22"/>
  <c r="TU19" i="22"/>
  <c r="TV19" i="22"/>
  <c r="TW19" i="22"/>
  <c r="TX19" i="22"/>
  <c r="TY19" i="22"/>
  <c r="TZ19" i="22"/>
  <c r="UA19" i="22"/>
  <c r="UB19" i="22"/>
  <c r="UC19" i="22"/>
  <c r="UD19" i="22"/>
  <c r="UE19" i="22"/>
  <c r="UF19" i="22"/>
  <c r="UG19" i="22"/>
  <c r="UH19" i="22"/>
  <c r="UI19" i="22"/>
  <c r="UJ19" i="22"/>
  <c r="UK19" i="22"/>
  <c r="UL19" i="22"/>
  <c r="UM19" i="22"/>
  <c r="UN19" i="22"/>
  <c r="UO19" i="22"/>
  <c r="UP19" i="22"/>
  <c r="C20" i="22"/>
  <c r="D20" i="22"/>
  <c r="E20" i="22"/>
  <c r="F20" i="22"/>
  <c r="G20" i="22"/>
  <c r="H20" i="22"/>
  <c r="I20" i="22"/>
  <c r="I22" i="22" s="1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E22" i="22" s="1"/>
  <c r="AF20" i="22"/>
  <c r="AG20" i="22"/>
  <c r="AH20" i="22"/>
  <c r="AH22" i="22" s="1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U20" i="22"/>
  <c r="AU22" i="22" s="1"/>
  <c r="AV20" i="22"/>
  <c r="AW20" i="22"/>
  <c r="AX20" i="22"/>
  <c r="AX22" i="22" s="1"/>
  <c r="AY20" i="22"/>
  <c r="AZ20" i="22"/>
  <c r="BA20" i="22"/>
  <c r="BB20" i="22"/>
  <c r="BC20" i="22"/>
  <c r="BD20" i="22"/>
  <c r="BD22" i="22" s="1"/>
  <c r="BE20" i="22"/>
  <c r="BF20" i="22"/>
  <c r="BG20" i="22"/>
  <c r="BH20" i="22"/>
  <c r="BI20" i="22"/>
  <c r="BJ20" i="22"/>
  <c r="BJ22" i="22" s="1"/>
  <c r="BK20" i="22"/>
  <c r="BL20" i="22"/>
  <c r="BM20" i="22"/>
  <c r="BN20" i="22"/>
  <c r="BO20" i="22"/>
  <c r="BP20" i="22"/>
  <c r="BQ20" i="22"/>
  <c r="BR20" i="22"/>
  <c r="BS20" i="22"/>
  <c r="BT20" i="22"/>
  <c r="BU20" i="22"/>
  <c r="BV20" i="22"/>
  <c r="BW20" i="22"/>
  <c r="BX20" i="22"/>
  <c r="BY20" i="22"/>
  <c r="BZ20" i="22"/>
  <c r="CA20" i="22"/>
  <c r="CB20" i="22"/>
  <c r="CB22" i="22" s="1"/>
  <c r="CC20" i="22"/>
  <c r="CD20" i="22"/>
  <c r="CE20" i="22"/>
  <c r="CF20" i="22"/>
  <c r="CG20" i="22"/>
  <c r="CH20" i="22"/>
  <c r="CI20" i="22"/>
  <c r="CJ20" i="22"/>
  <c r="CK20" i="22"/>
  <c r="CL20" i="22"/>
  <c r="CM20" i="22"/>
  <c r="CN20" i="22"/>
  <c r="CO20" i="22"/>
  <c r="CP20" i="22"/>
  <c r="CQ20" i="22"/>
  <c r="CR20" i="22"/>
  <c r="CR22" i="22" s="1"/>
  <c r="CS20" i="22"/>
  <c r="CT20" i="22"/>
  <c r="CU20" i="22"/>
  <c r="CV20" i="22"/>
  <c r="CW20" i="22"/>
  <c r="CW22" i="22" s="1"/>
  <c r="CX20" i="22"/>
  <c r="CX22" i="22" s="1"/>
  <c r="CY20" i="22"/>
  <c r="CZ20" i="22"/>
  <c r="DA20" i="22"/>
  <c r="DB20" i="22"/>
  <c r="DC20" i="22"/>
  <c r="DD20" i="22"/>
  <c r="DE20" i="22"/>
  <c r="DF20" i="22"/>
  <c r="DF22" i="22" s="1"/>
  <c r="DG20" i="22"/>
  <c r="DH20" i="22"/>
  <c r="DI20" i="22"/>
  <c r="DJ20" i="22"/>
  <c r="DK20" i="22"/>
  <c r="DL20" i="22"/>
  <c r="DM20" i="22"/>
  <c r="DN20" i="22"/>
  <c r="DO20" i="22"/>
  <c r="DP20" i="22"/>
  <c r="DQ20" i="22"/>
  <c r="DR20" i="22"/>
  <c r="DS20" i="22"/>
  <c r="DT20" i="22"/>
  <c r="DU20" i="22"/>
  <c r="DV20" i="22"/>
  <c r="DW20" i="22"/>
  <c r="DX20" i="22"/>
  <c r="DY20" i="22"/>
  <c r="DZ20" i="22"/>
  <c r="EA20" i="22"/>
  <c r="EB20" i="22"/>
  <c r="EB22" i="22" s="1"/>
  <c r="EC20" i="22"/>
  <c r="ED20" i="22"/>
  <c r="EE20" i="22"/>
  <c r="EF20" i="22"/>
  <c r="EG20" i="22"/>
  <c r="EG22" i="22" s="1"/>
  <c r="EH20" i="22"/>
  <c r="EI20" i="22"/>
  <c r="EJ20" i="22"/>
  <c r="EK20" i="22"/>
  <c r="EL20" i="22"/>
  <c r="EM20" i="22"/>
  <c r="EM22" i="22" s="1"/>
  <c r="EN20" i="22"/>
  <c r="EO20" i="22"/>
  <c r="EP20" i="22"/>
  <c r="EQ20" i="22"/>
  <c r="ER20" i="22"/>
  <c r="ER22" i="22" s="1"/>
  <c r="ES20" i="22"/>
  <c r="ET20" i="22"/>
  <c r="EU20" i="22"/>
  <c r="EV20" i="22"/>
  <c r="EW20" i="22"/>
  <c r="EX20" i="22"/>
  <c r="EY20" i="22"/>
  <c r="EZ20" i="22"/>
  <c r="FA20" i="22"/>
  <c r="FB20" i="22"/>
  <c r="FC20" i="22"/>
  <c r="FD20" i="22"/>
  <c r="FE20" i="22"/>
  <c r="FF20" i="22"/>
  <c r="FF22" i="22" s="1"/>
  <c r="FG20" i="22"/>
  <c r="FH20" i="22"/>
  <c r="FI20" i="22"/>
  <c r="FJ20" i="22"/>
  <c r="FK20" i="22"/>
  <c r="FL20" i="22"/>
  <c r="FM20" i="22"/>
  <c r="FN20" i="22"/>
  <c r="FO20" i="22"/>
  <c r="FP20" i="22"/>
  <c r="FQ20" i="22"/>
  <c r="FR20" i="22"/>
  <c r="FS20" i="22"/>
  <c r="FT20" i="22"/>
  <c r="FU20" i="22"/>
  <c r="FV20" i="22"/>
  <c r="FV22" i="22" s="1"/>
  <c r="FW20" i="22"/>
  <c r="FX20" i="22"/>
  <c r="FY20" i="22"/>
  <c r="FZ20" i="22"/>
  <c r="GA20" i="22"/>
  <c r="GB20" i="22"/>
  <c r="GC20" i="22"/>
  <c r="GD20" i="22"/>
  <c r="GE20" i="22"/>
  <c r="GF20" i="22"/>
  <c r="GG20" i="22"/>
  <c r="GH20" i="22"/>
  <c r="GI20" i="22"/>
  <c r="GJ20" i="22"/>
  <c r="GJ22" i="22" s="1"/>
  <c r="GK20" i="22"/>
  <c r="GL20" i="22"/>
  <c r="GM20" i="22"/>
  <c r="GN20" i="22"/>
  <c r="GO20" i="22"/>
  <c r="GP20" i="22"/>
  <c r="GQ20" i="22"/>
  <c r="GR20" i="22"/>
  <c r="GS20" i="22"/>
  <c r="GT20" i="22"/>
  <c r="GU20" i="22"/>
  <c r="GV20" i="22"/>
  <c r="GW20" i="22"/>
  <c r="GX20" i="22"/>
  <c r="GY20" i="22"/>
  <c r="GY22" i="22" s="1"/>
  <c r="GZ20" i="22"/>
  <c r="HA20" i="22"/>
  <c r="HB20" i="22"/>
  <c r="HB22" i="22" s="1"/>
  <c r="HC20" i="22"/>
  <c r="HD20" i="22"/>
  <c r="HE20" i="22"/>
  <c r="HF20" i="22"/>
  <c r="HG20" i="22"/>
  <c r="HG22" i="22" s="1"/>
  <c r="HH20" i="22"/>
  <c r="HI20" i="22"/>
  <c r="HJ20" i="22"/>
  <c r="HJ22" i="22" s="1"/>
  <c r="HK20" i="22"/>
  <c r="HL20" i="22"/>
  <c r="HM20" i="22"/>
  <c r="HN20" i="22"/>
  <c r="HO20" i="22"/>
  <c r="HP20" i="22"/>
  <c r="HQ20" i="22"/>
  <c r="HR20" i="22"/>
  <c r="HR22" i="22" s="1"/>
  <c r="HS20" i="22"/>
  <c r="HT20" i="22"/>
  <c r="HU20" i="22"/>
  <c r="HV20" i="22"/>
  <c r="HW20" i="22"/>
  <c r="HW22" i="22" s="1"/>
  <c r="HX20" i="22"/>
  <c r="HY20" i="22"/>
  <c r="HZ20" i="22"/>
  <c r="IA20" i="22"/>
  <c r="IB20" i="22"/>
  <c r="IB22" i="22" s="1"/>
  <c r="IC20" i="22"/>
  <c r="ID20" i="22"/>
  <c r="ID22" i="22" s="1"/>
  <c r="IE20" i="22"/>
  <c r="IF20" i="22"/>
  <c r="IG20" i="22"/>
  <c r="IH20" i="22"/>
  <c r="II20" i="22"/>
  <c r="IJ20" i="22"/>
  <c r="IK20" i="22"/>
  <c r="IL20" i="22"/>
  <c r="IM20" i="22"/>
  <c r="IN20" i="22"/>
  <c r="IO20" i="22"/>
  <c r="IP20" i="22"/>
  <c r="IQ20" i="22"/>
  <c r="IR20" i="22"/>
  <c r="IR22" i="22" s="1"/>
  <c r="IS20" i="22"/>
  <c r="IT20" i="22"/>
  <c r="IU20" i="22"/>
  <c r="IV20" i="22"/>
  <c r="IW20" i="22"/>
  <c r="IX20" i="22"/>
  <c r="IY20" i="22"/>
  <c r="IZ20" i="22"/>
  <c r="JA20" i="22"/>
  <c r="JB20" i="22"/>
  <c r="JC20" i="22"/>
  <c r="JD20" i="22"/>
  <c r="JE20" i="22"/>
  <c r="JE22" i="22" s="1"/>
  <c r="JF20" i="22"/>
  <c r="JG20" i="22"/>
  <c r="JH20" i="22"/>
  <c r="JI20" i="22"/>
  <c r="JJ20" i="22"/>
  <c r="JK20" i="22"/>
  <c r="JK22" i="22" s="1"/>
  <c r="JL20" i="22"/>
  <c r="JM20" i="22"/>
  <c r="JN20" i="22"/>
  <c r="JO20" i="22"/>
  <c r="JP20" i="22"/>
  <c r="JQ20" i="22"/>
  <c r="JR20" i="22"/>
  <c r="JS20" i="22"/>
  <c r="JT20" i="22"/>
  <c r="JU20" i="22"/>
  <c r="JV20" i="22"/>
  <c r="JW20" i="22"/>
  <c r="JW22" i="22" s="1"/>
  <c r="JX20" i="22"/>
  <c r="JY20" i="22"/>
  <c r="JZ20" i="22"/>
  <c r="KA20" i="22"/>
  <c r="KA22" i="22" s="1"/>
  <c r="KB20" i="22"/>
  <c r="KC20" i="22"/>
  <c r="KD20" i="22"/>
  <c r="KD22" i="22" s="1"/>
  <c r="KE20" i="22"/>
  <c r="KF20" i="22"/>
  <c r="KG20" i="22"/>
  <c r="KH20" i="22"/>
  <c r="KI20" i="22"/>
  <c r="KJ20" i="22"/>
  <c r="KK20" i="22"/>
  <c r="KL20" i="22"/>
  <c r="KM20" i="22"/>
  <c r="KM22" i="22" s="1"/>
  <c r="KN20" i="22"/>
  <c r="KO20" i="22"/>
  <c r="KP20" i="22"/>
  <c r="KQ20" i="22"/>
  <c r="KR20" i="22"/>
  <c r="KS20" i="22"/>
  <c r="KT20" i="22"/>
  <c r="KU20" i="22"/>
  <c r="KV20" i="22"/>
  <c r="KW20" i="22"/>
  <c r="KX20" i="22"/>
  <c r="KY20" i="22"/>
  <c r="KZ20" i="22"/>
  <c r="LA20" i="22"/>
  <c r="LB20" i="22"/>
  <c r="LC20" i="22"/>
  <c r="LD20" i="22"/>
  <c r="LE20" i="22"/>
  <c r="LF20" i="22"/>
  <c r="LG20" i="22"/>
  <c r="LH20" i="22"/>
  <c r="LI20" i="22"/>
  <c r="LJ20" i="22"/>
  <c r="LJ22" i="22" s="1"/>
  <c r="LK20" i="22"/>
  <c r="LL20" i="22"/>
  <c r="LM20" i="22"/>
  <c r="LM22" i="22" s="1"/>
  <c r="LN20" i="22"/>
  <c r="LO20" i="22"/>
  <c r="LP20" i="22"/>
  <c r="LQ20" i="22"/>
  <c r="LR20" i="22"/>
  <c r="LS20" i="22"/>
  <c r="LT20" i="22"/>
  <c r="LU20" i="22"/>
  <c r="LU22" i="22" s="1"/>
  <c r="LV20" i="22"/>
  <c r="LW20" i="22"/>
  <c r="LW22" i="22" s="1"/>
  <c r="LX20" i="22"/>
  <c r="LY20" i="22"/>
  <c r="LZ20" i="22"/>
  <c r="MA20" i="22"/>
  <c r="MB20" i="22"/>
  <c r="MC20" i="22"/>
  <c r="MD20" i="22"/>
  <c r="MD22" i="22" s="1"/>
  <c r="ME20" i="22"/>
  <c r="MF20" i="22"/>
  <c r="MG20" i="22"/>
  <c r="MH20" i="22"/>
  <c r="MI20" i="22"/>
  <c r="MJ20" i="22"/>
  <c r="MK20" i="22"/>
  <c r="ML20" i="22"/>
  <c r="MM20" i="22"/>
  <c r="MN20" i="22"/>
  <c r="MN22" i="22" s="1"/>
  <c r="MO20" i="22"/>
  <c r="MP20" i="22"/>
  <c r="MQ20" i="22"/>
  <c r="MR20" i="22"/>
  <c r="MS20" i="22"/>
  <c r="MT20" i="22"/>
  <c r="MT22" i="22" s="1"/>
  <c r="MU20" i="22"/>
  <c r="MV20" i="22"/>
  <c r="MW20" i="22"/>
  <c r="MX20" i="22"/>
  <c r="MX22" i="22" s="1"/>
  <c r="MY20" i="22"/>
  <c r="MZ20" i="22"/>
  <c r="NA20" i="22"/>
  <c r="NB20" i="22"/>
  <c r="NC20" i="22"/>
  <c r="ND20" i="22"/>
  <c r="ND22" i="22" s="1"/>
  <c r="NE20" i="22"/>
  <c r="NF20" i="22"/>
  <c r="NF22" i="22" s="1"/>
  <c r="NG20" i="22"/>
  <c r="NH20" i="22"/>
  <c r="NI20" i="22"/>
  <c r="NI22" i="22" s="1"/>
  <c r="NJ20" i="22"/>
  <c r="NK20" i="22"/>
  <c r="NL20" i="22"/>
  <c r="NM20" i="22"/>
  <c r="NM22" i="22" s="1"/>
  <c r="NN20" i="22"/>
  <c r="NO20" i="22"/>
  <c r="NP20" i="22"/>
  <c r="NQ20" i="22"/>
  <c r="NR20" i="22"/>
  <c r="NS20" i="22"/>
  <c r="NT20" i="22"/>
  <c r="NU20" i="22"/>
  <c r="NV20" i="22"/>
  <c r="NW20" i="22"/>
  <c r="NX20" i="22"/>
  <c r="NX22" i="22" s="1"/>
  <c r="NY20" i="22"/>
  <c r="NZ20" i="22"/>
  <c r="OA20" i="22"/>
  <c r="OB20" i="22"/>
  <c r="OB22" i="22" s="1"/>
  <c r="OC20" i="22"/>
  <c r="OC22" i="22" s="1"/>
  <c r="OD20" i="22"/>
  <c r="OE20" i="22"/>
  <c r="OF20" i="22"/>
  <c r="OG20" i="22"/>
  <c r="OH20" i="22"/>
  <c r="OI20" i="22"/>
  <c r="OI22" i="22" s="1"/>
  <c r="OJ20" i="22"/>
  <c r="OK20" i="22"/>
  <c r="OL20" i="22"/>
  <c r="OM20" i="22"/>
  <c r="ON20" i="22"/>
  <c r="ON22" i="22" s="1"/>
  <c r="OO20" i="22"/>
  <c r="OP20" i="22"/>
  <c r="OQ20" i="22"/>
  <c r="OR20" i="22"/>
  <c r="OS20" i="22"/>
  <c r="OT20" i="22"/>
  <c r="OU20" i="22"/>
  <c r="OV20" i="22"/>
  <c r="OW20" i="22"/>
  <c r="OX20" i="22"/>
  <c r="OY20" i="22"/>
  <c r="OZ20" i="22"/>
  <c r="PA20" i="22"/>
  <c r="PB20" i="22"/>
  <c r="PC20" i="22"/>
  <c r="PD20" i="22"/>
  <c r="PE20" i="22"/>
  <c r="PF20" i="22"/>
  <c r="PG20" i="22"/>
  <c r="PH20" i="22"/>
  <c r="PH22" i="22" s="1"/>
  <c r="PI20" i="22"/>
  <c r="PJ20" i="22"/>
  <c r="PK20" i="22"/>
  <c r="PL20" i="22"/>
  <c r="PM20" i="22"/>
  <c r="PN20" i="22"/>
  <c r="PO20" i="22"/>
  <c r="PP20" i="22"/>
  <c r="PQ20" i="22"/>
  <c r="PR20" i="22"/>
  <c r="PS20" i="22"/>
  <c r="PT20" i="22"/>
  <c r="PU20" i="22"/>
  <c r="PV20" i="22"/>
  <c r="PW20" i="22"/>
  <c r="PX20" i="22"/>
  <c r="PX22" i="22" s="1"/>
  <c r="PY20" i="22"/>
  <c r="PY22" i="22" s="1"/>
  <c r="PZ20" i="22"/>
  <c r="QA20" i="22"/>
  <c r="QB20" i="22"/>
  <c r="QC20" i="22"/>
  <c r="QD20" i="22"/>
  <c r="QE20" i="22"/>
  <c r="QE22" i="22" s="1"/>
  <c r="QF20" i="22"/>
  <c r="QG20" i="22"/>
  <c r="QH20" i="22"/>
  <c r="QI20" i="22"/>
  <c r="QJ20" i="22"/>
  <c r="QK20" i="22"/>
  <c r="QL20" i="22"/>
  <c r="QM20" i="22"/>
  <c r="QN20" i="22"/>
  <c r="QO20" i="22"/>
  <c r="QP20" i="22"/>
  <c r="QQ20" i="22"/>
  <c r="QR20" i="22"/>
  <c r="QS20" i="22"/>
  <c r="QT20" i="22"/>
  <c r="QU20" i="22"/>
  <c r="QU22" i="22" s="1"/>
  <c r="QV20" i="22"/>
  <c r="QW20" i="22"/>
  <c r="QX20" i="22"/>
  <c r="QY20" i="22"/>
  <c r="QZ20" i="22"/>
  <c r="RA20" i="22"/>
  <c r="RB20" i="22"/>
  <c r="RC20" i="22"/>
  <c r="RC22" i="22" s="1"/>
  <c r="RD20" i="22"/>
  <c r="RE20" i="22"/>
  <c r="RF20" i="22"/>
  <c r="RG20" i="22"/>
  <c r="RH20" i="22"/>
  <c r="RI20" i="22"/>
  <c r="RJ20" i="22"/>
  <c r="RK20" i="22"/>
  <c r="RK22" i="22" s="1"/>
  <c r="RL20" i="22"/>
  <c r="RM20" i="22"/>
  <c r="RN20" i="22"/>
  <c r="RO20" i="22"/>
  <c r="RP20" i="22"/>
  <c r="RQ20" i="22"/>
  <c r="RR20" i="22"/>
  <c r="RS20" i="22"/>
  <c r="RT20" i="22"/>
  <c r="RU20" i="22"/>
  <c r="RV20" i="22"/>
  <c r="RW20" i="22"/>
  <c r="RX20" i="22"/>
  <c r="RX22" i="22" s="1"/>
  <c r="RY20" i="22"/>
  <c r="RZ20" i="22"/>
  <c r="SA20" i="22"/>
  <c r="SB20" i="22"/>
  <c r="SC20" i="22"/>
  <c r="SD20" i="22"/>
  <c r="SE20" i="22"/>
  <c r="SF20" i="22"/>
  <c r="SG20" i="22"/>
  <c r="SH20" i="22"/>
  <c r="SI20" i="22"/>
  <c r="SJ20" i="22"/>
  <c r="SK20" i="22"/>
  <c r="SL20" i="22"/>
  <c r="SL22" i="22" s="1"/>
  <c r="SM20" i="22"/>
  <c r="SN20" i="22"/>
  <c r="SN22" i="22" s="1"/>
  <c r="SO20" i="22"/>
  <c r="SP20" i="22"/>
  <c r="SQ20" i="22"/>
  <c r="SR20" i="22"/>
  <c r="SS20" i="22"/>
  <c r="ST20" i="22"/>
  <c r="SU20" i="22"/>
  <c r="SV20" i="22"/>
  <c r="SW20" i="22"/>
  <c r="SX20" i="22"/>
  <c r="SY20" i="22"/>
  <c r="SZ20" i="22"/>
  <c r="TA20" i="22"/>
  <c r="TB20" i="22"/>
  <c r="TC20" i="22"/>
  <c r="TD20" i="22"/>
  <c r="TE20" i="22"/>
  <c r="TF20" i="22"/>
  <c r="TF22" i="22" s="1"/>
  <c r="TG20" i="22"/>
  <c r="TG22" i="22" s="1"/>
  <c r="TH20" i="22"/>
  <c r="TI20" i="22"/>
  <c r="TJ20" i="22"/>
  <c r="TK20" i="22"/>
  <c r="TL20" i="22"/>
  <c r="TM20" i="22"/>
  <c r="TM22" i="22" s="1"/>
  <c r="TN20" i="22"/>
  <c r="TO20" i="22"/>
  <c r="TP20" i="22"/>
  <c r="TQ20" i="22"/>
  <c r="TR20" i="22"/>
  <c r="TS20" i="22"/>
  <c r="TS22" i="22" s="1"/>
  <c r="TT20" i="22"/>
  <c r="TU20" i="22"/>
  <c r="TV20" i="22"/>
  <c r="TV22" i="22" s="1"/>
  <c r="TW20" i="22"/>
  <c r="TW22" i="22" s="1"/>
  <c r="TX20" i="22"/>
  <c r="TY20" i="22"/>
  <c r="TZ20" i="22"/>
  <c r="UA20" i="22"/>
  <c r="UB20" i="22"/>
  <c r="UC20" i="22"/>
  <c r="UD20" i="22"/>
  <c r="UE20" i="22"/>
  <c r="UF20" i="22"/>
  <c r="UG20" i="22"/>
  <c r="UH20" i="22"/>
  <c r="UI20" i="22"/>
  <c r="UI22" i="22" s="1"/>
  <c r="UJ20" i="22"/>
  <c r="UK20" i="22"/>
  <c r="UL20" i="22"/>
  <c r="UM20" i="22"/>
  <c r="UN20" i="22"/>
  <c r="UN22" i="22" s="1"/>
  <c r="UO20" i="22"/>
  <c r="UP20" i="22"/>
  <c r="UP22" i="22" s="1"/>
  <c r="T34" i="22"/>
  <c r="U34" i="22"/>
  <c r="BQ22" i="22"/>
  <c r="FK22" i="22"/>
  <c r="GA22" i="22"/>
  <c r="AN22" i="22"/>
  <c r="GR22" i="22"/>
  <c r="JD22" i="22"/>
  <c r="RT22" i="22"/>
  <c r="SZ22" i="22"/>
  <c r="Y22" i="22"/>
  <c r="AO22" i="22"/>
  <c r="BE22" i="22"/>
  <c r="BU22" i="22"/>
  <c r="CK22" i="22"/>
  <c r="DA22" i="22"/>
  <c r="DQ22" i="22"/>
  <c r="FM22" i="22"/>
  <c r="GC22" i="22"/>
  <c r="GS22" i="22"/>
  <c r="HI22" i="22"/>
  <c r="HY22" i="22"/>
  <c r="IO22" i="22"/>
  <c r="JU22" i="22"/>
  <c r="LA22" i="22"/>
  <c r="LQ22" i="22"/>
  <c r="MG22" i="22"/>
  <c r="MW22" i="22"/>
  <c r="OS22" i="22"/>
  <c r="PI22" i="22"/>
  <c r="QO22" i="22"/>
  <c r="RU22" i="22"/>
  <c r="SK22" i="22"/>
  <c r="TQ22" i="22"/>
  <c r="UG22" i="22"/>
  <c r="HK22" i="22"/>
  <c r="CO22" i="22"/>
  <c r="N22" i="22"/>
  <c r="AD22" i="22"/>
  <c r="JZ22" i="22"/>
  <c r="OX22" i="22"/>
  <c r="RZ22" i="22"/>
  <c r="SP22" i="22"/>
  <c r="BK22" i="22"/>
  <c r="CA22" i="22"/>
  <c r="FS22" i="22"/>
  <c r="NS22" i="22"/>
  <c r="GZ22" i="22"/>
  <c r="IF22" i="22"/>
  <c r="PP22" i="22"/>
  <c r="TH22" i="22"/>
  <c r="BM22" i="22"/>
  <c r="CS22" i="22"/>
  <c r="IK22" i="22"/>
  <c r="U35" i="22"/>
  <c r="T35" i="22"/>
  <c r="U33" i="22"/>
  <c r="T33" i="22"/>
  <c r="U32" i="22"/>
  <c r="T32" i="22"/>
  <c r="U27" i="22"/>
  <c r="T27" i="22"/>
  <c r="U36" i="22"/>
  <c r="T36" i="22"/>
  <c r="U28" i="22"/>
  <c r="T28" i="22"/>
  <c r="U30" i="22"/>
  <c r="T30" i="22"/>
  <c r="U29" i="22"/>
  <c r="T29" i="22"/>
  <c r="U37" i="22"/>
  <c r="T37" i="22"/>
  <c r="U39" i="22"/>
  <c r="T39" i="22"/>
  <c r="U38" i="22"/>
  <c r="T38" i="22"/>
  <c r="U31" i="22"/>
  <c r="T31" i="22"/>
  <c r="UD22" i="22"/>
  <c r="TN22" i="22"/>
  <c r="SX22" i="22"/>
  <c r="SH22" i="22"/>
  <c r="RR22" i="22"/>
  <c r="RB22" i="22"/>
  <c r="QL22" i="22"/>
  <c r="PV22" i="22"/>
  <c r="PF22" i="22"/>
  <c r="OP22" i="22"/>
  <c r="NZ22" i="22"/>
  <c r="NJ22" i="22"/>
  <c r="KX22" i="22"/>
  <c r="KH22" i="22"/>
  <c r="JR22" i="22"/>
  <c r="JB22" i="22"/>
  <c r="IL22" i="22"/>
  <c r="HV22" i="22"/>
  <c r="HF22" i="22"/>
  <c r="GP22" i="22"/>
  <c r="FZ22" i="22"/>
  <c r="FJ22" i="22"/>
  <c r="ET22" i="22"/>
  <c r="ED22" i="22"/>
  <c r="DN22" i="22"/>
  <c r="CH22" i="22"/>
  <c r="BB22" i="22"/>
  <c r="AL22" i="22"/>
  <c r="V22" i="22"/>
  <c r="R36" i="22" l="1"/>
  <c r="R38" i="22"/>
  <c r="NA22" i="22"/>
  <c r="DE22" i="22"/>
  <c r="AC22" i="22"/>
  <c r="R39" i="22"/>
  <c r="FH22" i="22"/>
  <c r="SV22" i="22"/>
  <c r="OV22" i="22"/>
  <c r="JH22" i="22"/>
  <c r="EZ22" i="22"/>
  <c r="QQ22" i="22"/>
  <c r="PU22" i="22"/>
  <c r="BI22" i="22"/>
  <c r="JX22" i="22"/>
  <c r="DS22" i="22"/>
  <c r="DH22" i="22"/>
  <c r="KI22" i="22"/>
  <c r="GQ22" i="22"/>
  <c r="EE22" i="22"/>
  <c r="CI22" i="22"/>
  <c r="UE22" i="22"/>
  <c r="SY22" i="22"/>
  <c r="PW22" i="22"/>
  <c r="OQ22" i="22"/>
  <c r="TU22" i="22"/>
  <c r="KF22" i="22"/>
  <c r="SF22" i="22"/>
  <c r="MZ22" i="22"/>
  <c r="KN22" i="22"/>
  <c r="AR22" i="22"/>
  <c r="QA22" i="22"/>
  <c r="DC22" i="22"/>
  <c r="NT22" i="22"/>
  <c r="OY22" i="22"/>
  <c r="IM22" i="22"/>
  <c r="DO22" i="22"/>
  <c r="BS22" i="22"/>
  <c r="SI22" i="22"/>
  <c r="PG22" i="22"/>
  <c r="OA22" i="22"/>
  <c r="LN22" i="22"/>
  <c r="JJ22" i="22"/>
  <c r="IT22" i="22"/>
  <c r="FB22" i="22"/>
  <c r="BR22" i="22"/>
  <c r="UL22" i="22"/>
  <c r="NB22" i="22"/>
  <c r="ML22" i="22"/>
  <c r="LV22" i="22"/>
  <c r="LF22" i="22"/>
  <c r="CP22" i="22"/>
  <c r="BZ22" i="22"/>
  <c r="JQ22" i="22"/>
  <c r="PE22" i="22"/>
  <c r="JI22" i="22"/>
  <c r="EK22" i="22"/>
  <c r="R32" i="22" s="1"/>
  <c r="AS22" i="22"/>
  <c r="OO22" i="22"/>
  <c r="QS22" i="22"/>
  <c r="NQ22" i="22"/>
  <c r="KO22" i="22"/>
  <c r="GG22" i="22"/>
  <c r="M22" i="22"/>
  <c r="GN22" i="22"/>
  <c r="LD22" i="22"/>
  <c r="CG22" i="22"/>
  <c r="NY22" i="22"/>
  <c r="EC22" i="22"/>
  <c r="UK22" i="22"/>
  <c r="OG22" i="22"/>
  <c r="JY22" i="22"/>
  <c r="DU22" i="22"/>
  <c r="RP22" i="22"/>
  <c r="AZ22" i="22"/>
  <c r="QR22" i="22"/>
  <c r="CN22" i="22"/>
  <c r="OU22" i="22"/>
  <c r="IZ22" i="22"/>
  <c r="OF22" i="22"/>
  <c r="SD22" i="22"/>
  <c r="QX22" i="22"/>
  <c r="QK22" i="22"/>
  <c r="JA22" i="22"/>
  <c r="OW22" i="22"/>
  <c r="LE22" i="22"/>
  <c r="HD22" i="22"/>
  <c r="MJ22" i="22"/>
  <c r="L22" i="22"/>
  <c r="EI22" i="22"/>
  <c r="ST22" i="22"/>
  <c r="RN22" i="22"/>
  <c r="LI22" i="22"/>
  <c r="SO22" i="22"/>
  <c r="IC22" i="22"/>
  <c r="JC22" i="22"/>
  <c r="EU22" i="22"/>
  <c r="QM22" i="22"/>
  <c r="NK22" i="22"/>
  <c r="JS22" i="22"/>
  <c r="BC22" i="22"/>
  <c r="W22" i="22"/>
  <c r="G22" i="22"/>
  <c r="ME22" i="22"/>
  <c r="LO22" i="22"/>
  <c r="KY22" i="22"/>
  <c r="AM22" i="22"/>
  <c r="GW22" i="22"/>
  <c r="TT22" i="22"/>
  <c r="QC22" i="22"/>
  <c r="HM22" i="22"/>
  <c r="DD22" i="22"/>
  <c r="MU22" i="22"/>
  <c r="T22" i="22"/>
  <c r="IJ22" i="22"/>
  <c r="LL22" i="22"/>
  <c r="D22" i="22"/>
  <c r="UB22" i="22"/>
  <c r="QJ22" i="22"/>
  <c r="HT22" i="22"/>
  <c r="DL22" i="22"/>
  <c r="AJ22" i="22"/>
  <c r="MB22" i="22"/>
  <c r="CF22" i="22"/>
  <c r="PT22" i="22"/>
  <c r="PD22" i="22"/>
  <c r="NH22" i="22"/>
  <c r="CV22" i="22"/>
  <c r="BP22" i="22"/>
  <c r="RI22" i="22"/>
  <c r="MK22" i="22"/>
  <c r="FQ22" i="22"/>
  <c r="RH22" i="22"/>
  <c r="GV22" i="22"/>
  <c r="RS22" i="22"/>
  <c r="CY22" i="22"/>
  <c r="JP22" i="22"/>
  <c r="TL22" i="22"/>
  <c r="BY22" i="22"/>
  <c r="AB22" i="22"/>
  <c r="PR22" i="22"/>
  <c r="TJ22" i="22"/>
  <c r="IH22" i="22"/>
  <c r="GL22" i="22"/>
  <c r="EP22" i="22"/>
  <c r="CD22" i="22"/>
  <c r="QH22" i="22"/>
  <c r="OL22" i="22"/>
  <c r="IX22" i="22"/>
  <c r="DZ22" i="22"/>
  <c r="DJ22" i="22"/>
  <c r="PB22" i="22"/>
  <c r="JN22" i="22"/>
  <c r="LT22" i="22"/>
  <c r="QB22" i="22"/>
  <c r="FP22" i="22"/>
  <c r="SQ22" i="22"/>
  <c r="PO22" i="22"/>
  <c r="FC22" i="22"/>
  <c r="O22" i="22"/>
  <c r="LG22" i="22"/>
  <c r="HO22" i="22"/>
  <c r="GI22" i="22"/>
  <c r="KQ22" i="22"/>
  <c r="NP22" i="22"/>
  <c r="NR22" i="22"/>
  <c r="DV22" i="22"/>
  <c r="R29" i="22" s="1"/>
  <c r="OH22" i="22"/>
  <c r="KP22" i="22"/>
  <c r="EL22" i="22"/>
  <c r="AT22" i="22"/>
  <c r="RJ22" i="22"/>
  <c r="HN22" i="22"/>
  <c r="GH22" i="22"/>
  <c r="QT22" i="22"/>
  <c r="QD22" i="22"/>
  <c r="PN22" i="22"/>
  <c r="GX22" i="22"/>
  <c r="FR22" i="22"/>
  <c r="RY22" i="22"/>
  <c r="PM22" i="22"/>
  <c r="FA22" i="22"/>
  <c r="DT22" i="22"/>
  <c r="IS22" i="22"/>
  <c r="TD22" i="22"/>
  <c r="GF22" i="22"/>
  <c r="TE22" i="22"/>
  <c r="UJ22" i="22"/>
  <c r="PL22" i="22"/>
  <c r="EJ22" i="22"/>
  <c r="R30" i="22" s="1"/>
  <c r="HL22" i="22"/>
  <c r="R37" i="22"/>
  <c r="PK22" i="22"/>
  <c r="RF22" i="22"/>
  <c r="FO22" i="22"/>
  <c r="R27" i="22"/>
  <c r="TA22" i="22"/>
  <c r="KZ22" i="22"/>
  <c r="H22" i="22"/>
  <c r="R31" i="22"/>
  <c r="F22" i="22"/>
  <c r="AY22" i="22"/>
  <c r="KU22" i="22"/>
  <c r="UA22" i="22"/>
  <c r="TK22" i="22"/>
  <c r="SU22" i="22"/>
  <c r="SE22" i="22"/>
  <c r="RO22" i="22"/>
  <c r="QY22" i="22"/>
  <c r="QI22" i="22"/>
  <c r="PS22" i="22"/>
  <c r="PC22" i="22"/>
  <c r="OM22" i="22"/>
  <c r="NW22" i="22"/>
  <c r="NG22" i="22"/>
  <c r="MQ22" i="22"/>
  <c r="LK22" i="22"/>
  <c r="KE22" i="22"/>
  <c r="JO22" i="22"/>
  <c r="IY22" i="22"/>
  <c r="II22" i="22"/>
  <c r="HS22" i="22"/>
  <c r="HC22" i="22"/>
  <c r="GM22" i="22"/>
  <c r="FW22" i="22"/>
  <c r="FG22" i="22"/>
  <c r="EQ22" i="22"/>
  <c r="EA22" i="22"/>
  <c r="DK22" i="22"/>
  <c r="CU22" i="22"/>
  <c r="BO22" i="22"/>
  <c r="AI22" i="22"/>
  <c r="S22" i="22"/>
  <c r="UO22" i="22"/>
  <c r="TY22" i="22"/>
  <c r="TI22" i="22"/>
  <c r="SS22" i="22"/>
  <c r="SC22" i="22"/>
  <c r="RM22" i="22"/>
  <c r="QW22" i="22"/>
  <c r="QG22" i="22"/>
  <c r="PQ22" i="22"/>
  <c r="PA22" i="22"/>
  <c r="OK22" i="22"/>
  <c r="NU22" i="22"/>
  <c r="NE22" i="22"/>
  <c r="LY22" i="22"/>
  <c r="KS22" i="22"/>
  <c r="KC22" i="22"/>
  <c r="JM22" i="22"/>
  <c r="IW22" i="22"/>
  <c r="IG22" i="22"/>
  <c r="HQ22" i="22"/>
  <c r="HA22" i="22"/>
  <c r="GK22" i="22"/>
  <c r="R33" i="22" s="1"/>
  <c r="FU22" i="22"/>
  <c r="FE22" i="22"/>
  <c r="EO22" i="22"/>
  <c r="DY22" i="22"/>
  <c r="DI22" i="22"/>
  <c r="CC22" i="22"/>
  <c r="AW22" i="22"/>
  <c r="AG22" i="22"/>
  <c r="Q22" i="22"/>
  <c r="R35" i="22"/>
  <c r="QF22" i="22"/>
  <c r="IU22" i="22"/>
  <c r="CQ22" i="22"/>
  <c r="NC22" i="22"/>
  <c r="MM22" i="22"/>
  <c r="DG22" i="22"/>
  <c r="SA22" i="22"/>
  <c r="IE22" i="22"/>
  <c r="C22" i="22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N49" i="29"/>
  <c r="R27" i="29"/>
  <c r="Q27" i="29"/>
  <c r="P27" i="29"/>
  <c r="O27" i="29"/>
  <c r="M27" i="29"/>
  <c r="L27" i="29"/>
  <c r="K27" i="29"/>
  <c r="J27" i="29"/>
  <c r="I27" i="29"/>
  <c r="H27" i="29"/>
  <c r="G27" i="29"/>
  <c r="F27" i="29"/>
  <c r="E27" i="29"/>
  <c r="D27" i="29"/>
  <c r="R4" i="29"/>
  <c r="Q4" i="29"/>
  <c r="P4" i="29"/>
  <c r="O4" i="29"/>
  <c r="N4" i="29"/>
  <c r="M4" i="29"/>
  <c r="L4" i="29"/>
  <c r="J4" i="29"/>
  <c r="I4" i="29"/>
  <c r="H4" i="29"/>
  <c r="G4" i="29"/>
  <c r="F4" i="29"/>
  <c r="E4" i="29"/>
  <c r="D4" i="29"/>
  <c r="Q22" i="29"/>
  <c r="P22" i="29"/>
  <c r="O22" i="29"/>
  <c r="N22" i="29"/>
  <c r="M22" i="29"/>
  <c r="L22" i="29"/>
  <c r="K22" i="29"/>
  <c r="I22" i="29"/>
  <c r="G22" i="29"/>
  <c r="F22" i="29"/>
  <c r="E22" i="29"/>
  <c r="D22" i="29"/>
  <c r="R37" i="29"/>
  <c r="Q37" i="29"/>
  <c r="P37" i="29"/>
  <c r="M37" i="29"/>
  <c r="L37" i="29"/>
  <c r="K37" i="29"/>
  <c r="J37" i="29"/>
  <c r="I37" i="29"/>
  <c r="H37" i="29"/>
  <c r="E37" i="29"/>
  <c r="D37" i="29"/>
  <c r="C15" i="29"/>
  <c r="B15" i="29"/>
  <c r="C43" i="29"/>
  <c r="C42" i="29"/>
  <c r="C4" i="29"/>
  <c r="B4" i="29"/>
  <c r="C22" i="29"/>
  <c r="C37" i="29"/>
  <c r="B37" i="29"/>
  <c r="F6" i="16"/>
  <c r="F10" i="16"/>
  <c r="F13" i="16"/>
  <c r="F15" i="16"/>
  <c r="F17" i="16"/>
  <c r="F19" i="16"/>
  <c r="F21" i="16"/>
  <c r="F22" i="16"/>
  <c r="F23" i="16"/>
  <c r="F25" i="16"/>
  <c r="F28" i="16"/>
  <c r="F29" i="16"/>
  <c r="F31" i="16"/>
  <c r="F33" i="16"/>
  <c r="F36" i="16"/>
  <c r="F38" i="16"/>
  <c r="F41" i="16"/>
  <c r="F42" i="16"/>
  <c r="F43" i="16"/>
  <c r="F44" i="16"/>
  <c r="F45" i="16"/>
  <c r="F46" i="16"/>
  <c r="F47" i="16"/>
  <c r="F49" i="16"/>
  <c r="F50" i="16"/>
  <c r="F51" i="16"/>
  <c r="F52" i="16"/>
  <c r="F53" i="16"/>
  <c r="F55" i="16"/>
  <c r="F56" i="16"/>
  <c r="F58" i="16"/>
  <c r="F59" i="16"/>
  <c r="F63" i="16"/>
  <c r="F67" i="16"/>
  <c r="F68" i="16"/>
  <c r="F69" i="16"/>
  <c r="F73" i="16"/>
  <c r="F74" i="16"/>
  <c r="F75" i="16"/>
  <c r="F77" i="16"/>
  <c r="F78" i="16"/>
  <c r="F80" i="16"/>
  <c r="F82" i="16"/>
  <c r="F83" i="16"/>
  <c r="F84" i="16"/>
  <c r="F85" i="16"/>
  <c r="F87" i="16"/>
  <c r="F88" i="16"/>
  <c r="F90" i="16"/>
  <c r="F92" i="16"/>
  <c r="F93" i="16"/>
  <c r="F96" i="16"/>
  <c r="F97" i="16"/>
  <c r="F100" i="16"/>
  <c r="F101" i="16"/>
  <c r="F103" i="16"/>
  <c r="F105" i="16"/>
  <c r="F106" i="16"/>
  <c r="F107" i="16"/>
  <c r="F108" i="16"/>
  <c r="F109" i="16"/>
  <c r="F110" i="16"/>
  <c r="F114" i="16"/>
  <c r="F117" i="16"/>
  <c r="F120" i="16"/>
  <c r="F121" i="16"/>
  <c r="F122" i="16"/>
  <c r="F128" i="16"/>
  <c r="F130" i="16"/>
  <c r="F132" i="16"/>
  <c r="F133" i="16"/>
  <c r="F135" i="16"/>
  <c r="F136" i="16"/>
  <c r="F137" i="16"/>
  <c r="F139" i="16"/>
  <c r="F140" i="16"/>
  <c r="F142" i="16"/>
  <c r="F148" i="16"/>
  <c r="F149" i="16"/>
  <c r="F150" i="16"/>
  <c r="F152" i="16"/>
  <c r="F155" i="16"/>
  <c r="F157" i="16"/>
  <c r="F158" i="16"/>
  <c r="F159" i="16"/>
  <c r="F163" i="16"/>
  <c r="F164" i="16"/>
  <c r="F165" i="16"/>
  <c r="F166" i="16"/>
  <c r="F171" i="16"/>
  <c r="F172" i="16"/>
  <c r="F175" i="16"/>
  <c r="F178" i="16"/>
  <c r="F179" i="16"/>
  <c r="F180" i="16"/>
  <c r="F181" i="16"/>
  <c r="F184" i="16"/>
  <c r="F186" i="16"/>
  <c r="F187" i="16"/>
  <c r="F188" i="16"/>
  <c r="F189" i="16"/>
  <c r="F191" i="16"/>
  <c r="F192" i="16"/>
  <c r="F193" i="16"/>
  <c r="F194" i="16"/>
  <c r="F195" i="16"/>
  <c r="F196" i="16"/>
  <c r="F200" i="16"/>
  <c r="F201" i="16"/>
  <c r="F204" i="16"/>
  <c r="F208" i="16"/>
  <c r="F209" i="16"/>
  <c r="F212" i="16"/>
  <c r="F215" i="16"/>
  <c r="F216" i="16"/>
  <c r="F217" i="16"/>
  <c r="F220" i="16"/>
  <c r="F223" i="16"/>
  <c r="F224" i="16"/>
  <c r="F225" i="16"/>
  <c r="F228" i="16"/>
  <c r="F232" i="16"/>
  <c r="F235" i="16"/>
  <c r="F236" i="16"/>
  <c r="F237" i="16"/>
  <c r="F238" i="16"/>
  <c r="F240" i="16"/>
  <c r="F241" i="16"/>
  <c r="F243" i="16"/>
  <c r="F244" i="16"/>
  <c r="F249" i="16"/>
  <c r="F250" i="16"/>
  <c r="F252" i="16"/>
  <c r="F255" i="16"/>
  <c r="F257" i="16"/>
  <c r="F259" i="16"/>
  <c r="F260" i="16"/>
  <c r="F262" i="16"/>
  <c r="F263" i="16"/>
  <c r="F265" i="16"/>
  <c r="F269" i="16"/>
  <c r="F270" i="16"/>
  <c r="F271" i="16"/>
  <c r="F276" i="16"/>
  <c r="F277" i="16"/>
  <c r="F278" i="16"/>
  <c r="F281" i="16"/>
  <c r="F283" i="16"/>
  <c r="F284" i="16"/>
  <c r="F286" i="16"/>
  <c r="F287" i="16"/>
  <c r="F288" i="16"/>
  <c r="F290" i="16"/>
  <c r="F292" i="16"/>
  <c r="F293" i="16"/>
  <c r="F295" i="16"/>
  <c r="F299" i="16"/>
  <c r="F301" i="16"/>
  <c r="F302" i="16"/>
  <c r="F305" i="16"/>
  <c r="F308" i="16"/>
  <c r="F309" i="16"/>
  <c r="F310" i="16"/>
  <c r="F315" i="16"/>
  <c r="F316" i="16"/>
  <c r="F317" i="16"/>
  <c r="F320" i="16"/>
  <c r="F321" i="16"/>
  <c r="F322" i="16"/>
  <c r="F324" i="16"/>
  <c r="F327" i="16"/>
  <c r="F329" i="16"/>
  <c r="F330" i="16"/>
  <c r="F332" i="16"/>
  <c r="F333" i="16"/>
  <c r="F336" i="16"/>
  <c r="F338" i="16"/>
  <c r="F339" i="16"/>
  <c r="F341" i="16"/>
  <c r="F342" i="16"/>
  <c r="F345" i="16"/>
  <c r="F346" i="16"/>
  <c r="F348" i="16"/>
  <c r="F350" i="16"/>
  <c r="F352" i="16"/>
  <c r="F353" i="16"/>
  <c r="F354" i="16"/>
  <c r="F358" i="16"/>
  <c r="F360" i="16"/>
  <c r="F362" i="16"/>
  <c r="F363" i="16"/>
  <c r="F364" i="16"/>
  <c r="F366" i="16"/>
  <c r="F368" i="16"/>
  <c r="F369" i="16"/>
  <c r="F371" i="16"/>
  <c r="F372" i="16"/>
  <c r="F376" i="16"/>
  <c r="F377" i="16"/>
  <c r="F378" i="16"/>
  <c r="F379" i="16"/>
  <c r="F380" i="16"/>
  <c r="F381" i="16"/>
  <c r="F382" i="16"/>
  <c r="F384" i="16"/>
  <c r="F385" i="16"/>
  <c r="F387" i="16"/>
  <c r="F388" i="16"/>
  <c r="F389" i="16"/>
  <c r="F391" i="16"/>
  <c r="F392" i="16"/>
  <c r="F393" i="16"/>
  <c r="F395" i="16"/>
  <c r="F397" i="16"/>
  <c r="F398" i="16"/>
  <c r="F399" i="16"/>
  <c r="F400" i="16"/>
  <c r="F401" i="16"/>
  <c r="F402" i="16"/>
  <c r="F403" i="16"/>
  <c r="F404" i="16"/>
  <c r="F405" i="16"/>
  <c r="F408" i="16"/>
  <c r="F409" i="16"/>
  <c r="F410" i="16"/>
  <c r="F411" i="16"/>
  <c r="F412" i="16"/>
  <c r="F416" i="16"/>
  <c r="F417" i="16"/>
  <c r="F418" i="16"/>
  <c r="F420" i="16"/>
  <c r="F423" i="16"/>
  <c r="F424" i="16"/>
  <c r="F427" i="16"/>
  <c r="F430" i="16"/>
  <c r="F431" i="16"/>
  <c r="F436" i="16"/>
  <c r="F438" i="16"/>
  <c r="F439" i="16"/>
  <c r="F440" i="16"/>
  <c r="F445" i="16"/>
  <c r="F446" i="16"/>
  <c r="F447" i="16"/>
  <c r="F449" i="16"/>
  <c r="F450" i="16"/>
  <c r="F451" i="16"/>
  <c r="F454" i="16"/>
  <c r="F456" i="16"/>
  <c r="F457" i="16"/>
  <c r="F459" i="16"/>
  <c r="F460" i="16"/>
  <c r="F463" i="16"/>
  <c r="F464" i="16"/>
  <c r="F465" i="16"/>
  <c r="F466" i="16"/>
  <c r="F468" i="16"/>
  <c r="F471" i="16"/>
  <c r="F472" i="16"/>
  <c r="F473" i="16"/>
  <c r="F477" i="16"/>
  <c r="F478" i="16"/>
  <c r="F479" i="16"/>
  <c r="F481" i="16"/>
  <c r="F482" i="16"/>
  <c r="F484" i="16"/>
  <c r="F485" i="16"/>
  <c r="F487" i="16"/>
  <c r="F488" i="16"/>
  <c r="F489" i="16"/>
  <c r="F490" i="16"/>
  <c r="F491" i="16"/>
  <c r="F492" i="16"/>
  <c r="F496" i="16"/>
  <c r="F497" i="16"/>
  <c r="F498" i="16"/>
  <c r="F500" i="16"/>
  <c r="F501" i="16"/>
  <c r="F504" i="16"/>
  <c r="F505" i="16"/>
  <c r="F506" i="16"/>
  <c r="F508" i="16"/>
  <c r="F509" i="16"/>
  <c r="F510" i="16"/>
  <c r="F511" i="16"/>
  <c r="F513" i="16"/>
  <c r="F514" i="16"/>
  <c r="F516" i="16"/>
  <c r="F518" i="16"/>
  <c r="F520" i="16"/>
  <c r="F521" i="16"/>
  <c r="F524" i="16"/>
  <c r="F525" i="16"/>
  <c r="F527" i="16"/>
  <c r="F529" i="16"/>
  <c r="F530" i="16"/>
  <c r="F531" i="16"/>
  <c r="F533" i="16"/>
  <c r="F535" i="16"/>
  <c r="F536" i="16"/>
  <c r="F538" i="16"/>
  <c r="F539" i="16"/>
  <c r="F540" i="16"/>
  <c r="F542" i="16"/>
  <c r="F543" i="16"/>
  <c r="F544" i="16"/>
  <c r="F545" i="16"/>
  <c r="F546" i="16"/>
  <c r="F547" i="16"/>
  <c r="F549" i="16"/>
  <c r="F551" i="16"/>
  <c r="F552" i="16"/>
  <c r="F553" i="16"/>
  <c r="F554" i="16"/>
  <c r="F555" i="16"/>
  <c r="F559" i="16"/>
  <c r="F560" i="16"/>
  <c r="F561" i="16"/>
  <c r="F562" i="16"/>
  <c r="F563" i="16"/>
  <c r="G15" i="17" s="1"/>
  <c r="F564" i="16"/>
  <c r="F570" i="16"/>
  <c r="F571" i="16"/>
  <c r="F576" i="16"/>
  <c r="F577" i="16"/>
  <c r="F578" i="16"/>
  <c r="F584" i="16"/>
  <c r="F586" i="16"/>
  <c r="F589" i="16"/>
  <c r="F594" i="16"/>
  <c r="F597" i="16"/>
  <c r="F598" i="16"/>
  <c r="F599" i="16"/>
  <c r="F600" i="16"/>
  <c r="F607" i="16"/>
  <c r="F609" i="16"/>
  <c r="F610" i="16"/>
  <c r="F611" i="16"/>
  <c r="F615" i="16"/>
  <c r="F616" i="16"/>
  <c r="F618" i="16"/>
  <c r="F619" i="16"/>
  <c r="F623" i="16"/>
  <c r="F627" i="16"/>
  <c r="F628" i="16"/>
  <c r="F629" i="16"/>
  <c r="F632" i="16"/>
  <c r="F633" i="16"/>
  <c r="F636" i="16"/>
  <c r="F637" i="16"/>
  <c r="F638" i="16"/>
  <c r="F639" i="16"/>
  <c r="F642" i="16"/>
  <c r="F644" i="16"/>
  <c r="F647" i="16"/>
  <c r="F648" i="16"/>
  <c r="F649" i="16"/>
  <c r="F651" i="16"/>
  <c r="F652" i="16"/>
  <c r="F654" i="16"/>
  <c r="F655" i="16"/>
  <c r="F656" i="16"/>
  <c r="F658" i="16"/>
  <c r="F660" i="16"/>
  <c r="F661" i="16"/>
  <c r="F666" i="16"/>
  <c r="F667" i="16"/>
  <c r="F668" i="16"/>
  <c r="F669" i="16"/>
  <c r="F672" i="16"/>
  <c r="F674" i="16"/>
  <c r="F675" i="16"/>
  <c r="F676" i="16"/>
  <c r="F678" i="16"/>
  <c r="F680" i="16"/>
  <c r="F683" i="16"/>
  <c r="F687" i="16"/>
  <c r="F690" i="16"/>
  <c r="F692" i="16"/>
  <c r="F693" i="16"/>
  <c r="F700" i="16"/>
  <c r="F701" i="16"/>
  <c r="F702" i="16"/>
  <c r="F704" i="16"/>
  <c r="F705" i="16"/>
  <c r="F706" i="16"/>
  <c r="F707" i="16"/>
  <c r="F708" i="16"/>
  <c r="F709" i="16"/>
  <c r="F711" i="16"/>
  <c r="F712" i="16"/>
  <c r="F714" i="16"/>
  <c r="F715" i="16"/>
  <c r="F716" i="16"/>
  <c r="F717" i="16"/>
  <c r="F718" i="16"/>
  <c r="F719" i="16"/>
  <c r="F722" i="16"/>
  <c r="F723" i="16"/>
  <c r="F724" i="16"/>
  <c r="F726" i="16"/>
  <c r="F728" i="16"/>
  <c r="F729" i="16"/>
  <c r="F730" i="16"/>
  <c r="F731" i="16"/>
  <c r="F732" i="16"/>
  <c r="F733" i="16"/>
  <c r="F734" i="16"/>
  <c r="F735" i="16"/>
  <c r="F736" i="16"/>
  <c r="F737" i="16"/>
  <c r="F738" i="16"/>
  <c r="F739" i="16"/>
  <c r="F740" i="16"/>
  <c r="F743" i="16"/>
  <c r="F744" i="16"/>
  <c r="F745" i="16"/>
  <c r="F748" i="16"/>
  <c r="F750" i="16"/>
  <c r="F752" i="16"/>
  <c r="F753" i="16"/>
  <c r="F754" i="16"/>
  <c r="F756" i="16"/>
  <c r="F758" i="16"/>
  <c r="F759" i="16"/>
  <c r="F760" i="16"/>
  <c r="F761" i="16"/>
  <c r="F762" i="16"/>
  <c r="F767" i="16"/>
  <c r="F769" i="16"/>
  <c r="F771" i="16"/>
  <c r="F772" i="16"/>
  <c r="F774" i="16"/>
  <c r="F775" i="16"/>
  <c r="F777" i="16"/>
  <c r="F779" i="16"/>
  <c r="F781" i="16"/>
  <c r="F782" i="16"/>
  <c r="F784" i="16"/>
  <c r="F785" i="16"/>
  <c r="F788" i="16"/>
  <c r="F791" i="16"/>
  <c r="F792" i="16"/>
  <c r="F793" i="16"/>
  <c r="F799" i="16"/>
  <c r="F800" i="16"/>
  <c r="F801" i="16"/>
  <c r="F802" i="16"/>
  <c r="F803" i="16"/>
  <c r="F804" i="16"/>
  <c r="F805" i="16"/>
  <c r="F807" i="16"/>
  <c r="F809" i="16"/>
  <c r="F810" i="16"/>
  <c r="F811" i="16"/>
  <c r="F812" i="16"/>
  <c r="F814" i="16"/>
  <c r="F815" i="16"/>
  <c r="F816" i="16"/>
  <c r="F817" i="16"/>
  <c r="F818" i="16"/>
  <c r="F820" i="16"/>
  <c r="F821" i="16"/>
  <c r="F824" i="16"/>
  <c r="F825" i="16"/>
  <c r="F826" i="16"/>
  <c r="F827" i="16"/>
  <c r="F829" i="16"/>
  <c r="F832" i="16"/>
  <c r="F833" i="16"/>
  <c r="F837" i="16"/>
  <c r="F840" i="16"/>
  <c r="F842" i="16"/>
  <c r="F845" i="16"/>
  <c r="F847" i="16"/>
  <c r="F848" i="16"/>
  <c r="F850" i="16"/>
  <c r="F852" i="16"/>
  <c r="F853" i="16"/>
  <c r="F856" i="16"/>
  <c r="F857" i="16"/>
  <c r="F858" i="16"/>
  <c r="F860" i="16"/>
  <c r="F862" i="16"/>
  <c r="F863" i="16"/>
  <c r="F867" i="16"/>
  <c r="F868" i="16"/>
  <c r="F870" i="16"/>
  <c r="F871" i="16"/>
  <c r="F873" i="16"/>
  <c r="F875" i="16"/>
  <c r="F877" i="16"/>
  <c r="F878" i="16"/>
  <c r="F879" i="16"/>
  <c r="F882" i="16"/>
  <c r="F883" i="16"/>
  <c r="F884" i="16"/>
  <c r="F888" i="16"/>
  <c r="F891" i="16"/>
  <c r="F893" i="16"/>
  <c r="F896" i="16"/>
  <c r="F901" i="16"/>
  <c r="F905" i="16"/>
  <c r="F907" i="16"/>
  <c r="F908" i="16"/>
  <c r="F909" i="16"/>
  <c r="F911" i="16"/>
  <c r="F913" i="16"/>
  <c r="F914" i="16"/>
  <c r="F915" i="16"/>
  <c r="F917" i="16"/>
  <c r="F919" i="16"/>
  <c r="F924" i="16"/>
  <c r="F925" i="16"/>
  <c r="F929" i="16"/>
  <c r="F930" i="16"/>
  <c r="F933" i="16"/>
  <c r="F934" i="16"/>
  <c r="F939" i="16"/>
  <c r="F940" i="16"/>
  <c r="F942" i="16"/>
  <c r="F945" i="16"/>
  <c r="F947" i="16"/>
  <c r="F948" i="16"/>
  <c r="F950" i="16"/>
  <c r="F952" i="16"/>
  <c r="F955" i="16"/>
  <c r="F956" i="16"/>
  <c r="F959" i="16"/>
  <c r="F963" i="16"/>
  <c r="F964" i="16"/>
  <c r="F968" i="16"/>
  <c r="F971" i="16"/>
  <c r="F975" i="16"/>
  <c r="F976" i="16"/>
  <c r="F978" i="16"/>
  <c r="F979" i="16"/>
  <c r="F983" i="16"/>
  <c r="F984" i="16"/>
  <c r="F985" i="16"/>
  <c r="F986" i="16"/>
  <c r="F987" i="16"/>
  <c r="F991" i="16"/>
  <c r="F992" i="16"/>
  <c r="F993" i="16"/>
  <c r="F994" i="16"/>
  <c r="F995" i="16"/>
  <c r="F1000" i="16"/>
  <c r="F1003" i="16"/>
  <c r="F1004" i="16"/>
  <c r="F1005" i="16"/>
  <c r="F1009" i="16"/>
  <c r="F1010" i="16"/>
  <c r="F1015" i="16"/>
  <c r="F1018" i="16"/>
  <c r="F1019" i="16"/>
  <c r="F1023" i="16"/>
  <c r="F1025" i="16"/>
  <c r="F1027" i="16"/>
  <c r="F1031" i="16"/>
  <c r="F1033" i="16"/>
  <c r="F1034" i="16"/>
  <c r="F1041" i="16"/>
  <c r="F1042" i="16"/>
  <c r="F1044" i="16"/>
  <c r="F1045" i="16"/>
  <c r="F1046" i="16"/>
  <c r="F1047" i="16"/>
  <c r="F1048" i="16"/>
  <c r="F1050" i="16"/>
  <c r="F1054" i="16"/>
  <c r="F1055" i="16"/>
  <c r="F1056" i="16"/>
  <c r="F1058" i="16"/>
  <c r="F1059" i="16"/>
  <c r="F1060" i="16"/>
  <c r="F1062" i="16"/>
  <c r="F1063" i="16"/>
  <c r="F1064" i="16"/>
  <c r="F1066" i="16"/>
  <c r="F1067" i="16"/>
  <c r="F1069" i="16"/>
  <c r="F1070" i="16"/>
  <c r="F1071" i="16"/>
  <c r="F1073" i="16"/>
  <c r="F1074" i="16"/>
  <c r="F1076" i="16"/>
  <c r="F1078" i="16"/>
  <c r="F1079" i="16"/>
  <c r="F1082" i="16"/>
  <c r="F1086" i="16"/>
  <c r="F1087" i="16"/>
  <c r="F1090" i="16"/>
  <c r="F1091" i="16"/>
  <c r="F1092" i="16"/>
  <c r="F1094" i="16"/>
  <c r="F1095" i="16"/>
  <c r="F1099" i="16"/>
  <c r="F1101" i="16"/>
  <c r="F1103" i="16"/>
  <c r="F1106" i="16"/>
  <c r="F1107" i="16"/>
  <c r="F1108" i="16"/>
  <c r="F1109" i="16"/>
  <c r="F1111" i="16"/>
  <c r="F1113" i="16"/>
  <c r="F1114" i="16"/>
  <c r="F1118" i="16"/>
  <c r="F1119" i="16"/>
  <c r="F1120" i="16"/>
  <c r="F1121" i="16"/>
  <c r="F1123" i="16"/>
  <c r="F1124" i="16"/>
  <c r="F1125" i="16"/>
  <c r="F1126" i="16"/>
  <c r="F1127" i="16"/>
  <c r="F1128" i="16"/>
  <c r="F1129" i="16"/>
  <c r="F1130" i="16"/>
  <c r="F1131" i="16"/>
  <c r="F1132" i="16"/>
  <c r="F1133" i="16"/>
  <c r="F1134" i="16"/>
  <c r="F1135" i="16"/>
  <c r="F1136" i="16"/>
  <c r="F1137" i="16"/>
  <c r="F1138" i="16"/>
  <c r="F1139" i="16"/>
  <c r="F1140" i="16"/>
  <c r="F1141" i="16"/>
  <c r="F1142" i="16"/>
  <c r="F1143" i="16"/>
  <c r="F1144" i="16"/>
  <c r="F1145" i="16"/>
  <c r="F1146" i="16"/>
  <c r="F1147" i="16"/>
  <c r="F1148" i="16"/>
  <c r="F1149" i="16"/>
  <c r="F1150" i="16"/>
  <c r="F1151" i="16"/>
  <c r="F1152" i="16"/>
  <c r="F1153" i="16"/>
  <c r="F1154" i="16"/>
  <c r="F1155" i="16"/>
  <c r="F1156" i="16"/>
  <c r="F1157" i="16"/>
  <c r="F1158" i="16"/>
  <c r="F1159" i="16"/>
  <c r="F1160" i="16"/>
  <c r="F1163" i="16"/>
  <c r="F1164" i="16"/>
  <c r="F1165" i="16"/>
  <c r="F1166" i="16"/>
  <c r="F1167" i="16"/>
  <c r="F1168" i="16"/>
  <c r="F1169" i="16"/>
  <c r="F1170" i="16"/>
  <c r="F1171" i="16"/>
  <c r="F1172" i="16"/>
  <c r="F1173" i="16"/>
  <c r="F1174" i="16"/>
  <c r="F1175" i="16"/>
  <c r="F1176" i="16"/>
  <c r="F1177" i="16"/>
  <c r="F1178" i="16"/>
  <c r="F1179" i="16"/>
  <c r="F1180" i="16"/>
  <c r="F1181" i="16"/>
  <c r="F1182" i="16"/>
  <c r="F1183" i="16"/>
  <c r="F1184" i="16"/>
  <c r="F1185" i="16"/>
  <c r="F1186" i="16"/>
  <c r="F1187" i="16"/>
  <c r="F1188" i="16"/>
  <c r="F1189" i="16"/>
  <c r="F1190" i="16"/>
  <c r="F1191" i="16"/>
  <c r="F1192" i="16"/>
  <c r="F1193" i="16"/>
  <c r="F1194" i="16"/>
  <c r="F1195" i="16"/>
  <c r="F1196" i="16"/>
  <c r="F1197" i="16"/>
  <c r="F1198" i="16"/>
  <c r="F1199" i="16"/>
  <c r="F1200" i="16"/>
  <c r="F1201" i="16"/>
  <c r="F1202" i="16"/>
  <c r="F1204" i="16"/>
  <c r="F1205" i="16"/>
  <c r="F1206" i="16"/>
  <c r="F1207" i="16"/>
  <c r="F1209" i="16"/>
  <c r="F1210" i="16"/>
  <c r="F1211" i="16"/>
  <c r="F1212" i="16"/>
  <c r="F1214" i="16"/>
  <c r="F1215" i="16"/>
  <c r="F1216" i="16"/>
  <c r="F1217" i="16"/>
  <c r="F1218" i="16"/>
  <c r="F1220" i="16"/>
  <c r="F1221" i="16"/>
  <c r="F1222" i="16"/>
  <c r="F1223" i="16"/>
  <c r="F1224" i="16"/>
  <c r="F1225" i="16"/>
  <c r="F1226" i="16"/>
  <c r="F1227" i="16"/>
  <c r="F1228" i="16"/>
  <c r="F1229" i="16"/>
  <c r="F1230" i="16"/>
  <c r="F1231" i="16"/>
  <c r="F1232" i="16"/>
  <c r="F1233" i="16"/>
  <c r="F1236" i="16"/>
  <c r="F1237" i="16"/>
  <c r="F1238" i="16"/>
  <c r="F1239" i="16"/>
  <c r="F1240" i="16"/>
  <c r="F1241" i="16"/>
  <c r="F1242" i="16"/>
  <c r="F1243" i="16"/>
  <c r="F1244" i="16"/>
  <c r="F3" i="16"/>
  <c r="I4" i="16"/>
  <c r="E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K7" i="16"/>
  <c r="E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N11" i="16"/>
  <c r="J12" i="16"/>
  <c r="E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K14" i="16"/>
  <c r="E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O16" i="16"/>
  <c r="E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J18" i="16"/>
  <c r="E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E20" i="16"/>
  <c r="O20" i="16"/>
  <c r="E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E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E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L24" i="16"/>
  <c r="E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J26" i="16"/>
  <c r="P27" i="16"/>
  <c r="E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E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G30" i="16"/>
  <c r="E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E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U34" i="16"/>
  <c r="H35" i="16"/>
  <c r="S35" i="16"/>
  <c r="E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G37" i="16"/>
  <c r="T37" i="16"/>
  <c r="E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E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E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E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E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E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E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E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I48" i="16"/>
  <c r="E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E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E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E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E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E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E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E57" i="16"/>
  <c r="U57" i="16"/>
  <c r="E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E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G60" i="16"/>
  <c r="L61" i="16"/>
  <c r="U62" i="16"/>
  <c r="E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E64" i="16"/>
  <c r="P64" i="16"/>
  <c r="K65" i="16"/>
  <c r="N66" i="16"/>
  <c r="E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E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E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O70" i="16"/>
  <c r="G71" i="16"/>
  <c r="E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E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E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H76" i="16"/>
  <c r="E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E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E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U81" i="16"/>
  <c r="E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E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E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L86" i="16"/>
  <c r="M13" i="18" s="1"/>
  <c r="E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E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E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I91" i="16"/>
  <c r="E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E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I94" i="16"/>
  <c r="Q95" i="16"/>
  <c r="S95" i="16"/>
  <c r="E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E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K98" i="16"/>
  <c r="S99" i="16"/>
  <c r="E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E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H102" i="16"/>
  <c r="E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E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E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E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E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E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Q111" i="16"/>
  <c r="E112" i="16"/>
  <c r="G113" i="16"/>
  <c r="E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T115" i="16"/>
  <c r="E116" i="16"/>
  <c r="E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K119" i="16"/>
  <c r="E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E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P123" i="16"/>
  <c r="T124" i="16"/>
  <c r="J125" i="16"/>
  <c r="O125" i="16"/>
  <c r="K127" i="16"/>
  <c r="O127" i="16"/>
  <c r="E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N129" i="16"/>
  <c r="E130" i="16"/>
  <c r="T131" i="16"/>
  <c r="E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E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Q134" i="16"/>
  <c r="E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E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E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G138" i="16"/>
  <c r="E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E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U141" i="16"/>
  <c r="E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G143" i="16"/>
  <c r="I144" i="16"/>
  <c r="I145" i="16"/>
  <c r="H146" i="16"/>
  <c r="O147" i="16"/>
  <c r="E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E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E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I151" i="16"/>
  <c r="E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U153" i="16"/>
  <c r="N154" i="16"/>
  <c r="E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K156" i="16"/>
  <c r="E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E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U160" i="16"/>
  <c r="G162" i="16"/>
  <c r="E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E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E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E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G167" i="16"/>
  <c r="L168" i="16"/>
  <c r="S169" i="16"/>
  <c r="E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E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G173" i="16"/>
  <c r="L174" i="16"/>
  <c r="P174" i="16"/>
  <c r="E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H176" i="16"/>
  <c r="E177" i="16"/>
  <c r="E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E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E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E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O182" i="16"/>
  <c r="N183" i="16"/>
  <c r="P184" i="16"/>
  <c r="E185" i="16"/>
  <c r="U186" i="16"/>
  <c r="E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E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E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L190" i="16"/>
  <c r="E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E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E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E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E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G198" i="16"/>
  <c r="Q199" i="16"/>
  <c r="P200" i="16"/>
  <c r="E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G202" i="16"/>
  <c r="G203" i="16"/>
  <c r="T203" i="16"/>
  <c r="E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G207" i="16"/>
  <c r="S207" i="16"/>
  <c r="E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E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R211" i="16"/>
  <c r="E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U214" i="16"/>
  <c r="E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E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E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G218" i="16"/>
  <c r="T219" i="16"/>
  <c r="E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J221" i="16"/>
  <c r="E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E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E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G226" i="16"/>
  <c r="U227" i="16"/>
  <c r="E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Q230" i="16"/>
  <c r="U231" i="16"/>
  <c r="E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Q233" i="16"/>
  <c r="G234" i="16"/>
  <c r="E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E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E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E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T239" i="16"/>
  <c r="E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E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E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E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N245" i="16"/>
  <c r="O246" i="16"/>
  <c r="Q247" i="16"/>
  <c r="N248" i="16"/>
  <c r="E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E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U251" i="16"/>
  <c r="E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K253" i="16"/>
  <c r="G254" i="16"/>
  <c r="E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I256" i="16"/>
  <c r="E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E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G261" i="16"/>
  <c r="E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E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Q264" i="16"/>
  <c r="E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I266" i="16"/>
  <c r="U267" i="16"/>
  <c r="N268" i="16"/>
  <c r="E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E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E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L272" i="16"/>
  <c r="N273" i="16"/>
  <c r="I274" i="16"/>
  <c r="N275" i="16"/>
  <c r="Q275" i="16"/>
  <c r="E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E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E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T279" i="16"/>
  <c r="J280" i="16"/>
  <c r="O280" i="16"/>
  <c r="L282" i="16"/>
  <c r="E283" i="16"/>
  <c r="G283" i="16"/>
  <c r="H283" i="16"/>
  <c r="I283" i="16"/>
  <c r="J283" i="16"/>
  <c r="K283" i="16"/>
  <c r="L283" i="16"/>
  <c r="M283" i="16"/>
  <c r="N283" i="16"/>
  <c r="O283" i="16"/>
  <c r="P283" i="16"/>
  <c r="Q283" i="16"/>
  <c r="R283" i="16"/>
  <c r="S283" i="16"/>
  <c r="T283" i="16"/>
  <c r="U283" i="16"/>
  <c r="E284" i="16"/>
  <c r="G284" i="16"/>
  <c r="H284" i="16"/>
  <c r="I284" i="16"/>
  <c r="J284" i="16"/>
  <c r="K284" i="16"/>
  <c r="L284" i="16"/>
  <c r="M284" i="16"/>
  <c r="N284" i="16"/>
  <c r="O284" i="16"/>
  <c r="P284" i="16"/>
  <c r="Q284" i="16"/>
  <c r="R284" i="16"/>
  <c r="S284" i="16"/>
  <c r="T284" i="16"/>
  <c r="U284" i="16"/>
  <c r="E286" i="16"/>
  <c r="G286" i="16"/>
  <c r="H286" i="16"/>
  <c r="I286" i="16"/>
  <c r="J286" i="16"/>
  <c r="K286" i="16"/>
  <c r="L286" i="16"/>
  <c r="M286" i="16"/>
  <c r="N286" i="16"/>
  <c r="O286" i="16"/>
  <c r="P286" i="16"/>
  <c r="Q286" i="16"/>
  <c r="R286" i="16"/>
  <c r="S286" i="16"/>
  <c r="T286" i="16"/>
  <c r="U286" i="16"/>
  <c r="E287" i="16"/>
  <c r="G287" i="16"/>
  <c r="H287" i="16"/>
  <c r="I287" i="16"/>
  <c r="J287" i="16"/>
  <c r="K287" i="16"/>
  <c r="L287" i="16"/>
  <c r="M287" i="16"/>
  <c r="N287" i="16"/>
  <c r="O287" i="16"/>
  <c r="P287" i="16"/>
  <c r="Q287" i="16"/>
  <c r="R287" i="16"/>
  <c r="S287" i="16"/>
  <c r="T287" i="16"/>
  <c r="U287" i="16"/>
  <c r="E288" i="16"/>
  <c r="G288" i="16"/>
  <c r="H288" i="16"/>
  <c r="I288" i="16"/>
  <c r="J288" i="16"/>
  <c r="K288" i="16"/>
  <c r="L288" i="16"/>
  <c r="M288" i="16"/>
  <c r="N288" i="16"/>
  <c r="O288" i="16"/>
  <c r="P288" i="16"/>
  <c r="Q288" i="16"/>
  <c r="R288" i="16"/>
  <c r="S288" i="16"/>
  <c r="T288" i="16"/>
  <c r="U288" i="16"/>
  <c r="G289" i="16"/>
  <c r="E290" i="16"/>
  <c r="G290" i="16"/>
  <c r="H290" i="16"/>
  <c r="I290" i="16"/>
  <c r="J290" i="16"/>
  <c r="K290" i="16"/>
  <c r="L290" i="16"/>
  <c r="M290" i="16"/>
  <c r="N290" i="16"/>
  <c r="O290" i="16"/>
  <c r="P290" i="16"/>
  <c r="Q290" i="16"/>
  <c r="R290" i="16"/>
  <c r="S290" i="16"/>
  <c r="T290" i="16"/>
  <c r="U290" i="16"/>
  <c r="L291" i="16"/>
  <c r="E292" i="16"/>
  <c r="G292" i="16"/>
  <c r="H292" i="16"/>
  <c r="I292" i="16"/>
  <c r="J292" i="16"/>
  <c r="K292" i="16"/>
  <c r="L292" i="16"/>
  <c r="M292" i="16"/>
  <c r="N292" i="16"/>
  <c r="O292" i="16"/>
  <c r="P292" i="16"/>
  <c r="Q292" i="16"/>
  <c r="R292" i="16"/>
  <c r="S292" i="16"/>
  <c r="T292" i="16"/>
  <c r="U292" i="16"/>
  <c r="E293" i="16"/>
  <c r="G293" i="16"/>
  <c r="H293" i="16"/>
  <c r="I293" i="16"/>
  <c r="J293" i="16"/>
  <c r="K293" i="16"/>
  <c r="L293" i="16"/>
  <c r="M293" i="16"/>
  <c r="N293" i="16"/>
  <c r="O293" i="16"/>
  <c r="P293" i="16"/>
  <c r="Q293" i="16"/>
  <c r="R293" i="16"/>
  <c r="S293" i="16"/>
  <c r="T293" i="16"/>
  <c r="U293" i="16"/>
  <c r="T294" i="16"/>
  <c r="E295" i="16"/>
  <c r="G295" i="16"/>
  <c r="H295" i="16"/>
  <c r="I295" i="16"/>
  <c r="J295" i="16"/>
  <c r="K295" i="16"/>
  <c r="L295" i="16"/>
  <c r="M295" i="16"/>
  <c r="N295" i="16"/>
  <c r="O295" i="16"/>
  <c r="P295" i="16"/>
  <c r="Q295" i="16"/>
  <c r="R295" i="16"/>
  <c r="S295" i="16"/>
  <c r="T295" i="16"/>
  <c r="U295" i="16"/>
  <c r="L296" i="16"/>
  <c r="G297" i="16"/>
  <c r="K298" i="16"/>
  <c r="E299" i="16"/>
  <c r="G299" i="16"/>
  <c r="H299" i="16"/>
  <c r="I299" i="16"/>
  <c r="J299" i="16"/>
  <c r="K299" i="16"/>
  <c r="L299" i="16"/>
  <c r="M299" i="16"/>
  <c r="N299" i="16"/>
  <c r="O299" i="16"/>
  <c r="P299" i="16"/>
  <c r="Q299" i="16"/>
  <c r="R299" i="16"/>
  <c r="S299" i="16"/>
  <c r="T299" i="16"/>
  <c r="U299" i="16"/>
  <c r="U300" i="16"/>
  <c r="E301" i="16"/>
  <c r="G301" i="16"/>
  <c r="H301" i="16"/>
  <c r="I301" i="16"/>
  <c r="J301" i="16"/>
  <c r="K301" i="16"/>
  <c r="L301" i="16"/>
  <c r="M301" i="16"/>
  <c r="N301" i="16"/>
  <c r="O301" i="16"/>
  <c r="P301" i="16"/>
  <c r="Q301" i="16"/>
  <c r="R301" i="16"/>
  <c r="S301" i="16"/>
  <c r="T301" i="16"/>
  <c r="U301" i="16"/>
  <c r="E302" i="16"/>
  <c r="G302" i="16"/>
  <c r="H302" i="16"/>
  <c r="I302" i="16"/>
  <c r="J302" i="16"/>
  <c r="K302" i="16"/>
  <c r="L302" i="16"/>
  <c r="M302" i="16"/>
  <c r="N302" i="16"/>
  <c r="O302" i="16"/>
  <c r="P302" i="16"/>
  <c r="Q302" i="16"/>
  <c r="R302" i="16"/>
  <c r="S302" i="16"/>
  <c r="T302" i="16"/>
  <c r="U302" i="16"/>
  <c r="O303" i="16"/>
  <c r="E304" i="16"/>
  <c r="E305" i="16"/>
  <c r="G305" i="16"/>
  <c r="H305" i="16"/>
  <c r="I305" i="16"/>
  <c r="J305" i="16"/>
  <c r="K305" i="16"/>
  <c r="L305" i="16"/>
  <c r="M305" i="16"/>
  <c r="N305" i="16"/>
  <c r="O305" i="16"/>
  <c r="P305" i="16"/>
  <c r="Q305" i="16"/>
  <c r="R305" i="16"/>
  <c r="S305" i="16"/>
  <c r="T305" i="16"/>
  <c r="U305" i="16"/>
  <c r="L307" i="16"/>
  <c r="E308" i="16"/>
  <c r="G308" i="16"/>
  <c r="H308" i="16"/>
  <c r="I308" i="16"/>
  <c r="J308" i="16"/>
  <c r="K308" i="16"/>
  <c r="L308" i="16"/>
  <c r="M308" i="16"/>
  <c r="N308" i="16"/>
  <c r="O308" i="16"/>
  <c r="P308" i="16"/>
  <c r="Q308" i="16"/>
  <c r="R308" i="16"/>
  <c r="S308" i="16"/>
  <c r="T308" i="16"/>
  <c r="U308" i="16"/>
  <c r="E309" i="16"/>
  <c r="G309" i="16"/>
  <c r="H309" i="16"/>
  <c r="I309" i="16"/>
  <c r="J309" i="16"/>
  <c r="K309" i="16"/>
  <c r="L309" i="16"/>
  <c r="M309" i="16"/>
  <c r="N309" i="16"/>
  <c r="O309" i="16"/>
  <c r="P309" i="16"/>
  <c r="Q309" i="16"/>
  <c r="R309" i="16"/>
  <c r="S309" i="16"/>
  <c r="T309" i="16"/>
  <c r="U309" i="16"/>
  <c r="E310" i="16"/>
  <c r="G310" i="16"/>
  <c r="H310" i="16"/>
  <c r="I310" i="16"/>
  <c r="J310" i="16"/>
  <c r="K310" i="16"/>
  <c r="L310" i="16"/>
  <c r="M310" i="16"/>
  <c r="N310" i="16"/>
  <c r="O310" i="16"/>
  <c r="P310" i="16"/>
  <c r="Q310" i="16"/>
  <c r="R310" i="16"/>
  <c r="S310" i="16"/>
  <c r="T310" i="16"/>
  <c r="U310" i="16"/>
  <c r="G311" i="16"/>
  <c r="R311" i="16"/>
  <c r="T312" i="16"/>
  <c r="P314" i="16"/>
  <c r="E315" i="16"/>
  <c r="G315" i="16"/>
  <c r="H315" i="16"/>
  <c r="I315" i="16"/>
  <c r="J315" i="16"/>
  <c r="K315" i="16"/>
  <c r="L315" i="16"/>
  <c r="M315" i="16"/>
  <c r="N315" i="16"/>
  <c r="O315" i="16"/>
  <c r="P315" i="16"/>
  <c r="Q315" i="16"/>
  <c r="R315" i="16"/>
  <c r="S315" i="16"/>
  <c r="T315" i="16"/>
  <c r="U315" i="16"/>
  <c r="E316" i="16"/>
  <c r="G316" i="16"/>
  <c r="H316" i="16"/>
  <c r="I316" i="16"/>
  <c r="J316" i="16"/>
  <c r="K316" i="16"/>
  <c r="L316" i="16"/>
  <c r="M316" i="16"/>
  <c r="N316" i="16"/>
  <c r="O316" i="16"/>
  <c r="P316" i="16"/>
  <c r="Q316" i="16"/>
  <c r="R316" i="16"/>
  <c r="S316" i="16"/>
  <c r="T316" i="16"/>
  <c r="U316" i="16"/>
  <c r="E317" i="16"/>
  <c r="G317" i="16"/>
  <c r="H317" i="16"/>
  <c r="I317" i="16"/>
  <c r="J317" i="16"/>
  <c r="K317" i="16"/>
  <c r="L317" i="16"/>
  <c r="M317" i="16"/>
  <c r="N317" i="16"/>
  <c r="O317" i="16"/>
  <c r="P317" i="16"/>
  <c r="Q317" i="16"/>
  <c r="R317" i="16"/>
  <c r="S317" i="16"/>
  <c r="T317" i="16"/>
  <c r="U317" i="16"/>
  <c r="P318" i="16"/>
  <c r="E320" i="16"/>
  <c r="G320" i="16"/>
  <c r="H320" i="16"/>
  <c r="I320" i="16"/>
  <c r="J320" i="16"/>
  <c r="K320" i="16"/>
  <c r="L320" i="16"/>
  <c r="M320" i="16"/>
  <c r="N320" i="16"/>
  <c r="O320" i="16"/>
  <c r="P320" i="16"/>
  <c r="Q320" i="16"/>
  <c r="R320" i="16"/>
  <c r="S320" i="16"/>
  <c r="T320" i="16"/>
  <c r="U320" i="16"/>
  <c r="E322" i="16"/>
  <c r="G322" i="16"/>
  <c r="H322" i="16"/>
  <c r="I322" i="16"/>
  <c r="J322" i="16"/>
  <c r="K322" i="16"/>
  <c r="L322" i="16"/>
  <c r="M322" i="16"/>
  <c r="N322" i="16"/>
  <c r="O322" i="16"/>
  <c r="P322" i="16"/>
  <c r="Q322" i="16"/>
  <c r="R322" i="16"/>
  <c r="S322" i="16"/>
  <c r="T322" i="16"/>
  <c r="U322" i="16"/>
  <c r="N323" i="16"/>
  <c r="E324" i="16"/>
  <c r="G324" i="16"/>
  <c r="H324" i="16"/>
  <c r="I324" i="16"/>
  <c r="J324" i="16"/>
  <c r="K324" i="16"/>
  <c r="L324" i="16"/>
  <c r="M324" i="16"/>
  <c r="N324" i="16"/>
  <c r="O324" i="16"/>
  <c r="P324" i="16"/>
  <c r="Q324" i="16"/>
  <c r="R324" i="16"/>
  <c r="S324" i="16"/>
  <c r="T324" i="16"/>
  <c r="U324" i="16"/>
  <c r="L325" i="16"/>
  <c r="O326" i="16"/>
  <c r="E327" i="16"/>
  <c r="G327" i="16"/>
  <c r="H327" i="16"/>
  <c r="I327" i="16"/>
  <c r="J327" i="16"/>
  <c r="K327" i="16"/>
  <c r="L327" i="16"/>
  <c r="M327" i="16"/>
  <c r="N327" i="16"/>
  <c r="O327" i="16"/>
  <c r="P327" i="16"/>
  <c r="Q327" i="16"/>
  <c r="R327" i="16"/>
  <c r="S327" i="16"/>
  <c r="T327" i="16"/>
  <c r="U327" i="16"/>
  <c r="L328" i="16"/>
  <c r="E329" i="16"/>
  <c r="G329" i="16"/>
  <c r="H329" i="16"/>
  <c r="I329" i="16"/>
  <c r="J329" i="16"/>
  <c r="K329" i="16"/>
  <c r="L329" i="16"/>
  <c r="M329" i="16"/>
  <c r="N329" i="16"/>
  <c r="O329" i="16"/>
  <c r="P329" i="16"/>
  <c r="Q329" i="16"/>
  <c r="R329" i="16"/>
  <c r="S329" i="16"/>
  <c r="T329" i="16"/>
  <c r="U329" i="16"/>
  <c r="E330" i="16"/>
  <c r="G330" i="16"/>
  <c r="H330" i="16"/>
  <c r="I330" i="16"/>
  <c r="J330" i="16"/>
  <c r="K330" i="16"/>
  <c r="L330" i="16"/>
  <c r="M330" i="16"/>
  <c r="N330" i="16"/>
  <c r="O330" i="16"/>
  <c r="P330" i="16"/>
  <c r="Q330" i="16"/>
  <c r="R330" i="16"/>
  <c r="S330" i="16"/>
  <c r="T330" i="16"/>
  <c r="U330" i="16"/>
  <c r="K331" i="16"/>
  <c r="O331" i="16"/>
  <c r="E332" i="16"/>
  <c r="G332" i="16"/>
  <c r="H332" i="16"/>
  <c r="I332" i="16"/>
  <c r="J332" i="16"/>
  <c r="K332" i="16"/>
  <c r="L332" i="16"/>
  <c r="M332" i="16"/>
  <c r="N332" i="16"/>
  <c r="O332" i="16"/>
  <c r="P332" i="16"/>
  <c r="Q332" i="16"/>
  <c r="R332" i="16"/>
  <c r="S332" i="16"/>
  <c r="T332" i="16"/>
  <c r="U332" i="16"/>
  <c r="E333" i="16"/>
  <c r="G333" i="16"/>
  <c r="H333" i="16"/>
  <c r="I333" i="16"/>
  <c r="J333" i="16"/>
  <c r="K333" i="16"/>
  <c r="L333" i="16"/>
  <c r="M333" i="16"/>
  <c r="N333" i="16"/>
  <c r="O333" i="16"/>
  <c r="P333" i="16"/>
  <c r="Q333" i="16"/>
  <c r="R333" i="16"/>
  <c r="S333" i="16"/>
  <c r="T333" i="16"/>
  <c r="U333" i="16"/>
  <c r="K334" i="16"/>
  <c r="E336" i="16"/>
  <c r="G336" i="16"/>
  <c r="H336" i="16"/>
  <c r="I336" i="16"/>
  <c r="J336" i="16"/>
  <c r="K336" i="16"/>
  <c r="L336" i="16"/>
  <c r="M336" i="16"/>
  <c r="N336" i="16"/>
  <c r="O336" i="16"/>
  <c r="P336" i="16"/>
  <c r="Q336" i="16"/>
  <c r="R336" i="16"/>
  <c r="S336" i="16"/>
  <c r="T336" i="16"/>
  <c r="U336" i="16"/>
  <c r="L337" i="16"/>
  <c r="E338" i="16"/>
  <c r="G338" i="16"/>
  <c r="H338" i="16"/>
  <c r="I338" i="16"/>
  <c r="J338" i="16"/>
  <c r="K338" i="16"/>
  <c r="L338" i="16"/>
  <c r="M338" i="16"/>
  <c r="N338" i="16"/>
  <c r="O338" i="16"/>
  <c r="P338" i="16"/>
  <c r="Q338" i="16"/>
  <c r="R338" i="16"/>
  <c r="S338" i="16"/>
  <c r="T338" i="16"/>
  <c r="U338" i="16"/>
  <c r="E339" i="16"/>
  <c r="G339" i="16"/>
  <c r="H339" i="16"/>
  <c r="I339" i="16"/>
  <c r="J339" i="16"/>
  <c r="K339" i="16"/>
  <c r="L339" i="16"/>
  <c r="M339" i="16"/>
  <c r="N339" i="16"/>
  <c r="O339" i="16"/>
  <c r="P339" i="16"/>
  <c r="Q339" i="16"/>
  <c r="R339" i="16"/>
  <c r="S339" i="16"/>
  <c r="T339" i="16"/>
  <c r="U339" i="16"/>
  <c r="G340" i="16"/>
  <c r="E341" i="16"/>
  <c r="G341" i="16"/>
  <c r="H341" i="16"/>
  <c r="I341" i="16"/>
  <c r="J341" i="16"/>
  <c r="K341" i="16"/>
  <c r="L341" i="16"/>
  <c r="M341" i="16"/>
  <c r="N341" i="16"/>
  <c r="O341" i="16"/>
  <c r="P341" i="16"/>
  <c r="Q341" i="16"/>
  <c r="R341" i="16"/>
  <c r="S341" i="16"/>
  <c r="T341" i="16"/>
  <c r="U341" i="16"/>
  <c r="E342" i="16"/>
  <c r="G342" i="16"/>
  <c r="H342" i="16"/>
  <c r="I342" i="16"/>
  <c r="J342" i="16"/>
  <c r="K342" i="16"/>
  <c r="L342" i="16"/>
  <c r="M342" i="16"/>
  <c r="N342" i="16"/>
  <c r="O342" i="16"/>
  <c r="P342" i="16"/>
  <c r="Q342" i="16"/>
  <c r="R342" i="16"/>
  <c r="S342" i="16"/>
  <c r="T342" i="16"/>
  <c r="U342" i="16"/>
  <c r="I343" i="16"/>
  <c r="J343" i="16"/>
  <c r="E345" i="16"/>
  <c r="G345" i="16"/>
  <c r="H345" i="16"/>
  <c r="I345" i="16"/>
  <c r="J345" i="16"/>
  <c r="K345" i="16"/>
  <c r="L345" i="16"/>
  <c r="M345" i="16"/>
  <c r="N345" i="16"/>
  <c r="O345" i="16"/>
  <c r="P345" i="16"/>
  <c r="Q345" i="16"/>
  <c r="R345" i="16"/>
  <c r="S345" i="16"/>
  <c r="T345" i="16"/>
  <c r="U345" i="16"/>
  <c r="E346" i="16"/>
  <c r="G346" i="16"/>
  <c r="H346" i="16"/>
  <c r="I346" i="16"/>
  <c r="J346" i="16"/>
  <c r="K346" i="16"/>
  <c r="L346" i="16"/>
  <c r="M346" i="16"/>
  <c r="N346" i="16"/>
  <c r="O346" i="16"/>
  <c r="P346" i="16"/>
  <c r="Q346" i="16"/>
  <c r="R346" i="16"/>
  <c r="S346" i="16"/>
  <c r="T346" i="16"/>
  <c r="U346" i="16"/>
  <c r="Q347" i="16"/>
  <c r="E348" i="16"/>
  <c r="G348" i="16"/>
  <c r="H348" i="16"/>
  <c r="I348" i="16"/>
  <c r="J348" i="16"/>
  <c r="K348" i="16"/>
  <c r="L348" i="16"/>
  <c r="M348" i="16"/>
  <c r="N348" i="16"/>
  <c r="O348" i="16"/>
  <c r="P348" i="16"/>
  <c r="Q348" i="16"/>
  <c r="R348" i="16"/>
  <c r="S348" i="16"/>
  <c r="T348" i="16"/>
  <c r="U348" i="16"/>
  <c r="P349" i="16"/>
  <c r="E350" i="16"/>
  <c r="G350" i="16"/>
  <c r="H350" i="16"/>
  <c r="I350" i="16"/>
  <c r="J350" i="16"/>
  <c r="K350" i="16"/>
  <c r="L350" i="16"/>
  <c r="M350" i="16"/>
  <c r="N350" i="16"/>
  <c r="O350" i="16"/>
  <c r="P350" i="16"/>
  <c r="Q350" i="16"/>
  <c r="R350" i="16"/>
  <c r="S350" i="16"/>
  <c r="T350" i="16"/>
  <c r="U350" i="16"/>
  <c r="I351" i="16"/>
  <c r="E352" i="16"/>
  <c r="G352" i="16"/>
  <c r="H352" i="16"/>
  <c r="I352" i="16"/>
  <c r="J352" i="16"/>
  <c r="K352" i="16"/>
  <c r="L352" i="16"/>
  <c r="M352" i="16"/>
  <c r="N352" i="16"/>
  <c r="O352" i="16"/>
  <c r="P352" i="16"/>
  <c r="Q352" i="16"/>
  <c r="R352" i="16"/>
  <c r="S352" i="16"/>
  <c r="T352" i="16"/>
  <c r="U352" i="16"/>
  <c r="E353" i="16"/>
  <c r="G353" i="16"/>
  <c r="H353" i="16"/>
  <c r="I353" i="16"/>
  <c r="J353" i="16"/>
  <c r="K353" i="16"/>
  <c r="L353" i="16"/>
  <c r="M353" i="16"/>
  <c r="N353" i="16"/>
  <c r="O353" i="16"/>
  <c r="P353" i="16"/>
  <c r="Q353" i="16"/>
  <c r="R353" i="16"/>
  <c r="S353" i="16"/>
  <c r="T353" i="16"/>
  <c r="U353" i="16"/>
  <c r="E354" i="16"/>
  <c r="G354" i="16"/>
  <c r="H354" i="16"/>
  <c r="I354" i="16"/>
  <c r="J354" i="16"/>
  <c r="K354" i="16"/>
  <c r="L354" i="16"/>
  <c r="M354" i="16"/>
  <c r="N354" i="16"/>
  <c r="O354" i="16"/>
  <c r="P354" i="16"/>
  <c r="Q354" i="16"/>
  <c r="R354" i="16"/>
  <c r="S354" i="16"/>
  <c r="T354" i="16"/>
  <c r="U354" i="16"/>
  <c r="J355" i="16"/>
  <c r="O355" i="16"/>
  <c r="G356" i="16"/>
  <c r="E358" i="16"/>
  <c r="G358" i="16"/>
  <c r="H358" i="16"/>
  <c r="I358" i="16"/>
  <c r="J358" i="16"/>
  <c r="K358" i="16"/>
  <c r="L358" i="16"/>
  <c r="M358" i="16"/>
  <c r="N358" i="16"/>
  <c r="O358" i="16"/>
  <c r="P358" i="16"/>
  <c r="Q358" i="16"/>
  <c r="R358" i="16"/>
  <c r="S358" i="16"/>
  <c r="T358" i="16"/>
  <c r="U358" i="16"/>
  <c r="J359" i="16"/>
  <c r="O359" i="16"/>
  <c r="E360" i="16"/>
  <c r="G360" i="16"/>
  <c r="H360" i="16"/>
  <c r="I360" i="16"/>
  <c r="J360" i="16"/>
  <c r="K360" i="16"/>
  <c r="L360" i="16"/>
  <c r="M360" i="16"/>
  <c r="N360" i="16"/>
  <c r="O360" i="16"/>
  <c r="P360" i="16"/>
  <c r="Q360" i="16"/>
  <c r="R360" i="16"/>
  <c r="S360" i="16"/>
  <c r="T360" i="16"/>
  <c r="U360" i="16"/>
  <c r="E362" i="16"/>
  <c r="G362" i="16"/>
  <c r="H362" i="16"/>
  <c r="I362" i="16"/>
  <c r="J362" i="16"/>
  <c r="K362" i="16"/>
  <c r="L362" i="16"/>
  <c r="M362" i="16"/>
  <c r="N362" i="16"/>
  <c r="O362" i="16"/>
  <c r="P362" i="16"/>
  <c r="Q362" i="16"/>
  <c r="R362" i="16"/>
  <c r="S362" i="16"/>
  <c r="T362" i="16"/>
  <c r="U362" i="16"/>
  <c r="E363" i="16"/>
  <c r="G363" i="16"/>
  <c r="H363" i="16"/>
  <c r="I363" i="16"/>
  <c r="J363" i="16"/>
  <c r="K363" i="16"/>
  <c r="L363" i="16"/>
  <c r="M363" i="16"/>
  <c r="N363" i="16"/>
  <c r="O363" i="16"/>
  <c r="P363" i="16"/>
  <c r="Q363" i="16"/>
  <c r="R363" i="16"/>
  <c r="S363" i="16"/>
  <c r="T363" i="16"/>
  <c r="U363" i="16"/>
  <c r="E364" i="16"/>
  <c r="G364" i="16"/>
  <c r="H364" i="16"/>
  <c r="I364" i="16"/>
  <c r="J364" i="16"/>
  <c r="K364" i="16"/>
  <c r="L364" i="16"/>
  <c r="M364" i="16"/>
  <c r="N364" i="16"/>
  <c r="O364" i="16"/>
  <c r="P364" i="16"/>
  <c r="Q364" i="16"/>
  <c r="R364" i="16"/>
  <c r="S364" i="16"/>
  <c r="T364" i="16"/>
  <c r="U364" i="16"/>
  <c r="O365" i="16"/>
  <c r="E366" i="16"/>
  <c r="G366" i="16"/>
  <c r="H366" i="16"/>
  <c r="I366" i="16"/>
  <c r="J366" i="16"/>
  <c r="K366" i="16"/>
  <c r="L366" i="16"/>
  <c r="M366" i="16"/>
  <c r="N366" i="16"/>
  <c r="O366" i="16"/>
  <c r="P366" i="16"/>
  <c r="Q366" i="16"/>
  <c r="R366" i="16"/>
  <c r="S366" i="16"/>
  <c r="T366" i="16"/>
  <c r="U366" i="16"/>
  <c r="E368" i="16"/>
  <c r="G368" i="16"/>
  <c r="H368" i="16"/>
  <c r="I368" i="16"/>
  <c r="J368" i="16"/>
  <c r="K368" i="16"/>
  <c r="L368" i="16"/>
  <c r="M368" i="16"/>
  <c r="N368" i="16"/>
  <c r="O368" i="16"/>
  <c r="P368" i="16"/>
  <c r="Q368" i="16"/>
  <c r="R368" i="16"/>
  <c r="S368" i="16"/>
  <c r="T368" i="16"/>
  <c r="U368" i="16"/>
  <c r="E369" i="16"/>
  <c r="G369" i="16"/>
  <c r="H369" i="16"/>
  <c r="I369" i="16"/>
  <c r="J369" i="16"/>
  <c r="K369" i="16"/>
  <c r="L369" i="16"/>
  <c r="M369" i="16"/>
  <c r="N369" i="16"/>
  <c r="O369" i="16"/>
  <c r="P369" i="16"/>
  <c r="Q369" i="16"/>
  <c r="R369" i="16"/>
  <c r="S369" i="16"/>
  <c r="T369" i="16"/>
  <c r="U369" i="16"/>
  <c r="O370" i="16"/>
  <c r="E371" i="16"/>
  <c r="G371" i="16"/>
  <c r="H371" i="16"/>
  <c r="I371" i="16"/>
  <c r="J371" i="16"/>
  <c r="K371" i="16"/>
  <c r="L371" i="16"/>
  <c r="M371" i="16"/>
  <c r="N371" i="16"/>
  <c r="O371" i="16"/>
  <c r="P371" i="16"/>
  <c r="Q371" i="16"/>
  <c r="R371" i="16"/>
  <c r="S371" i="16"/>
  <c r="T371" i="16"/>
  <c r="U371" i="16"/>
  <c r="E372" i="16"/>
  <c r="G372" i="16"/>
  <c r="H372" i="16"/>
  <c r="I372" i="16"/>
  <c r="J372" i="16"/>
  <c r="K372" i="16"/>
  <c r="L372" i="16"/>
  <c r="M372" i="16"/>
  <c r="N372" i="16"/>
  <c r="O372" i="16"/>
  <c r="P372" i="16"/>
  <c r="Q372" i="16"/>
  <c r="R372" i="16"/>
  <c r="S372" i="16"/>
  <c r="T372" i="16"/>
  <c r="U372" i="16"/>
  <c r="H373" i="16"/>
  <c r="S373" i="16"/>
  <c r="N375" i="16"/>
  <c r="E376" i="16"/>
  <c r="G376" i="16"/>
  <c r="H376" i="16"/>
  <c r="I376" i="16"/>
  <c r="J376" i="16"/>
  <c r="K376" i="16"/>
  <c r="L376" i="16"/>
  <c r="M376" i="16"/>
  <c r="N376" i="16"/>
  <c r="O376" i="16"/>
  <c r="P376" i="16"/>
  <c r="Q376" i="16"/>
  <c r="R376" i="16"/>
  <c r="S376" i="16"/>
  <c r="T376" i="16"/>
  <c r="U376" i="16"/>
  <c r="E377" i="16"/>
  <c r="G377" i="16"/>
  <c r="H377" i="16"/>
  <c r="I377" i="16"/>
  <c r="J377" i="16"/>
  <c r="K377" i="16"/>
  <c r="L377" i="16"/>
  <c r="M377" i="16"/>
  <c r="N377" i="16"/>
  <c r="O377" i="16"/>
  <c r="P377" i="16"/>
  <c r="Q377" i="16"/>
  <c r="R377" i="16"/>
  <c r="S377" i="16"/>
  <c r="T377" i="16"/>
  <c r="U377" i="16"/>
  <c r="E378" i="16"/>
  <c r="G378" i="16"/>
  <c r="H378" i="16"/>
  <c r="I378" i="16"/>
  <c r="J378" i="16"/>
  <c r="K378" i="16"/>
  <c r="L378" i="16"/>
  <c r="M378" i="16"/>
  <c r="N378" i="16"/>
  <c r="O378" i="16"/>
  <c r="P378" i="16"/>
  <c r="Q378" i="16"/>
  <c r="R378" i="16"/>
  <c r="S378" i="16"/>
  <c r="T378" i="16"/>
  <c r="U378" i="16"/>
  <c r="E379" i="16"/>
  <c r="G379" i="16"/>
  <c r="H379" i="16"/>
  <c r="I379" i="16"/>
  <c r="J379" i="16"/>
  <c r="K379" i="16"/>
  <c r="L379" i="16"/>
  <c r="M379" i="16"/>
  <c r="N379" i="16"/>
  <c r="O379" i="16"/>
  <c r="P379" i="16"/>
  <c r="Q379" i="16"/>
  <c r="R379" i="16"/>
  <c r="S379" i="16"/>
  <c r="T379" i="16"/>
  <c r="U379" i="16"/>
  <c r="E380" i="16"/>
  <c r="G380" i="16"/>
  <c r="H380" i="16"/>
  <c r="I380" i="16"/>
  <c r="J380" i="16"/>
  <c r="K380" i="16"/>
  <c r="L380" i="16"/>
  <c r="M380" i="16"/>
  <c r="N380" i="16"/>
  <c r="O380" i="16"/>
  <c r="P380" i="16"/>
  <c r="Q380" i="16"/>
  <c r="R380" i="16"/>
  <c r="S380" i="16"/>
  <c r="T380" i="16"/>
  <c r="U380" i="16"/>
  <c r="E381" i="16"/>
  <c r="G381" i="16"/>
  <c r="H381" i="16"/>
  <c r="I381" i="16"/>
  <c r="J381" i="16"/>
  <c r="K381" i="16"/>
  <c r="L381" i="16"/>
  <c r="M381" i="16"/>
  <c r="N381" i="16"/>
  <c r="O381" i="16"/>
  <c r="P381" i="16"/>
  <c r="Q381" i="16"/>
  <c r="R381" i="16"/>
  <c r="S381" i="16"/>
  <c r="T381" i="16"/>
  <c r="U381" i="16"/>
  <c r="E382" i="16"/>
  <c r="G382" i="16"/>
  <c r="H382" i="16"/>
  <c r="I382" i="16"/>
  <c r="J382" i="16"/>
  <c r="K382" i="16"/>
  <c r="L382" i="16"/>
  <c r="M382" i="16"/>
  <c r="N382" i="16"/>
  <c r="O382" i="16"/>
  <c r="P382" i="16"/>
  <c r="Q382" i="16"/>
  <c r="R382" i="16"/>
  <c r="S382" i="16"/>
  <c r="T382" i="16"/>
  <c r="U382" i="16"/>
  <c r="L383" i="16"/>
  <c r="E384" i="16"/>
  <c r="G384" i="16"/>
  <c r="H384" i="16"/>
  <c r="I384" i="16"/>
  <c r="J384" i="16"/>
  <c r="K384" i="16"/>
  <c r="L384" i="16"/>
  <c r="M384" i="16"/>
  <c r="N384" i="16"/>
  <c r="O384" i="16"/>
  <c r="P384" i="16"/>
  <c r="Q384" i="16"/>
  <c r="R384" i="16"/>
  <c r="S384" i="16"/>
  <c r="T384" i="16"/>
  <c r="U384" i="16"/>
  <c r="E385" i="16"/>
  <c r="G385" i="16"/>
  <c r="H385" i="16"/>
  <c r="I385" i="16"/>
  <c r="J385" i="16"/>
  <c r="K385" i="16"/>
  <c r="L385" i="16"/>
  <c r="M385" i="16"/>
  <c r="N385" i="16"/>
  <c r="O385" i="16"/>
  <c r="P385" i="16"/>
  <c r="Q385" i="16"/>
  <c r="R385" i="16"/>
  <c r="S385" i="16"/>
  <c r="T385" i="16"/>
  <c r="U385" i="16"/>
  <c r="E387" i="16"/>
  <c r="G387" i="16"/>
  <c r="H387" i="16"/>
  <c r="I387" i="16"/>
  <c r="J387" i="16"/>
  <c r="K387" i="16"/>
  <c r="L387" i="16"/>
  <c r="M387" i="16"/>
  <c r="N387" i="16"/>
  <c r="O387" i="16"/>
  <c r="P387" i="16"/>
  <c r="Q387" i="16"/>
  <c r="R387" i="16"/>
  <c r="S387" i="16"/>
  <c r="T387" i="16"/>
  <c r="U387" i="16"/>
  <c r="E388" i="16"/>
  <c r="G388" i="16"/>
  <c r="H388" i="16"/>
  <c r="I388" i="16"/>
  <c r="J388" i="16"/>
  <c r="K388" i="16"/>
  <c r="L388" i="16"/>
  <c r="M388" i="16"/>
  <c r="N388" i="16"/>
  <c r="O388" i="16"/>
  <c r="P388" i="16"/>
  <c r="Q388" i="16"/>
  <c r="R388" i="16"/>
  <c r="S388" i="16"/>
  <c r="T388" i="16"/>
  <c r="U388" i="16"/>
  <c r="E389" i="16"/>
  <c r="G389" i="16"/>
  <c r="H389" i="16"/>
  <c r="I389" i="16"/>
  <c r="J389" i="16"/>
  <c r="K389" i="16"/>
  <c r="L389" i="16"/>
  <c r="M389" i="16"/>
  <c r="N389" i="16"/>
  <c r="O389" i="16"/>
  <c r="P389" i="16"/>
  <c r="Q389" i="16"/>
  <c r="R389" i="16"/>
  <c r="S389" i="16"/>
  <c r="T389" i="16"/>
  <c r="U389" i="16"/>
  <c r="K390" i="16"/>
  <c r="E391" i="16"/>
  <c r="G391" i="16"/>
  <c r="H391" i="16"/>
  <c r="I391" i="16"/>
  <c r="J391" i="16"/>
  <c r="K391" i="16"/>
  <c r="L391" i="16"/>
  <c r="M391" i="16"/>
  <c r="N391" i="16"/>
  <c r="O391" i="16"/>
  <c r="P391" i="16"/>
  <c r="Q391" i="16"/>
  <c r="R391" i="16"/>
  <c r="S391" i="16"/>
  <c r="T391" i="16"/>
  <c r="U391" i="16"/>
  <c r="E392" i="16"/>
  <c r="G392" i="16"/>
  <c r="H392" i="16"/>
  <c r="I392" i="16"/>
  <c r="J392" i="16"/>
  <c r="K392" i="16"/>
  <c r="L392" i="16"/>
  <c r="M392" i="16"/>
  <c r="N392" i="16"/>
  <c r="O392" i="16"/>
  <c r="P392" i="16"/>
  <c r="Q392" i="16"/>
  <c r="R392" i="16"/>
  <c r="S392" i="16"/>
  <c r="T392" i="16"/>
  <c r="U392" i="16"/>
  <c r="E393" i="16"/>
  <c r="G393" i="16"/>
  <c r="H393" i="16"/>
  <c r="I393" i="16"/>
  <c r="J393" i="16"/>
  <c r="K393" i="16"/>
  <c r="L393" i="16"/>
  <c r="M393" i="16"/>
  <c r="N393" i="16"/>
  <c r="O393" i="16"/>
  <c r="P393" i="16"/>
  <c r="Q393" i="16"/>
  <c r="R393" i="16"/>
  <c r="S393" i="16"/>
  <c r="T393" i="16"/>
  <c r="U393" i="16"/>
  <c r="K394" i="16"/>
  <c r="E395" i="16"/>
  <c r="G395" i="16"/>
  <c r="H395" i="16"/>
  <c r="I395" i="16"/>
  <c r="J395" i="16"/>
  <c r="K395" i="16"/>
  <c r="L395" i="16"/>
  <c r="M395" i="16"/>
  <c r="N395" i="16"/>
  <c r="O395" i="16"/>
  <c r="P395" i="16"/>
  <c r="Q395" i="16"/>
  <c r="R395" i="16"/>
  <c r="S395" i="16"/>
  <c r="T395" i="16"/>
  <c r="U395" i="16"/>
  <c r="E397" i="16"/>
  <c r="G397" i="16"/>
  <c r="H397" i="16"/>
  <c r="I397" i="16"/>
  <c r="J397" i="16"/>
  <c r="K397" i="16"/>
  <c r="L397" i="16"/>
  <c r="M397" i="16"/>
  <c r="N397" i="16"/>
  <c r="O397" i="16"/>
  <c r="P397" i="16"/>
  <c r="Q397" i="16"/>
  <c r="R397" i="16"/>
  <c r="S397" i="16"/>
  <c r="T397" i="16"/>
  <c r="U397" i="16"/>
  <c r="E398" i="16"/>
  <c r="G398" i="16"/>
  <c r="H398" i="16"/>
  <c r="I398" i="16"/>
  <c r="J398" i="16"/>
  <c r="K398" i="16"/>
  <c r="L398" i="16"/>
  <c r="M398" i="16"/>
  <c r="N398" i="16"/>
  <c r="O398" i="16"/>
  <c r="P398" i="16"/>
  <c r="Q398" i="16"/>
  <c r="R398" i="16"/>
  <c r="S398" i="16"/>
  <c r="T398" i="16"/>
  <c r="U398" i="16"/>
  <c r="E399" i="16"/>
  <c r="G399" i="16"/>
  <c r="H399" i="16"/>
  <c r="I399" i="16"/>
  <c r="J399" i="16"/>
  <c r="K399" i="16"/>
  <c r="L399" i="16"/>
  <c r="M399" i="16"/>
  <c r="N399" i="16"/>
  <c r="O399" i="16"/>
  <c r="P399" i="16"/>
  <c r="Q399" i="16"/>
  <c r="R399" i="16"/>
  <c r="S399" i="16"/>
  <c r="T399" i="16"/>
  <c r="U399" i="16"/>
  <c r="E400" i="16"/>
  <c r="G400" i="16"/>
  <c r="H400" i="16"/>
  <c r="I400" i="16"/>
  <c r="J400" i="16"/>
  <c r="K400" i="16"/>
  <c r="L400" i="16"/>
  <c r="M400" i="16"/>
  <c r="N400" i="16"/>
  <c r="O400" i="16"/>
  <c r="P400" i="16"/>
  <c r="Q400" i="16"/>
  <c r="R400" i="16"/>
  <c r="S400" i="16"/>
  <c r="T400" i="16"/>
  <c r="U400" i="16"/>
  <c r="E401" i="16"/>
  <c r="G401" i="16"/>
  <c r="H401" i="16"/>
  <c r="I401" i="16"/>
  <c r="J401" i="16"/>
  <c r="K401" i="16"/>
  <c r="L401" i="16"/>
  <c r="M401" i="16"/>
  <c r="N401" i="16"/>
  <c r="O401" i="16"/>
  <c r="P401" i="16"/>
  <c r="Q401" i="16"/>
  <c r="R401" i="16"/>
  <c r="S401" i="16"/>
  <c r="T401" i="16"/>
  <c r="U401" i="16"/>
  <c r="E402" i="16"/>
  <c r="G402" i="16"/>
  <c r="H402" i="16"/>
  <c r="I402" i="16"/>
  <c r="J402" i="16"/>
  <c r="K402" i="16"/>
  <c r="L402" i="16"/>
  <c r="M402" i="16"/>
  <c r="N402" i="16"/>
  <c r="O402" i="16"/>
  <c r="P402" i="16"/>
  <c r="Q402" i="16"/>
  <c r="R402" i="16"/>
  <c r="S402" i="16"/>
  <c r="T402" i="16"/>
  <c r="U402" i="16"/>
  <c r="E403" i="16"/>
  <c r="G403" i="16"/>
  <c r="H403" i="16"/>
  <c r="I403" i="16"/>
  <c r="J403" i="16"/>
  <c r="K403" i="16"/>
  <c r="L403" i="16"/>
  <c r="M403" i="16"/>
  <c r="N403" i="16"/>
  <c r="O403" i="16"/>
  <c r="P403" i="16"/>
  <c r="Q403" i="16"/>
  <c r="R403" i="16"/>
  <c r="S403" i="16"/>
  <c r="T403" i="16"/>
  <c r="U403" i="16"/>
  <c r="E404" i="16"/>
  <c r="G404" i="16"/>
  <c r="H404" i="16"/>
  <c r="I404" i="16"/>
  <c r="J404" i="16"/>
  <c r="K404" i="16"/>
  <c r="L404" i="16"/>
  <c r="M404" i="16"/>
  <c r="N404" i="16"/>
  <c r="O404" i="16"/>
  <c r="P404" i="16"/>
  <c r="Q404" i="16"/>
  <c r="R404" i="16"/>
  <c r="S404" i="16"/>
  <c r="T404" i="16"/>
  <c r="U404" i="16"/>
  <c r="K406" i="16"/>
  <c r="G407" i="16"/>
  <c r="T407" i="16"/>
  <c r="E408" i="16"/>
  <c r="G408" i="16"/>
  <c r="H408" i="16"/>
  <c r="I408" i="16"/>
  <c r="J408" i="16"/>
  <c r="K408" i="16"/>
  <c r="L408" i="16"/>
  <c r="M408" i="16"/>
  <c r="N408" i="16"/>
  <c r="O408" i="16"/>
  <c r="P408" i="16"/>
  <c r="Q408" i="16"/>
  <c r="R408" i="16"/>
  <c r="S408" i="16"/>
  <c r="T408" i="16"/>
  <c r="U408" i="16"/>
  <c r="E409" i="16"/>
  <c r="G409" i="16"/>
  <c r="H409" i="16"/>
  <c r="I409" i="16"/>
  <c r="J409" i="16"/>
  <c r="K409" i="16"/>
  <c r="L409" i="16"/>
  <c r="M409" i="16"/>
  <c r="N409" i="16"/>
  <c r="O409" i="16"/>
  <c r="P409" i="16"/>
  <c r="Q409" i="16"/>
  <c r="R409" i="16"/>
  <c r="S409" i="16"/>
  <c r="T409" i="16"/>
  <c r="U409" i="16"/>
  <c r="E410" i="16"/>
  <c r="G410" i="16"/>
  <c r="H410" i="16"/>
  <c r="I410" i="16"/>
  <c r="J410" i="16"/>
  <c r="K410" i="16"/>
  <c r="L410" i="16"/>
  <c r="M410" i="16"/>
  <c r="N410" i="16"/>
  <c r="O410" i="16"/>
  <c r="P410" i="16"/>
  <c r="Q410" i="16"/>
  <c r="R410" i="16"/>
  <c r="S410" i="16"/>
  <c r="T410" i="16"/>
  <c r="U410" i="16"/>
  <c r="E411" i="16"/>
  <c r="G411" i="16"/>
  <c r="H411" i="16"/>
  <c r="I411" i="16"/>
  <c r="J411" i="16"/>
  <c r="K411" i="16"/>
  <c r="L411" i="16"/>
  <c r="M411" i="16"/>
  <c r="N411" i="16"/>
  <c r="O411" i="16"/>
  <c r="P411" i="16"/>
  <c r="Q411" i="16"/>
  <c r="R411" i="16"/>
  <c r="S411" i="16"/>
  <c r="T411" i="16"/>
  <c r="U411" i="16"/>
  <c r="E412" i="16"/>
  <c r="G412" i="16"/>
  <c r="H412" i="16"/>
  <c r="I412" i="16"/>
  <c r="J412" i="16"/>
  <c r="K412" i="16"/>
  <c r="L412" i="16"/>
  <c r="M412" i="16"/>
  <c r="N412" i="16"/>
  <c r="O412" i="16"/>
  <c r="P412" i="16"/>
  <c r="Q412" i="16"/>
  <c r="R412" i="16"/>
  <c r="S412" i="16"/>
  <c r="T412" i="16"/>
  <c r="U412" i="16"/>
  <c r="L414" i="16"/>
  <c r="E416" i="16"/>
  <c r="G416" i="16"/>
  <c r="H416" i="16"/>
  <c r="I416" i="16"/>
  <c r="J416" i="16"/>
  <c r="K416" i="16"/>
  <c r="L416" i="16"/>
  <c r="M416" i="16"/>
  <c r="N416" i="16"/>
  <c r="O416" i="16"/>
  <c r="P416" i="16"/>
  <c r="Q416" i="16"/>
  <c r="R416" i="16"/>
  <c r="S416" i="16"/>
  <c r="T416" i="16"/>
  <c r="U416" i="16"/>
  <c r="E417" i="16"/>
  <c r="G417" i="16"/>
  <c r="H417" i="16"/>
  <c r="I417" i="16"/>
  <c r="J417" i="16"/>
  <c r="K417" i="16"/>
  <c r="L417" i="16"/>
  <c r="M417" i="16"/>
  <c r="N417" i="16"/>
  <c r="O417" i="16"/>
  <c r="P417" i="16"/>
  <c r="Q417" i="16"/>
  <c r="R417" i="16"/>
  <c r="S417" i="16"/>
  <c r="T417" i="16"/>
  <c r="U417" i="16"/>
  <c r="E418" i="16"/>
  <c r="G418" i="16"/>
  <c r="H418" i="16"/>
  <c r="I418" i="16"/>
  <c r="J418" i="16"/>
  <c r="K418" i="16"/>
  <c r="L418" i="16"/>
  <c r="M418" i="16"/>
  <c r="N418" i="16"/>
  <c r="O418" i="16"/>
  <c r="P418" i="16"/>
  <c r="Q418" i="16"/>
  <c r="R418" i="16"/>
  <c r="S418" i="16"/>
  <c r="T418" i="16"/>
  <c r="U418" i="16"/>
  <c r="Q419" i="16"/>
  <c r="E420" i="16"/>
  <c r="G420" i="16"/>
  <c r="H420" i="16"/>
  <c r="I420" i="16"/>
  <c r="J420" i="16"/>
  <c r="K420" i="16"/>
  <c r="L420" i="16"/>
  <c r="M420" i="16"/>
  <c r="N420" i="16"/>
  <c r="O420" i="16"/>
  <c r="P420" i="16"/>
  <c r="Q420" i="16"/>
  <c r="R420" i="16"/>
  <c r="S420" i="16"/>
  <c r="T420" i="16"/>
  <c r="U420" i="16"/>
  <c r="N421" i="16"/>
  <c r="G422" i="16"/>
  <c r="E423" i="16"/>
  <c r="G423" i="16"/>
  <c r="H423" i="16"/>
  <c r="I423" i="16"/>
  <c r="J423" i="16"/>
  <c r="K423" i="16"/>
  <c r="L423" i="16"/>
  <c r="M423" i="16"/>
  <c r="N423" i="16"/>
  <c r="O423" i="16"/>
  <c r="P423" i="16"/>
  <c r="Q423" i="16"/>
  <c r="R423" i="16"/>
  <c r="S423" i="16"/>
  <c r="T423" i="16"/>
  <c r="U423" i="16"/>
  <c r="E424" i="16"/>
  <c r="G424" i="16"/>
  <c r="H424" i="16"/>
  <c r="I424" i="16"/>
  <c r="J424" i="16"/>
  <c r="K424" i="16"/>
  <c r="L424" i="16"/>
  <c r="M424" i="16"/>
  <c r="N424" i="16"/>
  <c r="O424" i="16"/>
  <c r="P424" i="16"/>
  <c r="Q424" i="16"/>
  <c r="R424" i="16"/>
  <c r="S424" i="16"/>
  <c r="T424" i="16"/>
  <c r="U424" i="16"/>
  <c r="P425" i="16"/>
  <c r="E427" i="16"/>
  <c r="G427" i="16"/>
  <c r="H427" i="16"/>
  <c r="I427" i="16"/>
  <c r="J427" i="16"/>
  <c r="K427" i="16"/>
  <c r="L427" i="16"/>
  <c r="M427" i="16"/>
  <c r="N427" i="16"/>
  <c r="O427" i="16"/>
  <c r="P427" i="16"/>
  <c r="Q427" i="16"/>
  <c r="R427" i="16"/>
  <c r="S427" i="16"/>
  <c r="T427" i="16"/>
  <c r="U427" i="16"/>
  <c r="O428" i="16"/>
  <c r="E430" i="16"/>
  <c r="G430" i="16"/>
  <c r="H430" i="16"/>
  <c r="I430" i="16"/>
  <c r="J430" i="16"/>
  <c r="K430" i="16"/>
  <c r="L430" i="16"/>
  <c r="M430" i="16"/>
  <c r="N430" i="16"/>
  <c r="O430" i="16"/>
  <c r="P430" i="16"/>
  <c r="Q430" i="16"/>
  <c r="R430" i="16"/>
  <c r="S430" i="16"/>
  <c r="T430" i="16"/>
  <c r="U430" i="16"/>
  <c r="E431" i="16"/>
  <c r="G431" i="16"/>
  <c r="H431" i="16"/>
  <c r="I431" i="16"/>
  <c r="J431" i="16"/>
  <c r="K431" i="16"/>
  <c r="L431" i="16"/>
  <c r="M431" i="16"/>
  <c r="N431" i="16"/>
  <c r="O431" i="16"/>
  <c r="P431" i="16"/>
  <c r="Q431" i="16"/>
  <c r="R431" i="16"/>
  <c r="S431" i="16"/>
  <c r="T431" i="16"/>
  <c r="U431" i="16"/>
  <c r="T432" i="16"/>
  <c r="N433" i="16"/>
  <c r="P433" i="16"/>
  <c r="H435" i="16"/>
  <c r="E436" i="16"/>
  <c r="G436" i="16"/>
  <c r="H436" i="16"/>
  <c r="I436" i="16"/>
  <c r="J436" i="16"/>
  <c r="K436" i="16"/>
  <c r="L436" i="16"/>
  <c r="M436" i="16"/>
  <c r="N436" i="16"/>
  <c r="O436" i="16"/>
  <c r="P436" i="16"/>
  <c r="Q436" i="16"/>
  <c r="R436" i="16"/>
  <c r="S436" i="16"/>
  <c r="T436" i="16"/>
  <c r="U436" i="16"/>
  <c r="Q437" i="16"/>
  <c r="E438" i="16"/>
  <c r="G438" i="16"/>
  <c r="H438" i="16"/>
  <c r="I438" i="16"/>
  <c r="J438" i="16"/>
  <c r="K438" i="16"/>
  <c r="L438" i="16"/>
  <c r="M438" i="16"/>
  <c r="N438" i="16"/>
  <c r="O438" i="16"/>
  <c r="P438" i="16"/>
  <c r="Q438" i="16"/>
  <c r="R438" i="16"/>
  <c r="S438" i="16"/>
  <c r="T438" i="16"/>
  <c r="U438" i="16"/>
  <c r="E439" i="16"/>
  <c r="G439" i="16"/>
  <c r="H439" i="16"/>
  <c r="I439" i="16"/>
  <c r="J439" i="16"/>
  <c r="K439" i="16"/>
  <c r="L439" i="16"/>
  <c r="M439" i="16"/>
  <c r="N439" i="16"/>
  <c r="O439" i="16"/>
  <c r="P439" i="16"/>
  <c r="Q439" i="16"/>
  <c r="R439" i="16"/>
  <c r="S439" i="16"/>
  <c r="T439" i="16"/>
  <c r="U439" i="16"/>
  <c r="O441" i="16"/>
  <c r="I443" i="16"/>
  <c r="O444" i="16"/>
  <c r="E445" i="16"/>
  <c r="G445" i="16"/>
  <c r="H445" i="16"/>
  <c r="I445" i="16"/>
  <c r="J445" i="16"/>
  <c r="K445" i="16"/>
  <c r="L445" i="16"/>
  <c r="M445" i="16"/>
  <c r="N445" i="16"/>
  <c r="O445" i="16"/>
  <c r="P445" i="16"/>
  <c r="Q445" i="16"/>
  <c r="R445" i="16"/>
  <c r="S445" i="16"/>
  <c r="T445" i="16"/>
  <c r="U445" i="16"/>
  <c r="E446" i="16"/>
  <c r="G446" i="16"/>
  <c r="H446" i="16"/>
  <c r="I446" i="16"/>
  <c r="J446" i="16"/>
  <c r="K446" i="16"/>
  <c r="L446" i="16"/>
  <c r="M446" i="16"/>
  <c r="N446" i="16"/>
  <c r="O446" i="16"/>
  <c r="P446" i="16"/>
  <c r="Q446" i="16"/>
  <c r="R446" i="16"/>
  <c r="S446" i="16"/>
  <c r="T446" i="16"/>
  <c r="U446" i="16"/>
  <c r="E447" i="16"/>
  <c r="G447" i="16"/>
  <c r="H447" i="16"/>
  <c r="I447" i="16"/>
  <c r="J447" i="16"/>
  <c r="K447" i="16"/>
  <c r="L447" i="16"/>
  <c r="M447" i="16"/>
  <c r="N447" i="16"/>
  <c r="O447" i="16"/>
  <c r="P447" i="16"/>
  <c r="Q447" i="16"/>
  <c r="R447" i="16"/>
  <c r="S447" i="16"/>
  <c r="T447" i="16"/>
  <c r="U447" i="16"/>
  <c r="N448" i="16"/>
  <c r="E449" i="16"/>
  <c r="G449" i="16"/>
  <c r="H449" i="16"/>
  <c r="I449" i="16"/>
  <c r="J449" i="16"/>
  <c r="K449" i="16"/>
  <c r="L449" i="16"/>
  <c r="M449" i="16"/>
  <c r="N449" i="16"/>
  <c r="O449" i="16"/>
  <c r="P449" i="16"/>
  <c r="Q449" i="16"/>
  <c r="R449" i="16"/>
  <c r="S449" i="16"/>
  <c r="T449" i="16"/>
  <c r="U449" i="16"/>
  <c r="E450" i="16"/>
  <c r="G450" i="16"/>
  <c r="H450" i="16"/>
  <c r="I450" i="16"/>
  <c r="J450" i="16"/>
  <c r="K450" i="16"/>
  <c r="L450" i="16"/>
  <c r="M450" i="16"/>
  <c r="N450" i="16"/>
  <c r="O450" i="16"/>
  <c r="P450" i="16"/>
  <c r="Q450" i="16"/>
  <c r="R450" i="16"/>
  <c r="S450" i="16"/>
  <c r="T450" i="16"/>
  <c r="U450" i="16"/>
  <c r="E451" i="16"/>
  <c r="G451" i="16"/>
  <c r="H451" i="16"/>
  <c r="I451" i="16"/>
  <c r="J451" i="16"/>
  <c r="K451" i="16"/>
  <c r="L451" i="16"/>
  <c r="M451" i="16"/>
  <c r="N451" i="16"/>
  <c r="O451" i="16"/>
  <c r="P451" i="16"/>
  <c r="Q451" i="16"/>
  <c r="R451" i="16"/>
  <c r="S451" i="16"/>
  <c r="T451" i="16"/>
  <c r="U451" i="16"/>
  <c r="I452" i="16"/>
  <c r="N453" i="16"/>
  <c r="E454" i="16"/>
  <c r="G454" i="16"/>
  <c r="H454" i="16"/>
  <c r="I454" i="16"/>
  <c r="J454" i="16"/>
  <c r="K454" i="16"/>
  <c r="L454" i="16"/>
  <c r="M454" i="16"/>
  <c r="N454" i="16"/>
  <c r="O454" i="16"/>
  <c r="P454" i="16"/>
  <c r="Q454" i="16"/>
  <c r="R454" i="16"/>
  <c r="S454" i="16"/>
  <c r="T454" i="16"/>
  <c r="U454" i="16"/>
  <c r="J455" i="16"/>
  <c r="E456" i="16"/>
  <c r="G456" i="16"/>
  <c r="H456" i="16"/>
  <c r="I456" i="16"/>
  <c r="J456" i="16"/>
  <c r="K456" i="16"/>
  <c r="L456" i="16"/>
  <c r="M456" i="16"/>
  <c r="N456" i="16"/>
  <c r="O456" i="16"/>
  <c r="P456" i="16"/>
  <c r="Q456" i="16"/>
  <c r="R456" i="16"/>
  <c r="S456" i="16"/>
  <c r="T456" i="16"/>
  <c r="U456" i="16"/>
  <c r="E457" i="16"/>
  <c r="G457" i="16"/>
  <c r="H457" i="16"/>
  <c r="I457" i="16"/>
  <c r="J457" i="16"/>
  <c r="K457" i="16"/>
  <c r="L457" i="16"/>
  <c r="M457" i="16"/>
  <c r="N457" i="16"/>
  <c r="O457" i="16"/>
  <c r="P457" i="16"/>
  <c r="Q457" i="16"/>
  <c r="R457" i="16"/>
  <c r="S457" i="16"/>
  <c r="T457" i="16"/>
  <c r="U457" i="16"/>
  <c r="E459" i="16"/>
  <c r="G459" i="16"/>
  <c r="H459" i="16"/>
  <c r="I459" i="16"/>
  <c r="J459" i="16"/>
  <c r="K459" i="16"/>
  <c r="L459" i="16"/>
  <c r="M459" i="16"/>
  <c r="N459" i="16"/>
  <c r="O459" i="16"/>
  <c r="P459" i="16"/>
  <c r="Q459" i="16"/>
  <c r="R459" i="16"/>
  <c r="S459" i="16"/>
  <c r="T459" i="16"/>
  <c r="U459" i="16"/>
  <c r="E460" i="16"/>
  <c r="G460" i="16"/>
  <c r="H460" i="16"/>
  <c r="I460" i="16"/>
  <c r="J460" i="16"/>
  <c r="K460" i="16"/>
  <c r="L460" i="16"/>
  <c r="M460" i="16"/>
  <c r="N460" i="16"/>
  <c r="O460" i="16"/>
  <c r="P460" i="16"/>
  <c r="Q460" i="16"/>
  <c r="R460" i="16"/>
  <c r="S460" i="16"/>
  <c r="T460" i="16"/>
  <c r="U460" i="16"/>
  <c r="T461" i="16"/>
  <c r="P462" i="16"/>
  <c r="E463" i="16"/>
  <c r="G463" i="16"/>
  <c r="H463" i="16"/>
  <c r="I463" i="16"/>
  <c r="J463" i="16"/>
  <c r="K463" i="16"/>
  <c r="L463" i="16"/>
  <c r="M463" i="16"/>
  <c r="N463" i="16"/>
  <c r="O463" i="16"/>
  <c r="P463" i="16"/>
  <c r="Q463" i="16"/>
  <c r="R463" i="16"/>
  <c r="S463" i="16"/>
  <c r="T463" i="16"/>
  <c r="U463" i="16"/>
  <c r="E464" i="16"/>
  <c r="G464" i="16"/>
  <c r="H464" i="16"/>
  <c r="I464" i="16"/>
  <c r="J464" i="16"/>
  <c r="K464" i="16"/>
  <c r="L464" i="16"/>
  <c r="M464" i="16"/>
  <c r="N464" i="16"/>
  <c r="O464" i="16"/>
  <c r="P464" i="16"/>
  <c r="Q464" i="16"/>
  <c r="R464" i="16"/>
  <c r="S464" i="16"/>
  <c r="T464" i="16"/>
  <c r="U464" i="16"/>
  <c r="E465" i="16"/>
  <c r="G465" i="16"/>
  <c r="H465" i="16"/>
  <c r="I465" i="16"/>
  <c r="J465" i="16"/>
  <c r="K465" i="16"/>
  <c r="L465" i="16"/>
  <c r="M465" i="16"/>
  <c r="N465" i="16"/>
  <c r="O465" i="16"/>
  <c r="P465" i="16"/>
  <c r="Q465" i="16"/>
  <c r="R465" i="16"/>
  <c r="S465" i="16"/>
  <c r="T465" i="16"/>
  <c r="U465" i="16"/>
  <c r="E466" i="16"/>
  <c r="G466" i="16"/>
  <c r="H466" i="16"/>
  <c r="I466" i="16"/>
  <c r="J466" i="16"/>
  <c r="K466" i="16"/>
  <c r="L466" i="16"/>
  <c r="M466" i="16"/>
  <c r="N466" i="16"/>
  <c r="O466" i="16"/>
  <c r="P466" i="16"/>
  <c r="Q466" i="16"/>
  <c r="R466" i="16"/>
  <c r="S466" i="16"/>
  <c r="T466" i="16"/>
  <c r="U466" i="16"/>
  <c r="M467" i="16"/>
  <c r="E468" i="16"/>
  <c r="G468" i="16"/>
  <c r="H468" i="16"/>
  <c r="I468" i="16"/>
  <c r="J468" i="16"/>
  <c r="K468" i="16"/>
  <c r="L468" i="16"/>
  <c r="M468" i="16"/>
  <c r="N468" i="16"/>
  <c r="O468" i="16"/>
  <c r="P468" i="16"/>
  <c r="Q468" i="16"/>
  <c r="R468" i="16"/>
  <c r="S468" i="16"/>
  <c r="T468" i="16"/>
  <c r="U468" i="16"/>
  <c r="L469" i="16"/>
  <c r="Q469" i="16"/>
  <c r="M470" i="16"/>
  <c r="O470" i="16"/>
  <c r="E471" i="16"/>
  <c r="G471" i="16"/>
  <c r="H471" i="16"/>
  <c r="I471" i="16"/>
  <c r="J471" i="16"/>
  <c r="K471" i="16"/>
  <c r="L471" i="16"/>
  <c r="M471" i="16"/>
  <c r="N471" i="16"/>
  <c r="O471" i="16"/>
  <c r="P471" i="16"/>
  <c r="Q471" i="16"/>
  <c r="R471" i="16"/>
  <c r="S471" i="16"/>
  <c r="T471" i="16"/>
  <c r="U471" i="16"/>
  <c r="E472" i="16"/>
  <c r="G472" i="16"/>
  <c r="H472" i="16"/>
  <c r="I472" i="16"/>
  <c r="J472" i="16"/>
  <c r="K472" i="16"/>
  <c r="L472" i="16"/>
  <c r="M472" i="16"/>
  <c r="N472" i="16"/>
  <c r="O472" i="16"/>
  <c r="P472" i="16"/>
  <c r="Q472" i="16"/>
  <c r="R472" i="16"/>
  <c r="S472" i="16"/>
  <c r="T472" i="16"/>
  <c r="U472" i="16"/>
  <c r="E473" i="16"/>
  <c r="G473" i="16"/>
  <c r="H473" i="16"/>
  <c r="I473" i="16"/>
  <c r="J473" i="16"/>
  <c r="K473" i="16"/>
  <c r="L473" i="16"/>
  <c r="M473" i="16"/>
  <c r="N473" i="16"/>
  <c r="O473" i="16"/>
  <c r="P473" i="16"/>
  <c r="Q473" i="16"/>
  <c r="R473" i="16"/>
  <c r="S473" i="16"/>
  <c r="T473" i="16"/>
  <c r="U473" i="16"/>
  <c r="Q474" i="16"/>
  <c r="O475" i="16"/>
  <c r="G476" i="16"/>
  <c r="U476" i="16"/>
  <c r="E477" i="16"/>
  <c r="G477" i="16"/>
  <c r="H477" i="16"/>
  <c r="I477" i="16"/>
  <c r="J477" i="16"/>
  <c r="K477" i="16"/>
  <c r="L477" i="16"/>
  <c r="M477" i="16"/>
  <c r="N477" i="16"/>
  <c r="O477" i="16"/>
  <c r="P477" i="16"/>
  <c r="Q477" i="16"/>
  <c r="R477" i="16"/>
  <c r="S477" i="16"/>
  <c r="T477" i="16"/>
  <c r="U477" i="16"/>
  <c r="E478" i="16"/>
  <c r="G478" i="16"/>
  <c r="H478" i="16"/>
  <c r="I478" i="16"/>
  <c r="J478" i="16"/>
  <c r="K478" i="16"/>
  <c r="L478" i="16"/>
  <c r="M478" i="16"/>
  <c r="N478" i="16"/>
  <c r="O478" i="16"/>
  <c r="P478" i="16"/>
  <c r="Q478" i="16"/>
  <c r="R478" i="16"/>
  <c r="S478" i="16"/>
  <c r="T478" i="16"/>
  <c r="U478" i="16"/>
  <c r="E479" i="16"/>
  <c r="G479" i="16"/>
  <c r="H479" i="16"/>
  <c r="I479" i="16"/>
  <c r="J479" i="16"/>
  <c r="K479" i="16"/>
  <c r="L479" i="16"/>
  <c r="M479" i="16"/>
  <c r="N479" i="16"/>
  <c r="O479" i="16"/>
  <c r="P479" i="16"/>
  <c r="Q479" i="16"/>
  <c r="R479" i="16"/>
  <c r="S479" i="16"/>
  <c r="T479" i="16"/>
  <c r="U479" i="16"/>
  <c r="O480" i="16"/>
  <c r="E481" i="16"/>
  <c r="G481" i="16"/>
  <c r="H481" i="16"/>
  <c r="I481" i="16"/>
  <c r="J481" i="16"/>
  <c r="K481" i="16"/>
  <c r="L481" i="16"/>
  <c r="M481" i="16"/>
  <c r="N481" i="16"/>
  <c r="O481" i="16"/>
  <c r="P481" i="16"/>
  <c r="Q481" i="16"/>
  <c r="R481" i="16"/>
  <c r="S481" i="16"/>
  <c r="T481" i="16"/>
  <c r="U481" i="16"/>
  <c r="E482" i="16"/>
  <c r="G482" i="16"/>
  <c r="H482" i="16"/>
  <c r="I482" i="16"/>
  <c r="J482" i="16"/>
  <c r="K482" i="16"/>
  <c r="L482" i="16"/>
  <c r="M482" i="16"/>
  <c r="N482" i="16"/>
  <c r="O482" i="16"/>
  <c r="P482" i="16"/>
  <c r="Q482" i="16"/>
  <c r="R482" i="16"/>
  <c r="S482" i="16"/>
  <c r="T482" i="16"/>
  <c r="U482" i="16"/>
  <c r="T483" i="16"/>
  <c r="E484" i="16"/>
  <c r="G484" i="16"/>
  <c r="H484" i="16"/>
  <c r="I484" i="16"/>
  <c r="J484" i="16"/>
  <c r="K484" i="16"/>
  <c r="L484" i="16"/>
  <c r="M484" i="16"/>
  <c r="N484" i="16"/>
  <c r="O484" i="16"/>
  <c r="P484" i="16"/>
  <c r="Q484" i="16"/>
  <c r="R484" i="16"/>
  <c r="S484" i="16"/>
  <c r="T484" i="16"/>
  <c r="U484" i="16"/>
  <c r="E485" i="16"/>
  <c r="G485" i="16"/>
  <c r="H485" i="16"/>
  <c r="I485" i="16"/>
  <c r="J485" i="16"/>
  <c r="K485" i="16"/>
  <c r="L485" i="16"/>
  <c r="M485" i="16"/>
  <c r="N485" i="16"/>
  <c r="O485" i="16"/>
  <c r="P485" i="16"/>
  <c r="Q485" i="16"/>
  <c r="R485" i="16"/>
  <c r="S485" i="16"/>
  <c r="T485" i="16"/>
  <c r="U485" i="16"/>
  <c r="R486" i="16"/>
  <c r="E487" i="16"/>
  <c r="G487" i="16"/>
  <c r="H487" i="16"/>
  <c r="I487" i="16"/>
  <c r="J487" i="16"/>
  <c r="K487" i="16"/>
  <c r="L487" i="16"/>
  <c r="M487" i="16"/>
  <c r="N487" i="16"/>
  <c r="O487" i="16"/>
  <c r="P487" i="16"/>
  <c r="Q487" i="16"/>
  <c r="R487" i="16"/>
  <c r="S487" i="16"/>
  <c r="T487" i="16"/>
  <c r="U487" i="16"/>
  <c r="E488" i="16"/>
  <c r="G488" i="16"/>
  <c r="H488" i="16"/>
  <c r="I488" i="16"/>
  <c r="J488" i="16"/>
  <c r="K488" i="16"/>
  <c r="L488" i="16"/>
  <c r="M488" i="16"/>
  <c r="N488" i="16"/>
  <c r="O488" i="16"/>
  <c r="P488" i="16"/>
  <c r="Q488" i="16"/>
  <c r="R488" i="16"/>
  <c r="S488" i="16"/>
  <c r="T488" i="16"/>
  <c r="U488" i="16"/>
  <c r="E489" i="16"/>
  <c r="G489" i="16"/>
  <c r="H489" i="16"/>
  <c r="I489" i="16"/>
  <c r="J489" i="16"/>
  <c r="K489" i="16"/>
  <c r="L489" i="16"/>
  <c r="M489" i="16"/>
  <c r="N489" i="16"/>
  <c r="O489" i="16"/>
  <c r="P489" i="16"/>
  <c r="Q489" i="16"/>
  <c r="R489" i="16"/>
  <c r="S489" i="16"/>
  <c r="T489" i="16"/>
  <c r="U489" i="16"/>
  <c r="E490" i="16"/>
  <c r="G490" i="16"/>
  <c r="H490" i="16"/>
  <c r="I490" i="16"/>
  <c r="J490" i="16"/>
  <c r="K490" i="16"/>
  <c r="L490" i="16"/>
  <c r="M490" i="16"/>
  <c r="N490" i="16"/>
  <c r="O490" i="16"/>
  <c r="P490" i="16"/>
  <c r="Q490" i="16"/>
  <c r="R490" i="16"/>
  <c r="S490" i="16"/>
  <c r="T490" i="16"/>
  <c r="U490" i="16"/>
  <c r="E491" i="16"/>
  <c r="G491" i="16"/>
  <c r="H491" i="16"/>
  <c r="I491" i="16"/>
  <c r="J491" i="16"/>
  <c r="K491" i="16"/>
  <c r="L491" i="16"/>
  <c r="M491" i="16"/>
  <c r="N491" i="16"/>
  <c r="O491" i="16"/>
  <c r="P491" i="16"/>
  <c r="Q491" i="16"/>
  <c r="R491" i="16"/>
  <c r="S491" i="16"/>
  <c r="T491" i="16"/>
  <c r="U491" i="16"/>
  <c r="E492" i="16"/>
  <c r="G492" i="16"/>
  <c r="H492" i="16"/>
  <c r="I492" i="16"/>
  <c r="J492" i="16"/>
  <c r="K492" i="16"/>
  <c r="L492" i="16"/>
  <c r="M492" i="16"/>
  <c r="N492" i="16"/>
  <c r="O492" i="16"/>
  <c r="P492" i="16"/>
  <c r="Q492" i="16"/>
  <c r="R492" i="16"/>
  <c r="S492" i="16"/>
  <c r="T492" i="16"/>
  <c r="U492" i="16"/>
  <c r="T493" i="16"/>
  <c r="K495" i="16"/>
  <c r="R495" i="16"/>
  <c r="E496" i="16"/>
  <c r="G496" i="16"/>
  <c r="H496" i="16"/>
  <c r="I496" i="16"/>
  <c r="J496" i="16"/>
  <c r="K496" i="16"/>
  <c r="L496" i="16"/>
  <c r="M496" i="16"/>
  <c r="N496" i="16"/>
  <c r="O496" i="16"/>
  <c r="P496" i="16"/>
  <c r="Q496" i="16"/>
  <c r="R496" i="16"/>
  <c r="S496" i="16"/>
  <c r="T496" i="16"/>
  <c r="U496" i="16"/>
  <c r="E497" i="16"/>
  <c r="G497" i="16"/>
  <c r="H497" i="16"/>
  <c r="I497" i="16"/>
  <c r="J497" i="16"/>
  <c r="K497" i="16"/>
  <c r="L497" i="16"/>
  <c r="M497" i="16"/>
  <c r="N497" i="16"/>
  <c r="O497" i="16"/>
  <c r="P497" i="16"/>
  <c r="Q497" i="16"/>
  <c r="R497" i="16"/>
  <c r="S497" i="16"/>
  <c r="T497" i="16"/>
  <c r="U497" i="16"/>
  <c r="E498" i="16"/>
  <c r="G498" i="16"/>
  <c r="H498" i="16"/>
  <c r="I498" i="16"/>
  <c r="J498" i="16"/>
  <c r="K498" i="16"/>
  <c r="L498" i="16"/>
  <c r="M498" i="16"/>
  <c r="N498" i="16"/>
  <c r="O498" i="16"/>
  <c r="P498" i="16"/>
  <c r="Q498" i="16"/>
  <c r="R498" i="16"/>
  <c r="S498" i="16"/>
  <c r="T498" i="16"/>
  <c r="U498" i="16"/>
  <c r="E500" i="16"/>
  <c r="G500" i="16"/>
  <c r="H500" i="16"/>
  <c r="I500" i="16"/>
  <c r="J500" i="16"/>
  <c r="K500" i="16"/>
  <c r="L500" i="16"/>
  <c r="M500" i="16"/>
  <c r="N500" i="16"/>
  <c r="O500" i="16"/>
  <c r="P500" i="16"/>
  <c r="Q500" i="16"/>
  <c r="R500" i="16"/>
  <c r="S500" i="16"/>
  <c r="T500" i="16"/>
  <c r="U500" i="16"/>
  <c r="E501" i="16"/>
  <c r="G501" i="16"/>
  <c r="H501" i="16"/>
  <c r="I501" i="16"/>
  <c r="J501" i="16"/>
  <c r="K501" i="16"/>
  <c r="L501" i="16"/>
  <c r="M501" i="16"/>
  <c r="N501" i="16"/>
  <c r="O501" i="16"/>
  <c r="P501" i="16"/>
  <c r="Q501" i="16"/>
  <c r="R501" i="16"/>
  <c r="S501" i="16"/>
  <c r="T501" i="16"/>
  <c r="U501" i="16"/>
  <c r="N502" i="16"/>
  <c r="K503" i="16"/>
  <c r="E504" i="16"/>
  <c r="G504" i="16"/>
  <c r="H504" i="16"/>
  <c r="I504" i="16"/>
  <c r="J504" i="16"/>
  <c r="K504" i="16"/>
  <c r="L504" i="16"/>
  <c r="M504" i="16"/>
  <c r="N504" i="16"/>
  <c r="O504" i="16"/>
  <c r="P504" i="16"/>
  <c r="Q504" i="16"/>
  <c r="R504" i="16"/>
  <c r="S504" i="16"/>
  <c r="T504" i="16"/>
  <c r="U504" i="16"/>
  <c r="E505" i="16"/>
  <c r="G505" i="16"/>
  <c r="H505" i="16"/>
  <c r="I505" i="16"/>
  <c r="J505" i="16"/>
  <c r="K505" i="16"/>
  <c r="L505" i="16"/>
  <c r="M505" i="16"/>
  <c r="N505" i="16"/>
  <c r="O505" i="16"/>
  <c r="P505" i="16"/>
  <c r="Q505" i="16"/>
  <c r="R505" i="16"/>
  <c r="S505" i="16"/>
  <c r="T505" i="16"/>
  <c r="U505" i="16"/>
  <c r="E506" i="16"/>
  <c r="G506" i="16"/>
  <c r="H506" i="16"/>
  <c r="I506" i="16"/>
  <c r="J506" i="16"/>
  <c r="K506" i="16"/>
  <c r="L506" i="16"/>
  <c r="M506" i="16"/>
  <c r="N506" i="16"/>
  <c r="O506" i="16"/>
  <c r="P506" i="16"/>
  <c r="Q506" i="16"/>
  <c r="R506" i="16"/>
  <c r="S506" i="16"/>
  <c r="T506" i="16"/>
  <c r="U506" i="16"/>
  <c r="L507" i="16"/>
  <c r="O507" i="16"/>
  <c r="E508" i="16"/>
  <c r="G508" i="16"/>
  <c r="H508" i="16"/>
  <c r="I508" i="16"/>
  <c r="J508" i="16"/>
  <c r="K508" i="16"/>
  <c r="L508" i="16"/>
  <c r="M508" i="16"/>
  <c r="N508" i="16"/>
  <c r="O508" i="16"/>
  <c r="P508" i="16"/>
  <c r="Q508" i="16"/>
  <c r="R508" i="16"/>
  <c r="S508" i="16"/>
  <c r="T508" i="16"/>
  <c r="U508" i="16"/>
  <c r="E509" i="16"/>
  <c r="G509" i="16"/>
  <c r="H509" i="16"/>
  <c r="I509" i="16"/>
  <c r="J509" i="16"/>
  <c r="K509" i="16"/>
  <c r="L509" i="16"/>
  <c r="M509" i="16"/>
  <c r="N509" i="16"/>
  <c r="O509" i="16"/>
  <c r="P509" i="16"/>
  <c r="Q509" i="16"/>
  <c r="R509" i="16"/>
  <c r="S509" i="16"/>
  <c r="T509" i="16"/>
  <c r="U509" i="16"/>
  <c r="E510" i="16"/>
  <c r="G510" i="16"/>
  <c r="H510" i="16"/>
  <c r="I510" i="16"/>
  <c r="J510" i="16"/>
  <c r="K510" i="16"/>
  <c r="L510" i="16"/>
  <c r="M510" i="16"/>
  <c r="N510" i="16"/>
  <c r="O510" i="16"/>
  <c r="P510" i="16"/>
  <c r="Q510" i="16"/>
  <c r="R510" i="16"/>
  <c r="S510" i="16"/>
  <c r="T510" i="16"/>
  <c r="U510" i="16"/>
  <c r="E511" i="16"/>
  <c r="G511" i="16"/>
  <c r="H511" i="16"/>
  <c r="I511" i="16"/>
  <c r="J511" i="16"/>
  <c r="K511" i="16"/>
  <c r="L511" i="16"/>
  <c r="M511" i="16"/>
  <c r="N511" i="16"/>
  <c r="O511" i="16"/>
  <c r="P511" i="16"/>
  <c r="Q511" i="16"/>
  <c r="R511" i="16"/>
  <c r="S511" i="16"/>
  <c r="T511" i="16"/>
  <c r="U511" i="16"/>
  <c r="E513" i="16"/>
  <c r="G513" i="16"/>
  <c r="H513" i="16"/>
  <c r="I513" i="16"/>
  <c r="J513" i="16"/>
  <c r="K513" i="16"/>
  <c r="L513" i="16"/>
  <c r="M513" i="16"/>
  <c r="N513" i="16"/>
  <c r="O513" i="16"/>
  <c r="P513" i="16"/>
  <c r="Q513" i="16"/>
  <c r="R513" i="16"/>
  <c r="S513" i="16"/>
  <c r="T513" i="16"/>
  <c r="U513" i="16"/>
  <c r="E514" i="16"/>
  <c r="G514" i="16"/>
  <c r="H514" i="16"/>
  <c r="I514" i="16"/>
  <c r="J514" i="16"/>
  <c r="K514" i="16"/>
  <c r="L514" i="16"/>
  <c r="M514" i="16"/>
  <c r="N514" i="16"/>
  <c r="O514" i="16"/>
  <c r="P514" i="16"/>
  <c r="Q514" i="16"/>
  <c r="R514" i="16"/>
  <c r="S514" i="16"/>
  <c r="T514" i="16"/>
  <c r="U514" i="16"/>
  <c r="O515" i="16"/>
  <c r="E516" i="16"/>
  <c r="G516" i="16"/>
  <c r="H516" i="16"/>
  <c r="I516" i="16"/>
  <c r="J516" i="16"/>
  <c r="K516" i="16"/>
  <c r="L516" i="16"/>
  <c r="M516" i="16"/>
  <c r="N516" i="16"/>
  <c r="O516" i="16"/>
  <c r="P516" i="16"/>
  <c r="Q516" i="16"/>
  <c r="R516" i="16"/>
  <c r="S516" i="16"/>
  <c r="T516" i="16"/>
  <c r="U516" i="16"/>
  <c r="I517" i="16"/>
  <c r="E518" i="16"/>
  <c r="G518" i="16"/>
  <c r="H518" i="16"/>
  <c r="I518" i="16"/>
  <c r="J518" i="16"/>
  <c r="K518" i="16"/>
  <c r="L518" i="16"/>
  <c r="M518" i="16"/>
  <c r="N518" i="16"/>
  <c r="O518" i="16"/>
  <c r="P518" i="16"/>
  <c r="Q518" i="16"/>
  <c r="R518" i="16"/>
  <c r="S518" i="16"/>
  <c r="T518" i="16"/>
  <c r="U518" i="16"/>
  <c r="T519" i="16"/>
  <c r="E520" i="16"/>
  <c r="G520" i="16"/>
  <c r="H520" i="16"/>
  <c r="I520" i="16"/>
  <c r="J520" i="16"/>
  <c r="K520" i="16"/>
  <c r="L520" i="16"/>
  <c r="M520" i="16"/>
  <c r="N520" i="16"/>
  <c r="O520" i="16"/>
  <c r="P520" i="16"/>
  <c r="Q520" i="16"/>
  <c r="R520" i="16"/>
  <c r="S520" i="16"/>
  <c r="T520" i="16"/>
  <c r="U520" i="16"/>
  <c r="E521" i="16"/>
  <c r="G521" i="16"/>
  <c r="H521" i="16"/>
  <c r="I521" i="16"/>
  <c r="J521" i="16"/>
  <c r="K521" i="16"/>
  <c r="L521" i="16"/>
  <c r="M521" i="16"/>
  <c r="N521" i="16"/>
  <c r="O521" i="16"/>
  <c r="P521" i="16"/>
  <c r="Q521" i="16"/>
  <c r="R521" i="16"/>
  <c r="S521" i="16"/>
  <c r="T521" i="16"/>
  <c r="U521" i="16"/>
  <c r="O522" i="16"/>
  <c r="R523" i="16"/>
  <c r="E524" i="16"/>
  <c r="G524" i="16"/>
  <c r="H524" i="16"/>
  <c r="I524" i="16"/>
  <c r="J524" i="16"/>
  <c r="K524" i="16"/>
  <c r="L524" i="16"/>
  <c r="M524" i="16"/>
  <c r="N524" i="16"/>
  <c r="O524" i="16"/>
  <c r="P524" i="16"/>
  <c r="Q524" i="16"/>
  <c r="R524" i="16"/>
  <c r="S524" i="16"/>
  <c r="T524" i="16"/>
  <c r="U524" i="16"/>
  <c r="E525" i="16"/>
  <c r="G525" i="16"/>
  <c r="H525" i="16"/>
  <c r="I525" i="16"/>
  <c r="J525" i="16"/>
  <c r="K525" i="16"/>
  <c r="L525" i="16"/>
  <c r="M525" i="16"/>
  <c r="N525" i="16"/>
  <c r="O525" i="16"/>
  <c r="P525" i="16"/>
  <c r="Q525" i="16"/>
  <c r="R525" i="16"/>
  <c r="S525" i="16"/>
  <c r="T525" i="16"/>
  <c r="U525" i="16"/>
  <c r="E527" i="16"/>
  <c r="G527" i="16"/>
  <c r="H527" i="16"/>
  <c r="I527" i="16"/>
  <c r="J527" i="16"/>
  <c r="K527" i="16"/>
  <c r="L527" i="16"/>
  <c r="M527" i="16"/>
  <c r="N527" i="16"/>
  <c r="O527" i="16"/>
  <c r="P527" i="16"/>
  <c r="Q527" i="16"/>
  <c r="R527" i="16"/>
  <c r="S527" i="16"/>
  <c r="T527" i="16"/>
  <c r="U527" i="16"/>
  <c r="L528" i="16"/>
  <c r="M13" i="17" s="1"/>
  <c r="E529" i="16"/>
  <c r="G529" i="16"/>
  <c r="H529" i="16"/>
  <c r="I529" i="16"/>
  <c r="J529" i="16"/>
  <c r="K529" i="16"/>
  <c r="L529" i="16"/>
  <c r="M529" i="16"/>
  <c r="N529" i="16"/>
  <c r="O529" i="16"/>
  <c r="P529" i="16"/>
  <c r="Q529" i="16"/>
  <c r="R529" i="16"/>
  <c r="S529" i="16"/>
  <c r="T529" i="16"/>
  <c r="U529" i="16"/>
  <c r="E530" i="16"/>
  <c r="G530" i="16"/>
  <c r="H530" i="16"/>
  <c r="I530" i="16"/>
  <c r="J530" i="16"/>
  <c r="K530" i="16"/>
  <c r="L530" i="16"/>
  <c r="M530" i="16"/>
  <c r="N530" i="16"/>
  <c r="O530" i="16"/>
  <c r="P530" i="16"/>
  <c r="Q530" i="16"/>
  <c r="R530" i="16"/>
  <c r="S530" i="16"/>
  <c r="T530" i="16"/>
  <c r="U530" i="16"/>
  <c r="E531" i="16"/>
  <c r="G531" i="16"/>
  <c r="H531" i="16"/>
  <c r="I531" i="16"/>
  <c r="J531" i="16"/>
  <c r="K531" i="16"/>
  <c r="L531" i="16"/>
  <c r="M531" i="16"/>
  <c r="N531" i="16"/>
  <c r="O531" i="16"/>
  <c r="P531" i="16"/>
  <c r="Q531" i="16"/>
  <c r="R531" i="16"/>
  <c r="S531" i="16"/>
  <c r="T531" i="16"/>
  <c r="U531" i="16"/>
  <c r="S532" i="16"/>
  <c r="E533" i="16"/>
  <c r="G533" i="16"/>
  <c r="H533" i="16"/>
  <c r="I533" i="16"/>
  <c r="J533" i="16"/>
  <c r="K533" i="16"/>
  <c r="L533" i="16"/>
  <c r="M533" i="16"/>
  <c r="N533" i="16"/>
  <c r="O533" i="16"/>
  <c r="P533" i="16"/>
  <c r="Q533" i="16"/>
  <c r="R533" i="16"/>
  <c r="S533" i="16"/>
  <c r="T533" i="16"/>
  <c r="U533" i="16"/>
  <c r="E535" i="16"/>
  <c r="G535" i="16"/>
  <c r="H535" i="16"/>
  <c r="I535" i="16"/>
  <c r="J535" i="16"/>
  <c r="K535" i="16"/>
  <c r="L535" i="16"/>
  <c r="M535" i="16"/>
  <c r="N535" i="16"/>
  <c r="O535" i="16"/>
  <c r="P535" i="16"/>
  <c r="Q535" i="16"/>
  <c r="R535" i="16"/>
  <c r="S535" i="16"/>
  <c r="T535" i="16"/>
  <c r="U535" i="16"/>
  <c r="E536" i="16"/>
  <c r="G536" i="16"/>
  <c r="H536" i="16"/>
  <c r="I536" i="16"/>
  <c r="J536" i="16"/>
  <c r="K536" i="16"/>
  <c r="L536" i="16"/>
  <c r="M536" i="16"/>
  <c r="N536" i="16"/>
  <c r="O536" i="16"/>
  <c r="P536" i="16"/>
  <c r="Q536" i="16"/>
  <c r="R536" i="16"/>
  <c r="S536" i="16"/>
  <c r="T536" i="16"/>
  <c r="U536" i="16"/>
  <c r="G537" i="16"/>
  <c r="S537" i="16"/>
  <c r="E538" i="16"/>
  <c r="G538" i="16"/>
  <c r="H538" i="16"/>
  <c r="I538" i="16"/>
  <c r="J538" i="16"/>
  <c r="K538" i="16"/>
  <c r="L538" i="16"/>
  <c r="M538" i="16"/>
  <c r="N538" i="16"/>
  <c r="O538" i="16"/>
  <c r="P538" i="16"/>
  <c r="Q538" i="16"/>
  <c r="R538" i="16"/>
  <c r="S538" i="16"/>
  <c r="T538" i="16"/>
  <c r="U538" i="16"/>
  <c r="E539" i="16"/>
  <c r="G539" i="16"/>
  <c r="H539" i="16"/>
  <c r="I539" i="16"/>
  <c r="J539" i="16"/>
  <c r="K539" i="16"/>
  <c r="L539" i="16"/>
  <c r="M539" i="16"/>
  <c r="N539" i="16"/>
  <c r="O539" i="16"/>
  <c r="P539" i="16"/>
  <c r="Q539" i="16"/>
  <c r="R539" i="16"/>
  <c r="S539" i="16"/>
  <c r="T539" i="16"/>
  <c r="U539" i="16"/>
  <c r="E540" i="16"/>
  <c r="G540" i="16"/>
  <c r="H540" i="16"/>
  <c r="I540" i="16"/>
  <c r="J540" i="16"/>
  <c r="K540" i="16"/>
  <c r="L540" i="16"/>
  <c r="M540" i="16"/>
  <c r="N540" i="16"/>
  <c r="O540" i="16"/>
  <c r="P540" i="16"/>
  <c r="Q540" i="16"/>
  <c r="R540" i="16"/>
  <c r="S540" i="16"/>
  <c r="T540" i="16"/>
  <c r="U540" i="16"/>
  <c r="E542" i="16"/>
  <c r="G542" i="16"/>
  <c r="H542" i="16"/>
  <c r="I542" i="16"/>
  <c r="J542" i="16"/>
  <c r="K542" i="16"/>
  <c r="L542" i="16"/>
  <c r="M542" i="16"/>
  <c r="N542" i="16"/>
  <c r="O542" i="16"/>
  <c r="P542" i="16"/>
  <c r="Q542" i="16"/>
  <c r="R542" i="16"/>
  <c r="S542" i="16"/>
  <c r="T542" i="16"/>
  <c r="U542" i="16"/>
  <c r="E543" i="16"/>
  <c r="G543" i="16"/>
  <c r="H543" i="16"/>
  <c r="I543" i="16"/>
  <c r="J543" i="16"/>
  <c r="K543" i="16"/>
  <c r="L543" i="16"/>
  <c r="M543" i="16"/>
  <c r="N543" i="16"/>
  <c r="O543" i="16"/>
  <c r="P543" i="16"/>
  <c r="Q543" i="16"/>
  <c r="R543" i="16"/>
  <c r="S543" i="16"/>
  <c r="T543" i="16"/>
  <c r="U543" i="16"/>
  <c r="E544" i="16"/>
  <c r="G544" i="16"/>
  <c r="H544" i="16"/>
  <c r="I544" i="16"/>
  <c r="J544" i="16"/>
  <c r="K544" i="16"/>
  <c r="L544" i="16"/>
  <c r="M544" i="16"/>
  <c r="N544" i="16"/>
  <c r="O544" i="16"/>
  <c r="P544" i="16"/>
  <c r="Q544" i="16"/>
  <c r="R544" i="16"/>
  <c r="S544" i="16"/>
  <c r="T544" i="16"/>
  <c r="U544" i="16"/>
  <c r="E545" i="16"/>
  <c r="G545" i="16"/>
  <c r="H545" i="16"/>
  <c r="I545" i="16"/>
  <c r="J545" i="16"/>
  <c r="K545" i="16"/>
  <c r="L545" i="16"/>
  <c r="M545" i="16"/>
  <c r="N545" i="16"/>
  <c r="O545" i="16"/>
  <c r="P545" i="16"/>
  <c r="Q545" i="16"/>
  <c r="R545" i="16"/>
  <c r="S545" i="16"/>
  <c r="T545" i="16"/>
  <c r="U545" i="16"/>
  <c r="E546" i="16"/>
  <c r="G546" i="16"/>
  <c r="H546" i="16"/>
  <c r="I546" i="16"/>
  <c r="J546" i="16"/>
  <c r="K546" i="16"/>
  <c r="L546" i="16"/>
  <c r="M546" i="16"/>
  <c r="N546" i="16"/>
  <c r="O546" i="16"/>
  <c r="P546" i="16"/>
  <c r="Q546" i="16"/>
  <c r="R546" i="16"/>
  <c r="S546" i="16"/>
  <c r="T546" i="16"/>
  <c r="U546" i="16"/>
  <c r="E547" i="16"/>
  <c r="G547" i="16"/>
  <c r="H547" i="16"/>
  <c r="I547" i="16"/>
  <c r="J547" i="16"/>
  <c r="K547" i="16"/>
  <c r="L547" i="16"/>
  <c r="M547" i="16"/>
  <c r="N547" i="16"/>
  <c r="O547" i="16"/>
  <c r="P547" i="16"/>
  <c r="Q547" i="16"/>
  <c r="R547" i="16"/>
  <c r="S547" i="16"/>
  <c r="T547" i="16"/>
  <c r="U547" i="16"/>
  <c r="G548" i="16"/>
  <c r="E549" i="16"/>
  <c r="G549" i="16"/>
  <c r="H549" i="16"/>
  <c r="I549" i="16"/>
  <c r="J549" i="16"/>
  <c r="K549" i="16"/>
  <c r="L549" i="16"/>
  <c r="M549" i="16"/>
  <c r="N549" i="16"/>
  <c r="O549" i="16"/>
  <c r="P549" i="16"/>
  <c r="Q549" i="16"/>
  <c r="R549" i="16"/>
  <c r="S549" i="16"/>
  <c r="T549" i="16"/>
  <c r="U549" i="16"/>
  <c r="Q550" i="16"/>
  <c r="E551" i="16"/>
  <c r="G551" i="16"/>
  <c r="H551" i="16"/>
  <c r="I551" i="16"/>
  <c r="J551" i="16"/>
  <c r="K551" i="16"/>
  <c r="L551" i="16"/>
  <c r="M551" i="16"/>
  <c r="N551" i="16"/>
  <c r="O551" i="16"/>
  <c r="P551" i="16"/>
  <c r="Q551" i="16"/>
  <c r="R551" i="16"/>
  <c r="S551" i="16"/>
  <c r="T551" i="16"/>
  <c r="U551" i="16"/>
  <c r="E552" i="16"/>
  <c r="G552" i="16"/>
  <c r="H552" i="16"/>
  <c r="I552" i="16"/>
  <c r="J552" i="16"/>
  <c r="K552" i="16"/>
  <c r="L552" i="16"/>
  <c r="M552" i="16"/>
  <c r="N552" i="16"/>
  <c r="O552" i="16"/>
  <c r="P552" i="16"/>
  <c r="Q552" i="16"/>
  <c r="R552" i="16"/>
  <c r="S552" i="16"/>
  <c r="T552" i="16"/>
  <c r="U552" i="16"/>
  <c r="E553" i="16"/>
  <c r="G553" i="16"/>
  <c r="H553" i="16"/>
  <c r="I553" i="16"/>
  <c r="J553" i="16"/>
  <c r="K553" i="16"/>
  <c r="L553" i="16"/>
  <c r="M553" i="16"/>
  <c r="N553" i="16"/>
  <c r="O553" i="16"/>
  <c r="P553" i="16"/>
  <c r="Q553" i="16"/>
  <c r="R553" i="16"/>
  <c r="S553" i="16"/>
  <c r="T553" i="16"/>
  <c r="U553" i="16"/>
  <c r="E554" i="16"/>
  <c r="G554" i="16"/>
  <c r="H554" i="16"/>
  <c r="I554" i="16"/>
  <c r="J554" i="16"/>
  <c r="K554" i="16"/>
  <c r="L554" i="16"/>
  <c r="M554" i="16"/>
  <c r="N554" i="16"/>
  <c r="O554" i="16"/>
  <c r="P554" i="16"/>
  <c r="Q554" i="16"/>
  <c r="R554" i="16"/>
  <c r="S554" i="16"/>
  <c r="T554" i="16"/>
  <c r="U554" i="16"/>
  <c r="E555" i="16"/>
  <c r="G555" i="16"/>
  <c r="H555" i="16"/>
  <c r="I555" i="16"/>
  <c r="J555" i="16"/>
  <c r="K555" i="16"/>
  <c r="L555" i="16"/>
  <c r="M555" i="16"/>
  <c r="N555" i="16"/>
  <c r="O555" i="16"/>
  <c r="P555" i="16"/>
  <c r="Q555" i="16"/>
  <c r="R555" i="16"/>
  <c r="S555" i="16"/>
  <c r="T555" i="16"/>
  <c r="U555" i="16"/>
  <c r="G556" i="16"/>
  <c r="O556" i="16"/>
  <c r="T557" i="16"/>
  <c r="E558" i="16"/>
  <c r="E559" i="16"/>
  <c r="G559" i="16"/>
  <c r="H559" i="16"/>
  <c r="I559" i="16"/>
  <c r="J559" i="16"/>
  <c r="K559" i="16"/>
  <c r="L559" i="16"/>
  <c r="M559" i="16"/>
  <c r="N559" i="16"/>
  <c r="O559" i="16"/>
  <c r="P559" i="16"/>
  <c r="Q559" i="16"/>
  <c r="R559" i="16"/>
  <c r="S559" i="16"/>
  <c r="T559" i="16"/>
  <c r="U559" i="16"/>
  <c r="E560" i="16"/>
  <c r="G560" i="16"/>
  <c r="H560" i="16"/>
  <c r="I560" i="16"/>
  <c r="J560" i="16"/>
  <c r="K560" i="16"/>
  <c r="L560" i="16"/>
  <c r="M560" i="16"/>
  <c r="N560" i="16"/>
  <c r="O560" i="16"/>
  <c r="P560" i="16"/>
  <c r="Q560" i="16"/>
  <c r="R560" i="16"/>
  <c r="S560" i="16"/>
  <c r="T560" i="16"/>
  <c r="U560" i="16"/>
  <c r="E561" i="16"/>
  <c r="G561" i="16"/>
  <c r="H561" i="16"/>
  <c r="I561" i="16"/>
  <c r="J561" i="16"/>
  <c r="K561" i="16"/>
  <c r="L561" i="16"/>
  <c r="M561" i="16"/>
  <c r="N561" i="16"/>
  <c r="O561" i="16"/>
  <c r="P561" i="16"/>
  <c r="Q561" i="16"/>
  <c r="R561" i="16"/>
  <c r="S561" i="16"/>
  <c r="T561" i="16"/>
  <c r="U561" i="16"/>
  <c r="E562" i="16"/>
  <c r="G562" i="16"/>
  <c r="H562" i="16"/>
  <c r="I562" i="16"/>
  <c r="J562" i="16"/>
  <c r="K562" i="16"/>
  <c r="L562" i="16"/>
  <c r="M562" i="16"/>
  <c r="N562" i="16"/>
  <c r="O562" i="16"/>
  <c r="P562" i="16"/>
  <c r="Q562" i="16"/>
  <c r="R562" i="16"/>
  <c r="S562" i="16"/>
  <c r="T562" i="16"/>
  <c r="U562" i="16"/>
  <c r="E563" i="16"/>
  <c r="G563" i="16"/>
  <c r="H15" i="17" s="1"/>
  <c r="H563" i="16"/>
  <c r="I15" i="17" s="1"/>
  <c r="I563" i="16"/>
  <c r="J15" i="17" s="1"/>
  <c r="J563" i="16"/>
  <c r="K15" i="17" s="1"/>
  <c r="K563" i="16"/>
  <c r="L15" i="17" s="1"/>
  <c r="L563" i="16"/>
  <c r="M15" i="17" s="1"/>
  <c r="M563" i="16"/>
  <c r="N15" i="17" s="1"/>
  <c r="N563" i="16"/>
  <c r="O563" i="16"/>
  <c r="P15" i="17" s="1"/>
  <c r="P563" i="16"/>
  <c r="Q15" i="17" s="1"/>
  <c r="Q563" i="16"/>
  <c r="R15" i="17" s="1"/>
  <c r="R563" i="16"/>
  <c r="S15" i="17" s="1"/>
  <c r="S563" i="16"/>
  <c r="T15" i="17" s="1"/>
  <c r="T563" i="16"/>
  <c r="U15" i="17" s="1"/>
  <c r="U563" i="16"/>
  <c r="V15" i="17" s="1"/>
  <c r="E564" i="16"/>
  <c r="G564" i="16"/>
  <c r="H564" i="16"/>
  <c r="I564" i="16"/>
  <c r="J564" i="16"/>
  <c r="K564" i="16"/>
  <c r="L564" i="16"/>
  <c r="M564" i="16"/>
  <c r="N564" i="16"/>
  <c r="O564" i="16"/>
  <c r="P564" i="16"/>
  <c r="Q564" i="16"/>
  <c r="R564" i="16"/>
  <c r="S564" i="16"/>
  <c r="T564" i="16"/>
  <c r="U564" i="16"/>
  <c r="O565" i="16"/>
  <c r="I566" i="16"/>
  <c r="J567" i="16"/>
  <c r="U567" i="16"/>
  <c r="I568" i="16"/>
  <c r="I569" i="16"/>
  <c r="E570" i="16"/>
  <c r="G570" i="16"/>
  <c r="H570" i="16"/>
  <c r="I570" i="16"/>
  <c r="J570" i="16"/>
  <c r="K570" i="16"/>
  <c r="L570" i="16"/>
  <c r="M570" i="16"/>
  <c r="N570" i="16"/>
  <c r="O570" i="16"/>
  <c r="P570" i="16"/>
  <c r="Q570" i="16"/>
  <c r="R570" i="16"/>
  <c r="S570" i="16"/>
  <c r="T570" i="16"/>
  <c r="U570" i="16"/>
  <c r="E571" i="16"/>
  <c r="G571" i="16"/>
  <c r="H571" i="16"/>
  <c r="I571" i="16"/>
  <c r="J571" i="16"/>
  <c r="K571" i="16"/>
  <c r="L571" i="16"/>
  <c r="M571" i="16"/>
  <c r="N571" i="16"/>
  <c r="O571" i="16"/>
  <c r="P571" i="16"/>
  <c r="Q571" i="16"/>
  <c r="R571" i="16"/>
  <c r="S571" i="16"/>
  <c r="T571" i="16"/>
  <c r="U571" i="16"/>
  <c r="O573" i="16"/>
  <c r="G574" i="16"/>
  <c r="L575" i="16"/>
  <c r="E576" i="16"/>
  <c r="G576" i="16"/>
  <c r="H576" i="16"/>
  <c r="I576" i="16"/>
  <c r="J576" i="16"/>
  <c r="K576" i="16"/>
  <c r="L576" i="16"/>
  <c r="M576" i="16"/>
  <c r="N576" i="16"/>
  <c r="O576" i="16"/>
  <c r="P576" i="16"/>
  <c r="Q576" i="16"/>
  <c r="R576" i="16"/>
  <c r="S576" i="16"/>
  <c r="T576" i="16"/>
  <c r="U576" i="16"/>
  <c r="E577" i="16"/>
  <c r="G577" i="16"/>
  <c r="H577" i="16"/>
  <c r="I577" i="16"/>
  <c r="J577" i="16"/>
  <c r="K577" i="16"/>
  <c r="L577" i="16"/>
  <c r="M577" i="16"/>
  <c r="N577" i="16"/>
  <c r="O577" i="16"/>
  <c r="P577" i="16"/>
  <c r="Q577" i="16"/>
  <c r="R577" i="16"/>
  <c r="S577" i="16"/>
  <c r="T577" i="16"/>
  <c r="U577" i="16"/>
  <c r="E578" i="16"/>
  <c r="G578" i="16"/>
  <c r="H578" i="16"/>
  <c r="I578" i="16"/>
  <c r="J578" i="16"/>
  <c r="K578" i="16"/>
  <c r="L578" i="16"/>
  <c r="M578" i="16"/>
  <c r="N578" i="16"/>
  <c r="O578" i="16"/>
  <c r="P578" i="16"/>
  <c r="Q578" i="16"/>
  <c r="R578" i="16"/>
  <c r="S578" i="16"/>
  <c r="T578" i="16"/>
  <c r="U578" i="16"/>
  <c r="G579" i="16"/>
  <c r="K579" i="16"/>
  <c r="U580" i="16"/>
  <c r="G581" i="16"/>
  <c r="G582" i="16"/>
  <c r="K583" i="16"/>
  <c r="E584" i="16"/>
  <c r="G584" i="16"/>
  <c r="H584" i="16"/>
  <c r="I584" i="16"/>
  <c r="J584" i="16"/>
  <c r="K584" i="16"/>
  <c r="L584" i="16"/>
  <c r="M584" i="16"/>
  <c r="N584" i="16"/>
  <c r="O584" i="16"/>
  <c r="P584" i="16"/>
  <c r="Q584" i="16"/>
  <c r="R584" i="16"/>
  <c r="S584" i="16"/>
  <c r="T584" i="16"/>
  <c r="U584" i="16"/>
  <c r="E586" i="16"/>
  <c r="G586" i="16"/>
  <c r="H586" i="16"/>
  <c r="I586" i="16"/>
  <c r="J586" i="16"/>
  <c r="K586" i="16"/>
  <c r="L586" i="16"/>
  <c r="M586" i="16"/>
  <c r="N586" i="16"/>
  <c r="O586" i="16"/>
  <c r="P586" i="16"/>
  <c r="Q586" i="16"/>
  <c r="R586" i="16"/>
  <c r="S586" i="16"/>
  <c r="T586" i="16"/>
  <c r="U586" i="16"/>
  <c r="J587" i="16"/>
  <c r="K588" i="16"/>
  <c r="E589" i="16"/>
  <c r="G589" i="16"/>
  <c r="H589" i="16"/>
  <c r="I589" i="16"/>
  <c r="J589" i="16"/>
  <c r="K589" i="16"/>
  <c r="L589" i="16"/>
  <c r="M589" i="16"/>
  <c r="N589" i="16"/>
  <c r="O589" i="16"/>
  <c r="P589" i="16"/>
  <c r="Q589" i="16"/>
  <c r="R589" i="16"/>
  <c r="S589" i="16"/>
  <c r="T589" i="16"/>
  <c r="U589" i="16"/>
  <c r="M590" i="16"/>
  <c r="O591" i="16"/>
  <c r="U591" i="16"/>
  <c r="Q592" i="16"/>
  <c r="N593" i="16"/>
  <c r="E594" i="16"/>
  <c r="G594" i="16"/>
  <c r="H594" i="16"/>
  <c r="I594" i="16"/>
  <c r="J594" i="16"/>
  <c r="K594" i="16"/>
  <c r="L594" i="16"/>
  <c r="M594" i="16"/>
  <c r="N594" i="16"/>
  <c r="O594" i="16"/>
  <c r="P594" i="16"/>
  <c r="Q594" i="16"/>
  <c r="R594" i="16"/>
  <c r="S594" i="16"/>
  <c r="T594" i="16"/>
  <c r="U594" i="16"/>
  <c r="T595" i="16"/>
  <c r="U595" i="16"/>
  <c r="U596" i="16"/>
  <c r="E597" i="16"/>
  <c r="G597" i="16"/>
  <c r="H597" i="16"/>
  <c r="I597" i="16"/>
  <c r="J597" i="16"/>
  <c r="K597" i="16"/>
  <c r="L597" i="16"/>
  <c r="M597" i="16"/>
  <c r="N597" i="16"/>
  <c r="O597" i="16"/>
  <c r="P597" i="16"/>
  <c r="Q597" i="16"/>
  <c r="R597" i="16"/>
  <c r="S597" i="16"/>
  <c r="T597" i="16"/>
  <c r="U597" i="16"/>
  <c r="E598" i="16"/>
  <c r="G598" i="16"/>
  <c r="H598" i="16"/>
  <c r="I598" i="16"/>
  <c r="J598" i="16"/>
  <c r="K598" i="16"/>
  <c r="L598" i="16"/>
  <c r="M598" i="16"/>
  <c r="N598" i="16"/>
  <c r="O598" i="16"/>
  <c r="P598" i="16"/>
  <c r="Q598" i="16"/>
  <c r="R598" i="16"/>
  <c r="S598" i="16"/>
  <c r="T598" i="16"/>
  <c r="U598" i="16"/>
  <c r="E599" i="16"/>
  <c r="G599" i="16"/>
  <c r="H599" i="16"/>
  <c r="I599" i="16"/>
  <c r="J599" i="16"/>
  <c r="K599" i="16"/>
  <c r="L599" i="16"/>
  <c r="M599" i="16"/>
  <c r="N599" i="16"/>
  <c r="O599" i="16"/>
  <c r="P599" i="16"/>
  <c r="Q599" i="16"/>
  <c r="R599" i="16"/>
  <c r="S599" i="16"/>
  <c r="T599" i="16"/>
  <c r="U599" i="16"/>
  <c r="G601" i="16"/>
  <c r="T601" i="16"/>
  <c r="G603" i="16"/>
  <c r="I604" i="16"/>
  <c r="I606" i="16"/>
  <c r="E607" i="16"/>
  <c r="G607" i="16"/>
  <c r="H607" i="16"/>
  <c r="I607" i="16"/>
  <c r="J607" i="16"/>
  <c r="K607" i="16"/>
  <c r="L607" i="16"/>
  <c r="M607" i="16"/>
  <c r="N607" i="16"/>
  <c r="O607" i="16"/>
  <c r="P607" i="16"/>
  <c r="Q607" i="16"/>
  <c r="R607" i="16"/>
  <c r="S607" i="16"/>
  <c r="T607" i="16"/>
  <c r="U607" i="16"/>
  <c r="E609" i="16"/>
  <c r="G609" i="16"/>
  <c r="H609" i="16"/>
  <c r="I609" i="16"/>
  <c r="J609" i="16"/>
  <c r="K609" i="16"/>
  <c r="L609" i="16"/>
  <c r="M609" i="16"/>
  <c r="N609" i="16"/>
  <c r="O609" i="16"/>
  <c r="P609" i="16"/>
  <c r="Q609" i="16"/>
  <c r="R609" i="16"/>
  <c r="S609" i="16"/>
  <c r="T609" i="16"/>
  <c r="U609" i="16"/>
  <c r="E610" i="16"/>
  <c r="G610" i="16"/>
  <c r="H610" i="16"/>
  <c r="I610" i="16"/>
  <c r="J610" i="16"/>
  <c r="K610" i="16"/>
  <c r="L610" i="16"/>
  <c r="M610" i="16"/>
  <c r="N610" i="16"/>
  <c r="O610" i="16"/>
  <c r="P610" i="16"/>
  <c r="Q610" i="16"/>
  <c r="R610" i="16"/>
  <c r="S610" i="16"/>
  <c r="T610" i="16"/>
  <c r="U610" i="16"/>
  <c r="E611" i="16"/>
  <c r="G611" i="16"/>
  <c r="H611" i="16"/>
  <c r="I611" i="16"/>
  <c r="J611" i="16"/>
  <c r="K611" i="16"/>
  <c r="L611" i="16"/>
  <c r="M611" i="16"/>
  <c r="N611" i="16"/>
  <c r="O611" i="16"/>
  <c r="P611" i="16"/>
  <c r="Q611" i="16"/>
  <c r="R611" i="16"/>
  <c r="S611" i="16"/>
  <c r="T611" i="16"/>
  <c r="U611" i="16"/>
  <c r="G612" i="16"/>
  <c r="P612" i="16"/>
  <c r="I613" i="16"/>
  <c r="N614" i="16"/>
  <c r="E615" i="16"/>
  <c r="G615" i="16"/>
  <c r="H615" i="16"/>
  <c r="I615" i="16"/>
  <c r="J615" i="16"/>
  <c r="K615" i="16"/>
  <c r="L615" i="16"/>
  <c r="M615" i="16"/>
  <c r="N615" i="16"/>
  <c r="O615" i="16"/>
  <c r="P615" i="16"/>
  <c r="Q615" i="16"/>
  <c r="R615" i="16"/>
  <c r="S615" i="16"/>
  <c r="T615" i="16"/>
  <c r="U615" i="16"/>
  <c r="E616" i="16"/>
  <c r="G616" i="16"/>
  <c r="H616" i="16"/>
  <c r="I616" i="16"/>
  <c r="J616" i="16"/>
  <c r="K616" i="16"/>
  <c r="L616" i="16"/>
  <c r="M616" i="16"/>
  <c r="N616" i="16"/>
  <c r="O616" i="16"/>
  <c r="P616" i="16"/>
  <c r="Q616" i="16"/>
  <c r="R616" i="16"/>
  <c r="S616" i="16"/>
  <c r="T616" i="16"/>
  <c r="U616" i="16"/>
  <c r="L617" i="16"/>
  <c r="E618" i="16"/>
  <c r="G618" i="16"/>
  <c r="H618" i="16"/>
  <c r="I618" i="16"/>
  <c r="J618" i="16"/>
  <c r="K618" i="16"/>
  <c r="L618" i="16"/>
  <c r="M618" i="16"/>
  <c r="N618" i="16"/>
  <c r="O618" i="16"/>
  <c r="P618" i="16"/>
  <c r="Q618" i="16"/>
  <c r="R618" i="16"/>
  <c r="S618" i="16"/>
  <c r="T618" i="16"/>
  <c r="U618" i="16"/>
  <c r="E619" i="16"/>
  <c r="G619" i="16"/>
  <c r="H619" i="16"/>
  <c r="I619" i="16"/>
  <c r="J619" i="16"/>
  <c r="K619" i="16"/>
  <c r="L619" i="16"/>
  <c r="M619" i="16"/>
  <c r="N619" i="16"/>
  <c r="O619" i="16"/>
  <c r="P619" i="16"/>
  <c r="Q619" i="16"/>
  <c r="R619" i="16"/>
  <c r="S619" i="16"/>
  <c r="T619" i="16"/>
  <c r="U619" i="16"/>
  <c r="R620" i="16"/>
  <c r="H622" i="16"/>
  <c r="E623" i="16"/>
  <c r="G623" i="16"/>
  <c r="H623" i="16"/>
  <c r="I623" i="16"/>
  <c r="J623" i="16"/>
  <c r="K623" i="16"/>
  <c r="L623" i="16"/>
  <c r="M623" i="16"/>
  <c r="N623" i="16"/>
  <c r="O623" i="16"/>
  <c r="P623" i="16"/>
  <c r="Q623" i="16"/>
  <c r="R623" i="16"/>
  <c r="S623" i="16"/>
  <c r="T623" i="16"/>
  <c r="U623" i="16"/>
  <c r="K625" i="16"/>
  <c r="R626" i="16"/>
  <c r="E627" i="16"/>
  <c r="G627" i="16"/>
  <c r="H627" i="16"/>
  <c r="I627" i="16"/>
  <c r="J627" i="16"/>
  <c r="K627" i="16"/>
  <c r="L627" i="16"/>
  <c r="M627" i="16"/>
  <c r="N627" i="16"/>
  <c r="O627" i="16"/>
  <c r="P627" i="16"/>
  <c r="Q627" i="16"/>
  <c r="R627" i="16"/>
  <c r="S627" i="16"/>
  <c r="T627" i="16"/>
  <c r="U627" i="16"/>
  <c r="E628" i="16"/>
  <c r="G628" i="16"/>
  <c r="H628" i="16"/>
  <c r="I628" i="16"/>
  <c r="J628" i="16"/>
  <c r="K628" i="16"/>
  <c r="L628" i="16"/>
  <c r="M628" i="16"/>
  <c r="N628" i="16"/>
  <c r="O628" i="16"/>
  <c r="P628" i="16"/>
  <c r="Q628" i="16"/>
  <c r="R628" i="16"/>
  <c r="S628" i="16"/>
  <c r="T628" i="16"/>
  <c r="U628" i="16"/>
  <c r="E629" i="16"/>
  <c r="G629" i="16"/>
  <c r="H629" i="16"/>
  <c r="I629" i="16"/>
  <c r="J629" i="16"/>
  <c r="K629" i="16"/>
  <c r="L629" i="16"/>
  <c r="M629" i="16"/>
  <c r="N629" i="16"/>
  <c r="O629" i="16"/>
  <c r="P629" i="16"/>
  <c r="Q629" i="16"/>
  <c r="R629" i="16"/>
  <c r="S629" i="16"/>
  <c r="T629" i="16"/>
  <c r="U629" i="16"/>
  <c r="N630" i="16"/>
  <c r="I631" i="16"/>
  <c r="E632" i="16"/>
  <c r="G632" i="16"/>
  <c r="H632" i="16"/>
  <c r="I632" i="16"/>
  <c r="J632" i="16"/>
  <c r="K632" i="16"/>
  <c r="L632" i="16"/>
  <c r="M632" i="16"/>
  <c r="N632" i="16"/>
  <c r="O632" i="16"/>
  <c r="P632" i="16"/>
  <c r="Q632" i="16"/>
  <c r="R632" i="16"/>
  <c r="S632" i="16"/>
  <c r="T632" i="16"/>
  <c r="U632" i="16"/>
  <c r="E633" i="16"/>
  <c r="G633" i="16"/>
  <c r="H633" i="16"/>
  <c r="I633" i="16"/>
  <c r="J633" i="16"/>
  <c r="K633" i="16"/>
  <c r="L633" i="16"/>
  <c r="M633" i="16"/>
  <c r="N633" i="16"/>
  <c r="O633" i="16"/>
  <c r="P633" i="16"/>
  <c r="Q633" i="16"/>
  <c r="R633" i="16"/>
  <c r="S633" i="16"/>
  <c r="T633" i="16"/>
  <c r="U633" i="16"/>
  <c r="G634" i="16"/>
  <c r="S635" i="16"/>
  <c r="E636" i="16"/>
  <c r="G636" i="16"/>
  <c r="H636" i="16"/>
  <c r="I636" i="16"/>
  <c r="J636" i="16"/>
  <c r="K636" i="16"/>
  <c r="L636" i="16"/>
  <c r="M636" i="16"/>
  <c r="N636" i="16"/>
  <c r="O636" i="16"/>
  <c r="P636" i="16"/>
  <c r="Q636" i="16"/>
  <c r="R636" i="16"/>
  <c r="S636" i="16"/>
  <c r="T636" i="16"/>
  <c r="U636" i="16"/>
  <c r="E637" i="16"/>
  <c r="G637" i="16"/>
  <c r="H637" i="16"/>
  <c r="I637" i="16"/>
  <c r="J637" i="16"/>
  <c r="K637" i="16"/>
  <c r="L637" i="16"/>
  <c r="M637" i="16"/>
  <c r="N637" i="16"/>
  <c r="O637" i="16"/>
  <c r="P637" i="16"/>
  <c r="Q637" i="16"/>
  <c r="R637" i="16"/>
  <c r="S637" i="16"/>
  <c r="T637" i="16"/>
  <c r="U637" i="16"/>
  <c r="E638" i="16"/>
  <c r="G638" i="16"/>
  <c r="H638" i="16"/>
  <c r="I638" i="16"/>
  <c r="J638" i="16"/>
  <c r="K638" i="16"/>
  <c r="L638" i="16"/>
  <c r="M638" i="16"/>
  <c r="N638" i="16"/>
  <c r="O638" i="16"/>
  <c r="P638" i="16"/>
  <c r="Q638" i="16"/>
  <c r="R638" i="16"/>
  <c r="S638" i="16"/>
  <c r="T638" i="16"/>
  <c r="U638" i="16"/>
  <c r="E640" i="16"/>
  <c r="N641" i="16"/>
  <c r="E642" i="16"/>
  <c r="G642" i="16"/>
  <c r="H642" i="16"/>
  <c r="I642" i="16"/>
  <c r="J642" i="16"/>
  <c r="K642" i="16"/>
  <c r="L642" i="16"/>
  <c r="M642" i="16"/>
  <c r="N642" i="16"/>
  <c r="O642" i="16"/>
  <c r="P642" i="16"/>
  <c r="Q642" i="16"/>
  <c r="R642" i="16"/>
  <c r="S642" i="16"/>
  <c r="T642" i="16"/>
  <c r="U642" i="16"/>
  <c r="Q643" i="16"/>
  <c r="E644" i="16"/>
  <c r="G644" i="16"/>
  <c r="H644" i="16"/>
  <c r="I644" i="16"/>
  <c r="J644" i="16"/>
  <c r="K644" i="16"/>
  <c r="L644" i="16"/>
  <c r="M644" i="16"/>
  <c r="N644" i="16"/>
  <c r="O644" i="16"/>
  <c r="P644" i="16"/>
  <c r="Q644" i="16"/>
  <c r="R644" i="16"/>
  <c r="S644" i="16"/>
  <c r="T644" i="16"/>
  <c r="U644" i="16"/>
  <c r="J645" i="16"/>
  <c r="E647" i="16"/>
  <c r="G647" i="16"/>
  <c r="H647" i="16"/>
  <c r="I647" i="16"/>
  <c r="J647" i="16"/>
  <c r="K647" i="16"/>
  <c r="L647" i="16"/>
  <c r="M647" i="16"/>
  <c r="N647" i="16"/>
  <c r="O647" i="16"/>
  <c r="P647" i="16"/>
  <c r="Q647" i="16"/>
  <c r="R647" i="16"/>
  <c r="S647" i="16"/>
  <c r="T647" i="16"/>
  <c r="U647" i="16"/>
  <c r="G649" i="16"/>
  <c r="I650" i="16"/>
  <c r="E651" i="16"/>
  <c r="G651" i="16"/>
  <c r="H651" i="16"/>
  <c r="I651" i="16"/>
  <c r="J651" i="16"/>
  <c r="K651" i="16"/>
  <c r="L651" i="16"/>
  <c r="M651" i="16"/>
  <c r="N651" i="16"/>
  <c r="O651" i="16"/>
  <c r="P651" i="16"/>
  <c r="Q651" i="16"/>
  <c r="R651" i="16"/>
  <c r="S651" i="16"/>
  <c r="T651" i="16"/>
  <c r="U651" i="16"/>
  <c r="E652" i="16"/>
  <c r="G652" i="16"/>
  <c r="H652" i="16"/>
  <c r="I652" i="16"/>
  <c r="J652" i="16"/>
  <c r="K652" i="16"/>
  <c r="L652" i="16"/>
  <c r="M652" i="16"/>
  <c r="N652" i="16"/>
  <c r="O652" i="16"/>
  <c r="P652" i="16"/>
  <c r="Q652" i="16"/>
  <c r="R652" i="16"/>
  <c r="S652" i="16"/>
  <c r="T652" i="16"/>
  <c r="U652" i="16"/>
  <c r="Q653" i="16"/>
  <c r="E655" i="16"/>
  <c r="G655" i="16"/>
  <c r="H655" i="16"/>
  <c r="I655" i="16"/>
  <c r="J655" i="16"/>
  <c r="K655" i="16"/>
  <c r="L655" i="16"/>
  <c r="M655" i="16"/>
  <c r="N655" i="16"/>
  <c r="O655" i="16"/>
  <c r="P655" i="16"/>
  <c r="Q655" i="16"/>
  <c r="R655" i="16"/>
  <c r="S655" i="16"/>
  <c r="T655" i="16"/>
  <c r="U655" i="16"/>
  <c r="E656" i="16"/>
  <c r="G656" i="16"/>
  <c r="H656" i="16"/>
  <c r="I656" i="16"/>
  <c r="J656" i="16"/>
  <c r="K656" i="16"/>
  <c r="L656" i="16"/>
  <c r="M656" i="16"/>
  <c r="N656" i="16"/>
  <c r="O656" i="16"/>
  <c r="P656" i="16"/>
  <c r="Q656" i="16"/>
  <c r="R656" i="16"/>
  <c r="S656" i="16"/>
  <c r="T656" i="16"/>
  <c r="U656" i="16"/>
  <c r="H657" i="16"/>
  <c r="S657" i="16"/>
  <c r="E658" i="16"/>
  <c r="G658" i="16"/>
  <c r="H658" i="16"/>
  <c r="I658" i="16"/>
  <c r="J658" i="16"/>
  <c r="K658" i="16"/>
  <c r="L658" i="16"/>
  <c r="M658" i="16"/>
  <c r="N658" i="16"/>
  <c r="O658" i="16"/>
  <c r="P658" i="16"/>
  <c r="Q658" i="16"/>
  <c r="R658" i="16"/>
  <c r="S658" i="16"/>
  <c r="T658" i="16"/>
  <c r="U658" i="16"/>
  <c r="E660" i="16"/>
  <c r="G660" i="16"/>
  <c r="H660" i="16"/>
  <c r="I660" i="16"/>
  <c r="J660" i="16"/>
  <c r="K660" i="16"/>
  <c r="L660" i="16"/>
  <c r="M660" i="16"/>
  <c r="N660" i="16"/>
  <c r="O660" i="16"/>
  <c r="P660" i="16"/>
  <c r="Q660" i="16"/>
  <c r="R660" i="16"/>
  <c r="S660" i="16"/>
  <c r="T660" i="16"/>
  <c r="U660" i="16"/>
  <c r="E661" i="16"/>
  <c r="G661" i="16"/>
  <c r="H661" i="16"/>
  <c r="I661" i="16"/>
  <c r="J661" i="16"/>
  <c r="K661" i="16"/>
  <c r="L661" i="16"/>
  <c r="M661" i="16"/>
  <c r="N661" i="16"/>
  <c r="O661" i="16"/>
  <c r="P661" i="16"/>
  <c r="Q661" i="16"/>
  <c r="R661" i="16"/>
  <c r="S661" i="16"/>
  <c r="T661" i="16"/>
  <c r="U661" i="16"/>
  <c r="P662" i="16"/>
  <c r="L664" i="16"/>
  <c r="M9" i="18" s="1"/>
  <c r="K665" i="16"/>
  <c r="E666" i="16"/>
  <c r="G666" i="16"/>
  <c r="H666" i="16"/>
  <c r="I666" i="16"/>
  <c r="J666" i="16"/>
  <c r="K666" i="16"/>
  <c r="L666" i="16"/>
  <c r="M666" i="16"/>
  <c r="N666" i="16"/>
  <c r="O666" i="16"/>
  <c r="P666" i="16"/>
  <c r="Q666" i="16"/>
  <c r="R666" i="16"/>
  <c r="S666" i="16"/>
  <c r="T666" i="16"/>
  <c r="U666" i="16"/>
  <c r="E668" i="16"/>
  <c r="G668" i="16"/>
  <c r="H668" i="16"/>
  <c r="I668" i="16"/>
  <c r="J668" i="16"/>
  <c r="K668" i="16"/>
  <c r="L668" i="16"/>
  <c r="M668" i="16"/>
  <c r="N668" i="16"/>
  <c r="O668" i="16"/>
  <c r="P668" i="16"/>
  <c r="Q668" i="16"/>
  <c r="R668" i="16"/>
  <c r="S668" i="16"/>
  <c r="T668" i="16"/>
  <c r="U668" i="16"/>
  <c r="E669" i="16"/>
  <c r="G669" i="16"/>
  <c r="H669" i="16"/>
  <c r="I669" i="16"/>
  <c r="J669" i="16"/>
  <c r="K669" i="16"/>
  <c r="L669" i="16"/>
  <c r="M669" i="16"/>
  <c r="N669" i="16"/>
  <c r="O669" i="16"/>
  <c r="P669" i="16"/>
  <c r="Q669" i="16"/>
  <c r="R669" i="16"/>
  <c r="S669" i="16"/>
  <c r="T669" i="16"/>
  <c r="U669" i="16"/>
  <c r="G670" i="16"/>
  <c r="E672" i="16"/>
  <c r="K673" i="16"/>
  <c r="E674" i="16"/>
  <c r="G674" i="16"/>
  <c r="H674" i="16"/>
  <c r="I674" i="16"/>
  <c r="J674" i="16"/>
  <c r="K674" i="16"/>
  <c r="L674" i="16"/>
  <c r="M674" i="16"/>
  <c r="N674" i="16"/>
  <c r="O674" i="16"/>
  <c r="P674" i="16"/>
  <c r="Q674" i="16"/>
  <c r="R674" i="16"/>
  <c r="S674" i="16"/>
  <c r="T674" i="16"/>
  <c r="U674" i="16"/>
  <c r="E675" i="16"/>
  <c r="G675" i="16"/>
  <c r="H675" i="16"/>
  <c r="I675" i="16"/>
  <c r="J675" i="16"/>
  <c r="K675" i="16"/>
  <c r="L675" i="16"/>
  <c r="M675" i="16"/>
  <c r="N675" i="16"/>
  <c r="O675" i="16"/>
  <c r="P675" i="16"/>
  <c r="Q675" i="16"/>
  <c r="R675" i="16"/>
  <c r="S675" i="16"/>
  <c r="T675" i="16"/>
  <c r="U675" i="16"/>
  <c r="E676" i="16"/>
  <c r="G676" i="16"/>
  <c r="H676" i="16"/>
  <c r="I676" i="16"/>
  <c r="J676" i="16"/>
  <c r="K676" i="16"/>
  <c r="L676" i="16"/>
  <c r="M676" i="16"/>
  <c r="N676" i="16"/>
  <c r="O676" i="16"/>
  <c r="P676" i="16"/>
  <c r="Q676" i="16"/>
  <c r="R676" i="16"/>
  <c r="S676" i="16"/>
  <c r="T676" i="16"/>
  <c r="U676" i="16"/>
  <c r="L677" i="16"/>
  <c r="E678" i="16"/>
  <c r="G678" i="16"/>
  <c r="H678" i="16"/>
  <c r="I678" i="16"/>
  <c r="J678" i="16"/>
  <c r="K678" i="16"/>
  <c r="L678" i="16"/>
  <c r="M678" i="16"/>
  <c r="N678" i="16"/>
  <c r="O678" i="16"/>
  <c r="P678" i="16"/>
  <c r="Q678" i="16"/>
  <c r="R678" i="16"/>
  <c r="S678" i="16"/>
  <c r="T678" i="16"/>
  <c r="U678" i="16"/>
  <c r="G679" i="16"/>
  <c r="E680" i="16"/>
  <c r="G680" i="16"/>
  <c r="H680" i="16"/>
  <c r="I680" i="16"/>
  <c r="J680" i="16"/>
  <c r="K680" i="16"/>
  <c r="L680" i="16"/>
  <c r="M680" i="16"/>
  <c r="N680" i="16"/>
  <c r="O680" i="16"/>
  <c r="P680" i="16"/>
  <c r="Q680" i="16"/>
  <c r="R680" i="16"/>
  <c r="S680" i="16"/>
  <c r="T680" i="16"/>
  <c r="U680" i="16"/>
  <c r="I682" i="16"/>
  <c r="E683" i="16"/>
  <c r="G683" i="16"/>
  <c r="H683" i="16"/>
  <c r="I683" i="16"/>
  <c r="J683" i="16"/>
  <c r="K683" i="16"/>
  <c r="L683" i="16"/>
  <c r="M683" i="16"/>
  <c r="N683" i="16"/>
  <c r="O683" i="16"/>
  <c r="P683" i="16"/>
  <c r="Q683" i="16"/>
  <c r="R683" i="16"/>
  <c r="S683" i="16"/>
  <c r="T683" i="16"/>
  <c r="U683" i="16"/>
  <c r="G684" i="16"/>
  <c r="T685" i="16"/>
  <c r="E687" i="16"/>
  <c r="G687" i="16"/>
  <c r="H687" i="16"/>
  <c r="I687" i="16"/>
  <c r="J687" i="16"/>
  <c r="K687" i="16"/>
  <c r="L687" i="16"/>
  <c r="M687" i="16"/>
  <c r="N687" i="16"/>
  <c r="O687" i="16"/>
  <c r="P687" i="16"/>
  <c r="Q687" i="16"/>
  <c r="R687" i="16"/>
  <c r="S687" i="16"/>
  <c r="T687" i="16"/>
  <c r="U687" i="16"/>
  <c r="S688" i="16"/>
  <c r="K689" i="16"/>
  <c r="E691" i="16"/>
  <c r="E692" i="16"/>
  <c r="G692" i="16"/>
  <c r="H692" i="16"/>
  <c r="I692" i="16"/>
  <c r="J692" i="16"/>
  <c r="K692" i="16"/>
  <c r="L692" i="16"/>
  <c r="M692" i="16"/>
  <c r="N692" i="16"/>
  <c r="O692" i="16"/>
  <c r="P692" i="16"/>
  <c r="Q692" i="16"/>
  <c r="R692" i="16"/>
  <c r="S692" i="16"/>
  <c r="T692" i="16"/>
  <c r="U692" i="16"/>
  <c r="E693" i="16"/>
  <c r="G693" i="16"/>
  <c r="H693" i="16"/>
  <c r="I693" i="16"/>
  <c r="J693" i="16"/>
  <c r="K693" i="16"/>
  <c r="L693" i="16"/>
  <c r="M693" i="16"/>
  <c r="N693" i="16"/>
  <c r="O693" i="16"/>
  <c r="P693" i="16"/>
  <c r="Q693" i="16"/>
  <c r="R693" i="16"/>
  <c r="S693" i="16"/>
  <c r="T693" i="16"/>
  <c r="U693" i="16"/>
  <c r="L694" i="16"/>
  <c r="H696" i="16"/>
  <c r="R698" i="16"/>
  <c r="E699" i="16"/>
  <c r="E700" i="16"/>
  <c r="G700" i="16"/>
  <c r="H700" i="16"/>
  <c r="I700" i="16"/>
  <c r="J700" i="16"/>
  <c r="K700" i="16"/>
  <c r="L700" i="16"/>
  <c r="M700" i="16"/>
  <c r="N700" i="16"/>
  <c r="O700" i="16"/>
  <c r="P700" i="16"/>
  <c r="Q700" i="16"/>
  <c r="R700" i="16"/>
  <c r="S700" i="16"/>
  <c r="T700" i="16"/>
  <c r="U700" i="16"/>
  <c r="E701" i="16"/>
  <c r="G701" i="16"/>
  <c r="H701" i="16"/>
  <c r="I701" i="16"/>
  <c r="J701" i="16"/>
  <c r="K701" i="16"/>
  <c r="L701" i="16"/>
  <c r="M701" i="16"/>
  <c r="N701" i="16"/>
  <c r="O701" i="16"/>
  <c r="P701" i="16"/>
  <c r="Q701" i="16"/>
  <c r="R701" i="16"/>
  <c r="S701" i="16"/>
  <c r="T701" i="16"/>
  <c r="U701" i="16"/>
  <c r="E702" i="16"/>
  <c r="G702" i="16"/>
  <c r="H702" i="16"/>
  <c r="I702" i="16"/>
  <c r="J702" i="16"/>
  <c r="K702" i="16"/>
  <c r="L702" i="16"/>
  <c r="M702" i="16"/>
  <c r="N702" i="16"/>
  <c r="O702" i="16"/>
  <c r="P702" i="16"/>
  <c r="Q702" i="16"/>
  <c r="R702" i="16"/>
  <c r="S702" i="16"/>
  <c r="T702" i="16"/>
  <c r="U702" i="16"/>
  <c r="Q703" i="16"/>
  <c r="E704" i="16"/>
  <c r="G704" i="16"/>
  <c r="H704" i="16"/>
  <c r="I704" i="16"/>
  <c r="J704" i="16"/>
  <c r="K704" i="16"/>
  <c r="L704" i="16"/>
  <c r="M704" i="16"/>
  <c r="N704" i="16"/>
  <c r="O704" i="16"/>
  <c r="P704" i="16"/>
  <c r="Q704" i="16"/>
  <c r="R704" i="16"/>
  <c r="S704" i="16"/>
  <c r="T704" i="16"/>
  <c r="U704" i="16"/>
  <c r="E705" i="16"/>
  <c r="G705" i="16"/>
  <c r="H705" i="16"/>
  <c r="I705" i="16"/>
  <c r="J705" i="16"/>
  <c r="K705" i="16"/>
  <c r="L705" i="16"/>
  <c r="M705" i="16"/>
  <c r="N705" i="16"/>
  <c r="O705" i="16"/>
  <c r="P705" i="16"/>
  <c r="Q705" i="16"/>
  <c r="R705" i="16"/>
  <c r="S705" i="16"/>
  <c r="T705" i="16"/>
  <c r="U705" i="16"/>
  <c r="E706" i="16"/>
  <c r="G706" i="16"/>
  <c r="H706" i="16"/>
  <c r="I706" i="16"/>
  <c r="J706" i="16"/>
  <c r="K706" i="16"/>
  <c r="L706" i="16"/>
  <c r="M706" i="16"/>
  <c r="N706" i="16"/>
  <c r="O706" i="16"/>
  <c r="P706" i="16"/>
  <c r="Q706" i="16"/>
  <c r="R706" i="16"/>
  <c r="S706" i="16"/>
  <c r="T706" i="16"/>
  <c r="U706" i="16"/>
  <c r="E707" i="16"/>
  <c r="G707" i="16"/>
  <c r="H707" i="16"/>
  <c r="I707" i="16"/>
  <c r="J707" i="16"/>
  <c r="K707" i="16"/>
  <c r="L707" i="16"/>
  <c r="M707" i="16"/>
  <c r="N707" i="16"/>
  <c r="O707" i="16"/>
  <c r="P707" i="16"/>
  <c r="Q707" i="16"/>
  <c r="R707" i="16"/>
  <c r="S707" i="16"/>
  <c r="T707" i="16"/>
  <c r="U707" i="16"/>
  <c r="E708" i="16"/>
  <c r="G708" i="16"/>
  <c r="H708" i="16"/>
  <c r="I708" i="16"/>
  <c r="J708" i="16"/>
  <c r="K708" i="16"/>
  <c r="L708" i="16"/>
  <c r="M708" i="16"/>
  <c r="N708" i="16"/>
  <c r="O708" i="16"/>
  <c r="P708" i="16"/>
  <c r="Q708" i="16"/>
  <c r="R708" i="16"/>
  <c r="S708" i="16"/>
  <c r="T708" i="16"/>
  <c r="U708" i="16"/>
  <c r="E709" i="16"/>
  <c r="G709" i="16"/>
  <c r="H709" i="16"/>
  <c r="I709" i="16"/>
  <c r="J709" i="16"/>
  <c r="K709" i="16"/>
  <c r="L709" i="16"/>
  <c r="M709" i="16"/>
  <c r="N709" i="16"/>
  <c r="O709" i="16"/>
  <c r="P709" i="16"/>
  <c r="Q709" i="16"/>
  <c r="R709" i="16"/>
  <c r="S709" i="16"/>
  <c r="T709" i="16"/>
  <c r="U709" i="16"/>
  <c r="P710" i="16"/>
  <c r="E711" i="16"/>
  <c r="G711" i="16"/>
  <c r="H711" i="16"/>
  <c r="I711" i="16"/>
  <c r="J711" i="16"/>
  <c r="K711" i="16"/>
  <c r="L711" i="16"/>
  <c r="M711" i="16"/>
  <c r="N711" i="16"/>
  <c r="O711" i="16"/>
  <c r="P711" i="16"/>
  <c r="Q711" i="16"/>
  <c r="R711" i="16"/>
  <c r="S711" i="16"/>
  <c r="T711" i="16"/>
  <c r="U711" i="16"/>
  <c r="E712" i="16"/>
  <c r="G712" i="16"/>
  <c r="H712" i="16"/>
  <c r="I712" i="16"/>
  <c r="J712" i="16"/>
  <c r="K712" i="16"/>
  <c r="L712" i="16"/>
  <c r="M712" i="16"/>
  <c r="N712" i="16"/>
  <c r="O712" i="16"/>
  <c r="P712" i="16"/>
  <c r="Q712" i="16"/>
  <c r="R712" i="16"/>
  <c r="S712" i="16"/>
  <c r="T712" i="16"/>
  <c r="U712" i="16"/>
  <c r="E714" i="16"/>
  <c r="G714" i="16"/>
  <c r="H714" i="16"/>
  <c r="I714" i="16"/>
  <c r="J714" i="16"/>
  <c r="K714" i="16"/>
  <c r="L714" i="16"/>
  <c r="M714" i="16"/>
  <c r="N714" i="16"/>
  <c r="O714" i="16"/>
  <c r="P714" i="16"/>
  <c r="Q714" i="16"/>
  <c r="R714" i="16"/>
  <c r="S714" i="16"/>
  <c r="T714" i="16"/>
  <c r="U714" i="16"/>
  <c r="E715" i="16"/>
  <c r="G715" i="16"/>
  <c r="H715" i="16"/>
  <c r="I715" i="16"/>
  <c r="J715" i="16"/>
  <c r="K715" i="16"/>
  <c r="L715" i="16"/>
  <c r="M715" i="16"/>
  <c r="N715" i="16"/>
  <c r="O715" i="16"/>
  <c r="P715" i="16"/>
  <c r="Q715" i="16"/>
  <c r="R715" i="16"/>
  <c r="S715" i="16"/>
  <c r="T715" i="16"/>
  <c r="U715" i="16"/>
  <c r="E716" i="16"/>
  <c r="G716" i="16"/>
  <c r="H716" i="16"/>
  <c r="I716" i="16"/>
  <c r="J716" i="16"/>
  <c r="K716" i="16"/>
  <c r="L716" i="16"/>
  <c r="M716" i="16"/>
  <c r="N716" i="16"/>
  <c r="O716" i="16"/>
  <c r="P716" i="16"/>
  <c r="Q716" i="16"/>
  <c r="R716" i="16"/>
  <c r="S716" i="16"/>
  <c r="T716" i="16"/>
  <c r="U716" i="16"/>
  <c r="E718" i="16"/>
  <c r="G718" i="16"/>
  <c r="H718" i="16"/>
  <c r="I718" i="16"/>
  <c r="J718" i="16"/>
  <c r="K718" i="16"/>
  <c r="L718" i="16"/>
  <c r="M718" i="16"/>
  <c r="N718" i="16"/>
  <c r="O718" i="16"/>
  <c r="P718" i="16"/>
  <c r="Q718" i="16"/>
  <c r="R718" i="16"/>
  <c r="S718" i="16"/>
  <c r="T718" i="16"/>
  <c r="U718" i="16"/>
  <c r="E719" i="16"/>
  <c r="G719" i="16"/>
  <c r="H719" i="16"/>
  <c r="I719" i="16"/>
  <c r="J719" i="16"/>
  <c r="K719" i="16"/>
  <c r="L719" i="16"/>
  <c r="M719" i="16"/>
  <c r="N719" i="16"/>
  <c r="O719" i="16"/>
  <c r="P719" i="16"/>
  <c r="Q719" i="16"/>
  <c r="R719" i="16"/>
  <c r="S719" i="16"/>
  <c r="T719" i="16"/>
  <c r="U719" i="16"/>
  <c r="N721" i="16"/>
  <c r="E722" i="16"/>
  <c r="G722" i="16"/>
  <c r="H722" i="16"/>
  <c r="I722" i="16"/>
  <c r="J722" i="16"/>
  <c r="K722" i="16"/>
  <c r="L722" i="16"/>
  <c r="M722" i="16"/>
  <c r="N722" i="16"/>
  <c r="O722" i="16"/>
  <c r="P722" i="16"/>
  <c r="Q722" i="16"/>
  <c r="R722" i="16"/>
  <c r="S722" i="16"/>
  <c r="T722" i="16"/>
  <c r="U722" i="16"/>
  <c r="E723" i="16"/>
  <c r="G723" i="16"/>
  <c r="H723" i="16"/>
  <c r="I723" i="16"/>
  <c r="J723" i="16"/>
  <c r="K723" i="16"/>
  <c r="L723" i="16"/>
  <c r="M723" i="16"/>
  <c r="N723" i="16"/>
  <c r="O723" i="16"/>
  <c r="P723" i="16"/>
  <c r="Q723" i="16"/>
  <c r="R723" i="16"/>
  <c r="S723" i="16"/>
  <c r="T723" i="16"/>
  <c r="U723" i="16"/>
  <c r="E724" i="16"/>
  <c r="G724" i="16"/>
  <c r="H724" i="16"/>
  <c r="I724" i="16"/>
  <c r="J724" i="16"/>
  <c r="K724" i="16"/>
  <c r="L724" i="16"/>
  <c r="M724" i="16"/>
  <c r="N724" i="16"/>
  <c r="O724" i="16"/>
  <c r="P724" i="16"/>
  <c r="Q724" i="16"/>
  <c r="R724" i="16"/>
  <c r="S724" i="16"/>
  <c r="T724" i="16"/>
  <c r="U724" i="16"/>
  <c r="P725" i="16"/>
  <c r="E726" i="16"/>
  <c r="G726" i="16"/>
  <c r="H726" i="16"/>
  <c r="I726" i="16"/>
  <c r="J726" i="16"/>
  <c r="K726" i="16"/>
  <c r="L726" i="16"/>
  <c r="M726" i="16"/>
  <c r="N726" i="16"/>
  <c r="O726" i="16"/>
  <c r="P726" i="16"/>
  <c r="Q726" i="16"/>
  <c r="R726" i="16"/>
  <c r="S726" i="16"/>
  <c r="T726" i="16"/>
  <c r="U726" i="16"/>
  <c r="Q727" i="16"/>
  <c r="E728" i="16"/>
  <c r="G728" i="16"/>
  <c r="H728" i="16"/>
  <c r="I728" i="16"/>
  <c r="J728" i="16"/>
  <c r="K728" i="16"/>
  <c r="L728" i="16"/>
  <c r="M728" i="16"/>
  <c r="N728" i="16"/>
  <c r="O728" i="16"/>
  <c r="P728" i="16"/>
  <c r="Q728" i="16"/>
  <c r="R728" i="16"/>
  <c r="S728" i="16"/>
  <c r="T728" i="16"/>
  <c r="U728" i="16"/>
  <c r="E729" i="16"/>
  <c r="G729" i="16"/>
  <c r="H729" i="16"/>
  <c r="I729" i="16"/>
  <c r="J729" i="16"/>
  <c r="K729" i="16"/>
  <c r="L729" i="16"/>
  <c r="M729" i="16"/>
  <c r="N729" i="16"/>
  <c r="O729" i="16"/>
  <c r="P729" i="16"/>
  <c r="Q729" i="16"/>
  <c r="R729" i="16"/>
  <c r="S729" i="16"/>
  <c r="T729" i="16"/>
  <c r="U729" i="16"/>
  <c r="E730" i="16"/>
  <c r="G730" i="16"/>
  <c r="H730" i="16"/>
  <c r="I730" i="16"/>
  <c r="J730" i="16"/>
  <c r="K730" i="16"/>
  <c r="L730" i="16"/>
  <c r="M730" i="16"/>
  <c r="N730" i="16"/>
  <c r="O730" i="16"/>
  <c r="P730" i="16"/>
  <c r="Q730" i="16"/>
  <c r="R730" i="16"/>
  <c r="S730" i="16"/>
  <c r="T730" i="16"/>
  <c r="U730" i="16"/>
  <c r="E731" i="16"/>
  <c r="G731" i="16"/>
  <c r="H731" i="16"/>
  <c r="I731" i="16"/>
  <c r="J731" i="16"/>
  <c r="K731" i="16"/>
  <c r="L731" i="16"/>
  <c r="M731" i="16"/>
  <c r="N731" i="16"/>
  <c r="O731" i="16"/>
  <c r="P731" i="16"/>
  <c r="Q731" i="16"/>
  <c r="R731" i="16"/>
  <c r="S731" i="16"/>
  <c r="T731" i="16"/>
  <c r="U731" i="16"/>
  <c r="E732" i="16"/>
  <c r="G732" i="16"/>
  <c r="H732" i="16"/>
  <c r="I732" i="16"/>
  <c r="J732" i="16"/>
  <c r="K732" i="16"/>
  <c r="L732" i="16"/>
  <c r="M732" i="16"/>
  <c r="N732" i="16"/>
  <c r="O732" i="16"/>
  <c r="P732" i="16"/>
  <c r="Q732" i="16"/>
  <c r="R732" i="16"/>
  <c r="S732" i="16"/>
  <c r="T732" i="16"/>
  <c r="U732" i="16"/>
  <c r="E734" i="16"/>
  <c r="G734" i="16"/>
  <c r="H734" i="16"/>
  <c r="I734" i="16"/>
  <c r="J734" i="16"/>
  <c r="K734" i="16"/>
  <c r="L734" i="16"/>
  <c r="M734" i="16"/>
  <c r="N734" i="16"/>
  <c r="O734" i="16"/>
  <c r="P734" i="16"/>
  <c r="Q734" i="16"/>
  <c r="R734" i="16"/>
  <c r="S734" i="16"/>
  <c r="T734" i="16"/>
  <c r="U734" i="16"/>
  <c r="E735" i="16"/>
  <c r="G735" i="16"/>
  <c r="H735" i="16"/>
  <c r="I735" i="16"/>
  <c r="J735" i="16"/>
  <c r="K735" i="16"/>
  <c r="L735" i="16"/>
  <c r="M735" i="16"/>
  <c r="N735" i="16"/>
  <c r="O735" i="16"/>
  <c r="P735" i="16"/>
  <c r="Q735" i="16"/>
  <c r="R735" i="16"/>
  <c r="S735" i="16"/>
  <c r="T735" i="16"/>
  <c r="U735" i="16"/>
  <c r="E736" i="16"/>
  <c r="G736" i="16"/>
  <c r="H736" i="16"/>
  <c r="I736" i="16"/>
  <c r="J736" i="16"/>
  <c r="K736" i="16"/>
  <c r="L736" i="16"/>
  <c r="M736" i="16"/>
  <c r="N736" i="16"/>
  <c r="O736" i="16"/>
  <c r="P736" i="16"/>
  <c r="Q736" i="16"/>
  <c r="R736" i="16"/>
  <c r="S736" i="16"/>
  <c r="T736" i="16"/>
  <c r="U736" i="16"/>
  <c r="E737" i="16"/>
  <c r="G737" i="16"/>
  <c r="H737" i="16"/>
  <c r="I737" i="16"/>
  <c r="J737" i="16"/>
  <c r="K737" i="16"/>
  <c r="L737" i="16"/>
  <c r="M737" i="16"/>
  <c r="N737" i="16"/>
  <c r="O737" i="16"/>
  <c r="P737" i="16"/>
  <c r="Q737" i="16"/>
  <c r="R737" i="16"/>
  <c r="S737" i="16"/>
  <c r="T737" i="16"/>
  <c r="U737" i="16"/>
  <c r="E738" i="16"/>
  <c r="G738" i="16"/>
  <c r="H738" i="16"/>
  <c r="I738" i="16"/>
  <c r="J738" i="16"/>
  <c r="K738" i="16"/>
  <c r="L738" i="16"/>
  <c r="M738" i="16"/>
  <c r="N738" i="16"/>
  <c r="O738" i="16"/>
  <c r="P738" i="16"/>
  <c r="Q738" i="16"/>
  <c r="R738" i="16"/>
  <c r="S738" i="16"/>
  <c r="T738" i="16"/>
  <c r="U738" i="16"/>
  <c r="E739" i="16"/>
  <c r="G739" i="16"/>
  <c r="H739" i="16"/>
  <c r="I739" i="16"/>
  <c r="J739" i="16"/>
  <c r="K739" i="16"/>
  <c r="L739" i="16"/>
  <c r="M739" i="16"/>
  <c r="N739" i="16"/>
  <c r="O739" i="16"/>
  <c r="P739" i="16"/>
  <c r="Q739" i="16"/>
  <c r="R739" i="16"/>
  <c r="S739" i="16"/>
  <c r="T739" i="16"/>
  <c r="U739" i="16"/>
  <c r="E740" i="16"/>
  <c r="G740" i="16"/>
  <c r="H740" i="16"/>
  <c r="I740" i="16"/>
  <c r="J740" i="16"/>
  <c r="K740" i="16"/>
  <c r="L740" i="16"/>
  <c r="M740" i="16"/>
  <c r="N740" i="16"/>
  <c r="O740" i="16"/>
  <c r="P740" i="16"/>
  <c r="Q740" i="16"/>
  <c r="R740" i="16"/>
  <c r="S740" i="16"/>
  <c r="T740" i="16"/>
  <c r="U740" i="16"/>
  <c r="K741" i="16"/>
  <c r="O742" i="16"/>
  <c r="E743" i="16"/>
  <c r="G743" i="16"/>
  <c r="H743" i="16"/>
  <c r="I743" i="16"/>
  <c r="J743" i="16"/>
  <c r="K743" i="16"/>
  <c r="L743" i="16"/>
  <c r="M743" i="16"/>
  <c r="N743" i="16"/>
  <c r="O743" i="16"/>
  <c r="P743" i="16"/>
  <c r="Q743" i="16"/>
  <c r="R743" i="16"/>
  <c r="S743" i="16"/>
  <c r="T743" i="16"/>
  <c r="U743" i="16"/>
  <c r="E744" i="16"/>
  <c r="G744" i="16"/>
  <c r="H744" i="16"/>
  <c r="I744" i="16"/>
  <c r="J744" i="16"/>
  <c r="K744" i="16"/>
  <c r="L744" i="16"/>
  <c r="M744" i="16"/>
  <c r="N744" i="16"/>
  <c r="O744" i="16"/>
  <c r="P744" i="16"/>
  <c r="Q744" i="16"/>
  <c r="R744" i="16"/>
  <c r="S744" i="16"/>
  <c r="T744" i="16"/>
  <c r="U744" i="16"/>
  <c r="E745" i="16"/>
  <c r="G745" i="16"/>
  <c r="H745" i="16"/>
  <c r="I745" i="16"/>
  <c r="J745" i="16"/>
  <c r="K745" i="16"/>
  <c r="L745" i="16"/>
  <c r="M745" i="16"/>
  <c r="N745" i="16"/>
  <c r="O745" i="16"/>
  <c r="P745" i="16"/>
  <c r="Q745" i="16"/>
  <c r="R745" i="16"/>
  <c r="S745" i="16"/>
  <c r="T745" i="16"/>
  <c r="U745" i="16"/>
  <c r="Q747" i="16"/>
  <c r="E748" i="16"/>
  <c r="G748" i="16"/>
  <c r="H748" i="16"/>
  <c r="I748" i="16"/>
  <c r="J748" i="16"/>
  <c r="K748" i="16"/>
  <c r="L748" i="16"/>
  <c r="M748" i="16"/>
  <c r="N748" i="16"/>
  <c r="O748" i="16"/>
  <c r="P748" i="16"/>
  <c r="Q748" i="16"/>
  <c r="R748" i="16"/>
  <c r="S748" i="16"/>
  <c r="T748" i="16"/>
  <c r="U748" i="16"/>
  <c r="J749" i="16"/>
  <c r="E750" i="16"/>
  <c r="G750" i="16"/>
  <c r="H750" i="16"/>
  <c r="I750" i="16"/>
  <c r="J750" i="16"/>
  <c r="K750" i="16"/>
  <c r="L750" i="16"/>
  <c r="M750" i="16"/>
  <c r="N750" i="16"/>
  <c r="O750" i="16"/>
  <c r="P750" i="16"/>
  <c r="Q750" i="16"/>
  <c r="R750" i="16"/>
  <c r="S750" i="16"/>
  <c r="T750" i="16"/>
  <c r="U750" i="16"/>
  <c r="K751" i="16"/>
  <c r="E752" i="16"/>
  <c r="G752" i="16"/>
  <c r="H752" i="16"/>
  <c r="I752" i="16"/>
  <c r="J752" i="16"/>
  <c r="K752" i="16"/>
  <c r="L752" i="16"/>
  <c r="M752" i="16"/>
  <c r="N752" i="16"/>
  <c r="O752" i="16"/>
  <c r="P752" i="16"/>
  <c r="Q752" i="16"/>
  <c r="R752" i="16"/>
  <c r="S752" i="16"/>
  <c r="T752" i="16"/>
  <c r="U752" i="16"/>
  <c r="E753" i="16"/>
  <c r="G753" i="16"/>
  <c r="H753" i="16"/>
  <c r="I753" i="16"/>
  <c r="J753" i="16"/>
  <c r="K753" i="16"/>
  <c r="L753" i="16"/>
  <c r="M753" i="16"/>
  <c r="N753" i="16"/>
  <c r="O753" i="16"/>
  <c r="P753" i="16"/>
  <c r="Q753" i="16"/>
  <c r="R753" i="16"/>
  <c r="S753" i="16"/>
  <c r="T753" i="16"/>
  <c r="U753" i="16"/>
  <c r="E754" i="16"/>
  <c r="G754" i="16"/>
  <c r="H754" i="16"/>
  <c r="I754" i="16"/>
  <c r="J754" i="16"/>
  <c r="K754" i="16"/>
  <c r="L754" i="16"/>
  <c r="M754" i="16"/>
  <c r="N754" i="16"/>
  <c r="O754" i="16"/>
  <c r="P754" i="16"/>
  <c r="Q754" i="16"/>
  <c r="R754" i="16"/>
  <c r="S754" i="16"/>
  <c r="T754" i="16"/>
  <c r="U754" i="16"/>
  <c r="U755" i="16"/>
  <c r="E756" i="16"/>
  <c r="G756" i="16"/>
  <c r="H756" i="16"/>
  <c r="I756" i="16"/>
  <c r="J756" i="16"/>
  <c r="K756" i="16"/>
  <c r="L756" i="16"/>
  <c r="M756" i="16"/>
  <c r="N756" i="16"/>
  <c r="O756" i="16"/>
  <c r="P756" i="16"/>
  <c r="Q756" i="16"/>
  <c r="R756" i="16"/>
  <c r="S756" i="16"/>
  <c r="T756" i="16"/>
  <c r="U756" i="16"/>
  <c r="Q757" i="16"/>
  <c r="E758" i="16"/>
  <c r="G758" i="16"/>
  <c r="H758" i="16"/>
  <c r="I758" i="16"/>
  <c r="J758" i="16"/>
  <c r="K758" i="16"/>
  <c r="L758" i="16"/>
  <c r="M758" i="16"/>
  <c r="N758" i="16"/>
  <c r="O758" i="16"/>
  <c r="P758" i="16"/>
  <c r="Q758" i="16"/>
  <c r="R758" i="16"/>
  <c r="S758" i="16"/>
  <c r="T758" i="16"/>
  <c r="U758" i="16"/>
  <c r="L759" i="16"/>
  <c r="E760" i="16"/>
  <c r="G760" i="16"/>
  <c r="H760" i="16"/>
  <c r="I760" i="16"/>
  <c r="J760" i="16"/>
  <c r="K760" i="16"/>
  <c r="L760" i="16"/>
  <c r="M760" i="16"/>
  <c r="N760" i="16"/>
  <c r="O760" i="16"/>
  <c r="P760" i="16"/>
  <c r="Q760" i="16"/>
  <c r="R760" i="16"/>
  <c r="S760" i="16"/>
  <c r="T760" i="16"/>
  <c r="U760" i="16"/>
  <c r="E761" i="16"/>
  <c r="G761" i="16"/>
  <c r="H761" i="16"/>
  <c r="I761" i="16"/>
  <c r="J761" i="16"/>
  <c r="K761" i="16"/>
  <c r="L761" i="16"/>
  <c r="M761" i="16"/>
  <c r="N761" i="16"/>
  <c r="O761" i="16"/>
  <c r="P761" i="16"/>
  <c r="Q761" i="16"/>
  <c r="R761" i="16"/>
  <c r="S761" i="16"/>
  <c r="T761" i="16"/>
  <c r="U761" i="16"/>
  <c r="E762" i="16"/>
  <c r="G762" i="16"/>
  <c r="H762" i="16"/>
  <c r="I762" i="16"/>
  <c r="J762" i="16"/>
  <c r="K762" i="16"/>
  <c r="L762" i="16"/>
  <c r="M762" i="16"/>
  <c r="N762" i="16"/>
  <c r="O762" i="16"/>
  <c r="P762" i="16"/>
  <c r="Q762" i="16"/>
  <c r="R762" i="16"/>
  <c r="S762" i="16"/>
  <c r="T762" i="16"/>
  <c r="U762" i="16"/>
  <c r="I763" i="16"/>
  <c r="G764" i="16"/>
  <c r="G765" i="16"/>
  <c r="T766" i="16"/>
  <c r="E767" i="16"/>
  <c r="G767" i="16"/>
  <c r="H767" i="16"/>
  <c r="I767" i="16"/>
  <c r="J767" i="16"/>
  <c r="K767" i="16"/>
  <c r="L767" i="16"/>
  <c r="M767" i="16"/>
  <c r="N767" i="16"/>
  <c r="O767" i="16"/>
  <c r="P767" i="16"/>
  <c r="Q767" i="16"/>
  <c r="R767" i="16"/>
  <c r="S767" i="16"/>
  <c r="T767" i="16"/>
  <c r="U767" i="16"/>
  <c r="T768" i="16"/>
  <c r="E769" i="16"/>
  <c r="G769" i="16"/>
  <c r="H769" i="16"/>
  <c r="I769" i="16"/>
  <c r="J769" i="16"/>
  <c r="K769" i="16"/>
  <c r="L769" i="16"/>
  <c r="M769" i="16"/>
  <c r="N769" i="16"/>
  <c r="O769" i="16"/>
  <c r="P769" i="16"/>
  <c r="Q769" i="16"/>
  <c r="R769" i="16"/>
  <c r="S769" i="16"/>
  <c r="T769" i="16"/>
  <c r="U769" i="16"/>
  <c r="P770" i="16"/>
  <c r="E771" i="16"/>
  <c r="G771" i="16"/>
  <c r="H771" i="16"/>
  <c r="I771" i="16"/>
  <c r="J771" i="16"/>
  <c r="K771" i="16"/>
  <c r="L771" i="16"/>
  <c r="M771" i="16"/>
  <c r="N771" i="16"/>
  <c r="O771" i="16"/>
  <c r="P771" i="16"/>
  <c r="Q771" i="16"/>
  <c r="R771" i="16"/>
  <c r="S771" i="16"/>
  <c r="T771" i="16"/>
  <c r="U771" i="16"/>
  <c r="I773" i="16"/>
  <c r="E774" i="16"/>
  <c r="G774" i="16"/>
  <c r="H774" i="16"/>
  <c r="I774" i="16"/>
  <c r="J774" i="16"/>
  <c r="K774" i="16"/>
  <c r="L774" i="16"/>
  <c r="M774" i="16"/>
  <c r="N774" i="16"/>
  <c r="O774" i="16"/>
  <c r="P774" i="16"/>
  <c r="Q774" i="16"/>
  <c r="R774" i="16"/>
  <c r="S774" i="16"/>
  <c r="T774" i="16"/>
  <c r="U774" i="16"/>
  <c r="Q776" i="16"/>
  <c r="E777" i="16"/>
  <c r="G777" i="16"/>
  <c r="H777" i="16"/>
  <c r="I777" i="16"/>
  <c r="J777" i="16"/>
  <c r="K777" i="16"/>
  <c r="L777" i="16"/>
  <c r="M777" i="16"/>
  <c r="N777" i="16"/>
  <c r="O777" i="16"/>
  <c r="P777" i="16"/>
  <c r="Q777" i="16"/>
  <c r="R777" i="16"/>
  <c r="S777" i="16"/>
  <c r="T777" i="16"/>
  <c r="U777" i="16"/>
  <c r="T778" i="16"/>
  <c r="E779" i="16"/>
  <c r="G779" i="16"/>
  <c r="H779" i="16"/>
  <c r="I779" i="16"/>
  <c r="J779" i="16"/>
  <c r="K779" i="16"/>
  <c r="L779" i="16"/>
  <c r="M779" i="16"/>
  <c r="N779" i="16"/>
  <c r="O779" i="16"/>
  <c r="P779" i="16"/>
  <c r="Q779" i="16"/>
  <c r="R779" i="16"/>
  <c r="S779" i="16"/>
  <c r="T779" i="16"/>
  <c r="U779" i="16"/>
  <c r="Q780" i="16"/>
  <c r="E781" i="16"/>
  <c r="G781" i="16"/>
  <c r="H781" i="16"/>
  <c r="I781" i="16"/>
  <c r="J781" i="16"/>
  <c r="K781" i="16"/>
  <c r="L781" i="16"/>
  <c r="M781" i="16"/>
  <c r="N781" i="16"/>
  <c r="O781" i="16"/>
  <c r="P781" i="16"/>
  <c r="Q781" i="16"/>
  <c r="R781" i="16"/>
  <c r="S781" i="16"/>
  <c r="T781" i="16"/>
  <c r="U781" i="16"/>
  <c r="E782" i="16"/>
  <c r="G782" i="16"/>
  <c r="H782" i="16"/>
  <c r="I782" i="16"/>
  <c r="J782" i="16"/>
  <c r="K782" i="16"/>
  <c r="L782" i="16"/>
  <c r="M782" i="16"/>
  <c r="N782" i="16"/>
  <c r="O782" i="16"/>
  <c r="P782" i="16"/>
  <c r="Q782" i="16"/>
  <c r="R782" i="16"/>
  <c r="S782" i="16"/>
  <c r="T782" i="16"/>
  <c r="U782" i="16"/>
  <c r="Q783" i="16"/>
  <c r="E784" i="16"/>
  <c r="G784" i="16"/>
  <c r="H784" i="16"/>
  <c r="I784" i="16"/>
  <c r="J784" i="16"/>
  <c r="K784" i="16"/>
  <c r="L784" i="16"/>
  <c r="M784" i="16"/>
  <c r="N784" i="16"/>
  <c r="O784" i="16"/>
  <c r="P784" i="16"/>
  <c r="Q784" i="16"/>
  <c r="R784" i="16"/>
  <c r="S784" i="16"/>
  <c r="T784" i="16"/>
  <c r="U784" i="16"/>
  <c r="E785" i="16"/>
  <c r="G785" i="16"/>
  <c r="H785" i="16"/>
  <c r="I785" i="16"/>
  <c r="J785" i="16"/>
  <c r="K785" i="16"/>
  <c r="L785" i="16"/>
  <c r="M785" i="16"/>
  <c r="N785" i="16"/>
  <c r="O785" i="16"/>
  <c r="P785" i="16"/>
  <c r="Q785" i="16"/>
  <c r="R785" i="16"/>
  <c r="S785" i="16"/>
  <c r="T785" i="16"/>
  <c r="U785" i="16"/>
  <c r="Q786" i="16"/>
  <c r="R787" i="16"/>
  <c r="S12" i="18" s="1"/>
  <c r="E788" i="16"/>
  <c r="G788" i="16"/>
  <c r="H788" i="16"/>
  <c r="I788" i="16"/>
  <c r="J788" i="16"/>
  <c r="K788" i="16"/>
  <c r="L788" i="16"/>
  <c r="M788" i="16"/>
  <c r="N788" i="16"/>
  <c r="O788" i="16"/>
  <c r="P788" i="16"/>
  <c r="Q788" i="16"/>
  <c r="R788" i="16"/>
  <c r="S788" i="16"/>
  <c r="T788" i="16"/>
  <c r="U788" i="16"/>
  <c r="L789" i="16"/>
  <c r="Q790" i="16"/>
  <c r="E791" i="16"/>
  <c r="G791" i="16"/>
  <c r="H791" i="16"/>
  <c r="I791" i="16"/>
  <c r="J791" i="16"/>
  <c r="K791" i="16"/>
  <c r="L791" i="16"/>
  <c r="M791" i="16"/>
  <c r="N791" i="16"/>
  <c r="O791" i="16"/>
  <c r="P791" i="16"/>
  <c r="Q791" i="16"/>
  <c r="R791" i="16"/>
  <c r="S791" i="16"/>
  <c r="T791" i="16"/>
  <c r="U791" i="16"/>
  <c r="E793" i="16"/>
  <c r="G793" i="16"/>
  <c r="H793" i="16"/>
  <c r="I793" i="16"/>
  <c r="J793" i="16"/>
  <c r="K793" i="16"/>
  <c r="L793" i="16"/>
  <c r="M793" i="16"/>
  <c r="N793" i="16"/>
  <c r="O793" i="16"/>
  <c r="P793" i="16"/>
  <c r="Q793" i="16"/>
  <c r="R793" i="16"/>
  <c r="S793" i="16"/>
  <c r="T793" i="16"/>
  <c r="U793" i="16"/>
  <c r="O794" i="16"/>
  <c r="L795" i="16"/>
  <c r="P796" i="16"/>
  <c r="K797" i="16"/>
  <c r="T797" i="16"/>
  <c r="E798" i="16"/>
  <c r="E799" i="16"/>
  <c r="G799" i="16"/>
  <c r="H799" i="16"/>
  <c r="I799" i="16"/>
  <c r="J799" i="16"/>
  <c r="K799" i="16"/>
  <c r="L799" i="16"/>
  <c r="M799" i="16"/>
  <c r="N799" i="16"/>
  <c r="O799" i="16"/>
  <c r="P799" i="16"/>
  <c r="Q799" i="16"/>
  <c r="R799" i="16"/>
  <c r="S799" i="16"/>
  <c r="T799" i="16"/>
  <c r="U799" i="16"/>
  <c r="E800" i="16"/>
  <c r="G800" i="16"/>
  <c r="H800" i="16"/>
  <c r="I800" i="16"/>
  <c r="J800" i="16"/>
  <c r="K800" i="16"/>
  <c r="L800" i="16"/>
  <c r="M800" i="16"/>
  <c r="N800" i="16"/>
  <c r="O800" i="16"/>
  <c r="P800" i="16"/>
  <c r="Q800" i="16"/>
  <c r="R800" i="16"/>
  <c r="S800" i="16"/>
  <c r="T800" i="16"/>
  <c r="U800" i="16"/>
  <c r="E801" i="16"/>
  <c r="G801" i="16"/>
  <c r="H801" i="16"/>
  <c r="I801" i="16"/>
  <c r="J801" i="16"/>
  <c r="K801" i="16"/>
  <c r="L801" i="16"/>
  <c r="M801" i="16"/>
  <c r="N801" i="16"/>
  <c r="O801" i="16"/>
  <c r="P801" i="16"/>
  <c r="Q801" i="16"/>
  <c r="R801" i="16"/>
  <c r="S801" i="16"/>
  <c r="T801" i="16"/>
  <c r="U801" i="16"/>
  <c r="E803" i="16"/>
  <c r="G803" i="16"/>
  <c r="H803" i="16"/>
  <c r="I803" i="16"/>
  <c r="J803" i="16"/>
  <c r="K803" i="16"/>
  <c r="L803" i="16"/>
  <c r="M803" i="16"/>
  <c r="N803" i="16"/>
  <c r="O803" i="16"/>
  <c r="P803" i="16"/>
  <c r="Q803" i="16"/>
  <c r="R803" i="16"/>
  <c r="S803" i="16"/>
  <c r="T803" i="16"/>
  <c r="U803" i="16"/>
  <c r="E804" i="16"/>
  <c r="G804" i="16"/>
  <c r="H804" i="16"/>
  <c r="I804" i="16"/>
  <c r="J804" i="16"/>
  <c r="K804" i="16"/>
  <c r="L804" i="16"/>
  <c r="M804" i="16"/>
  <c r="N804" i="16"/>
  <c r="O804" i="16"/>
  <c r="P804" i="16"/>
  <c r="Q804" i="16"/>
  <c r="R804" i="16"/>
  <c r="S804" i="16"/>
  <c r="T804" i="16"/>
  <c r="U804" i="16"/>
  <c r="E805" i="16"/>
  <c r="G805" i="16"/>
  <c r="H805" i="16"/>
  <c r="I805" i="16"/>
  <c r="J805" i="16"/>
  <c r="K805" i="16"/>
  <c r="L805" i="16"/>
  <c r="M805" i="16"/>
  <c r="N805" i="16"/>
  <c r="O805" i="16"/>
  <c r="P805" i="16"/>
  <c r="Q805" i="16"/>
  <c r="R805" i="16"/>
  <c r="S805" i="16"/>
  <c r="T805" i="16"/>
  <c r="U805" i="16"/>
  <c r="E807" i="16"/>
  <c r="G807" i="16"/>
  <c r="H807" i="16"/>
  <c r="I807" i="16"/>
  <c r="J807" i="16"/>
  <c r="K807" i="16"/>
  <c r="L807" i="16"/>
  <c r="M807" i="16"/>
  <c r="N807" i="16"/>
  <c r="O807" i="16"/>
  <c r="P807" i="16"/>
  <c r="Q807" i="16"/>
  <c r="R807" i="16"/>
  <c r="S807" i="16"/>
  <c r="T807" i="16"/>
  <c r="U807" i="16"/>
  <c r="E809" i="16"/>
  <c r="G809" i="16"/>
  <c r="H809" i="16"/>
  <c r="I809" i="16"/>
  <c r="J809" i="16"/>
  <c r="K809" i="16"/>
  <c r="L809" i="16"/>
  <c r="M809" i="16"/>
  <c r="N809" i="16"/>
  <c r="O809" i="16"/>
  <c r="P809" i="16"/>
  <c r="Q809" i="16"/>
  <c r="R809" i="16"/>
  <c r="S809" i="16"/>
  <c r="T809" i="16"/>
  <c r="U809" i="16"/>
  <c r="E810" i="16"/>
  <c r="G810" i="16"/>
  <c r="H810" i="16"/>
  <c r="I810" i="16"/>
  <c r="J810" i="16"/>
  <c r="K810" i="16"/>
  <c r="L810" i="16"/>
  <c r="M810" i="16"/>
  <c r="N810" i="16"/>
  <c r="O810" i="16"/>
  <c r="P810" i="16"/>
  <c r="Q810" i="16"/>
  <c r="R810" i="16"/>
  <c r="S810" i="16"/>
  <c r="T810" i="16"/>
  <c r="U810" i="16"/>
  <c r="E812" i="16"/>
  <c r="G812" i="16"/>
  <c r="H812" i="16"/>
  <c r="I812" i="16"/>
  <c r="J812" i="16"/>
  <c r="K812" i="16"/>
  <c r="L812" i="16"/>
  <c r="M812" i="16"/>
  <c r="N812" i="16"/>
  <c r="O812" i="16"/>
  <c r="P812" i="16"/>
  <c r="Q812" i="16"/>
  <c r="R812" i="16"/>
  <c r="S812" i="16"/>
  <c r="T812" i="16"/>
  <c r="U812" i="16"/>
  <c r="E814" i="16"/>
  <c r="G814" i="16"/>
  <c r="H814" i="16"/>
  <c r="I814" i="16"/>
  <c r="J814" i="16"/>
  <c r="K814" i="16"/>
  <c r="L814" i="16"/>
  <c r="M814" i="16"/>
  <c r="N814" i="16"/>
  <c r="O814" i="16"/>
  <c r="P814" i="16"/>
  <c r="Q814" i="16"/>
  <c r="R814" i="16"/>
  <c r="S814" i="16"/>
  <c r="T814" i="16"/>
  <c r="U814" i="16"/>
  <c r="E815" i="16"/>
  <c r="G815" i="16"/>
  <c r="H815" i="16"/>
  <c r="I815" i="16"/>
  <c r="J815" i="16"/>
  <c r="K815" i="16"/>
  <c r="L815" i="16"/>
  <c r="M815" i="16"/>
  <c r="N815" i="16"/>
  <c r="O815" i="16"/>
  <c r="P815" i="16"/>
  <c r="Q815" i="16"/>
  <c r="R815" i="16"/>
  <c r="S815" i="16"/>
  <c r="T815" i="16"/>
  <c r="U815" i="16"/>
  <c r="E816" i="16"/>
  <c r="G816" i="16"/>
  <c r="H816" i="16"/>
  <c r="I816" i="16"/>
  <c r="J816" i="16"/>
  <c r="K816" i="16"/>
  <c r="L816" i="16"/>
  <c r="M816" i="16"/>
  <c r="N816" i="16"/>
  <c r="O816" i="16"/>
  <c r="P816" i="16"/>
  <c r="Q816" i="16"/>
  <c r="R816" i="16"/>
  <c r="S816" i="16"/>
  <c r="T816" i="16"/>
  <c r="U816" i="16"/>
  <c r="E817" i="16"/>
  <c r="G817" i="16"/>
  <c r="H817" i="16"/>
  <c r="I817" i="16"/>
  <c r="J817" i="16"/>
  <c r="K817" i="16"/>
  <c r="L817" i="16"/>
  <c r="M817" i="16"/>
  <c r="N817" i="16"/>
  <c r="O817" i="16"/>
  <c r="P817" i="16"/>
  <c r="Q817" i="16"/>
  <c r="R817" i="16"/>
  <c r="S817" i="16"/>
  <c r="T817" i="16"/>
  <c r="U817" i="16"/>
  <c r="E818" i="16"/>
  <c r="G818" i="16"/>
  <c r="H818" i="16"/>
  <c r="I818" i="16"/>
  <c r="J818" i="16"/>
  <c r="K818" i="16"/>
  <c r="L818" i="16"/>
  <c r="M818" i="16"/>
  <c r="N818" i="16"/>
  <c r="O818" i="16"/>
  <c r="P818" i="16"/>
  <c r="Q818" i="16"/>
  <c r="R818" i="16"/>
  <c r="S818" i="16"/>
  <c r="T818" i="16"/>
  <c r="U818" i="16"/>
  <c r="G819" i="16"/>
  <c r="E820" i="16"/>
  <c r="G820" i="16"/>
  <c r="H820" i="16"/>
  <c r="I820" i="16"/>
  <c r="J820" i="16"/>
  <c r="K820" i="16"/>
  <c r="L820" i="16"/>
  <c r="M820" i="16"/>
  <c r="N820" i="16"/>
  <c r="O820" i="16"/>
  <c r="P820" i="16"/>
  <c r="Q820" i="16"/>
  <c r="R820" i="16"/>
  <c r="S820" i="16"/>
  <c r="T820" i="16"/>
  <c r="U820" i="16"/>
  <c r="E821" i="16"/>
  <c r="G821" i="16"/>
  <c r="H821" i="16"/>
  <c r="I821" i="16"/>
  <c r="J821" i="16"/>
  <c r="K821" i="16"/>
  <c r="L821" i="16"/>
  <c r="M821" i="16"/>
  <c r="N821" i="16"/>
  <c r="O821" i="16"/>
  <c r="P821" i="16"/>
  <c r="Q821" i="16"/>
  <c r="R821" i="16"/>
  <c r="S821" i="16"/>
  <c r="T821" i="16"/>
  <c r="U821" i="16"/>
  <c r="G822" i="16"/>
  <c r="E824" i="16"/>
  <c r="G824" i="16"/>
  <c r="H824" i="16"/>
  <c r="I824" i="16"/>
  <c r="J824" i="16"/>
  <c r="K824" i="16"/>
  <c r="L824" i="16"/>
  <c r="M824" i="16"/>
  <c r="N824" i="16"/>
  <c r="O824" i="16"/>
  <c r="P824" i="16"/>
  <c r="Q824" i="16"/>
  <c r="R824" i="16"/>
  <c r="S824" i="16"/>
  <c r="T824" i="16"/>
  <c r="U824" i="16"/>
  <c r="E825" i="16"/>
  <c r="G825" i="16"/>
  <c r="H825" i="16"/>
  <c r="I825" i="16"/>
  <c r="J825" i="16"/>
  <c r="K825" i="16"/>
  <c r="L825" i="16"/>
  <c r="M825" i="16"/>
  <c r="N825" i="16"/>
  <c r="O825" i="16"/>
  <c r="P825" i="16"/>
  <c r="Q825" i="16"/>
  <c r="R825" i="16"/>
  <c r="S825" i="16"/>
  <c r="T825" i="16"/>
  <c r="U825" i="16"/>
  <c r="E826" i="16"/>
  <c r="G826" i="16"/>
  <c r="H826" i="16"/>
  <c r="I826" i="16"/>
  <c r="J826" i="16"/>
  <c r="K826" i="16"/>
  <c r="L826" i="16"/>
  <c r="M826" i="16"/>
  <c r="N826" i="16"/>
  <c r="O826" i="16"/>
  <c r="P826" i="16"/>
  <c r="Q826" i="16"/>
  <c r="R826" i="16"/>
  <c r="S826" i="16"/>
  <c r="T826" i="16"/>
  <c r="U826" i="16"/>
  <c r="E827" i="16"/>
  <c r="G827" i="16"/>
  <c r="H827" i="16"/>
  <c r="I827" i="16"/>
  <c r="J827" i="16"/>
  <c r="K827" i="16"/>
  <c r="L827" i="16"/>
  <c r="M827" i="16"/>
  <c r="N827" i="16"/>
  <c r="O827" i="16"/>
  <c r="P827" i="16"/>
  <c r="Q827" i="16"/>
  <c r="R827" i="16"/>
  <c r="S827" i="16"/>
  <c r="T827" i="16"/>
  <c r="U827" i="16"/>
  <c r="S828" i="16"/>
  <c r="E829" i="16"/>
  <c r="G829" i="16"/>
  <c r="H829" i="16"/>
  <c r="I829" i="16"/>
  <c r="J829" i="16"/>
  <c r="K829" i="16"/>
  <c r="L829" i="16"/>
  <c r="M829" i="16"/>
  <c r="N829" i="16"/>
  <c r="O829" i="16"/>
  <c r="P829" i="16"/>
  <c r="Q829" i="16"/>
  <c r="R829" i="16"/>
  <c r="S829" i="16"/>
  <c r="T829" i="16"/>
  <c r="U829" i="16"/>
  <c r="G831" i="16"/>
  <c r="Q831" i="16"/>
  <c r="E832" i="16"/>
  <c r="G832" i="16"/>
  <c r="H832" i="16"/>
  <c r="I832" i="16"/>
  <c r="J832" i="16"/>
  <c r="K832" i="16"/>
  <c r="L832" i="16"/>
  <c r="M832" i="16"/>
  <c r="N832" i="16"/>
  <c r="O832" i="16"/>
  <c r="P832" i="16"/>
  <c r="Q832" i="16"/>
  <c r="R832" i="16"/>
  <c r="S832" i="16"/>
  <c r="T832" i="16"/>
  <c r="U832" i="16"/>
  <c r="G834" i="16"/>
  <c r="Q835" i="16"/>
  <c r="E836" i="16"/>
  <c r="E837" i="16"/>
  <c r="G837" i="16"/>
  <c r="H837" i="16"/>
  <c r="I837" i="16"/>
  <c r="J837" i="16"/>
  <c r="K837" i="16"/>
  <c r="L837" i="16"/>
  <c r="M837" i="16"/>
  <c r="N837" i="16"/>
  <c r="O837" i="16"/>
  <c r="P837" i="16"/>
  <c r="Q837" i="16"/>
  <c r="R837" i="16"/>
  <c r="S837" i="16"/>
  <c r="T837" i="16"/>
  <c r="U837" i="16"/>
  <c r="J838" i="16"/>
  <c r="L839" i="16"/>
  <c r="E840" i="16"/>
  <c r="G840" i="16"/>
  <c r="H840" i="16"/>
  <c r="I840" i="16"/>
  <c r="J840" i="16"/>
  <c r="K840" i="16"/>
  <c r="L840" i="16"/>
  <c r="M840" i="16"/>
  <c r="N840" i="16"/>
  <c r="O840" i="16"/>
  <c r="P840" i="16"/>
  <c r="Q840" i="16"/>
  <c r="R840" i="16"/>
  <c r="S840" i="16"/>
  <c r="T840" i="16"/>
  <c r="U840" i="16"/>
  <c r="M841" i="16"/>
  <c r="E842" i="16"/>
  <c r="G842" i="16"/>
  <c r="H842" i="16"/>
  <c r="I842" i="16"/>
  <c r="J842" i="16"/>
  <c r="K842" i="16"/>
  <c r="L842" i="16"/>
  <c r="M842" i="16"/>
  <c r="N842" i="16"/>
  <c r="O842" i="16"/>
  <c r="P842" i="16"/>
  <c r="Q842" i="16"/>
  <c r="R842" i="16"/>
  <c r="S842" i="16"/>
  <c r="T842" i="16"/>
  <c r="U842" i="16"/>
  <c r="Q844" i="16"/>
  <c r="E845" i="16"/>
  <c r="G845" i="16"/>
  <c r="H845" i="16"/>
  <c r="I845" i="16"/>
  <c r="J845" i="16"/>
  <c r="K845" i="16"/>
  <c r="L845" i="16"/>
  <c r="M845" i="16"/>
  <c r="N845" i="16"/>
  <c r="O845" i="16"/>
  <c r="P845" i="16"/>
  <c r="Q845" i="16"/>
  <c r="R845" i="16"/>
  <c r="S845" i="16"/>
  <c r="T845" i="16"/>
  <c r="U845" i="16"/>
  <c r="I846" i="16"/>
  <c r="E847" i="16"/>
  <c r="G847" i="16"/>
  <c r="H847" i="16"/>
  <c r="I847" i="16"/>
  <c r="J847" i="16"/>
  <c r="K847" i="16"/>
  <c r="L847" i="16"/>
  <c r="M847" i="16"/>
  <c r="N847" i="16"/>
  <c r="O847" i="16"/>
  <c r="P847" i="16"/>
  <c r="Q847" i="16"/>
  <c r="R847" i="16"/>
  <c r="S847" i="16"/>
  <c r="T847" i="16"/>
  <c r="U847" i="16"/>
  <c r="E848" i="16"/>
  <c r="G848" i="16"/>
  <c r="H848" i="16"/>
  <c r="I848" i="16"/>
  <c r="J848" i="16"/>
  <c r="K848" i="16"/>
  <c r="L848" i="16"/>
  <c r="M848" i="16"/>
  <c r="N848" i="16"/>
  <c r="O848" i="16"/>
  <c r="P848" i="16"/>
  <c r="Q848" i="16"/>
  <c r="R848" i="16"/>
  <c r="S848" i="16"/>
  <c r="T848" i="16"/>
  <c r="U848" i="16"/>
  <c r="L849" i="16"/>
  <c r="E850" i="16"/>
  <c r="G850" i="16"/>
  <c r="H850" i="16"/>
  <c r="I850" i="16"/>
  <c r="J850" i="16"/>
  <c r="K850" i="16"/>
  <c r="L850" i="16"/>
  <c r="M850" i="16"/>
  <c r="N850" i="16"/>
  <c r="O850" i="16"/>
  <c r="P850" i="16"/>
  <c r="Q850" i="16"/>
  <c r="R850" i="16"/>
  <c r="S850" i="16"/>
  <c r="T850" i="16"/>
  <c r="U850" i="16"/>
  <c r="Q851" i="16"/>
  <c r="T851" i="16"/>
  <c r="E852" i="16"/>
  <c r="G852" i="16"/>
  <c r="H852" i="16"/>
  <c r="I852" i="16"/>
  <c r="J852" i="16"/>
  <c r="K852" i="16"/>
  <c r="L852" i="16"/>
  <c r="M852" i="16"/>
  <c r="N852" i="16"/>
  <c r="O852" i="16"/>
  <c r="P852" i="16"/>
  <c r="Q852" i="16"/>
  <c r="R852" i="16"/>
  <c r="S852" i="16"/>
  <c r="T852" i="16"/>
  <c r="U852" i="16"/>
  <c r="E853" i="16"/>
  <c r="G853" i="16"/>
  <c r="H853" i="16"/>
  <c r="I853" i="16"/>
  <c r="J853" i="16"/>
  <c r="K853" i="16"/>
  <c r="L853" i="16"/>
  <c r="M853" i="16"/>
  <c r="N853" i="16"/>
  <c r="O853" i="16"/>
  <c r="P853" i="16"/>
  <c r="Q853" i="16"/>
  <c r="R853" i="16"/>
  <c r="S853" i="16"/>
  <c r="T853" i="16"/>
  <c r="U853" i="16"/>
  <c r="M854" i="16"/>
  <c r="I855" i="16"/>
  <c r="E856" i="16"/>
  <c r="G856" i="16"/>
  <c r="H856" i="16"/>
  <c r="I856" i="16"/>
  <c r="J856" i="16"/>
  <c r="K856" i="16"/>
  <c r="L856" i="16"/>
  <c r="M856" i="16"/>
  <c r="N856" i="16"/>
  <c r="O856" i="16"/>
  <c r="P856" i="16"/>
  <c r="Q856" i="16"/>
  <c r="R856" i="16"/>
  <c r="S856" i="16"/>
  <c r="T856" i="16"/>
  <c r="U856" i="16"/>
  <c r="E857" i="16"/>
  <c r="G857" i="16"/>
  <c r="H857" i="16"/>
  <c r="I857" i="16"/>
  <c r="J857" i="16"/>
  <c r="K857" i="16"/>
  <c r="L857" i="16"/>
  <c r="M857" i="16"/>
  <c r="N857" i="16"/>
  <c r="O857" i="16"/>
  <c r="P857" i="16"/>
  <c r="Q857" i="16"/>
  <c r="R857" i="16"/>
  <c r="S857" i="16"/>
  <c r="T857" i="16"/>
  <c r="U857" i="16"/>
  <c r="E858" i="16"/>
  <c r="G858" i="16"/>
  <c r="H858" i="16"/>
  <c r="I858" i="16"/>
  <c r="J858" i="16"/>
  <c r="K858" i="16"/>
  <c r="L858" i="16"/>
  <c r="M858" i="16"/>
  <c r="N858" i="16"/>
  <c r="O858" i="16"/>
  <c r="P858" i="16"/>
  <c r="Q858" i="16"/>
  <c r="R858" i="16"/>
  <c r="S858" i="16"/>
  <c r="T858" i="16"/>
  <c r="U858" i="16"/>
  <c r="E860" i="16"/>
  <c r="G860" i="16"/>
  <c r="H860" i="16"/>
  <c r="I860" i="16"/>
  <c r="J860" i="16"/>
  <c r="K860" i="16"/>
  <c r="L860" i="16"/>
  <c r="M860" i="16"/>
  <c r="N860" i="16"/>
  <c r="O860" i="16"/>
  <c r="P860" i="16"/>
  <c r="Q860" i="16"/>
  <c r="R860" i="16"/>
  <c r="S860" i="16"/>
  <c r="T860" i="16"/>
  <c r="U860" i="16"/>
  <c r="P861" i="16"/>
  <c r="Q861" i="16"/>
  <c r="E862" i="16"/>
  <c r="G862" i="16"/>
  <c r="H862" i="16"/>
  <c r="I862" i="16"/>
  <c r="J862" i="16"/>
  <c r="K862" i="16"/>
  <c r="L862" i="16"/>
  <c r="M862" i="16"/>
  <c r="N862" i="16"/>
  <c r="O862" i="16"/>
  <c r="P862" i="16"/>
  <c r="Q862" i="16"/>
  <c r="R862" i="16"/>
  <c r="S862" i="16"/>
  <c r="T862" i="16"/>
  <c r="U862" i="16"/>
  <c r="E863" i="16"/>
  <c r="G863" i="16"/>
  <c r="H863" i="16"/>
  <c r="I863" i="16"/>
  <c r="J863" i="16"/>
  <c r="K863" i="16"/>
  <c r="L863" i="16"/>
  <c r="M863" i="16"/>
  <c r="N863" i="16"/>
  <c r="O863" i="16"/>
  <c r="P863" i="16"/>
  <c r="Q863" i="16"/>
  <c r="R863" i="16"/>
  <c r="S863" i="16"/>
  <c r="T863" i="16"/>
  <c r="U863" i="16"/>
  <c r="K864" i="16"/>
  <c r="O865" i="16"/>
  <c r="E867" i="16"/>
  <c r="G867" i="16"/>
  <c r="H867" i="16"/>
  <c r="I867" i="16"/>
  <c r="J867" i="16"/>
  <c r="K867" i="16"/>
  <c r="L867" i="16"/>
  <c r="M867" i="16"/>
  <c r="N867" i="16"/>
  <c r="O867" i="16"/>
  <c r="P867" i="16"/>
  <c r="Q867" i="16"/>
  <c r="R867" i="16"/>
  <c r="S867" i="16"/>
  <c r="T867" i="16"/>
  <c r="U867" i="16"/>
  <c r="E868" i="16"/>
  <c r="G868" i="16"/>
  <c r="H868" i="16"/>
  <c r="I868" i="16"/>
  <c r="J868" i="16"/>
  <c r="K868" i="16"/>
  <c r="L868" i="16"/>
  <c r="M868" i="16"/>
  <c r="N868" i="16"/>
  <c r="O868" i="16"/>
  <c r="P868" i="16"/>
  <c r="Q868" i="16"/>
  <c r="R868" i="16"/>
  <c r="S868" i="16"/>
  <c r="T868" i="16"/>
  <c r="U868" i="16"/>
  <c r="E871" i="16"/>
  <c r="G871" i="16"/>
  <c r="H871" i="16"/>
  <c r="I871" i="16"/>
  <c r="J871" i="16"/>
  <c r="K871" i="16"/>
  <c r="L871" i="16"/>
  <c r="M871" i="16"/>
  <c r="N871" i="16"/>
  <c r="O871" i="16"/>
  <c r="P871" i="16"/>
  <c r="Q871" i="16"/>
  <c r="R871" i="16"/>
  <c r="S871" i="16"/>
  <c r="T871" i="16"/>
  <c r="U871" i="16"/>
  <c r="G872" i="16"/>
  <c r="E873" i="16"/>
  <c r="G873" i="16"/>
  <c r="H873" i="16"/>
  <c r="I873" i="16"/>
  <c r="J873" i="16"/>
  <c r="K873" i="16"/>
  <c r="L873" i="16"/>
  <c r="M873" i="16"/>
  <c r="N873" i="16"/>
  <c r="O873" i="16"/>
  <c r="P873" i="16"/>
  <c r="Q873" i="16"/>
  <c r="R873" i="16"/>
  <c r="S873" i="16"/>
  <c r="T873" i="16"/>
  <c r="U873" i="16"/>
  <c r="G874" i="16"/>
  <c r="E875" i="16"/>
  <c r="G875" i="16"/>
  <c r="H875" i="16"/>
  <c r="I875" i="16"/>
  <c r="J875" i="16"/>
  <c r="K875" i="16"/>
  <c r="L875" i="16"/>
  <c r="M875" i="16"/>
  <c r="N875" i="16"/>
  <c r="O875" i="16"/>
  <c r="P875" i="16"/>
  <c r="Q875" i="16"/>
  <c r="R875" i="16"/>
  <c r="S875" i="16"/>
  <c r="T875" i="16"/>
  <c r="U875" i="16"/>
  <c r="M876" i="16"/>
  <c r="E877" i="16"/>
  <c r="G877" i="16"/>
  <c r="H877" i="16"/>
  <c r="I877" i="16"/>
  <c r="J877" i="16"/>
  <c r="K877" i="16"/>
  <c r="L877" i="16"/>
  <c r="M877" i="16"/>
  <c r="N877" i="16"/>
  <c r="O877" i="16"/>
  <c r="P877" i="16"/>
  <c r="Q877" i="16"/>
  <c r="R877" i="16"/>
  <c r="S877" i="16"/>
  <c r="T877" i="16"/>
  <c r="U877" i="16"/>
  <c r="E878" i="16"/>
  <c r="G878" i="16"/>
  <c r="H878" i="16"/>
  <c r="I878" i="16"/>
  <c r="J878" i="16"/>
  <c r="K878" i="16"/>
  <c r="L878" i="16"/>
  <c r="M878" i="16"/>
  <c r="N878" i="16"/>
  <c r="O878" i="16"/>
  <c r="P878" i="16"/>
  <c r="Q878" i="16"/>
  <c r="R878" i="16"/>
  <c r="S878" i="16"/>
  <c r="T878" i="16"/>
  <c r="U878" i="16"/>
  <c r="E879" i="16"/>
  <c r="G879" i="16"/>
  <c r="H879" i="16"/>
  <c r="I879" i="16"/>
  <c r="J879" i="16"/>
  <c r="K879" i="16"/>
  <c r="L879" i="16"/>
  <c r="M879" i="16"/>
  <c r="N879" i="16"/>
  <c r="O879" i="16"/>
  <c r="P879" i="16"/>
  <c r="Q879" i="16"/>
  <c r="R879" i="16"/>
  <c r="S879" i="16"/>
  <c r="T879" i="16"/>
  <c r="U879" i="16"/>
  <c r="Q880" i="16"/>
  <c r="T881" i="16"/>
  <c r="E882" i="16"/>
  <c r="G882" i="16"/>
  <c r="H882" i="16"/>
  <c r="I882" i="16"/>
  <c r="J882" i="16"/>
  <c r="K882" i="16"/>
  <c r="L882" i="16"/>
  <c r="M882" i="16"/>
  <c r="N882" i="16"/>
  <c r="O882" i="16"/>
  <c r="P882" i="16"/>
  <c r="Q882" i="16"/>
  <c r="R882" i="16"/>
  <c r="S882" i="16"/>
  <c r="T882" i="16"/>
  <c r="U882" i="16"/>
  <c r="E883" i="16"/>
  <c r="G883" i="16"/>
  <c r="H883" i="16"/>
  <c r="I883" i="16"/>
  <c r="J883" i="16"/>
  <c r="K883" i="16"/>
  <c r="L883" i="16"/>
  <c r="M883" i="16"/>
  <c r="N883" i="16"/>
  <c r="O883" i="16"/>
  <c r="P883" i="16"/>
  <c r="Q883" i="16"/>
  <c r="R883" i="16"/>
  <c r="S883" i="16"/>
  <c r="T883" i="16"/>
  <c r="U883" i="16"/>
  <c r="E884" i="16"/>
  <c r="G884" i="16"/>
  <c r="H884" i="16"/>
  <c r="I884" i="16"/>
  <c r="J884" i="16"/>
  <c r="K884" i="16"/>
  <c r="L884" i="16"/>
  <c r="M884" i="16"/>
  <c r="N884" i="16"/>
  <c r="O884" i="16"/>
  <c r="P884" i="16"/>
  <c r="Q884" i="16"/>
  <c r="R884" i="16"/>
  <c r="S884" i="16"/>
  <c r="T884" i="16"/>
  <c r="U884" i="16"/>
  <c r="M885" i="16"/>
  <c r="U885" i="16"/>
  <c r="S887" i="16"/>
  <c r="E888" i="16"/>
  <c r="G888" i="16"/>
  <c r="H888" i="16"/>
  <c r="I888" i="16"/>
  <c r="J888" i="16"/>
  <c r="K888" i="16"/>
  <c r="L888" i="16"/>
  <c r="M888" i="16"/>
  <c r="N888" i="16"/>
  <c r="O888" i="16"/>
  <c r="P888" i="16"/>
  <c r="Q888" i="16"/>
  <c r="R888" i="16"/>
  <c r="S888" i="16"/>
  <c r="T888" i="16"/>
  <c r="U888" i="16"/>
  <c r="S889" i="16"/>
  <c r="U890" i="16"/>
  <c r="E891" i="16"/>
  <c r="G891" i="16"/>
  <c r="H891" i="16"/>
  <c r="I891" i="16"/>
  <c r="J891" i="16"/>
  <c r="K891" i="16"/>
  <c r="L891" i="16"/>
  <c r="M891" i="16"/>
  <c r="N891" i="16"/>
  <c r="O891" i="16"/>
  <c r="P891" i="16"/>
  <c r="Q891" i="16"/>
  <c r="R891" i="16"/>
  <c r="S891" i="16"/>
  <c r="T891" i="16"/>
  <c r="U891" i="16"/>
  <c r="E893" i="16"/>
  <c r="G893" i="16"/>
  <c r="H893" i="16"/>
  <c r="I893" i="16"/>
  <c r="J893" i="16"/>
  <c r="K893" i="16"/>
  <c r="L893" i="16"/>
  <c r="M893" i="16"/>
  <c r="N893" i="16"/>
  <c r="O893" i="16"/>
  <c r="P893" i="16"/>
  <c r="Q893" i="16"/>
  <c r="R893" i="16"/>
  <c r="S893" i="16"/>
  <c r="T893" i="16"/>
  <c r="U893" i="16"/>
  <c r="E896" i="16"/>
  <c r="G896" i="16"/>
  <c r="H896" i="16"/>
  <c r="I896" i="16"/>
  <c r="J896" i="16"/>
  <c r="K896" i="16"/>
  <c r="L896" i="16"/>
  <c r="M896" i="16"/>
  <c r="N896" i="16"/>
  <c r="O896" i="16"/>
  <c r="P896" i="16"/>
  <c r="Q896" i="16"/>
  <c r="R896" i="16"/>
  <c r="S896" i="16"/>
  <c r="T896" i="16"/>
  <c r="U896" i="16"/>
  <c r="T898" i="16"/>
  <c r="J899" i="16"/>
  <c r="L900" i="16"/>
  <c r="E901" i="16"/>
  <c r="G901" i="16"/>
  <c r="H901" i="16"/>
  <c r="I901" i="16"/>
  <c r="J901" i="16"/>
  <c r="K901" i="16"/>
  <c r="L901" i="16"/>
  <c r="M901" i="16"/>
  <c r="N901" i="16"/>
  <c r="O901" i="16"/>
  <c r="P901" i="16"/>
  <c r="Q901" i="16"/>
  <c r="R901" i="16"/>
  <c r="S901" i="16"/>
  <c r="T901" i="16"/>
  <c r="U901" i="16"/>
  <c r="U903" i="16"/>
  <c r="K904" i="16"/>
  <c r="E905" i="16"/>
  <c r="G905" i="16"/>
  <c r="H905" i="16"/>
  <c r="I905" i="16"/>
  <c r="J905" i="16"/>
  <c r="K905" i="16"/>
  <c r="L905" i="16"/>
  <c r="M905" i="16"/>
  <c r="N905" i="16"/>
  <c r="O905" i="16"/>
  <c r="P905" i="16"/>
  <c r="Q905" i="16"/>
  <c r="R905" i="16"/>
  <c r="S905" i="16"/>
  <c r="T905" i="16"/>
  <c r="U905" i="16"/>
  <c r="O906" i="16"/>
  <c r="E907" i="16"/>
  <c r="G907" i="16"/>
  <c r="H907" i="16"/>
  <c r="I907" i="16"/>
  <c r="J907" i="16"/>
  <c r="K907" i="16"/>
  <c r="L907" i="16"/>
  <c r="M907" i="16"/>
  <c r="N907" i="16"/>
  <c r="O907" i="16"/>
  <c r="P907" i="16"/>
  <c r="Q907" i="16"/>
  <c r="R907" i="16"/>
  <c r="S907" i="16"/>
  <c r="T907" i="16"/>
  <c r="U907" i="16"/>
  <c r="E908" i="16"/>
  <c r="G908" i="16"/>
  <c r="H908" i="16"/>
  <c r="I908" i="16"/>
  <c r="J908" i="16"/>
  <c r="K908" i="16"/>
  <c r="L908" i="16"/>
  <c r="M908" i="16"/>
  <c r="N908" i="16"/>
  <c r="O908" i="16"/>
  <c r="P908" i="16"/>
  <c r="Q908" i="16"/>
  <c r="R908" i="16"/>
  <c r="S908" i="16"/>
  <c r="T908" i="16"/>
  <c r="U908" i="16"/>
  <c r="E909" i="16"/>
  <c r="G909" i="16"/>
  <c r="H909" i="16"/>
  <c r="I909" i="16"/>
  <c r="J909" i="16"/>
  <c r="K909" i="16"/>
  <c r="L909" i="16"/>
  <c r="M909" i="16"/>
  <c r="N909" i="16"/>
  <c r="O909" i="16"/>
  <c r="P909" i="16"/>
  <c r="Q909" i="16"/>
  <c r="R909" i="16"/>
  <c r="S909" i="16"/>
  <c r="T909" i="16"/>
  <c r="U909" i="16"/>
  <c r="E910" i="16"/>
  <c r="K912" i="16"/>
  <c r="E913" i="16"/>
  <c r="G913" i="16"/>
  <c r="H913" i="16"/>
  <c r="I913" i="16"/>
  <c r="J913" i="16"/>
  <c r="K913" i="16"/>
  <c r="L913" i="16"/>
  <c r="M913" i="16"/>
  <c r="N913" i="16"/>
  <c r="O913" i="16"/>
  <c r="P913" i="16"/>
  <c r="Q913" i="16"/>
  <c r="R913" i="16"/>
  <c r="S913" i="16"/>
  <c r="T913" i="16"/>
  <c r="U913" i="16"/>
  <c r="E914" i="16"/>
  <c r="G914" i="16"/>
  <c r="H914" i="16"/>
  <c r="I914" i="16"/>
  <c r="J914" i="16"/>
  <c r="K914" i="16"/>
  <c r="L914" i="16"/>
  <c r="M914" i="16"/>
  <c r="N914" i="16"/>
  <c r="O914" i="16"/>
  <c r="P914" i="16"/>
  <c r="Q914" i="16"/>
  <c r="R914" i="16"/>
  <c r="S914" i="16"/>
  <c r="T914" i="16"/>
  <c r="U914" i="16"/>
  <c r="E915" i="16"/>
  <c r="G915" i="16"/>
  <c r="H915" i="16"/>
  <c r="I915" i="16"/>
  <c r="J915" i="16"/>
  <c r="K915" i="16"/>
  <c r="L915" i="16"/>
  <c r="M915" i="16"/>
  <c r="N915" i="16"/>
  <c r="O915" i="16"/>
  <c r="P915" i="16"/>
  <c r="Q915" i="16"/>
  <c r="R915" i="16"/>
  <c r="S915" i="16"/>
  <c r="T915" i="16"/>
  <c r="U915" i="16"/>
  <c r="E916" i="16"/>
  <c r="E917" i="16"/>
  <c r="G917" i="16"/>
  <c r="H917" i="16"/>
  <c r="I917" i="16"/>
  <c r="J917" i="16"/>
  <c r="K917" i="16"/>
  <c r="L917" i="16"/>
  <c r="M917" i="16"/>
  <c r="N917" i="16"/>
  <c r="O917" i="16"/>
  <c r="P917" i="16"/>
  <c r="Q917" i="16"/>
  <c r="R917" i="16"/>
  <c r="S917" i="16"/>
  <c r="T917" i="16"/>
  <c r="U917" i="16"/>
  <c r="U921" i="16"/>
  <c r="E922" i="16"/>
  <c r="J922" i="16"/>
  <c r="I923" i="16"/>
  <c r="E924" i="16"/>
  <c r="G924" i="16"/>
  <c r="H924" i="16"/>
  <c r="I924" i="16"/>
  <c r="J924" i="16"/>
  <c r="K924" i="16"/>
  <c r="L924" i="16"/>
  <c r="M924" i="16"/>
  <c r="N924" i="16"/>
  <c r="O924" i="16"/>
  <c r="P924" i="16"/>
  <c r="Q924" i="16"/>
  <c r="R924" i="16"/>
  <c r="S924" i="16"/>
  <c r="T924" i="16"/>
  <c r="U924" i="16"/>
  <c r="E925" i="16"/>
  <c r="G925" i="16"/>
  <c r="H925" i="16"/>
  <c r="I925" i="16"/>
  <c r="J925" i="16"/>
  <c r="K925" i="16"/>
  <c r="L925" i="16"/>
  <c r="M925" i="16"/>
  <c r="N925" i="16"/>
  <c r="O925" i="16"/>
  <c r="P925" i="16"/>
  <c r="Q925" i="16"/>
  <c r="R925" i="16"/>
  <c r="S925" i="16"/>
  <c r="T925" i="16"/>
  <c r="U925" i="16"/>
  <c r="G926" i="16"/>
  <c r="U927" i="16"/>
  <c r="E929" i="16"/>
  <c r="G929" i="16"/>
  <c r="H929" i="16"/>
  <c r="I929" i="16"/>
  <c r="J929" i="16"/>
  <c r="K929" i="16"/>
  <c r="L929" i="16"/>
  <c r="M929" i="16"/>
  <c r="N929" i="16"/>
  <c r="O929" i="16"/>
  <c r="P929" i="16"/>
  <c r="Q929" i="16"/>
  <c r="R929" i="16"/>
  <c r="S929" i="16"/>
  <c r="T929" i="16"/>
  <c r="U929" i="16"/>
  <c r="E930" i="16"/>
  <c r="G930" i="16"/>
  <c r="H930" i="16"/>
  <c r="I930" i="16"/>
  <c r="J930" i="16"/>
  <c r="K930" i="16"/>
  <c r="L930" i="16"/>
  <c r="M930" i="16"/>
  <c r="N930" i="16"/>
  <c r="O930" i="16"/>
  <c r="P930" i="16"/>
  <c r="Q930" i="16"/>
  <c r="R930" i="16"/>
  <c r="S930" i="16"/>
  <c r="T930" i="16"/>
  <c r="U930" i="16"/>
  <c r="Q931" i="16"/>
  <c r="N932" i="16"/>
  <c r="E933" i="16"/>
  <c r="G933" i="16"/>
  <c r="H933" i="16"/>
  <c r="I933" i="16"/>
  <c r="J933" i="16"/>
  <c r="K933" i="16"/>
  <c r="L933" i="16"/>
  <c r="M933" i="16"/>
  <c r="N933" i="16"/>
  <c r="O933" i="16"/>
  <c r="P933" i="16"/>
  <c r="Q933" i="16"/>
  <c r="R933" i="16"/>
  <c r="S933" i="16"/>
  <c r="T933" i="16"/>
  <c r="U933" i="16"/>
  <c r="E934" i="16"/>
  <c r="G934" i="16"/>
  <c r="H934" i="16"/>
  <c r="I934" i="16"/>
  <c r="J934" i="16"/>
  <c r="K934" i="16"/>
  <c r="L934" i="16"/>
  <c r="M934" i="16"/>
  <c r="N934" i="16"/>
  <c r="O934" i="16"/>
  <c r="P934" i="16"/>
  <c r="Q934" i="16"/>
  <c r="R934" i="16"/>
  <c r="S934" i="16"/>
  <c r="T934" i="16"/>
  <c r="U934" i="16"/>
  <c r="G936" i="16"/>
  <c r="G938" i="16"/>
  <c r="E939" i="16"/>
  <c r="G939" i="16"/>
  <c r="H939" i="16"/>
  <c r="I939" i="16"/>
  <c r="J939" i="16"/>
  <c r="K939" i="16"/>
  <c r="L939" i="16"/>
  <c r="M939" i="16"/>
  <c r="N939" i="16"/>
  <c r="O939" i="16"/>
  <c r="P939" i="16"/>
  <c r="Q939" i="16"/>
  <c r="R939" i="16"/>
  <c r="S939" i="16"/>
  <c r="T939" i="16"/>
  <c r="U939" i="16"/>
  <c r="E940" i="16"/>
  <c r="G940" i="16"/>
  <c r="H940" i="16"/>
  <c r="I940" i="16"/>
  <c r="J940" i="16"/>
  <c r="K940" i="16"/>
  <c r="L940" i="16"/>
  <c r="M940" i="16"/>
  <c r="N940" i="16"/>
  <c r="O940" i="16"/>
  <c r="P940" i="16"/>
  <c r="Q940" i="16"/>
  <c r="R940" i="16"/>
  <c r="S940" i="16"/>
  <c r="T940" i="16"/>
  <c r="U940" i="16"/>
  <c r="Q941" i="16"/>
  <c r="G943" i="16"/>
  <c r="L944" i="16"/>
  <c r="E945" i="16"/>
  <c r="G945" i="16"/>
  <c r="H945" i="16"/>
  <c r="I945" i="16"/>
  <c r="J945" i="16"/>
  <c r="K945" i="16"/>
  <c r="L945" i="16"/>
  <c r="M945" i="16"/>
  <c r="N945" i="16"/>
  <c r="O945" i="16"/>
  <c r="P945" i="16"/>
  <c r="Q945" i="16"/>
  <c r="R945" i="16"/>
  <c r="S945" i="16"/>
  <c r="T945" i="16"/>
  <c r="U945" i="16"/>
  <c r="N946" i="16"/>
  <c r="E947" i="16"/>
  <c r="G947" i="16"/>
  <c r="H947" i="16"/>
  <c r="I947" i="16"/>
  <c r="J947" i="16"/>
  <c r="K947" i="16"/>
  <c r="L947" i="16"/>
  <c r="M947" i="16"/>
  <c r="N947" i="16"/>
  <c r="O947" i="16"/>
  <c r="P947" i="16"/>
  <c r="Q947" i="16"/>
  <c r="R947" i="16"/>
  <c r="S947" i="16"/>
  <c r="T947" i="16"/>
  <c r="U947" i="16"/>
  <c r="E948" i="16"/>
  <c r="G948" i="16"/>
  <c r="H948" i="16"/>
  <c r="I948" i="16"/>
  <c r="J948" i="16"/>
  <c r="K948" i="16"/>
  <c r="L948" i="16"/>
  <c r="M948" i="16"/>
  <c r="N948" i="16"/>
  <c r="O948" i="16"/>
  <c r="P948" i="16"/>
  <c r="Q948" i="16"/>
  <c r="R948" i="16"/>
  <c r="S948" i="16"/>
  <c r="T948" i="16"/>
  <c r="U948" i="16"/>
  <c r="T949" i="16"/>
  <c r="E950" i="16"/>
  <c r="G950" i="16"/>
  <c r="H950" i="16"/>
  <c r="I950" i="16"/>
  <c r="J950" i="16"/>
  <c r="K950" i="16"/>
  <c r="L950" i="16"/>
  <c r="M950" i="16"/>
  <c r="N950" i="16"/>
  <c r="O950" i="16"/>
  <c r="P950" i="16"/>
  <c r="Q950" i="16"/>
  <c r="R950" i="16"/>
  <c r="S950" i="16"/>
  <c r="T950" i="16"/>
  <c r="U950" i="16"/>
  <c r="Q951" i="16"/>
  <c r="E952" i="16"/>
  <c r="G952" i="16"/>
  <c r="H952" i="16"/>
  <c r="I952" i="16"/>
  <c r="J952" i="16"/>
  <c r="K952" i="16"/>
  <c r="L952" i="16"/>
  <c r="M952" i="16"/>
  <c r="N952" i="16"/>
  <c r="O952" i="16"/>
  <c r="P952" i="16"/>
  <c r="Q952" i="16"/>
  <c r="R952" i="16"/>
  <c r="S952" i="16"/>
  <c r="T952" i="16"/>
  <c r="U952" i="16"/>
  <c r="U953" i="16"/>
  <c r="E955" i="16"/>
  <c r="G955" i="16"/>
  <c r="H955" i="16"/>
  <c r="I955" i="16"/>
  <c r="J955" i="16"/>
  <c r="K955" i="16"/>
  <c r="L955" i="16"/>
  <c r="M955" i="16"/>
  <c r="N955" i="16"/>
  <c r="O955" i="16"/>
  <c r="P955" i="16"/>
  <c r="Q955" i="16"/>
  <c r="R955" i="16"/>
  <c r="S955" i="16"/>
  <c r="T955" i="16"/>
  <c r="U955" i="16"/>
  <c r="E956" i="16"/>
  <c r="G956" i="16"/>
  <c r="H956" i="16"/>
  <c r="I956" i="16"/>
  <c r="J956" i="16"/>
  <c r="K956" i="16"/>
  <c r="L956" i="16"/>
  <c r="M956" i="16"/>
  <c r="N956" i="16"/>
  <c r="O956" i="16"/>
  <c r="P956" i="16"/>
  <c r="Q956" i="16"/>
  <c r="R956" i="16"/>
  <c r="S956" i="16"/>
  <c r="T956" i="16"/>
  <c r="U956" i="16"/>
  <c r="L958" i="16"/>
  <c r="E959" i="16"/>
  <c r="G959" i="16"/>
  <c r="H959" i="16"/>
  <c r="I959" i="16"/>
  <c r="J959" i="16"/>
  <c r="K959" i="16"/>
  <c r="L959" i="16"/>
  <c r="M959" i="16"/>
  <c r="N959" i="16"/>
  <c r="O959" i="16"/>
  <c r="P959" i="16"/>
  <c r="Q959" i="16"/>
  <c r="R959" i="16"/>
  <c r="S959" i="16"/>
  <c r="T959" i="16"/>
  <c r="U959" i="16"/>
  <c r="T960" i="16"/>
  <c r="G961" i="16"/>
  <c r="G962" i="16"/>
  <c r="Q962" i="16"/>
  <c r="E963" i="16"/>
  <c r="G963" i="16"/>
  <c r="H963" i="16"/>
  <c r="I963" i="16"/>
  <c r="J963" i="16"/>
  <c r="K963" i="16"/>
  <c r="L963" i="16"/>
  <c r="M963" i="16"/>
  <c r="N963" i="16"/>
  <c r="O963" i="16"/>
  <c r="P963" i="16"/>
  <c r="Q963" i="16"/>
  <c r="R963" i="16"/>
  <c r="S963" i="16"/>
  <c r="T963" i="16"/>
  <c r="U963" i="16"/>
  <c r="E964" i="16"/>
  <c r="G964" i="16"/>
  <c r="H964" i="16"/>
  <c r="I964" i="16"/>
  <c r="J964" i="16"/>
  <c r="K964" i="16"/>
  <c r="L964" i="16"/>
  <c r="M964" i="16"/>
  <c r="N964" i="16"/>
  <c r="O964" i="16"/>
  <c r="P964" i="16"/>
  <c r="Q964" i="16"/>
  <c r="R964" i="16"/>
  <c r="S964" i="16"/>
  <c r="T964" i="16"/>
  <c r="U964" i="16"/>
  <c r="Q965" i="16"/>
  <c r="N966" i="16"/>
  <c r="K967" i="16"/>
  <c r="E968" i="16"/>
  <c r="G968" i="16"/>
  <c r="H968" i="16"/>
  <c r="I968" i="16"/>
  <c r="J968" i="16"/>
  <c r="K968" i="16"/>
  <c r="L968" i="16"/>
  <c r="M968" i="16"/>
  <c r="N968" i="16"/>
  <c r="O968" i="16"/>
  <c r="P968" i="16"/>
  <c r="Q968" i="16"/>
  <c r="R968" i="16"/>
  <c r="S968" i="16"/>
  <c r="T968" i="16"/>
  <c r="U968" i="16"/>
  <c r="N969" i="16"/>
  <c r="Q970" i="16"/>
  <c r="E971" i="16"/>
  <c r="G971" i="16"/>
  <c r="H971" i="16"/>
  <c r="I971" i="16"/>
  <c r="J971" i="16"/>
  <c r="K971" i="16"/>
  <c r="L971" i="16"/>
  <c r="M971" i="16"/>
  <c r="N971" i="16"/>
  <c r="O971" i="16"/>
  <c r="P971" i="16"/>
  <c r="Q971" i="16"/>
  <c r="R971" i="16"/>
  <c r="S971" i="16"/>
  <c r="T971" i="16"/>
  <c r="U971" i="16"/>
  <c r="E972" i="16"/>
  <c r="K974" i="16"/>
  <c r="E975" i="16"/>
  <c r="G975" i="16"/>
  <c r="H975" i="16"/>
  <c r="I975" i="16"/>
  <c r="J975" i="16"/>
  <c r="K975" i="16"/>
  <c r="L975" i="16"/>
  <c r="M975" i="16"/>
  <c r="N975" i="16"/>
  <c r="O975" i="16"/>
  <c r="P975" i="16"/>
  <c r="Q975" i="16"/>
  <c r="R975" i="16"/>
  <c r="S975" i="16"/>
  <c r="T975" i="16"/>
  <c r="U975" i="16"/>
  <c r="E976" i="16"/>
  <c r="G976" i="16"/>
  <c r="H976" i="16"/>
  <c r="I976" i="16"/>
  <c r="J976" i="16"/>
  <c r="K976" i="16"/>
  <c r="L976" i="16"/>
  <c r="M976" i="16"/>
  <c r="N976" i="16"/>
  <c r="O976" i="16"/>
  <c r="P976" i="16"/>
  <c r="Q976" i="16"/>
  <c r="R976" i="16"/>
  <c r="S976" i="16"/>
  <c r="T976" i="16"/>
  <c r="U976" i="16"/>
  <c r="E977" i="16"/>
  <c r="E978" i="16"/>
  <c r="G978" i="16"/>
  <c r="H978" i="16"/>
  <c r="I978" i="16"/>
  <c r="J978" i="16"/>
  <c r="K978" i="16"/>
  <c r="L978" i="16"/>
  <c r="M978" i="16"/>
  <c r="N978" i="16"/>
  <c r="O978" i="16"/>
  <c r="P978" i="16"/>
  <c r="Q978" i="16"/>
  <c r="R978" i="16"/>
  <c r="S978" i="16"/>
  <c r="T978" i="16"/>
  <c r="U978" i="16"/>
  <c r="E979" i="16"/>
  <c r="G979" i="16"/>
  <c r="H979" i="16"/>
  <c r="I979" i="16"/>
  <c r="J979" i="16"/>
  <c r="K979" i="16"/>
  <c r="L979" i="16"/>
  <c r="M979" i="16"/>
  <c r="N979" i="16"/>
  <c r="O979" i="16"/>
  <c r="P979" i="16"/>
  <c r="Q979" i="16"/>
  <c r="R979" i="16"/>
  <c r="S979" i="16"/>
  <c r="T979" i="16"/>
  <c r="U979" i="16"/>
  <c r="Q982" i="16"/>
  <c r="E983" i="16"/>
  <c r="G983" i="16"/>
  <c r="H983" i="16"/>
  <c r="I983" i="16"/>
  <c r="J983" i="16"/>
  <c r="K983" i="16"/>
  <c r="L983" i="16"/>
  <c r="M983" i="16"/>
  <c r="N983" i="16"/>
  <c r="O983" i="16"/>
  <c r="P983" i="16"/>
  <c r="Q983" i="16"/>
  <c r="R983" i="16"/>
  <c r="S983" i="16"/>
  <c r="T983" i="16"/>
  <c r="U983" i="16"/>
  <c r="E984" i="16"/>
  <c r="G984" i="16"/>
  <c r="H984" i="16"/>
  <c r="I984" i="16"/>
  <c r="J984" i="16"/>
  <c r="K984" i="16"/>
  <c r="L984" i="16"/>
  <c r="M984" i="16"/>
  <c r="N984" i="16"/>
  <c r="O984" i="16"/>
  <c r="P984" i="16"/>
  <c r="Q984" i="16"/>
  <c r="R984" i="16"/>
  <c r="S984" i="16"/>
  <c r="T984" i="16"/>
  <c r="U984" i="16"/>
  <c r="E985" i="16"/>
  <c r="G985" i="16"/>
  <c r="H985" i="16"/>
  <c r="I985" i="16"/>
  <c r="J985" i="16"/>
  <c r="K985" i="16"/>
  <c r="L985" i="16"/>
  <c r="M985" i="16"/>
  <c r="N985" i="16"/>
  <c r="O985" i="16"/>
  <c r="P985" i="16"/>
  <c r="Q985" i="16"/>
  <c r="R985" i="16"/>
  <c r="S985" i="16"/>
  <c r="T985" i="16"/>
  <c r="U985" i="16"/>
  <c r="E986" i="16"/>
  <c r="G986" i="16"/>
  <c r="H986" i="16"/>
  <c r="I986" i="16"/>
  <c r="J986" i="16"/>
  <c r="K986" i="16"/>
  <c r="L986" i="16"/>
  <c r="M986" i="16"/>
  <c r="N986" i="16"/>
  <c r="O986" i="16"/>
  <c r="P986" i="16"/>
  <c r="Q986" i="16"/>
  <c r="R986" i="16"/>
  <c r="S986" i="16"/>
  <c r="T986" i="16"/>
  <c r="U986" i="16"/>
  <c r="E987" i="16"/>
  <c r="G987" i="16"/>
  <c r="H987" i="16"/>
  <c r="I987" i="16"/>
  <c r="J987" i="16"/>
  <c r="K987" i="16"/>
  <c r="L987" i="16"/>
  <c r="M987" i="16"/>
  <c r="N987" i="16"/>
  <c r="O987" i="16"/>
  <c r="P987" i="16"/>
  <c r="Q987" i="16"/>
  <c r="R987" i="16"/>
  <c r="S987" i="16"/>
  <c r="T987" i="16"/>
  <c r="U987" i="16"/>
  <c r="I989" i="16"/>
  <c r="L990" i="16"/>
  <c r="E991" i="16"/>
  <c r="G991" i="16"/>
  <c r="H991" i="16"/>
  <c r="I991" i="16"/>
  <c r="J991" i="16"/>
  <c r="K991" i="16"/>
  <c r="L991" i="16"/>
  <c r="M991" i="16"/>
  <c r="N991" i="16"/>
  <c r="O991" i="16"/>
  <c r="P991" i="16"/>
  <c r="Q991" i="16"/>
  <c r="R991" i="16"/>
  <c r="S991" i="16"/>
  <c r="T991" i="16"/>
  <c r="U991" i="16"/>
  <c r="E992" i="16"/>
  <c r="G992" i="16"/>
  <c r="H992" i="16"/>
  <c r="I992" i="16"/>
  <c r="J992" i="16"/>
  <c r="K992" i="16"/>
  <c r="L992" i="16"/>
  <c r="M992" i="16"/>
  <c r="N992" i="16"/>
  <c r="O992" i="16"/>
  <c r="P992" i="16"/>
  <c r="Q992" i="16"/>
  <c r="R992" i="16"/>
  <c r="S992" i="16"/>
  <c r="T992" i="16"/>
  <c r="U992" i="16"/>
  <c r="E993" i="16"/>
  <c r="G993" i="16"/>
  <c r="H993" i="16"/>
  <c r="I993" i="16"/>
  <c r="J993" i="16"/>
  <c r="K993" i="16"/>
  <c r="L993" i="16"/>
  <c r="M993" i="16"/>
  <c r="N993" i="16"/>
  <c r="O993" i="16"/>
  <c r="P993" i="16"/>
  <c r="Q993" i="16"/>
  <c r="R993" i="16"/>
  <c r="S993" i="16"/>
  <c r="T993" i="16"/>
  <c r="U993" i="16"/>
  <c r="E994" i="16"/>
  <c r="G994" i="16"/>
  <c r="H994" i="16"/>
  <c r="I994" i="16"/>
  <c r="J994" i="16"/>
  <c r="K994" i="16"/>
  <c r="L994" i="16"/>
  <c r="M994" i="16"/>
  <c r="N994" i="16"/>
  <c r="O994" i="16"/>
  <c r="P994" i="16"/>
  <c r="Q994" i="16"/>
  <c r="R994" i="16"/>
  <c r="S994" i="16"/>
  <c r="T994" i="16"/>
  <c r="U994" i="16"/>
  <c r="E995" i="16"/>
  <c r="G995" i="16"/>
  <c r="H995" i="16"/>
  <c r="I995" i="16"/>
  <c r="J995" i="16"/>
  <c r="K995" i="16"/>
  <c r="L995" i="16"/>
  <c r="M995" i="16"/>
  <c r="N995" i="16"/>
  <c r="O995" i="16"/>
  <c r="P995" i="16"/>
  <c r="Q995" i="16"/>
  <c r="R995" i="16"/>
  <c r="S995" i="16"/>
  <c r="T995" i="16"/>
  <c r="U995" i="16"/>
  <c r="U996" i="16"/>
  <c r="T997" i="16"/>
  <c r="P998" i="16"/>
  <c r="E1000" i="16"/>
  <c r="G1000" i="16"/>
  <c r="H1000" i="16"/>
  <c r="I1000" i="16"/>
  <c r="J1000" i="16"/>
  <c r="K1000" i="16"/>
  <c r="L1000" i="16"/>
  <c r="M1000" i="16"/>
  <c r="N1000" i="16"/>
  <c r="O1000" i="16"/>
  <c r="P1000" i="16"/>
  <c r="Q1000" i="16"/>
  <c r="R1000" i="16"/>
  <c r="S1000" i="16"/>
  <c r="T1000" i="16"/>
  <c r="U1000" i="16"/>
  <c r="Q1002" i="16"/>
  <c r="E1003" i="16"/>
  <c r="G1003" i="16"/>
  <c r="H1003" i="16"/>
  <c r="I1003" i="16"/>
  <c r="J1003" i="16"/>
  <c r="K1003" i="16"/>
  <c r="L1003" i="16"/>
  <c r="M1003" i="16"/>
  <c r="N1003" i="16"/>
  <c r="O1003" i="16"/>
  <c r="P1003" i="16"/>
  <c r="Q1003" i="16"/>
  <c r="R1003" i="16"/>
  <c r="S1003" i="16"/>
  <c r="T1003" i="16"/>
  <c r="U1003" i="16"/>
  <c r="E1004" i="16"/>
  <c r="G1004" i="16"/>
  <c r="H1004" i="16"/>
  <c r="I1004" i="16"/>
  <c r="J1004" i="16"/>
  <c r="K1004" i="16"/>
  <c r="L1004" i="16"/>
  <c r="M1004" i="16"/>
  <c r="N1004" i="16"/>
  <c r="O1004" i="16"/>
  <c r="P1004" i="16"/>
  <c r="Q1004" i="16"/>
  <c r="R1004" i="16"/>
  <c r="S1004" i="16"/>
  <c r="T1004" i="16"/>
  <c r="U1004" i="16"/>
  <c r="E1005" i="16"/>
  <c r="G1005" i="16"/>
  <c r="H1005" i="16"/>
  <c r="I1005" i="16"/>
  <c r="J1005" i="16"/>
  <c r="K1005" i="16"/>
  <c r="L1005" i="16"/>
  <c r="M1005" i="16"/>
  <c r="N1005" i="16"/>
  <c r="O1005" i="16"/>
  <c r="P1005" i="16"/>
  <c r="Q1005" i="16"/>
  <c r="R1005" i="16"/>
  <c r="S1005" i="16"/>
  <c r="T1005" i="16"/>
  <c r="U1005" i="16"/>
  <c r="G1006" i="16"/>
  <c r="E1007" i="16"/>
  <c r="S1007" i="16"/>
  <c r="Q1008" i="16"/>
  <c r="E1009" i="16"/>
  <c r="G1009" i="16"/>
  <c r="H1009" i="16"/>
  <c r="I1009" i="16"/>
  <c r="J1009" i="16"/>
  <c r="K1009" i="16"/>
  <c r="L1009" i="16"/>
  <c r="M1009" i="16"/>
  <c r="N1009" i="16"/>
  <c r="O1009" i="16"/>
  <c r="P1009" i="16"/>
  <c r="Q1009" i="16"/>
  <c r="R1009" i="16"/>
  <c r="S1009" i="16"/>
  <c r="T1009" i="16"/>
  <c r="U1009" i="16"/>
  <c r="E1010" i="16"/>
  <c r="G1010" i="16"/>
  <c r="H1010" i="16"/>
  <c r="I1010" i="16"/>
  <c r="J1010" i="16"/>
  <c r="K1010" i="16"/>
  <c r="L1010" i="16"/>
  <c r="M1010" i="16"/>
  <c r="N1010" i="16"/>
  <c r="O1010" i="16"/>
  <c r="P1010" i="16"/>
  <c r="Q1010" i="16"/>
  <c r="R1010" i="16"/>
  <c r="S1010" i="16"/>
  <c r="T1010" i="16"/>
  <c r="U1010" i="16"/>
  <c r="L1013" i="16"/>
  <c r="L1014" i="16"/>
  <c r="E1015" i="16"/>
  <c r="G1015" i="16"/>
  <c r="H1015" i="16"/>
  <c r="I1015" i="16"/>
  <c r="J1015" i="16"/>
  <c r="K1015" i="16"/>
  <c r="L1015" i="16"/>
  <c r="M1015" i="16"/>
  <c r="N1015" i="16"/>
  <c r="O1015" i="16"/>
  <c r="P1015" i="16"/>
  <c r="Q1015" i="16"/>
  <c r="R1015" i="16"/>
  <c r="S1015" i="16"/>
  <c r="T1015" i="16"/>
  <c r="U1015" i="16"/>
  <c r="Q1016" i="16"/>
  <c r="E1018" i="16"/>
  <c r="G1018" i="16"/>
  <c r="H1018" i="16"/>
  <c r="I1018" i="16"/>
  <c r="J1018" i="16"/>
  <c r="K1018" i="16"/>
  <c r="L1018" i="16"/>
  <c r="M1018" i="16"/>
  <c r="N1018" i="16"/>
  <c r="O1018" i="16"/>
  <c r="P1018" i="16"/>
  <c r="Q1018" i="16"/>
  <c r="R1018" i="16"/>
  <c r="S1018" i="16"/>
  <c r="T1018" i="16"/>
  <c r="U1018" i="16"/>
  <c r="E1019" i="16"/>
  <c r="G1019" i="16"/>
  <c r="H1019" i="16"/>
  <c r="I1019" i="16"/>
  <c r="J1019" i="16"/>
  <c r="K1019" i="16"/>
  <c r="L1019" i="16"/>
  <c r="M1019" i="16"/>
  <c r="N1019" i="16"/>
  <c r="O1019" i="16"/>
  <c r="P1019" i="16"/>
  <c r="Q1019" i="16"/>
  <c r="R1019" i="16"/>
  <c r="S1019" i="16"/>
  <c r="T1019" i="16"/>
  <c r="U1019" i="16"/>
  <c r="T1021" i="16"/>
  <c r="E1023" i="16"/>
  <c r="G1023" i="16"/>
  <c r="H1023" i="16"/>
  <c r="I1023" i="16"/>
  <c r="J1023" i="16"/>
  <c r="K1023" i="16"/>
  <c r="L1023" i="16"/>
  <c r="M1023" i="16"/>
  <c r="N1023" i="16"/>
  <c r="O1023" i="16"/>
  <c r="P1023" i="16"/>
  <c r="Q1023" i="16"/>
  <c r="R1023" i="16"/>
  <c r="S1023" i="16"/>
  <c r="T1023" i="16"/>
  <c r="U1023" i="16"/>
  <c r="E1025" i="16"/>
  <c r="G1025" i="16"/>
  <c r="H1025" i="16"/>
  <c r="I1025" i="16"/>
  <c r="J1025" i="16"/>
  <c r="K1025" i="16"/>
  <c r="L1025" i="16"/>
  <c r="M1025" i="16"/>
  <c r="N1025" i="16"/>
  <c r="O1025" i="16"/>
  <c r="P1025" i="16"/>
  <c r="Q1025" i="16"/>
  <c r="R1025" i="16"/>
  <c r="S1025" i="16"/>
  <c r="T1025" i="16"/>
  <c r="U1025" i="16"/>
  <c r="L1026" i="16"/>
  <c r="E1027" i="16"/>
  <c r="G1027" i="16"/>
  <c r="H1027" i="16"/>
  <c r="I1027" i="16"/>
  <c r="J1027" i="16"/>
  <c r="K1027" i="16"/>
  <c r="L1027" i="16"/>
  <c r="M1027" i="16"/>
  <c r="N1027" i="16"/>
  <c r="O1027" i="16"/>
  <c r="P1027" i="16"/>
  <c r="Q1027" i="16"/>
  <c r="R1027" i="16"/>
  <c r="S1027" i="16"/>
  <c r="T1027" i="16"/>
  <c r="U1027" i="16"/>
  <c r="N1029" i="16"/>
  <c r="T1029" i="16"/>
  <c r="N1030" i="16"/>
  <c r="E1031" i="16"/>
  <c r="G1031" i="16"/>
  <c r="H1031" i="16"/>
  <c r="I1031" i="16"/>
  <c r="J1031" i="16"/>
  <c r="K1031" i="16"/>
  <c r="L1031" i="16"/>
  <c r="M1031" i="16"/>
  <c r="N1031" i="16"/>
  <c r="O1031" i="16"/>
  <c r="P1031" i="16"/>
  <c r="Q1031" i="16"/>
  <c r="R1031" i="16"/>
  <c r="S1031" i="16"/>
  <c r="T1031" i="16"/>
  <c r="U1031" i="16"/>
  <c r="H1032" i="16"/>
  <c r="E1033" i="16"/>
  <c r="G1033" i="16"/>
  <c r="H1033" i="16"/>
  <c r="I1033" i="16"/>
  <c r="J1033" i="16"/>
  <c r="K1033" i="16"/>
  <c r="L1033" i="16"/>
  <c r="M1033" i="16"/>
  <c r="N1033" i="16"/>
  <c r="O1033" i="16"/>
  <c r="P1033" i="16"/>
  <c r="Q1033" i="16"/>
  <c r="R1033" i="16"/>
  <c r="S1033" i="16"/>
  <c r="T1033" i="16"/>
  <c r="U1033" i="16"/>
  <c r="E1034" i="16"/>
  <c r="G1034" i="16"/>
  <c r="H1034" i="16"/>
  <c r="I1034" i="16"/>
  <c r="J1034" i="16"/>
  <c r="K1034" i="16"/>
  <c r="L1034" i="16"/>
  <c r="M1034" i="16"/>
  <c r="N1034" i="16"/>
  <c r="O1034" i="16"/>
  <c r="P1034" i="16"/>
  <c r="Q1034" i="16"/>
  <c r="R1034" i="16"/>
  <c r="S1034" i="16"/>
  <c r="T1034" i="16"/>
  <c r="U1034" i="16"/>
  <c r="L1035" i="16"/>
  <c r="P1037" i="16"/>
  <c r="T1038" i="16"/>
  <c r="G1039" i="16"/>
  <c r="Q1039" i="16"/>
  <c r="E1041" i="16"/>
  <c r="G1041" i="16"/>
  <c r="H1041" i="16"/>
  <c r="I1041" i="16"/>
  <c r="J1041" i="16"/>
  <c r="K1041" i="16"/>
  <c r="L1041" i="16"/>
  <c r="M1041" i="16"/>
  <c r="N1041" i="16"/>
  <c r="O1041" i="16"/>
  <c r="P1041" i="16"/>
  <c r="Q1041" i="16"/>
  <c r="R1041" i="16"/>
  <c r="S1041" i="16"/>
  <c r="T1041" i="16"/>
  <c r="U1041" i="16"/>
  <c r="E1042" i="16"/>
  <c r="G1042" i="16"/>
  <c r="H1042" i="16"/>
  <c r="I1042" i="16"/>
  <c r="J1042" i="16"/>
  <c r="K1042" i="16"/>
  <c r="L1042" i="16"/>
  <c r="M1042" i="16"/>
  <c r="N1042" i="16"/>
  <c r="O1042" i="16"/>
  <c r="P1042" i="16"/>
  <c r="Q1042" i="16"/>
  <c r="R1042" i="16"/>
  <c r="S1042" i="16"/>
  <c r="T1042" i="16"/>
  <c r="U1042" i="16"/>
  <c r="E1044" i="16"/>
  <c r="G1044" i="16"/>
  <c r="H1044" i="16"/>
  <c r="I1044" i="16"/>
  <c r="J1044" i="16"/>
  <c r="K1044" i="16"/>
  <c r="L1044" i="16"/>
  <c r="M1044" i="16"/>
  <c r="N1044" i="16"/>
  <c r="O1044" i="16"/>
  <c r="P1044" i="16"/>
  <c r="Q1044" i="16"/>
  <c r="R1044" i="16"/>
  <c r="S1044" i="16"/>
  <c r="T1044" i="16"/>
  <c r="U1044" i="16"/>
  <c r="E1046" i="16"/>
  <c r="G1046" i="16"/>
  <c r="H1046" i="16"/>
  <c r="I1046" i="16"/>
  <c r="J1046" i="16"/>
  <c r="K1046" i="16"/>
  <c r="L1046" i="16"/>
  <c r="M1046" i="16"/>
  <c r="N1046" i="16"/>
  <c r="O1046" i="16"/>
  <c r="P1046" i="16"/>
  <c r="Q1046" i="16"/>
  <c r="R1046" i="16"/>
  <c r="S1046" i="16"/>
  <c r="T1046" i="16"/>
  <c r="U1046" i="16"/>
  <c r="E1047" i="16"/>
  <c r="G1047" i="16"/>
  <c r="H1047" i="16"/>
  <c r="I1047" i="16"/>
  <c r="J1047" i="16"/>
  <c r="K1047" i="16"/>
  <c r="L1047" i="16"/>
  <c r="M1047" i="16"/>
  <c r="N1047" i="16"/>
  <c r="O1047" i="16"/>
  <c r="P1047" i="16"/>
  <c r="Q1047" i="16"/>
  <c r="R1047" i="16"/>
  <c r="S1047" i="16"/>
  <c r="T1047" i="16"/>
  <c r="U1047" i="16"/>
  <c r="E1048" i="16"/>
  <c r="G1048" i="16"/>
  <c r="H1048" i="16"/>
  <c r="I1048" i="16"/>
  <c r="J1048" i="16"/>
  <c r="K1048" i="16"/>
  <c r="L1048" i="16"/>
  <c r="M1048" i="16"/>
  <c r="N1048" i="16"/>
  <c r="O1048" i="16"/>
  <c r="P1048" i="16"/>
  <c r="Q1048" i="16"/>
  <c r="R1048" i="16"/>
  <c r="S1048" i="16"/>
  <c r="T1048" i="16"/>
  <c r="U1048" i="16"/>
  <c r="N1049" i="16"/>
  <c r="E1050" i="16"/>
  <c r="G1050" i="16"/>
  <c r="H1050" i="16"/>
  <c r="I1050" i="16"/>
  <c r="J1050" i="16"/>
  <c r="K1050" i="16"/>
  <c r="L1050" i="16"/>
  <c r="M1050" i="16"/>
  <c r="N1050" i="16"/>
  <c r="O1050" i="16"/>
  <c r="P1050" i="16"/>
  <c r="Q1050" i="16"/>
  <c r="R1050" i="16"/>
  <c r="S1050" i="16"/>
  <c r="T1050" i="16"/>
  <c r="U1050" i="16"/>
  <c r="K1051" i="16"/>
  <c r="R1052" i="16"/>
  <c r="N1053" i="16"/>
  <c r="E1054" i="16"/>
  <c r="G1054" i="16"/>
  <c r="H1054" i="16"/>
  <c r="I1054" i="16"/>
  <c r="J1054" i="16"/>
  <c r="K1054" i="16"/>
  <c r="L1054" i="16"/>
  <c r="M1054" i="16"/>
  <c r="N1054" i="16"/>
  <c r="O1054" i="16"/>
  <c r="P1054" i="16"/>
  <c r="Q1054" i="16"/>
  <c r="R1054" i="16"/>
  <c r="S1054" i="16"/>
  <c r="T1054" i="16"/>
  <c r="U1054" i="16"/>
  <c r="E1055" i="16"/>
  <c r="G1055" i="16"/>
  <c r="H1055" i="16"/>
  <c r="I1055" i="16"/>
  <c r="J1055" i="16"/>
  <c r="K1055" i="16"/>
  <c r="L1055" i="16"/>
  <c r="M1055" i="16"/>
  <c r="N1055" i="16"/>
  <c r="O1055" i="16"/>
  <c r="P1055" i="16"/>
  <c r="Q1055" i="16"/>
  <c r="R1055" i="16"/>
  <c r="S1055" i="16"/>
  <c r="T1055" i="16"/>
  <c r="U1055" i="16"/>
  <c r="E1056" i="16"/>
  <c r="G1056" i="16"/>
  <c r="H1056" i="16"/>
  <c r="I1056" i="16"/>
  <c r="J1056" i="16"/>
  <c r="K1056" i="16"/>
  <c r="L1056" i="16"/>
  <c r="M1056" i="16"/>
  <c r="N1056" i="16"/>
  <c r="O1056" i="16"/>
  <c r="P1056" i="16"/>
  <c r="Q1056" i="16"/>
  <c r="R1056" i="16"/>
  <c r="S1056" i="16"/>
  <c r="T1056" i="16"/>
  <c r="U1056" i="16"/>
  <c r="E1058" i="16"/>
  <c r="G1058" i="16"/>
  <c r="H1058" i="16"/>
  <c r="I1058" i="16"/>
  <c r="J1058" i="16"/>
  <c r="K1058" i="16"/>
  <c r="L1058" i="16"/>
  <c r="M1058" i="16"/>
  <c r="N1058" i="16"/>
  <c r="O1058" i="16"/>
  <c r="P1058" i="16"/>
  <c r="Q1058" i="16"/>
  <c r="R1058" i="16"/>
  <c r="S1058" i="16"/>
  <c r="T1058" i="16"/>
  <c r="U1058" i="16"/>
  <c r="E1059" i="16"/>
  <c r="G1059" i="16"/>
  <c r="H1059" i="16"/>
  <c r="I1059" i="16"/>
  <c r="J1059" i="16"/>
  <c r="K1059" i="16"/>
  <c r="L1059" i="16"/>
  <c r="M1059" i="16"/>
  <c r="N1059" i="16"/>
  <c r="O1059" i="16"/>
  <c r="P1059" i="16"/>
  <c r="Q1059" i="16"/>
  <c r="R1059" i="16"/>
  <c r="S1059" i="16"/>
  <c r="T1059" i="16"/>
  <c r="U1059" i="16"/>
  <c r="J1061" i="16"/>
  <c r="E1062" i="16"/>
  <c r="G1062" i="16"/>
  <c r="H1062" i="16"/>
  <c r="I1062" i="16"/>
  <c r="J1062" i="16"/>
  <c r="K1062" i="16"/>
  <c r="L1062" i="16"/>
  <c r="M1062" i="16"/>
  <c r="N1062" i="16"/>
  <c r="O1062" i="16"/>
  <c r="P1062" i="16"/>
  <c r="Q1062" i="16"/>
  <c r="R1062" i="16"/>
  <c r="S1062" i="16"/>
  <c r="T1062" i="16"/>
  <c r="U1062" i="16"/>
  <c r="E1063" i="16"/>
  <c r="G1063" i="16"/>
  <c r="H1063" i="16"/>
  <c r="I1063" i="16"/>
  <c r="J1063" i="16"/>
  <c r="K1063" i="16"/>
  <c r="L1063" i="16"/>
  <c r="M1063" i="16"/>
  <c r="N1063" i="16"/>
  <c r="O1063" i="16"/>
  <c r="P1063" i="16"/>
  <c r="Q1063" i="16"/>
  <c r="R1063" i="16"/>
  <c r="S1063" i="16"/>
  <c r="T1063" i="16"/>
  <c r="U1063" i="16"/>
  <c r="E1064" i="16"/>
  <c r="G1064" i="16"/>
  <c r="H1064" i="16"/>
  <c r="I1064" i="16"/>
  <c r="J1064" i="16"/>
  <c r="K1064" i="16"/>
  <c r="L1064" i="16"/>
  <c r="M1064" i="16"/>
  <c r="N1064" i="16"/>
  <c r="O1064" i="16"/>
  <c r="P1064" i="16"/>
  <c r="Q1064" i="16"/>
  <c r="R1064" i="16"/>
  <c r="S1064" i="16"/>
  <c r="T1064" i="16"/>
  <c r="U1064" i="16"/>
  <c r="T1065" i="16"/>
  <c r="E1066" i="16"/>
  <c r="G1066" i="16"/>
  <c r="H1066" i="16"/>
  <c r="I1066" i="16"/>
  <c r="J1066" i="16"/>
  <c r="K1066" i="16"/>
  <c r="L1066" i="16"/>
  <c r="M1066" i="16"/>
  <c r="N1066" i="16"/>
  <c r="O1066" i="16"/>
  <c r="P1066" i="16"/>
  <c r="Q1066" i="16"/>
  <c r="R1066" i="16"/>
  <c r="S1066" i="16"/>
  <c r="T1066" i="16"/>
  <c r="U1066" i="16"/>
  <c r="E1067" i="16"/>
  <c r="G1067" i="16"/>
  <c r="H1067" i="16"/>
  <c r="I1067" i="16"/>
  <c r="J1067" i="16"/>
  <c r="K1067" i="16"/>
  <c r="L1067" i="16"/>
  <c r="M1067" i="16"/>
  <c r="N1067" i="16"/>
  <c r="O1067" i="16"/>
  <c r="P1067" i="16"/>
  <c r="Q1067" i="16"/>
  <c r="R1067" i="16"/>
  <c r="S1067" i="16"/>
  <c r="T1067" i="16"/>
  <c r="U1067" i="16"/>
  <c r="O1068" i="16"/>
  <c r="E1069" i="16"/>
  <c r="G1069" i="16"/>
  <c r="H1069" i="16"/>
  <c r="I1069" i="16"/>
  <c r="J1069" i="16"/>
  <c r="K1069" i="16"/>
  <c r="L1069" i="16"/>
  <c r="M1069" i="16"/>
  <c r="N1069" i="16"/>
  <c r="O1069" i="16"/>
  <c r="P1069" i="16"/>
  <c r="Q1069" i="16"/>
  <c r="R1069" i="16"/>
  <c r="S1069" i="16"/>
  <c r="T1069" i="16"/>
  <c r="U1069" i="16"/>
  <c r="E1070" i="16"/>
  <c r="G1070" i="16"/>
  <c r="H1070" i="16"/>
  <c r="I1070" i="16"/>
  <c r="J1070" i="16"/>
  <c r="K1070" i="16"/>
  <c r="L1070" i="16"/>
  <c r="M1070" i="16"/>
  <c r="N1070" i="16"/>
  <c r="O1070" i="16"/>
  <c r="P1070" i="16"/>
  <c r="Q1070" i="16"/>
  <c r="R1070" i="16"/>
  <c r="S1070" i="16"/>
  <c r="T1070" i="16"/>
  <c r="U1070" i="16"/>
  <c r="E1071" i="16"/>
  <c r="G1071" i="16"/>
  <c r="H1071" i="16"/>
  <c r="I1071" i="16"/>
  <c r="J1071" i="16"/>
  <c r="K1071" i="16"/>
  <c r="L1071" i="16"/>
  <c r="M1071" i="16"/>
  <c r="N1071" i="16"/>
  <c r="O1071" i="16"/>
  <c r="P1071" i="16"/>
  <c r="Q1071" i="16"/>
  <c r="R1071" i="16"/>
  <c r="S1071" i="16"/>
  <c r="T1071" i="16"/>
  <c r="U1071" i="16"/>
  <c r="E1072" i="16"/>
  <c r="E1073" i="16"/>
  <c r="G1073" i="16"/>
  <c r="H1073" i="16"/>
  <c r="I1073" i="16"/>
  <c r="J1073" i="16"/>
  <c r="K1073" i="16"/>
  <c r="L1073" i="16"/>
  <c r="M1073" i="16"/>
  <c r="N1073" i="16"/>
  <c r="O1073" i="16"/>
  <c r="P1073" i="16"/>
  <c r="Q1073" i="16"/>
  <c r="R1073" i="16"/>
  <c r="S1073" i="16"/>
  <c r="T1073" i="16"/>
  <c r="U1073" i="16"/>
  <c r="E1074" i="16"/>
  <c r="G1074" i="16"/>
  <c r="H1074" i="16"/>
  <c r="I1074" i="16"/>
  <c r="J1074" i="16"/>
  <c r="K1074" i="16"/>
  <c r="L1074" i="16"/>
  <c r="M1074" i="16"/>
  <c r="N1074" i="16"/>
  <c r="O1074" i="16"/>
  <c r="P1074" i="16"/>
  <c r="Q1074" i="16"/>
  <c r="R1074" i="16"/>
  <c r="S1074" i="16"/>
  <c r="T1074" i="16"/>
  <c r="U1074" i="16"/>
  <c r="P1075" i="16"/>
  <c r="P1077" i="16"/>
  <c r="E1078" i="16"/>
  <c r="G1078" i="16"/>
  <c r="H1078" i="16"/>
  <c r="I1078" i="16"/>
  <c r="J1078" i="16"/>
  <c r="K1078" i="16"/>
  <c r="L1078" i="16"/>
  <c r="M1078" i="16"/>
  <c r="N1078" i="16"/>
  <c r="O1078" i="16"/>
  <c r="P1078" i="16"/>
  <c r="Q1078" i="16"/>
  <c r="R1078" i="16"/>
  <c r="S1078" i="16"/>
  <c r="T1078" i="16"/>
  <c r="U1078" i="16"/>
  <c r="E1079" i="16"/>
  <c r="G1079" i="16"/>
  <c r="H1079" i="16"/>
  <c r="I1079" i="16"/>
  <c r="J1079" i="16"/>
  <c r="K1079" i="16"/>
  <c r="L1079" i="16"/>
  <c r="M1079" i="16"/>
  <c r="N1079" i="16"/>
  <c r="O1079" i="16"/>
  <c r="P1079" i="16"/>
  <c r="Q1079" i="16"/>
  <c r="R1079" i="16"/>
  <c r="S1079" i="16"/>
  <c r="T1079" i="16"/>
  <c r="U1079" i="16"/>
  <c r="S1080" i="16"/>
  <c r="N1081" i="16"/>
  <c r="E1082" i="16"/>
  <c r="G1082" i="16"/>
  <c r="H1082" i="16"/>
  <c r="I1082" i="16"/>
  <c r="J1082" i="16"/>
  <c r="K1082" i="16"/>
  <c r="L1082" i="16"/>
  <c r="M1082" i="16"/>
  <c r="N1082" i="16"/>
  <c r="O1082" i="16"/>
  <c r="P1082" i="16"/>
  <c r="Q1082" i="16"/>
  <c r="R1082" i="16"/>
  <c r="S1082" i="16"/>
  <c r="T1082" i="16"/>
  <c r="U1082" i="16"/>
  <c r="I1084" i="16"/>
  <c r="Q1085" i="16"/>
  <c r="E1086" i="16"/>
  <c r="G1086" i="16"/>
  <c r="H1086" i="16"/>
  <c r="I1086" i="16"/>
  <c r="J1086" i="16"/>
  <c r="K1086" i="16"/>
  <c r="L1086" i="16"/>
  <c r="M1086" i="16"/>
  <c r="N1086" i="16"/>
  <c r="O1086" i="16"/>
  <c r="P1086" i="16"/>
  <c r="Q1086" i="16"/>
  <c r="R1086" i="16"/>
  <c r="S1086" i="16"/>
  <c r="T1086" i="16"/>
  <c r="U1086" i="16"/>
  <c r="E1087" i="16"/>
  <c r="G1087" i="16"/>
  <c r="H1087" i="16"/>
  <c r="I1087" i="16"/>
  <c r="J1087" i="16"/>
  <c r="K1087" i="16"/>
  <c r="L1087" i="16"/>
  <c r="M1087" i="16"/>
  <c r="N1087" i="16"/>
  <c r="O1087" i="16"/>
  <c r="P1087" i="16"/>
  <c r="Q1087" i="16"/>
  <c r="R1087" i="16"/>
  <c r="S1087" i="16"/>
  <c r="T1087" i="16"/>
  <c r="U1087" i="16"/>
  <c r="L1088" i="16"/>
  <c r="N1089" i="16"/>
  <c r="E1090" i="16"/>
  <c r="G1090" i="16"/>
  <c r="H1090" i="16"/>
  <c r="I1090" i="16"/>
  <c r="J1090" i="16"/>
  <c r="K1090" i="16"/>
  <c r="L1090" i="16"/>
  <c r="M1090" i="16"/>
  <c r="N1090" i="16"/>
  <c r="O1090" i="16"/>
  <c r="P1090" i="16"/>
  <c r="Q1090" i="16"/>
  <c r="R1090" i="16"/>
  <c r="S1090" i="16"/>
  <c r="T1090" i="16"/>
  <c r="U1090" i="16"/>
  <c r="E1091" i="16"/>
  <c r="G1091" i="16"/>
  <c r="H1091" i="16"/>
  <c r="I1091" i="16"/>
  <c r="J1091" i="16"/>
  <c r="K1091" i="16"/>
  <c r="L1091" i="16"/>
  <c r="M1091" i="16"/>
  <c r="N1091" i="16"/>
  <c r="O1091" i="16"/>
  <c r="P1091" i="16"/>
  <c r="Q1091" i="16"/>
  <c r="R1091" i="16"/>
  <c r="S1091" i="16"/>
  <c r="T1091" i="16"/>
  <c r="U1091" i="16"/>
  <c r="E1094" i="16"/>
  <c r="G1094" i="16"/>
  <c r="H1094" i="16"/>
  <c r="I1094" i="16"/>
  <c r="J1094" i="16"/>
  <c r="K1094" i="16"/>
  <c r="L1094" i="16"/>
  <c r="M1094" i="16"/>
  <c r="N1094" i="16"/>
  <c r="O1094" i="16"/>
  <c r="P1094" i="16"/>
  <c r="Q1094" i="16"/>
  <c r="R1094" i="16"/>
  <c r="S1094" i="16"/>
  <c r="T1094" i="16"/>
  <c r="U1094" i="16"/>
  <c r="E1095" i="16"/>
  <c r="G1095" i="16"/>
  <c r="H1095" i="16"/>
  <c r="I1095" i="16"/>
  <c r="J1095" i="16"/>
  <c r="K1095" i="16"/>
  <c r="L1095" i="16"/>
  <c r="M1095" i="16"/>
  <c r="N1095" i="16"/>
  <c r="O1095" i="16"/>
  <c r="P1095" i="16"/>
  <c r="Q1095" i="16"/>
  <c r="R1095" i="16"/>
  <c r="S1095" i="16"/>
  <c r="T1095" i="16"/>
  <c r="U1095" i="16"/>
  <c r="L1096" i="16"/>
  <c r="E1099" i="16"/>
  <c r="G1099" i="16"/>
  <c r="H1099" i="16"/>
  <c r="I1099" i="16"/>
  <c r="J1099" i="16"/>
  <c r="K1099" i="16"/>
  <c r="L1099" i="16"/>
  <c r="M1099" i="16"/>
  <c r="N1099" i="16"/>
  <c r="O1099" i="16"/>
  <c r="P1099" i="16"/>
  <c r="Q1099" i="16"/>
  <c r="R1099" i="16"/>
  <c r="S1099" i="16"/>
  <c r="T1099" i="16"/>
  <c r="U1099" i="16"/>
  <c r="J1100" i="16"/>
  <c r="O1100" i="16"/>
  <c r="E1101" i="16"/>
  <c r="G1101" i="16"/>
  <c r="H1101" i="16"/>
  <c r="I1101" i="16"/>
  <c r="J1101" i="16"/>
  <c r="K1101" i="16"/>
  <c r="L1101" i="16"/>
  <c r="M1101" i="16"/>
  <c r="N1101" i="16"/>
  <c r="O1101" i="16"/>
  <c r="P1101" i="16"/>
  <c r="Q1101" i="16"/>
  <c r="R1101" i="16"/>
  <c r="S1101" i="16"/>
  <c r="T1101" i="16"/>
  <c r="U1101" i="16"/>
  <c r="E1103" i="16"/>
  <c r="G1103" i="16"/>
  <c r="H1103" i="16"/>
  <c r="I1103" i="16"/>
  <c r="J1103" i="16"/>
  <c r="K1103" i="16"/>
  <c r="L1103" i="16"/>
  <c r="M1103" i="16"/>
  <c r="N1103" i="16"/>
  <c r="O1103" i="16"/>
  <c r="P1103" i="16"/>
  <c r="Q1103" i="16"/>
  <c r="R1103" i="16"/>
  <c r="S1103" i="16"/>
  <c r="T1103" i="16"/>
  <c r="U1103" i="16"/>
  <c r="J1104" i="16"/>
  <c r="O1104" i="16"/>
  <c r="I1105" i="16"/>
  <c r="E1106" i="16"/>
  <c r="G1106" i="16"/>
  <c r="H1106" i="16"/>
  <c r="I1106" i="16"/>
  <c r="J1106" i="16"/>
  <c r="K1106" i="16"/>
  <c r="L1106" i="16"/>
  <c r="M1106" i="16"/>
  <c r="N1106" i="16"/>
  <c r="O1106" i="16"/>
  <c r="P1106" i="16"/>
  <c r="Q1106" i="16"/>
  <c r="R1106" i="16"/>
  <c r="S1106" i="16"/>
  <c r="T1106" i="16"/>
  <c r="U1106" i="16"/>
  <c r="E1107" i="16"/>
  <c r="G1107" i="16"/>
  <c r="H1107" i="16"/>
  <c r="I1107" i="16"/>
  <c r="J1107" i="16"/>
  <c r="K1107" i="16"/>
  <c r="L1107" i="16"/>
  <c r="M1107" i="16"/>
  <c r="N1107" i="16"/>
  <c r="O1107" i="16"/>
  <c r="P1107" i="16"/>
  <c r="Q1107" i="16"/>
  <c r="R1107" i="16"/>
  <c r="S1107" i="16"/>
  <c r="T1107" i="16"/>
  <c r="U1107" i="16"/>
  <c r="E1108" i="16"/>
  <c r="G1108" i="16"/>
  <c r="H1108" i="16"/>
  <c r="I1108" i="16"/>
  <c r="J1108" i="16"/>
  <c r="K1108" i="16"/>
  <c r="L1108" i="16"/>
  <c r="M1108" i="16"/>
  <c r="N1108" i="16"/>
  <c r="O1108" i="16"/>
  <c r="P1108" i="16"/>
  <c r="Q1108" i="16"/>
  <c r="R1108" i="16"/>
  <c r="S1108" i="16"/>
  <c r="T1108" i="16"/>
  <c r="U1108" i="16"/>
  <c r="E1109" i="16"/>
  <c r="G1109" i="16"/>
  <c r="H1109" i="16"/>
  <c r="I1109" i="16"/>
  <c r="J1109" i="16"/>
  <c r="K1109" i="16"/>
  <c r="L1109" i="16"/>
  <c r="M1109" i="16"/>
  <c r="N1109" i="16"/>
  <c r="O1109" i="16"/>
  <c r="P1109" i="16"/>
  <c r="Q1109" i="16"/>
  <c r="R1109" i="16"/>
  <c r="S1109" i="16"/>
  <c r="T1109" i="16"/>
  <c r="U1109" i="16"/>
  <c r="O1110" i="16"/>
  <c r="E1111" i="16"/>
  <c r="G1111" i="16"/>
  <c r="H1111" i="16"/>
  <c r="I1111" i="16"/>
  <c r="J1111" i="16"/>
  <c r="K1111" i="16"/>
  <c r="L1111" i="16"/>
  <c r="M1111" i="16"/>
  <c r="N1111" i="16"/>
  <c r="O1111" i="16"/>
  <c r="P1111" i="16"/>
  <c r="Q1111" i="16"/>
  <c r="R1111" i="16"/>
  <c r="S1111" i="16"/>
  <c r="T1111" i="16"/>
  <c r="U1111" i="16"/>
  <c r="H1112" i="16"/>
  <c r="E1113" i="16"/>
  <c r="G1113" i="16"/>
  <c r="H1113" i="16"/>
  <c r="I1113" i="16"/>
  <c r="J1113" i="16"/>
  <c r="K1113" i="16"/>
  <c r="L1113" i="16"/>
  <c r="M1113" i="16"/>
  <c r="N1113" i="16"/>
  <c r="O1113" i="16"/>
  <c r="P1113" i="16"/>
  <c r="Q1113" i="16"/>
  <c r="R1113" i="16"/>
  <c r="S1113" i="16"/>
  <c r="T1113" i="16"/>
  <c r="U1113" i="16"/>
  <c r="H1114" i="16"/>
  <c r="U1115" i="16"/>
  <c r="Q1116" i="16"/>
  <c r="P1117" i="16"/>
  <c r="E1118" i="16"/>
  <c r="G1118" i="16"/>
  <c r="H1118" i="16"/>
  <c r="I1118" i="16"/>
  <c r="J1118" i="16"/>
  <c r="K1118" i="16"/>
  <c r="L1118" i="16"/>
  <c r="M1118" i="16"/>
  <c r="N1118" i="16"/>
  <c r="O1118" i="16"/>
  <c r="P1118" i="16"/>
  <c r="Q1118" i="16"/>
  <c r="R1118" i="16"/>
  <c r="S1118" i="16"/>
  <c r="T1118" i="16"/>
  <c r="U1118" i="16"/>
  <c r="E1119" i="16"/>
  <c r="G1119" i="16"/>
  <c r="H1119" i="16"/>
  <c r="I1119" i="16"/>
  <c r="J1119" i="16"/>
  <c r="K1119" i="16"/>
  <c r="L1119" i="16"/>
  <c r="M1119" i="16"/>
  <c r="N1119" i="16"/>
  <c r="O1119" i="16"/>
  <c r="P1119" i="16"/>
  <c r="Q1119" i="16"/>
  <c r="R1119" i="16"/>
  <c r="S1119" i="16"/>
  <c r="T1119" i="16"/>
  <c r="U1119" i="16"/>
  <c r="E1120" i="16"/>
  <c r="G1120" i="16"/>
  <c r="H1120" i="16"/>
  <c r="I1120" i="16"/>
  <c r="J1120" i="16"/>
  <c r="K1120" i="16"/>
  <c r="L1120" i="16"/>
  <c r="M1120" i="16"/>
  <c r="N1120" i="16"/>
  <c r="O1120" i="16"/>
  <c r="P1120" i="16"/>
  <c r="Q1120" i="16"/>
  <c r="R1120" i="16"/>
  <c r="S1120" i="16"/>
  <c r="T1120" i="16"/>
  <c r="U1120" i="16"/>
  <c r="E1121" i="16"/>
  <c r="G1121" i="16"/>
  <c r="H1121" i="16"/>
  <c r="I1121" i="16"/>
  <c r="J1121" i="16"/>
  <c r="K1121" i="16"/>
  <c r="L1121" i="16"/>
  <c r="M1121" i="16"/>
  <c r="N1121" i="16"/>
  <c r="O1121" i="16"/>
  <c r="P1121" i="16"/>
  <c r="Q1121" i="16"/>
  <c r="R1121" i="16"/>
  <c r="S1121" i="16"/>
  <c r="T1121" i="16"/>
  <c r="U1121" i="16"/>
  <c r="E1123" i="16"/>
  <c r="G1123" i="16"/>
  <c r="H1123" i="16"/>
  <c r="I1123" i="16"/>
  <c r="J1123" i="16"/>
  <c r="K1123" i="16"/>
  <c r="L1123" i="16"/>
  <c r="M1123" i="16"/>
  <c r="N1123" i="16"/>
  <c r="O1123" i="16"/>
  <c r="P1123" i="16"/>
  <c r="Q1123" i="16"/>
  <c r="R1123" i="16"/>
  <c r="S1123" i="16"/>
  <c r="T1123" i="16"/>
  <c r="U1123" i="16"/>
  <c r="E1124" i="16"/>
  <c r="G1124" i="16"/>
  <c r="H1124" i="16"/>
  <c r="I1124" i="16"/>
  <c r="J1124" i="16"/>
  <c r="K1124" i="16"/>
  <c r="L1124" i="16"/>
  <c r="M1124" i="16"/>
  <c r="N1124" i="16"/>
  <c r="O1124" i="16"/>
  <c r="P1124" i="16"/>
  <c r="Q1124" i="16"/>
  <c r="R1124" i="16"/>
  <c r="S1124" i="16"/>
  <c r="T1124" i="16"/>
  <c r="U1124" i="16"/>
  <c r="E1125" i="16"/>
  <c r="G1125" i="16"/>
  <c r="H1125" i="16"/>
  <c r="I1125" i="16"/>
  <c r="J1125" i="16"/>
  <c r="K1125" i="16"/>
  <c r="L1125" i="16"/>
  <c r="M1125" i="16"/>
  <c r="N1125" i="16"/>
  <c r="O1125" i="16"/>
  <c r="P1125" i="16"/>
  <c r="Q1125" i="16"/>
  <c r="R1125" i="16"/>
  <c r="S1125" i="16"/>
  <c r="T1125" i="16"/>
  <c r="U1125" i="16"/>
  <c r="E1126" i="16"/>
  <c r="G1126" i="16"/>
  <c r="H1126" i="16"/>
  <c r="I1126" i="16"/>
  <c r="J1126" i="16"/>
  <c r="K1126" i="16"/>
  <c r="L1126" i="16"/>
  <c r="M1126" i="16"/>
  <c r="N1126" i="16"/>
  <c r="O1126" i="16"/>
  <c r="P1126" i="16"/>
  <c r="Q1126" i="16"/>
  <c r="R1126" i="16"/>
  <c r="S1126" i="16"/>
  <c r="T1126" i="16"/>
  <c r="U1126" i="16"/>
  <c r="E1127" i="16"/>
  <c r="G1127" i="16"/>
  <c r="H1127" i="16"/>
  <c r="I1127" i="16"/>
  <c r="J1127" i="16"/>
  <c r="K1127" i="16"/>
  <c r="L1127" i="16"/>
  <c r="M1127" i="16"/>
  <c r="N1127" i="16"/>
  <c r="O1127" i="16"/>
  <c r="P1127" i="16"/>
  <c r="Q1127" i="16"/>
  <c r="R1127" i="16"/>
  <c r="S1127" i="16"/>
  <c r="T1127" i="16"/>
  <c r="U1127" i="16"/>
  <c r="E1128" i="16"/>
  <c r="G1128" i="16"/>
  <c r="H1128" i="16"/>
  <c r="I1128" i="16"/>
  <c r="J1128" i="16"/>
  <c r="K1128" i="16"/>
  <c r="L1128" i="16"/>
  <c r="M1128" i="16"/>
  <c r="N1128" i="16"/>
  <c r="O1128" i="16"/>
  <c r="P1128" i="16"/>
  <c r="Q1128" i="16"/>
  <c r="R1128" i="16"/>
  <c r="S1128" i="16"/>
  <c r="T1128" i="16"/>
  <c r="U1128" i="16"/>
  <c r="E1129" i="16"/>
  <c r="G1129" i="16"/>
  <c r="H1129" i="16"/>
  <c r="I1129" i="16"/>
  <c r="J1129" i="16"/>
  <c r="K1129" i="16"/>
  <c r="L1129" i="16"/>
  <c r="M1129" i="16"/>
  <c r="N1129" i="16"/>
  <c r="O1129" i="16"/>
  <c r="P1129" i="16"/>
  <c r="Q1129" i="16"/>
  <c r="R1129" i="16"/>
  <c r="S1129" i="16"/>
  <c r="T1129" i="16"/>
  <c r="U1129" i="16"/>
  <c r="E1130" i="16"/>
  <c r="G1130" i="16"/>
  <c r="H1130" i="16"/>
  <c r="I1130" i="16"/>
  <c r="J1130" i="16"/>
  <c r="K1130" i="16"/>
  <c r="L1130" i="16"/>
  <c r="M1130" i="16"/>
  <c r="N1130" i="16"/>
  <c r="O1130" i="16"/>
  <c r="P1130" i="16"/>
  <c r="Q1130" i="16"/>
  <c r="R1130" i="16"/>
  <c r="S1130" i="16"/>
  <c r="T1130" i="16"/>
  <c r="U1130" i="16"/>
  <c r="E1131" i="16"/>
  <c r="G1131" i="16"/>
  <c r="H1131" i="16"/>
  <c r="I1131" i="16"/>
  <c r="J1131" i="16"/>
  <c r="K1131" i="16"/>
  <c r="L1131" i="16"/>
  <c r="M1131" i="16"/>
  <c r="N1131" i="16"/>
  <c r="O1131" i="16"/>
  <c r="P1131" i="16"/>
  <c r="Q1131" i="16"/>
  <c r="R1131" i="16"/>
  <c r="S1131" i="16"/>
  <c r="T1131" i="16"/>
  <c r="U1131" i="16"/>
  <c r="E1132" i="16"/>
  <c r="G1132" i="16"/>
  <c r="H1132" i="16"/>
  <c r="I1132" i="16"/>
  <c r="J1132" i="16"/>
  <c r="K1132" i="16"/>
  <c r="L1132" i="16"/>
  <c r="M1132" i="16"/>
  <c r="N1132" i="16"/>
  <c r="O1132" i="16"/>
  <c r="P1132" i="16"/>
  <c r="Q1132" i="16"/>
  <c r="R1132" i="16"/>
  <c r="S1132" i="16"/>
  <c r="T1132" i="16"/>
  <c r="U1132" i="16"/>
  <c r="E1133" i="16"/>
  <c r="G1133" i="16"/>
  <c r="H1133" i="16"/>
  <c r="I1133" i="16"/>
  <c r="J1133" i="16"/>
  <c r="K1133" i="16"/>
  <c r="L1133" i="16"/>
  <c r="M1133" i="16"/>
  <c r="N1133" i="16"/>
  <c r="O1133" i="16"/>
  <c r="P1133" i="16"/>
  <c r="Q1133" i="16"/>
  <c r="R1133" i="16"/>
  <c r="S1133" i="16"/>
  <c r="T1133" i="16"/>
  <c r="U1133" i="16"/>
  <c r="E1134" i="16"/>
  <c r="G1134" i="16"/>
  <c r="H1134" i="16"/>
  <c r="I1134" i="16"/>
  <c r="J1134" i="16"/>
  <c r="K1134" i="16"/>
  <c r="L1134" i="16"/>
  <c r="M1134" i="16"/>
  <c r="N1134" i="16"/>
  <c r="O1134" i="16"/>
  <c r="P1134" i="16"/>
  <c r="Q1134" i="16"/>
  <c r="R1134" i="16"/>
  <c r="S1134" i="16"/>
  <c r="T1134" i="16"/>
  <c r="U1134" i="16"/>
  <c r="E1135" i="16"/>
  <c r="G1135" i="16"/>
  <c r="H1135" i="16"/>
  <c r="I1135" i="16"/>
  <c r="J1135" i="16"/>
  <c r="K1135" i="16"/>
  <c r="L1135" i="16"/>
  <c r="M1135" i="16"/>
  <c r="N1135" i="16"/>
  <c r="O1135" i="16"/>
  <c r="P1135" i="16"/>
  <c r="Q1135" i="16"/>
  <c r="R1135" i="16"/>
  <c r="S1135" i="16"/>
  <c r="T1135" i="16"/>
  <c r="U1135" i="16"/>
  <c r="E1136" i="16"/>
  <c r="G1136" i="16"/>
  <c r="H1136" i="16"/>
  <c r="I1136" i="16"/>
  <c r="J1136" i="16"/>
  <c r="K1136" i="16"/>
  <c r="L1136" i="16"/>
  <c r="M1136" i="16"/>
  <c r="N1136" i="16"/>
  <c r="O1136" i="16"/>
  <c r="P1136" i="16"/>
  <c r="Q1136" i="16"/>
  <c r="R1136" i="16"/>
  <c r="S1136" i="16"/>
  <c r="T1136" i="16"/>
  <c r="U1136" i="16"/>
  <c r="E1137" i="16"/>
  <c r="G1137" i="16"/>
  <c r="H1137" i="16"/>
  <c r="I1137" i="16"/>
  <c r="J1137" i="16"/>
  <c r="K1137" i="16"/>
  <c r="L1137" i="16"/>
  <c r="M1137" i="16"/>
  <c r="N1137" i="16"/>
  <c r="O1137" i="16"/>
  <c r="P1137" i="16"/>
  <c r="Q1137" i="16"/>
  <c r="R1137" i="16"/>
  <c r="S1137" i="16"/>
  <c r="T1137" i="16"/>
  <c r="U1137" i="16"/>
  <c r="E1138" i="16"/>
  <c r="G1138" i="16"/>
  <c r="H1138" i="16"/>
  <c r="I1138" i="16"/>
  <c r="J1138" i="16"/>
  <c r="K1138" i="16"/>
  <c r="L1138" i="16"/>
  <c r="M1138" i="16"/>
  <c r="N1138" i="16"/>
  <c r="O1138" i="16"/>
  <c r="P1138" i="16"/>
  <c r="Q1138" i="16"/>
  <c r="R1138" i="16"/>
  <c r="S1138" i="16"/>
  <c r="T1138" i="16"/>
  <c r="U1138" i="16"/>
  <c r="E1139" i="16"/>
  <c r="G1139" i="16"/>
  <c r="H1139" i="16"/>
  <c r="I1139" i="16"/>
  <c r="J1139" i="16"/>
  <c r="K1139" i="16"/>
  <c r="L1139" i="16"/>
  <c r="M1139" i="16"/>
  <c r="N1139" i="16"/>
  <c r="O1139" i="16"/>
  <c r="P1139" i="16"/>
  <c r="Q1139" i="16"/>
  <c r="R1139" i="16"/>
  <c r="S1139" i="16"/>
  <c r="T1139" i="16"/>
  <c r="U1139" i="16"/>
  <c r="E1140" i="16"/>
  <c r="G1140" i="16"/>
  <c r="H1140" i="16"/>
  <c r="I1140" i="16"/>
  <c r="J1140" i="16"/>
  <c r="K1140" i="16"/>
  <c r="L1140" i="16"/>
  <c r="M1140" i="16"/>
  <c r="N1140" i="16"/>
  <c r="O1140" i="16"/>
  <c r="P1140" i="16"/>
  <c r="Q1140" i="16"/>
  <c r="R1140" i="16"/>
  <c r="S1140" i="16"/>
  <c r="T1140" i="16"/>
  <c r="U1140" i="16"/>
  <c r="E1141" i="16"/>
  <c r="G1141" i="16"/>
  <c r="H1141" i="16"/>
  <c r="I1141" i="16"/>
  <c r="J1141" i="16"/>
  <c r="K1141" i="16"/>
  <c r="L1141" i="16"/>
  <c r="M1141" i="16"/>
  <c r="N1141" i="16"/>
  <c r="O1141" i="16"/>
  <c r="P1141" i="16"/>
  <c r="Q1141" i="16"/>
  <c r="R1141" i="16"/>
  <c r="S1141" i="16"/>
  <c r="T1141" i="16"/>
  <c r="U1141" i="16"/>
  <c r="E1142" i="16"/>
  <c r="G1142" i="16"/>
  <c r="H1142" i="16"/>
  <c r="I1142" i="16"/>
  <c r="J1142" i="16"/>
  <c r="K1142" i="16"/>
  <c r="L1142" i="16"/>
  <c r="M1142" i="16"/>
  <c r="N1142" i="16"/>
  <c r="O1142" i="16"/>
  <c r="P1142" i="16"/>
  <c r="Q1142" i="16"/>
  <c r="R1142" i="16"/>
  <c r="S1142" i="16"/>
  <c r="T1142" i="16"/>
  <c r="U1142" i="16"/>
  <c r="E1143" i="16"/>
  <c r="G1143" i="16"/>
  <c r="H1143" i="16"/>
  <c r="I1143" i="16"/>
  <c r="J1143" i="16"/>
  <c r="K1143" i="16"/>
  <c r="L1143" i="16"/>
  <c r="M1143" i="16"/>
  <c r="N1143" i="16"/>
  <c r="O1143" i="16"/>
  <c r="P1143" i="16"/>
  <c r="Q1143" i="16"/>
  <c r="R1143" i="16"/>
  <c r="S1143" i="16"/>
  <c r="T1143" i="16"/>
  <c r="U1143" i="16"/>
  <c r="E1144" i="16"/>
  <c r="G1144" i="16"/>
  <c r="H1144" i="16"/>
  <c r="I1144" i="16"/>
  <c r="J1144" i="16"/>
  <c r="K1144" i="16"/>
  <c r="L1144" i="16"/>
  <c r="M1144" i="16"/>
  <c r="N1144" i="16"/>
  <c r="O1144" i="16"/>
  <c r="P1144" i="16"/>
  <c r="Q1144" i="16"/>
  <c r="R1144" i="16"/>
  <c r="S1144" i="16"/>
  <c r="T1144" i="16"/>
  <c r="U1144" i="16"/>
  <c r="E1145" i="16"/>
  <c r="G1145" i="16"/>
  <c r="H1145" i="16"/>
  <c r="I1145" i="16"/>
  <c r="J1145" i="16"/>
  <c r="K1145" i="16"/>
  <c r="L1145" i="16"/>
  <c r="M1145" i="16"/>
  <c r="N1145" i="16"/>
  <c r="O1145" i="16"/>
  <c r="P1145" i="16"/>
  <c r="Q1145" i="16"/>
  <c r="R1145" i="16"/>
  <c r="S1145" i="16"/>
  <c r="T1145" i="16"/>
  <c r="U1145" i="16"/>
  <c r="E1146" i="16"/>
  <c r="G1146" i="16"/>
  <c r="H1146" i="16"/>
  <c r="I1146" i="16"/>
  <c r="J1146" i="16"/>
  <c r="K1146" i="16"/>
  <c r="L1146" i="16"/>
  <c r="M1146" i="16"/>
  <c r="N1146" i="16"/>
  <c r="O1146" i="16"/>
  <c r="P1146" i="16"/>
  <c r="Q1146" i="16"/>
  <c r="R1146" i="16"/>
  <c r="S1146" i="16"/>
  <c r="T1146" i="16"/>
  <c r="U1146" i="16"/>
  <c r="E1147" i="16"/>
  <c r="G1147" i="16"/>
  <c r="H1147" i="16"/>
  <c r="I1147" i="16"/>
  <c r="J1147" i="16"/>
  <c r="K1147" i="16"/>
  <c r="L1147" i="16"/>
  <c r="M1147" i="16"/>
  <c r="N1147" i="16"/>
  <c r="O1147" i="16"/>
  <c r="P1147" i="16"/>
  <c r="Q1147" i="16"/>
  <c r="R1147" i="16"/>
  <c r="S1147" i="16"/>
  <c r="T1147" i="16"/>
  <c r="U1147" i="16"/>
  <c r="E1148" i="16"/>
  <c r="G1148" i="16"/>
  <c r="H1148" i="16"/>
  <c r="I1148" i="16"/>
  <c r="J1148" i="16"/>
  <c r="K1148" i="16"/>
  <c r="L1148" i="16"/>
  <c r="M1148" i="16"/>
  <c r="N1148" i="16"/>
  <c r="O1148" i="16"/>
  <c r="P1148" i="16"/>
  <c r="Q1148" i="16"/>
  <c r="R1148" i="16"/>
  <c r="S1148" i="16"/>
  <c r="T1148" i="16"/>
  <c r="U1148" i="16"/>
  <c r="E1149" i="16"/>
  <c r="G1149" i="16"/>
  <c r="H1149" i="16"/>
  <c r="I1149" i="16"/>
  <c r="J1149" i="16"/>
  <c r="K1149" i="16"/>
  <c r="L1149" i="16"/>
  <c r="M1149" i="16"/>
  <c r="N1149" i="16"/>
  <c r="O1149" i="16"/>
  <c r="P1149" i="16"/>
  <c r="Q1149" i="16"/>
  <c r="R1149" i="16"/>
  <c r="S1149" i="16"/>
  <c r="T1149" i="16"/>
  <c r="U1149" i="16"/>
  <c r="E1150" i="16"/>
  <c r="G1150" i="16"/>
  <c r="H1150" i="16"/>
  <c r="I1150" i="16"/>
  <c r="J1150" i="16"/>
  <c r="K1150" i="16"/>
  <c r="L1150" i="16"/>
  <c r="M1150" i="16"/>
  <c r="N1150" i="16"/>
  <c r="O1150" i="16"/>
  <c r="P1150" i="16"/>
  <c r="Q1150" i="16"/>
  <c r="R1150" i="16"/>
  <c r="S1150" i="16"/>
  <c r="T1150" i="16"/>
  <c r="U1150" i="16"/>
  <c r="E1151" i="16"/>
  <c r="G1151" i="16"/>
  <c r="H1151" i="16"/>
  <c r="I1151" i="16"/>
  <c r="J1151" i="16"/>
  <c r="K1151" i="16"/>
  <c r="L1151" i="16"/>
  <c r="M1151" i="16"/>
  <c r="N1151" i="16"/>
  <c r="O1151" i="16"/>
  <c r="P1151" i="16"/>
  <c r="Q1151" i="16"/>
  <c r="R1151" i="16"/>
  <c r="S1151" i="16"/>
  <c r="T1151" i="16"/>
  <c r="U1151" i="16"/>
  <c r="E1152" i="16"/>
  <c r="G1152" i="16"/>
  <c r="H1152" i="16"/>
  <c r="I1152" i="16"/>
  <c r="J1152" i="16"/>
  <c r="K1152" i="16"/>
  <c r="L1152" i="16"/>
  <c r="M1152" i="16"/>
  <c r="N1152" i="16"/>
  <c r="O1152" i="16"/>
  <c r="P1152" i="16"/>
  <c r="Q1152" i="16"/>
  <c r="R1152" i="16"/>
  <c r="S1152" i="16"/>
  <c r="T1152" i="16"/>
  <c r="U1152" i="16"/>
  <c r="E1153" i="16"/>
  <c r="G1153" i="16"/>
  <c r="H1153" i="16"/>
  <c r="I1153" i="16"/>
  <c r="J1153" i="16"/>
  <c r="K1153" i="16"/>
  <c r="L1153" i="16"/>
  <c r="M1153" i="16"/>
  <c r="N1153" i="16"/>
  <c r="O1153" i="16"/>
  <c r="P1153" i="16"/>
  <c r="Q1153" i="16"/>
  <c r="R1153" i="16"/>
  <c r="S1153" i="16"/>
  <c r="T1153" i="16"/>
  <c r="U1153" i="16"/>
  <c r="E1154" i="16"/>
  <c r="G1154" i="16"/>
  <c r="H1154" i="16"/>
  <c r="I1154" i="16"/>
  <c r="J1154" i="16"/>
  <c r="K1154" i="16"/>
  <c r="L1154" i="16"/>
  <c r="M1154" i="16"/>
  <c r="N1154" i="16"/>
  <c r="O1154" i="16"/>
  <c r="P1154" i="16"/>
  <c r="Q1154" i="16"/>
  <c r="R1154" i="16"/>
  <c r="S1154" i="16"/>
  <c r="T1154" i="16"/>
  <c r="U1154" i="16"/>
  <c r="E1155" i="16"/>
  <c r="G1155" i="16"/>
  <c r="H1155" i="16"/>
  <c r="I1155" i="16"/>
  <c r="J1155" i="16"/>
  <c r="K1155" i="16"/>
  <c r="L1155" i="16"/>
  <c r="M1155" i="16"/>
  <c r="N1155" i="16"/>
  <c r="O1155" i="16"/>
  <c r="P1155" i="16"/>
  <c r="Q1155" i="16"/>
  <c r="R1155" i="16"/>
  <c r="S1155" i="16"/>
  <c r="T1155" i="16"/>
  <c r="U1155" i="16"/>
  <c r="E1156" i="16"/>
  <c r="G1156" i="16"/>
  <c r="H1156" i="16"/>
  <c r="I1156" i="16"/>
  <c r="J1156" i="16"/>
  <c r="K1156" i="16"/>
  <c r="L1156" i="16"/>
  <c r="M1156" i="16"/>
  <c r="N1156" i="16"/>
  <c r="O1156" i="16"/>
  <c r="P1156" i="16"/>
  <c r="Q1156" i="16"/>
  <c r="R1156" i="16"/>
  <c r="S1156" i="16"/>
  <c r="T1156" i="16"/>
  <c r="U1156" i="16"/>
  <c r="E1157" i="16"/>
  <c r="G1157" i="16"/>
  <c r="H1157" i="16"/>
  <c r="I1157" i="16"/>
  <c r="J1157" i="16"/>
  <c r="K1157" i="16"/>
  <c r="L1157" i="16"/>
  <c r="M1157" i="16"/>
  <c r="N1157" i="16"/>
  <c r="O1157" i="16"/>
  <c r="P1157" i="16"/>
  <c r="Q1157" i="16"/>
  <c r="R1157" i="16"/>
  <c r="S1157" i="16"/>
  <c r="T1157" i="16"/>
  <c r="U1157" i="16"/>
  <c r="E1158" i="16"/>
  <c r="G1158" i="16"/>
  <c r="H1158" i="16"/>
  <c r="I1158" i="16"/>
  <c r="J1158" i="16"/>
  <c r="K1158" i="16"/>
  <c r="L1158" i="16"/>
  <c r="M1158" i="16"/>
  <c r="N1158" i="16"/>
  <c r="O1158" i="16"/>
  <c r="P1158" i="16"/>
  <c r="Q1158" i="16"/>
  <c r="R1158" i="16"/>
  <c r="S1158" i="16"/>
  <c r="T1158" i="16"/>
  <c r="U1158" i="16"/>
  <c r="E1159" i="16"/>
  <c r="G1159" i="16"/>
  <c r="H1159" i="16"/>
  <c r="I1159" i="16"/>
  <c r="J1159" i="16"/>
  <c r="K1159" i="16"/>
  <c r="L1159" i="16"/>
  <c r="M1159" i="16"/>
  <c r="N1159" i="16"/>
  <c r="O1159" i="16"/>
  <c r="P1159" i="16"/>
  <c r="Q1159" i="16"/>
  <c r="R1159" i="16"/>
  <c r="S1159" i="16"/>
  <c r="T1159" i="16"/>
  <c r="U1159" i="16"/>
  <c r="E1160" i="16"/>
  <c r="G1160" i="16"/>
  <c r="H1160" i="16"/>
  <c r="I1160" i="16"/>
  <c r="J1160" i="16"/>
  <c r="K1160" i="16"/>
  <c r="L1160" i="16"/>
  <c r="M1160" i="16"/>
  <c r="N1160" i="16"/>
  <c r="O1160" i="16"/>
  <c r="P1160" i="16"/>
  <c r="Q1160" i="16"/>
  <c r="R1160" i="16"/>
  <c r="S1160" i="16"/>
  <c r="T1160" i="16"/>
  <c r="U1160" i="16"/>
  <c r="N1161" i="16"/>
  <c r="N1162" i="16"/>
  <c r="E1163" i="16"/>
  <c r="G1163" i="16"/>
  <c r="H1163" i="16"/>
  <c r="I1163" i="16"/>
  <c r="J1163" i="16"/>
  <c r="K1163" i="16"/>
  <c r="L1163" i="16"/>
  <c r="M1163" i="16"/>
  <c r="N1163" i="16"/>
  <c r="O1163" i="16"/>
  <c r="P1163" i="16"/>
  <c r="Q1163" i="16"/>
  <c r="R1163" i="16"/>
  <c r="S1163" i="16"/>
  <c r="T1163" i="16"/>
  <c r="U1163" i="16"/>
  <c r="E1164" i="16"/>
  <c r="G1164" i="16"/>
  <c r="H1164" i="16"/>
  <c r="I1164" i="16"/>
  <c r="J1164" i="16"/>
  <c r="K1164" i="16"/>
  <c r="L1164" i="16"/>
  <c r="M1164" i="16"/>
  <c r="N1164" i="16"/>
  <c r="O1164" i="16"/>
  <c r="P1164" i="16"/>
  <c r="Q1164" i="16"/>
  <c r="R1164" i="16"/>
  <c r="S1164" i="16"/>
  <c r="T1164" i="16"/>
  <c r="U1164" i="16"/>
  <c r="E1165" i="16"/>
  <c r="G1165" i="16"/>
  <c r="H1165" i="16"/>
  <c r="I1165" i="16"/>
  <c r="J1165" i="16"/>
  <c r="K1165" i="16"/>
  <c r="L1165" i="16"/>
  <c r="M1165" i="16"/>
  <c r="N1165" i="16"/>
  <c r="O1165" i="16"/>
  <c r="P1165" i="16"/>
  <c r="Q1165" i="16"/>
  <c r="R1165" i="16"/>
  <c r="S1165" i="16"/>
  <c r="T1165" i="16"/>
  <c r="U1165" i="16"/>
  <c r="E1166" i="16"/>
  <c r="G1166" i="16"/>
  <c r="H1166" i="16"/>
  <c r="I1166" i="16"/>
  <c r="J1166" i="16"/>
  <c r="K1166" i="16"/>
  <c r="L1166" i="16"/>
  <c r="M1166" i="16"/>
  <c r="N1166" i="16"/>
  <c r="O1166" i="16"/>
  <c r="P1166" i="16"/>
  <c r="Q1166" i="16"/>
  <c r="R1166" i="16"/>
  <c r="S1166" i="16"/>
  <c r="T1166" i="16"/>
  <c r="U1166" i="16"/>
  <c r="E1167" i="16"/>
  <c r="G1167" i="16"/>
  <c r="H1167" i="16"/>
  <c r="I1167" i="16"/>
  <c r="J1167" i="16"/>
  <c r="K1167" i="16"/>
  <c r="L1167" i="16"/>
  <c r="M1167" i="16"/>
  <c r="N1167" i="16"/>
  <c r="O1167" i="16"/>
  <c r="P1167" i="16"/>
  <c r="Q1167" i="16"/>
  <c r="R1167" i="16"/>
  <c r="S1167" i="16"/>
  <c r="T1167" i="16"/>
  <c r="U1167" i="16"/>
  <c r="E1168" i="16"/>
  <c r="G1168" i="16"/>
  <c r="H1168" i="16"/>
  <c r="I1168" i="16"/>
  <c r="J1168" i="16"/>
  <c r="K1168" i="16"/>
  <c r="L1168" i="16"/>
  <c r="M1168" i="16"/>
  <c r="N1168" i="16"/>
  <c r="O1168" i="16"/>
  <c r="P1168" i="16"/>
  <c r="Q1168" i="16"/>
  <c r="R1168" i="16"/>
  <c r="S1168" i="16"/>
  <c r="T1168" i="16"/>
  <c r="U1168" i="16"/>
  <c r="E1169" i="16"/>
  <c r="G1169" i="16"/>
  <c r="H1169" i="16"/>
  <c r="I1169" i="16"/>
  <c r="J1169" i="16"/>
  <c r="K1169" i="16"/>
  <c r="L1169" i="16"/>
  <c r="M1169" i="16"/>
  <c r="N1169" i="16"/>
  <c r="O1169" i="16"/>
  <c r="P1169" i="16"/>
  <c r="Q1169" i="16"/>
  <c r="R1169" i="16"/>
  <c r="S1169" i="16"/>
  <c r="T1169" i="16"/>
  <c r="U1169" i="16"/>
  <c r="E1170" i="16"/>
  <c r="G1170" i="16"/>
  <c r="H1170" i="16"/>
  <c r="I1170" i="16"/>
  <c r="J1170" i="16"/>
  <c r="K1170" i="16"/>
  <c r="L1170" i="16"/>
  <c r="M1170" i="16"/>
  <c r="N1170" i="16"/>
  <c r="O1170" i="16"/>
  <c r="P1170" i="16"/>
  <c r="Q1170" i="16"/>
  <c r="R1170" i="16"/>
  <c r="S1170" i="16"/>
  <c r="T1170" i="16"/>
  <c r="U1170" i="16"/>
  <c r="E1171" i="16"/>
  <c r="G1171" i="16"/>
  <c r="H1171" i="16"/>
  <c r="I1171" i="16"/>
  <c r="J1171" i="16"/>
  <c r="K1171" i="16"/>
  <c r="L1171" i="16"/>
  <c r="M1171" i="16"/>
  <c r="N1171" i="16"/>
  <c r="O1171" i="16"/>
  <c r="P1171" i="16"/>
  <c r="Q1171" i="16"/>
  <c r="R1171" i="16"/>
  <c r="S1171" i="16"/>
  <c r="T1171" i="16"/>
  <c r="U1171" i="16"/>
  <c r="E1172" i="16"/>
  <c r="G1172" i="16"/>
  <c r="H1172" i="16"/>
  <c r="I1172" i="16"/>
  <c r="J1172" i="16"/>
  <c r="K1172" i="16"/>
  <c r="L1172" i="16"/>
  <c r="M1172" i="16"/>
  <c r="N1172" i="16"/>
  <c r="O1172" i="16"/>
  <c r="P1172" i="16"/>
  <c r="Q1172" i="16"/>
  <c r="R1172" i="16"/>
  <c r="S1172" i="16"/>
  <c r="T1172" i="16"/>
  <c r="U1172" i="16"/>
  <c r="E1173" i="16"/>
  <c r="G1173" i="16"/>
  <c r="H1173" i="16"/>
  <c r="I1173" i="16"/>
  <c r="J1173" i="16"/>
  <c r="K1173" i="16"/>
  <c r="L1173" i="16"/>
  <c r="M1173" i="16"/>
  <c r="N1173" i="16"/>
  <c r="O1173" i="16"/>
  <c r="P1173" i="16"/>
  <c r="Q1173" i="16"/>
  <c r="R1173" i="16"/>
  <c r="S1173" i="16"/>
  <c r="T1173" i="16"/>
  <c r="U1173" i="16"/>
  <c r="E1174" i="16"/>
  <c r="G1174" i="16"/>
  <c r="H1174" i="16"/>
  <c r="I1174" i="16"/>
  <c r="J1174" i="16"/>
  <c r="K1174" i="16"/>
  <c r="L1174" i="16"/>
  <c r="M1174" i="16"/>
  <c r="N1174" i="16"/>
  <c r="O1174" i="16"/>
  <c r="P1174" i="16"/>
  <c r="Q1174" i="16"/>
  <c r="R1174" i="16"/>
  <c r="S1174" i="16"/>
  <c r="T1174" i="16"/>
  <c r="U1174" i="16"/>
  <c r="E1175" i="16"/>
  <c r="G1175" i="16"/>
  <c r="H1175" i="16"/>
  <c r="I1175" i="16"/>
  <c r="J1175" i="16"/>
  <c r="K1175" i="16"/>
  <c r="L1175" i="16"/>
  <c r="M1175" i="16"/>
  <c r="N1175" i="16"/>
  <c r="O1175" i="16"/>
  <c r="P1175" i="16"/>
  <c r="Q1175" i="16"/>
  <c r="R1175" i="16"/>
  <c r="S1175" i="16"/>
  <c r="T1175" i="16"/>
  <c r="U1175" i="16"/>
  <c r="E1176" i="16"/>
  <c r="G1176" i="16"/>
  <c r="H1176" i="16"/>
  <c r="I1176" i="16"/>
  <c r="J1176" i="16"/>
  <c r="K1176" i="16"/>
  <c r="L1176" i="16"/>
  <c r="M1176" i="16"/>
  <c r="N1176" i="16"/>
  <c r="O1176" i="16"/>
  <c r="P1176" i="16"/>
  <c r="Q1176" i="16"/>
  <c r="R1176" i="16"/>
  <c r="S1176" i="16"/>
  <c r="T1176" i="16"/>
  <c r="U1176" i="16"/>
  <c r="E1177" i="16"/>
  <c r="G1177" i="16"/>
  <c r="H1177" i="16"/>
  <c r="I1177" i="16"/>
  <c r="J1177" i="16"/>
  <c r="K1177" i="16"/>
  <c r="L1177" i="16"/>
  <c r="M1177" i="16"/>
  <c r="N1177" i="16"/>
  <c r="O1177" i="16"/>
  <c r="P1177" i="16"/>
  <c r="Q1177" i="16"/>
  <c r="R1177" i="16"/>
  <c r="S1177" i="16"/>
  <c r="T1177" i="16"/>
  <c r="U1177" i="16"/>
  <c r="E1178" i="16"/>
  <c r="G1178" i="16"/>
  <c r="H1178" i="16"/>
  <c r="I1178" i="16"/>
  <c r="J1178" i="16"/>
  <c r="K1178" i="16"/>
  <c r="L1178" i="16"/>
  <c r="M1178" i="16"/>
  <c r="N1178" i="16"/>
  <c r="O1178" i="16"/>
  <c r="P1178" i="16"/>
  <c r="Q1178" i="16"/>
  <c r="R1178" i="16"/>
  <c r="S1178" i="16"/>
  <c r="T1178" i="16"/>
  <c r="U1178" i="16"/>
  <c r="E1179" i="16"/>
  <c r="G1179" i="16"/>
  <c r="H1179" i="16"/>
  <c r="I1179" i="16"/>
  <c r="J1179" i="16"/>
  <c r="K1179" i="16"/>
  <c r="L1179" i="16"/>
  <c r="M1179" i="16"/>
  <c r="N1179" i="16"/>
  <c r="O1179" i="16"/>
  <c r="P1179" i="16"/>
  <c r="Q1179" i="16"/>
  <c r="R1179" i="16"/>
  <c r="S1179" i="16"/>
  <c r="T1179" i="16"/>
  <c r="U1179" i="16"/>
  <c r="E1180" i="16"/>
  <c r="G1180" i="16"/>
  <c r="H1180" i="16"/>
  <c r="I1180" i="16"/>
  <c r="J1180" i="16"/>
  <c r="K1180" i="16"/>
  <c r="L1180" i="16"/>
  <c r="M1180" i="16"/>
  <c r="N1180" i="16"/>
  <c r="O1180" i="16"/>
  <c r="P1180" i="16"/>
  <c r="Q1180" i="16"/>
  <c r="R1180" i="16"/>
  <c r="S1180" i="16"/>
  <c r="T1180" i="16"/>
  <c r="U1180" i="16"/>
  <c r="E1181" i="16"/>
  <c r="G1181" i="16"/>
  <c r="H1181" i="16"/>
  <c r="I1181" i="16"/>
  <c r="J1181" i="16"/>
  <c r="K1181" i="16"/>
  <c r="L1181" i="16"/>
  <c r="M1181" i="16"/>
  <c r="N1181" i="16"/>
  <c r="O1181" i="16"/>
  <c r="P1181" i="16"/>
  <c r="Q1181" i="16"/>
  <c r="R1181" i="16"/>
  <c r="S1181" i="16"/>
  <c r="T1181" i="16"/>
  <c r="U1181" i="16"/>
  <c r="E1182" i="16"/>
  <c r="G1182" i="16"/>
  <c r="H1182" i="16"/>
  <c r="I1182" i="16"/>
  <c r="J1182" i="16"/>
  <c r="K1182" i="16"/>
  <c r="L1182" i="16"/>
  <c r="M1182" i="16"/>
  <c r="N1182" i="16"/>
  <c r="O1182" i="16"/>
  <c r="P1182" i="16"/>
  <c r="Q1182" i="16"/>
  <c r="R1182" i="16"/>
  <c r="S1182" i="16"/>
  <c r="T1182" i="16"/>
  <c r="U1182" i="16"/>
  <c r="E1183" i="16"/>
  <c r="G1183" i="16"/>
  <c r="H1183" i="16"/>
  <c r="I1183" i="16"/>
  <c r="J1183" i="16"/>
  <c r="K1183" i="16"/>
  <c r="L1183" i="16"/>
  <c r="M1183" i="16"/>
  <c r="N1183" i="16"/>
  <c r="O1183" i="16"/>
  <c r="P1183" i="16"/>
  <c r="Q1183" i="16"/>
  <c r="R1183" i="16"/>
  <c r="S1183" i="16"/>
  <c r="T1183" i="16"/>
  <c r="U1183" i="16"/>
  <c r="E1184" i="16"/>
  <c r="G1184" i="16"/>
  <c r="H1184" i="16"/>
  <c r="I1184" i="16"/>
  <c r="J1184" i="16"/>
  <c r="K1184" i="16"/>
  <c r="L1184" i="16"/>
  <c r="M1184" i="16"/>
  <c r="N1184" i="16"/>
  <c r="O1184" i="16"/>
  <c r="P1184" i="16"/>
  <c r="Q1184" i="16"/>
  <c r="R1184" i="16"/>
  <c r="S1184" i="16"/>
  <c r="T1184" i="16"/>
  <c r="U1184" i="16"/>
  <c r="E1185" i="16"/>
  <c r="G1185" i="16"/>
  <c r="H1185" i="16"/>
  <c r="I1185" i="16"/>
  <c r="J1185" i="16"/>
  <c r="K1185" i="16"/>
  <c r="L1185" i="16"/>
  <c r="M1185" i="16"/>
  <c r="N1185" i="16"/>
  <c r="O1185" i="16"/>
  <c r="P1185" i="16"/>
  <c r="Q1185" i="16"/>
  <c r="R1185" i="16"/>
  <c r="S1185" i="16"/>
  <c r="T1185" i="16"/>
  <c r="U1185" i="16"/>
  <c r="E1186" i="16"/>
  <c r="G1186" i="16"/>
  <c r="H1186" i="16"/>
  <c r="I1186" i="16"/>
  <c r="J1186" i="16"/>
  <c r="K1186" i="16"/>
  <c r="L1186" i="16"/>
  <c r="M1186" i="16"/>
  <c r="N1186" i="16"/>
  <c r="O1186" i="16"/>
  <c r="P1186" i="16"/>
  <c r="Q1186" i="16"/>
  <c r="R1186" i="16"/>
  <c r="S1186" i="16"/>
  <c r="T1186" i="16"/>
  <c r="U1186" i="16"/>
  <c r="E1187" i="16"/>
  <c r="G1187" i="16"/>
  <c r="H1187" i="16"/>
  <c r="I1187" i="16"/>
  <c r="J1187" i="16"/>
  <c r="K1187" i="16"/>
  <c r="L1187" i="16"/>
  <c r="M1187" i="16"/>
  <c r="N1187" i="16"/>
  <c r="O1187" i="16"/>
  <c r="P1187" i="16"/>
  <c r="Q1187" i="16"/>
  <c r="R1187" i="16"/>
  <c r="S1187" i="16"/>
  <c r="T1187" i="16"/>
  <c r="U1187" i="16"/>
  <c r="E1188" i="16"/>
  <c r="G1188" i="16"/>
  <c r="H1188" i="16"/>
  <c r="I1188" i="16"/>
  <c r="J1188" i="16"/>
  <c r="K1188" i="16"/>
  <c r="L1188" i="16"/>
  <c r="M1188" i="16"/>
  <c r="N1188" i="16"/>
  <c r="O1188" i="16"/>
  <c r="P1188" i="16"/>
  <c r="Q1188" i="16"/>
  <c r="R1188" i="16"/>
  <c r="S1188" i="16"/>
  <c r="T1188" i="16"/>
  <c r="U1188" i="16"/>
  <c r="E1189" i="16"/>
  <c r="G1189" i="16"/>
  <c r="H1189" i="16"/>
  <c r="I1189" i="16"/>
  <c r="J1189" i="16"/>
  <c r="K1189" i="16"/>
  <c r="L1189" i="16"/>
  <c r="M1189" i="16"/>
  <c r="N1189" i="16"/>
  <c r="O1189" i="16"/>
  <c r="P1189" i="16"/>
  <c r="Q1189" i="16"/>
  <c r="R1189" i="16"/>
  <c r="S1189" i="16"/>
  <c r="T1189" i="16"/>
  <c r="U1189" i="16"/>
  <c r="E1190" i="16"/>
  <c r="G1190" i="16"/>
  <c r="H1190" i="16"/>
  <c r="I1190" i="16"/>
  <c r="J1190" i="16"/>
  <c r="K1190" i="16"/>
  <c r="L1190" i="16"/>
  <c r="M1190" i="16"/>
  <c r="N1190" i="16"/>
  <c r="O1190" i="16"/>
  <c r="P1190" i="16"/>
  <c r="Q1190" i="16"/>
  <c r="R1190" i="16"/>
  <c r="S1190" i="16"/>
  <c r="T1190" i="16"/>
  <c r="U1190" i="16"/>
  <c r="E1191" i="16"/>
  <c r="G1191" i="16"/>
  <c r="H1191" i="16"/>
  <c r="I1191" i="16"/>
  <c r="J1191" i="16"/>
  <c r="K1191" i="16"/>
  <c r="L1191" i="16"/>
  <c r="M1191" i="16"/>
  <c r="N1191" i="16"/>
  <c r="O1191" i="16"/>
  <c r="P1191" i="16"/>
  <c r="Q1191" i="16"/>
  <c r="R1191" i="16"/>
  <c r="S1191" i="16"/>
  <c r="T1191" i="16"/>
  <c r="U1191" i="16"/>
  <c r="E1192" i="16"/>
  <c r="G1192" i="16"/>
  <c r="H1192" i="16"/>
  <c r="I1192" i="16"/>
  <c r="J1192" i="16"/>
  <c r="K1192" i="16"/>
  <c r="L1192" i="16"/>
  <c r="M1192" i="16"/>
  <c r="N1192" i="16"/>
  <c r="O1192" i="16"/>
  <c r="P1192" i="16"/>
  <c r="Q1192" i="16"/>
  <c r="R1192" i="16"/>
  <c r="S1192" i="16"/>
  <c r="T1192" i="16"/>
  <c r="U1192" i="16"/>
  <c r="E1193" i="16"/>
  <c r="G1193" i="16"/>
  <c r="H1193" i="16"/>
  <c r="I1193" i="16"/>
  <c r="J1193" i="16"/>
  <c r="K1193" i="16"/>
  <c r="L1193" i="16"/>
  <c r="M1193" i="16"/>
  <c r="N1193" i="16"/>
  <c r="O1193" i="16"/>
  <c r="P1193" i="16"/>
  <c r="Q1193" i="16"/>
  <c r="R1193" i="16"/>
  <c r="S1193" i="16"/>
  <c r="T1193" i="16"/>
  <c r="U1193" i="16"/>
  <c r="E1194" i="16"/>
  <c r="G1194" i="16"/>
  <c r="H1194" i="16"/>
  <c r="I1194" i="16"/>
  <c r="J1194" i="16"/>
  <c r="K1194" i="16"/>
  <c r="L1194" i="16"/>
  <c r="M1194" i="16"/>
  <c r="N1194" i="16"/>
  <c r="O1194" i="16"/>
  <c r="P1194" i="16"/>
  <c r="Q1194" i="16"/>
  <c r="R1194" i="16"/>
  <c r="S1194" i="16"/>
  <c r="T1194" i="16"/>
  <c r="U1194" i="16"/>
  <c r="E1195" i="16"/>
  <c r="G1195" i="16"/>
  <c r="H1195" i="16"/>
  <c r="I1195" i="16"/>
  <c r="J1195" i="16"/>
  <c r="K1195" i="16"/>
  <c r="L1195" i="16"/>
  <c r="M1195" i="16"/>
  <c r="N1195" i="16"/>
  <c r="O1195" i="16"/>
  <c r="P1195" i="16"/>
  <c r="Q1195" i="16"/>
  <c r="R1195" i="16"/>
  <c r="S1195" i="16"/>
  <c r="T1195" i="16"/>
  <c r="U1195" i="16"/>
  <c r="E1196" i="16"/>
  <c r="G1196" i="16"/>
  <c r="H1196" i="16"/>
  <c r="I1196" i="16"/>
  <c r="J1196" i="16"/>
  <c r="K1196" i="16"/>
  <c r="L1196" i="16"/>
  <c r="M1196" i="16"/>
  <c r="N1196" i="16"/>
  <c r="O1196" i="16"/>
  <c r="P1196" i="16"/>
  <c r="Q1196" i="16"/>
  <c r="R1196" i="16"/>
  <c r="S1196" i="16"/>
  <c r="T1196" i="16"/>
  <c r="U1196" i="16"/>
  <c r="E1197" i="16"/>
  <c r="G1197" i="16"/>
  <c r="H1197" i="16"/>
  <c r="I1197" i="16"/>
  <c r="J1197" i="16"/>
  <c r="K1197" i="16"/>
  <c r="L1197" i="16"/>
  <c r="M1197" i="16"/>
  <c r="N1197" i="16"/>
  <c r="O1197" i="16"/>
  <c r="P1197" i="16"/>
  <c r="Q1197" i="16"/>
  <c r="R1197" i="16"/>
  <c r="S1197" i="16"/>
  <c r="T1197" i="16"/>
  <c r="U1197" i="16"/>
  <c r="E1198" i="16"/>
  <c r="G1198" i="16"/>
  <c r="H1198" i="16"/>
  <c r="I1198" i="16"/>
  <c r="J1198" i="16"/>
  <c r="K1198" i="16"/>
  <c r="L1198" i="16"/>
  <c r="M1198" i="16"/>
  <c r="N1198" i="16"/>
  <c r="O1198" i="16"/>
  <c r="P1198" i="16"/>
  <c r="Q1198" i="16"/>
  <c r="R1198" i="16"/>
  <c r="S1198" i="16"/>
  <c r="T1198" i="16"/>
  <c r="U1198" i="16"/>
  <c r="E1199" i="16"/>
  <c r="G1199" i="16"/>
  <c r="H1199" i="16"/>
  <c r="I1199" i="16"/>
  <c r="J1199" i="16"/>
  <c r="K1199" i="16"/>
  <c r="L1199" i="16"/>
  <c r="M1199" i="16"/>
  <c r="N1199" i="16"/>
  <c r="O1199" i="16"/>
  <c r="P1199" i="16"/>
  <c r="Q1199" i="16"/>
  <c r="R1199" i="16"/>
  <c r="S1199" i="16"/>
  <c r="T1199" i="16"/>
  <c r="U1199" i="16"/>
  <c r="E1200" i="16"/>
  <c r="G1200" i="16"/>
  <c r="H1200" i="16"/>
  <c r="I1200" i="16"/>
  <c r="J1200" i="16"/>
  <c r="K1200" i="16"/>
  <c r="L1200" i="16"/>
  <c r="M1200" i="16"/>
  <c r="N1200" i="16"/>
  <c r="O1200" i="16"/>
  <c r="P1200" i="16"/>
  <c r="Q1200" i="16"/>
  <c r="R1200" i="16"/>
  <c r="S1200" i="16"/>
  <c r="T1200" i="16"/>
  <c r="U1200" i="16"/>
  <c r="E1201" i="16"/>
  <c r="G1201" i="16"/>
  <c r="H1201" i="16"/>
  <c r="I1201" i="16"/>
  <c r="J1201" i="16"/>
  <c r="K1201" i="16"/>
  <c r="L1201" i="16"/>
  <c r="M1201" i="16"/>
  <c r="N1201" i="16"/>
  <c r="O1201" i="16"/>
  <c r="P1201" i="16"/>
  <c r="Q1201" i="16"/>
  <c r="R1201" i="16"/>
  <c r="S1201" i="16"/>
  <c r="T1201" i="16"/>
  <c r="U1201" i="16"/>
  <c r="E1202" i="16"/>
  <c r="G1202" i="16"/>
  <c r="H1202" i="16"/>
  <c r="I1202" i="16"/>
  <c r="J1202" i="16"/>
  <c r="K1202" i="16"/>
  <c r="L1202" i="16"/>
  <c r="M1202" i="16"/>
  <c r="N1202" i="16"/>
  <c r="O1202" i="16"/>
  <c r="P1202" i="16"/>
  <c r="Q1202" i="16"/>
  <c r="R1202" i="16"/>
  <c r="S1202" i="16"/>
  <c r="T1202" i="16"/>
  <c r="U1202" i="16"/>
  <c r="M1203" i="16"/>
  <c r="E1204" i="16"/>
  <c r="G1204" i="16"/>
  <c r="H1204" i="16"/>
  <c r="I1204" i="16"/>
  <c r="J1204" i="16"/>
  <c r="K1204" i="16"/>
  <c r="L1204" i="16"/>
  <c r="M1204" i="16"/>
  <c r="N1204" i="16"/>
  <c r="O1204" i="16"/>
  <c r="P1204" i="16"/>
  <c r="Q1204" i="16"/>
  <c r="R1204" i="16"/>
  <c r="S1204" i="16"/>
  <c r="T1204" i="16"/>
  <c r="U1204" i="16"/>
  <c r="E1205" i="16"/>
  <c r="G1205" i="16"/>
  <c r="H1205" i="16"/>
  <c r="I1205" i="16"/>
  <c r="J1205" i="16"/>
  <c r="K1205" i="16"/>
  <c r="L1205" i="16"/>
  <c r="M1205" i="16"/>
  <c r="N1205" i="16"/>
  <c r="O1205" i="16"/>
  <c r="P1205" i="16"/>
  <c r="Q1205" i="16"/>
  <c r="R1205" i="16"/>
  <c r="S1205" i="16"/>
  <c r="T1205" i="16"/>
  <c r="U1205" i="16"/>
  <c r="E1206" i="16"/>
  <c r="G1206" i="16"/>
  <c r="H1206" i="16"/>
  <c r="I1206" i="16"/>
  <c r="J1206" i="16"/>
  <c r="K1206" i="16"/>
  <c r="L1206" i="16"/>
  <c r="M1206" i="16"/>
  <c r="N1206" i="16"/>
  <c r="O1206" i="16"/>
  <c r="P1206" i="16"/>
  <c r="Q1206" i="16"/>
  <c r="R1206" i="16"/>
  <c r="S1206" i="16"/>
  <c r="T1206" i="16"/>
  <c r="U1206" i="16"/>
  <c r="E1207" i="16"/>
  <c r="G1207" i="16"/>
  <c r="H1207" i="16"/>
  <c r="I1207" i="16"/>
  <c r="J1207" i="16"/>
  <c r="K1207" i="16"/>
  <c r="L1207" i="16"/>
  <c r="M1207" i="16"/>
  <c r="N1207" i="16"/>
  <c r="O1207" i="16"/>
  <c r="P1207" i="16"/>
  <c r="Q1207" i="16"/>
  <c r="R1207" i="16"/>
  <c r="S1207" i="16"/>
  <c r="T1207" i="16"/>
  <c r="U1207" i="16"/>
  <c r="E1208" i="16"/>
  <c r="L1208" i="16"/>
  <c r="E1209" i="16"/>
  <c r="G1209" i="16"/>
  <c r="H1209" i="16"/>
  <c r="I1209" i="16"/>
  <c r="J1209" i="16"/>
  <c r="K1209" i="16"/>
  <c r="L1209" i="16"/>
  <c r="M1209" i="16"/>
  <c r="N1209" i="16"/>
  <c r="O1209" i="16"/>
  <c r="P1209" i="16"/>
  <c r="Q1209" i="16"/>
  <c r="R1209" i="16"/>
  <c r="S1209" i="16"/>
  <c r="T1209" i="16"/>
  <c r="U1209" i="16"/>
  <c r="E1210" i="16"/>
  <c r="G1210" i="16"/>
  <c r="H1210" i="16"/>
  <c r="I1210" i="16"/>
  <c r="J1210" i="16"/>
  <c r="K1210" i="16"/>
  <c r="L1210" i="16"/>
  <c r="M1210" i="16"/>
  <c r="N1210" i="16"/>
  <c r="O1210" i="16"/>
  <c r="P1210" i="16"/>
  <c r="Q1210" i="16"/>
  <c r="R1210" i="16"/>
  <c r="S1210" i="16"/>
  <c r="T1210" i="16"/>
  <c r="U1210" i="16"/>
  <c r="E1211" i="16"/>
  <c r="G1211" i="16"/>
  <c r="H1211" i="16"/>
  <c r="I1211" i="16"/>
  <c r="J1211" i="16"/>
  <c r="K1211" i="16"/>
  <c r="L1211" i="16"/>
  <c r="M1211" i="16"/>
  <c r="N1211" i="16"/>
  <c r="O1211" i="16"/>
  <c r="P1211" i="16"/>
  <c r="Q1211" i="16"/>
  <c r="R1211" i="16"/>
  <c r="S1211" i="16"/>
  <c r="T1211" i="16"/>
  <c r="U1211" i="16"/>
  <c r="E1212" i="16"/>
  <c r="G1212" i="16"/>
  <c r="H1212" i="16"/>
  <c r="I1212" i="16"/>
  <c r="J1212" i="16"/>
  <c r="K1212" i="16"/>
  <c r="L1212" i="16"/>
  <c r="M1212" i="16"/>
  <c r="N1212" i="16"/>
  <c r="O1212" i="16"/>
  <c r="P1212" i="16"/>
  <c r="Q1212" i="16"/>
  <c r="R1212" i="16"/>
  <c r="S1212" i="16"/>
  <c r="T1212" i="16"/>
  <c r="U1212" i="16"/>
  <c r="E1213" i="16"/>
  <c r="L1213" i="16"/>
  <c r="E1214" i="16"/>
  <c r="G1214" i="16"/>
  <c r="H1214" i="16"/>
  <c r="I1214" i="16"/>
  <c r="J1214" i="16"/>
  <c r="K1214" i="16"/>
  <c r="L1214" i="16"/>
  <c r="M1214" i="16"/>
  <c r="N1214" i="16"/>
  <c r="O1214" i="16"/>
  <c r="P1214" i="16"/>
  <c r="Q1214" i="16"/>
  <c r="R1214" i="16"/>
  <c r="S1214" i="16"/>
  <c r="T1214" i="16"/>
  <c r="U1214" i="16"/>
  <c r="E1215" i="16"/>
  <c r="G1215" i="16"/>
  <c r="H1215" i="16"/>
  <c r="I1215" i="16"/>
  <c r="J1215" i="16"/>
  <c r="K1215" i="16"/>
  <c r="L1215" i="16"/>
  <c r="M1215" i="16"/>
  <c r="N1215" i="16"/>
  <c r="O1215" i="16"/>
  <c r="P1215" i="16"/>
  <c r="Q1215" i="16"/>
  <c r="R1215" i="16"/>
  <c r="S1215" i="16"/>
  <c r="T1215" i="16"/>
  <c r="U1215" i="16"/>
  <c r="E1216" i="16"/>
  <c r="G1216" i="16"/>
  <c r="H1216" i="16"/>
  <c r="I1216" i="16"/>
  <c r="J1216" i="16"/>
  <c r="K1216" i="16"/>
  <c r="L1216" i="16"/>
  <c r="M1216" i="16"/>
  <c r="N1216" i="16"/>
  <c r="O1216" i="16"/>
  <c r="P1216" i="16"/>
  <c r="Q1216" i="16"/>
  <c r="R1216" i="16"/>
  <c r="S1216" i="16"/>
  <c r="T1216" i="16"/>
  <c r="U1216" i="16"/>
  <c r="E1217" i="16"/>
  <c r="G1217" i="16"/>
  <c r="H1217" i="16"/>
  <c r="I1217" i="16"/>
  <c r="J1217" i="16"/>
  <c r="K1217" i="16"/>
  <c r="L1217" i="16"/>
  <c r="M1217" i="16"/>
  <c r="N1217" i="16"/>
  <c r="O1217" i="16"/>
  <c r="P1217" i="16"/>
  <c r="Q1217" i="16"/>
  <c r="R1217" i="16"/>
  <c r="S1217" i="16"/>
  <c r="T1217" i="16"/>
  <c r="U1217" i="16"/>
  <c r="E1218" i="16"/>
  <c r="G1218" i="16"/>
  <c r="H1218" i="16"/>
  <c r="I1218" i="16"/>
  <c r="J1218" i="16"/>
  <c r="K1218" i="16"/>
  <c r="L1218" i="16"/>
  <c r="M1218" i="16"/>
  <c r="N1218" i="16"/>
  <c r="O1218" i="16"/>
  <c r="P1218" i="16"/>
  <c r="Q1218" i="16"/>
  <c r="R1218" i="16"/>
  <c r="S1218" i="16"/>
  <c r="T1218" i="16"/>
  <c r="U1218" i="16"/>
  <c r="Q1219" i="16"/>
  <c r="E1220" i="16"/>
  <c r="G1220" i="16"/>
  <c r="H1220" i="16"/>
  <c r="I1220" i="16"/>
  <c r="J1220" i="16"/>
  <c r="K1220" i="16"/>
  <c r="L1220" i="16"/>
  <c r="M1220" i="16"/>
  <c r="N1220" i="16"/>
  <c r="O1220" i="16"/>
  <c r="P1220" i="16"/>
  <c r="Q1220" i="16"/>
  <c r="R1220" i="16"/>
  <c r="S1220" i="16"/>
  <c r="T1220" i="16"/>
  <c r="U1220" i="16"/>
  <c r="E1221" i="16"/>
  <c r="G1221" i="16"/>
  <c r="H1221" i="16"/>
  <c r="I1221" i="16"/>
  <c r="J1221" i="16"/>
  <c r="K1221" i="16"/>
  <c r="L1221" i="16"/>
  <c r="M1221" i="16"/>
  <c r="N1221" i="16"/>
  <c r="O1221" i="16"/>
  <c r="P1221" i="16"/>
  <c r="Q1221" i="16"/>
  <c r="R1221" i="16"/>
  <c r="S1221" i="16"/>
  <c r="T1221" i="16"/>
  <c r="U1221" i="16"/>
  <c r="E1222" i="16"/>
  <c r="G1222" i="16"/>
  <c r="H1222" i="16"/>
  <c r="I1222" i="16"/>
  <c r="J1222" i="16"/>
  <c r="K1222" i="16"/>
  <c r="L1222" i="16"/>
  <c r="M1222" i="16"/>
  <c r="N1222" i="16"/>
  <c r="O1222" i="16"/>
  <c r="P1222" i="16"/>
  <c r="Q1222" i="16"/>
  <c r="R1222" i="16"/>
  <c r="S1222" i="16"/>
  <c r="T1222" i="16"/>
  <c r="U1222" i="16"/>
  <c r="E1223" i="16"/>
  <c r="G1223" i="16"/>
  <c r="H1223" i="16"/>
  <c r="I1223" i="16"/>
  <c r="J1223" i="16"/>
  <c r="K1223" i="16"/>
  <c r="L1223" i="16"/>
  <c r="M1223" i="16"/>
  <c r="N1223" i="16"/>
  <c r="O1223" i="16"/>
  <c r="P1223" i="16"/>
  <c r="Q1223" i="16"/>
  <c r="R1223" i="16"/>
  <c r="S1223" i="16"/>
  <c r="T1223" i="16"/>
  <c r="U1223" i="16"/>
  <c r="E1224" i="16"/>
  <c r="G1224" i="16"/>
  <c r="H1224" i="16"/>
  <c r="I1224" i="16"/>
  <c r="J1224" i="16"/>
  <c r="K1224" i="16"/>
  <c r="L1224" i="16"/>
  <c r="M1224" i="16"/>
  <c r="N1224" i="16"/>
  <c r="O1224" i="16"/>
  <c r="P1224" i="16"/>
  <c r="Q1224" i="16"/>
  <c r="R1224" i="16"/>
  <c r="S1224" i="16"/>
  <c r="T1224" i="16"/>
  <c r="U1224" i="16"/>
  <c r="E1225" i="16"/>
  <c r="G1225" i="16"/>
  <c r="H1225" i="16"/>
  <c r="I1225" i="16"/>
  <c r="J1225" i="16"/>
  <c r="K1225" i="16"/>
  <c r="L1225" i="16"/>
  <c r="M1225" i="16"/>
  <c r="N1225" i="16"/>
  <c r="O1225" i="16"/>
  <c r="P1225" i="16"/>
  <c r="Q1225" i="16"/>
  <c r="R1225" i="16"/>
  <c r="S1225" i="16"/>
  <c r="T1225" i="16"/>
  <c r="U1225" i="16"/>
  <c r="E1226" i="16"/>
  <c r="G1226" i="16"/>
  <c r="H1226" i="16"/>
  <c r="I1226" i="16"/>
  <c r="J1226" i="16"/>
  <c r="K1226" i="16"/>
  <c r="L1226" i="16"/>
  <c r="M1226" i="16"/>
  <c r="N1226" i="16"/>
  <c r="O1226" i="16"/>
  <c r="P1226" i="16"/>
  <c r="Q1226" i="16"/>
  <c r="R1226" i="16"/>
  <c r="S1226" i="16"/>
  <c r="T1226" i="16"/>
  <c r="U1226" i="16"/>
  <c r="E1227" i="16"/>
  <c r="G1227" i="16"/>
  <c r="H1227" i="16"/>
  <c r="I1227" i="16"/>
  <c r="J1227" i="16"/>
  <c r="K1227" i="16"/>
  <c r="L1227" i="16"/>
  <c r="M1227" i="16"/>
  <c r="N1227" i="16"/>
  <c r="O1227" i="16"/>
  <c r="P1227" i="16"/>
  <c r="Q1227" i="16"/>
  <c r="R1227" i="16"/>
  <c r="S1227" i="16"/>
  <c r="T1227" i="16"/>
  <c r="U1227" i="16"/>
  <c r="E1228" i="16"/>
  <c r="G1228" i="16"/>
  <c r="H1228" i="16"/>
  <c r="I1228" i="16"/>
  <c r="J1228" i="16"/>
  <c r="K1228" i="16"/>
  <c r="L1228" i="16"/>
  <c r="M1228" i="16"/>
  <c r="N1228" i="16"/>
  <c r="O1228" i="16"/>
  <c r="P1228" i="16"/>
  <c r="Q1228" i="16"/>
  <c r="R1228" i="16"/>
  <c r="S1228" i="16"/>
  <c r="T1228" i="16"/>
  <c r="U1228" i="16"/>
  <c r="E1229" i="16"/>
  <c r="G1229" i="16"/>
  <c r="H1229" i="16"/>
  <c r="I1229" i="16"/>
  <c r="J1229" i="16"/>
  <c r="K1229" i="16"/>
  <c r="L1229" i="16"/>
  <c r="M1229" i="16"/>
  <c r="N1229" i="16"/>
  <c r="O1229" i="16"/>
  <c r="P1229" i="16"/>
  <c r="Q1229" i="16"/>
  <c r="R1229" i="16"/>
  <c r="S1229" i="16"/>
  <c r="T1229" i="16"/>
  <c r="U1229" i="16"/>
  <c r="E1230" i="16"/>
  <c r="G1230" i="16"/>
  <c r="H1230" i="16"/>
  <c r="I1230" i="16"/>
  <c r="J1230" i="16"/>
  <c r="K1230" i="16"/>
  <c r="L1230" i="16"/>
  <c r="M1230" i="16"/>
  <c r="N1230" i="16"/>
  <c r="O1230" i="16"/>
  <c r="P1230" i="16"/>
  <c r="Q1230" i="16"/>
  <c r="R1230" i="16"/>
  <c r="S1230" i="16"/>
  <c r="T1230" i="16"/>
  <c r="U1230" i="16"/>
  <c r="E1231" i="16"/>
  <c r="G1231" i="16"/>
  <c r="H1231" i="16"/>
  <c r="I1231" i="16"/>
  <c r="J1231" i="16"/>
  <c r="K1231" i="16"/>
  <c r="L1231" i="16"/>
  <c r="M1231" i="16"/>
  <c r="N1231" i="16"/>
  <c r="O1231" i="16"/>
  <c r="P1231" i="16"/>
  <c r="Q1231" i="16"/>
  <c r="R1231" i="16"/>
  <c r="S1231" i="16"/>
  <c r="T1231" i="16"/>
  <c r="U1231" i="16"/>
  <c r="E1232" i="16"/>
  <c r="G1232" i="16"/>
  <c r="H1232" i="16"/>
  <c r="I1232" i="16"/>
  <c r="J1232" i="16"/>
  <c r="K1232" i="16"/>
  <c r="L1232" i="16"/>
  <c r="M1232" i="16"/>
  <c r="N1232" i="16"/>
  <c r="O1232" i="16"/>
  <c r="P1232" i="16"/>
  <c r="Q1232" i="16"/>
  <c r="R1232" i="16"/>
  <c r="S1232" i="16"/>
  <c r="T1232" i="16"/>
  <c r="U1232" i="16"/>
  <c r="E1233" i="16"/>
  <c r="G1233" i="16"/>
  <c r="H1233" i="16"/>
  <c r="I1233" i="16"/>
  <c r="J1233" i="16"/>
  <c r="K1233" i="16"/>
  <c r="L1233" i="16"/>
  <c r="M1233" i="16"/>
  <c r="N1233" i="16"/>
  <c r="O1233" i="16"/>
  <c r="P1233" i="16"/>
  <c r="Q1233" i="16"/>
  <c r="R1233" i="16"/>
  <c r="S1233" i="16"/>
  <c r="T1233" i="16"/>
  <c r="U1233" i="16"/>
  <c r="M1234" i="16"/>
  <c r="E1236" i="16"/>
  <c r="G1236" i="16"/>
  <c r="H1236" i="16"/>
  <c r="I1236" i="16"/>
  <c r="J1236" i="16"/>
  <c r="K1236" i="16"/>
  <c r="L1236" i="16"/>
  <c r="M1236" i="16"/>
  <c r="N1236" i="16"/>
  <c r="O1236" i="16"/>
  <c r="P1236" i="16"/>
  <c r="Q1236" i="16"/>
  <c r="R1236" i="16"/>
  <c r="S1236" i="16"/>
  <c r="T1236" i="16"/>
  <c r="U1236" i="16"/>
  <c r="E1237" i="16"/>
  <c r="G1237" i="16"/>
  <c r="H1237" i="16"/>
  <c r="I1237" i="16"/>
  <c r="J1237" i="16"/>
  <c r="K1237" i="16"/>
  <c r="L1237" i="16"/>
  <c r="M1237" i="16"/>
  <c r="N1237" i="16"/>
  <c r="O1237" i="16"/>
  <c r="P1237" i="16"/>
  <c r="Q1237" i="16"/>
  <c r="R1237" i="16"/>
  <c r="S1237" i="16"/>
  <c r="T1237" i="16"/>
  <c r="U1237" i="16"/>
  <c r="E1238" i="16"/>
  <c r="G1238" i="16"/>
  <c r="H1238" i="16"/>
  <c r="I1238" i="16"/>
  <c r="J1238" i="16"/>
  <c r="K1238" i="16"/>
  <c r="L1238" i="16"/>
  <c r="M1238" i="16"/>
  <c r="N1238" i="16"/>
  <c r="O1238" i="16"/>
  <c r="P1238" i="16"/>
  <c r="Q1238" i="16"/>
  <c r="R1238" i="16"/>
  <c r="S1238" i="16"/>
  <c r="T1238" i="16"/>
  <c r="U1238" i="16"/>
  <c r="E1239" i="16"/>
  <c r="G1239" i="16"/>
  <c r="H1239" i="16"/>
  <c r="I1239" i="16"/>
  <c r="J1239" i="16"/>
  <c r="K1239" i="16"/>
  <c r="L1239" i="16"/>
  <c r="M1239" i="16"/>
  <c r="N1239" i="16"/>
  <c r="O1239" i="16"/>
  <c r="P1239" i="16"/>
  <c r="Q1239" i="16"/>
  <c r="R1239" i="16"/>
  <c r="S1239" i="16"/>
  <c r="T1239" i="16"/>
  <c r="U1239" i="16"/>
  <c r="E1240" i="16"/>
  <c r="G1240" i="16"/>
  <c r="H1240" i="16"/>
  <c r="I1240" i="16"/>
  <c r="J1240" i="16"/>
  <c r="K1240" i="16"/>
  <c r="L1240" i="16"/>
  <c r="M1240" i="16"/>
  <c r="N1240" i="16"/>
  <c r="O1240" i="16"/>
  <c r="P1240" i="16"/>
  <c r="Q1240" i="16"/>
  <c r="R1240" i="16"/>
  <c r="S1240" i="16"/>
  <c r="T1240" i="16"/>
  <c r="U1240" i="16"/>
  <c r="E1241" i="16"/>
  <c r="G1241" i="16"/>
  <c r="H1241" i="16"/>
  <c r="I1241" i="16"/>
  <c r="J1241" i="16"/>
  <c r="K1241" i="16"/>
  <c r="L1241" i="16"/>
  <c r="M1241" i="16"/>
  <c r="N1241" i="16"/>
  <c r="O1241" i="16"/>
  <c r="P1241" i="16"/>
  <c r="Q1241" i="16"/>
  <c r="R1241" i="16"/>
  <c r="S1241" i="16"/>
  <c r="T1241" i="16"/>
  <c r="U1241" i="16"/>
  <c r="E1242" i="16"/>
  <c r="G1242" i="16"/>
  <c r="H1242" i="16"/>
  <c r="I1242" i="16"/>
  <c r="J1242" i="16"/>
  <c r="K1242" i="16"/>
  <c r="L1242" i="16"/>
  <c r="M1242" i="16"/>
  <c r="N1242" i="16"/>
  <c r="O1242" i="16"/>
  <c r="P1242" i="16"/>
  <c r="Q1242" i="16"/>
  <c r="R1242" i="16"/>
  <c r="S1242" i="16"/>
  <c r="T1242" i="16"/>
  <c r="U1242" i="16"/>
  <c r="E1243" i="16"/>
  <c r="G1243" i="16"/>
  <c r="H1243" i="16"/>
  <c r="I1243" i="16"/>
  <c r="J1243" i="16"/>
  <c r="K1243" i="16"/>
  <c r="L1243" i="16"/>
  <c r="M1243" i="16"/>
  <c r="N1243" i="16"/>
  <c r="O1243" i="16"/>
  <c r="P1243" i="16"/>
  <c r="Q1243" i="16"/>
  <c r="R1243" i="16"/>
  <c r="S1243" i="16"/>
  <c r="T1243" i="16"/>
  <c r="U1243" i="16"/>
  <c r="E1244" i="16"/>
  <c r="G1244" i="16"/>
  <c r="H1244" i="16"/>
  <c r="I1244" i="16"/>
  <c r="J1244" i="16"/>
  <c r="K1244" i="16"/>
  <c r="L1244" i="16"/>
  <c r="M1244" i="16"/>
  <c r="N1244" i="16"/>
  <c r="O1244" i="16"/>
  <c r="P1244" i="16"/>
  <c r="Q1244" i="16"/>
  <c r="R1244" i="16"/>
  <c r="S1244" i="16"/>
  <c r="T1244" i="16"/>
  <c r="U1244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E3" i="16"/>
  <c r="R34" i="22" l="1"/>
  <c r="N27" i="29"/>
  <c r="H22" i="29"/>
  <c r="B50" i="29"/>
  <c r="B55" i="29"/>
  <c r="F37" i="29"/>
  <c r="U37" i="29" s="1"/>
  <c r="N37" i="29"/>
  <c r="X37" i="29" s="1"/>
  <c r="B27" i="29"/>
  <c r="U27" i="29" s="1"/>
  <c r="B56" i="29"/>
  <c r="G37" i="29"/>
  <c r="O37" i="29"/>
  <c r="J22" i="29"/>
  <c r="R22" i="29"/>
  <c r="X22" i="29" s="1"/>
  <c r="R28" i="22"/>
  <c r="C27" i="29"/>
  <c r="K4" i="29"/>
  <c r="T4" i="29" s="1"/>
  <c r="B22" i="29"/>
  <c r="T22" i="29" s="1"/>
  <c r="U15" i="29"/>
  <c r="V22" i="29"/>
  <c r="V15" i="29"/>
  <c r="T15" i="29"/>
  <c r="X27" i="29"/>
  <c r="U4" i="29"/>
  <c r="V27" i="29"/>
  <c r="W15" i="29"/>
  <c r="V37" i="29"/>
  <c r="W4" i="29"/>
  <c r="X15" i="29"/>
  <c r="W47" i="16"/>
  <c r="W15" i="16"/>
  <c r="W10" i="16"/>
  <c r="W6" i="16"/>
  <c r="Y3" i="16"/>
  <c r="Y1243" i="16"/>
  <c r="Y1236" i="16"/>
  <c r="Y1227" i="16"/>
  <c r="Y1218" i="16"/>
  <c r="Y1210" i="16"/>
  <c r="Y1200" i="16"/>
  <c r="Y1191" i="16"/>
  <c r="Y1181" i="16"/>
  <c r="Y1172" i="16"/>
  <c r="Y1163" i="16"/>
  <c r="Y1155" i="16"/>
  <c r="Y1147" i="16"/>
  <c r="Y1138" i="16"/>
  <c r="Y1130" i="16"/>
  <c r="Y1124" i="16"/>
  <c r="Y1095" i="16"/>
  <c r="Y1087" i="16"/>
  <c r="Y1073" i="16"/>
  <c r="Y1064" i="16"/>
  <c r="Y1048" i="16"/>
  <c r="Y1221" i="16"/>
  <c r="Y1207" i="16"/>
  <c r="Y1193" i="16"/>
  <c r="Y1180" i="16"/>
  <c r="Y1170" i="16"/>
  <c r="Y1154" i="16"/>
  <c r="Y1143" i="16"/>
  <c r="Y1131" i="16"/>
  <c r="Y1091" i="16"/>
  <c r="Y1082" i="16"/>
  <c r="Y1071" i="16"/>
  <c r="Y1050" i="16"/>
  <c r="Y1041" i="16"/>
  <c r="Y992" i="16"/>
  <c r="Y964" i="16"/>
  <c r="Y963" i="16"/>
  <c r="Y959" i="16"/>
  <c r="Y956" i="16"/>
  <c r="Y955" i="16"/>
  <c r="Y952" i="16"/>
  <c r="Y950" i="16"/>
  <c r="Y948" i="16"/>
  <c r="Y947" i="16"/>
  <c r="Y945" i="16"/>
  <c r="Y940" i="16"/>
  <c r="Y939" i="16"/>
  <c r="Y934" i="16"/>
  <c r="Y933" i="16"/>
  <c r="Y930" i="16"/>
  <c r="Y929" i="16"/>
  <c r="Y925" i="16"/>
  <c r="Y924" i="16"/>
  <c r="Y917" i="16"/>
  <c r="Y915" i="16"/>
  <c r="Y914" i="16"/>
  <c r="Y913" i="16"/>
  <c r="Y909" i="16"/>
  <c r="Y908" i="16"/>
  <c r="Y737" i="16"/>
  <c r="Y736" i="16"/>
  <c r="Y735" i="16"/>
  <c r="Y734" i="16"/>
  <c r="Y732" i="16"/>
  <c r="Y731" i="16"/>
  <c r="Y730" i="16"/>
  <c r="Y729" i="16"/>
  <c r="Y728" i="16"/>
  <c r="Y726" i="16"/>
  <c r="Y724" i="16"/>
  <c r="Y723" i="16"/>
  <c r="Y722" i="16"/>
  <c r="Y719" i="16"/>
  <c r="Y718" i="16"/>
  <c r="Y1240" i="16"/>
  <c r="Y1232" i="16"/>
  <c r="Y1224" i="16"/>
  <c r="Y1215" i="16"/>
  <c r="Y1206" i="16"/>
  <c r="Y1197" i="16"/>
  <c r="Y1188" i="16"/>
  <c r="Y1179" i="16"/>
  <c r="Y1171" i="16"/>
  <c r="Y1152" i="16"/>
  <c r="Y1145" i="16"/>
  <c r="Y1136" i="16"/>
  <c r="Y1129" i="16"/>
  <c r="Y1119" i="16"/>
  <c r="Y1111" i="16"/>
  <c r="Y1101" i="16"/>
  <c r="Y1094" i="16"/>
  <c r="Y1070" i="16"/>
  <c r="Y1063" i="16"/>
  <c r="Y1054" i="16"/>
  <c r="Y1031" i="16"/>
  <c r="Y1025" i="16"/>
  <c r="Y1004" i="16"/>
  <c r="Y985" i="16"/>
  <c r="Y978" i="16"/>
  <c r="W731" i="16"/>
  <c r="Y1241" i="16"/>
  <c r="Y1226" i="16"/>
  <c r="Y1205" i="16"/>
  <c r="Y1198" i="16"/>
  <c r="Y1190" i="16"/>
  <c r="Y1183" i="16"/>
  <c r="Y1175" i="16"/>
  <c r="Y1166" i="16"/>
  <c r="Y1159" i="16"/>
  <c r="Y1148" i="16"/>
  <c r="Y1140" i="16"/>
  <c r="Y1133" i="16"/>
  <c r="Y1126" i="16"/>
  <c r="Y1120" i="16"/>
  <c r="Y1113" i="16"/>
  <c r="Y1106" i="16"/>
  <c r="Y1099" i="16"/>
  <c r="Y1086" i="16"/>
  <c r="Y1078" i="16"/>
  <c r="Y1044" i="16"/>
  <c r="Y1033" i="16"/>
  <c r="Y1027" i="16"/>
  <c r="Y1015" i="16"/>
  <c r="Y1003" i="16"/>
  <c r="Y984" i="16"/>
  <c r="Y1237" i="16"/>
  <c r="Y1228" i="16"/>
  <c r="Y1217" i="16"/>
  <c r="Y1201" i="16"/>
  <c r="Y1192" i="16"/>
  <c r="Y1184" i="16"/>
  <c r="Y1173" i="16"/>
  <c r="Y1164" i="16"/>
  <c r="Y1156" i="16"/>
  <c r="Y1150" i="16"/>
  <c r="Y1141" i="16"/>
  <c r="Y1132" i="16"/>
  <c r="Y1123" i="16"/>
  <c r="Y1090" i="16"/>
  <c r="Y1066" i="16"/>
  <c r="Y1058" i="16"/>
  <c r="Y1047" i="16"/>
  <c r="Y1019" i="16"/>
  <c r="Y995" i="16"/>
  <c r="Y987" i="16"/>
  <c r="Y975" i="16"/>
  <c r="Y971" i="16"/>
  <c r="W1147" i="16"/>
  <c r="Y1244" i="16"/>
  <c r="Y1238" i="16"/>
  <c r="Y1229" i="16"/>
  <c r="Y1223" i="16"/>
  <c r="Y1216" i="16"/>
  <c r="Y1209" i="16"/>
  <c r="Y1196" i="16"/>
  <c r="Y1189" i="16"/>
  <c r="Y1182" i="16"/>
  <c r="Y1174" i="16"/>
  <c r="Y1168" i="16"/>
  <c r="Y1153" i="16"/>
  <c r="Y1149" i="16"/>
  <c r="Y1139" i="16"/>
  <c r="Y1134" i="16"/>
  <c r="Y1127" i="16"/>
  <c r="Y1121" i="16"/>
  <c r="Y1109" i="16"/>
  <c r="Y1103" i="16"/>
  <c r="Y1074" i="16"/>
  <c r="Y1067" i="16"/>
  <c r="Y1062" i="16"/>
  <c r="Y1056" i="16"/>
  <c r="Y1042" i="16"/>
  <c r="Y1000" i="16"/>
  <c r="Y994" i="16"/>
  <c r="Y983" i="16"/>
  <c r="Y976" i="16"/>
  <c r="Y968" i="16"/>
  <c r="W987" i="16"/>
  <c r="Y1230" i="16"/>
  <c r="Y1220" i="16"/>
  <c r="Y1211" i="16"/>
  <c r="Y1199" i="16"/>
  <c r="Y1187" i="16"/>
  <c r="Y1177" i="16"/>
  <c r="Y1167" i="16"/>
  <c r="Y1157" i="16"/>
  <c r="Y1146" i="16"/>
  <c r="Y1137" i="16"/>
  <c r="Y1128" i="16"/>
  <c r="Y1118" i="16"/>
  <c r="Y1107" i="16"/>
  <c r="Y1079" i="16"/>
  <c r="Y1069" i="16"/>
  <c r="Y1059" i="16"/>
  <c r="Y1018" i="16"/>
  <c r="Y1009" i="16"/>
  <c r="Y993" i="16"/>
  <c r="W1099" i="16"/>
  <c r="Y1239" i="16"/>
  <c r="Y1231" i="16"/>
  <c r="Y1225" i="16"/>
  <c r="Y1214" i="16"/>
  <c r="Y1204" i="16"/>
  <c r="Y1195" i="16"/>
  <c r="Y1186" i="16"/>
  <c r="Y1178" i="16"/>
  <c r="Y1169" i="16"/>
  <c r="Y1160" i="16"/>
  <c r="Y1151" i="16"/>
  <c r="Y1142" i="16"/>
  <c r="Y1135" i="16"/>
  <c r="Y1125" i="16"/>
  <c r="Y1108" i="16"/>
  <c r="Y1055" i="16"/>
  <c r="Y1046" i="16"/>
  <c r="Y1023" i="16"/>
  <c r="Y1010" i="16"/>
  <c r="Y1005" i="16"/>
  <c r="Y991" i="16"/>
  <c r="Y986" i="16"/>
  <c r="Y979" i="16"/>
  <c r="Y1242" i="16"/>
  <c r="Y1233" i="16"/>
  <c r="Y1222" i="16"/>
  <c r="Y1212" i="16"/>
  <c r="Y1202" i="16"/>
  <c r="Y1194" i="16"/>
  <c r="Y1185" i="16"/>
  <c r="Y1176" i="16"/>
  <c r="Y1165" i="16"/>
  <c r="Y1158" i="16"/>
  <c r="Y1144" i="16"/>
  <c r="Y716" i="16"/>
  <c r="Y715" i="16"/>
  <c r="Y714" i="16"/>
  <c r="Y712" i="16"/>
  <c r="Y711" i="16"/>
  <c r="Y709" i="16"/>
  <c r="Y708" i="16"/>
  <c r="Y707" i="16"/>
  <c r="Y706" i="16"/>
  <c r="Y705" i="16"/>
  <c r="Y704" i="16"/>
  <c r="Y702" i="16"/>
  <c r="Y701" i="16"/>
  <c r="Y700" i="16"/>
  <c r="Y693" i="16"/>
  <c r="Y692" i="16"/>
  <c r="Y687" i="16"/>
  <c r="Y683" i="16"/>
  <c r="Y680" i="16"/>
  <c r="Y678" i="16"/>
  <c r="Y676" i="16"/>
  <c r="Y675" i="16"/>
  <c r="Y674" i="16"/>
  <c r="Y669" i="16"/>
  <c r="Y668" i="16"/>
  <c r="Y666" i="16"/>
  <c r="Y661" i="16"/>
  <c r="Y660" i="16"/>
  <c r="Y658" i="16"/>
  <c r="Y656" i="16"/>
  <c r="Y655" i="16"/>
  <c r="Y652" i="16"/>
  <c r="Y651" i="16"/>
  <c r="Y647" i="16"/>
  <c r="Y644" i="16"/>
  <c r="Y642" i="16"/>
  <c r="Y638" i="16"/>
  <c r="Y637" i="16"/>
  <c r="Y636" i="16"/>
  <c r="Y633" i="16"/>
  <c r="Y632" i="16"/>
  <c r="Y629" i="16"/>
  <c r="Y628" i="16"/>
  <c r="Y627" i="16"/>
  <c r="Y623" i="16"/>
  <c r="Y619" i="16"/>
  <c r="Y618" i="16"/>
  <c r="Y616" i="16"/>
  <c r="Y615" i="16"/>
  <c r="Y611" i="16"/>
  <c r="Y610" i="16"/>
  <c r="Y609" i="16"/>
  <c r="Y607" i="16"/>
  <c r="Y599" i="16"/>
  <c r="Y598" i="16"/>
  <c r="Y597" i="16"/>
  <c r="Y594" i="16"/>
  <c r="Y589" i="16"/>
  <c r="Y586" i="16"/>
  <c r="Y584" i="16"/>
  <c r="Y578" i="16"/>
  <c r="Y577" i="16"/>
  <c r="Y576" i="16"/>
  <c r="Y571" i="16"/>
  <c r="Y570" i="16"/>
  <c r="Y465" i="16"/>
  <c r="Y464" i="16"/>
  <c r="Y463" i="16"/>
  <c r="Y460" i="16"/>
  <c r="Y459" i="16"/>
  <c r="Y457" i="16"/>
  <c r="Y456" i="16"/>
  <c r="Y454" i="16"/>
  <c r="Y451" i="16"/>
  <c r="Y450" i="16"/>
  <c r="Y449" i="16"/>
  <c r="Y447" i="16"/>
  <c r="Y446" i="16"/>
  <c r="Y445" i="16"/>
  <c r="Y439" i="16"/>
  <c r="Y438" i="16"/>
  <c r="Y436" i="16"/>
  <c r="Y320" i="16"/>
  <c r="Y317" i="16"/>
  <c r="Y316" i="16"/>
  <c r="Y315" i="16"/>
  <c r="Y310" i="16"/>
  <c r="Y309" i="16"/>
  <c r="Y308" i="16"/>
  <c r="Y305" i="16"/>
  <c r="Y302" i="16"/>
  <c r="Y301" i="16"/>
  <c r="Y299" i="16"/>
  <c r="Y295" i="16"/>
  <c r="Y293" i="16"/>
  <c r="Y292" i="16"/>
  <c r="Y290" i="16"/>
  <c r="Y288" i="16"/>
  <c r="Y287" i="16"/>
  <c r="Y286" i="16"/>
  <c r="Y284" i="16"/>
  <c r="Y283" i="16"/>
  <c r="W1034" i="16"/>
  <c r="Y1034" i="16"/>
  <c r="W1004" i="16"/>
  <c r="M6" i="18"/>
  <c r="M7" i="17"/>
  <c r="N5" i="18"/>
  <c r="N6" i="17"/>
  <c r="W738" i="16"/>
  <c r="X1244" i="16"/>
  <c r="X1239" i="16"/>
  <c r="X1228" i="16"/>
  <c r="X1223" i="16"/>
  <c r="X1218" i="16"/>
  <c r="F6" i="18"/>
  <c r="F7" i="17"/>
  <c r="X1209" i="16"/>
  <c r="X1204" i="16"/>
  <c r="X1199" i="16"/>
  <c r="X1196" i="16"/>
  <c r="X1191" i="16"/>
  <c r="X1186" i="16"/>
  <c r="X1180" i="16"/>
  <c r="X1174" i="16"/>
  <c r="X1169" i="16"/>
  <c r="X1164" i="16"/>
  <c r="X1159" i="16"/>
  <c r="X1155" i="16"/>
  <c r="X1150" i="16"/>
  <c r="X1145" i="16"/>
  <c r="X1140" i="16"/>
  <c r="X1135" i="16"/>
  <c r="V1135" i="16" s="1"/>
  <c r="X1130" i="16"/>
  <c r="X1123" i="16"/>
  <c r="X1118" i="16"/>
  <c r="X1113" i="16"/>
  <c r="V1113" i="16" s="1"/>
  <c r="X1111" i="16"/>
  <c r="X1109" i="16"/>
  <c r="V1109" i="16" s="1"/>
  <c r="X1108" i="16"/>
  <c r="X1107" i="16"/>
  <c r="X1106" i="16"/>
  <c r="X1103" i="16"/>
  <c r="X1101" i="16"/>
  <c r="X1099" i="16"/>
  <c r="X1095" i="16"/>
  <c r="V1095" i="16" s="1"/>
  <c r="X1094" i="16"/>
  <c r="X1091" i="16"/>
  <c r="V1091" i="16" s="1"/>
  <c r="X1090" i="16"/>
  <c r="X1087" i="16"/>
  <c r="X1086" i="16"/>
  <c r="X1082" i="16"/>
  <c r="X1079" i="16"/>
  <c r="V1079" i="16" s="1"/>
  <c r="X1078" i="16"/>
  <c r="X1074" i="16"/>
  <c r="X1073" i="16"/>
  <c r="X1071" i="16"/>
  <c r="V1071" i="16" s="1"/>
  <c r="X1070" i="16"/>
  <c r="X1069" i="16"/>
  <c r="X1067" i="16"/>
  <c r="X1066" i="16"/>
  <c r="X1064" i="16"/>
  <c r="X1063" i="16"/>
  <c r="X1062" i="16"/>
  <c r="V1062" i="16" s="1"/>
  <c r="X1059" i="16"/>
  <c r="X1058" i="16"/>
  <c r="X1056" i="16"/>
  <c r="X1055" i="16"/>
  <c r="V1055" i="16" s="1"/>
  <c r="X1054" i="16"/>
  <c r="X1050" i="16"/>
  <c r="V1050" i="16" s="1"/>
  <c r="X1048" i="16"/>
  <c r="X1047" i="16"/>
  <c r="V1047" i="16" s="1"/>
  <c r="X1046" i="16"/>
  <c r="X1044" i="16"/>
  <c r="X1042" i="16"/>
  <c r="X1041" i="16"/>
  <c r="X1034" i="16"/>
  <c r="X1033" i="16"/>
  <c r="X1031" i="16"/>
  <c r="X1027" i="16"/>
  <c r="X1025" i="16"/>
  <c r="V1025" i="16" s="1"/>
  <c r="X1023" i="16"/>
  <c r="X1019" i="16"/>
  <c r="X1018" i="16"/>
  <c r="X1015" i="16"/>
  <c r="X1010" i="16"/>
  <c r="V1010" i="16" s="1"/>
  <c r="X1009" i="16"/>
  <c r="X1005" i="16"/>
  <c r="X1004" i="16"/>
  <c r="V1004" i="16" s="1"/>
  <c r="X1003" i="16"/>
  <c r="X1000" i="16"/>
  <c r="X995" i="16"/>
  <c r="V995" i="16" s="1"/>
  <c r="X994" i="16"/>
  <c r="V994" i="16" s="1"/>
  <c r="X993" i="16"/>
  <c r="X992" i="16"/>
  <c r="V992" i="16" s="1"/>
  <c r="X991" i="16"/>
  <c r="X987" i="16"/>
  <c r="V987" i="16" s="1"/>
  <c r="X986" i="16"/>
  <c r="X985" i="16"/>
  <c r="X984" i="16"/>
  <c r="X983" i="16"/>
  <c r="X979" i="16"/>
  <c r="X978" i="16"/>
  <c r="X976" i="16"/>
  <c r="V976" i="16" s="1"/>
  <c r="X975" i="16"/>
  <c r="X971" i="16"/>
  <c r="V971" i="16" s="1"/>
  <c r="X968" i="16"/>
  <c r="X964" i="16"/>
  <c r="X963" i="16"/>
  <c r="X959" i="16"/>
  <c r="V959" i="16" s="1"/>
  <c r="X956" i="16"/>
  <c r="X955" i="16"/>
  <c r="X952" i="16"/>
  <c r="X950" i="16"/>
  <c r="X948" i="16"/>
  <c r="X947" i="16"/>
  <c r="X945" i="16"/>
  <c r="X940" i="16"/>
  <c r="X939" i="16"/>
  <c r="X934" i="16"/>
  <c r="V934" i="16" s="1"/>
  <c r="X933" i="16"/>
  <c r="V933" i="16" s="1"/>
  <c r="X930" i="16"/>
  <c r="X929" i="16"/>
  <c r="V929" i="16" s="1"/>
  <c r="X925" i="16"/>
  <c r="X924" i="16"/>
  <c r="X917" i="16"/>
  <c r="V917" i="16" s="1"/>
  <c r="X915" i="16"/>
  <c r="X914" i="16"/>
  <c r="X913" i="16"/>
  <c r="V913" i="16" s="1"/>
  <c r="X909" i="16"/>
  <c r="X908" i="16"/>
  <c r="X907" i="16"/>
  <c r="X905" i="16"/>
  <c r="X901" i="16"/>
  <c r="X896" i="16"/>
  <c r="X893" i="16"/>
  <c r="X891" i="16"/>
  <c r="X888" i="16"/>
  <c r="X884" i="16"/>
  <c r="X883" i="16"/>
  <c r="X882" i="16"/>
  <c r="X879" i="16"/>
  <c r="X878" i="16"/>
  <c r="X877" i="16"/>
  <c r="X875" i="16"/>
  <c r="X873" i="16"/>
  <c r="X871" i="16"/>
  <c r="X868" i="16"/>
  <c r="X867" i="16"/>
  <c r="X863" i="16"/>
  <c r="X862" i="16"/>
  <c r="X860" i="16"/>
  <c r="X858" i="16"/>
  <c r="X857" i="16"/>
  <c r="X856" i="16"/>
  <c r="W1197" i="16"/>
  <c r="X1243" i="16"/>
  <c r="X1237" i="16"/>
  <c r="X1232" i="16"/>
  <c r="X1225" i="16"/>
  <c r="V1225" i="16" s="1"/>
  <c r="X1220" i="16"/>
  <c r="X1214" i="16"/>
  <c r="X1202" i="16"/>
  <c r="X1197" i="16"/>
  <c r="X1192" i="16"/>
  <c r="X1187" i="16"/>
  <c r="X1182" i="16"/>
  <c r="X1177" i="16"/>
  <c r="X1171" i="16"/>
  <c r="V1171" i="16" s="1"/>
  <c r="X1166" i="16"/>
  <c r="X1160" i="16"/>
  <c r="X1154" i="16"/>
  <c r="V1154" i="16" s="1"/>
  <c r="X1149" i="16"/>
  <c r="V1149" i="16" s="1"/>
  <c r="X1141" i="16"/>
  <c r="X1136" i="16"/>
  <c r="X1131" i="16"/>
  <c r="X1125" i="16"/>
  <c r="X1119" i="16"/>
  <c r="X1240" i="16"/>
  <c r="X1230" i="16"/>
  <c r="V1230" i="16" s="1"/>
  <c r="X1227" i="16"/>
  <c r="X1222" i="16"/>
  <c r="V1222" i="16" s="1"/>
  <c r="X1217" i="16"/>
  <c r="V1217" i="16" s="1"/>
  <c r="X1212" i="16"/>
  <c r="V1212" i="16" s="1"/>
  <c r="X1207" i="16"/>
  <c r="X1198" i="16"/>
  <c r="X1193" i="16"/>
  <c r="X1188" i="16"/>
  <c r="V1188" i="16" s="1"/>
  <c r="X1184" i="16"/>
  <c r="V1184" i="16" s="1"/>
  <c r="X1179" i="16"/>
  <c r="V1179" i="16" s="1"/>
  <c r="X1175" i="16"/>
  <c r="X1170" i="16"/>
  <c r="V1170" i="16" s="1"/>
  <c r="X1165" i="16"/>
  <c r="V1165" i="16" s="1"/>
  <c r="X1156" i="16"/>
  <c r="X1151" i="16"/>
  <c r="X1146" i="16"/>
  <c r="X1142" i="16"/>
  <c r="X1137" i="16"/>
  <c r="X1133" i="16"/>
  <c r="X1127" i="16"/>
  <c r="X1241" i="16"/>
  <c r="X1236" i="16"/>
  <c r="X1231" i="16"/>
  <c r="X1226" i="16"/>
  <c r="V1226" i="16" s="1"/>
  <c r="X1221" i="16"/>
  <c r="V1221" i="16" s="1"/>
  <c r="X1216" i="16"/>
  <c r="V1216" i="16" s="1"/>
  <c r="X1211" i="16"/>
  <c r="X1206" i="16"/>
  <c r="V1206" i="16" s="1"/>
  <c r="X1201" i="16"/>
  <c r="V1201" i="16" s="1"/>
  <c r="X1195" i="16"/>
  <c r="X1189" i="16"/>
  <c r="X1183" i="16"/>
  <c r="X1178" i="16"/>
  <c r="X1173" i="16"/>
  <c r="X1168" i="16"/>
  <c r="X1163" i="16"/>
  <c r="X1158" i="16"/>
  <c r="X1153" i="16"/>
  <c r="V1153" i="16" s="1"/>
  <c r="X1148" i="16"/>
  <c r="X1144" i="16"/>
  <c r="X1138" i="16"/>
  <c r="X1134" i="16"/>
  <c r="X1128" i="16"/>
  <c r="X1120" i="16"/>
  <c r="V1120" i="16" s="1"/>
  <c r="W1109" i="16"/>
  <c r="X1242" i="16"/>
  <c r="V1242" i="16" s="1"/>
  <c r="X1238" i="16"/>
  <c r="X1233" i="16"/>
  <c r="X1229" i="16"/>
  <c r="X1224" i="16"/>
  <c r="X1215" i="16"/>
  <c r="V1215" i="16" s="1"/>
  <c r="X1210" i="16"/>
  <c r="V1210" i="16" s="1"/>
  <c r="X1205" i="16"/>
  <c r="X1200" i="16"/>
  <c r="X1194" i="16"/>
  <c r="X1190" i="16"/>
  <c r="X1185" i="16"/>
  <c r="X1181" i="16"/>
  <c r="V1181" i="16" s="1"/>
  <c r="X1176" i="16"/>
  <c r="X1172" i="16"/>
  <c r="V1172" i="16" s="1"/>
  <c r="X1167" i="16"/>
  <c r="X1157" i="16"/>
  <c r="X1152" i="16"/>
  <c r="X1147" i="16"/>
  <c r="X1143" i="16"/>
  <c r="X1139" i="16"/>
  <c r="V1139" i="16" s="1"/>
  <c r="X1132" i="16"/>
  <c r="V1132" i="16" s="1"/>
  <c r="X1126" i="16"/>
  <c r="V1126" i="16" s="1"/>
  <c r="X1121" i="16"/>
  <c r="X3" i="16"/>
  <c r="V3" i="16" s="1"/>
  <c r="W1126" i="16"/>
  <c r="X1129" i="16"/>
  <c r="X1124" i="16"/>
  <c r="W1128" i="16"/>
  <c r="W1064" i="16"/>
  <c r="W893" i="16"/>
  <c r="W478" i="16"/>
  <c r="W896" i="16"/>
  <c r="W735" i="16"/>
  <c r="W655" i="16"/>
  <c r="W322" i="16"/>
  <c r="X853" i="16"/>
  <c r="X852" i="16"/>
  <c r="X850" i="16"/>
  <c r="X848" i="16"/>
  <c r="X847" i="16"/>
  <c r="X845" i="16"/>
  <c r="X842" i="16"/>
  <c r="X840" i="16"/>
  <c r="X837" i="16"/>
  <c r="X832" i="16"/>
  <c r="X829" i="16"/>
  <c r="X827" i="16"/>
  <c r="X826" i="16"/>
  <c r="X825" i="16"/>
  <c r="X824" i="16"/>
  <c r="X821" i="16"/>
  <c r="X820" i="16"/>
  <c r="X818" i="16"/>
  <c r="X817" i="16"/>
  <c r="X816" i="16"/>
  <c r="X815" i="16"/>
  <c r="X814" i="16"/>
  <c r="X812" i="16"/>
  <c r="X810" i="16"/>
  <c r="X809" i="16"/>
  <c r="X807" i="16"/>
  <c r="X805" i="16"/>
  <c r="X804" i="16"/>
  <c r="X803" i="16"/>
  <c r="X801" i="16"/>
  <c r="X800" i="16"/>
  <c r="X799" i="16"/>
  <c r="X793" i="16"/>
  <c r="X791" i="16"/>
  <c r="X788" i="16"/>
  <c r="X785" i="16"/>
  <c r="X784" i="16"/>
  <c r="X782" i="16"/>
  <c r="X781" i="16"/>
  <c r="X779" i="16"/>
  <c r="X777" i="16"/>
  <c r="X774" i="16"/>
  <c r="X771" i="16"/>
  <c r="X769" i="16"/>
  <c r="X767" i="16"/>
  <c r="X762" i="16"/>
  <c r="X761" i="16"/>
  <c r="X760" i="16"/>
  <c r="X758" i="16"/>
  <c r="X756" i="16"/>
  <c r="X754" i="16"/>
  <c r="X753" i="16"/>
  <c r="X752" i="16"/>
  <c r="X750" i="16"/>
  <c r="X748" i="16"/>
  <c r="X745" i="16"/>
  <c r="X744" i="16"/>
  <c r="X743" i="16"/>
  <c r="X740" i="16"/>
  <c r="X739" i="16"/>
  <c r="W529" i="16"/>
  <c r="W513" i="16"/>
  <c r="W482" i="16"/>
  <c r="W466" i="16"/>
  <c r="X738" i="16"/>
  <c r="X737" i="16"/>
  <c r="X736" i="16"/>
  <c r="X735" i="16"/>
  <c r="V735" i="16" s="1"/>
  <c r="X734" i="16"/>
  <c r="X732" i="16"/>
  <c r="V732" i="16" s="1"/>
  <c r="X731" i="16"/>
  <c r="V731" i="16" s="1"/>
  <c r="X730" i="16"/>
  <c r="V730" i="16" s="1"/>
  <c r="X729" i="16"/>
  <c r="V729" i="16" s="1"/>
  <c r="X728" i="16"/>
  <c r="X726" i="16"/>
  <c r="X724" i="16"/>
  <c r="V724" i="16" s="1"/>
  <c r="X723" i="16"/>
  <c r="X722" i="16"/>
  <c r="X719" i="16"/>
  <c r="V719" i="16" s="1"/>
  <c r="X718" i="16"/>
  <c r="X716" i="16"/>
  <c r="V716" i="16" s="1"/>
  <c r="X715" i="16"/>
  <c r="V715" i="16" s="1"/>
  <c r="X714" i="16"/>
  <c r="X712" i="16"/>
  <c r="X711" i="16"/>
  <c r="X709" i="16"/>
  <c r="X708" i="16"/>
  <c r="X707" i="16"/>
  <c r="V707" i="16" s="1"/>
  <c r="X706" i="16"/>
  <c r="V706" i="16" s="1"/>
  <c r="X705" i="16"/>
  <c r="V705" i="16" s="1"/>
  <c r="X704" i="16"/>
  <c r="V704" i="16" s="1"/>
  <c r="X702" i="16"/>
  <c r="X701" i="16"/>
  <c r="X700" i="16"/>
  <c r="V700" i="16" s="1"/>
  <c r="X693" i="16"/>
  <c r="X692" i="16"/>
  <c r="X687" i="16"/>
  <c r="X683" i="16"/>
  <c r="V683" i="16" s="1"/>
  <c r="X680" i="16"/>
  <c r="X678" i="16"/>
  <c r="X676" i="16"/>
  <c r="X675" i="16"/>
  <c r="V675" i="16" s="1"/>
  <c r="X674" i="16"/>
  <c r="X669" i="16"/>
  <c r="V669" i="16" s="1"/>
  <c r="X668" i="16"/>
  <c r="V668" i="16" s="1"/>
  <c r="X666" i="16"/>
  <c r="V666" i="16" s="1"/>
  <c r="X661" i="16"/>
  <c r="V661" i="16" s="1"/>
  <c r="X660" i="16"/>
  <c r="X658" i="16"/>
  <c r="X656" i="16"/>
  <c r="V656" i="16" s="1"/>
  <c r="X655" i="16"/>
  <c r="X652" i="16"/>
  <c r="X651" i="16"/>
  <c r="V651" i="16" s="1"/>
  <c r="X647" i="16"/>
  <c r="V647" i="16" s="1"/>
  <c r="X644" i="16"/>
  <c r="X642" i="16"/>
  <c r="X638" i="16"/>
  <c r="X637" i="16"/>
  <c r="V637" i="16" s="1"/>
  <c r="X636" i="16"/>
  <c r="X633" i="16"/>
  <c r="V633" i="16" s="1"/>
  <c r="X632" i="16"/>
  <c r="V632" i="16" s="1"/>
  <c r="X629" i="16"/>
  <c r="X628" i="16"/>
  <c r="V628" i="16" s="1"/>
  <c r="X627" i="16"/>
  <c r="X623" i="16"/>
  <c r="X619" i="16"/>
  <c r="X618" i="16"/>
  <c r="V618" i="16" s="1"/>
  <c r="X616" i="16"/>
  <c r="V616" i="16" s="1"/>
  <c r="X615" i="16"/>
  <c r="V615" i="16" s="1"/>
  <c r="X611" i="16"/>
  <c r="V611" i="16" s="1"/>
  <c r="X610" i="16"/>
  <c r="X609" i="16"/>
  <c r="X607" i="16"/>
  <c r="X599" i="16"/>
  <c r="X598" i="16"/>
  <c r="V598" i="16" s="1"/>
  <c r="X597" i="16"/>
  <c r="X594" i="16"/>
  <c r="X589" i="16"/>
  <c r="X586" i="16"/>
  <c r="V586" i="16" s="1"/>
  <c r="X584" i="16"/>
  <c r="X578" i="16"/>
  <c r="X577" i="16"/>
  <c r="X576" i="16"/>
  <c r="V576" i="16" s="1"/>
  <c r="X571" i="16"/>
  <c r="V571" i="16" s="1"/>
  <c r="X570" i="16"/>
  <c r="V570" i="16" s="1"/>
  <c r="X564" i="16"/>
  <c r="F15" i="17"/>
  <c r="AA15" i="17" s="1"/>
  <c r="X563" i="16"/>
  <c r="X562" i="16"/>
  <c r="X561" i="16"/>
  <c r="X560" i="16"/>
  <c r="X559" i="16"/>
  <c r="X555" i="16"/>
  <c r="X554" i="16"/>
  <c r="X553" i="16"/>
  <c r="X552" i="16"/>
  <c r="X551" i="16"/>
  <c r="X549" i="16"/>
  <c r="X547" i="16"/>
  <c r="X546" i="16"/>
  <c r="X545" i="16"/>
  <c r="X544" i="16"/>
  <c r="X543" i="16"/>
  <c r="X542" i="16"/>
  <c r="X540" i="16"/>
  <c r="X539" i="16"/>
  <c r="X538" i="16"/>
  <c r="X536" i="16"/>
  <c r="X535" i="16"/>
  <c r="X533" i="16"/>
  <c r="X531" i="16"/>
  <c r="X530" i="16"/>
  <c r="X529" i="16"/>
  <c r="X527" i="16"/>
  <c r="X525" i="16"/>
  <c r="X524" i="16"/>
  <c r="X521" i="16"/>
  <c r="X520" i="16"/>
  <c r="X518" i="16"/>
  <c r="X516" i="16"/>
  <c r="X514" i="16"/>
  <c r="X513" i="16"/>
  <c r="X511" i="16"/>
  <c r="X510" i="16"/>
  <c r="X509" i="16"/>
  <c r="X508" i="16"/>
  <c r="X506" i="16"/>
  <c r="X505" i="16"/>
  <c r="X504" i="16"/>
  <c r="X501" i="16"/>
  <c r="X500" i="16"/>
  <c r="X498" i="16"/>
  <c r="X497" i="16"/>
  <c r="X496" i="16"/>
  <c r="X492" i="16"/>
  <c r="X491" i="16"/>
  <c r="X490" i="16"/>
  <c r="X489" i="16"/>
  <c r="X488" i="16"/>
  <c r="X487" i="16"/>
  <c r="X485" i="16"/>
  <c r="X484" i="16"/>
  <c r="W774" i="16"/>
  <c r="W758" i="16"/>
  <c r="W533" i="16"/>
  <c r="W1111" i="16"/>
  <c r="W983" i="16"/>
  <c r="W807" i="16"/>
  <c r="W840" i="16"/>
  <c r="W711" i="16"/>
  <c r="Y907" i="16"/>
  <c r="Y905" i="16"/>
  <c r="Y901" i="16"/>
  <c r="Y896" i="16"/>
  <c r="Y893" i="16"/>
  <c r="Y891" i="16"/>
  <c r="Y888" i="16"/>
  <c r="Y884" i="16"/>
  <c r="Y883" i="16"/>
  <c r="Y882" i="16"/>
  <c r="Y879" i="16"/>
  <c r="Y878" i="16"/>
  <c r="Y877" i="16"/>
  <c r="Y875" i="16"/>
  <c r="Y873" i="16"/>
  <c r="Y871" i="16"/>
  <c r="Y868" i="16"/>
  <c r="Y867" i="16"/>
  <c r="Y863" i="16"/>
  <c r="Y862" i="16"/>
  <c r="Y860" i="16"/>
  <c r="Y858" i="16"/>
  <c r="Y857" i="16"/>
  <c r="Y856" i="16"/>
  <c r="Y853" i="16"/>
  <c r="Y852" i="16"/>
  <c r="Y850" i="16"/>
  <c r="Y848" i="16"/>
  <c r="Y847" i="16"/>
  <c r="Y845" i="16"/>
  <c r="Y842" i="16"/>
  <c r="Y840" i="16"/>
  <c r="Y837" i="16"/>
  <c r="Y832" i="16"/>
  <c r="Y829" i="16"/>
  <c r="Y827" i="16"/>
  <c r="Y826" i="16"/>
  <c r="Y825" i="16"/>
  <c r="Y824" i="16"/>
  <c r="Y821" i="16"/>
  <c r="Y820" i="16"/>
  <c r="Y818" i="16"/>
  <c r="Y817" i="16"/>
  <c r="Y816" i="16"/>
  <c r="Y815" i="16"/>
  <c r="Y814" i="16"/>
  <c r="Y812" i="16"/>
  <c r="Y810" i="16"/>
  <c r="Y809" i="16"/>
  <c r="Y807" i="16"/>
  <c r="Y805" i="16"/>
  <c r="Y804" i="16"/>
  <c r="Y803" i="16"/>
  <c r="Y801" i="16"/>
  <c r="Y800" i="16"/>
  <c r="Y799" i="16"/>
  <c r="Y793" i="16"/>
  <c r="Y791" i="16"/>
  <c r="Y788" i="16"/>
  <c r="Y785" i="16"/>
  <c r="Y784" i="16"/>
  <c r="Y782" i="16"/>
  <c r="Y781" i="16"/>
  <c r="Y779" i="16"/>
  <c r="Y777" i="16"/>
  <c r="Y774" i="16"/>
  <c r="Y771" i="16"/>
  <c r="Y769" i="16"/>
  <c r="Y767" i="16"/>
  <c r="Y762" i="16"/>
  <c r="Y761" i="16"/>
  <c r="Y760" i="16"/>
  <c r="Y758" i="16"/>
  <c r="Y756" i="16"/>
  <c r="Y754" i="16"/>
  <c r="Y753" i="16"/>
  <c r="Y752" i="16"/>
  <c r="Y750" i="16"/>
  <c r="Y748" i="16"/>
  <c r="Y745" i="16"/>
  <c r="Y744" i="16"/>
  <c r="Y743" i="16"/>
  <c r="Y740" i="16"/>
  <c r="Y739" i="16"/>
  <c r="Y738" i="16"/>
  <c r="W299" i="16"/>
  <c r="K27" i="18"/>
  <c r="K4" i="17"/>
  <c r="W397" i="16"/>
  <c r="X482" i="16"/>
  <c r="X481" i="16"/>
  <c r="X479" i="16"/>
  <c r="X478" i="16"/>
  <c r="X477" i="16"/>
  <c r="X473" i="16"/>
  <c r="X472" i="16"/>
  <c r="X471" i="16"/>
  <c r="X468" i="16"/>
  <c r="X466" i="16"/>
  <c r="X465" i="16"/>
  <c r="X464" i="16"/>
  <c r="X463" i="16"/>
  <c r="X460" i="16"/>
  <c r="X459" i="16"/>
  <c r="X457" i="16"/>
  <c r="X456" i="16"/>
  <c r="V456" i="16" s="1"/>
  <c r="X454" i="16"/>
  <c r="V454" i="16" s="1"/>
  <c r="X451" i="16"/>
  <c r="X450" i="16"/>
  <c r="X449" i="16"/>
  <c r="X447" i="16"/>
  <c r="X446" i="16"/>
  <c r="X445" i="16"/>
  <c r="V445" i="16" s="1"/>
  <c r="X439" i="16"/>
  <c r="V439" i="16" s="1"/>
  <c r="X438" i="16"/>
  <c r="V438" i="16" s="1"/>
  <c r="X436" i="16"/>
  <c r="V436" i="16" s="1"/>
  <c r="W417" i="16"/>
  <c r="W385" i="16"/>
  <c r="X431" i="16"/>
  <c r="X430" i="16"/>
  <c r="X427" i="16"/>
  <c r="X424" i="16"/>
  <c r="X423" i="16"/>
  <c r="X420" i="16"/>
  <c r="X418" i="16"/>
  <c r="X417" i="16"/>
  <c r="X416" i="16"/>
  <c r="X412" i="16"/>
  <c r="X411" i="16"/>
  <c r="X410" i="16"/>
  <c r="X409" i="16"/>
  <c r="X408" i="16"/>
  <c r="X404" i="16"/>
  <c r="X403" i="16"/>
  <c r="X402" i="16"/>
  <c r="X401" i="16"/>
  <c r="X400" i="16"/>
  <c r="X399" i="16"/>
  <c r="X398" i="16"/>
  <c r="X397" i="16"/>
  <c r="X395" i="16"/>
  <c r="X393" i="16"/>
  <c r="X392" i="16"/>
  <c r="X391" i="16"/>
  <c r="X389" i="16"/>
  <c r="X388" i="16"/>
  <c r="X387" i="16"/>
  <c r="X385" i="16"/>
  <c r="X384" i="16"/>
  <c r="X382" i="16"/>
  <c r="X381" i="16"/>
  <c r="X380" i="16"/>
  <c r="X379" i="16"/>
  <c r="X378" i="16"/>
  <c r="X377" i="16"/>
  <c r="X376" i="16"/>
  <c r="X372" i="16"/>
  <c r="X371" i="16"/>
  <c r="X369" i="16"/>
  <c r="X368" i="16"/>
  <c r="X366" i="16"/>
  <c r="X364" i="16"/>
  <c r="X363" i="16"/>
  <c r="X362" i="16"/>
  <c r="X360" i="16"/>
  <c r="X358" i="16"/>
  <c r="X354" i="16"/>
  <c r="X353" i="16"/>
  <c r="X352" i="16"/>
  <c r="X350" i="16"/>
  <c r="X348" i="16"/>
  <c r="X346" i="16"/>
  <c r="X345" i="16"/>
  <c r="X342" i="16"/>
  <c r="X341" i="16"/>
  <c r="X339" i="16"/>
  <c r="X338" i="16"/>
  <c r="X336" i="16"/>
  <c r="X333" i="16"/>
  <c r="X332" i="16"/>
  <c r="X330" i="16"/>
  <c r="X329" i="16"/>
  <c r="X327" i="16"/>
  <c r="X324" i="16"/>
  <c r="W388" i="16"/>
  <c r="W454" i="16"/>
  <c r="Y564" i="16"/>
  <c r="O15" i="17"/>
  <c r="AB15" i="17" s="1"/>
  <c r="Y563" i="16"/>
  <c r="Y562" i="16"/>
  <c r="Y561" i="16"/>
  <c r="Y560" i="16"/>
  <c r="Y559" i="16"/>
  <c r="Y555" i="16"/>
  <c r="Y554" i="16"/>
  <c r="Y553" i="16"/>
  <c r="Y552" i="16"/>
  <c r="Y551" i="16"/>
  <c r="Y549" i="16"/>
  <c r="Y547" i="16"/>
  <c r="V547" i="16" s="1"/>
  <c r="Y546" i="16"/>
  <c r="Y545" i="16"/>
  <c r="Y544" i="16"/>
  <c r="Y543" i="16"/>
  <c r="Y542" i="16"/>
  <c r="Y540" i="16"/>
  <c r="Y539" i="16"/>
  <c r="Y538" i="16"/>
  <c r="Y536" i="16"/>
  <c r="Y535" i="16"/>
  <c r="Y533" i="16"/>
  <c r="Y531" i="16"/>
  <c r="Y530" i="16"/>
  <c r="Y529" i="16"/>
  <c r="Y527" i="16"/>
  <c r="Y525" i="16"/>
  <c r="Y524" i="16"/>
  <c r="Y521" i="16"/>
  <c r="Y520" i="16"/>
  <c r="Y518" i="16"/>
  <c r="Y516" i="16"/>
  <c r="Y514" i="16"/>
  <c r="Y513" i="16"/>
  <c r="Y511" i="16"/>
  <c r="Y510" i="16"/>
  <c r="Y509" i="16"/>
  <c r="Y508" i="16"/>
  <c r="Y506" i="16"/>
  <c r="Y505" i="16"/>
  <c r="Y504" i="16"/>
  <c r="Y501" i="16"/>
  <c r="Y500" i="16"/>
  <c r="Y498" i="16"/>
  <c r="Y497" i="16"/>
  <c r="Y496" i="16"/>
  <c r="Y492" i="16"/>
  <c r="Y491" i="16"/>
  <c r="Y490" i="16"/>
  <c r="Y489" i="16"/>
  <c r="Y488" i="16"/>
  <c r="Y487" i="16"/>
  <c r="Y485" i="16"/>
  <c r="Y484" i="16"/>
  <c r="Y482" i="16"/>
  <c r="Y481" i="16"/>
  <c r="Y479" i="16"/>
  <c r="Y478" i="16"/>
  <c r="Y477" i="16"/>
  <c r="Y473" i="16"/>
  <c r="Y472" i="16"/>
  <c r="Y471" i="16"/>
  <c r="Y468" i="16"/>
  <c r="Y466" i="16"/>
  <c r="W376" i="16"/>
  <c r="Y431" i="16"/>
  <c r="Y430" i="16"/>
  <c r="Y427" i="16"/>
  <c r="Y424" i="16"/>
  <c r="Y423" i="16"/>
  <c r="Y420" i="16"/>
  <c r="Y418" i="16"/>
  <c r="Y417" i="16"/>
  <c r="Y416" i="16"/>
  <c r="Y412" i="16"/>
  <c r="Y411" i="16"/>
  <c r="Y410" i="16"/>
  <c r="Y409" i="16"/>
  <c r="Y408" i="16"/>
  <c r="Y404" i="16"/>
  <c r="Y403" i="16"/>
  <c r="Y402" i="16"/>
  <c r="Y401" i="16"/>
  <c r="Y400" i="16"/>
  <c r="Y399" i="16"/>
  <c r="Y398" i="16"/>
  <c r="Y397" i="16"/>
  <c r="Y395" i="16"/>
  <c r="Y393" i="16"/>
  <c r="Y392" i="16"/>
  <c r="Y391" i="16"/>
  <c r="Y389" i="16"/>
  <c r="Y388" i="16"/>
  <c r="Y387" i="16"/>
  <c r="Y385" i="16"/>
  <c r="Y384" i="16"/>
  <c r="Y382" i="16"/>
  <c r="Y381" i="16"/>
  <c r="Y380" i="16"/>
  <c r="Y379" i="16"/>
  <c r="Y378" i="16"/>
  <c r="Y377" i="16"/>
  <c r="Y376" i="16"/>
  <c r="O26" i="18"/>
  <c r="O3" i="17"/>
  <c r="Y372" i="16"/>
  <c r="Y371" i="16"/>
  <c r="Y369" i="16"/>
  <c r="Y368" i="16"/>
  <c r="Y366" i="16"/>
  <c r="Y364" i="16"/>
  <c r="Y363" i="16"/>
  <c r="V363" i="16" s="1"/>
  <c r="Y362" i="16"/>
  <c r="Y360" i="16"/>
  <c r="Y358" i="16"/>
  <c r="Y354" i="16"/>
  <c r="Y353" i="16"/>
  <c r="Y352" i="16"/>
  <c r="Y350" i="16"/>
  <c r="Y348" i="16"/>
  <c r="Y346" i="16"/>
  <c r="Y345" i="16"/>
  <c r="Y342" i="16"/>
  <c r="Y341" i="16"/>
  <c r="Y339" i="16"/>
  <c r="Y338" i="16"/>
  <c r="Y336" i="16"/>
  <c r="Y333" i="16"/>
  <c r="Y332" i="16"/>
  <c r="Y330" i="16"/>
  <c r="Y329" i="16"/>
  <c r="Y327" i="16"/>
  <c r="Y324" i="16"/>
  <c r="Y322" i="16"/>
  <c r="Y278" i="16"/>
  <c r="Y277" i="16"/>
  <c r="Y276" i="16"/>
  <c r="Y271" i="16"/>
  <c r="Y270" i="16"/>
  <c r="Y269" i="16"/>
  <c r="Y265" i="16"/>
  <c r="Y263" i="16"/>
  <c r="Y262" i="16"/>
  <c r="Y260" i="16"/>
  <c r="Y257" i="16"/>
  <c r="Y255" i="16"/>
  <c r="Y252" i="16"/>
  <c r="Y250" i="16"/>
  <c r="Y249" i="16"/>
  <c r="Y244" i="16"/>
  <c r="Y243" i="16"/>
  <c r="Y241" i="16"/>
  <c r="Y240" i="16"/>
  <c r="Y238" i="16"/>
  <c r="Y237" i="16"/>
  <c r="Y236" i="16"/>
  <c r="Y235" i="16"/>
  <c r="Y232" i="16"/>
  <c r="Y228" i="16"/>
  <c r="Y225" i="16"/>
  <c r="Y224" i="16"/>
  <c r="Y223" i="16"/>
  <c r="Y220" i="16"/>
  <c r="Y217" i="16"/>
  <c r="Y216" i="16"/>
  <c r="Y215" i="16"/>
  <c r="Y212" i="16"/>
  <c r="Y209" i="16"/>
  <c r="Y208" i="16"/>
  <c r="Y204" i="16"/>
  <c r="Y201" i="16"/>
  <c r="Y196" i="16"/>
  <c r="Y195" i="16"/>
  <c r="Y194" i="16"/>
  <c r="Y193" i="16"/>
  <c r="Y191" i="16"/>
  <c r="Y189" i="16"/>
  <c r="Y188" i="16"/>
  <c r="Y187" i="16"/>
  <c r="Y181" i="16"/>
  <c r="Y180" i="16"/>
  <c r="Y179" i="16"/>
  <c r="Y178" i="16"/>
  <c r="Y175" i="16"/>
  <c r="Y172" i="16"/>
  <c r="Y171" i="16"/>
  <c r="Y166" i="16"/>
  <c r="Y165" i="16"/>
  <c r="Y164" i="16"/>
  <c r="Y163" i="16"/>
  <c r="Y159" i="16"/>
  <c r="Y158" i="16"/>
  <c r="Y155" i="16"/>
  <c r="Y152" i="16"/>
  <c r="Y150" i="16"/>
  <c r="Y149" i="16"/>
  <c r="Y148" i="16"/>
  <c r="Y142" i="16"/>
  <c r="Y140" i="16"/>
  <c r="Y139" i="16"/>
  <c r="Y137" i="16"/>
  <c r="Y136" i="16"/>
  <c r="Y135" i="16"/>
  <c r="Y133" i="16"/>
  <c r="Y132" i="16"/>
  <c r="Y128" i="16"/>
  <c r="Y122" i="16"/>
  <c r="Y121" i="16"/>
  <c r="Y117" i="16"/>
  <c r="Y114" i="16"/>
  <c r="Y110" i="16"/>
  <c r="Y109" i="16"/>
  <c r="W158" i="16"/>
  <c r="W110" i="16"/>
  <c r="W257" i="16"/>
  <c r="X322" i="16"/>
  <c r="W181" i="16"/>
  <c r="W121" i="16"/>
  <c r="Y108" i="16"/>
  <c r="Y107" i="16"/>
  <c r="Y106" i="16"/>
  <c r="Y105" i="16"/>
  <c r="Y101" i="16"/>
  <c r="Y100" i="16"/>
  <c r="Y97" i="16"/>
  <c r="Y96" i="16"/>
  <c r="Y93" i="16"/>
  <c r="Y92" i="16"/>
  <c r="Y90" i="16"/>
  <c r="Y88" i="16"/>
  <c r="Y87" i="16"/>
  <c r="Y85" i="16"/>
  <c r="Y84" i="16"/>
  <c r="Y83" i="16"/>
  <c r="Y80" i="16"/>
  <c r="Y78" i="16"/>
  <c r="Y77" i="16"/>
  <c r="Y75" i="16"/>
  <c r="Y74" i="16"/>
  <c r="Y73" i="16"/>
  <c r="Y69" i="16"/>
  <c r="Y68" i="16"/>
  <c r="Y67" i="16"/>
  <c r="Y63" i="16"/>
  <c r="Y59" i="16"/>
  <c r="Y58" i="16"/>
  <c r="Y56" i="16"/>
  <c r="Y55" i="16"/>
  <c r="Y53" i="16"/>
  <c r="Y52" i="16"/>
  <c r="Y51" i="16"/>
  <c r="Y50" i="16"/>
  <c r="Y49" i="16"/>
  <c r="Y47" i="16"/>
  <c r="Y46" i="16"/>
  <c r="Y45" i="16"/>
  <c r="Y44" i="16"/>
  <c r="Y43" i="16"/>
  <c r="Y42" i="16"/>
  <c r="Y41" i="16"/>
  <c r="Y38" i="16"/>
  <c r="Y36" i="16"/>
  <c r="Y33" i="16"/>
  <c r="Y31" i="16"/>
  <c r="Y29" i="16"/>
  <c r="Y28" i="16"/>
  <c r="Y25" i="16"/>
  <c r="Y23" i="16"/>
  <c r="Y22" i="16"/>
  <c r="Y21" i="16"/>
  <c r="Y19" i="16"/>
  <c r="Y17" i="16"/>
  <c r="Y15" i="16"/>
  <c r="Y13" i="16"/>
  <c r="Y10" i="16"/>
  <c r="Y6" i="16"/>
  <c r="W92" i="16"/>
  <c r="W78" i="16"/>
  <c r="X320" i="16"/>
  <c r="V320" i="16" s="1"/>
  <c r="X317" i="16"/>
  <c r="X316" i="16"/>
  <c r="X315" i="16"/>
  <c r="X310" i="16"/>
  <c r="X309" i="16"/>
  <c r="V309" i="16" s="1"/>
  <c r="X308" i="16"/>
  <c r="V308" i="16" s="1"/>
  <c r="X305" i="16"/>
  <c r="X302" i="16"/>
  <c r="V302" i="16" s="1"/>
  <c r="X301" i="16"/>
  <c r="X299" i="16"/>
  <c r="X295" i="16"/>
  <c r="X293" i="16"/>
  <c r="V293" i="16" s="1"/>
  <c r="X292" i="16"/>
  <c r="V292" i="16" s="1"/>
  <c r="X290" i="16"/>
  <c r="V290" i="16" s="1"/>
  <c r="X288" i="16"/>
  <c r="V288" i="16" s="1"/>
  <c r="X287" i="16"/>
  <c r="X286" i="16"/>
  <c r="X284" i="16"/>
  <c r="X283" i="16"/>
  <c r="X278" i="16"/>
  <c r="X277" i="16"/>
  <c r="X276" i="16"/>
  <c r="X271" i="16"/>
  <c r="X270" i="16"/>
  <c r="X269" i="16"/>
  <c r="X265" i="16"/>
  <c r="X263" i="16"/>
  <c r="X262" i="16"/>
  <c r="X260" i="16"/>
  <c r="X257" i="16"/>
  <c r="X255" i="16"/>
  <c r="X252" i="16"/>
  <c r="X250" i="16"/>
  <c r="X249" i="16"/>
  <c r="X244" i="16"/>
  <c r="X243" i="16"/>
  <c r="X241" i="16"/>
  <c r="X240" i="16"/>
  <c r="X238" i="16"/>
  <c r="X237" i="16"/>
  <c r="X236" i="16"/>
  <c r="X235" i="16"/>
  <c r="X232" i="16"/>
  <c r="V232" i="16" s="1"/>
  <c r="X228" i="16"/>
  <c r="X225" i="16"/>
  <c r="X224" i="16"/>
  <c r="X223" i="16"/>
  <c r="X220" i="16"/>
  <c r="X217" i="16"/>
  <c r="X216" i="16"/>
  <c r="X215" i="16"/>
  <c r="X212" i="16"/>
  <c r="X209" i="16"/>
  <c r="X208" i="16"/>
  <c r="X204" i="16"/>
  <c r="X201" i="16"/>
  <c r="X196" i="16"/>
  <c r="X195" i="16"/>
  <c r="X194" i="16"/>
  <c r="X193" i="16"/>
  <c r="X191" i="16"/>
  <c r="X189" i="16"/>
  <c r="X188" i="16"/>
  <c r="X187" i="16"/>
  <c r="X181" i="16"/>
  <c r="X180" i="16"/>
  <c r="X179" i="16"/>
  <c r="X178" i="16"/>
  <c r="F16" i="17"/>
  <c r="X175" i="16"/>
  <c r="X172" i="16"/>
  <c r="X171" i="16"/>
  <c r="X166" i="16"/>
  <c r="X165" i="16"/>
  <c r="X164" i="16"/>
  <c r="X163" i="16"/>
  <c r="X159" i="16"/>
  <c r="X158" i="16"/>
  <c r="V158" i="16" s="1"/>
  <c r="X155" i="16"/>
  <c r="X152" i="16"/>
  <c r="X150" i="16"/>
  <c r="X149" i="16"/>
  <c r="W68" i="16"/>
  <c r="W21" i="16"/>
  <c r="W22" i="16"/>
  <c r="W867" i="16"/>
  <c r="X148" i="16"/>
  <c r="X142" i="16"/>
  <c r="V142" i="16" s="1"/>
  <c r="X140" i="16"/>
  <c r="X139" i="16"/>
  <c r="X137" i="16"/>
  <c r="X136" i="16"/>
  <c r="X135" i="16"/>
  <c r="X133" i="16"/>
  <c r="X132" i="16"/>
  <c r="X128" i="16"/>
  <c r="X122" i="16"/>
  <c r="X121" i="16"/>
  <c r="V121" i="16" s="1"/>
  <c r="X117" i="16"/>
  <c r="X114" i="16"/>
  <c r="X110" i="16"/>
  <c r="V110" i="16" s="1"/>
  <c r="X109" i="16"/>
  <c r="X108" i="16"/>
  <c r="X107" i="16"/>
  <c r="X106" i="16"/>
  <c r="X105" i="16"/>
  <c r="V105" i="16" s="1"/>
  <c r="X101" i="16"/>
  <c r="X100" i="16"/>
  <c r="X97" i="16"/>
  <c r="X96" i="16"/>
  <c r="X93" i="16"/>
  <c r="X92" i="16"/>
  <c r="X90" i="16"/>
  <c r="X88" i="16"/>
  <c r="V88" i="16" s="1"/>
  <c r="X87" i="16"/>
  <c r="X85" i="16"/>
  <c r="X84" i="16"/>
  <c r="X83" i="16"/>
  <c r="X80" i="16"/>
  <c r="X78" i="16"/>
  <c r="X77" i="16"/>
  <c r="X75" i="16"/>
  <c r="X74" i="16"/>
  <c r="X73" i="16"/>
  <c r="V73" i="16" s="1"/>
  <c r="X69" i="16"/>
  <c r="X68" i="16"/>
  <c r="X67" i="16"/>
  <c r="X63" i="16"/>
  <c r="X59" i="16"/>
  <c r="X58" i="16"/>
  <c r="X56" i="16"/>
  <c r="X55" i="16"/>
  <c r="X53" i="16"/>
  <c r="X52" i="16"/>
  <c r="X51" i="16"/>
  <c r="X50" i="16"/>
  <c r="X49" i="16"/>
  <c r="X47" i="16"/>
  <c r="V47" i="16" s="1"/>
  <c r="X46" i="16"/>
  <c r="X45" i="16"/>
  <c r="X44" i="16"/>
  <c r="X43" i="16"/>
  <c r="X42" i="16"/>
  <c r="X41" i="16"/>
  <c r="X38" i="16"/>
  <c r="X36" i="16"/>
  <c r="X33" i="16"/>
  <c r="X31" i="16"/>
  <c r="X29" i="16"/>
  <c r="X28" i="16"/>
  <c r="X25" i="16"/>
  <c r="X23" i="16"/>
  <c r="X22" i="16"/>
  <c r="X21" i="16"/>
  <c r="X19" i="16"/>
  <c r="X17" i="16"/>
  <c r="V17" i="16" s="1"/>
  <c r="X15" i="16"/>
  <c r="X13" i="16"/>
  <c r="X10" i="16"/>
  <c r="X6" i="16"/>
  <c r="W531" i="16"/>
  <c r="W451" i="16"/>
  <c r="W979" i="16"/>
  <c r="W963" i="16"/>
  <c r="W371" i="16"/>
  <c r="W883" i="16"/>
  <c r="W803" i="16"/>
  <c r="W739" i="16"/>
  <c r="W562" i="16"/>
  <c r="W152" i="16"/>
  <c r="W545" i="16"/>
  <c r="W929" i="16"/>
  <c r="W401" i="16"/>
  <c r="W971" i="16"/>
  <c r="W767" i="16"/>
  <c r="W368" i="16"/>
  <c r="W358" i="16"/>
  <c r="W850" i="16"/>
  <c r="W723" i="16"/>
  <c r="W693" i="16"/>
  <c r="W666" i="16"/>
  <c r="W594" i="16"/>
  <c r="W369" i="16"/>
  <c r="W333" i="16"/>
  <c r="W901" i="16"/>
  <c r="W609" i="16"/>
  <c r="W360" i="16"/>
  <c r="W52" i="16"/>
  <c r="W1182" i="16"/>
  <c r="W879" i="16"/>
  <c r="W818" i="16"/>
  <c r="W754" i="16"/>
  <c r="W709" i="16"/>
  <c r="W683" i="16"/>
  <c r="W500" i="16"/>
  <c r="W488" i="16"/>
  <c r="W84" i="16"/>
  <c r="W74" i="16"/>
  <c r="W90" i="16"/>
  <c r="W799" i="16"/>
  <c r="W647" i="16"/>
  <c r="W536" i="16"/>
  <c r="W330" i="16"/>
  <c r="W1009" i="16"/>
  <c r="W530" i="16"/>
  <c r="W305" i="16"/>
  <c r="W292" i="16"/>
  <c r="W150" i="16"/>
  <c r="W137" i="16"/>
  <c r="W882" i="16"/>
  <c r="W674" i="16"/>
  <c r="W660" i="16"/>
  <c r="W561" i="16"/>
  <c r="W547" i="16"/>
  <c r="W255" i="16"/>
  <c r="W93" i="16"/>
  <c r="W201" i="16"/>
  <c r="W1118" i="16"/>
  <c r="W584" i="16"/>
  <c r="W546" i="16"/>
  <c r="W535" i="16"/>
  <c r="W509" i="16"/>
  <c r="W399" i="16"/>
  <c r="W387" i="16"/>
  <c r="W77" i="16"/>
  <c r="W67" i="16"/>
  <c r="W142" i="16"/>
  <c r="W1217" i="16"/>
  <c r="W913" i="16"/>
  <c r="W597" i="16"/>
  <c r="W447" i="16"/>
  <c r="W196" i="16"/>
  <c r="W353" i="16"/>
  <c r="W1113" i="16"/>
  <c r="W1073" i="16"/>
  <c r="W985" i="16"/>
  <c r="W815" i="16"/>
  <c r="W705" i="16"/>
  <c r="W692" i="16"/>
  <c r="W336" i="16"/>
  <c r="W250" i="16"/>
  <c r="W180" i="16"/>
  <c r="W132" i="16"/>
  <c r="W847" i="16"/>
  <c r="W484" i="16"/>
  <c r="W400" i="16"/>
  <c r="W241" i="16"/>
  <c r="W520" i="16"/>
  <c r="W678" i="16"/>
  <c r="W410" i="16"/>
  <c r="W342" i="16"/>
  <c r="W166" i="16"/>
  <c r="W863" i="16"/>
  <c r="W675" i="16"/>
  <c r="W610" i="16"/>
  <c r="W578" i="16"/>
  <c r="W381" i="16"/>
  <c r="W136" i="16"/>
  <c r="W96" i="16"/>
  <c r="W1196" i="16"/>
  <c r="W1177" i="16"/>
  <c r="W1132" i="16"/>
  <c r="W38" i="16"/>
  <c r="W46" i="16"/>
  <c r="W1243" i="16"/>
  <c r="W19" i="16"/>
  <c r="W1205" i="16"/>
  <c r="W1173" i="16"/>
  <c r="W42" i="16"/>
  <c r="W1133" i="16"/>
  <c r="W1225" i="16"/>
  <c r="W1209" i="16"/>
  <c r="W1210" i="16"/>
  <c r="W1228" i="16"/>
  <c r="W172" i="16"/>
  <c r="W1108" i="16"/>
  <c r="W948" i="16"/>
  <c r="W1062" i="16"/>
  <c r="W188" i="16"/>
  <c r="W636" i="16"/>
  <c r="W860" i="16"/>
  <c r="W812" i="16"/>
  <c r="W49" i="16"/>
  <c r="W63" i="16"/>
  <c r="W114" i="16"/>
  <c r="W128" i="16"/>
  <c r="W140" i="16"/>
  <c r="W179" i="16"/>
  <c r="W204" i="16"/>
  <c r="W327" i="16"/>
  <c r="W29" i="16"/>
  <c r="W56" i="16"/>
  <c r="W100" i="16"/>
  <c r="W235" i="16"/>
  <c r="W85" i="16"/>
  <c r="W107" i="16"/>
  <c r="W109" i="16"/>
  <c r="W243" i="16"/>
  <c r="W36" i="16"/>
  <c r="W105" i="16"/>
  <c r="W187" i="16"/>
  <c r="W315" i="16"/>
  <c r="W33" i="16"/>
  <c r="W43" i="16"/>
  <c r="W53" i="16"/>
  <c r="W97" i="16"/>
  <c r="W195" i="16"/>
  <c r="W208" i="16"/>
  <c r="W220" i="16"/>
  <c r="W244" i="16"/>
  <c r="W13" i="16"/>
  <c r="W23" i="16"/>
  <c r="W50" i="16"/>
  <c r="W122" i="16"/>
  <c r="W59" i="16"/>
  <c r="W101" i="16"/>
  <c r="W106" i="16"/>
  <c r="W139" i="16"/>
  <c r="W17" i="16"/>
  <c r="W83" i="16"/>
  <c r="W224" i="16"/>
  <c r="W41" i="16"/>
  <c r="W44" i="16"/>
  <c r="W148" i="16"/>
  <c r="W212" i="16"/>
  <c r="W51" i="16"/>
  <c r="W58" i="16"/>
  <c r="W87" i="16"/>
  <c r="W236" i="16"/>
  <c r="W260" i="16"/>
  <c r="W31" i="16"/>
  <c r="W80" i="16"/>
  <c r="W117" i="16"/>
  <c r="W149" i="16"/>
  <c r="W155" i="16"/>
  <c r="W69" i="16"/>
  <c r="W73" i="16"/>
  <c r="W163" i="16"/>
  <c r="W286" i="16"/>
  <c r="W28" i="16"/>
  <c r="W45" i="16"/>
  <c r="W55" i="16"/>
  <c r="W25" i="16"/>
  <c r="W75" i="16"/>
  <c r="W88" i="16"/>
  <c r="W108" i="16"/>
  <c r="W164" i="16"/>
  <c r="W228" i="16"/>
  <c r="W240" i="16"/>
  <c r="W165" i="16"/>
  <c r="W171" i="16"/>
  <c r="W217" i="16"/>
  <c r="W263" i="16"/>
  <c r="W287" i="16"/>
  <c r="W329" i="16"/>
  <c r="W497" i="16"/>
  <c r="W189" i="16"/>
  <c r="W237" i="16"/>
  <c r="W265" i="16"/>
  <c r="W293" i="16"/>
  <c r="W338" i="16"/>
  <c r="W308" i="16"/>
  <c r="W379" i="16"/>
  <c r="W424" i="16"/>
  <c r="W135" i="16"/>
  <c r="W215" i="16"/>
  <c r="W269" i="16"/>
  <c r="W283" i="16"/>
  <c r="W290" i="16"/>
  <c r="W301" i="16"/>
  <c r="W320" i="16"/>
  <c r="W514" i="16"/>
  <c r="W262" i="16"/>
  <c r="W276" i="16"/>
  <c r="W324" i="16"/>
  <c r="W339" i="16"/>
  <c r="W490" i="16"/>
  <c r="W193" i="16"/>
  <c r="W209" i="16"/>
  <c r="W225" i="16"/>
  <c r="W391" i="16"/>
  <c r="W238" i="16"/>
  <c r="W317" i="16"/>
  <c r="W362" i="16"/>
  <c r="W309" i="16"/>
  <c r="W403" i="16"/>
  <c r="W449" i="16"/>
  <c r="W216" i="16"/>
  <c r="W232" i="16"/>
  <c r="W252" i="16"/>
  <c r="W270" i="16"/>
  <c r="W284" i="16"/>
  <c r="W302" i="16"/>
  <c r="W372" i="16"/>
  <c r="W404" i="16"/>
  <c r="W133" i="16"/>
  <c r="W249" i="16"/>
  <c r="W277" i="16"/>
  <c r="W288" i="16"/>
  <c r="W295" i="16"/>
  <c r="W352" i="16"/>
  <c r="W363" i="16"/>
  <c r="W392" i="16"/>
  <c r="W438" i="16"/>
  <c r="W178" i="16"/>
  <c r="W194" i="16"/>
  <c r="W310" i="16"/>
  <c r="W423" i="16"/>
  <c r="W159" i="16"/>
  <c r="W175" i="16"/>
  <c r="W191" i="16"/>
  <c r="W223" i="16"/>
  <c r="W316" i="16"/>
  <c r="W332" i="16"/>
  <c r="W278" i="16"/>
  <c r="W346" i="16"/>
  <c r="W384" i="16"/>
  <c r="W395" i="16"/>
  <c r="W430" i="16"/>
  <c r="W431" i="16"/>
  <c r="W468" i="16"/>
  <c r="W508" i="16"/>
  <c r="W271" i="16"/>
  <c r="W418" i="16"/>
  <c r="W378" i="16"/>
  <c r="W420" i="16"/>
  <c r="W658" i="16"/>
  <c r="W777" i="16"/>
  <c r="W411" i="16"/>
  <c r="W463" i="16"/>
  <c r="W471" i="16"/>
  <c r="W479" i="16"/>
  <c r="W487" i="16"/>
  <c r="W491" i="16"/>
  <c r="W459" i="16"/>
  <c r="W504" i="16"/>
  <c r="W726" i="16"/>
  <c r="W496" i="16"/>
  <c r="W702" i="16"/>
  <c r="W350" i="16"/>
  <c r="W366" i="16"/>
  <c r="W382" i="16"/>
  <c r="W398" i="16"/>
  <c r="W408" i="16"/>
  <c r="W445" i="16"/>
  <c r="W510" i="16"/>
  <c r="W456" i="16"/>
  <c r="W464" i="16"/>
  <c r="W637" i="16"/>
  <c r="W472" i="16"/>
  <c r="W492" i="16"/>
  <c r="W505" i="16"/>
  <c r="W598" i="16"/>
  <c r="W599" i="16"/>
  <c r="W638" i="16"/>
  <c r="W716" i="16"/>
  <c r="W341" i="16"/>
  <c r="W389" i="16"/>
  <c r="W402" i="16"/>
  <c r="W412" i="16"/>
  <c r="W460" i="16"/>
  <c r="W511" i="16"/>
  <c r="W516" i="16"/>
  <c r="W539" i="16"/>
  <c r="W611" i="16"/>
  <c r="W354" i="16"/>
  <c r="W439" i="16"/>
  <c r="W501" i="16"/>
  <c r="W409" i="16"/>
  <c r="W436" i="16"/>
  <c r="W446" i="16"/>
  <c r="W524" i="16"/>
  <c r="W540" i="16"/>
  <c r="W549" i="16"/>
  <c r="W348" i="16"/>
  <c r="W364" i="16"/>
  <c r="W380" i="16"/>
  <c r="W416" i="16"/>
  <c r="W450" i="16"/>
  <c r="W457" i="16"/>
  <c r="W506" i="16"/>
  <c r="W525" i="16"/>
  <c r="W551" i="16"/>
  <c r="W615" i="16"/>
  <c r="W627" i="16"/>
  <c r="W628" i="16"/>
  <c r="W656" i="16"/>
  <c r="W345" i="16"/>
  <c r="W377" i="16"/>
  <c r="W393" i="16"/>
  <c r="W465" i="16"/>
  <c r="W473" i="16"/>
  <c r="W477" i="16"/>
  <c r="W481" i="16"/>
  <c r="W485" i="16"/>
  <c r="W489" i="16"/>
  <c r="W563" i="16"/>
  <c r="W680" i="16"/>
  <c r="W707" i="16"/>
  <c r="W498" i="16"/>
  <c r="W564" i="16"/>
  <c r="W577" i="16"/>
  <c r="W427" i="16"/>
  <c r="W518" i="16"/>
  <c r="W527" i="16"/>
  <c r="W552" i="16"/>
  <c r="W616" i="16"/>
  <c r="W644" i="16"/>
  <c r="W543" i="16"/>
  <c r="W559" i="16"/>
  <c r="W607" i="16"/>
  <c r="W623" i="16"/>
  <c r="W715" i="16"/>
  <c r="W732" i="16"/>
  <c r="W521" i="16"/>
  <c r="W553" i="16"/>
  <c r="W748" i="16"/>
  <c r="W853" i="16"/>
  <c r="W706" i="16"/>
  <c r="W700" i="16"/>
  <c r="W917" i="16"/>
  <c r="W544" i="16"/>
  <c r="W560" i="16"/>
  <c r="W576" i="16"/>
  <c r="W734" i="16"/>
  <c r="W750" i="16"/>
  <c r="W1125" i="16"/>
  <c r="W589" i="16"/>
  <c r="W642" i="16"/>
  <c r="W676" i="16"/>
  <c r="W687" i="16"/>
  <c r="W712" i="16"/>
  <c r="W722" i="16"/>
  <c r="W782" i="16"/>
  <c r="W791" i="16"/>
  <c r="W793" i="16"/>
  <c r="W805" i="16"/>
  <c r="W829" i="16"/>
  <c r="W856" i="16"/>
  <c r="W857" i="16"/>
  <c r="W947" i="16"/>
  <c r="W538" i="16"/>
  <c r="W554" i="16"/>
  <c r="W570" i="16"/>
  <c r="W586" i="16"/>
  <c r="W618" i="16"/>
  <c r="W661" i="16"/>
  <c r="W669" i="16"/>
  <c r="W728" i="16"/>
  <c r="W729" i="16"/>
  <c r="W760" i="16"/>
  <c r="W761" i="16"/>
  <c r="W907" i="16"/>
  <c r="W781" i="16"/>
  <c r="W652" i="16"/>
  <c r="W704" i="16"/>
  <c r="W771" i="16"/>
  <c r="W718" i="16"/>
  <c r="W762" i="16"/>
  <c r="W809" i="16"/>
  <c r="W821" i="16"/>
  <c r="W871" i="16"/>
  <c r="W873" i="16"/>
  <c r="W934" i="16"/>
  <c r="W542" i="16"/>
  <c r="W632" i="16"/>
  <c r="W743" i="16"/>
  <c r="W744" i="16"/>
  <c r="W745" i="16"/>
  <c r="W964" i="16"/>
  <c r="W555" i="16"/>
  <c r="W571" i="16"/>
  <c r="W619" i="16"/>
  <c r="W730" i="16"/>
  <c r="W952" i="16"/>
  <c r="W629" i="16"/>
  <c r="W651" i="16"/>
  <c r="W668" i="16"/>
  <c r="W633" i="16"/>
  <c r="W701" i="16"/>
  <c r="W714" i="16"/>
  <c r="W719" i="16"/>
  <c r="W824" i="16"/>
  <c r="W825" i="16"/>
  <c r="W837" i="16"/>
  <c r="W888" i="16"/>
  <c r="W891" i="16"/>
  <c r="W737" i="16"/>
  <c r="W753" i="16"/>
  <c r="W769" i="16"/>
  <c r="W785" i="16"/>
  <c r="W801" i="16"/>
  <c r="W817" i="16"/>
  <c r="W845" i="16"/>
  <c r="W877" i="16"/>
  <c r="W986" i="16"/>
  <c r="W1050" i="16"/>
  <c r="W1091" i="16"/>
  <c r="W1027" i="16"/>
  <c r="W814" i="16"/>
  <c r="W862" i="16"/>
  <c r="W878" i="16"/>
  <c r="W1181" i="16"/>
  <c r="W784" i="16"/>
  <c r="W800" i="16"/>
  <c r="W810" i="16"/>
  <c r="W816" i="16"/>
  <c r="W826" i="16"/>
  <c r="W832" i="16"/>
  <c r="W842" i="16"/>
  <c r="W848" i="16"/>
  <c r="W858" i="16"/>
  <c r="W908" i="16"/>
  <c r="W955" i="16"/>
  <c r="W968" i="16"/>
  <c r="W1148" i="16"/>
  <c r="W1159" i="16"/>
  <c r="W1164" i="16"/>
  <c r="W779" i="16"/>
  <c r="W827" i="16"/>
  <c r="W875" i="16"/>
  <c r="W909" i="16"/>
  <c r="W939" i="16"/>
  <c r="W1031" i="16"/>
  <c r="W1145" i="16"/>
  <c r="W1185" i="16"/>
  <c r="W993" i="16"/>
  <c r="W1019" i="16"/>
  <c r="W914" i="16"/>
  <c r="W945" i="16"/>
  <c r="W956" i="16"/>
  <c r="W959" i="16"/>
  <c r="W1046" i="16"/>
  <c r="W1174" i="16"/>
  <c r="W708" i="16"/>
  <c r="W724" i="16"/>
  <c r="W740" i="16"/>
  <c r="W756" i="16"/>
  <c r="W788" i="16"/>
  <c r="W804" i="16"/>
  <c r="W820" i="16"/>
  <c r="W852" i="16"/>
  <c r="W868" i="16"/>
  <c r="W884" i="16"/>
  <c r="W924" i="16"/>
  <c r="W930" i="16"/>
  <c r="W984" i="16"/>
  <c r="W1136" i="16"/>
  <c r="W1226" i="16"/>
  <c r="W736" i="16"/>
  <c r="W752" i="16"/>
  <c r="W925" i="16"/>
  <c r="W1200" i="16"/>
  <c r="W915" i="16"/>
  <c r="W1123" i="16"/>
  <c r="W1137" i="16"/>
  <c r="W1212" i="16"/>
  <c r="W1223" i="16"/>
  <c r="W1211" i="16"/>
  <c r="W1140" i="16"/>
  <c r="W940" i="16"/>
  <c r="W995" i="16"/>
  <c r="W1187" i="16"/>
  <c r="W1163" i="16"/>
  <c r="W1189" i="16"/>
  <c r="W1201" i="16"/>
  <c r="W1082" i="16"/>
  <c r="W1095" i="16"/>
  <c r="W1141" i="16"/>
  <c r="W1155" i="16"/>
  <c r="W1166" i="16"/>
  <c r="W1190" i="16"/>
  <c r="W933" i="16"/>
  <c r="W1149" i="16"/>
  <c r="W905" i="16"/>
  <c r="W978" i="16"/>
  <c r="W1144" i="16"/>
  <c r="W1156" i="16"/>
  <c r="W1192" i="16"/>
  <c r="W1204" i="16"/>
  <c r="W950" i="16"/>
  <c r="W1000" i="16"/>
  <c r="W1059" i="16"/>
  <c r="W1121" i="16"/>
  <c r="W1236" i="16"/>
  <c r="W1244" i="16"/>
  <c r="W991" i="16"/>
  <c r="W1010" i="16"/>
  <c r="W1055" i="16"/>
  <c r="W1074" i="16"/>
  <c r="W1119" i="16"/>
  <c r="W1138" i="16"/>
  <c r="W1183" i="16"/>
  <c r="W1202" i="16"/>
  <c r="W1129" i="16"/>
  <c r="W1193" i="16"/>
  <c r="W1237" i="16"/>
  <c r="W1152" i="16"/>
  <c r="W1178" i="16"/>
  <c r="W1216" i="16"/>
  <c r="W1005" i="16"/>
  <c r="W1069" i="16"/>
  <c r="W1227" i="16"/>
  <c r="W1238" i="16"/>
  <c r="W1047" i="16"/>
  <c r="W1054" i="16"/>
  <c r="W1071" i="16"/>
  <c r="W1090" i="16"/>
  <c r="W1107" i="16"/>
  <c r="W1135" i="16"/>
  <c r="W1154" i="16"/>
  <c r="W1171" i="16"/>
  <c r="W1175" i="16"/>
  <c r="W1199" i="16"/>
  <c r="W1218" i="16"/>
  <c r="W1220" i="16"/>
  <c r="W1232" i="16"/>
  <c r="W1160" i="16"/>
  <c r="W1224" i="16"/>
  <c r="W976" i="16"/>
  <c r="W1066" i="16"/>
  <c r="W1130" i="16"/>
  <c r="W1168" i="16"/>
  <c r="W1194" i="16"/>
  <c r="W1179" i="16"/>
  <c r="W1233" i="16"/>
  <c r="W1023" i="16"/>
  <c r="W1025" i="16"/>
  <c r="W1042" i="16"/>
  <c r="W1044" i="16"/>
  <c r="W1063" i="16"/>
  <c r="W1070" i="16"/>
  <c r="W1078" i="16"/>
  <c r="W1087" i="16"/>
  <c r="W1106" i="16"/>
  <c r="W1127" i="16"/>
  <c r="W1134" i="16"/>
  <c r="W1142" i="16"/>
  <c r="W1151" i="16"/>
  <c r="W1153" i="16"/>
  <c r="W1170" i="16"/>
  <c r="W1172" i="16"/>
  <c r="W1191" i="16"/>
  <c r="W1198" i="16"/>
  <c r="W1206" i="16"/>
  <c r="W1215" i="16"/>
  <c r="W1033" i="16"/>
  <c r="W1048" i="16"/>
  <c r="W1157" i="16"/>
  <c r="W1176" i="16"/>
  <c r="W1221" i="16"/>
  <c r="W992" i="16"/>
  <c r="W1018" i="16"/>
  <c r="W1056" i="16"/>
  <c r="W1120" i="16"/>
  <c r="W1146" i="16"/>
  <c r="W1184" i="16"/>
  <c r="W1229" i="16"/>
  <c r="W1231" i="16"/>
  <c r="W1241" i="16"/>
  <c r="W1003" i="16"/>
  <c r="W1067" i="16"/>
  <c r="W1101" i="16"/>
  <c r="W1131" i="16"/>
  <c r="W1165" i="16"/>
  <c r="W1180" i="16"/>
  <c r="W1195" i="16"/>
  <c r="W975" i="16"/>
  <c r="W994" i="16"/>
  <c r="W1015" i="16"/>
  <c r="W1041" i="16"/>
  <c r="W1058" i="16"/>
  <c r="W1079" i="16"/>
  <c r="W1086" i="16"/>
  <c r="W1094" i="16"/>
  <c r="W1103" i="16"/>
  <c r="W1124" i="16"/>
  <c r="W1139" i="16"/>
  <c r="W1143" i="16"/>
  <c r="W1150" i="16"/>
  <c r="W1158" i="16"/>
  <c r="W1167" i="16"/>
  <c r="W1169" i="16"/>
  <c r="W1186" i="16"/>
  <c r="W1188" i="16"/>
  <c r="W1207" i="16"/>
  <c r="W1214" i="16"/>
  <c r="W1222" i="16"/>
  <c r="W1230" i="16"/>
  <c r="W1242" i="16"/>
  <c r="W1239" i="16"/>
  <c r="W1240" i="16"/>
  <c r="Z15" i="17" l="1"/>
  <c r="V450" i="16"/>
  <c r="V464" i="16"/>
  <c r="V15" i="16"/>
  <c r="V44" i="16"/>
  <c r="V33" i="16"/>
  <c r="V46" i="16"/>
  <c r="V117" i="16"/>
  <c r="V607" i="16"/>
  <c r="V623" i="16"/>
  <c r="V736" i="16"/>
  <c r="V1131" i="16"/>
  <c r="V726" i="16"/>
  <c r="V447" i="16"/>
  <c r="V460" i="16"/>
  <c r="V1224" i="16"/>
  <c r="V979" i="16"/>
  <c r="V284" i="16"/>
  <c r="V299" i="16"/>
  <c r="V316" i="16"/>
  <c r="U22" i="29"/>
  <c r="W22" i="29"/>
  <c r="V737" i="16"/>
  <c r="V1009" i="16"/>
  <c r="V1173" i="16"/>
  <c r="V1137" i="16"/>
  <c r="V1142" i="16"/>
  <c r="V1227" i="16"/>
  <c r="V1155" i="16"/>
  <c r="V1183" i="16"/>
  <c r="V964" i="16"/>
  <c r="V1041" i="16"/>
  <c r="V4" i="29"/>
  <c r="V1152" i="16"/>
  <c r="V1189" i="16"/>
  <c r="V1157" i="16"/>
  <c r="V1195" i="16"/>
  <c r="V1166" i="16"/>
  <c r="V1214" i="16"/>
  <c r="V909" i="16"/>
  <c r="V950" i="16"/>
  <c r="V986" i="16"/>
  <c r="V1087" i="16"/>
  <c r="V1209" i="16"/>
  <c r="V678" i="16"/>
  <c r="V702" i="16"/>
  <c r="V446" i="16"/>
  <c r="V459" i="16"/>
  <c r="V1168" i="16"/>
  <c r="V1182" i="16"/>
  <c r="V939" i="16"/>
  <c r="V1031" i="16"/>
  <c r="V1186" i="16"/>
  <c r="V283" i="16"/>
  <c r="V295" i="16"/>
  <c r="V315" i="16"/>
  <c r="V1187" i="16"/>
  <c r="V1078" i="16"/>
  <c r="T27" i="29"/>
  <c r="V149" i="16"/>
  <c r="V449" i="16"/>
  <c r="V463" i="16"/>
  <c r="V945" i="16"/>
  <c r="X4" i="29"/>
  <c r="Y15" i="17"/>
  <c r="V90" i="16"/>
  <c r="V250" i="16"/>
  <c r="V286" i="16"/>
  <c r="V301" i="16"/>
  <c r="V317" i="16"/>
  <c r="V803" i="16"/>
  <c r="V655" i="16"/>
  <c r="V674" i="16"/>
  <c r="V1129" i="16"/>
  <c r="V1147" i="16"/>
  <c r="V1067" i="16"/>
  <c r="V1159" i="16"/>
  <c r="V1239" i="16"/>
  <c r="W27" i="29"/>
  <c r="V599" i="16"/>
  <c r="V619" i="16"/>
  <c r="V1151" i="16"/>
  <c r="V1160" i="16"/>
  <c r="V1000" i="16"/>
  <c r="V1103" i="16"/>
  <c r="W37" i="29"/>
  <c r="T37" i="29"/>
  <c r="V638" i="16"/>
  <c r="V711" i="16"/>
  <c r="V723" i="16"/>
  <c r="V1130" i="16"/>
  <c r="X15" i="17"/>
  <c r="V78" i="16"/>
  <c r="V133" i="16"/>
  <c r="V189" i="16"/>
  <c r="V555" i="16"/>
  <c r="V584" i="16"/>
  <c r="V627" i="16"/>
  <c r="V1205" i="16"/>
  <c r="V1207" i="16"/>
  <c r="V1107" i="16"/>
  <c r="V1034" i="16"/>
  <c r="V13" i="16"/>
  <c r="V63" i="16"/>
  <c r="V92" i="16"/>
  <c r="V531" i="16"/>
  <c r="V739" i="16"/>
  <c r="V1231" i="16"/>
  <c r="V1193" i="16"/>
  <c r="V1164" i="16"/>
  <c r="V42" i="16"/>
  <c r="V93" i="16"/>
  <c r="V132" i="16"/>
  <c r="V188" i="16"/>
  <c r="V771" i="16"/>
  <c r="V1198" i="16"/>
  <c r="V1044" i="16"/>
  <c r="V644" i="16"/>
  <c r="V714" i="16"/>
  <c r="V1163" i="16"/>
  <c r="V1108" i="16"/>
  <c r="V136" i="16"/>
  <c r="V779" i="16"/>
  <c r="V1074" i="16"/>
  <c r="V137" i="16"/>
  <c r="V165" i="16"/>
  <c r="V652" i="16"/>
  <c r="V1015" i="16"/>
  <c r="V49" i="16"/>
  <c r="V77" i="16"/>
  <c r="V106" i="16"/>
  <c r="V196" i="16"/>
  <c r="V563" i="16"/>
  <c r="V1146" i="16"/>
  <c r="V451" i="16"/>
  <c r="V722" i="16"/>
  <c r="V908" i="16"/>
  <c r="V948" i="16"/>
  <c r="V1056" i="16"/>
  <c r="V1204" i="16"/>
  <c r="V80" i="16"/>
  <c r="V108" i="16"/>
  <c r="V148" i="16"/>
  <c r="V204" i="16"/>
  <c r="V305" i="16"/>
  <c r="V658" i="16"/>
  <c r="V701" i="16"/>
  <c r="V1023" i="16"/>
  <c r="V28" i="16"/>
  <c r="V109" i="16"/>
  <c r="V457" i="16"/>
  <c r="V955" i="16"/>
  <c r="V991" i="16"/>
  <c r="V31" i="16"/>
  <c r="V310" i="16"/>
  <c r="V589" i="16"/>
  <c r="V629" i="16"/>
  <c r="V1176" i="16"/>
  <c r="V1211" i="16"/>
  <c r="V1094" i="16"/>
  <c r="V1145" i="16"/>
  <c r="V1218" i="16"/>
  <c r="V993" i="16"/>
  <c r="V1223" i="16"/>
  <c r="V180" i="16"/>
  <c r="V216" i="16"/>
  <c r="V191" i="16"/>
  <c r="V237" i="16"/>
  <c r="V269" i="16"/>
  <c r="V827" i="16"/>
  <c r="V1237" i="16"/>
  <c r="V1200" i="16"/>
  <c r="V172" i="16"/>
  <c r="V217" i="16"/>
  <c r="V249" i="16"/>
  <c r="V265" i="16"/>
  <c r="V597" i="16"/>
  <c r="V1228" i="16"/>
  <c r="V287" i="16"/>
  <c r="V1138" i="16"/>
  <c r="V1180" i="16"/>
  <c r="V140" i="16"/>
  <c r="V465" i="16"/>
  <c r="V1124" i="16"/>
  <c r="V1190" i="16"/>
  <c r="V1232" i="16"/>
  <c r="V925" i="16"/>
  <c r="V1069" i="16"/>
  <c r="V975" i="16"/>
  <c r="V339" i="16"/>
  <c r="V1175" i="16"/>
  <c r="V481" i="16"/>
  <c r="V978" i="16"/>
  <c r="V1042" i="16"/>
  <c r="V1090" i="16"/>
  <c r="V915" i="16"/>
  <c r="V947" i="16"/>
  <c r="V963" i="16"/>
  <c r="V1027" i="16"/>
  <c r="V1059" i="16"/>
  <c r="V1150" i="16"/>
  <c r="V322" i="16"/>
  <c r="V1229" i="16"/>
  <c r="V193" i="16"/>
  <c r="V223" i="16"/>
  <c r="V255" i="16"/>
  <c r="V271" i="16"/>
  <c r="V1167" i="16"/>
  <c r="V1233" i="16"/>
  <c r="V1134" i="16"/>
  <c r="V1133" i="16"/>
  <c r="V1144" i="16"/>
  <c r="V1125" i="16"/>
  <c r="V1018" i="16"/>
  <c r="V1082" i="16"/>
  <c r="V379" i="16"/>
  <c r="V395" i="16"/>
  <c r="V411" i="16"/>
  <c r="V427" i="16"/>
  <c r="V680" i="16"/>
  <c r="V712" i="16"/>
  <c r="V728" i="16"/>
  <c r="V1220" i="16"/>
  <c r="V1003" i="16"/>
  <c r="V1019" i="16"/>
  <c r="V1099" i="16"/>
  <c r="V1191" i="16"/>
  <c r="V1185" i="16"/>
  <c r="V1236" i="16"/>
  <c r="V1136" i="16"/>
  <c r="V924" i="16"/>
  <c r="V940" i="16"/>
  <c r="V956" i="16"/>
  <c r="V1118" i="16"/>
  <c r="V1196" i="16"/>
  <c r="V128" i="16"/>
  <c r="V891" i="16"/>
  <c r="V907" i="16"/>
  <c r="V636" i="16"/>
  <c r="V1158" i="16"/>
  <c r="V1241" i="16"/>
  <c r="V1156" i="16"/>
  <c r="V1141" i="16"/>
  <c r="V1005" i="16"/>
  <c r="V1101" i="16"/>
  <c r="V1194" i="16"/>
  <c r="V1054" i="16"/>
  <c r="V1070" i="16"/>
  <c r="V1086" i="16"/>
  <c r="V1123" i="16"/>
  <c r="V1121" i="16"/>
  <c r="V1243" i="16"/>
  <c r="V371" i="16"/>
  <c r="V577" i="16"/>
  <c r="V609" i="16"/>
  <c r="V1240" i="16"/>
  <c r="V1073" i="16"/>
  <c r="V1140" i="16"/>
  <c r="V687" i="16"/>
  <c r="V914" i="16"/>
  <c r="V930" i="16"/>
  <c r="V1058" i="16"/>
  <c r="V1106" i="16"/>
  <c r="V642" i="16"/>
  <c r="V1177" i="16"/>
  <c r="V1192" i="16"/>
  <c r="V676" i="16"/>
  <c r="V692" i="16"/>
  <c r="V708" i="16"/>
  <c r="V1128" i="16"/>
  <c r="V1197" i="16"/>
  <c r="V983" i="16"/>
  <c r="V1063" i="16"/>
  <c r="V1169" i="16"/>
  <c r="V178" i="16"/>
  <c r="V194" i="16"/>
  <c r="V208" i="16"/>
  <c r="V224" i="16"/>
  <c r="V240" i="16"/>
  <c r="V952" i="16"/>
  <c r="V968" i="16"/>
  <c r="V984" i="16"/>
  <c r="V1048" i="16"/>
  <c r="V1064" i="16"/>
  <c r="V1174" i="16"/>
  <c r="V1238" i="16"/>
  <c r="V985" i="16"/>
  <c r="V1033" i="16"/>
  <c r="V350" i="16"/>
  <c r="V366" i="16"/>
  <c r="V380" i="16"/>
  <c r="V412" i="16"/>
  <c r="V578" i="16"/>
  <c r="V594" i="16"/>
  <c r="V610" i="16"/>
  <c r="V718" i="16"/>
  <c r="V734" i="16"/>
  <c r="V1178" i="16"/>
  <c r="V19" i="16"/>
  <c r="V387" i="16"/>
  <c r="V403" i="16"/>
  <c r="V51" i="16"/>
  <c r="V468" i="16"/>
  <c r="V867" i="16"/>
  <c r="V883" i="16"/>
  <c r="V1143" i="16"/>
  <c r="V159" i="16"/>
  <c r="V175" i="16"/>
  <c r="V220" i="16"/>
  <c r="V236" i="16"/>
  <c r="V252" i="16"/>
  <c r="V788" i="16"/>
  <c r="V804" i="16"/>
  <c r="V820" i="16"/>
  <c r="V852" i="16"/>
  <c r="V758" i="16"/>
  <c r="V774" i="16"/>
  <c r="V805" i="16"/>
  <c r="V821" i="16"/>
  <c r="V837" i="16"/>
  <c r="V853" i="16"/>
  <c r="V471" i="16"/>
  <c r="V538" i="16"/>
  <c r="V552" i="16"/>
  <c r="V660" i="16"/>
  <c r="V1046" i="16"/>
  <c r="V472" i="16"/>
  <c r="V492" i="16"/>
  <c r="V508" i="16"/>
  <c r="V524" i="16"/>
  <c r="V553" i="16"/>
  <c r="V1127" i="16"/>
  <c r="V1111" i="16"/>
  <c r="V473" i="16"/>
  <c r="V693" i="16"/>
  <c r="V709" i="16"/>
  <c r="V1202" i="16"/>
  <c r="V905" i="16"/>
  <c r="V1244" i="16"/>
  <c r="V164" i="16"/>
  <c r="V209" i="16"/>
  <c r="V225" i="16"/>
  <c r="V241" i="16"/>
  <c r="V257" i="16"/>
  <c r="V762" i="16"/>
  <c r="V793" i="16"/>
  <c r="V809" i="16"/>
  <c r="V825" i="16"/>
  <c r="V1119" i="16"/>
  <c r="V511" i="16"/>
  <c r="V527" i="16"/>
  <c r="V542" i="16"/>
  <c r="V1066" i="16"/>
  <c r="V21" i="16"/>
  <c r="V36" i="16"/>
  <c r="V52" i="16"/>
  <c r="V96" i="16"/>
  <c r="V150" i="16"/>
  <c r="V166" i="16"/>
  <c r="V181" i="16"/>
  <c r="V43" i="16"/>
  <c r="V466" i="16"/>
  <c r="V1148" i="16"/>
  <c r="V6" i="16"/>
  <c r="V22" i="16"/>
  <c r="V53" i="16"/>
  <c r="V68" i="16"/>
  <c r="V97" i="16"/>
  <c r="V23" i="16"/>
  <c r="V38" i="16"/>
  <c r="V69" i="16"/>
  <c r="V152" i="16"/>
  <c r="V277" i="16"/>
  <c r="V1199" i="16"/>
  <c r="V262" i="16"/>
  <c r="V278" i="16"/>
  <c r="V752" i="16"/>
  <c r="V784" i="16"/>
  <c r="V799" i="16"/>
  <c r="V815" i="16"/>
  <c r="V847" i="16"/>
  <c r="V58" i="16"/>
  <c r="V74" i="16"/>
  <c r="V87" i="16"/>
  <c r="V212" i="16"/>
  <c r="V228" i="16"/>
  <c r="V244" i="16"/>
  <c r="V260" i="16"/>
  <c r="V276" i="16"/>
  <c r="V59" i="16"/>
  <c r="V75" i="16"/>
  <c r="V139" i="16"/>
  <c r="V155" i="16"/>
  <c r="V171" i="16"/>
  <c r="V336" i="16"/>
  <c r="V381" i="16"/>
  <c r="V397" i="16"/>
  <c r="V875" i="16"/>
  <c r="V496" i="16"/>
  <c r="V543" i="16"/>
  <c r="V810" i="16"/>
  <c r="V826" i="16"/>
  <c r="V842" i="16"/>
  <c r="V860" i="16"/>
  <c r="V187" i="16"/>
  <c r="V352" i="16"/>
  <c r="V368" i="16"/>
  <c r="V382" i="16"/>
  <c r="V398" i="16"/>
  <c r="V430" i="16"/>
  <c r="V497" i="16"/>
  <c r="V513" i="16"/>
  <c r="V544" i="16"/>
  <c r="V748" i="16"/>
  <c r="V877" i="16"/>
  <c r="V84" i="16"/>
  <c r="V114" i="16"/>
  <c r="V338" i="16"/>
  <c r="V353" i="16"/>
  <c r="V369" i="16"/>
  <c r="V399" i="16"/>
  <c r="V431" i="16"/>
  <c r="V477" i="16"/>
  <c r="V498" i="16"/>
  <c r="V514" i="16"/>
  <c r="V529" i="16"/>
  <c r="V545" i="16"/>
  <c r="V559" i="16"/>
  <c r="V781" i="16"/>
  <c r="V812" i="16"/>
  <c r="V862" i="16"/>
  <c r="V878" i="16"/>
  <c r="V55" i="16"/>
  <c r="V85" i="16"/>
  <c r="V100" i="16"/>
  <c r="V201" i="16"/>
  <c r="V215" i="16"/>
  <c r="V263" i="16"/>
  <c r="V235" i="16"/>
  <c r="V354" i="16"/>
  <c r="V384" i="16"/>
  <c r="V400" i="16"/>
  <c r="V416" i="16"/>
  <c r="V478" i="16"/>
  <c r="V530" i="16"/>
  <c r="V546" i="16"/>
  <c r="V560" i="16"/>
  <c r="V750" i="16"/>
  <c r="V782" i="16"/>
  <c r="V829" i="16"/>
  <c r="V845" i="16"/>
  <c r="V863" i="16"/>
  <c r="V879" i="16"/>
  <c r="V893" i="16"/>
  <c r="V10" i="16"/>
  <c r="V25" i="16"/>
  <c r="V41" i="16"/>
  <c r="V56" i="16"/>
  <c r="V101" i="16"/>
  <c r="V107" i="16"/>
  <c r="V491" i="16"/>
  <c r="V324" i="16"/>
  <c r="V385" i="16"/>
  <c r="V401" i="16"/>
  <c r="V417" i="16"/>
  <c r="V479" i="16"/>
  <c r="V484" i="16"/>
  <c r="V500" i="16"/>
  <c r="V516" i="16"/>
  <c r="V561" i="16"/>
  <c r="V767" i="16"/>
  <c r="V814" i="16"/>
  <c r="V539" i="16"/>
  <c r="V341" i="16"/>
  <c r="V372" i="16"/>
  <c r="V402" i="16"/>
  <c r="V418" i="16"/>
  <c r="V485" i="16"/>
  <c r="V501" i="16"/>
  <c r="V562" i="16"/>
  <c r="V342" i="16"/>
  <c r="V518" i="16"/>
  <c r="V533" i="16"/>
  <c r="V753" i="16"/>
  <c r="V769" i="16"/>
  <c r="V785" i="16"/>
  <c r="V800" i="16"/>
  <c r="V816" i="16"/>
  <c r="V832" i="16"/>
  <c r="V848" i="16"/>
  <c r="V882" i="16"/>
  <c r="V896" i="16"/>
  <c r="V135" i="16"/>
  <c r="V327" i="16"/>
  <c r="V358" i="16"/>
  <c r="V388" i="16"/>
  <c r="V404" i="16"/>
  <c r="V420" i="16"/>
  <c r="V482" i="16"/>
  <c r="V487" i="16"/>
  <c r="V754" i="16"/>
  <c r="V801" i="16"/>
  <c r="V817" i="16"/>
  <c r="V29" i="16"/>
  <c r="V45" i="16"/>
  <c r="V67" i="16"/>
  <c r="V163" i="16"/>
  <c r="V389" i="16"/>
  <c r="V488" i="16"/>
  <c r="V504" i="16"/>
  <c r="V520" i="16"/>
  <c r="V535" i="16"/>
  <c r="V549" i="16"/>
  <c r="V564" i="16"/>
  <c r="V818" i="16"/>
  <c r="V850" i="16"/>
  <c r="V868" i="16"/>
  <c r="V884" i="16"/>
  <c r="V179" i="16"/>
  <c r="V195" i="16"/>
  <c r="V329" i="16"/>
  <c r="V360" i="16"/>
  <c r="V489" i="16"/>
  <c r="V505" i="16"/>
  <c r="V521" i="16"/>
  <c r="V536" i="16"/>
  <c r="V740" i="16"/>
  <c r="V756" i="16"/>
  <c r="V122" i="16"/>
  <c r="V238" i="16"/>
  <c r="V270" i="16"/>
  <c r="V83" i="16"/>
  <c r="V330" i="16"/>
  <c r="V345" i="16"/>
  <c r="V391" i="16"/>
  <c r="V423" i="16"/>
  <c r="V490" i="16"/>
  <c r="V506" i="16"/>
  <c r="V551" i="16"/>
  <c r="V738" i="16"/>
  <c r="V243" i="16"/>
  <c r="V346" i="16"/>
  <c r="V362" i="16"/>
  <c r="V376" i="16"/>
  <c r="V392" i="16"/>
  <c r="V408" i="16"/>
  <c r="V424" i="16"/>
  <c r="V871" i="16"/>
  <c r="V901" i="16"/>
  <c r="V332" i="16"/>
  <c r="V377" i="16"/>
  <c r="V393" i="16"/>
  <c r="V409" i="16"/>
  <c r="V743" i="16"/>
  <c r="V856" i="16"/>
  <c r="V50" i="16"/>
  <c r="V333" i="16"/>
  <c r="V348" i="16"/>
  <c r="V364" i="16"/>
  <c r="V378" i="16"/>
  <c r="V410" i="16"/>
  <c r="V509" i="16"/>
  <c r="V525" i="16"/>
  <c r="V540" i="16"/>
  <c r="V554" i="16"/>
  <c r="V744" i="16"/>
  <c r="V760" i="16"/>
  <c r="V791" i="16"/>
  <c r="V807" i="16"/>
  <c r="V857" i="16"/>
  <c r="V873" i="16"/>
  <c r="V510" i="16"/>
  <c r="V745" i="16"/>
  <c r="V761" i="16"/>
  <c r="V777" i="16"/>
  <c r="V824" i="16"/>
  <c r="V840" i="16"/>
  <c r="V858" i="16"/>
  <c r="V888" i="16"/>
  <c r="W3" i="16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F13" i="10"/>
  <c r="F12" i="10"/>
  <c r="F11" i="10"/>
  <c r="F10" i="10"/>
  <c r="F9" i="10"/>
  <c r="F17" i="10"/>
  <c r="F20" i="10"/>
  <c r="F25" i="10"/>
  <c r="F23" i="10"/>
  <c r="F4" i="10"/>
  <c r="F24" i="10"/>
  <c r="F22" i="10"/>
  <c r="F21" i="10"/>
  <c r="F16" i="10"/>
  <c r="F8" i="10"/>
  <c r="F7" i="10"/>
  <c r="F26" i="10"/>
  <c r="F27" i="10"/>
  <c r="F6" i="10"/>
  <c r="F5" i="10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F14" i="3"/>
  <c r="F13" i="3"/>
  <c r="F12" i="3"/>
  <c r="F11" i="3"/>
  <c r="F10" i="3"/>
  <c r="F9" i="3"/>
  <c r="F8" i="3"/>
  <c r="F7" i="3"/>
  <c r="F6" i="3"/>
  <c r="F5" i="3"/>
  <c r="F4" i="3"/>
  <c r="F3" i="3"/>
  <c r="D44" i="29"/>
  <c r="R46" i="29"/>
  <c r="K51" i="29" l="1"/>
  <c r="J54" i="29"/>
  <c r="I56" i="29"/>
  <c r="N58" i="29"/>
  <c r="I55" i="29"/>
  <c r="G53" i="29"/>
  <c r="S1122" i="16"/>
  <c r="J1097" i="16"/>
  <c r="M1084" i="16"/>
  <c r="L1051" i="16"/>
  <c r="M1036" i="16"/>
  <c r="U1028" i="16"/>
  <c r="M1020" i="16"/>
  <c r="G1014" i="16"/>
  <c r="P943" i="16"/>
  <c r="T931" i="16"/>
  <c r="I920" i="16"/>
  <c r="O894" i="16"/>
  <c r="G870" i="16"/>
  <c r="L811" i="16"/>
  <c r="Q768" i="16"/>
  <c r="R721" i="16"/>
  <c r="G710" i="16"/>
  <c r="L699" i="16"/>
  <c r="O686" i="16"/>
  <c r="H663" i="16"/>
  <c r="J649" i="16"/>
  <c r="N605" i="16"/>
  <c r="I1112" i="16"/>
  <c r="Q1072" i="16"/>
  <c r="S1026" i="16"/>
  <c r="G998" i="16"/>
  <c r="M988" i="16"/>
  <c r="O974" i="16"/>
  <c r="R961" i="16"/>
  <c r="H935" i="16"/>
  <c r="K922" i="16"/>
  <c r="O910" i="16"/>
  <c r="T899" i="16"/>
  <c r="P783" i="16"/>
  <c r="S770" i="16"/>
  <c r="K746" i="16"/>
  <c r="H631" i="16"/>
  <c r="P591" i="16"/>
  <c r="G534" i="16"/>
  <c r="T515" i="16"/>
  <c r="P495" i="16"/>
  <c r="Q480" i="16"/>
  <c r="G470" i="16"/>
  <c r="J441" i="16"/>
  <c r="S434" i="16"/>
  <c r="M428" i="16"/>
  <c r="G374" i="16"/>
  <c r="P367" i="16"/>
  <c r="O318" i="16"/>
  <c r="H311" i="16"/>
  <c r="Q304" i="16"/>
  <c r="J297" i="16"/>
  <c r="R289" i="16"/>
  <c r="K282" i="16"/>
  <c r="S274" i="16"/>
  <c r="L267" i="16"/>
  <c r="T259" i="16"/>
  <c r="O254" i="16"/>
  <c r="H247" i="16"/>
  <c r="P239" i="16"/>
  <c r="J233" i="16"/>
  <c r="T227" i="16"/>
  <c r="O222" i="16"/>
  <c r="L219" i="16"/>
  <c r="G214" i="16"/>
  <c r="O190" i="16"/>
  <c r="J185" i="16"/>
  <c r="J169" i="16"/>
  <c r="K43" i="29"/>
  <c r="N157" i="16"/>
  <c r="H151" i="16"/>
  <c r="S146" i="16"/>
  <c r="K138" i="16"/>
  <c r="P127" i="16"/>
  <c r="L123" i="16"/>
  <c r="H119" i="16"/>
  <c r="Q112" i="16"/>
  <c r="O94" i="16"/>
  <c r="J9" i="16"/>
  <c r="R55" i="29"/>
  <c r="U1208" i="16"/>
  <c r="H1051" i="16"/>
  <c r="K1038" i="16"/>
  <c r="M1024" i="16"/>
  <c r="T999" i="16"/>
  <c r="R981" i="16"/>
  <c r="J973" i="16"/>
  <c r="R965" i="16"/>
  <c r="K958" i="16"/>
  <c r="R453" i="16"/>
  <c r="N1117" i="16"/>
  <c r="T1043" i="16"/>
  <c r="H999" i="16"/>
  <c r="H951" i="16"/>
  <c r="Q912" i="16"/>
  <c r="U900" i="16"/>
  <c r="K890" i="16"/>
  <c r="R881" i="16"/>
  <c r="U836" i="16"/>
  <c r="K778" i="16"/>
  <c r="O766" i="16"/>
  <c r="I696" i="16"/>
  <c r="Q688" i="16"/>
  <c r="H679" i="16"/>
  <c r="T643" i="16"/>
  <c r="O574" i="16"/>
  <c r="G566" i="16"/>
  <c r="M556" i="16"/>
  <c r="H519" i="16"/>
  <c r="N461" i="16"/>
  <c r="K442" i="16"/>
  <c r="R433" i="16"/>
  <c r="K426" i="16"/>
  <c r="M396" i="16"/>
  <c r="U340" i="16"/>
  <c r="P319" i="16"/>
  <c r="J313" i="16"/>
  <c r="T307" i="16"/>
  <c r="I264" i="16"/>
  <c r="Q256" i="16"/>
  <c r="S226" i="16"/>
  <c r="S210" i="16"/>
  <c r="Q160" i="16"/>
  <c r="M58" i="29"/>
  <c r="P1219" i="16"/>
  <c r="G1098" i="16"/>
  <c r="H1083" i="16"/>
  <c r="J1053" i="16"/>
  <c r="R1045" i="16"/>
  <c r="J1037" i="16"/>
  <c r="R1029" i="16"/>
  <c r="S1014" i="16"/>
  <c r="K1006" i="16"/>
  <c r="J957" i="16"/>
  <c r="G906" i="16"/>
  <c r="S886" i="16"/>
  <c r="I876" i="16"/>
  <c r="N865" i="16"/>
  <c r="T855" i="16"/>
  <c r="S838" i="16"/>
  <c r="U792" i="16"/>
  <c r="U776" i="16"/>
  <c r="T759" i="16"/>
  <c r="L751" i="16"/>
  <c r="T695" i="16"/>
  <c r="K686" i="16"/>
  <c r="K670" i="16"/>
  <c r="S662" i="16"/>
  <c r="S646" i="16"/>
  <c r="Q596" i="16"/>
  <c r="H587" i="16"/>
  <c r="R565" i="16"/>
  <c r="S534" i="16"/>
  <c r="R469" i="16"/>
  <c r="K462" i="16"/>
  <c r="Q53" i="29"/>
  <c r="T455" i="16"/>
  <c r="I444" i="16"/>
  <c r="S422" i="16"/>
  <c r="K414" i="16"/>
  <c r="G394" i="16"/>
  <c r="N337" i="16"/>
  <c r="U312" i="16"/>
  <c r="G298" i="16"/>
  <c r="U280" i="16"/>
  <c r="K206" i="16"/>
  <c r="T167" i="16"/>
  <c r="N113" i="16"/>
  <c r="S102" i="16"/>
  <c r="O82" i="16"/>
  <c r="P35" i="16"/>
  <c r="U24" i="16"/>
  <c r="O18" i="16"/>
  <c r="M16" i="16"/>
  <c r="I12" i="16"/>
  <c r="H11" i="16"/>
  <c r="R5" i="16"/>
  <c r="R1110" i="16"/>
  <c r="J1102" i="16"/>
  <c r="O1075" i="16"/>
  <c r="T1032" i="16"/>
  <c r="H1020" i="16"/>
  <c r="P996" i="16"/>
  <c r="S967" i="16"/>
  <c r="Q949" i="16"/>
  <c r="K927" i="16"/>
  <c r="N898" i="16"/>
  <c r="R886" i="16"/>
  <c r="P836" i="16"/>
  <c r="H828" i="16"/>
  <c r="G795" i="16"/>
  <c r="O787" i="16"/>
  <c r="P12" i="18" s="1"/>
  <c r="P772" i="16"/>
  <c r="I765" i="16"/>
  <c r="G747" i="16"/>
  <c r="U713" i="16"/>
  <c r="K703" i="16"/>
  <c r="O691" i="16"/>
  <c r="J670" i="16"/>
  <c r="U649" i="16"/>
  <c r="L640" i="16"/>
  <c r="S631" i="16"/>
  <c r="L624" i="16"/>
  <c r="H604" i="16"/>
  <c r="R582" i="16"/>
  <c r="K575" i="16"/>
  <c r="T568" i="16"/>
  <c r="S567" i="16"/>
  <c r="R566" i="16"/>
  <c r="G50" i="29"/>
  <c r="J558" i="16"/>
  <c r="I557" i="16"/>
  <c r="H556" i="16"/>
  <c r="R550" i="16"/>
  <c r="P548" i="16"/>
  <c r="I541" i="16"/>
  <c r="J526" i="16"/>
  <c r="G523" i="16"/>
  <c r="S519" i="16"/>
  <c r="Q517" i="16"/>
  <c r="L512" i="16"/>
  <c r="G507" i="16"/>
  <c r="S503" i="16"/>
  <c r="R502" i="16"/>
  <c r="O499" i="16"/>
  <c r="J494" i="16"/>
  <c r="I493" i="16"/>
  <c r="O483" i="16"/>
  <c r="L480" i="16"/>
  <c r="H476" i="16"/>
  <c r="G475" i="16"/>
  <c r="R470" i="16"/>
  <c r="O467" i="16"/>
  <c r="J462" i="16"/>
  <c r="I461" i="16"/>
  <c r="P53" i="29"/>
  <c r="S455" i="16"/>
  <c r="Q453" i="16"/>
  <c r="P452" i="16"/>
  <c r="L448" i="16"/>
  <c r="H444" i="16"/>
  <c r="G443" i="16"/>
  <c r="U441" i="16"/>
  <c r="T440" i="16"/>
  <c r="O435" i="16"/>
  <c r="N434" i="16"/>
  <c r="M433" i="16"/>
  <c r="L432" i="16"/>
  <c r="I429" i="16"/>
  <c r="H428" i="16"/>
  <c r="U425" i="16"/>
  <c r="R422" i="16"/>
  <c r="Q421" i="16"/>
  <c r="O419" i="16"/>
  <c r="H52" i="29"/>
  <c r="K415" i="16"/>
  <c r="J414" i="16"/>
  <c r="I413" i="16"/>
  <c r="S407" i="16"/>
  <c r="R406" i="16"/>
  <c r="Q405" i="16"/>
  <c r="H396" i="16"/>
  <c r="R390" i="16"/>
  <c r="N386" i="16"/>
  <c r="K383" i="16"/>
  <c r="P51" i="29"/>
  <c r="S375" i="16"/>
  <c r="R374" i="16"/>
  <c r="Q373" i="16"/>
  <c r="N370" i="16"/>
  <c r="K367" i="16"/>
  <c r="I365" i="16"/>
  <c r="U361" i="16"/>
  <c r="S359" i="16"/>
  <c r="Q357" i="16"/>
  <c r="P356" i="16"/>
  <c r="K351" i="16"/>
  <c r="I349" i="16"/>
  <c r="G347" i="16"/>
  <c r="T344" i="16"/>
  <c r="U11" i="18" s="1"/>
  <c r="S343" i="16"/>
  <c r="P340" i="16"/>
  <c r="M337" i="16"/>
  <c r="K335" i="16"/>
  <c r="J334" i="16"/>
  <c r="G331" i="16"/>
  <c r="T328" i="16"/>
  <c r="R326" i="16"/>
  <c r="Q325" i="16"/>
  <c r="O323" i="16"/>
  <c r="M321" i="16"/>
  <c r="K319" i="16"/>
  <c r="J318" i="16"/>
  <c r="U313" i="16"/>
  <c r="S311" i="16"/>
  <c r="O307" i="16"/>
  <c r="N306" i="16"/>
  <c r="L304" i="16"/>
  <c r="K303" i="16"/>
  <c r="H300" i="16"/>
  <c r="U297" i="16"/>
  <c r="T296" i="16"/>
  <c r="R294" i="16"/>
  <c r="O291" i="16"/>
  <c r="M289" i="16"/>
  <c r="I285" i="16"/>
  <c r="U281" i="16"/>
  <c r="T280" i="16"/>
  <c r="S279" i="16"/>
  <c r="O275" i="16"/>
  <c r="N274" i="16"/>
  <c r="M273" i="16"/>
  <c r="H268" i="16"/>
  <c r="G267" i="16"/>
  <c r="T264" i="16"/>
  <c r="Q261" i="16"/>
  <c r="O259" i="16"/>
  <c r="N258" i="16"/>
  <c r="L256" i="16"/>
  <c r="J254" i="16"/>
  <c r="I253" i="16"/>
  <c r="G251" i="16"/>
  <c r="T248" i="16"/>
  <c r="S247" i="16"/>
  <c r="R246" i="16"/>
  <c r="Q245" i="16"/>
  <c r="N242" i="16"/>
  <c r="K239" i="16"/>
  <c r="U233" i="16"/>
  <c r="S231" i="16"/>
  <c r="R230" i="16"/>
  <c r="Q229" i="16"/>
  <c r="O227" i="16"/>
  <c r="N226" i="16"/>
  <c r="J222" i="16"/>
  <c r="I221" i="16"/>
  <c r="G219" i="16"/>
  <c r="R214" i="16"/>
  <c r="Q213" i="16"/>
  <c r="O211" i="16"/>
  <c r="N210" i="16"/>
  <c r="K207" i="16"/>
  <c r="J206" i="16"/>
  <c r="I205" i="16"/>
  <c r="T200" i="16"/>
  <c r="S199" i="16"/>
  <c r="R198" i="16"/>
  <c r="Q197" i="16"/>
  <c r="L192" i="16"/>
  <c r="J190" i="16"/>
  <c r="U185" i="16"/>
  <c r="T184" i="16"/>
  <c r="S183" i="16"/>
  <c r="R182" i="16"/>
  <c r="M177" i="16"/>
  <c r="N16" i="17" s="1"/>
  <c r="L176" i="16"/>
  <c r="J174" i="16"/>
  <c r="I173" i="16"/>
  <c r="U169" i="16"/>
  <c r="T168" i="16"/>
  <c r="S167" i="16"/>
  <c r="N162" i="16"/>
  <c r="M161" i="16"/>
  <c r="L160" i="16"/>
  <c r="F43" i="29"/>
  <c r="I157" i="16"/>
  <c r="H156" i="16"/>
  <c r="S151" i="16"/>
  <c r="N146" i="16"/>
  <c r="M145" i="16"/>
  <c r="L144" i="16"/>
  <c r="K143" i="16"/>
  <c r="I141" i="16"/>
  <c r="R134" i="16"/>
  <c r="O131" i="16"/>
  <c r="N130" i="16"/>
  <c r="M129" i="16"/>
  <c r="J126" i="16"/>
  <c r="I125" i="16"/>
  <c r="H124" i="16"/>
  <c r="G123" i="16"/>
  <c r="T120" i="16"/>
  <c r="S119" i="16"/>
  <c r="R118" i="16"/>
  <c r="P116" i="16"/>
  <c r="O115" i="16"/>
  <c r="M113" i="16"/>
  <c r="L112" i="16"/>
  <c r="K111" i="16"/>
  <c r="T104" i="16"/>
  <c r="S103" i="16"/>
  <c r="R102" i="16"/>
  <c r="O99" i="16"/>
  <c r="N98" i="16"/>
  <c r="K95" i="16"/>
  <c r="J94" i="16"/>
  <c r="G91" i="16"/>
  <c r="U89" i="16"/>
  <c r="R86" i="16"/>
  <c r="S13" i="18" s="1"/>
  <c r="N82" i="16"/>
  <c r="M81" i="16"/>
  <c r="K79" i="16"/>
  <c r="T72" i="16"/>
  <c r="S71" i="16"/>
  <c r="R70" i="16"/>
  <c r="M65" i="16"/>
  <c r="L64" i="16"/>
  <c r="J62" i="16"/>
  <c r="I61" i="16"/>
  <c r="H60" i="16"/>
  <c r="R54" i="16"/>
  <c r="S10" i="18" s="1"/>
  <c r="L48" i="16"/>
  <c r="T40" i="16"/>
  <c r="S39" i="16"/>
  <c r="Q37" i="16"/>
  <c r="O35" i="16"/>
  <c r="N34" i="16"/>
  <c r="L32" i="16"/>
  <c r="J30" i="16"/>
  <c r="G27" i="16"/>
  <c r="T24" i="16"/>
  <c r="P20" i="16"/>
  <c r="N18" i="16"/>
  <c r="L16" i="16"/>
  <c r="J14" i="16"/>
  <c r="H12" i="16"/>
  <c r="G11" i="16"/>
  <c r="U9" i="16"/>
  <c r="T8" i="16"/>
  <c r="S7" i="16"/>
  <c r="Q5" i="16"/>
  <c r="P4" i="16"/>
  <c r="N1235" i="16"/>
  <c r="K58" i="29"/>
  <c r="N1219" i="16"/>
  <c r="E56" i="29"/>
  <c r="H1213" i="16"/>
  <c r="P55" i="29"/>
  <c r="S1208" i="16"/>
  <c r="K54" i="29"/>
  <c r="N1203" i="16"/>
  <c r="U1162" i="16"/>
  <c r="T1161" i="16"/>
  <c r="M1122" i="16"/>
  <c r="H1117" i="16"/>
  <c r="G1116" i="16"/>
  <c r="U1114" i="16"/>
  <c r="S1112" i="16"/>
  <c r="Q1110" i="16"/>
  <c r="L1105" i="16"/>
  <c r="K1104" i="16"/>
  <c r="I1102" i="16"/>
  <c r="G1100" i="16"/>
  <c r="U1098" i="16"/>
  <c r="T1097" i="16"/>
  <c r="S1096" i="16"/>
  <c r="P1093" i="16"/>
  <c r="O1092" i="16"/>
  <c r="L1089" i="16"/>
  <c r="K1088" i="16"/>
  <c r="H1085" i="16"/>
  <c r="G1084" i="16"/>
  <c r="T1081" i="16"/>
  <c r="O1076" i="16"/>
  <c r="N1075" i="16"/>
  <c r="K1072" i="16"/>
  <c r="G1068" i="16"/>
  <c r="P1061" i="16"/>
  <c r="O1060" i="16"/>
  <c r="L1057" i="16"/>
  <c r="H1053" i="16"/>
  <c r="G1052" i="16"/>
  <c r="T1049" i="16"/>
  <c r="P1045" i="16"/>
  <c r="N1043" i="16"/>
  <c r="K1040" i="16"/>
  <c r="J1039" i="16"/>
  <c r="I1038" i="16"/>
  <c r="H1037" i="16"/>
  <c r="G1036" i="16"/>
  <c r="S1032" i="16"/>
  <c r="Q1030" i="16"/>
  <c r="P1029" i="16"/>
  <c r="O1028" i="16"/>
  <c r="M1026" i="16"/>
  <c r="K1024" i="16"/>
  <c r="I1022" i="16"/>
  <c r="H1021" i="16"/>
  <c r="G1020" i="16"/>
  <c r="T1017" i="16"/>
  <c r="S1016" i="16"/>
  <c r="Q1014" i="16"/>
  <c r="P1013" i="16"/>
  <c r="O1012" i="16"/>
  <c r="N1011" i="16"/>
  <c r="K1008" i="16"/>
  <c r="J1007" i="16"/>
  <c r="I1006" i="16"/>
  <c r="U1002" i="16"/>
  <c r="T1001" i="16"/>
  <c r="R999" i="16"/>
  <c r="Q998" i="16"/>
  <c r="P997" i="16"/>
  <c r="O996" i="16"/>
  <c r="I990" i="16"/>
  <c r="H989" i="16"/>
  <c r="G988" i="16"/>
  <c r="P981" i="16"/>
  <c r="O980" i="16"/>
  <c r="L977" i="16"/>
  <c r="I974" i="16"/>
  <c r="H973" i="16"/>
  <c r="G972" i="16"/>
  <c r="U970" i="16"/>
  <c r="T969" i="16"/>
  <c r="R967" i="16"/>
  <c r="Q966" i="16"/>
  <c r="P965" i="16"/>
  <c r="M962" i="16"/>
  <c r="L961" i="16"/>
  <c r="K960" i="16"/>
  <c r="I958" i="16"/>
  <c r="H957" i="16"/>
  <c r="U954" i="16"/>
  <c r="Q46" i="29"/>
  <c r="T953" i="16"/>
  <c r="R951" i="16"/>
  <c r="P949" i="16"/>
  <c r="M946" i="16"/>
  <c r="K944" i="16"/>
  <c r="J943" i="16"/>
  <c r="P1235" i="16"/>
  <c r="M54" i="29"/>
  <c r="P1203" i="16"/>
  <c r="G1162" i="16"/>
  <c r="U1112" i="16"/>
  <c r="M1104" i="16"/>
  <c r="U1096" i="16"/>
  <c r="L1039" i="16"/>
  <c r="Q1028" i="16"/>
  <c r="I1020" i="16"/>
  <c r="R1013" i="16"/>
  <c r="L1007" i="16"/>
  <c r="S998" i="16"/>
  <c r="I988" i="16"/>
  <c r="L927" i="16"/>
  <c r="S902" i="16"/>
  <c r="O866" i="16"/>
  <c r="N849" i="16"/>
  <c r="K830" i="16"/>
  <c r="P819" i="16"/>
  <c r="P787" i="16"/>
  <c r="Q12" i="18" s="1"/>
  <c r="G778" i="16"/>
  <c r="H763" i="16"/>
  <c r="G746" i="16"/>
  <c r="J717" i="16"/>
  <c r="S694" i="16"/>
  <c r="M688" i="16"/>
  <c r="G682" i="16"/>
  <c r="M672" i="16"/>
  <c r="H667" i="16"/>
  <c r="P659" i="16"/>
  <c r="P643" i="16"/>
  <c r="T503" i="16"/>
  <c r="S486" i="16"/>
  <c r="P467" i="16"/>
  <c r="J461" i="16"/>
  <c r="R437" i="16"/>
  <c r="J429" i="16"/>
  <c r="P355" i="16"/>
  <c r="J349" i="16"/>
  <c r="L335" i="16"/>
  <c r="N289" i="16"/>
  <c r="J285" i="16"/>
  <c r="M272" i="16"/>
  <c r="M256" i="16"/>
  <c r="T247" i="16"/>
  <c r="P227" i="16"/>
  <c r="K222" i="16"/>
  <c r="H219" i="16"/>
  <c r="P211" i="16"/>
  <c r="I156" i="16"/>
  <c r="N145" i="16"/>
  <c r="I124" i="16"/>
  <c r="S118" i="16"/>
  <c r="O98" i="16"/>
  <c r="K94" i="16"/>
  <c r="L79" i="16"/>
  <c r="O66" i="16"/>
  <c r="I60" i="16"/>
  <c r="G26" i="16"/>
  <c r="F56" i="29"/>
  <c r="I1213" i="16"/>
  <c r="I1117" i="16"/>
  <c r="Q1093" i="16"/>
  <c r="Q1077" i="16"/>
  <c r="Q1045" i="16"/>
  <c r="H1036" i="16"/>
  <c r="U1017" i="16"/>
  <c r="Q997" i="16"/>
  <c r="M977" i="16"/>
  <c r="U969" i="16"/>
  <c r="I957" i="16"/>
  <c r="K911" i="16"/>
  <c r="H876" i="16"/>
  <c r="N866" i="16"/>
  <c r="R822" i="16"/>
  <c r="G763" i="16"/>
  <c r="R742" i="16"/>
  <c r="T696" i="16"/>
  <c r="L688" i="16"/>
  <c r="U681" i="16"/>
  <c r="G667" i="16"/>
  <c r="O659" i="16"/>
  <c r="I653" i="16"/>
  <c r="Q645" i="16"/>
  <c r="K639" i="16"/>
  <c r="H620" i="16"/>
  <c r="M593" i="16"/>
  <c r="S1161" i="16"/>
  <c r="L1122" i="16"/>
  <c r="T1114" i="16"/>
  <c r="T1098" i="16"/>
  <c r="J1088" i="16"/>
  <c r="O1061" i="16"/>
  <c r="I1039" i="16"/>
  <c r="O1029" i="16"/>
  <c r="N996" i="16"/>
  <c r="P982" i="16"/>
  <c r="H942" i="16"/>
  <c r="U923" i="16"/>
  <c r="J912" i="16"/>
  <c r="N900" i="16"/>
  <c r="P886" i="16"/>
  <c r="H830" i="16"/>
  <c r="Q823" i="16"/>
  <c r="R808" i="16"/>
  <c r="P790" i="16"/>
  <c r="H766" i="16"/>
  <c r="Q695" i="16"/>
  <c r="J688" i="16"/>
  <c r="H686" i="16"/>
  <c r="G685" i="16"/>
  <c r="T682" i="16"/>
  <c r="S681" i="16"/>
  <c r="Q679" i="16"/>
  <c r="O677" i="16"/>
  <c r="J672" i="16"/>
  <c r="I671" i="16"/>
  <c r="H670" i="16"/>
  <c r="U667" i="16"/>
  <c r="S665" i="16"/>
  <c r="R664" i="16"/>
  <c r="S9" i="18" s="1"/>
  <c r="Q663" i="16"/>
  <c r="M659" i="16"/>
  <c r="K657" i="16"/>
  <c r="H654" i="16"/>
  <c r="G653" i="16"/>
  <c r="T650" i="16"/>
  <c r="S649" i="16"/>
  <c r="R648" i="16"/>
  <c r="P646" i="16"/>
  <c r="O645" i="16"/>
  <c r="M643" i="16"/>
  <c r="K641" i="16"/>
  <c r="F48" i="29"/>
  <c r="I639" i="16"/>
  <c r="U635" i="16"/>
  <c r="Q631" i="16"/>
  <c r="L626" i="16"/>
  <c r="J624" i="16"/>
  <c r="G621" i="16"/>
  <c r="S617" i="16"/>
  <c r="P614" i="16"/>
  <c r="O613" i="16"/>
  <c r="N612" i="16"/>
  <c r="J608" i="16"/>
  <c r="H606" i="16"/>
  <c r="G605" i="16"/>
  <c r="U603" i="16"/>
  <c r="T602" i="16"/>
  <c r="S601" i="16"/>
  <c r="R600" i="16"/>
  <c r="N596" i="16"/>
  <c r="M595" i="16"/>
  <c r="K593" i="16"/>
  <c r="J592" i="16"/>
  <c r="I591" i="16"/>
  <c r="H590" i="16"/>
  <c r="U587" i="16"/>
  <c r="S585" i="16"/>
  <c r="Q583" i="16"/>
  <c r="P582" i="16"/>
  <c r="L44" i="29"/>
  <c r="O581" i="16"/>
  <c r="N580" i="16"/>
  <c r="M579" i="16"/>
  <c r="I575" i="16"/>
  <c r="H574" i="16"/>
  <c r="G573" i="16"/>
  <c r="S569" i="16"/>
  <c r="R568" i="16"/>
  <c r="Q567" i="16"/>
  <c r="P566" i="16"/>
  <c r="E50" i="29"/>
  <c r="H558" i="16"/>
  <c r="G557" i="16"/>
  <c r="P550" i="16"/>
  <c r="N548" i="16"/>
  <c r="G541" i="16"/>
  <c r="P534" i="16"/>
  <c r="N532" i="16"/>
  <c r="J528" i="16"/>
  <c r="K13" i="17" s="1"/>
  <c r="H526" i="16"/>
  <c r="U523" i="16"/>
  <c r="T522" i="16"/>
  <c r="Q519" i="16"/>
  <c r="O517" i="16"/>
  <c r="M515" i="16"/>
  <c r="J512" i="16"/>
  <c r="U507" i="16"/>
  <c r="Q503" i="16"/>
  <c r="P502" i="16"/>
  <c r="M499" i="16"/>
  <c r="I495" i="16"/>
  <c r="H494" i="16"/>
  <c r="G493" i="16"/>
  <c r="P486" i="16"/>
  <c r="M483" i="16"/>
  <c r="J480" i="16"/>
  <c r="U475" i="16"/>
  <c r="T474" i="16"/>
  <c r="P470" i="16"/>
  <c r="O469" i="16"/>
  <c r="H462" i="16"/>
  <c r="G461" i="16"/>
  <c r="T458" i="16"/>
  <c r="N53" i="29"/>
  <c r="Q455" i="16"/>
  <c r="O453" i="16"/>
  <c r="N452" i="16"/>
  <c r="J448" i="16"/>
  <c r="U443" i="16"/>
  <c r="T442" i="16"/>
  <c r="S441" i="16"/>
  <c r="R440" i="16"/>
  <c r="O437" i="16"/>
  <c r="M435" i="16"/>
  <c r="L434" i="16"/>
  <c r="K433" i="16"/>
  <c r="J432" i="16"/>
  <c r="G429" i="16"/>
  <c r="T426" i="16"/>
  <c r="S425" i="16"/>
  <c r="P422" i="16"/>
  <c r="O421" i="16"/>
  <c r="M419" i="16"/>
  <c r="F52" i="29"/>
  <c r="I415" i="16"/>
  <c r="H414" i="16"/>
  <c r="G413" i="16"/>
  <c r="Q407" i="16"/>
  <c r="P406" i="16"/>
  <c r="O405" i="16"/>
  <c r="T394" i="16"/>
  <c r="P390" i="16"/>
  <c r="L386" i="16"/>
  <c r="I383" i="16"/>
  <c r="N51" i="29"/>
  <c r="Q375" i="16"/>
  <c r="P374" i="16"/>
  <c r="O373" i="16"/>
  <c r="L370" i="16"/>
  <c r="I367" i="16"/>
  <c r="G365" i="16"/>
  <c r="S361" i="16"/>
  <c r="Q359" i="16"/>
  <c r="O357" i="16"/>
  <c r="N356" i="16"/>
  <c r="M355" i="16"/>
  <c r="G349" i="16"/>
  <c r="U347" i="16"/>
  <c r="R344" i="16"/>
  <c r="S11" i="18" s="1"/>
  <c r="Q343" i="16"/>
  <c r="N340" i="16"/>
  <c r="K337" i="16"/>
  <c r="I335" i="16"/>
  <c r="H334" i="16"/>
  <c r="U331" i="16"/>
  <c r="R328" i="16"/>
  <c r="P326" i="16"/>
  <c r="O325" i="16"/>
  <c r="M323" i="16"/>
  <c r="K321" i="16"/>
  <c r="I319" i="16"/>
  <c r="H318" i="16"/>
  <c r="T314" i="16"/>
  <c r="S313" i="16"/>
  <c r="R312" i="16"/>
  <c r="Q311" i="16"/>
  <c r="M307" i="16"/>
  <c r="L306" i="16"/>
  <c r="J304" i="16"/>
  <c r="I303" i="16"/>
  <c r="T298" i="16"/>
  <c r="S297" i="16"/>
  <c r="R296" i="16"/>
  <c r="P294" i="16"/>
  <c r="M291" i="16"/>
  <c r="K289" i="16"/>
  <c r="G285" i="16"/>
  <c r="T282" i="16"/>
  <c r="S281" i="16"/>
  <c r="R280" i="16"/>
  <c r="Q279" i="16"/>
  <c r="M275" i="16"/>
  <c r="L274" i="16"/>
  <c r="K273" i="16"/>
  <c r="J272" i="16"/>
  <c r="T266" i="16"/>
  <c r="R264" i="16"/>
  <c r="O261" i="16"/>
  <c r="M259" i="16"/>
  <c r="L258" i="16"/>
  <c r="J256" i="16"/>
  <c r="H254" i="16"/>
  <c r="G253" i="16"/>
  <c r="R248" i="16"/>
  <c r="P246" i="16"/>
  <c r="O245" i="16"/>
  <c r="L242" i="16"/>
  <c r="I239" i="16"/>
  <c r="T234" i="16"/>
  <c r="S233" i="16"/>
  <c r="Q231" i="16"/>
  <c r="P230" i="16"/>
  <c r="O229" i="16"/>
  <c r="M227" i="16"/>
  <c r="L226" i="16"/>
  <c r="H222" i="16"/>
  <c r="G221" i="16"/>
  <c r="U219" i="16"/>
  <c r="T218" i="16"/>
  <c r="P214" i="16"/>
  <c r="O213" i="16"/>
  <c r="M211" i="16"/>
  <c r="L210" i="16"/>
  <c r="I207" i="16"/>
  <c r="H206" i="16"/>
  <c r="G205" i="16"/>
  <c r="U203" i="16"/>
  <c r="T202" i="16"/>
  <c r="R200" i="16"/>
  <c r="P198" i="16"/>
  <c r="O197" i="16"/>
  <c r="J192" i="16"/>
  <c r="H190" i="16"/>
  <c r="T186" i="16"/>
  <c r="S185" i="16"/>
  <c r="R184" i="16"/>
  <c r="Q183" i="16"/>
  <c r="P182" i="16"/>
  <c r="K177" i="16"/>
  <c r="L16" i="17" s="1"/>
  <c r="J176" i="16"/>
  <c r="H174" i="16"/>
  <c r="T170" i="16"/>
  <c r="R168" i="16"/>
  <c r="Q167" i="16"/>
  <c r="L162" i="16"/>
  <c r="K161" i="16"/>
  <c r="J160" i="16"/>
  <c r="D43" i="29"/>
  <c r="G157" i="16"/>
  <c r="T154" i="16"/>
  <c r="S153" i="16"/>
  <c r="Q151" i="16"/>
  <c r="M147" i="16"/>
  <c r="L146" i="16"/>
  <c r="K145" i="16"/>
  <c r="J144" i="16"/>
  <c r="I143" i="16"/>
  <c r="G141" i="16"/>
  <c r="T138" i="16"/>
  <c r="P134" i="16"/>
  <c r="M131" i="16"/>
  <c r="L130" i="16"/>
  <c r="K129" i="16"/>
  <c r="I127" i="16"/>
  <c r="H126" i="16"/>
  <c r="G125" i="16"/>
  <c r="U123" i="16"/>
  <c r="R120" i="16"/>
  <c r="Q119" i="16"/>
  <c r="P118" i="16"/>
  <c r="N116" i="16"/>
  <c r="M115" i="16"/>
  <c r="K113" i="16"/>
  <c r="J112" i="16"/>
  <c r="I111" i="16"/>
  <c r="R104" i="16"/>
  <c r="Q103" i="16"/>
  <c r="P102" i="16"/>
  <c r="M99" i="16"/>
  <c r="L98" i="16"/>
  <c r="I95" i="16"/>
  <c r="H94" i="16"/>
  <c r="U91" i="16"/>
  <c r="S89" i="16"/>
  <c r="P86" i="16"/>
  <c r="Q13" i="18" s="1"/>
  <c r="L82" i="16"/>
  <c r="K81" i="16"/>
  <c r="I79" i="16"/>
  <c r="R72" i="16"/>
  <c r="Q71" i="16"/>
  <c r="P70" i="16"/>
  <c r="L66" i="16"/>
  <c r="J64" i="16"/>
  <c r="H62" i="16"/>
  <c r="G61" i="16"/>
  <c r="S57" i="16"/>
  <c r="P54" i="16"/>
  <c r="Q10" i="18" s="1"/>
  <c r="J48" i="16"/>
  <c r="R40" i="16"/>
  <c r="Q39" i="16"/>
  <c r="O37" i="16"/>
  <c r="M35" i="16"/>
  <c r="L34" i="16"/>
  <c r="J32" i="16"/>
  <c r="H30" i="16"/>
  <c r="U27" i="16"/>
  <c r="T26" i="16"/>
  <c r="R24" i="16"/>
  <c r="N20" i="16"/>
  <c r="L18" i="16"/>
  <c r="J16" i="16"/>
  <c r="H14" i="16"/>
  <c r="U11" i="16"/>
  <c r="S9" i="16"/>
  <c r="R8" i="16"/>
  <c r="Q7" i="16"/>
  <c r="O5" i="16"/>
  <c r="N4" i="16"/>
  <c r="K56" i="29"/>
  <c r="N1213" i="16"/>
  <c r="M1116" i="16"/>
  <c r="Q1104" i="16"/>
  <c r="J1081" i="16"/>
  <c r="R1057" i="16"/>
  <c r="N1037" i="16"/>
  <c r="Q1024" i="16"/>
  <c r="N973" i="16"/>
  <c r="I936" i="16"/>
  <c r="Q928" i="16"/>
  <c r="G918" i="16"/>
  <c r="P911" i="16"/>
  <c r="I904" i="16"/>
  <c r="S898" i="16"/>
  <c r="R865" i="16"/>
  <c r="L859" i="16"/>
  <c r="G838" i="16"/>
  <c r="T819" i="16"/>
  <c r="M796" i="16"/>
  <c r="H775" i="16"/>
  <c r="M764" i="16"/>
  <c r="P751" i="16"/>
  <c r="G694" i="16"/>
  <c r="K682" i="16"/>
  <c r="Q672" i="16"/>
  <c r="I664" i="16"/>
  <c r="J9" i="18" s="1"/>
  <c r="R641" i="16"/>
  <c r="R625" i="16"/>
  <c r="M620" i="16"/>
  <c r="J617" i="16"/>
  <c r="I600" i="16"/>
  <c r="N557" i="16"/>
  <c r="U548" i="16"/>
  <c r="T499" i="16"/>
  <c r="K474" i="16"/>
  <c r="T467" i="16"/>
  <c r="O462" i="16"/>
  <c r="E53" i="29"/>
  <c r="H455" i="16"/>
  <c r="Q448" i="16"/>
  <c r="L443" i="16"/>
  <c r="T435" i="16"/>
  <c r="O414" i="16"/>
  <c r="N365" i="16"/>
  <c r="T355" i="16"/>
  <c r="N349" i="16"/>
  <c r="I344" i="16"/>
  <c r="J11" i="18" s="1"/>
  <c r="T323" i="16"/>
  <c r="I312" i="16"/>
  <c r="I296" i="16"/>
  <c r="I280" i="16"/>
  <c r="R273" i="16"/>
  <c r="K266" i="16"/>
  <c r="L251" i="16"/>
  <c r="I248" i="16"/>
  <c r="N221" i="16"/>
  <c r="T211" i="16"/>
  <c r="O206" i="16"/>
  <c r="K202" i="16"/>
  <c r="G182" i="16"/>
  <c r="R177" i="16"/>
  <c r="S16" i="17" s="1"/>
  <c r="H167" i="16"/>
  <c r="S162" i="16"/>
  <c r="M156" i="16"/>
  <c r="R145" i="16"/>
  <c r="J1117" i="16"/>
  <c r="P1043" i="16"/>
  <c r="U1032" i="16"/>
  <c r="K1022" i="16"/>
  <c r="P1011" i="16"/>
  <c r="K990" i="16"/>
  <c r="Q980" i="16"/>
  <c r="G970" i="16"/>
  <c r="M960" i="16"/>
  <c r="G954" i="16"/>
  <c r="L943" i="16"/>
  <c r="Q932" i="16"/>
  <c r="T919" i="16"/>
  <c r="K910" i="16"/>
  <c r="T903" i="16"/>
  <c r="O898" i="16"/>
  <c r="N881" i="16"/>
  <c r="R869" i="16"/>
  <c r="J861" i="16"/>
  <c r="P851" i="16"/>
  <c r="O834" i="16"/>
  <c r="I796" i="16"/>
  <c r="S742" i="16"/>
  <c r="T727" i="16"/>
  <c r="U696" i="16"/>
  <c r="J621" i="16"/>
  <c r="I428" i="16"/>
  <c r="P1060" i="16"/>
  <c r="G1035" i="16"/>
  <c r="N1026" i="16"/>
  <c r="H972" i="16"/>
  <c r="N962" i="16"/>
  <c r="I941" i="16"/>
  <c r="P916" i="16"/>
  <c r="R902" i="16"/>
  <c r="U841" i="16"/>
  <c r="T776" i="16"/>
  <c r="U537" i="16"/>
  <c r="O1093" i="16"/>
  <c r="R1080" i="16"/>
  <c r="O1045" i="16"/>
  <c r="U1035" i="16"/>
  <c r="J1024" i="16"/>
  <c r="O1013" i="16"/>
  <c r="N980" i="16"/>
  <c r="S969" i="16"/>
  <c r="J960" i="16"/>
  <c r="S937" i="16"/>
  <c r="I927" i="16"/>
  <c r="R792" i="16"/>
  <c r="K1234" i="16"/>
  <c r="S1114" i="16"/>
  <c r="J1105" i="16"/>
  <c r="U1100" i="16"/>
  <c r="R1097" i="16"/>
  <c r="I1088" i="16"/>
  <c r="U1084" i="16"/>
  <c r="R1081" i="16"/>
  <c r="L1075" i="16"/>
  <c r="I1072" i="16"/>
  <c r="U1068" i="16"/>
  <c r="L1043" i="16"/>
  <c r="I1040" i="16"/>
  <c r="T1035" i="16"/>
  <c r="I864" i="16"/>
  <c r="T859" i="16"/>
  <c r="P855" i="16"/>
  <c r="O854" i="16"/>
  <c r="L851" i="16"/>
  <c r="J849" i="16"/>
  <c r="G846" i="16"/>
  <c r="U844" i="16"/>
  <c r="T843" i="16"/>
  <c r="R841" i="16"/>
  <c r="P839" i="16"/>
  <c r="O838" i="16"/>
  <c r="M836" i="16"/>
  <c r="L835" i="16"/>
  <c r="K834" i="16"/>
  <c r="J833" i="16"/>
  <c r="H831" i="16"/>
  <c r="G830" i="16"/>
  <c r="U828" i="16"/>
  <c r="P823" i="16"/>
  <c r="O822" i="16"/>
  <c r="L819" i="16"/>
  <c r="T811" i="16"/>
  <c r="Q808" i="16"/>
  <c r="L45" i="29"/>
  <c r="O806" i="16"/>
  <c r="K802" i="16"/>
  <c r="G798" i="16"/>
  <c r="U796" i="16"/>
  <c r="T795" i="16"/>
  <c r="S794" i="16"/>
  <c r="Q792" i="16"/>
  <c r="O790" i="16"/>
  <c r="N789" i="16"/>
  <c r="L787" i="16"/>
  <c r="M12" i="18" s="1"/>
  <c r="K786" i="16"/>
  <c r="H783" i="16"/>
  <c r="R49" i="29"/>
  <c r="U780" i="16"/>
  <c r="S778" i="16"/>
  <c r="P775" i="16"/>
  <c r="N773" i="16"/>
  <c r="M772" i="16"/>
  <c r="K770" i="16"/>
  <c r="I768" i="16"/>
  <c r="G766" i="16"/>
  <c r="U764" i="16"/>
  <c r="T763" i="16"/>
  <c r="P759" i="16"/>
  <c r="N757" i="16"/>
  <c r="L755" i="16"/>
  <c r="H751" i="16"/>
  <c r="T747" i="16"/>
  <c r="S746" i="16"/>
  <c r="N741" i="16"/>
  <c r="P727" i="16"/>
  <c r="N725" i="16"/>
  <c r="J721" i="16"/>
  <c r="I720" i="16"/>
  <c r="R713" i="16"/>
  <c r="O710" i="16"/>
  <c r="H703" i="16"/>
  <c r="T699" i="16"/>
  <c r="S698" i="16"/>
  <c r="R697" i="16"/>
  <c r="Q696" i="16"/>
  <c r="P695" i="16"/>
  <c r="O694" i="16"/>
  <c r="L691" i="16"/>
  <c r="K690" i="16"/>
  <c r="J689" i="16"/>
  <c r="I688" i="16"/>
  <c r="G686" i="16"/>
  <c r="U684" i="16"/>
  <c r="S682" i="16"/>
  <c r="R681" i="16"/>
  <c r="P679" i="16"/>
  <c r="N677" i="16"/>
  <c r="J673" i="16"/>
  <c r="I672" i="16"/>
  <c r="H671" i="16"/>
  <c r="T667" i="16"/>
  <c r="R665" i="16"/>
  <c r="Q664" i="16"/>
  <c r="R9" i="18" s="1"/>
  <c r="P663" i="16"/>
  <c r="O662" i="16"/>
  <c r="L659" i="16"/>
  <c r="J657" i="16"/>
  <c r="G654" i="16"/>
  <c r="S650" i="16"/>
  <c r="R649" i="16"/>
  <c r="Q648" i="16"/>
  <c r="O646" i="16"/>
  <c r="N645" i="16"/>
  <c r="L643" i="16"/>
  <c r="J641" i="16"/>
  <c r="I640" i="16"/>
  <c r="H639" i="16"/>
  <c r="T635" i="16"/>
  <c r="S634" i="16"/>
  <c r="P631" i="16"/>
  <c r="O630" i="16"/>
  <c r="K626" i="16"/>
  <c r="J625" i="16"/>
  <c r="I624" i="16"/>
  <c r="G622" i="16"/>
  <c r="U620" i="16"/>
  <c r="R617" i="16"/>
  <c r="O614" i="16"/>
  <c r="N613" i="16"/>
  <c r="M612" i="16"/>
  <c r="I608" i="16"/>
  <c r="G606" i="16"/>
  <c r="U604" i="16"/>
  <c r="T603" i="16"/>
  <c r="S602" i="16"/>
  <c r="R601" i="16"/>
  <c r="Q600" i="16"/>
  <c r="M596" i="16"/>
  <c r="L595" i="16"/>
  <c r="J593" i="16"/>
  <c r="I592" i="16"/>
  <c r="H591" i="16"/>
  <c r="G590" i="16"/>
  <c r="U588" i="16"/>
  <c r="T587" i="16"/>
  <c r="R585" i="16"/>
  <c r="P583" i="16"/>
  <c r="O582" i="16"/>
  <c r="K44" i="29"/>
  <c r="N581" i="16"/>
  <c r="M580" i="16"/>
  <c r="L579" i="16"/>
  <c r="H575" i="16"/>
  <c r="U572" i="16"/>
  <c r="R569" i="16"/>
  <c r="Q568" i="16"/>
  <c r="P567" i="16"/>
  <c r="O566" i="16"/>
  <c r="N565" i="16"/>
  <c r="D50" i="29"/>
  <c r="G558" i="16"/>
  <c r="U556" i="16"/>
  <c r="O550" i="16"/>
  <c r="M548" i="16"/>
  <c r="O1102" i="16"/>
  <c r="U1092" i="16"/>
  <c r="L1083" i="16"/>
  <c r="U1076" i="16"/>
  <c r="I1032" i="16"/>
  <c r="R977" i="16"/>
  <c r="H967" i="16"/>
  <c r="G46" i="29"/>
  <c r="J953" i="16"/>
  <c r="O926" i="16"/>
  <c r="K906" i="16"/>
  <c r="J889" i="16"/>
  <c r="T835" i="16"/>
  <c r="O830" i="16"/>
  <c r="L763" i="16"/>
  <c r="T755" i="16"/>
  <c r="N749" i="16"/>
  <c r="G742" i="16"/>
  <c r="N733" i="16"/>
  <c r="H695" i="16"/>
  <c r="R689" i="16"/>
  <c r="J681" i="16"/>
  <c r="R673" i="16"/>
  <c r="J665" i="16"/>
  <c r="O654" i="16"/>
  <c r="G646" i="16"/>
  <c r="P639" i="16"/>
  <c r="L635" i="16"/>
  <c r="O622" i="16"/>
  <c r="G614" i="16"/>
  <c r="L587" i="16"/>
  <c r="N573" i="16"/>
  <c r="Q432" i="16"/>
  <c r="J425" i="16"/>
  <c r="T419" i="16"/>
  <c r="G406" i="16"/>
  <c r="G390" i="16"/>
  <c r="P383" i="16"/>
  <c r="L347" i="16"/>
  <c r="P335" i="16"/>
  <c r="G294" i="16"/>
  <c r="T275" i="16"/>
  <c r="M268" i="16"/>
  <c r="G246" i="16"/>
  <c r="G230" i="16"/>
  <c r="P207" i="16"/>
  <c r="I200" i="16"/>
  <c r="K186" i="16"/>
  <c r="G134" i="16"/>
  <c r="U4" i="16"/>
  <c r="O1122" i="16"/>
  <c r="I1116" i="16"/>
  <c r="S1110" i="16"/>
  <c r="N1105" i="16"/>
  <c r="R1093" i="16"/>
  <c r="M1088" i="16"/>
  <c r="Q1060" i="16"/>
  <c r="H1035" i="16"/>
  <c r="T967" i="16"/>
  <c r="O946" i="16"/>
  <c r="M864" i="16"/>
  <c r="S854" i="16"/>
  <c r="P835" i="16"/>
  <c r="I828" i="16"/>
  <c r="J813" i="16"/>
  <c r="U808" i="16"/>
  <c r="R773" i="16"/>
  <c r="M768" i="16"/>
  <c r="P755" i="16"/>
  <c r="H747" i="16"/>
  <c r="R741" i="16"/>
  <c r="M720" i="16"/>
  <c r="G698" i="16"/>
  <c r="O690" i="16"/>
  <c r="L671" i="16"/>
  <c r="T663" i="16"/>
  <c r="K654" i="16"/>
  <c r="H635" i="16"/>
  <c r="H603" i="16"/>
  <c r="M592" i="16"/>
  <c r="I572" i="16"/>
  <c r="I556" i="16"/>
  <c r="S502" i="16"/>
  <c r="K494" i="16"/>
  <c r="G474" i="16"/>
  <c r="R421" i="16"/>
  <c r="I52" i="29"/>
  <c r="L415" i="16"/>
  <c r="U344" i="16"/>
  <c r="V11" i="18" s="1"/>
  <c r="Q340" i="16"/>
  <c r="S326" i="16"/>
  <c r="N321" i="16"/>
  <c r="O306" i="16"/>
  <c r="U296" i="16"/>
  <c r="P291" i="16"/>
  <c r="U248" i="16"/>
  <c r="O210" i="16"/>
  <c r="H203" i="16"/>
  <c r="R197" i="16"/>
  <c r="S182" i="16"/>
  <c r="M176" i="16"/>
  <c r="U168" i="16"/>
  <c r="N161" i="16"/>
  <c r="G43" i="29"/>
  <c r="J157" i="16"/>
  <c r="O146" i="16"/>
  <c r="J141" i="16"/>
  <c r="P131" i="16"/>
  <c r="K126" i="16"/>
  <c r="T103" i="16"/>
  <c r="I76" i="16"/>
  <c r="K62" i="16"/>
  <c r="G1115" i="16"/>
  <c r="H1100" i="16"/>
  <c r="P1092" i="16"/>
  <c r="I1085" i="16"/>
  <c r="P1076" i="16"/>
  <c r="H1068" i="16"/>
  <c r="G1051" i="16"/>
  <c r="O1043" i="16"/>
  <c r="I1037" i="16"/>
  <c r="P1028" i="16"/>
  <c r="K1007" i="16"/>
  <c r="L960" i="16"/>
  <c r="S951" i="16"/>
  <c r="S935" i="16"/>
  <c r="J926" i="16"/>
  <c r="R918" i="16"/>
  <c r="J910" i="16"/>
  <c r="S903" i="16"/>
  <c r="K895" i="16"/>
  <c r="Q885" i="16"/>
  <c r="G859" i="16"/>
  <c r="J10" i="29"/>
  <c r="M849" i="16"/>
  <c r="I813" i="16"/>
  <c r="T792" i="16"/>
  <c r="L720" i="16"/>
  <c r="R710" i="16"/>
  <c r="N690" i="16"/>
  <c r="S679" i="16"/>
  <c r="K671" i="16"/>
  <c r="M641" i="16"/>
  <c r="M625" i="16"/>
  <c r="U617" i="16"/>
  <c r="L608" i="16"/>
  <c r="K591" i="16"/>
  <c r="R534" i="16"/>
  <c r="O55" i="29"/>
  <c r="R1208" i="16"/>
  <c r="G1117" i="16"/>
  <c r="K1105" i="16"/>
  <c r="R1096" i="16"/>
  <c r="M1075" i="16"/>
  <c r="S1049" i="16"/>
  <c r="R1032" i="16"/>
  <c r="P1014" i="16"/>
  <c r="H1006" i="16"/>
  <c r="O997" i="16"/>
  <c r="I943" i="16"/>
  <c r="R904" i="16"/>
  <c r="K897" i="16"/>
  <c r="Q887" i="16"/>
  <c r="P870" i="16"/>
  <c r="P854" i="16"/>
  <c r="K833" i="16"/>
  <c r="G813" i="16"/>
  <c r="O773" i="16"/>
  <c r="O757" i="16"/>
  <c r="I751" i="16"/>
  <c r="O741" i="16"/>
  <c r="P630" i="16"/>
  <c r="I54" i="29"/>
  <c r="L1203" i="16"/>
  <c r="S1162" i="16"/>
  <c r="T1115" i="16"/>
  <c r="Q1112" i="16"/>
  <c r="I1104" i="16"/>
  <c r="G1102" i="16"/>
  <c r="S1098" i="16"/>
  <c r="M1092" i="16"/>
  <c r="J1089" i="16"/>
  <c r="M1076" i="16"/>
  <c r="R1065" i="16"/>
  <c r="N1061" i="16"/>
  <c r="T1051" i="16"/>
  <c r="N1045" i="16"/>
  <c r="H1039" i="16"/>
  <c r="U1036" i="16"/>
  <c r="Q1032" i="16"/>
  <c r="O1030" i="16"/>
  <c r="N1013" i="16"/>
  <c r="M1012" i="16"/>
  <c r="L1011" i="16"/>
  <c r="I1008" i="16"/>
  <c r="H1007" i="16"/>
  <c r="S1002" i="16"/>
  <c r="O998" i="16"/>
  <c r="M996" i="16"/>
  <c r="U988" i="16"/>
  <c r="N981" i="16"/>
  <c r="J977" i="16"/>
  <c r="U972" i="16"/>
  <c r="S970" i="16"/>
  <c r="O966" i="16"/>
  <c r="J961" i="16"/>
  <c r="G958" i="16"/>
  <c r="S954" i="16"/>
  <c r="K946" i="16"/>
  <c r="I944" i="16"/>
  <c r="G942" i="16"/>
  <c r="R937" i="16"/>
  <c r="Q936" i="16"/>
  <c r="M932" i="16"/>
  <c r="L931" i="16"/>
  <c r="I928" i="16"/>
  <c r="H927" i="16"/>
  <c r="S922" i="16"/>
  <c r="R921" i="16"/>
  <c r="P919" i="16"/>
  <c r="O918" i="16"/>
  <c r="M916" i="16"/>
  <c r="I912" i="16"/>
  <c r="H911" i="16"/>
  <c r="G910" i="16"/>
  <c r="H24" i="18" s="1"/>
  <c r="S906" i="16"/>
  <c r="Q904" i="16"/>
  <c r="P903" i="16"/>
  <c r="O902" i="16"/>
  <c r="M900" i="16"/>
  <c r="L899" i="16"/>
  <c r="K898" i="16"/>
  <c r="J897" i="16"/>
  <c r="H895" i="16"/>
  <c r="G894" i="16"/>
  <c r="U892" i="16"/>
  <c r="S890" i="16"/>
  <c r="R889" i="16"/>
  <c r="P887" i="16"/>
  <c r="O886" i="16"/>
  <c r="N885" i="16"/>
  <c r="J881" i="16"/>
  <c r="I880" i="16"/>
  <c r="U876" i="16"/>
  <c r="S874" i="16"/>
  <c r="Q872" i="16"/>
  <c r="O870" i="16"/>
  <c r="N869" i="16"/>
  <c r="K866" i="16"/>
  <c r="J865" i="16"/>
  <c r="Q512" i="16"/>
  <c r="H503" i="16"/>
  <c r="O494" i="16"/>
  <c r="G486" i="16"/>
  <c r="K458" i="16"/>
  <c r="M444" i="16"/>
  <c r="M52" i="29"/>
  <c r="P415" i="16"/>
  <c r="H407" i="16"/>
  <c r="S386" i="16"/>
  <c r="J361" i="16"/>
  <c r="R337" i="16"/>
  <c r="S242" i="16"/>
  <c r="K234" i="16"/>
  <c r="K218" i="16"/>
  <c r="N205" i="16"/>
  <c r="H199" i="16"/>
  <c r="I184" i="16"/>
  <c r="Q176" i="16"/>
  <c r="K170" i="16"/>
  <c r="R161" i="16"/>
  <c r="P143" i="16"/>
  <c r="O126" i="16"/>
  <c r="G118" i="16"/>
  <c r="R113" i="16"/>
  <c r="G102" i="16"/>
  <c r="T99" i="16"/>
  <c r="I8" i="16"/>
  <c r="K1102" i="16"/>
  <c r="Q1076" i="16"/>
  <c r="N1057" i="16"/>
  <c r="I1036" i="16"/>
  <c r="K942" i="16"/>
  <c r="M928" i="16"/>
  <c r="Q916" i="16"/>
  <c r="Q836" i="16"/>
  <c r="S790" i="16"/>
  <c r="L783" i="16"/>
  <c r="J765" i="16"/>
  <c r="S710" i="16"/>
  <c r="H699" i="16"/>
  <c r="N689" i="16"/>
  <c r="T679" i="16"/>
  <c r="G650" i="16"/>
  <c r="M640" i="16"/>
  <c r="S630" i="16"/>
  <c r="K622" i="16"/>
  <c r="U600" i="16"/>
  <c r="K590" i="16"/>
  <c r="Q580" i="16"/>
  <c r="J541" i="16"/>
  <c r="K526" i="16"/>
  <c r="R517" i="16"/>
  <c r="I476" i="16"/>
  <c r="G442" i="16"/>
  <c r="R405" i="16"/>
  <c r="O386" i="16"/>
  <c r="G314" i="16"/>
  <c r="L303" i="16"/>
  <c r="O274" i="16"/>
  <c r="H267" i="16"/>
  <c r="R261" i="16"/>
  <c r="K254" i="16"/>
  <c r="S246" i="16"/>
  <c r="L239" i="16"/>
  <c r="R229" i="16"/>
  <c r="R213" i="16"/>
  <c r="J205" i="16"/>
  <c r="S198" i="16"/>
  <c r="K190" i="16"/>
  <c r="J173" i="16"/>
  <c r="O130" i="16"/>
  <c r="T119" i="16"/>
  <c r="M112" i="16"/>
  <c r="U104" i="16"/>
  <c r="L95" i="16"/>
  <c r="T7" i="16"/>
  <c r="N1234" i="16"/>
  <c r="T1112" i="16"/>
  <c r="L1104" i="16"/>
  <c r="T1096" i="16"/>
  <c r="U1081" i="16"/>
  <c r="U1065" i="16"/>
  <c r="L1040" i="16"/>
  <c r="Q1029" i="16"/>
  <c r="J1022" i="16"/>
  <c r="R1014" i="16"/>
  <c r="J1006" i="16"/>
  <c r="R998" i="16"/>
  <c r="H988" i="16"/>
  <c r="J958" i="16"/>
  <c r="K943" i="16"/>
  <c r="T936" i="16"/>
  <c r="O931" i="16"/>
  <c r="O899" i="16"/>
  <c r="U889" i="16"/>
  <c r="S839" i="16"/>
  <c r="K831" i="16"/>
  <c r="S823" i="16"/>
  <c r="H796" i="16"/>
  <c r="E49" i="29"/>
  <c r="H780" i="16"/>
  <c r="L768" i="16"/>
  <c r="H764" i="16"/>
  <c r="Q725" i="16"/>
  <c r="I717" i="16"/>
  <c r="G699" i="16"/>
  <c r="M689" i="16"/>
  <c r="Q677" i="16"/>
  <c r="M657" i="16"/>
  <c r="O643" i="16"/>
  <c r="I605" i="16"/>
  <c r="T600" i="16"/>
  <c r="P596" i="16"/>
  <c r="H588" i="16"/>
  <c r="P580" i="16"/>
  <c r="I573" i="16"/>
  <c r="J58" i="29"/>
  <c r="M1219" i="16"/>
  <c r="R1112" i="16"/>
  <c r="H1102" i="16"/>
  <c r="M1043" i="16"/>
  <c r="P1030" i="16"/>
  <c r="S1017" i="16"/>
  <c r="T1002" i="16"/>
  <c r="H990" i="16"/>
  <c r="P966" i="16"/>
  <c r="T954" i="16"/>
  <c r="G941" i="16"/>
  <c r="T922" i="16"/>
  <c r="P902" i="16"/>
  <c r="T890" i="16"/>
  <c r="Q855" i="16"/>
  <c r="P822" i="16"/>
  <c r="T794" i="16"/>
  <c r="I783" i="16"/>
  <c r="G733" i="16"/>
  <c r="J720" i="16"/>
  <c r="S697" i="16"/>
  <c r="M691" i="16"/>
  <c r="L1235" i="16"/>
  <c r="I58" i="29"/>
  <c r="L1219" i="16"/>
  <c r="N55" i="29"/>
  <c r="Q1208" i="16"/>
  <c r="R1161" i="16"/>
  <c r="K1122" i="16"/>
  <c r="U1116" i="16"/>
  <c r="Q1096" i="16"/>
  <c r="N1093" i="16"/>
  <c r="T1083" i="16"/>
  <c r="Q1080" i="16"/>
  <c r="N1077" i="16"/>
  <c r="M1060" i="16"/>
  <c r="J1057" i="16"/>
  <c r="U1052" i="16"/>
  <c r="R1049" i="16"/>
  <c r="G1038" i="16"/>
  <c r="M1028" i="16"/>
  <c r="K1026" i="16"/>
  <c r="I1024" i="16"/>
  <c r="G1022" i="16"/>
  <c r="U1020" i="16"/>
  <c r="R1017" i="16"/>
  <c r="O1014" i="16"/>
  <c r="R1001" i="16"/>
  <c r="P999" i="16"/>
  <c r="N997" i="16"/>
  <c r="G990" i="16"/>
  <c r="O982" i="16"/>
  <c r="M980" i="16"/>
  <c r="G974" i="16"/>
  <c r="R969" i="16"/>
  <c r="P967" i="16"/>
  <c r="N965" i="16"/>
  <c r="K962" i="16"/>
  <c r="I960" i="16"/>
  <c r="O46" i="29"/>
  <c r="R953" i="16"/>
  <c r="P951" i="16"/>
  <c r="N949" i="16"/>
  <c r="H943" i="16"/>
  <c r="S938" i="16"/>
  <c r="P935" i="16"/>
  <c r="T923" i="16"/>
  <c r="Q920" i="16"/>
  <c r="Q58" i="29"/>
  <c r="T1219" i="16"/>
  <c r="F55" i="29"/>
  <c r="I1208" i="16"/>
  <c r="Q1088" i="16"/>
  <c r="J1065" i="16"/>
  <c r="U980" i="16"/>
  <c r="K970" i="16"/>
  <c r="Q944" i="16"/>
  <c r="U916" i="16"/>
  <c r="P895" i="16"/>
  <c r="H887" i="16"/>
  <c r="R849" i="16"/>
  <c r="J841" i="16"/>
  <c r="S834" i="16"/>
  <c r="D45" i="29"/>
  <c r="G806" i="16"/>
  <c r="K794" i="16"/>
  <c r="N717" i="16"/>
  <c r="J697" i="16"/>
  <c r="N685" i="16"/>
  <c r="G662" i="16"/>
  <c r="I648" i="16"/>
  <c r="G630" i="16"/>
  <c r="O590" i="16"/>
  <c r="P575" i="16"/>
  <c r="L50" i="29"/>
  <c r="O558" i="16"/>
  <c r="J537" i="16"/>
  <c r="O526" i="16"/>
  <c r="N493" i="16"/>
  <c r="L475" i="16"/>
  <c r="U920" i="16"/>
  <c r="L911" i="16"/>
  <c r="Q900" i="16"/>
  <c r="K894" i="16"/>
  <c r="G890" i="16"/>
  <c r="S870" i="16"/>
  <c r="H843" i="16"/>
  <c r="N833" i="16"/>
  <c r="T823" i="16"/>
  <c r="J797" i="16"/>
  <c r="I764" i="16"/>
  <c r="J733" i="16"/>
  <c r="R725" i="16"/>
  <c r="I684" i="16"/>
  <c r="N657" i="16"/>
  <c r="R645" i="16"/>
  <c r="L639" i="16"/>
  <c r="O626" i="16"/>
  <c r="I620" i="16"/>
  <c r="Q612" i="16"/>
  <c r="K606" i="16"/>
  <c r="S582" i="16"/>
  <c r="J573" i="16"/>
  <c r="S566" i="16"/>
  <c r="S550" i="16"/>
  <c r="H523" i="16"/>
  <c r="L495" i="16"/>
  <c r="H443" i="16"/>
  <c r="O434" i="16"/>
  <c r="G426" i="16"/>
  <c r="J413" i="16"/>
  <c r="Q51" i="29"/>
  <c r="T375" i="16"/>
  <c r="H347" i="16"/>
  <c r="K318" i="16"/>
  <c r="G266" i="16"/>
  <c r="J253" i="16"/>
  <c r="R245" i="16"/>
  <c r="S230" i="16"/>
  <c r="S214" i="16"/>
  <c r="U200" i="16"/>
  <c r="G186" i="16"/>
  <c r="O162" i="16"/>
  <c r="G154" i="16"/>
  <c r="L143" i="16"/>
  <c r="H123" i="16"/>
  <c r="O1235" i="16"/>
  <c r="U1161" i="16"/>
  <c r="N1122" i="16"/>
  <c r="M1105" i="16"/>
  <c r="U1097" i="16"/>
  <c r="M1089" i="16"/>
  <c r="M1057" i="16"/>
  <c r="U1049" i="16"/>
  <c r="I1021" i="16"/>
  <c r="P1012" i="16"/>
  <c r="R982" i="16"/>
  <c r="P932" i="16"/>
  <c r="G923" i="16"/>
  <c r="L912" i="16"/>
  <c r="P900" i="16"/>
  <c r="L864" i="16"/>
  <c r="R854" i="16"/>
  <c r="O835" i="16"/>
  <c r="O45" i="29"/>
  <c r="R806" i="16"/>
  <c r="J798" i="16"/>
  <c r="S775" i="16"/>
  <c r="J766" i="16"/>
  <c r="S759" i="16"/>
  <c r="S695" i="16"/>
  <c r="J686" i="16"/>
  <c r="L672" i="16"/>
  <c r="S663" i="16"/>
  <c r="J654" i="16"/>
  <c r="R630" i="16"/>
  <c r="N626" i="16"/>
  <c r="I621" i="16"/>
  <c r="R614" i="16"/>
  <c r="J606" i="16"/>
  <c r="U601" i="16"/>
  <c r="G587" i="16"/>
  <c r="S583" i="16"/>
  <c r="O579" i="16"/>
  <c r="H572" i="16"/>
  <c r="Q565" i="16"/>
  <c r="P532" i="16"/>
  <c r="G1085" i="16"/>
  <c r="O1077" i="16"/>
  <c r="N1060" i="16"/>
  <c r="G1053" i="16"/>
  <c r="J1040" i="16"/>
  <c r="N1028" i="16"/>
  <c r="L962" i="16"/>
  <c r="L946" i="16"/>
  <c r="Q935" i="16"/>
  <c r="J928" i="16"/>
  <c r="P918" i="16"/>
  <c r="I911" i="16"/>
  <c r="Q903" i="16"/>
  <c r="I895" i="16"/>
  <c r="K881" i="16"/>
  <c r="R872" i="16"/>
  <c r="L866" i="16"/>
  <c r="U859" i="16"/>
  <c r="M851" i="16"/>
  <c r="U843" i="16"/>
  <c r="N836" i="16"/>
  <c r="L770" i="16"/>
  <c r="U763" i="16"/>
  <c r="G749" i="16"/>
  <c r="K721" i="16"/>
  <c r="U699" i="16"/>
  <c r="T634" i="16"/>
  <c r="Q54" i="29"/>
  <c r="T1203" i="16"/>
  <c r="K1162" i="16"/>
  <c r="M1052" i="16"/>
  <c r="Q1040" i="16"/>
  <c r="G1030" i="16"/>
  <c r="K1002" i="16"/>
  <c r="G982" i="16"/>
  <c r="N957" i="16"/>
  <c r="L923" i="16"/>
  <c r="Q864" i="16"/>
  <c r="H855" i="16"/>
  <c r="M844" i="16"/>
  <c r="P831" i="16"/>
  <c r="S802" i="16"/>
  <c r="T787" i="16"/>
  <c r="U12" i="18" s="1"/>
  <c r="I776" i="16"/>
  <c r="Q720" i="16"/>
  <c r="Q532" i="16"/>
  <c r="P499" i="16"/>
  <c r="M448" i="16"/>
  <c r="S390" i="16"/>
  <c r="T359" i="16"/>
  <c r="U328" i="16"/>
  <c r="O258" i="16"/>
  <c r="H251" i="16"/>
  <c r="O242" i="16"/>
  <c r="T199" i="16"/>
  <c r="M192" i="16"/>
  <c r="T183" i="16"/>
  <c r="T151" i="16"/>
  <c r="L111" i="16"/>
  <c r="N81" i="16"/>
  <c r="U72" i="16"/>
  <c r="M64" i="16"/>
  <c r="T39" i="16"/>
  <c r="M32" i="16"/>
  <c r="H27" i="16"/>
  <c r="Q20" i="16"/>
  <c r="Q4" i="16"/>
  <c r="Q55" i="29"/>
  <c r="T1208" i="16"/>
  <c r="T1080" i="16"/>
  <c r="I1053" i="16"/>
  <c r="K1039" i="16"/>
  <c r="L1024" i="16"/>
  <c r="O1011" i="16"/>
  <c r="J990" i="16"/>
  <c r="P980" i="16"/>
  <c r="I973" i="16"/>
  <c r="S919" i="16"/>
  <c r="J894" i="16"/>
  <c r="M881" i="16"/>
  <c r="R870" i="16"/>
  <c r="H844" i="16"/>
  <c r="M833" i="16"/>
  <c r="G811" i="16"/>
  <c r="Q789" i="16"/>
  <c r="N770" i="16"/>
  <c r="S727" i="16"/>
  <c r="U697" i="16"/>
  <c r="M673" i="16"/>
  <c r="R662" i="16"/>
  <c r="T648" i="16"/>
  <c r="J590" i="16"/>
  <c r="S1097" i="16"/>
  <c r="K1089" i="16"/>
  <c r="S1081" i="16"/>
  <c r="U1051" i="16"/>
  <c r="H1022" i="16"/>
  <c r="M1011" i="16"/>
  <c r="H974" i="16"/>
  <c r="O965" i="16"/>
  <c r="G957" i="16"/>
  <c r="J944" i="16"/>
  <c r="H926" i="16"/>
  <c r="J880" i="16"/>
  <c r="G861" i="16"/>
  <c r="S841" i="16"/>
  <c r="L834" i="16"/>
  <c r="L802" i="16"/>
  <c r="U795" i="16"/>
  <c r="L786" i="16"/>
  <c r="Q775" i="16"/>
  <c r="J768" i="16"/>
  <c r="T746" i="16"/>
  <c r="S713" i="16"/>
  <c r="R1105" i="16"/>
  <c r="O1234" i="16"/>
  <c r="G56" i="29"/>
  <c r="J1213" i="16"/>
  <c r="H1115" i="16"/>
  <c r="U1080" i="16"/>
  <c r="M1072" i="16"/>
  <c r="R1061" i="16"/>
  <c r="I1052" i="16"/>
  <c r="O1026" i="16"/>
  <c r="M1008" i="16"/>
  <c r="R997" i="16"/>
  <c r="N977" i="16"/>
  <c r="U904" i="16"/>
  <c r="L895" i="16"/>
  <c r="T887" i="16"/>
  <c r="T839" i="16"/>
  <c r="P45" i="29"/>
  <c r="S806" i="16"/>
  <c r="K798" i="16"/>
  <c r="O786" i="16"/>
  <c r="T775" i="16"/>
  <c r="K766" i="16"/>
  <c r="P691" i="16"/>
  <c r="J685" i="16"/>
  <c r="J653" i="16"/>
  <c r="S614" i="16"/>
  <c r="J605" i="16"/>
  <c r="L591" i="16"/>
  <c r="T583" i="16"/>
  <c r="U568" i="16"/>
  <c r="J557" i="16"/>
  <c r="M512" i="16"/>
  <c r="J493" i="16"/>
  <c r="M480" i="16"/>
  <c r="S470" i="16"/>
  <c r="U440" i="16"/>
  <c r="S374" i="16"/>
  <c r="L367" i="16"/>
  <c r="R357" i="16"/>
  <c r="L351" i="16"/>
  <c r="T343" i="16"/>
  <c r="H331" i="16"/>
  <c r="R325" i="16"/>
  <c r="L319" i="16"/>
  <c r="T311" i="16"/>
  <c r="M304" i="16"/>
  <c r="S294" i="16"/>
  <c r="U264" i="16"/>
  <c r="K174" i="16"/>
  <c r="P147" i="16"/>
  <c r="L127" i="16"/>
  <c r="U120" i="16"/>
  <c r="P115" i="16"/>
  <c r="S86" i="16"/>
  <c r="T13" i="18" s="1"/>
  <c r="S70" i="16"/>
  <c r="N65" i="16"/>
  <c r="S54" i="16"/>
  <c r="T10" i="18" s="1"/>
  <c r="M48" i="16"/>
  <c r="U40" i="16"/>
  <c r="O34" i="16"/>
  <c r="L54" i="29"/>
  <c r="O1203" i="16"/>
  <c r="H1084" i="16"/>
  <c r="L1072" i="16"/>
  <c r="Q1061" i="16"/>
  <c r="H1052" i="16"/>
  <c r="Q1013" i="16"/>
  <c r="U1001" i="16"/>
  <c r="Q981" i="16"/>
  <c r="J974" i="16"/>
  <c r="R966" i="16"/>
  <c r="M961" i="16"/>
  <c r="J942" i="16"/>
  <c r="L928" i="16"/>
  <c r="T920" i="16"/>
  <c r="T904" i="16"/>
  <c r="L880" i="16"/>
  <c r="T872" i="16"/>
  <c r="M865" i="16"/>
  <c r="S855" i="16"/>
  <c r="J846" i="16"/>
  <c r="R838" i="16"/>
  <c r="J830" i="16"/>
  <c r="N786" i="16"/>
  <c r="I749" i="16"/>
  <c r="Q741" i="16"/>
  <c r="I733" i="16"/>
  <c r="I685" i="16"/>
  <c r="U665" i="16"/>
  <c r="G635" i="16"/>
  <c r="J622" i="16"/>
  <c r="Q613" i="16"/>
  <c r="O595" i="16"/>
  <c r="L1234" i="16"/>
  <c r="P1110" i="16"/>
  <c r="G1021" i="16"/>
  <c r="J1008" i="16"/>
  <c r="Q999" i="16"/>
  <c r="K977" i="16"/>
  <c r="G973" i="16"/>
  <c r="Q967" i="16"/>
  <c r="P46" i="29"/>
  <c r="S953" i="16"/>
  <c r="O949" i="16"/>
  <c r="T938" i="16"/>
  <c r="S921" i="16"/>
  <c r="N916" i="16"/>
  <c r="H910" i="16"/>
  <c r="H894" i="16"/>
  <c r="O869" i="16"/>
  <c r="J864" i="16"/>
  <c r="H846" i="16"/>
  <c r="Q839" i="16"/>
  <c r="M835" i="16"/>
  <c r="I831" i="16"/>
  <c r="M819" i="16"/>
  <c r="H798" i="16"/>
  <c r="O789" i="16"/>
  <c r="N772" i="16"/>
  <c r="M755" i="16"/>
  <c r="U747" i="16"/>
  <c r="G717" i="16"/>
  <c r="G1235" i="16"/>
  <c r="D58" i="29"/>
  <c r="G1219" i="16"/>
  <c r="N56" i="29"/>
  <c r="Q1213" i="16"/>
  <c r="D54" i="29"/>
  <c r="G1203" i="16"/>
  <c r="M1161" i="16"/>
  <c r="Q1117" i="16"/>
  <c r="P1116" i="16"/>
  <c r="O1115" i="16"/>
  <c r="N1114" i="16"/>
  <c r="L1112" i="16"/>
  <c r="J1110" i="16"/>
  <c r="U1105" i="16"/>
  <c r="T1104" i="16"/>
  <c r="R1102" i="16"/>
  <c r="P1100" i="16"/>
  <c r="N1098" i="16"/>
  <c r="M1097" i="16"/>
  <c r="I1093" i="16"/>
  <c r="H1092" i="16"/>
  <c r="U1089" i="16"/>
  <c r="T1088" i="16"/>
  <c r="P1084" i="16"/>
  <c r="O1083" i="16"/>
  <c r="M1081" i="16"/>
  <c r="L1080" i="16"/>
  <c r="I1077" i="16"/>
  <c r="H1076" i="16"/>
  <c r="G1075" i="16"/>
  <c r="T1072" i="16"/>
  <c r="P1068" i="16"/>
  <c r="M1065" i="16"/>
  <c r="I1061" i="16"/>
  <c r="H1060" i="16"/>
  <c r="U1057" i="16"/>
  <c r="Q1053" i="16"/>
  <c r="P1052" i="16"/>
  <c r="O1051" i="16"/>
  <c r="M1049" i="16"/>
  <c r="I1045" i="16"/>
  <c r="G1043" i="16"/>
  <c r="T1040" i="16"/>
  <c r="S1039" i="16"/>
  <c r="R1038" i="16"/>
  <c r="Q1037" i="16"/>
  <c r="P1036" i="16"/>
  <c r="O1035" i="16"/>
  <c r="L1032" i="16"/>
  <c r="J1030" i="16"/>
  <c r="I1029" i="16"/>
  <c r="H1028" i="16"/>
  <c r="T1024" i="16"/>
  <c r="R1022" i="16"/>
  <c r="Q1021" i="16"/>
  <c r="P1020" i="16"/>
  <c r="M1017" i="16"/>
  <c r="L1016" i="16"/>
  <c r="J1014" i="16"/>
  <c r="I1013" i="16"/>
  <c r="H1012" i="16"/>
  <c r="G1011" i="16"/>
  <c r="T1008" i="16"/>
  <c r="R1006" i="16"/>
  <c r="N1002" i="16"/>
  <c r="M1001" i="16"/>
  <c r="K999" i="16"/>
  <c r="J998" i="16"/>
  <c r="I997" i="16"/>
  <c r="H996" i="16"/>
  <c r="R990" i="16"/>
  <c r="Q989" i="16"/>
  <c r="P988" i="16"/>
  <c r="J982" i="16"/>
  <c r="I981" i="16"/>
  <c r="H980" i="16"/>
  <c r="U977" i="16"/>
  <c r="R974" i="16"/>
  <c r="Q973" i="16"/>
  <c r="P972" i="16"/>
  <c r="N970" i="16"/>
  <c r="M969" i="16"/>
  <c r="J966" i="16"/>
  <c r="I965" i="16"/>
  <c r="U961" i="16"/>
  <c r="R958" i="16"/>
  <c r="Q957" i="16"/>
  <c r="N954" i="16"/>
  <c r="J46" i="29"/>
  <c r="M953" i="16"/>
  <c r="K951" i="16"/>
  <c r="I949" i="16"/>
  <c r="T944" i="16"/>
  <c r="S943" i="16"/>
  <c r="R942" i="16"/>
  <c r="N938" i="16"/>
  <c r="M937" i="16"/>
  <c r="L936" i="16"/>
  <c r="K935" i="16"/>
  <c r="H932" i="16"/>
  <c r="G931" i="16"/>
  <c r="T928" i="16"/>
  <c r="S927" i="16"/>
  <c r="R926" i="16"/>
  <c r="O923" i="16"/>
  <c r="N922" i="16"/>
  <c r="M921" i="16"/>
  <c r="L920" i="16"/>
  <c r="K919" i="16"/>
  <c r="J918" i="16"/>
  <c r="H916" i="16"/>
  <c r="T912" i="16"/>
  <c r="P23" i="29"/>
  <c r="S911" i="16"/>
  <c r="R910" i="16"/>
  <c r="N906" i="16"/>
  <c r="L904" i="16"/>
  <c r="K903" i="16"/>
  <c r="J902" i="16"/>
  <c r="H900" i="16"/>
  <c r="G899" i="16"/>
  <c r="U897" i="16"/>
  <c r="S895" i="16"/>
  <c r="R894" i="16"/>
  <c r="P892" i="16"/>
  <c r="N890" i="16"/>
  <c r="M889" i="16"/>
  <c r="K887" i="16"/>
  <c r="J886" i="16"/>
  <c r="I885" i="16"/>
  <c r="U881" i="16"/>
  <c r="T880" i="16"/>
  <c r="P876" i="16"/>
  <c r="N874" i="16"/>
  <c r="L872" i="16"/>
  <c r="J870" i="16"/>
  <c r="I869" i="16"/>
  <c r="U865" i="16"/>
  <c r="T864" i="16"/>
  <c r="O859" i="16"/>
  <c r="K855" i="16"/>
  <c r="J854" i="16"/>
  <c r="G851" i="16"/>
  <c r="U849" i="16"/>
  <c r="R846" i="16"/>
  <c r="P844" i="16"/>
  <c r="O843" i="16"/>
  <c r="K839" i="16"/>
  <c r="H836" i="16"/>
  <c r="G835" i="16"/>
  <c r="U833" i="16"/>
  <c r="S831" i="16"/>
  <c r="R830" i="16"/>
  <c r="P828" i="16"/>
  <c r="K823" i="16"/>
  <c r="J822" i="16"/>
  <c r="Q813" i="16"/>
  <c r="O811" i="16"/>
  <c r="L808" i="16"/>
  <c r="G45" i="29"/>
  <c r="J806" i="16"/>
  <c r="R798" i="16"/>
  <c r="Q797" i="16"/>
  <c r="O795" i="16"/>
  <c r="N794" i="16"/>
  <c r="L792" i="16"/>
  <c r="J790" i="16"/>
  <c r="I789" i="16"/>
  <c r="G787" i="16"/>
  <c r="H12" i="18" s="1"/>
  <c r="S783" i="16"/>
  <c r="M49" i="29"/>
  <c r="P780" i="16"/>
  <c r="N778" i="16"/>
  <c r="L776" i="16"/>
  <c r="K775" i="16"/>
  <c r="H772" i="16"/>
  <c r="R766" i="16"/>
  <c r="Q765" i="16"/>
  <c r="P764" i="16"/>
  <c r="O763" i="16"/>
  <c r="K759" i="16"/>
  <c r="I757" i="16"/>
  <c r="G755" i="16"/>
  <c r="S751" i="16"/>
  <c r="Q749" i="16"/>
  <c r="O747" i="16"/>
  <c r="N746" i="16"/>
  <c r="J742" i="16"/>
  <c r="I741" i="16"/>
  <c r="Q733" i="16"/>
  <c r="K727" i="16"/>
  <c r="I725" i="16"/>
  <c r="U721" i="16"/>
  <c r="T720" i="16"/>
  <c r="Q717" i="16"/>
  <c r="M713" i="16"/>
  <c r="J710" i="16"/>
  <c r="S703" i="16"/>
  <c r="O699" i="16"/>
  <c r="N698" i="16"/>
  <c r="M697" i="16"/>
  <c r="L696" i="16"/>
  <c r="K695" i="16"/>
  <c r="J694" i="16"/>
  <c r="G691" i="16"/>
  <c r="U689" i="16"/>
  <c r="T688" i="16"/>
  <c r="R686" i="16"/>
  <c r="Q685" i="16"/>
  <c r="P684" i="16"/>
  <c r="N682" i="16"/>
  <c r="M681" i="16"/>
  <c r="K679" i="16"/>
  <c r="I677" i="16"/>
  <c r="U673" i="16"/>
  <c r="T672" i="16"/>
  <c r="S671" i="16"/>
  <c r="R670" i="16"/>
  <c r="O667" i="16"/>
  <c r="M665" i="16"/>
  <c r="K663" i="16"/>
  <c r="J662" i="16"/>
  <c r="G659" i="16"/>
  <c r="U657" i="16"/>
  <c r="R654" i="16"/>
  <c r="N650" i="16"/>
  <c r="M649" i="16"/>
  <c r="L648" i="16"/>
  <c r="J646" i="16"/>
  <c r="I645" i="16"/>
  <c r="G643" i="16"/>
  <c r="U641" i="16"/>
  <c r="T640" i="16"/>
  <c r="S639" i="16"/>
  <c r="O635" i="16"/>
  <c r="N634" i="16"/>
  <c r="H48" i="29"/>
  <c r="K631" i="16"/>
  <c r="J630" i="16"/>
  <c r="U625" i="16"/>
  <c r="T624" i="16"/>
  <c r="R622" i="16"/>
  <c r="Q621" i="16"/>
  <c r="P620" i="16"/>
  <c r="M617" i="16"/>
  <c r="J614" i="16"/>
  <c r="H612" i="16"/>
  <c r="T608" i="16"/>
  <c r="R606" i="16"/>
  <c r="Q605" i="16"/>
  <c r="P604" i="16"/>
  <c r="O603" i="16"/>
  <c r="N602" i="16"/>
  <c r="M601" i="16"/>
  <c r="L600" i="16"/>
  <c r="H596" i="16"/>
  <c r="G595" i="16"/>
  <c r="U593" i="16"/>
  <c r="T592" i="16"/>
  <c r="S591" i="16"/>
  <c r="R590" i="16"/>
  <c r="P588" i="16"/>
  <c r="O587" i="16"/>
  <c r="M585" i="16"/>
  <c r="J582" i="16"/>
  <c r="F44" i="29"/>
  <c r="I581" i="16"/>
  <c r="T1235" i="16"/>
  <c r="J1161" i="16"/>
  <c r="K1114" i="16"/>
  <c r="G1110" i="16"/>
  <c r="M1100" i="16"/>
  <c r="I1096" i="16"/>
  <c r="R1089" i="16"/>
  <c r="T1075" i="16"/>
  <c r="M1068" i="16"/>
  <c r="U1060" i="16"/>
  <c r="P1039" i="16"/>
  <c r="O1022" i="16"/>
  <c r="J1017" i="16"/>
  <c r="U1012" i="16"/>
  <c r="P1007" i="16"/>
  <c r="O990" i="16"/>
  <c r="M972" i="16"/>
  <c r="J969" i="16"/>
  <c r="S962" i="16"/>
  <c r="O958" i="16"/>
  <c r="S946" i="16"/>
  <c r="N941" i="16"/>
  <c r="J937" i="16"/>
  <c r="H919" i="16"/>
  <c r="H903" i="16"/>
  <c r="R897" i="16"/>
  <c r="K874" i="16"/>
  <c r="N861" i="16"/>
  <c r="G854" i="16"/>
  <c r="L843" i="16"/>
  <c r="H839" i="16"/>
  <c r="R833" i="16"/>
  <c r="N813" i="16"/>
  <c r="I808" i="16"/>
  <c r="O798" i="16"/>
  <c r="I792" i="16"/>
  <c r="S786" i="16"/>
  <c r="J49" i="29"/>
  <c r="M780" i="16"/>
  <c r="U772" i="16"/>
  <c r="L747" i="16"/>
  <c r="H727" i="16"/>
  <c r="J713" i="16"/>
  <c r="K698" i="16"/>
  <c r="S690" i="16"/>
  <c r="P671" i="16"/>
  <c r="R657" i="16"/>
  <c r="Q640" i="16"/>
  <c r="Q624" i="16"/>
  <c r="U612" i="16"/>
  <c r="O606" i="16"/>
  <c r="L603" i="16"/>
  <c r="J601" i="16"/>
  <c r="R593" i="16"/>
  <c r="M588" i="16"/>
  <c r="H583" i="16"/>
  <c r="J569" i="16"/>
  <c r="G550" i="16"/>
  <c r="U532" i="16"/>
  <c r="K522" i="16"/>
  <c r="G502" i="16"/>
  <c r="N413" i="16"/>
  <c r="E51" i="29"/>
  <c r="H375" i="16"/>
  <c r="H359" i="16"/>
  <c r="H343" i="16"/>
  <c r="O334" i="16"/>
  <c r="I328" i="16"/>
  <c r="R321" i="16"/>
  <c r="K314" i="16"/>
  <c r="S306" i="16"/>
  <c r="M300" i="16"/>
  <c r="T291" i="16"/>
  <c r="J281" i="16"/>
  <c r="N253" i="16"/>
  <c r="L203" i="16"/>
  <c r="N173" i="16"/>
  <c r="K154" i="16"/>
  <c r="T147" i="16"/>
  <c r="N141" i="16"/>
  <c r="R129" i="16"/>
  <c r="N125" i="16"/>
  <c r="I120" i="16"/>
  <c r="P111" i="16"/>
  <c r="H103" i="16"/>
  <c r="S98" i="16"/>
  <c r="G86" i="16"/>
  <c r="H13" i="18" s="1"/>
  <c r="M76" i="16"/>
  <c r="H7" i="16"/>
  <c r="G1114" i="16"/>
  <c r="I1100" i="16"/>
  <c r="Q1092" i="16"/>
  <c r="I1068" i="16"/>
  <c r="S1030" i="16"/>
  <c r="U1016" i="16"/>
  <c r="G1002" i="16"/>
  <c r="S982" i="16"/>
  <c r="I972" i="16"/>
  <c r="O962" i="16"/>
  <c r="R949" i="16"/>
  <c r="T935" i="16"/>
  <c r="G922" i="16"/>
  <c r="N897" i="16"/>
  <c r="H859" i="16"/>
  <c r="K846" i="16"/>
  <c r="G794" i="16"/>
  <c r="Q772" i="16"/>
  <c r="R677" i="16"/>
  <c r="J57" i="29"/>
  <c r="M624" i="16"/>
  <c r="P579" i="16"/>
  <c r="H50" i="29"/>
  <c r="K558" i="16"/>
  <c r="R37" i="16"/>
  <c r="M1235" i="16"/>
  <c r="D56" i="29"/>
  <c r="G1213" i="16"/>
  <c r="J1072" i="16"/>
  <c r="G1037" i="16"/>
  <c r="N1012" i="16"/>
  <c r="S1001" i="16"/>
  <c r="T970" i="16"/>
  <c r="K961" i="16"/>
  <c r="M931" i="16"/>
  <c r="Q919" i="16"/>
  <c r="L898" i="16"/>
  <c r="O885" i="16"/>
  <c r="T874" i="16"/>
  <c r="K849" i="16"/>
  <c r="P838" i="16"/>
  <c r="M45" i="29"/>
  <c r="P806" i="16"/>
  <c r="G797" i="16"/>
  <c r="M787" i="16"/>
  <c r="N12" i="18" s="1"/>
  <c r="R776" i="16"/>
  <c r="O725" i="16"/>
  <c r="I703" i="16"/>
  <c r="T698" i="16"/>
  <c r="P694" i="16"/>
  <c r="L690" i="16"/>
  <c r="U1234" i="16"/>
  <c r="M56" i="29"/>
  <c r="P1213" i="16"/>
  <c r="H55" i="29"/>
  <c r="K1208" i="16"/>
  <c r="M1162" i="16"/>
  <c r="L1161" i="16"/>
  <c r="U1122" i="16"/>
  <c r="O1116" i="16"/>
  <c r="N1115" i="16"/>
  <c r="M1114" i="16"/>
  <c r="K1112" i="16"/>
  <c r="I1110" i="16"/>
  <c r="T1105" i="16"/>
  <c r="S1104" i="16"/>
  <c r="Q1102" i="16"/>
  <c r="M1098" i="16"/>
  <c r="L1097" i="16"/>
  <c r="K1096" i="16"/>
  <c r="H1093" i="16"/>
  <c r="G1092" i="16"/>
  <c r="T1089" i="16"/>
  <c r="S1088" i="16"/>
  <c r="P1085" i="16"/>
  <c r="O1084" i="16"/>
  <c r="N1083" i="16"/>
  <c r="L1081" i="16"/>
  <c r="K1080" i="16"/>
  <c r="H1077" i="16"/>
  <c r="G1076" i="16"/>
  <c r="S1072" i="16"/>
  <c r="L1065" i="16"/>
  <c r="H1061" i="16"/>
  <c r="G1060" i="16"/>
  <c r="T1057" i="16"/>
  <c r="P1053" i="16"/>
  <c r="O1052" i="16"/>
  <c r="N1051" i="16"/>
  <c r="L1049" i="16"/>
  <c r="H1045" i="16"/>
  <c r="S1040" i="16"/>
  <c r="R1039" i="16"/>
  <c r="Q1038" i="16"/>
  <c r="O1036" i="16"/>
  <c r="N1035" i="16"/>
  <c r="K1032" i="16"/>
  <c r="I1030" i="16"/>
  <c r="H1029" i="16"/>
  <c r="G1028" i="16"/>
  <c r="U1026" i="16"/>
  <c r="S1024" i="16"/>
  <c r="Q1022" i="16"/>
  <c r="P1021" i="16"/>
  <c r="O1020" i="16"/>
  <c r="L1017" i="16"/>
  <c r="K1016" i="16"/>
  <c r="I1014" i="16"/>
  <c r="H1013" i="16"/>
  <c r="G1012" i="16"/>
  <c r="S1008" i="16"/>
  <c r="R1007" i="16"/>
  <c r="Q1006" i="16"/>
  <c r="M828" i="16"/>
  <c r="J1085" i="16"/>
  <c r="R1077" i="16"/>
  <c r="M1040" i="16"/>
  <c r="J1021" i="16"/>
  <c r="Q1012" i="16"/>
  <c r="Q996" i="16"/>
  <c r="J989" i="16"/>
  <c r="S966" i="16"/>
  <c r="N961" i="16"/>
  <c r="T951" i="16"/>
  <c r="M944" i="16"/>
  <c r="J941" i="16"/>
  <c r="U936" i="16"/>
  <c r="P931" i="16"/>
  <c r="K926" i="16"/>
  <c r="H923" i="16"/>
  <c r="S918" i="16"/>
  <c r="M912" i="16"/>
  <c r="P899" i="16"/>
  <c r="I892" i="16"/>
  <c r="R885" i="16"/>
  <c r="M880" i="16"/>
  <c r="U872" i="16"/>
  <c r="I844" i="16"/>
  <c r="L831" i="16"/>
  <c r="S822" i="16"/>
  <c r="H811" i="16"/>
  <c r="O802" i="16"/>
  <c r="H795" i="16"/>
  <c r="R789" i="16"/>
  <c r="F49" i="29"/>
  <c r="I780" i="16"/>
  <c r="O770" i="16"/>
  <c r="R757" i="16"/>
  <c r="L703" i="16"/>
  <c r="N673" i="16"/>
  <c r="U664" i="16"/>
  <c r="V9" i="18" s="1"/>
  <c r="U648" i="16"/>
  <c r="T631" i="16"/>
  <c r="N625" i="16"/>
  <c r="R613" i="16"/>
  <c r="M608" i="16"/>
  <c r="G602" i="16"/>
  <c r="P595" i="16"/>
  <c r="I588" i="16"/>
  <c r="O44" i="29"/>
  <c r="R581" i="16"/>
  <c r="K574" i="16"/>
  <c r="T567" i="16"/>
  <c r="Q548" i="16"/>
  <c r="M528" i="16"/>
  <c r="N13" i="17" s="1"/>
  <c r="G522" i="16"/>
  <c r="P515" i="16"/>
  <c r="H507" i="16"/>
  <c r="P483" i="16"/>
  <c r="H475" i="16"/>
  <c r="G458" i="16"/>
  <c r="Q452" i="16"/>
  <c r="P435" i="16"/>
  <c r="M432" i="16"/>
  <c r="P419" i="16"/>
  <c r="S406" i="16"/>
  <c r="I396" i="16"/>
  <c r="R373" i="16"/>
  <c r="J365" i="16"/>
  <c r="Q356" i="16"/>
  <c r="P323" i="16"/>
  <c r="P307" i="16"/>
  <c r="I300" i="16"/>
  <c r="G282" i="16"/>
  <c r="P275" i="16"/>
  <c r="I268" i="16"/>
  <c r="P259" i="16"/>
  <c r="T231" i="16"/>
  <c r="O226" i="16"/>
  <c r="L207" i="16"/>
  <c r="U184" i="16"/>
  <c r="N177" i="16"/>
  <c r="G170" i="16"/>
  <c r="M160" i="16"/>
  <c r="M144" i="16"/>
  <c r="S134" i="16"/>
  <c r="Q116" i="16"/>
  <c r="P99" i="16"/>
  <c r="H91" i="16"/>
  <c r="T71" i="16"/>
  <c r="J61" i="16"/>
  <c r="K30" i="16"/>
  <c r="U8" i="16"/>
  <c r="L58" i="29"/>
  <c r="O1219" i="16"/>
  <c r="H1116" i="16"/>
  <c r="G1083" i="16"/>
  <c r="J1038" i="16"/>
  <c r="R1030" i="16"/>
  <c r="T1016" i="16"/>
  <c r="L1008" i="16"/>
  <c r="S999" i="16"/>
  <c r="U937" i="16"/>
  <c r="M897" i="16"/>
  <c r="H892" i="16"/>
  <c r="Q869" i="16"/>
  <c r="I861" i="16"/>
  <c r="O851" i="16"/>
  <c r="G843" i="16"/>
  <c r="N834" i="16"/>
  <c r="O819" i="16"/>
  <c r="T808" i="16"/>
  <c r="N802" i="16"/>
  <c r="I797" i="16"/>
  <c r="R790" i="16"/>
  <c r="K783" i="16"/>
  <c r="Q773" i="16"/>
  <c r="O755" i="16"/>
  <c r="M721" i="16"/>
  <c r="R694" i="16"/>
  <c r="H684" i="16"/>
  <c r="T664" i="16"/>
  <c r="U9" i="18" s="1"/>
  <c r="R646" i="16"/>
  <c r="L592" i="16"/>
  <c r="U585" i="16"/>
  <c r="N44" i="29"/>
  <c r="Q581" i="16"/>
  <c r="J574" i="16"/>
  <c r="U569" i="16"/>
  <c r="T1162" i="16"/>
  <c r="N1092" i="16"/>
  <c r="U1083" i="16"/>
  <c r="N1076" i="16"/>
  <c r="S1065" i="16"/>
  <c r="K1057" i="16"/>
  <c r="H1038" i="16"/>
  <c r="R1016" i="16"/>
  <c r="I1007" i="16"/>
  <c r="G989" i="16"/>
  <c r="O981" i="16"/>
  <c r="H958" i="16"/>
  <c r="R936" i="16"/>
  <c r="R920" i="16"/>
  <c r="T906" i="16"/>
  <c r="M899" i="16"/>
  <c r="K865" i="16"/>
  <c r="U811" i="16"/>
  <c r="Q759" i="16"/>
  <c r="P742" i="16"/>
  <c r="R696" i="16"/>
  <c r="J640" i="16"/>
  <c r="U1235" i="16"/>
  <c r="T1234" i="16"/>
  <c r="R58" i="29"/>
  <c r="U1219" i="16"/>
  <c r="L56" i="29"/>
  <c r="O1213" i="16"/>
  <c r="G55" i="29"/>
  <c r="J1208" i="16"/>
  <c r="R54" i="29"/>
  <c r="U1203" i="16"/>
  <c r="L1162" i="16"/>
  <c r="K1161" i="16"/>
  <c r="T1122" i="16"/>
  <c r="O1117" i="16"/>
  <c r="N1116" i="16"/>
  <c r="M1115" i="16"/>
  <c r="L1114" i="16"/>
  <c r="J1112" i="16"/>
  <c r="H1110" i="16"/>
  <c r="S1105" i="16"/>
  <c r="R1104" i="16"/>
  <c r="S1234" i="16"/>
  <c r="L1115" i="16"/>
  <c r="K1098" i="16"/>
  <c r="N1085" i="16"/>
  <c r="I1080" i="16"/>
  <c r="J1049" i="16"/>
  <c r="O1038" i="16"/>
  <c r="N1021" i="16"/>
  <c r="I1016" i="16"/>
  <c r="T1011" i="16"/>
  <c r="O1006" i="16"/>
  <c r="J1001" i="16"/>
  <c r="N989" i="16"/>
  <c r="G966" i="16"/>
  <c r="Q960" i="16"/>
  <c r="K954" i="16"/>
  <c r="O942" i="16"/>
  <c r="K938" i="16"/>
  <c r="U932" i="16"/>
  <c r="P927" i="16"/>
  <c r="J921" i="16"/>
  <c r="G902" i="16"/>
  <c r="H22" i="18" s="1"/>
  <c r="M892" i="16"/>
  <c r="G886" i="16"/>
  <c r="I872" i="16"/>
  <c r="S866" i="16"/>
  <c r="O846" i="16"/>
  <c r="H823" i="16"/>
  <c r="N797" i="16"/>
  <c r="G790" i="16"/>
  <c r="N765" i="16"/>
  <c r="H759" i="16"/>
  <c r="P703" i="16"/>
  <c r="T691" i="16"/>
  <c r="M684" i="16"/>
  <c r="O670" i="16"/>
  <c r="L667" i="16"/>
  <c r="T659" i="16"/>
  <c r="N653" i="16"/>
  <c r="K650" i="16"/>
  <c r="K634" i="16"/>
  <c r="S626" i="16"/>
  <c r="N621" i="16"/>
  <c r="Q608" i="16"/>
  <c r="M604" i="16"/>
  <c r="K602" i="16"/>
  <c r="J585" i="16"/>
  <c r="T579" i="16"/>
  <c r="M572" i="16"/>
  <c r="H567" i="16"/>
  <c r="N541" i="16"/>
  <c r="Q528" i="16"/>
  <c r="R13" i="17" s="1"/>
  <c r="L523" i="16"/>
  <c r="M476" i="16"/>
  <c r="U452" i="16"/>
  <c r="I440" i="16"/>
  <c r="N429" i="16"/>
  <c r="S370" i="16"/>
  <c r="U356" i="16"/>
  <c r="P351" i="16"/>
  <c r="L331" i="16"/>
  <c r="G326" i="16"/>
  <c r="P303" i="16"/>
  <c r="N285" i="16"/>
  <c r="H279" i="16"/>
  <c r="Q272" i="16"/>
  <c r="S258" i="16"/>
  <c r="H231" i="16"/>
  <c r="Q192" i="16"/>
  <c r="H183" i="16"/>
  <c r="O174" i="16"/>
  <c r="I168" i="16"/>
  <c r="J153" i="16"/>
  <c r="Q144" i="16"/>
  <c r="S130" i="16"/>
  <c r="M124" i="16"/>
  <c r="U116" i="16"/>
  <c r="I104" i="16"/>
  <c r="P95" i="16"/>
  <c r="L91" i="16"/>
  <c r="J89" i="16"/>
  <c r="S82" i="16"/>
  <c r="R81" i="16"/>
  <c r="P79" i="16"/>
  <c r="I72" i="16"/>
  <c r="H71" i="16"/>
  <c r="G70" i="16"/>
  <c r="S66" i="16"/>
  <c r="R65" i="16"/>
  <c r="Q64" i="16"/>
  <c r="O62" i="16"/>
  <c r="N61" i="16"/>
  <c r="M60" i="16"/>
  <c r="J57" i="16"/>
  <c r="G54" i="16"/>
  <c r="H10" i="18" s="1"/>
  <c r="Q48" i="16"/>
  <c r="I40" i="16"/>
  <c r="H39" i="16"/>
  <c r="T35" i="16"/>
  <c r="S34" i="16"/>
  <c r="Q32" i="16"/>
  <c r="O30" i="16"/>
  <c r="L27" i="16"/>
  <c r="K26" i="16"/>
  <c r="I24" i="16"/>
  <c r="U20" i="16"/>
  <c r="S18" i="16"/>
  <c r="Q16" i="16"/>
  <c r="O14" i="16"/>
  <c r="M12" i="16"/>
  <c r="L11" i="16"/>
  <c r="R1235" i="16"/>
  <c r="O58" i="29"/>
  <c r="R1219" i="16"/>
  <c r="D55" i="29"/>
  <c r="G1208" i="16"/>
  <c r="O54" i="29"/>
  <c r="R1203" i="16"/>
  <c r="H1161" i="16"/>
  <c r="Q1122" i="16"/>
  <c r="L1117" i="16"/>
  <c r="K1116" i="16"/>
  <c r="I1114" i="16"/>
  <c r="G1112" i="16"/>
  <c r="U1110" i="16"/>
  <c r="P1105" i="16"/>
  <c r="K1100" i="16"/>
  <c r="I1098" i="16"/>
  <c r="H1097" i="16"/>
  <c r="S1092" i="16"/>
  <c r="O1088" i="16"/>
  <c r="K1084" i="16"/>
  <c r="H1081" i="16"/>
  <c r="S1076" i="16"/>
  <c r="O1072" i="16"/>
  <c r="K1068" i="16"/>
  <c r="H1065" i="16"/>
  <c r="S1060" i="16"/>
  <c r="K1052" i="16"/>
  <c r="N1039" i="16"/>
  <c r="O1024" i="16"/>
  <c r="M1022" i="16"/>
  <c r="K1020" i="16"/>
  <c r="H1017" i="16"/>
  <c r="U1014" i="16"/>
  <c r="S1012" i="16"/>
  <c r="N1007" i="16"/>
  <c r="M1006" i="16"/>
  <c r="I1002" i="16"/>
  <c r="H1001" i="16"/>
  <c r="U998" i="16"/>
  <c r="S996" i="16"/>
  <c r="L989" i="16"/>
  <c r="T981" i="16"/>
  <c r="L973" i="16"/>
  <c r="K972" i="16"/>
  <c r="I970" i="16"/>
  <c r="H969" i="16"/>
  <c r="U966" i="16"/>
  <c r="T965" i="16"/>
  <c r="P961" i="16"/>
  <c r="O960" i="16"/>
  <c r="M958" i="16"/>
  <c r="L957" i="16"/>
  <c r="I954" i="16"/>
  <c r="E46" i="29"/>
  <c r="H953" i="16"/>
  <c r="Q946" i="16"/>
  <c r="O944" i="16"/>
  <c r="N943" i="16"/>
  <c r="L941" i="16"/>
  <c r="I938" i="16"/>
  <c r="H937" i="16"/>
  <c r="S932" i="16"/>
  <c r="R931" i="16"/>
  <c r="O928" i="16"/>
  <c r="N927" i="16"/>
  <c r="M926" i="16"/>
  <c r="J923" i="16"/>
  <c r="I922" i="16"/>
  <c r="H921" i="16"/>
  <c r="G920" i="16"/>
  <c r="U918" i="16"/>
  <c r="S916" i="16"/>
  <c r="O912" i="16"/>
  <c r="N911" i="16"/>
  <c r="M910" i="16"/>
  <c r="I906" i="16"/>
  <c r="G904" i="16"/>
  <c r="U902" i="16"/>
  <c r="S900" i="16"/>
  <c r="R899" i="16"/>
  <c r="Q898" i="16"/>
  <c r="P897" i="16"/>
  <c r="N895" i="16"/>
  <c r="M894" i="16"/>
  <c r="K892" i="16"/>
  <c r="I890" i="16"/>
  <c r="H889" i="16"/>
  <c r="U886" i="16"/>
  <c r="T885" i="16"/>
  <c r="P881" i="16"/>
  <c r="O880" i="16"/>
  <c r="K876" i="16"/>
  <c r="I874" i="16"/>
  <c r="U870" i="16"/>
  <c r="T869" i="16"/>
  <c r="Q866" i="16"/>
  <c r="P865" i="16"/>
  <c r="O864" i="16"/>
  <c r="L861" i="16"/>
  <c r="J859" i="16"/>
  <c r="U854" i="16"/>
  <c r="R851" i="16"/>
  <c r="P849" i="16"/>
  <c r="M846" i="16"/>
  <c r="K844" i="16"/>
  <c r="J843" i="16"/>
  <c r="H841" i="16"/>
  <c r="U838" i="16"/>
  <c r="S836" i="16"/>
  <c r="R835" i="16"/>
  <c r="Q834" i="16"/>
  <c r="P833" i="16"/>
  <c r="N831" i="16"/>
  <c r="M830" i="16"/>
  <c r="K828" i="16"/>
  <c r="U822" i="16"/>
  <c r="R819" i="16"/>
  <c r="L813" i="16"/>
  <c r="J811" i="16"/>
  <c r="G808" i="16"/>
  <c r="R45" i="29"/>
  <c r="U806" i="16"/>
  <c r="Q802" i="16"/>
  <c r="J8" i="29"/>
  <c r="M798" i="16"/>
  <c r="L797" i="16"/>
  <c r="K796" i="16"/>
  <c r="J795" i="16"/>
  <c r="I794" i="16"/>
  <c r="G792" i="16"/>
  <c r="U790" i="16"/>
  <c r="T789" i="16"/>
  <c r="N783" i="16"/>
  <c r="H49" i="29"/>
  <c r="K780" i="16"/>
  <c r="I778" i="16"/>
  <c r="G776" i="16"/>
  <c r="T773" i="16"/>
  <c r="S772" i="16"/>
  <c r="Q770" i="16"/>
  <c r="O768" i="16"/>
  <c r="M766" i="16"/>
  <c r="L765" i="16"/>
  <c r="K764" i="16"/>
  <c r="J763" i="16"/>
  <c r="T757" i="16"/>
  <c r="R755" i="16"/>
  <c r="N751" i="16"/>
  <c r="L749" i="16"/>
  <c r="J747" i="16"/>
  <c r="I746" i="16"/>
  <c r="U742" i="16"/>
  <c r="T741" i="16"/>
  <c r="L733" i="16"/>
  <c r="T725" i="16"/>
  <c r="P721" i="16"/>
  <c r="O720" i="16"/>
  <c r="L717" i="16"/>
  <c r="H713" i="16"/>
  <c r="U710" i="16"/>
  <c r="N703" i="16"/>
  <c r="J699" i="16"/>
  <c r="I698" i="16"/>
  <c r="H697" i="16"/>
  <c r="G696" i="16"/>
  <c r="U694" i="16"/>
  <c r="R691" i="16"/>
  <c r="Q690" i="16"/>
  <c r="P689" i="16"/>
  <c r="O688" i="16"/>
  <c r="M686" i="16"/>
  <c r="L685" i="16"/>
  <c r="K684" i="16"/>
  <c r="H681" i="16"/>
  <c r="T677" i="16"/>
  <c r="P673" i="16"/>
  <c r="O672" i="16"/>
  <c r="N671" i="16"/>
  <c r="M670" i="16"/>
  <c r="J667" i="16"/>
  <c r="H665" i="16"/>
  <c r="G664" i="16"/>
  <c r="H9" i="18" s="1"/>
  <c r="U662" i="16"/>
  <c r="R659" i="16"/>
  <c r="P657" i="16"/>
  <c r="M654" i="16"/>
  <c r="L653" i="16"/>
  <c r="H649" i="16"/>
  <c r="G648" i="16"/>
  <c r="U646" i="16"/>
  <c r="T645" i="16"/>
  <c r="R643" i="16"/>
  <c r="P641" i="16"/>
  <c r="O640" i="16"/>
  <c r="N639" i="16"/>
  <c r="J635" i="16"/>
  <c r="I634" i="16"/>
  <c r="U630" i="16"/>
  <c r="Q626" i="16"/>
  <c r="P625" i="16"/>
  <c r="O624" i="16"/>
  <c r="M622" i="16"/>
  <c r="L621" i="16"/>
  <c r="K620" i="16"/>
  <c r="H617" i="16"/>
  <c r="U614" i="16"/>
  <c r="T613" i="16"/>
  <c r="S612" i="16"/>
  <c r="O608" i="16"/>
  <c r="M606" i="16"/>
  <c r="L605" i="16"/>
  <c r="K604" i="16"/>
  <c r="J603" i="16"/>
  <c r="I602" i="16"/>
  <c r="H601" i="16"/>
  <c r="G600" i="16"/>
  <c r="S596" i="16"/>
  <c r="R595" i="16"/>
  <c r="P593" i="16"/>
  <c r="O592" i="16"/>
  <c r="N591" i="16"/>
  <c r="H585" i="16"/>
  <c r="U582" i="16"/>
  <c r="Q44" i="29"/>
  <c r="T581" i="16"/>
  <c r="S580" i="16"/>
  <c r="R579" i="16"/>
  <c r="N575" i="16"/>
  <c r="M574" i="16"/>
  <c r="L573" i="16"/>
  <c r="K572" i="16"/>
  <c r="H569" i="16"/>
  <c r="G568" i="16"/>
  <c r="U566" i="16"/>
  <c r="T565" i="16"/>
  <c r="J50" i="29"/>
  <c r="M558" i="16"/>
  <c r="L557" i="16"/>
  <c r="K556" i="16"/>
  <c r="U550" i="16"/>
  <c r="S548" i="16"/>
  <c r="L541" i="16"/>
  <c r="H537" i="16"/>
  <c r="U534" i="16"/>
  <c r="O528" i="16"/>
  <c r="P13" i="17" s="1"/>
  <c r="M526" i="16"/>
  <c r="J523" i="16"/>
  <c r="I522" i="16"/>
  <c r="T517" i="16"/>
  <c r="R515" i="16"/>
  <c r="O512" i="16"/>
  <c r="J507" i="16"/>
  <c r="U502" i="16"/>
  <c r="R499" i="16"/>
  <c r="N495" i="16"/>
  <c r="M494" i="16"/>
  <c r="L493" i="16"/>
  <c r="U486" i="16"/>
  <c r="R483" i="16"/>
  <c r="K476" i="16"/>
  <c r="J475" i="16"/>
  <c r="I474" i="16"/>
  <c r="U470" i="16"/>
  <c r="T469" i="16"/>
  <c r="R467" i="16"/>
  <c r="M462" i="16"/>
  <c r="L461" i="16"/>
  <c r="I458" i="16"/>
  <c r="T453" i="16"/>
  <c r="S452" i="16"/>
  <c r="O448" i="16"/>
  <c r="K444" i="16"/>
  <c r="J443" i="16"/>
  <c r="I442" i="16"/>
  <c r="H441" i="16"/>
  <c r="G440" i="16"/>
  <c r="T437" i="16"/>
  <c r="R435" i="16"/>
  <c r="Q434" i="16"/>
  <c r="O432" i="16"/>
  <c r="L429" i="16"/>
  <c r="K428" i="16"/>
  <c r="I426" i="16"/>
  <c r="H425" i="16"/>
  <c r="U422" i="16"/>
  <c r="T421" i="16"/>
  <c r="R419" i="16"/>
  <c r="Q1234" i="16"/>
  <c r="I1162" i="16"/>
  <c r="J1115" i="16"/>
  <c r="M1102" i="16"/>
  <c r="G1096" i="16"/>
  <c r="T1093" i="16"/>
  <c r="P1089" i="16"/>
  <c r="L1085" i="16"/>
  <c r="J1083" i="16"/>
  <c r="G1080" i="16"/>
  <c r="T1077" i="16"/>
  <c r="R1075" i="16"/>
  <c r="T1061" i="16"/>
  <c r="P1057" i="16"/>
  <c r="L1053" i="16"/>
  <c r="J1051" i="16"/>
  <c r="H1049" i="16"/>
  <c r="T1045" i="16"/>
  <c r="R1043" i="16"/>
  <c r="O1040" i="16"/>
  <c r="M1038" i="16"/>
  <c r="L1037" i="16"/>
  <c r="K1036" i="16"/>
  <c r="J1035" i="16"/>
  <c r="G1032" i="16"/>
  <c r="U1030" i="16"/>
  <c r="S1028" i="16"/>
  <c r="Q1026" i="16"/>
  <c r="L1021" i="16"/>
  <c r="G1016" i="16"/>
  <c r="T1013" i="16"/>
  <c r="R1011" i="16"/>
  <c r="O1008" i="16"/>
  <c r="M990" i="16"/>
  <c r="K988" i="16"/>
  <c r="U982" i="16"/>
  <c r="S980" i="16"/>
  <c r="P977" i="16"/>
  <c r="M974" i="16"/>
  <c r="M942" i="16"/>
  <c r="I942" i="16"/>
  <c r="H941" i="16"/>
  <c r="U938" i="16"/>
  <c r="T937" i="16"/>
  <c r="S936" i="16"/>
  <c r="R935" i="16"/>
  <c r="O932" i="16"/>
  <c r="N931" i="16"/>
  <c r="K928" i="16"/>
  <c r="J927" i="16"/>
  <c r="I926" i="16"/>
  <c r="U922" i="16"/>
  <c r="T921" i="16"/>
  <c r="S920" i="16"/>
  <c r="R919" i="16"/>
  <c r="Q918" i="16"/>
  <c r="O916" i="16"/>
  <c r="J911" i="16"/>
  <c r="I910" i="16"/>
  <c r="U906" i="16"/>
  <c r="S904" i="16"/>
  <c r="R903" i="16"/>
  <c r="Q902" i="16"/>
  <c r="O900" i="16"/>
  <c r="N899" i="16"/>
  <c r="M898" i="16"/>
  <c r="L897" i="16"/>
  <c r="J895" i="16"/>
  <c r="I894" i="16"/>
  <c r="G892" i="16"/>
  <c r="T889" i="16"/>
  <c r="R887" i="16"/>
  <c r="Q886" i="16"/>
  <c r="P885" i="16"/>
  <c r="L881" i="16"/>
  <c r="K880" i="16"/>
  <c r="G876" i="16"/>
  <c r="U874" i="16"/>
  <c r="S872" i="16"/>
  <c r="Q870" i="16"/>
  <c r="P869" i="16"/>
  <c r="M866" i="16"/>
  <c r="L865" i="16"/>
  <c r="H861" i="16"/>
  <c r="R855" i="16"/>
  <c r="Q854" i="16"/>
  <c r="N851" i="16"/>
  <c r="G844" i="16"/>
  <c r="T841" i="16"/>
  <c r="R839" i="16"/>
  <c r="Q838" i="16"/>
  <c r="O836" i="16"/>
  <c r="N835" i="16"/>
  <c r="M834" i="16"/>
  <c r="L833" i="16"/>
  <c r="J831" i="16"/>
  <c r="I830" i="16"/>
  <c r="G828" i="16"/>
  <c r="R823" i="16"/>
  <c r="Q822" i="16"/>
  <c r="N819" i="16"/>
  <c r="H813" i="16"/>
  <c r="S808" i="16"/>
  <c r="N45" i="29"/>
  <c r="Q806" i="16"/>
  <c r="M802" i="16"/>
  <c r="I798" i="16"/>
  <c r="H797" i="16"/>
  <c r="G796" i="16"/>
  <c r="U794" i="16"/>
  <c r="S792" i="16"/>
  <c r="P789" i="16"/>
  <c r="N787" i="16"/>
  <c r="M786" i="16"/>
  <c r="J783" i="16"/>
  <c r="D49" i="29"/>
  <c r="G780" i="16"/>
  <c r="U778" i="16"/>
  <c r="S776" i="16"/>
  <c r="R775" i="16"/>
  <c r="P773" i="16"/>
  <c r="O772" i="16"/>
  <c r="M770" i="16"/>
  <c r="K768" i="16"/>
  <c r="I766" i="16"/>
  <c r="H765" i="16"/>
  <c r="R759" i="16"/>
  <c r="P757" i="16"/>
  <c r="N755" i="16"/>
  <c r="J751" i="16"/>
  <c r="H749" i="16"/>
  <c r="U746" i="16"/>
  <c r="Q742" i="16"/>
  <c r="P741" i="16"/>
  <c r="H733" i="16"/>
  <c r="R727" i="16"/>
  <c r="L721" i="16"/>
  <c r="K720" i="16"/>
  <c r="H717" i="16"/>
  <c r="T713" i="16"/>
  <c r="Q710" i="16"/>
  <c r="J703" i="16"/>
  <c r="U698" i="16"/>
  <c r="T697" i="16"/>
  <c r="S696" i="16"/>
  <c r="R695" i="16"/>
  <c r="Q694" i="16"/>
  <c r="N691" i="16"/>
  <c r="M690" i="16"/>
  <c r="L689" i="16"/>
  <c r="K688" i="16"/>
  <c r="I686" i="16"/>
  <c r="H685" i="16"/>
  <c r="U682" i="16"/>
  <c r="T681" i="16"/>
  <c r="R679" i="16"/>
  <c r="P677" i="16"/>
  <c r="L673" i="16"/>
  <c r="K672" i="16"/>
  <c r="J671" i="16"/>
  <c r="I670" i="16"/>
  <c r="T665" i="16"/>
  <c r="S664" i="16"/>
  <c r="T9" i="18" s="1"/>
  <c r="R663" i="16"/>
  <c r="Q662" i="16"/>
  <c r="N659" i="16"/>
  <c r="L657" i="16"/>
  <c r="I654" i="16"/>
  <c r="H653" i="16"/>
  <c r="U650" i="16"/>
  <c r="T649" i="16"/>
  <c r="P6" i="29"/>
  <c r="S648" i="16"/>
  <c r="Q646" i="16"/>
  <c r="P645" i="16"/>
  <c r="N643" i="16"/>
  <c r="L641" i="16"/>
  <c r="K640" i="16"/>
  <c r="J639" i="16"/>
  <c r="U634" i="16"/>
  <c r="R631" i="16"/>
  <c r="Q630" i="16"/>
  <c r="M626" i="16"/>
  <c r="L625" i="16"/>
  <c r="K624" i="16"/>
  <c r="I622" i="16"/>
  <c r="H621" i="16"/>
  <c r="G620" i="16"/>
  <c r="T617" i="16"/>
  <c r="Q614" i="16"/>
  <c r="P613" i="16"/>
  <c r="O612" i="16"/>
  <c r="K608" i="16"/>
  <c r="H605" i="16"/>
  <c r="G604" i="16"/>
  <c r="U602" i="16"/>
  <c r="S600" i="16"/>
  <c r="O596" i="16"/>
  <c r="N595" i="16"/>
  <c r="L593" i="16"/>
  <c r="K592" i="16"/>
  <c r="J591" i="16"/>
  <c r="I590" i="16"/>
  <c r="G588" i="16"/>
  <c r="T585" i="16"/>
  <c r="R583" i="16"/>
  <c r="Q582" i="16"/>
  <c r="M44" i="29"/>
  <c r="P581" i="16"/>
  <c r="O580" i="16"/>
  <c r="N579" i="16"/>
  <c r="J575" i="16"/>
  <c r="I574" i="16"/>
  <c r="H573" i="16"/>
  <c r="G572" i="16"/>
  <c r="T569" i="16"/>
  <c r="S568" i="16"/>
  <c r="R567" i="16"/>
  <c r="Q566" i="16"/>
  <c r="P565" i="16"/>
  <c r="F50" i="29"/>
  <c r="I558" i="16"/>
  <c r="H557" i="16"/>
  <c r="O548" i="16"/>
  <c r="H541" i="16"/>
  <c r="T537" i="16"/>
  <c r="Q534" i="16"/>
  <c r="O532" i="16"/>
  <c r="K528" i="16"/>
  <c r="L13" i="17" s="1"/>
  <c r="I526" i="16"/>
  <c r="U522" i="16"/>
  <c r="R519" i="16"/>
  <c r="P517" i="16"/>
  <c r="N515" i="16"/>
  <c r="K512" i="16"/>
  <c r="R503" i="16"/>
  <c r="Q502" i="16"/>
  <c r="K41" i="29"/>
  <c r="N499" i="16"/>
  <c r="J495" i="16"/>
  <c r="I494" i="16"/>
  <c r="H493" i="16"/>
  <c r="Q486" i="16"/>
  <c r="N483" i="16"/>
  <c r="K480" i="16"/>
  <c r="U474" i="16"/>
  <c r="Q470" i="16"/>
  <c r="P469" i="16"/>
  <c r="N467" i="16"/>
  <c r="I462" i="16"/>
  <c r="H461" i="16"/>
  <c r="U458" i="16"/>
  <c r="O53" i="29"/>
  <c r="R455" i="16"/>
  <c r="P453" i="16"/>
  <c r="O452" i="16"/>
  <c r="K448" i="16"/>
  <c r="G444" i="16"/>
  <c r="U442" i="16"/>
  <c r="T441" i="16"/>
  <c r="S440" i="16"/>
  <c r="P437" i="16"/>
  <c r="N435" i="16"/>
  <c r="M434" i="16"/>
  <c r="L433" i="16"/>
  <c r="K432" i="16"/>
  <c r="H429" i="16"/>
  <c r="G428" i="16"/>
  <c r="U426" i="16"/>
  <c r="T425" i="16"/>
  <c r="Q422" i="16"/>
  <c r="P421" i="16"/>
  <c r="N419" i="16"/>
  <c r="G52" i="29"/>
  <c r="J415" i="16"/>
  <c r="I414" i="16"/>
  <c r="H413" i="16"/>
  <c r="R407" i="16"/>
  <c r="Q406" i="16"/>
  <c r="P405" i="16"/>
  <c r="G396" i="16"/>
  <c r="U394" i="16"/>
  <c r="Q390" i="16"/>
  <c r="M386" i="16"/>
  <c r="J383" i="16"/>
  <c r="O51" i="29"/>
  <c r="R375" i="16"/>
  <c r="Q374" i="16"/>
  <c r="P373" i="16"/>
  <c r="M370" i="16"/>
  <c r="J367" i="16"/>
  <c r="H365" i="16"/>
  <c r="T361" i="16"/>
  <c r="R359" i="16"/>
  <c r="P357" i="16"/>
  <c r="O356" i="16"/>
  <c r="N355" i="16"/>
  <c r="J351" i="16"/>
  <c r="H349" i="16"/>
  <c r="S344" i="16"/>
  <c r="T11" i="18" s="1"/>
  <c r="R343" i="16"/>
  <c r="O340" i="16"/>
  <c r="J335" i="16"/>
  <c r="I334" i="16"/>
  <c r="S328" i="16"/>
  <c r="Q326" i="16"/>
  <c r="P325" i="16"/>
  <c r="L321" i="16"/>
  <c r="J319" i="16"/>
  <c r="I318" i="16"/>
  <c r="U314" i="16"/>
  <c r="T313" i="16"/>
  <c r="S312" i="16"/>
  <c r="N307" i="16"/>
  <c r="M306" i="16"/>
  <c r="K304" i="16"/>
  <c r="J303" i="16"/>
  <c r="G300" i="16"/>
  <c r="U298" i="16"/>
  <c r="T297" i="16"/>
  <c r="S296" i="16"/>
  <c r="Q294" i="16"/>
  <c r="N291" i="16"/>
  <c r="L289" i="16"/>
  <c r="H285" i="16"/>
  <c r="U282" i="16"/>
  <c r="T281" i="16"/>
  <c r="S280" i="16"/>
  <c r="R279" i="16"/>
  <c r="M274" i="16"/>
  <c r="L273" i="16"/>
  <c r="K272" i="16"/>
  <c r="G268" i="16"/>
  <c r="U266" i="16"/>
  <c r="S264" i="16"/>
  <c r="P261" i="16"/>
  <c r="N259" i="16"/>
  <c r="M258" i="16"/>
  <c r="H47" i="29"/>
  <c r="K256" i="16"/>
  <c r="I254" i="16"/>
  <c r="H253" i="16"/>
  <c r="S248" i="16"/>
  <c r="R247" i="16"/>
  <c r="Q246" i="16"/>
  <c r="P245" i="16"/>
  <c r="M242" i="16"/>
  <c r="J239" i="16"/>
  <c r="U234" i="16"/>
  <c r="T233" i="16"/>
  <c r="R231" i="16"/>
  <c r="M16" i="29"/>
  <c r="P229" i="16"/>
  <c r="N227" i="16"/>
  <c r="M226" i="16"/>
  <c r="I222" i="16"/>
  <c r="H221" i="16"/>
  <c r="U218" i="16"/>
  <c r="Q214" i="16"/>
  <c r="P213" i="16"/>
  <c r="N211" i="16"/>
  <c r="M210" i="16"/>
  <c r="J207" i="16"/>
  <c r="I206" i="16"/>
  <c r="H205" i="16"/>
  <c r="U202" i="16"/>
  <c r="S200" i="16"/>
  <c r="R199" i="16"/>
  <c r="Q198" i="16"/>
  <c r="P197" i="16"/>
  <c r="K192" i="16"/>
  <c r="I190" i="16"/>
  <c r="T185" i="16"/>
  <c r="S184" i="16"/>
  <c r="R183" i="16"/>
  <c r="Q182" i="16"/>
  <c r="L177" i="16"/>
  <c r="M16" i="17" s="1"/>
  <c r="K176" i="16"/>
  <c r="I174" i="16"/>
  <c r="H173" i="16"/>
  <c r="U170" i="16"/>
  <c r="T169" i="16"/>
  <c r="S168" i="16"/>
  <c r="R167" i="16"/>
  <c r="M162" i="16"/>
  <c r="L161" i="16"/>
  <c r="K160" i="16"/>
  <c r="E43" i="29"/>
  <c r="H157" i="16"/>
  <c r="G156" i="16"/>
  <c r="U154" i="16"/>
  <c r="T153" i="16"/>
  <c r="R151" i="16"/>
  <c r="N147" i="16"/>
  <c r="M146" i="16"/>
  <c r="L145" i="16"/>
  <c r="K144" i="16"/>
  <c r="J143" i="16"/>
  <c r="H141" i="16"/>
  <c r="U138" i="16"/>
  <c r="N131" i="16"/>
  <c r="M130" i="16"/>
  <c r="L129" i="16"/>
  <c r="J127" i="16"/>
  <c r="I126" i="16"/>
  <c r="H125" i="16"/>
  <c r="G124" i="16"/>
  <c r="S120" i="16"/>
  <c r="R119" i="16"/>
  <c r="Q118" i="16"/>
  <c r="O116" i="16"/>
  <c r="N115" i="16"/>
  <c r="L113" i="16"/>
  <c r="K112" i="16"/>
  <c r="J111" i="16"/>
  <c r="S104" i="16"/>
  <c r="R103" i="16"/>
  <c r="Q102" i="16"/>
  <c r="N99" i="16"/>
  <c r="M98" i="16"/>
  <c r="J95" i="16"/>
  <c r="T89" i="16"/>
  <c r="Q86" i="16"/>
  <c r="R13" i="18" s="1"/>
  <c r="M82" i="16"/>
  <c r="L81" i="16"/>
  <c r="J79" i="16"/>
  <c r="G76" i="16"/>
  <c r="S72" i="16"/>
  <c r="R71" i="16"/>
  <c r="Q70" i="16"/>
  <c r="J3" i="29"/>
  <c r="M66" i="16"/>
  <c r="L65" i="16"/>
  <c r="K64" i="16"/>
  <c r="I62" i="16"/>
  <c r="H61" i="16"/>
  <c r="T57" i="16"/>
  <c r="Q54" i="16"/>
  <c r="R10" i="18" s="1"/>
  <c r="K48" i="16"/>
  <c r="S40" i="16"/>
  <c r="R39" i="16"/>
  <c r="P37" i="16"/>
  <c r="N35" i="16"/>
  <c r="M34" i="16"/>
  <c r="K32" i="16"/>
  <c r="I30" i="16"/>
  <c r="U26" i="16"/>
  <c r="S24" i="16"/>
  <c r="M18" i="16"/>
  <c r="K16" i="16"/>
  <c r="I14" i="16"/>
  <c r="G12" i="16"/>
  <c r="T9" i="16"/>
  <c r="S8" i="16"/>
  <c r="R7" i="16"/>
  <c r="P5" i="16"/>
  <c r="O4" i="16"/>
  <c r="K1235" i="16"/>
  <c r="J1234" i="16"/>
  <c r="H58" i="29"/>
  <c r="K1219" i="16"/>
  <c r="R56" i="29"/>
  <c r="U1213" i="16"/>
  <c r="M55" i="29"/>
  <c r="P1208" i="16"/>
  <c r="H54" i="29"/>
  <c r="K1203" i="16"/>
  <c r="R1162" i="16"/>
  <c r="Q1161" i="16"/>
  <c r="J1122" i="16"/>
  <c r="U1117" i="16"/>
  <c r="T1116" i="16"/>
  <c r="S1115" i="16"/>
  <c r="R1114" i="16"/>
  <c r="P1112" i="16"/>
  <c r="N1110" i="16"/>
  <c r="H1104" i="16"/>
  <c r="T1100" i="16"/>
  <c r="R1098" i="16"/>
  <c r="Q1097" i="16"/>
  <c r="P1096" i="16"/>
  <c r="M1093" i="16"/>
  <c r="L1092" i="16"/>
  <c r="I1089" i="16"/>
  <c r="H1088" i="16"/>
  <c r="U1085" i="16"/>
  <c r="T1084" i="16"/>
  <c r="S1083" i="16"/>
  <c r="Q1081" i="16"/>
  <c r="P1080" i="16"/>
  <c r="M1077" i="16"/>
  <c r="L1076" i="16"/>
  <c r="K1075" i="16"/>
  <c r="H1072" i="16"/>
  <c r="T1068" i="16"/>
  <c r="Q1065" i="16"/>
  <c r="M1061" i="16"/>
  <c r="L1060" i="16"/>
  <c r="I1057" i="16"/>
  <c r="U1053" i="16"/>
  <c r="T1052" i="16"/>
  <c r="S1051" i="16"/>
  <c r="Q1049" i="16"/>
  <c r="M1045" i="16"/>
  <c r="K1043" i="16"/>
  <c r="H1040" i="16"/>
  <c r="U1037" i="16"/>
  <c r="T1036" i="16"/>
  <c r="S1035" i="16"/>
  <c r="P1032" i="16"/>
  <c r="M1029" i="16"/>
  <c r="L1028" i="16"/>
  <c r="J1026" i="16"/>
  <c r="H1024" i="16"/>
  <c r="U1021" i="16"/>
  <c r="T1020" i="16"/>
  <c r="Q1017" i="16"/>
  <c r="P1016" i="16"/>
  <c r="N1014" i="16"/>
  <c r="M1013" i="16"/>
  <c r="L1012" i="16"/>
  <c r="K1011" i="16"/>
  <c r="H1008" i="16"/>
  <c r="G1007" i="16"/>
  <c r="R1002" i="16"/>
  <c r="Q1001" i="16"/>
  <c r="O999" i="16"/>
  <c r="N998" i="16"/>
  <c r="M997" i="16"/>
  <c r="L996" i="16"/>
  <c r="U989" i="16"/>
  <c r="T988" i="16"/>
  <c r="N982" i="16"/>
  <c r="M981" i="16"/>
  <c r="L980" i="16"/>
  <c r="I977" i="16"/>
  <c r="U973" i="16"/>
  <c r="T972" i="16"/>
  <c r="R970" i="16"/>
  <c r="Q969" i="16"/>
  <c r="O967" i="16"/>
  <c r="M965" i="16"/>
  <c r="J962" i="16"/>
  <c r="I961" i="16"/>
  <c r="H960" i="16"/>
  <c r="U957" i="16"/>
  <c r="R954" i="16"/>
  <c r="N46" i="29"/>
  <c r="Q953" i="16"/>
  <c r="O951" i="16"/>
  <c r="M949" i="16"/>
  <c r="J946" i="16"/>
  <c r="H944" i="16"/>
  <c r="U941" i="16"/>
  <c r="R938" i="16"/>
  <c r="Q937" i="16"/>
  <c r="P936" i="16"/>
  <c r="O935" i="16"/>
  <c r="L932" i="16"/>
  <c r="K931" i="16"/>
  <c r="H928" i="16"/>
  <c r="G927" i="16"/>
  <c r="S923" i="16"/>
  <c r="R922" i="16"/>
  <c r="Q921" i="16"/>
  <c r="P920" i="16"/>
  <c r="O919" i="16"/>
  <c r="N918" i="16"/>
  <c r="L916" i="16"/>
  <c r="H912" i="16"/>
  <c r="D23" i="29"/>
  <c r="G911" i="16"/>
  <c r="R906" i="16"/>
  <c r="P904" i="16"/>
  <c r="O903" i="16"/>
  <c r="N902" i="16"/>
  <c r="K899" i="16"/>
  <c r="J898" i="16"/>
  <c r="I897" i="16"/>
  <c r="G895" i="16"/>
  <c r="T892" i="16"/>
  <c r="R890" i="16"/>
  <c r="Q889" i="16"/>
  <c r="O887" i="16"/>
  <c r="N886" i="16"/>
  <c r="I881" i="16"/>
  <c r="H880" i="16"/>
  <c r="T876" i="16"/>
  <c r="R874" i="16"/>
  <c r="P872" i="16"/>
  <c r="N870" i="16"/>
  <c r="M869" i="16"/>
  <c r="J866" i="16"/>
  <c r="I865" i="16"/>
  <c r="H864" i="16"/>
  <c r="U861" i="16"/>
  <c r="S859" i="16"/>
  <c r="O855" i="16"/>
  <c r="N854" i="16"/>
  <c r="K851" i="16"/>
  <c r="I849" i="16"/>
  <c r="T844" i="16"/>
  <c r="S843" i="16"/>
  <c r="Q841" i="16"/>
  <c r="O839" i="16"/>
  <c r="N838" i="16"/>
  <c r="L836" i="16"/>
  <c r="K835" i="16"/>
  <c r="J834" i="16"/>
  <c r="I833" i="16"/>
  <c r="T828" i="16"/>
  <c r="O823" i="16"/>
  <c r="N822" i="16"/>
  <c r="K819" i="16"/>
  <c r="U813" i="16"/>
  <c r="S811" i="16"/>
  <c r="P808" i="16"/>
  <c r="K45" i="29"/>
  <c r="N806" i="16"/>
  <c r="J802" i="16"/>
  <c r="U797" i="16"/>
  <c r="T796" i="16"/>
  <c r="S795" i="16"/>
  <c r="R794" i="16"/>
  <c r="P792" i="16"/>
  <c r="N790" i="16"/>
  <c r="M789" i="16"/>
  <c r="K787" i="16"/>
  <c r="L12" i="18" s="1"/>
  <c r="J786" i="16"/>
  <c r="G783" i="16"/>
  <c r="Q49" i="29"/>
  <c r="T780" i="16"/>
  <c r="R778" i="16"/>
  <c r="P776" i="16"/>
  <c r="O775" i="16"/>
  <c r="M773" i="16"/>
  <c r="L772" i="16"/>
  <c r="J770" i="16"/>
  <c r="H768" i="16"/>
  <c r="U765" i="16"/>
  <c r="T764" i="16"/>
  <c r="S763" i="16"/>
  <c r="O759" i="16"/>
  <c r="M757" i="16"/>
  <c r="K755" i="16"/>
  <c r="G751" i="16"/>
  <c r="U749" i="16"/>
  <c r="S747" i="16"/>
  <c r="R746" i="16"/>
  <c r="N742" i="16"/>
  <c r="M741" i="16"/>
  <c r="U733" i="16"/>
  <c r="O727" i="16"/>
  <c r="M725" i="16"/>
  <c r="I721" i="16"/>
  <c r="H720" i="16"/>
  <c r="U717" i="16"/>
  <c r="Q713" i="16"/>
  <c r="N710" i="16"/>
  <c r="G703" i="16"/>
  <c r="S699" i="16"/>
  <c r="Q697" i="16"/>
  <c r="P696" i="16"/>
  <c r="O695" i="16"/>
  <c r="N694" i="16"/>
  <c r="K691" i="16"/>
  <c r="J690" i="16"/>
  <c r="I689" i="16"/>
  <c r="H688" i="16"/>
  <c r="U685" i="16"/>
  <c r="T684" i="16"/>
  <c r="R682" i="16"/>
  <c r="Q681" i="16"/>
  <c r="O679" i="16"/>
  <c r="M677" i="16"/>
  <c r="I673" i="16"/>
  <c r="H672" i="16"/>
  <c r="G671" i="16"/>
  <c r="S667" i="16"/>
  <c r="Q665" i="16"/>
  <c r="P664" i="16"/>
  <c r="Q9" i="18" s="1"/>
  <c r="O663" i="16"/>
  <c r="N662" i="16"/>
  <c r="K659" i="16"/>
  <c r="I657" i="16"/>
  <c r="U653" i="16"/>
  <c r="R650" i="16"/>
  <c r="Q649" i="16"/>
  <c r="P648" i="16"/>
  <c r="N646" i="16"/>
  <c r="M645" i="16"/>
  <c r="K643" i="16"/>
  <c r="I641" i="16"/>
  <c r="H640" i="16"/>
  <c r="G639" i="16"/>
  <c r="R634" i="16"/>
  <c r="O631" i="16"/>
  <c r="J626" i="16"/>
  <c r="I625" i="16"/>
  <c r="H624" i="16"/>
  <c r="U621" i="16"/>
  <c r="T620" i="16"/>
  <c r="Q617" i="16"/>
  <c r="M613" i="16"/>
  <c r="L612" i="16"/>
  <c r="H608" i="16"/>
  <c r="U605" i="16"/>
  <c r="T604" i="16"/>
  <c r="S603" i="16"/>
  <c r="R602" i="16"/>
  <c r="Q601" i="16"/>
  <c r="P600" i="16"/>
  <c r="L596" i="16"/>
  <c r="K595" i="16"/>
  <c r="I593" i="16"/>
  <c r="H592" i="16"/>
  <c r="G591" i="16"/>
  <c r="T588" i="16"/>
  <c r="S587" i="16"/>
  <c r="Q585" i="16"/>
  <c r="O583" i="16"/>
  <c r="N582" i="16"/>
  <c r="J44" i="29"/>
  <c r="M581" i="16"/>
  <c r="L580" i="16"/>
  <c r="G575" i="16"/>
  <c r="U573" i="16"/>
  <c r="T572" i="16"/>
  <c r="Q569" i="16"/>
  <c r="P568" i="16"/>
  <c r="O567" i="16"/>
  <c r="N566" i="16"/>
  <c r="M565" i="16"/>
  <c r="R537" i="16"/>
  <c r="O534" i="16"/>
  <c r="M532" i="16"/>
  <c r="I528" i="16"/>
  <c r="J13" i="17" s="1"/>
  <c r="G526" i="16"/>
  <c r="T523" i="16"/>
  <c r="S522" i="16"/>
  <c r="P519" i="16"/>
  <c r="N517" i="16"/>
  <c r="L515" i="16"/>
  <c r="I512" i="16"/>
  <c r="T507" i="16"/>
  <c r="P503" i="16"/>
  <c r="O502" i="16"/>
  <c r="I41" i="29"/>
  <c r="L499" i="16"/>
  <c r="H495" i="16"/>
  <c r="G494" i="16"/>
  <c r="O486" i="16"/>
  <c r="L483" i="16"/>
  <c r="I480" i="16"/>
  <c r="J1235" i="16"/>
  <c r="I1234" i="16"/>
  <c r="G58" i="29"/>
  <c r="J1219" i="16"/>
  <c r="Q56" i="29"/>
  <c r="T1213" i="16"/>
  <c r="L55" i="29"/>
  <c r="O1208" i="16"/>
  <c r="G54" i="29"/>
  <c r="J1203" i="16"/>
  <c r="Q1162" i="16"/>
  <c r="P1161" i="16"/>
  <c r="F47" i="29"/>
  <c r="I1122" i="16"/>
  <c r="T1117" i="16"/>
  <c r="S1116" i="16"/>
  <c r="R1115" i="16"/>
  <c r="Q1114" i="16"/>
  <c r="O1112" i="16"/>
  <c r="M1110" i="16"/>
  <c r="H1105" i="16"/>
  <c r="G1104" i="16"/>
  <c r="U1102" i="16"/>
  <c r="S1100" i="16"/>
  <c r="Q1098" i="16"/>
  <c r="P1097" i="16"/>
  <c r="O1096" i="16"/>
  <c r="L1093" i="16"/>
  <c r="K1092" i="16"/>
  <c r="H1089" i="16"/>
  <c r="G1088" i="16"/>
  <c r="T1085" i="16"/>
  <c r="S1084" i="16"/>
  <c r="R1083" i="16"/>
  <c r="P1081" i="16"/>
  <c r="O1080" i="16"/>
  <c r="L1077" i="16"/>
  <c r="K1076" i="16"/>
  <c r="J1075" i="16"/>
  <c r="G1072" i="16"/>
  <c r="S1068" i="16"/>
  <c r="P1065" i="16"/>
  <c r="L1061" i="16"/>
  <c r="K1060" i="16"/>
  <c r="H1057" i="16"/>
  <c r="T1053" i="16"/>
  <c r="S1052" i="16"/>
  <c r="R1051" i="16"/>
  <c r="P1049" i="16"/>
  <c r="L1045" i="16"/>
  <c r="J1043" i="16"/>
  <c r="G1040" i="16"/>
  <c r="U1038" i="16"/>
  <c r="T1037" i="16"/>
  <c r="S1036" i="16"/>
  <c r="R1035" i="16"/>
  <c r="O1032" i="16"/>
  <c r="M1030" i="16"/>
  <c r="L1029" i="16"/>
  <c r="K1028" i="16"/>
  <c r="I1026" i="16"/>
  <c r="G1024" i="16"/>
  <c r="U1022" i="16"/>
  <c r="S1020" i="16"/>
  <c r="P1017" i="16"/>
  <c r="O1016" i="16"/>
  <c r="M1014" i="16"/>
  <c r="K1012" i="16"/>
  <c r="J1011" i="16"/>
  <c r="G1008" i="16"/>
  <c r="U1006" i="16"/>
  <c r="P1001" i="16"/>
  <c r="N999" i="16"/>
  <c r="M998" i="16"/>
  <c r="L997" i="16"/>
  <c r="K996" i="16"/>
  <c r="U990" i="16"/>
  <c r="T989" i="16"/>
  <c r="S988" i="16"/>
  <c r="M982" i="16"/>
  <c r="L981" i="16"/>
  <c r="K980" i="16"/>
  <c r="H977" i="16"/>
  <c r="U974" i="16"/>
  <c r="T973" i="16"/>
  <c r="S972" i="16"/>
  <c r="P969" i="16"/>
  <c r="N967" i="16"/>
  <c r="M966" i="16"/>
  <c r="L965" i="16"/>
  <c r="I962" i="16"/>
  <c r="H961" i="16"/>
  <c r="G960" i="16"/>
  <c r="U958" i="16"/>
  <c r="T957" i="16"/>
  <c r="Q954" i="16"/>
  <c r="M46" i="29"/>
  <c r="P953" i="16"/>
  <c r="N951" i="16"/>
  <c r="L949" i="16"/>
  <c r="I946" i="16"/>
  <c r="G944" i="16"/>
  <c r="U942" i="16"/>
  <c r="T941" i="16"/>
  <c r="Q938" i="16"/>
  <c r="P937" i="16"/>
  <c r="O936" i="16"/>
  <c r="N935" i="16"/>
  <c r="K932" i="16"/>
  <c r="J931" i="16"/>
  <c r="G928" i="16"/>
  <c r="U926" i="16"/>
  <c r="R923" i="16"/>
  <c r="Q922" i="16"/>
  <c r="P921" i="16"/>
  <c r="O920" i="16"/>
  <c r="N919" i="16"/>
  <c r="M918" i="16"/>
  <c r="I1235" i="16"/>
  <c r="F58" i="29"/>
  <c r="I1219" i="16"/>
  <c r="F54" i="29"/>
  <c r="I1203" i="16"/>
  <c r="P1162" i="16"/>
  <c r="H1122" i="16"/>
  <c r="S1117" i="16"/>
  <c r="Q1115" i="16"/>
  <c r="G1105" i="16"/>
  <c r="O1097" i="16"/>
  <c r="K1093" i="16"/>
  <c r="G1089" i="16"/>
  <c r="R1084" i="16"/>
  <c r="N1080" i="16"/>
  <c r="J1076" i="16"/>
  <c r="R1068" i="16"/>
  <c r="J1060" i="16"/>
  <c r="R1036" i="16"/>
  <c r="N1032" i="16"/>
  <c r="L1030" i="16"/>
  <c r="J1028" i="16"/>
  <c r="S1021" i="16"/>
  <c r="J1012" i="16"/>
  <c r="T1006" i="16"/>
  <c r="P1002" i="16"/>
  <c r="M999" i="16"/>
  <c r="L998" i="16"/>
  <c r="J996" i="16"/>
  <c r="T990" i="16"/>
  <c r="R988" i="16"/>
  <c r="K981" i="16"/>
  <c r="S973" i="16"/>
  <c r="O969" i="16"/>
  <c r="T958" i="16"/>
  <c r="S957" i="16"/>
  <c r="L46" i="29"/>
  <c r="O953" i="16"/>
  <c r="M951" i="16"/>
  <c r="K949" i="16"/>
  <c r="T942" i="16"/>
  <c r="P938" i="16"/>
  <c r="Q923" i="16"/>
  <c r="O921" i="16"/>
  <c r="M919" i="16"/>
  <c r="J916" i="16"/>
  <c r="T910" i="16"/>
  <c r="N904" i="16"/>
  <c r="I899" i="16"/>
  <c r="G897" i="16"/>
  <c r="T894" i="16"/>
  <c r="R892" i="16"/>
  <c r="P890" i="16"/>
  <c r="L886" i="16"/>
  <c r="G881" i="16"/>
  <c r="K869" i="16"/>
  <c r="G865" i="16"/>
  <c r="Q843" i="16"/>
  <c r="O841" i="16"/>
  <c r="L838" i="16"/>
  <c r="J836" i="16"/>
  <c r="H834" i="16"/>
  <c r="U831" i="16"/>
  <c r="L822" i="16"/>
  <c r="S813" i="16"/>
  <c r="Q811" i="16"/>
  <c r="H802" i="16"/>
  <c r="S797" i="16"/>
  <c r="Q795" i="16"/>
  <c r="N792" i="16"/>
  <c r="L790" i="16"/>
  <c r="H786" i="16"/>
  <c r="R764" i="16"/>
  <c r="K757" i="16"/>
  <c r="U751" i="16"/>
  <c r="S749" i="16"/>
  <c r="P746" i="16"/>
  <c r="L742" i="16"/>
  <c r="S733" i="16"/>
  <c r="M727" i="16"/>
  <c r="K725" i="16"/>
  <c r="G721" i="16"/>
  <c r="L710" i="16"/>
  <c r="U703" i="16"/>
  <c r="Q699" i="16"/>
  <c r="P698" i="16"/>
  <c r="O697" i="16"/>
  <c r="N696" i="16"/>
  <c r="M695" i="16"/>
  <c r="H690" i="16"/>
  <c r="G689" i="16"/>
  <c r="T686" i="16"/>
  <c r="R684" i="16"/>
  <c r="O681" i="16"/>
  <c r="M679" i="16"/>
  <c r="K677" i="16"/>
  <c r="G673" i="16"/>
  <c r="T670" i="16"/>
  <c r="N664" i="16"/>
  <c r="L662" i="16"/>
  <c r="S653" i="16"/>
  <c r="N648" i="16"/>
  <c r="L646" i="16"/>
  <c r="I643" i="16"/>
  <c r="U639" i="16"/>
  <c r="Q635" i="16"/>
  <c r="L630" i="16"/>
  <c r="G625" i="16"/>
  <c r="S621" i="16"/>
  <c r="Q50" i="29"/>
  <c r="T558" i="16"/>
  <c r="S557" i="16"/>
  <c r="R556" i="16"/>
  <c r="L550" i="16"/>
  <c r="J548" i="16"/>
  <c r="S541" i="16"/>
  <c r="O537" i="16"/>
  <c r="L534" i="16"/>
  <c r="J532" i="16"/>
  <c r="T526" i="16"/>
  <c r="Q523" i="16"/>
  <c r="P522" i="16"/>
  <c r="M519" i="16"/>
  <c r="K517" i="16"/>
  <c r="I515" i="16"/>
  <c r="Q507" i="16"/>
  <c r="M503" i="16"/>
  <c r="L502" i="16"/>
  <c r="I499" i="16"/>
  <c r="U495" i="16"/>
  <c r="T494" i="16"/>
  <c r="S493" i="16"/>
  <c r="L486" i="16"/>
  <c r="I483" i="16"/>
  <c r="R476" i="16"/>
  <c r="Q475" i="16"/>
  <c r="P474" i="16"/>
  <c r="L470" i="16"/>
  <c r="K469" i="16"/>
  <c r="I467" i="16"/>
  <c r="T462" i="16"/>
  <c r="S461" i="16"/>
  <c r="P458" i="16"/>
  <c r="J53" i="29"/>
  <c r="M455" i="16"/>
  <c r="K453" i="16"/>
  <c r="J452" i="16"/>
  <c r="R444" i="16"/>
  <c r="Q443" i="16"/>
  <c r="P442" i="16"/>
  <c r="N440" i="16"/>
  <c r="K437" i="16"/>
  <c r="I435" i="16"/>
  <c r="H434" i="16"/>
  <c r="G433" i="16"/>
  <c r="S429" i="16"/>
  <c r="R428" i="16"/>
  <c r="P426" i="16"/>
  <c r="O425" i="16"/>
  <c r="L422" i="16"/>
  <c r="K421" i="16"/>
  <c r="I419" i="16"/>
  <c r="R52" i="29"/>
  <c r="U415" i="16"/>
  <c r="T414" i="16"/>
  <c r="S413" i="16"/>
  <c r="M407" i="16"/>
  <c r="L406" i="16"/>
  <c r="K405" i="16"/>
  <c r="R396" i="16"/>
  <c r="P394" i="16"/>
  <c r="L390" i="16"/>
  <c r="H386" i="16"/>
  <c r="U383" i="16"/>
  <c r="J51" i="29"/>
  <c r="M375" i="16"/>
  <c r="L374" i="16"/>
  <c r="K373" i="16"/>
  <c r="H370" i="16"/>
  <c r="U367" i="16"/>
  <c r="S365" i="16"/>
  <c r="O361" i="16"/>
  <c r="M359" i="16"/>
  <c r="K357" i="16"/>
  <c r="J356" i="16"/>
  <c r="I355" i="16"/>
  <c r="U351" i="16"/>
  <c r="S349" i="16"/>
  <c r="N344" i="16"/>
  <c r="M343" i="16"/>
  <c r="J340" i="16"/>
  <c r="G337" i="16"/>
  <c r="U335" i="16"/>
  <c r="T334" i="16"/>
  <c r="Q331" i="16"/>
  <c r="N328" i="16"/>
  <c r="L326" i="16"/>
  <c r="K325" i="16"/>
  <c r="I323" i="16"/>
  <c r="G321" i="16"/>
  <c r="U319" i="16"/>
  <c r="T318" i="16"/>
  <c r="O313" i="16"/>
  <c r="N312" i="16"/>
  <c r="M311" i="16"/>
  <c r="I307" i="16"/>
  <c r="H306" i="16"/>
  <c r="U303" i="16"/>
  <c r="R300" i="16"/>
  <c r="P298" i="16"/>
  <c r="O297" i="16"/>
  <c r="N296" i="16"/>
  <c r="L294" i="16"/>
  <c r="I291" i="16"/>
  <c r="S285" i="16"/>
  <c r="P282" i="16"/>
  <c r="O281" i="16"/>
  <c r="N280" i="16"/>
  <c r="M279" i="16"/>
  <c r="I275" i="16"/>
  <c r="H274" i="16"/>
  <c r="G273" i="16"/>
  <c r="R268" i="16"/>
  <c r="Q267" i="16"/>
  <c r="P266" i="16"/>
  <c r="N264" i="16"/>
  <c r="K261" i="16"/>
  <c r="I259" i="16"/>
  <c r="H258" i="16"/>
  <c r="T254" i="16"/>
  <c r="S253" i="16"/>
  <c r="Q251" i="16"/>
  <c r="M247" i="16"/>
  <c r="L246" i="16"/>
  <c r="K245" i="16"/>
  <c r="H242" i="16"/>
  <c r="U239" i="16"/>
  <c r="P234" i="16"/>
  <c r="O233" i="16"/>
  <c r="M231" i="16"/>
  <c r="L230" i="16"/>
  <c r="K229" i="16"/>
  <c r="I227" i="16"/>
  <c r="H226" i="16"/>
  <c r="T222" i="16"/>
  <c r="S221" i="16"/>
  <c r="Q219" i="16"/>
  <c r="P218" i="16"/>
  <c r="L214" i="16"/>
  <c r="K213" i="16"/>
  <c r="I211" i="16"/>
  <c r="H210" i="16"/>
  <c r="U207" i="16"/>
  <c r="T206" i="16"/>
  <c r="S205" i="16"/>
  <c r="Q203" i="16"/>
  <c r="P202" i="16"/>
  <c r="N200" i="16"/>
  <c r="M199" i="16"/>
  <c r="L198" i="16"/>
  <c r="K197" i="16"/>
  <c r="T190" i="16"/>
  <c r="P186" i="16"/>
  <c r="O185" i="16"/>
  <c r="N184" i="16"/>
  <c r="M183" i="16"/>
  <c r="L182" i="16"/>
  <c r="G177" i="16"/>
  <c r="H16" i="17" s="1"/>
  <c r="T174" i="16"/>
  <c r="S173" i="16"/>
  <c r="P170" i="16"/>
  <c r="O169" i="16"/>
  <c r="N168" i="16"/>
  <c r="M167" i="16"/>
  <c r="H162" i="16"/>
  <c r="G161" i="16"/>
  <c r="P43" i="29"/>
  <c r="S157" i="16"/>
  <c r="R156" i="16"/>
  <c r="P154" i="16"/>
  <c r="O153" i="16"/>
  <c r="M151" i="16"/>
  <c r="I147" i="16"/>
  <c r="G145" i="16"/>
  <c r="U143" i="16"/>
  <c r="S141" i="16"/>
  <c r="P138" i="16"/>
  <c r="L134" i="16"/>
  <c r="I131" i="16"/>
  <c r="H130" i="16"/>
  <c r="G129" i="16"/>
  <c r="U127" i="16"/>
  <c r="T126" i="16"/>
  <c r="S125" i="16"/>
  <c r="R124" i="16"/>
  <c r="Q123" i="16"/>
  <c r="N120" i="16"/>
  <c r="M119" i="16"/>
  <c r="I32" i="29"/>
  <c r="L118" i="16"/>
  <c r="J116" i="16"/>
  <c r="I115" i="16"/>
  <c r="U111" i="16"/>
  <c r="N104" i="16"/>
  <c r="M103" i="16"/>
  <c r="L102" i="16"/>
  <c r="I99" i="16"/>
  <c r="H98" i="16"/>
  <c r="U95" i="16"/>
  <c r="T94" i="16"/>
  <c r="Q91" i="16"/>
  <c r="O89" i="16"/>
  <c r="H82" i="16"/>
  <c r="G81" i="16"/>
  <c r="U79" i="16"/>
  <c r="R76" i="16"/>
  <c r="N72" i="16"/>
  <c r="M71" i="16"/>
  <c r="L70" i="16"/>
  <c r="H66" i="16"/>
  <c r="G65" i="16"/>
  <c r="T62" i="16"/>
  <c r="S61" i="16"/>
  <c r="R60" i="16"/>
  <c r="O57" i="16"/>
  <c r="L54" i="16"/>
  <c r="M10" i="18" s="1"/>
  <c r="N40" i="16"/>
  <c r="M39" i="16"/>
  <c r="K37" i="16"/>
  <c r="I35" i="16"/>
  <c r="H34" i="16"/>
  <c r="T30" i="16"/>
  <c r="Q27" i="16"/>
  <c r="P26" i="16"/>
  <c r="N24" i="16"/>
  <c r="J20" i="16"/>
  <c r="H18" i="16"/>
  <c r="T14" i="16"/>
  <c r="R12" i="16"/>
  <c r="Q11" i="16"/>
  <c r="O9" i="16"/>
  <c r="N8" i="16"/>
  <c r="M7" i="16"/>
  <c r="K5" i="16"/>
  <c r="J4" i="16"/>
  <c r="H1234" i="16"/>
  <c r="P56" i="29"/>
  <c r="S1213" i="16"/>
  <c r="K55" i="29"/>
  <c r="N1208" i="16"/>
  <c r="O1161" i="16"/>
  <c r="R1116" i="16"/>
  <c r="P1114" i="16"/>
  <c r="N1112" i="16"/>
  <c r="L1110" i="16"/>
  <c r="T1102" i="16"/>
  <c r="R1100" i="16"/>
  <c r="P1098" i="16"/>
  <c r="N1096" i="16"/>
  <c r="J1092" i="16"/>
  <c r="S1085" i="16"/>
  <c r="Q1083" i="16"/>
  <c r="O1081" i="16"/>
  <c r="K1077" i="16"/>
  <c r="I1075" i="16"/>
  <c r="O1065" i="16"/>
  <c r="K1061" i="16"/>
  <c r="G1057" i="16"/>
  <c r="S1053" i="16"/>
  <c r="Q1051" i="16"/>
  <c r="O1049" i="16"/>
  <c r="K1045" i="16"/>
  <c r="I1043" i="16"/>
  <c r="U1039" i="16"/>
  <c r="S1037" i="16"/>
  <c r="Q1035" i="16"/>
  <c r="K1029" i="16"/>
  <c r="H1026" i="16"/>
  <c r="T1022" i="16"/>
  <c r="R1020" i="16"/>
  <c r="O1017" i="16"/>
  <c r="N1016" i="16"/>
  <c r="K1013" i="16"/>
  <c r="I1011" i="16"/>
  <c r="U1007" i="16"/>
  <c r="O1001" i="16"/>
  <c r="K997" i="16"/>
  <c r="S989" i="16"/>
  <c r="L982" i="16"/>
  <c r="J980" i="16"/>
  <c r="G977" i="16"/>
  <c r="T974" i="16"/>
  <c r="R972" i="16"/>
  <c r="P970" i="16"/>
  <c r="M967" i="16"/>
  <c r="L966" i="16"/>
  <c r="K965" i="16"/>
  <c r="H962" i="16"/>
  <c r="P954" i="16"/>
  <c r="H946" i="16"/>
  <c r="U943" i="16"/>
  <c r="S941" i="16"/>
  <c r="O937" i="16"/>
  <c r="N936" i="16"/>
  <c r="M935" i="16"/>
  <c r="J932" i="16"/>
  <c r="I931" i="16"/>
  <c r="T926" i="16"/>
  <c r="P922" i="16"/>
  <c r="N920" i="16"/>
  <c r="L918" i="16"/>
  <c r="U911" i="16"/>
  <c r="P906" i="16"/>
  <c r="M903" i="16"/>
  <c r="L902" i="16"/>
  <c r="J900" i="16"/>
  <c r="H898" i="16"/>
  <c r="U895" i="16"/>
  <c r="O889" i="16"/>
  <c r="M887" i="16"/>
  <c r="K885" i="16"/>
  <c r="R876" i="16"/>
  <c r="P874" i="16"/>
  <c r="N872" i="16"/>
  <c r="L870" i="16"/>
  <c r="H866" i="16"/>
  <c r="S861" i="16"/>
  <c r="Q859" i="16"/>
  <c r="M855" i="16"/>
  <c r="L854" i="16"/>
  <c r="I851" i="16"/>
  <c r="G849" i="16"/>
  <c r="T846" i="16"/>
  <c r="R844" i="16"/>
  <c r="M839" i="16"/>
  <c r="I835" i="16"/>
  <c r="G833" i="16"/>
  <c r="T830" i="16"/>
  <c r="R828" i="16"/>
  <c r="M823" i="16"/>
  <c r="I819" i="16"/>
  <c r="N808" i="16"/>
  <c r="I45" i="29"/>
  <c r="L806" i="16"/>
  <c r="T798" i="16"/>
  <c r="R796" i="16"/>
  <c r="P794" i="16"/>
  <c r="K789" i="16"/>
  <c r="I787" i="16"/>
  <c r="J12" i="18" s="1"/>
  <c r="U783" i="16"/>
  <c r="O49" i="29"/>
  <c r="R780" i="16"/>
  <c r="P778" i="16"/>
  <c r="N776" i="16"/>
  <c r="M775" i="16"/>
  <c r="K773" i="16"/>
  <c r="J772" i="16"/>
  <c r="H770" i="16"/>
  <c r="S765" i="16"/>
  <c r="Q763" i="16"/>
  <c r="M759" i="16"/>
  <c r="I755" i="16"/>
  <c r="S717" i="16"/>
  <c r="O713" i="16"/>
  <c r="I691" i="16"/>
  <c r="S685" i="16"/>
  <c r="P682" i="16"/>
  <c r="U671" i="16"/>
  <c r="Q667" i="16"/>
  <c r="O665" i="16"/>
  <c r="M663" i="16"/>
  <c r="I659" i="16"/>
  <c r="G657" i="16"/>
  <c r="T654" i="16"/>
  <c r="P650" i="16"/>
  <c r="O649" i="16"/>
  <c r="K645" i="16"/>
  <c r="G641" i="16"/>
  <c r="P634" i="16"/>
  <c r="M631" i="16"/>
  <c r="H626" i="16"/>
  <c r="T622" i="16"/>
  <c r="O617" i="16"/>
  <c r="L614" i="16"/>
  <c r="K613" i="16"/>
  <c r="J612" i="16"/>
  <c r="T606" i="16"/>
  <c r="S605" i="16"/>
  <c r="R604" i="16"/>
  <c r="Q603" i="16"/>
  <c r="P602" i="16"/>
  <c r="O601" i="16"/>
  <c r="N600" i="16"/>
  <c r="J596" i="16"/>
  <c r="I595" i="16"/>
  <c r="G593" i="16"/>
  <c r="T590" i="16"/>
  <c r="R588" i="16"/>
  <c r="Q587" i="16"/>
  <c r="O585" i="16"/>
  <c r="M583" i="16"/>
  <c r="L582" i="16"/>
  <c r="H44" i="29"/>
  <c r="K581" i="16"/>
  <c r="J580" i="16"/>
  <c r="I579" i="16"/>
  <c r="U575" i="16"/>
  <c r="T574" i="16"/>
  <c r="S573" i="16"/>
  <c r="R572" i="16"/>
  <c r="O569" i="16"/>
  <c r="N568" i="16"/>
  <c r="M567" i="16"/>
  <c r="L566" i="16"/>
  <c r="K565" i="16"/>
  <c r="H1235" i="16"/>
  <c r="G1234" i="16"/>
  <c r="E58" i="29"/>
  <c r="H1219" i="16"/>
  <c r="O56" i="29"/>
  <c r="R1213" i="16"/>
  <c r="J55" i="29"/>
  <c r="M1208" i="16"/>
  <c r="E54" i="29"/>
  <c r="H1203" i="16"/>
  <c r="O1162" i="16"/>
  <c r="G1122" i="16"/>
  <c r="R1117" i="16"/>
  <c r="P1115" i="16"/>
  <c r="O1114" i="16"/>
  <c r="M1112" i="16"/>
  <c r="K1110" i="16"/>
  <c r="U1104" i="16"/>
  <c r="S1102" i="16"/>
  <c r="Q1100" i="16"/>
  <c r="O1098" i="16"/>
  <c r="N1097" i="16"/>
  <c r="M1096" i="16"/>
  <c r="J1093" i="16"/>
  <c r="I1092" i="16"/>
  <c r="U1088" i="16"/>
  <c r="R1085" i="16"/>
  <c r="Q1084" i="16"/>
  <c r="P1083" i="16"/>
  <c r="M1080" i="16"/>
  <c r="J1077" i="16"/>
  <c r="I1076" i="16"/>
  <c r="H1075" i="16"/>
  <c r="U1072" i="16"/>
  <c r="Q1068" i="16"/>
  <c r="N1065" i="16"/>
  <c r="I1060" i="16"/>
  <c r="R1053" i="16"/>
  <c r="Q1052" i="16"/>
  <c r="P1051" i="16"/>
  <c r="J1045" i="16"/>
  <c r="H1043" i="16"/>
  <c r="U1040" i="16"/>
  <c r="T1039" i="16"/>
  <c r="S1038" i="16"/>
  <c r="R1037" i="16"/>
  <c r="Q1036" i="16"/>
  <c r="P1035" i="16"/>
  <c r="M1032" i="16"/>
  <c r="K1030" i="16"/>
  <c r="J1029" i="16"/>
  <c r="I1028" i="16"/>
  <c r="G1026" i="16"/>
  <c r="U1024" i="16"/>
  <c r="S1022" i="16"/>
  <c r="R1021" i="16"/>
  <c r="Q1020" i="16"/>
  <c r="N1017" i="16"/>
  <c r="M1016" i="16"/>
  <c r="K1014" i="16"/>
  <c r="J1013" i="16"/>
  <c r="I1012" i="16"/>
  <c r="H1011" i="16"/>
  <c r="U1008" i="16"/>
  <c r="T1007" i="16"/>
  <c r="S1006" i="16"/>
  <c r="O1002" i="16"/>
  <c r="N1001" i="16"/>
  <c r="L999" i="16"/>
  <c r="K998" i="16"/>
  <c r="J997" i="16"/>
  <c r="I996" i="16"/>
  <c r="S990" i="16"/>
  <c r="R989" i="16"/>
  <c r="Q988" i="16"/>
  <c r="K982" i="16"/>
  <c r="J981" i="16"/>
  <c r="I980" i="16"/>
  <c r="S974" i="16"/>
  <c r="R973" i="16"/>
  <c r="Q972" i="16"/>
  <c r="O970" i="16"/>
  <c r="L967" i="16"/>
  <c r="K966" i="16"/>
  <c r="J965" i="16"/>
  <c r="U960" i="16"/>
  <c r="S958" i="16"/>
  <c r="R957" i="16"/>
  <c r="O954" i="16"/>
  <c r="K46" i="29"/>
  <c r="N953" i="16"/>
  <c r="L951" i="16"/>
  <c r="J949" i="16"/>
  <c r="G946" i="16"/>
  <c r="U944" i="16"/>
  <c r="T943" i="16"/>
  <c r="S942" i="16"/>
  <c r="R941" i="16"/>
  <c r="O938" i="16"/>
  <c r="N937" i="16"/>
  <c r="M936" i="16"/>
  <c r="L935" i="16"/>
  <c r="I932" i="16"/>
  <c r="H931" i="16"/>
  <c r="U928" i="16"/>
  <c r="T927" i="16"/>
  <c r="S926" i="16"/>
  <c r="P923" i="16"/>
  <c r="O922" i="16"/>
  <c r="N921" i="16"/>
  <c r="M920" i="16"/>
  <c r="L919" i="16"/>
  <c r="K918" i="16"/>
  <c r="I916" i="16"/>
  <c r="U912" i="16"/>
  <c r="T911" i="16"/>
  <c r="S910" i="16"/>
  <c r="M904" i="16"/>
  <c r="L903" i="16"/>
  <c r="K902" i="16"/>
  <c r="I900" i="16"/>
  <c r="H899" i="16"/>
  <c r="G898" i="16"/>
  <c r="T895" i="16"/>
  <c r="S894" i="16"/>
  <c r="Q892" i="16"/>
  <c r="O890" i="16"/>
  <c r="N889" i="16"/>
  <c r="L887" i="16"/>
  <c r="K886" i="16"/>
  <c r="J885" i="16"/>
  <c r="U880" i="16"/>
  <c r="Q876" i="16"/>
  <c r="O874" i="16"/>
  <c r="M872" i="16"/>
  <c r="K870" i="16"/>
  <c r="J869" i="16"/>
  <c r="G866" i="16"/>
  <c r="U864" i="16"/>
  <c r="R861" i="16"/>
  <c r="P859" i="16"/>
  <c r="L855" i="16"/>
  <c r="K854" i="16"/>
  <c r="H851" i="16"/>
  <c r="S846" i="16"/>
  <c r="P843" i="16"/>
  <c r="N841" i="16"/>
  <c r="K838" i="16"/>
  <c r="I836" i="16"/>
  <c r="H835" i="16"/>
  <c r="T831" i="16"/>
  <c r="S830" i="16"/>
  <c r="Q828" i="16"/>
  <c r="L823" i="16"/>
  <c r="K822" i="16"/>
  <c r="H819" i="16"/>
  <c r="R813" i="16"/>
  <c r="P811" i="16"/>
  <c r="M808" i="16"/>
  <c r="H45" i="29"/>
  <c r="K806" i="16"/>
  <c r="G802" i="16"/>
  <c r="S798" i="16"/>
  <c r="R797" i="16"/>
  <c r="Q796" i="16"/>
  <c r="P795" i="16"/>
  <c r="M792" i="16"/>
  <c r="K790" i="16"/>
  <c r="J789" i="16"/>
  <c r="H787" i="16"/>
  <c r="I12" i="18" s="1"/>
  <c r="G786" i="16"/>
  <c r="T783" i="16"/>
  <c r="O778" i="16"/>
  <c r="M776" i="16"/>
  <c r="L775" i="16"/>
  <c r="J773" i="16"/>
  <c r="I772" i="16"/>
  <c r="G770" i="16"/>
  <c r="U768" i="16"/>
  <c r="S766" i="16"/>
  <c r="R765" i="16"/>
  <c r="Q764" i="16"/>
  <c r="H580" i="16"/>
  <c r="S575" i="16"/>
  <c r="R574" i="16"/>
  <c r="Q573" i="16"/>
  <c r="P572" i="16"/>
  <c r="M569" i="16"/>
  <c r="L568" i="16"/>
  <c r="K567" i="16"/>
  <c r="J566" i="16"/>
  <c r="I565" i="16"/>
  <c r="O50" i="29"/>
  <c r="R558" i="16"/>
  <c r="Q557" i="16"/>
  <c r="P556" i="16"/>
  <c r="J550" i="16"/>
  <c r="E26" i="29"/>
  <c r="H548" i="16"/>
  <c r="Q541" i="16"/>
  <c r="M537" i="16"/>
  <c r="J534" i="16"/>
  <c r="H532" i="16"/>
  <c r="T528" i="16"/>
  <c r="U13" i="17" s="1"/>
  <c r="R526" i="16"/>
  <c r="O523" i="16"/>
  <c r="N522" i="16"/>
  <c r="K519" i="16"/>
  <c r="G515" i="16"/>
  <c r="T512" i="16"/>
  <c r="J502" i="16"/>
  <c r="G499" i="16"/>
  <c r="S495" i="16"/>
  <c r="R494" i="16"/>
  <c r="Q493" i="16"/>
  <c r="J486" i="16"/>
  <c r="G483" i="16"/>
  <c r="T480" i="16"/>
  <c r="P476" i="16"/>
  <c r="N474" i="16"/>
  <c r="J470" i="16"/>
  <c r="I469" i="16"/>
  <c r="G467" i="16"/>
  <c r="R462" i="16"/>
  <c r="Q461" i="16"/>
  <c r="N458" i="16"/>
  <c r="H53" i="29"/>
  <c r="K455" i="16"/>
  <c r="I453" i="16"/>
  <c r="H452" i="16"/>
  <c r="T448" i="16"/>
  <c r="P444" i="16"/>
  <c r="O443" i="16"/>
  <c r="N442" i="16"/>
  <c r="M441" i="16"/>
  <c r="L440" i="16"/>
  <c r="I437" i="16"/>
  <c r="G435" i="16"/>
  <c r="U433" i="16"/>
  <c r="Q429" i="16"/>
  <c r="P428" i="16"/>
  <c r="N426" i="16"/>
  <c r="M425" i="16"/>
  <c r="J422" i="16"/>
  <c r="I421" i="16"/>
  <c r="G419" i="16"/>
  <c r="P52" i="29"/>
  <c r="S415" i="16"/>
  <c r="R414" i="16"/>
  <c r="Q413" i="16"/>
  <c r="K407" i="16"/>
  <c r="J406" i="16"/>
  <c r="I405" i="16"/>
  <c r="P396" i="16"/>
  <c r="N394" i="16"/>
  <c r="J390" i="16"/>
  <c r="S383" i="16"/>
  <c r="H51" i="29"/>
  <c r="K375" i="16"/>
  <c r="J374" i="16"/>
  <c r="I373" i="16"/>
  <c r="S367" i="16"/>
  <c r="Q365" i="16"/>
  <c r="M361" i="16"/>
  <c r="K359" i="16"/>
  <c r="I357" i="16"/>
  <c r="H356" i="16"/>
  <c r="G355" i="16"/>
  <c r="S351" i="16"/>
  <c r="Q349" i="16"/>
  <c r="O347" i="16"/>
  <c r="L344" i="16"/>
  <c r="M11" i="18" s="1"/>
  <c r="K343" i="16"/>
  <c r="H340" i="16"/>
  <c r="U337" i="16"/>
  <c r="S335" i="16"/>
  <c r="R334" i="16"/>
  <c r="J326" i="16"/>
  <c r="I325" i="16"/>
  <c r="G323" i="16"/>
  <c r="U321" i="16"/>
  <c r="S319" i="16"/>
  <c r="R318" i="16"/>
  <c r="N314" i="16"/>
  <c r="J5" i="29"/>
  <c r="M313" i="16"/>
  <c r="L312" i="16"/>
  <c r="K311" i="16"/>
  <c r="G307" i="16"/>
  <c r="T304" i="16"/>
  <c r="S303" i="16"/>
  <c r="P300" i="16"/>
  <c r="N298" i="16"/>
  <c r="M297" i="16"/>
  <c r="J294" i="16"/>
  <c r="G291" i="16"/>
  <c r="U289" i="16"/>
  <c r="Q285" i="16"/>
  <c r="N282" i="16"/>
  <c r="M281" i="16"/>
  <c r="L280" i="16"/>
  <c r="K279" i="16"/>
  <c r="G275" i="16"/>
  <c r="U273" i="16"/>
  <c r="T272" i="16"/>
  <c r="P268" i="16"/>
  <c r="O267" i="16"/>
  <c r="N266" i="16"/>
  <c r="L264" i="16"/>
  <c r="I261" i="16"/>
  <c r="G259" i="16"/>
  <c r="Q47" i="29"/>
  <c r="T256" i="16"/>
  <c r="R254" i="16"/>
  <c r="Q253" i="16"/>
  <c r="O251" i="16"/>
  <c r="L248" i="16"/>
  <c r="K247" i="16"/>
  <c r="J246" i="16"/>
  <c r="I245" i="16"/>
  <c r="S239" i="16"/>
  <c r="N234" i="16"/>
  <c r="M233" i="16"/>
  <c r="K231" i="16"/>
  <c r="J230" i="16"/>
  <c r="I229" i="16"/>
  <c r="G227" i="16"/>
  <c r="R222" i="16"/>
  <c r="Q221" i="16"/>
  <c r="O219" i="16"/>
  <c r="N218" i="16"/>
  <c r="J214" i="16"/>
  <c r="I213" i="16"/>
  <c r="G211" i="16"/>
  <c r="R206" i="16"/>
  <c r="Q205" i="16"/>
  <c r="O203" i="16"/>
  <c r="N202" i="16"/>
  <c r="L200" i="16"/>
  <c r="K199" i="16"/>
  <c r="J198" i="16"/>
  <c r="I197" i="16"/>
  <c r="T192" i="16"/>
  <c r="R190" i="16"/>
  <c r="N186" i="16"/>
  <c r="M185" i="16"/>
  <c r="I42" i="29"/>
  <c r="L184" i="16"/>
  <c r="K183" i="16"/>
  <c r="J182" i="16"/>
  <c r="U177" i="16"/>
  <c r="V16" i="17" s="1"/>
  <c r="T176" i="16"/>
  <c r="R174" i="16"/>
  <c r="Q173" i="16"/>
  <c r="N170" i="16"/>
  <c r="M169" i="16"/>
  <c r="K167" i="16"/>
  <c r="U161" i="16"/>
  <c r="T160" i="16"/>
  <c r="N43" i="29"/>
  <c r="Q157" i="16"/>
  <c r="P156" i="16"/>
  <c r="M153" i="16"/>
  <c r="K151" i="16"/>
  <c r="G147" i="16"/>
  <c r="U145" i="16"/>
  <c r="T144" i="16"/>
  <c r="S143" i="16"/>
  <c r="Q141" i="16"/>
  <c r="N138" i="16"/>
  <c r="J134" i="16"/>
  <c r="G131" i="16"/>
  <c r="U129" i="16"/>
  <c r="S127" i="16"/>
  <c r="R126" i="16"/>
  <c r="Q125" i="16"/>
  <c r="P124" i="16"/>
  <c r="O123" i="16"/>
  <c r="L120" i="16"/>
  <c r="J118" i="16"/>
  <c r="H116" i="16"/>
  <c r="G115" i="16"/>
  <c r="U113" i="16"/>
  <c r="T112" i="16"/>
  <c r="S111" i="16"/>
  <c r="L104" i="16"/>
  <c r="K103" i="16"/>
  <c r="J102" i="16"/>
  <c r="G99" i="16"/>
  <c r="R94" i="16"/>
  <c r="O91" i="16"/>
  <c r="M89" i="16"/>
  <c r="J86" i="16"/>
  <c r="K13" i="18" s="1"/>
  <c r="S79" i="16"/>
  <c r="P76" i="16"/>
  <c r="L72" i="16"/>
  <c r="K71" i="16"/>
  <c r="J70" i="16"/>
  <c r="U65" i="16"/>
  <c r="T64" i="16"/>
  <c r="R62" i="16"/>
  <c r="Q61" i="16"/>
  <c r="P60" i="16"/>
  <c r="M57" i="16"/>
  <c r="J54" i="16"/>
  <c r="K10" i="18" s="1"/>
  <c r="T48" i="16"/>
  <c r="L40" i="16"/>
  <c r="K39" i="16"/>
  <c r="I37" i="16"/>
  <c r="G35" i="16"/>
  <c r="T32" i="16"/>
  <c r="R30" i="16"/>
  <c r="O27" i="16"/>
  <c r="N26" i="16"/>
  <c r="M1002" i="16"/>
  <c r="L1001" i="16"/>
  <c r="J999" i="16"/>
  <c r="I998" i="16"/>
  <c r="H997" i="16"/>
  <c r="G996" i="16"/>
  <c r="Q990" i="16"/>
  <c r="P989" i="16"/>
  <c r="O988" i="16"/>
  <c r="I982" i="16"/>
  <c r="H981" i="16"/>
  <c r="G980" i="16"/>
  <c r="T977" i="16"/>
  <c r="Q974" i="16"/>
  <c r="P973" i="16"/>
  <c r="O972" i="16"/>
  <c r="M970" i="16"/>
  <c r="L969" i="16"/>
  <c r="J967" i="16"/>
  <c r="I966" i="16"/>
  <c r="H965" i="16"/>
  <c r="U962" i="16"/>
  <c r="T961" i="16"/>
  <c r="S960" i="16"/>
  <c r="Q958" i="16"/>
  <c r="P957" i="16"/>
  <c r="M954" i="16"/>
  <c r="I46" i="29"/>
  <c r="L953" i="16"/>
  <c r="J951" i="16"/>
  <c r="H949" i="16"/>
  <c r="U946" i="16"/>
  <c r="S944" i="16"/>
  <c r="R943" i="16"/>
  <c r="Q942" i="16"/>
  <c r="P941" i="16"/>
  <c r="M938" i="16"/>
  <c r="L937" i="16"/>
  <c r="K936" i="16"/>
  <c r="J935" i="16"/>
  <c r="G932" i="16"/>
  <c r="S928" i="16"/>
  <c r="R927" i="16"/>
  <c r="Q926" i="16"/>
  <c r="N923" i="16"/>
  <c r="M922" i="16"/>
  <c r="L921" i="16"/>
  <c r="K920" i="16"/>
  <c r="J919" i="16"/>
  <c r="I918" i="16"/>
  <c r="G916" i="16"/>
  <c r="S912" i="16"/>
  <c r="R911" i="16"/>
  <c r="Q910" i="16"/>
  <c r="R24" i="18" s="1"/>
  <c r="M906" i="16"/>
  <c r="J903" i="16"/>
  <c r="I902" i="16"/>
  <c r="G900" i="16"/>
  <c r="U898" i="16"/>
  <c r="T897" i="16"/>
  <c r="R895" i="16"/>
  <c r="Q894" i="16"/>
  <c r="O892" i="16"/>
  <c r="M890" i="16"/>
  <c r="L889" i="16"/>
  <c r="J887" i="16"/>
  <c r="I886" i="16"/>
  <c r="H885" i="16"/>
  <c r="S880" i="16"/>
  <c r="O876" i="16"/>
  <c r="M874" i="16"/>
  <c r="K872" i="16"/>
  <c r="I870" i="16"/>
  <c r="H869" i="16"/>
  <c r="U866" i="16"/>
  <c r="T865" i="16"/>
  <c r="S864" i="16"/>
  <c r="N859" i="16"/>
  <c r="J855" i="16"/>
  <c r="I854" i="16"/>
  <c r="T849" i="16"/>
  <c r="Q846" i="16"/>
  <c r="O844" i="16"/>
  <c r="N843" i="16"/>
  <c r="L841" i="16"/>
  <c r="J839" i="16"/>
  <c r="I838" i="16"/>
  <c r="G836" i="16"/>
  <c r="U834" i="16"/>
  <c r="T833" i="16"/>
  <c r="R831" i="16"/>
  <c r="Q830" i="16"/>
  <c r="O828" i="16"/>
  <c r="J823" i="16"/>
  <c r="I822" i="16"/>
  <c r="P813" i="16"/>
  <c r="N811" i="16"/>
  <c r="K808" i="16"/>
  <c r="F45" i="29"/>
  <c r="I806" i="16"/>
  <c r="U802" i="16"/>
  <c r="Q798" i="16"/>
  <c r="P797" i="16"/>
  <c r="O796" i="16"/>
  <c r="N795" i="16"/>
  <c r="M794" i="16"/>
  <c r="K792" i="16"/>
  <c r="I790" i="16"/>
  <c r="H789" i="16"/>
  <c r="U786" i="16"/>
  <c r="R783" i="16"/>
  <c r="L49" i="29"/>
  <c r="O780" i="16"/>
  <c r="M778" i="16"/>
  <c r="K776" i="16"/>
  <c r="J775" i="16"/>
  <c r="H773" i="16"/>
  <c r="G772" i="16"/>
  <c r="U770" i="16"/>
  <c r="S768" i="16"/>
  <c r="Q766" i="16"/>
  <c r="P765" i="16"/>
  <c r="O764" i="16"/>
  <c r="N763" i="16"/>
  <c r="J759" i="16"/>
  <c r="H757" i="16"/>
  <c r="R751" i="16"/>
  <c r="P749" i="16"/>
  <c r="N747" i="16"/>
  <c r="M746" i="16"/>
  <c r="I742" i="16"/>
  <c r="H741" i="16"/>
  <c r="P733" i="16"/>
  <c r="J727" i="16"/>
  <c r="H725" i="16"/>
  <c r="T721" i="16"/>
  <c r="S720" i="16"/>
  <c r="P717" i="16"/>
  <c r="L713" i="16"/>
  <c r="I710" i="16"/>
  <c r="R703" i="16"/>
  <c r="N699" i="16"/>
  <c r="M698" i="16"/>
  <c r="L697" i="16"/>
  <c r="K696" i="16"/>
  <c r="J695" i="16"/>
  <c r="I694" i="16"/>
  <c r="U690" i="16"/>
  <c r="T689" i="16"/>
  <c r="Q686" i="16"/>
  <c r="P685" i="16"/>
  <c r="O684" i="16"/>
  <c r="M682" i="16"/>
  <c r="L681" i="16"/>
  <c r="J679" i="16"/>
  <c r="H677" i="16"/>
  <c r="T673" i="16"/>
  <c r="S672" i="16"/>
  <c r="R671" i="16"/>
  <c r="Q670" i="16"/>
  <c r="N667" i="16"/>
  <c r="L665" i="16"/>
  <c r="K664" i="16"/>
  <c r="L9" i="18" s="1"/>
  <c r="J663" i="16"/>
  <c r="I662" i="16"/>
  <c r="T657" i="16"/>
  <c r="Q654" i="16"/>
  <c r="P653" i="16"/>
  <c r="M650" i="16"/>
  <c r="L649" i="16"/>
  <c r="H6" i="29"/>
  <c r="K648" i="16"/>
  <c r="I646" i="16"/>
  <c r="H645" i="16"/>
  <c r="T641" i="16"/>
  <c r="S640" i="16"/>
  <c r="R639" i="16"/>
  <c r="N635" i="16"/>
  <c r="M634" i="16"/>
  <c r="G48" i="29"/>
  <c r="J631" i="16"/>
  <c r="I630" i="16"/>
  <c r="U626" i="16"/>
  <c r="T625" i="16"/>
  <c r="P57" i="29"/>
  <c r="S624" i="16"/>
  <c r="Q622" i="16"/>
  <c r="P621" i="16"/>
  <c r="O620" i="16"/>
  <c r="I614" i="16"/>
  <c r="H613" i="16"/>
  <c r="S608" i="16"/>
  <c r="Q606" i="16"/>
  <c r="P605" i="16"/>
  <c r="O604" i="16"/>
  <c r="N603" i="16"/>
  <c r="M602" i="16"/>
  <c r="L601" i="16"/>
  <c r="K600" i="16"/>
  <c r="G596" i="16"/>
  <c r="T593" i="16"/>
  <c r="S592" i="16"/>
  <c r="R591" i="16"/>
  <c r="Q590" i="16"/>
  <c r="O588" i="16"/>
  <c r="N587" i="16"/>
  <c r="L585" i="16"/>
  <c r="J583" i="16"/>
  <c r="I582" i="16"/>
  <c r="E44" i="29"/>
  <c r="H581" i="16"/>
  <c r="D24" i="29"/>
  <c r="G580" i="16"/>
  <c r="R575" i="16"/>
  <c r="Q574" i="16"/>
  <c r="P573" i="16"/>
  <c r="O572" i="16"/>
  <c r="L569" i="16"/>
  <c r="K568" i="16"/>
  <c r="H565" i="16"/>
  <c r="N50" i="29"/>
  <c r="Q558" i="16"/>
  <c r="P557" i="16"/>
  <c r="I550" i="16"/>
  <c r="P541" i="16"/>
  <c r="L537" i="16"/>
  <c r="I534" i="16"/>
  <c r="G532" i="16"/>
  <c r="S528" i="16"/>
  <c r="T13" i="17" s="1"/>
  <c r="Q526" i="16"/>
  <c r="N523" i="16"/>
  <c r="M522" i="16"/>
  <c r="J519" i="16"/>
  <c r="H517" i="16"/>
  <c r="S512" i="16"/>
  <c r="N507" i="16"/>
  <c r="J503" i="16"/>
  <c r="I502" i="16"/>
  <c r="Q494" i="16"/>
  <c r="P493" i="16"/>
  <c r="I486" i="16"/>
  <c r="S480" i="16"/>
  <c r="O476" i="16"/>
  <c r="N475" i="16"/>
  <c r="M474" i="16"/>
  <c r="I470" i="16"/>
  <c r="H469" i="16"/>
  <c r="Q462" i="16"/>
  <c r="P461" i="16"/>
  <c r="M458" i="16"/>
  <c r="H453" i="16"/>
  <c r="G452" i="16"/>
  <c r="S448" i="16"/>
  <c r="N443" i="16"/>
  <c r="M442" i="16"/>
  <c r="L441" i="16"/>
  <c r="K440" i="16"/>
  <c r="H437" i="16"/>
  <c r="U434" i="16"/>
  <c r="T433" i="16"/>
  <c r="S432" i="16"/>
  <c r="P429" i="16"/>
  <c r="M426" i="16"/>
  <c r="L425" i="16"/>
  <c r="I422" i="16"/>
  <c r="H421" i="16"/>
  <c r="O52" i="29"/>
  <c r="R415" i="16"/>
  <c r="Q414" i="16"/>
  <c r="P413" i="16"/>
  <c r="J407" i="16"/>
  <c r="I406" i="16"/>
  <c r="H405" i="16"/>
  <c r="O396" i="16"/>
  <c r="M394" i="16"/>
  <c r="I390" i="16"/>
  <c r="U386" i="16"/>
  <c r="R383" i="16"/>
  <c r="G51" i="29"/>
  <c r="J375" i="16"/>
  <c r="I374" i="16"/>
  <c r="U370" i="16"/>
  <c r="R367" i="16"/>
  <c r="P365" i="16"/>
  <c r="L361" i="16"/>
  <c r="H357" i="16"/>
  <c r="R351" i="16"/>
  <c r="N347" i="16"/>
  <c r="K344" i="16"/>
  <c r="L11" i="18" s="1"/>
  <c r="T337" i="16"/>
  <c r="R335" i="16"/>
  <c r="Q334" i="16"/>
  <c r="N331" i="16"/>
  <c r="K328" i="16"/>
  <c r="I326" i="16"/>
  <c r="H325" i="16"/>
  <c r="T321" i="16"/>
  <c r="R319" i="16"/>
  <c r="Q318" i="16"/>
  <c r="M314" i="16"/>
  <c r="I5" i="29"/>
  <c r="L313" i="16"/>
  <c r="K312" i="16"/>
  <c r="J311" i="16"/>
  <c r="U306" i="16"/>
  <c r="S304" i="16"/>
  <c r="R303" i="16"/>
  <c r="O300" i="16"/>
  <c r="M298" i="16"/>
  <c r="L297" i="16"/>
  <c r="K296" i="16"/>
  <c r="I294" i="16"/>
  <c r="T289" i="16"/>
  <c r="P285" i="16"/>
  <c r="M282" i="16"/>
  <c r="I30" i="29"/>
  <c r="L281" i="16"/>
  <c r="K280" i="16"/>
  <c r="J279" i="16"/>
  <c r="U274" i="16"/>
  <c r="T273" i="16"/>
  <c r="S272" i="16"/>
  <c r="O268" i="16"/>
  <c r="N267" i="16"/>
  <c r="M266" i="16"/>
  <c r="K264" i="16"/>
  <c r="H261" i="16"/>
  <c r="U258" i="16"/>
  <c r="P47" i="29"/>
  <c r="S256" i="16"/>
  <c r="Q254" i="16"/>
  <c r="P253" i="16"/>
  <c r="N251" i="16"/>
  <c r="K248" i="16"/>
  <c r="J247" i="16"/>
  <c r="I246" i="16"/>
  <c r="H245" i="16"/>
  <c r="U242" i="16"/>
  <c r="R239" i="16"/>
  <c r="M234" i="16"/>
  <c r="L233" i="16"/>
  <c r="J231" i="16"/>
  <c r="I230" i="16"/>
  <c r="H229" i="16"/>
  <c r="U226" i="16"/>
  <c r="Q222" i="16"/>
  <c r="P221" i="16"/>
  <c r="N219" i="16"/>
  <c r="M218" i="16"/>
  <c r="I214" i="16"/>
  <c r="H213" i="16"/>
  <c r="U210" i="16"/>
  <c r="O23" i="29"/>
  <c r="R207" i="16"/>
  <c r="Q206" i="16"/>
  <c r="P205" i="16"/>
  <c r="N203" i="16"/>
  <c r="M202" i="16"/>
  <c r="K200" i="16"/>
  <c r="J199" i="16"/>
  <c r="I198" i="16"/>
  <c r="H197" i="16"/>
  <c r="S192" i="16"/>
  <c r="Q190" i="16"/>
  <c r="M186" i="16"/>
  <c r="L185" i="16"/>
  <c r="H42" i="29"/>
  <c r="K184" i="16"/>
  <c r="J183" i="16"/>
  <c r="I182" i="16"/>
  <c r="T177" i="16"/>
  <c r="U16" i="17" s="1"/>
  <c r="S176" i="16"/>
  <c r="Q174" i="16"/>
  <c r="P173" i="16"/>
  <c r="M170" i="16"/>
  <c r="L169" i="16"/>
  <c r="K168" i="16"/>
  <c r="J167" i="16"/>
  <c r="U162" i="16"/>
  <c r="T161" i="16"/>
  <c r="S160" i="16"/>
  <c r="M43" i="29"/>
  <c r="P157" i="16"/>
  <c r="O156" i="16"/>
  <c r="M154" i="16"/>
  <c r="L153" i="16"/>
  <c r="J151" i="16"/>
  <c r="U146" i="16"/>
  <c r="T145" i="16"/>
  <c r="S144" i="16"/>
  <c r="R143" i="16"/>
  <c r="P141" i="16"/>
  <c r="M138" i="16"/>
  <c r="I134" i="16"/>
  <c r="U130" i="16"/>
  <c r="T129" i="16"/>
  <c r="R127" i="16"/>
  <c r="Q126" i="16"/>
  <c r="P125" i="16"/>
  <c r="O124" i="16"/>
  <c r="N123" i="16"/>
  <c r="K120" i="16"/>
  <c r="J119" i="16"/>
  <c r="I118" i="16"/>
  <c r="G116" i="16"/>
  <c r="T113" i="16"/>
  <c r="S112" i="16"/>
  <c r="R111" i="16"/>
  <c r="K104" i="16"/>
  <c r="J103" i="16"/>
  <c r="I102" i="16"/>
  <c r="U98" i="16"/>
  <c r="R95" i="16"/>
  <c r="Q94" i="16"/>
  <c r="N91" i="16"/>
  <c r="L89" i="16"/>
  <c r="I86" i="16"/>
  <c r="J13" i="18" s="1"/>
  <c r="U82" i="16"/>
  <c r="T81" i="16"/>
  <c r="R79" i="16"/>
  <c r="O76" i="16"/>
  <c r="K72" i="16"/>
  <c r="J71" i="16"/>
  <c r="I70" i="16"/>
  <c r="R3" i="29"/>
  <c r="U66" i="16"/>
  <c r="T65" i="16"/>
  <c r="S64" i="16"/>
  <c r="Q62" i="16"/>
  <c r="P61" i="16"/>
  <c r="O60" i="16"/>
  <c r="L57" i="16"/>
  <c r="I54" i="16"/>
  <c r="J10" i="18" s="1"/>
  <c r="S48" i="16"/>
  <c r="K40" i="16"/>
  <c r="G21" i="29"/>
  <c r="J39" i="16"/>
  <c r="H37" i="16"/>
  <c r="S32" i="16"/>
  <c r="Q30" i="16"/>
  <c r="N27" i="16"/>
  <c r="M26" i="16"/>
  <c r="K24" i="16"/>
  <c r="G20" i="16"/>
  <c r="U18" i="16"/>
  <c r="S16" i="16"/>
  <c r="Q14" i="16"/>
  <c r="O12" i="16"/>
  <c r="L9" i="16"/>
  <c r="K8" i="16"/>
  <c r="J7" i="16"/>
  <c r="H5" i="16"/>
  <c r="G4" i="16"/>
  <c r="P1102" i="16"/>
  <c r="N1100" i="16"/>
  <c r="L1098" i="16"/>
  <c r="K1097" i="16"/>
  <c r="J1096" i="16"/>
  <c r="G1093" i="16"/>
  <c r="S1089" i="16"/>
  <c r="R1088" i="16"/>
  <c r="O1085" i="16"/>
  <c r="N1084" i="16"/>
  <c r="M1083" i="16"/>
  <c r="K1081" i="16"/>
  <c r="J1080" i="16"/>
  <c r="G1077" i="16"/>
  <c r="U1075" i="16"/>
  <c r="R1072" i="16"/>
  <c r="N1068" i="16"/>
  <c r="K1065" i="16"/>
  <c r="G1061" i="16"/>
  <c r="S1057" i="16"/>
  <c r="O1053" i="16"/>
  <c r="N1052" i="16"/>
  <c r="M1051" i="16"/>
  <c r="K1049" i="16"/>
  <c r="G1045" i="16"/>
  <c r="U1043" i="16"/>
  <c r="R1040" i="16"/>
  <c r="P1038" i="16"/>
  <c r="O1037" i="16"/>
  <c r="N1036" i="16"/>
  <c r="M1035" i="16"/>
  <c r="J1032" i="16"/>
  <c r="H1030" i="16"/>
  <c r="G1029" i="16"/>
  <c r="T1026" i="16"/>
  <c r="R1024" i="16"/>
  <c r="P1022" i="16"/>
  <c r="O1021" i="16"/>
  <c r="N1020" i="16"/>
  <c r="K1017" i="16"/>
  <c r="J1016" i="16"/>
  <c r="H1014" i="16"/>
  <c r="G1013" i="16"/>
  <c r="U1011" i="16"/>
  <c r="R1008" i="16"/>
  <c r="Q1007" i="16"/>
  <c r="P1006" i="16"/>
  <c r="L1002" i="16"/>
  <c r="K1001" i="16"/>
  <c r="I999" i="16"/>
  <c r="H998" i="16"/>
  <c r="G997" i="16"/>
  <c r="P990" i="16"/>
  <c r="O989" i="16"/>
  <c r="N988" i="16"/>
  <c r="H982" i="16"/>
  <c r="G981" i="16"/>
  <c r="S977" i="16"/>
  <c r="P974" i="16"/>
  <c r="O973" i="16"/>
  <c r="N972" i="16"/>
  <c r="L970" i="16"/>
  <c r="K969" i="16"/>
  <c r="I967" i="16"/>
  <c r="H966" i="16"/>
  <c r="G965" i="16"/>
  <c r="T962" i="16"/>
  <c r="S961" i="16"/>
  <c r="R960" i="16"/>
  <c r="P958" i="16"/>
  <c r="O957" i="16"/>
  <c r="L954" i="16"/>
  <c r="H46" i="29"/>
  <c r="K953" i="16"/>
  <c r="I951" i="16"/>
  <c r="G949" i="16"/>
  <c r="T946" i="16"/>
  <c r="R944" i="16"/>
  <c r="Q943" i="16"/>
  <c r="P942" i="16"/>
  <c r="O941" i="16"/>
  <c r="L938" i="16"/>
  <c r="K937" i="16"/>
  <c r="J936" i="16"/>
  <c r="I935" i="16"/>
  <c r="U931" i="16"/>
  <c r="R928" i="16"/>
  <c r="Q927" i="16"/>
  <c r="P926" i="16"/>
  <c r="M923" i="16"/>
  <c r="L922" i="16"/>
  <c r="K921" i="16"/>
  <c r="J920" i="16"/>
  <c r="I919" i="16"/>
  <c r="H918" i="16"/>
  <c r="R912" i="16"/>
  <c r="Q911" i="16"/>
  <c r="P910" i="16"/>
  <c r="L906" i="16"/>
  <c r="J904" i="16"/>
  <c r="I903" i="16"/>
  <c r="H902" i="16"/>
  <c r="U899" i="16"/>
  <c r="S897" i="16"/>
  <c r="Q895" i="16"/>
  <c r="P894" i="16"/>
  <c r="N892" i="16"/>
  <c r="L890" i="16"/>
  <c r="K889" i="16"/>
  <c r="I887" i="16"/>
  <c r="H886" i="16"/>
  <c r="G885" i="16"/>
  <c r="S881" i="16"/>
  <c r="R880" i="16"/>
  <c r="N876" i="16"/>
  <c r="L874" i="16"/>
  <c r="J872" i="16"/>
  <c r="H870" i="16"/>
  <c r="G869" i="16"/>
  <c r="T866" i="16"/>
  <c r="S865" i="16"/>
  <c r="R864" i="16"/>
  <c r="O861" i="16"/>
  <c r="M859" i="16"/>
  <c r="H854" i="16"/>
  <c r="U851" i="16"/>
  <c r="S849" i="16"/>
  <c r="P846" i="16"/>
  <c r="N844" i="16"/>
  <c r="M843" i="16"/>
  <c r="H10" i="29"/>
  <c r="K841" i="16"/>
  <c r="I839" i="16"/>
  <c r="H838" i="16"/>
  <c r="U835" i="16"/>
  <c r="T834" i="16"/>
  <c r="S833" i="16"/>
  <c r="P830" i="16"/>
  <c r="N828" i="16"/>
  <c r="I823" i="16"/>
  <c r="H822" i="16"/>
  <c r="U819" i="16"/>
  <c r="O813" i="16"/>
  <c r="M811" i="16"/>
  <c r="J808" i="16"/>
  <c r="E45" i="29"/>
  <c r="H806" i="16"/>
  <c r="T802" i="16"/>
  <c r="P798" i="16"/>
  <c r="O797" i="16"/>
  <c r="N796" i="16"/>
  <c r="M795" i="16"/>
  <c r="L794" i="16"/>
  <c r="J792" i="16"/>
  <c r="H790" i="16"/>
  <c r="G789" i="16"/>
  <c r="U787" i="16"/>
  <c r="V12" i="18" s="1"/>
  <c r="T786" i="16"/>
  <c r="K49" i="29"/>
  <c r="N780" i="16"/>
  <c r="L778" i="16"/>
  <c r="J776" i="16"/>
  <c r="I775" i="16"/>
  <c r="G773" i="16"/>
  <c r="T770" i="16"/>
  <c r="R768" i="16"/>
  <c r="P766" i="16"/>
  <c r="O765" i="16"/>
  <c r="N764" i="16"/>
  <c r="M763" i="16"/>
  <c r="I759" i="16"/>
  <c r="G757" i="16"/>
  <c r="Q751" i="16"/>
  <c r="O749" i="16"/>
  <c r="M747" i="16"/>
  <c r="L746" i="16"/>
  <c r="H742" i="16"/>
  <c r="G741" i="16"/>
  <c r="O733" i="16"/>
  <c r="I727" i="16"/>
  <c r="G725" i="16"/>
  <c r="S721" i="16"/>
  <c r="R720" i="16"/>
  <c r="O717" i="16"/>
  <c r="K713" i="16"/>
  <c r="H710" i="16"/>
  <c r="M699" i="16"/>
  <c r="L698" i="16"/>
  <c r="K697" i="16"/>
  <c r="J696" i="16"/>
  <c r="I695" i="16"/>
  <c r="H694" i="16"/>
  <c r="U691" i="16"/>
  <c r="T690" i="16"/>
  <c r="S689" i="16"/>
  <c r="R688" i="16"/>
  <c r="P686" i="16"/>
  <c r="O685" i="16"/>
  <c r="N684" i="16"/>
  <c r="L682" i="16"/>
  <c r="K681" i="16"/>
  <c r="I679" i="16"/>
  <c r="G677" i="16"/>
  <c r="S673" i="16"/>
  <c r="R672" i="16"/>
  <c r="Q671" i="16"/>
  <c r="P670" i="16"/>
  <c r="M667" i="16"/>
  <c r="J664" i="16"/>
  <c r="K9" i="18" s="1"/>
  <c r="I663" i="16"/>
  <c r="H662" i="16"/>
  <c r="U659" i="16"/>
  <c r="P654" i="16"/>
  <c r="O653" i="16"/>
  <c r="L650" i="16"/>
  <c r="K649" i="16"/>
  <c r="G6" i="29"/>
  <c r="J648" i="16"/>
  <c r="H646" i="16"/>
  <c r="G645" i="16"/>
  <c r="U643" i="16"/>
  <c r="S641" i="16"/>
  <c r="R640" i="16"/>
  <c r="Q639" i="16"/>
  <c r="M635" i="16"/>
  <c r="L634" i="16"/>
  <c r="H630" i="16"/>
  <c r="T626" i="16"/>
  <c r="S625" i="16"/>
  <c r="R624" i="16"/>
  <c r="P622" i="16"/>
  <c r="O621" i="16"/>
  <c r="N620" i="16"/>
  <c r="K617" i="16"/>
  <c r="H614" i="16"/>
  <c r="G613" i="16"/>
  <c r="R608" i="16"/>
  <c r="P606" i="16"/>
  <c r="O605" i="16"/>
  <c r="N604" i="16"/>
  <c r="M603" i="16"/>
  <c r="L602" i="16"/>
  <c r="K601" i="16"/>
  <c r="J600" i="16"/>
  <c r="S593" i="16"/>
  <c r="R592" i="16"/>
  <c r="Q591" i="16"/>
  <c r="P590" i="16"/>
  <c r="N588" i="16"/>
  <c r="M587" i="16"/>
  <c r="K585" i="16"/>
  <c r="I583" i="16"/>
  <c r="H582" i="16"/>
  <c r="U579" i="16"/>
  <c r="Q575" i="16"/>
  <c r="P574" i="16"/>
  <c r="N572" i="16"/>
  <c r="K569" i="16"/>
  <c r="J568" i="16"/>
  <c r="I567" i="16"/>
  <c r="H566" i="16"/>
  <c r="G565" i="16"/>
  <c r="M50" i="29"/>
  <c r="P558" i="16"/>
  <c r="O557" i="16"/>
  <c r="N556" i="16"/>
  <c r="H550" i="16"/>
  <c r="O541" i="16"/>
  <c r="K537" i="16"/>
  <c r="H534" i="16"/>
  <c r="R528" i="16"/>
  <c r="S13" i="17" s="1"/>
  <c r="P526" i="16"/>
  <c r="M523" i="16"/>
  <c r="L522" i="16"/>
  <c r="I519" i="16"/>
  <c r="G517" i="16"/>
  <c r="U515" i="16"/>
  <c r="R512" i="16"/>
  <c r="M507" i="16"/>
  <c r="I503" i="16"/>
  <c r="H502" i="16"/>
  <c r="R41" i="29"/>
  <c r="U499" i="16"/>
  <c r="Q495" i="16"/>
  <c r="P494" i="16"/>
  <c r="O493" i="16"/>
  <c r="H486" i="16"/>
  <c r="U483" i="16"/>
  <c r="R480" i="16"/>
  <c r="N476" i="16"/>
  <c r="M475" i="16"/>
  <c r="L474" i="16"/>
  <c r="H470" i="16"/>
  <c r="G469" i="16"/>
  <c r="U467" i="16"/>
  <c r="O461" i="16"/>
  <c r="L458" i="16"/>
  <c r="F53" i="29"/>
  <c r="I455" i="16"/>
  <c r="G453" i="16"/>
  <c r="R448" i="16"/>
  <c r="N444" i="16"/>
  <c r="M443" i="16"/>
  <c r="L442" i="16"/>
  <c r="K441" i="16"/>
  <c r="J440" i="16"/>
  <c r="G437" i="16"/>
  <c r="U435" i="16"/>
  <c r="T434" i="16"/>
  <c r="S433" i="16"/>
  <c r="R432" i="16"/>
  <c r="O429" i="16"/>
  <c r="N428" i="16"/>
  <c r="L426" i="16"/>
  <c r="K425" i="16"/>
  <c r="E36" i="29"/>
  <c r="H422" i="16"/>
  <c r="G421" i="16"/>
  <c r="U419" i="16"/>
  <c r="N52" i="29"/>
  <c r="Q415" i="16"/>
  <c r="P414" i="16"/>
  <c r="O413" i="16"/>
  <c r="I407" i="16"/>
  <c r="H406" i="16"/>
  <c r="G405" i="16"/>
  <c r="N396" i="16"/>
  <c r="L394" i="16"/>
  <c r="H390" i="16"/>
  <c r="T386" i="16"/>
  <c r="Q383" i="16"/>
  <c r="F51" i="29"/>
  <c r="I375" i="16"/>
  <c r="H374" i="16"/>
  <c r="G373" i="16"/>
  <c r="T370" i="16"/>
  <c r="Q367" i="16"/>
  <c r="K361" i="16"/>
  <c r="I359" i="16"/>
  <c r="G357" i="16"/>
  <c r="U355" i="16"/>
  <c r="Q351" i="16"/>
  <c r="O349" i="16"/>
  <c r="M347" i="16"/>
  <c r="J344" i="16"/>
  <c r="K11" i="18" s="1"/>
  <c r="S337" i="16"/>
  <c r="Q335" i="16"/>
  <c r="P334" i="16"/>
  <c r="M331" i="16"/>
  <c r="G39" i="29"/>
  <c r="J328" i="16"/>
  <c r="H326" i="16"/>
  <c r="G325" i="16"/>
  <c r="U323" i="16"/>
  <c r="S321" i="16"/>
  <c r="Q319" i="16"/>
  <c r="L314" i="16"/>
  <c r="K313" i="16"/>
  <c r="J312" i="16"/>
  <c r="I311" i="16"/>
  <c r="U307" i="16"/>
  <c r="T306" i="16"/>
  <c r="R304" i="16"/>
  <c r="Q303" i="16"/>
  <c r="N300" i="16"/>
  <c r="L298" i="16"/>
  <c r="K297" i="16"/>
  <c r="J296" i="16"/>
  <c r="K14" i="17" s="1"/>
  <c r="H294" i="16"/>
  <c r="U291" i="16"/>
  <c r="S289" i="16"/>
  <c r="O285" i="16"/>
  <c r="H30" i="29"/>
  <c r="K281" i="16"/>
  <c r="I279" i="16"/>
  <c r="R17" i="29"/>
  <c r="U275" i="16"/>
  <c r="T274" i="16"/>
  <c r="P34" i="29"/>
  <c r="S273" i="16"/>
  <c r="R272" i="16"/>
  <c r="M267" i="16"/>
  <c r="L266" i="16"/>
  <c r="J264" i="16"/>
  <c r="U259" i="16"/>
  <c r="T258" i="16"/>
  <c r="R256" i="16"/>
  <c r="P254" i="16"/>
  <c r="O253" i="16"/>
  <c r="M251" i="16"/>
  <c r="J248" i="16"/>
  <c r="F12" i="29"/>
  <c r="I247" i="16"/>
  <c r="H246" i="16"/>
  <c r="G245" i="16"/>
  <c r="T242" i="16"/>
  <c r="Q239" i="16"/>
  <c r="L234" i="16"/>
  <c r="K233" i="16"/>
  <c r="I231" i="16"/>
  <c r="H230" i="16"/>
  <c r="D16" i="29"/>
  <c r="G229" i="16"/>
  <c r="T226" i="16"/>
  <c r="P222" i="16"/>
  <c r="O221" i="16"/>
  <c r="M219" i="16"/>
  <c r="L218" i="16"/>
  <c r="H214" i="16"/>
  <c r="G213" i="16"/>
  <c r="U211" i="16"/>
  <c r="T210" i="16"/>
  <c r="N23" i="29"/>
  <c r="Q207" i="16"/>
  <c r="P206" i="16"/>
  <c r="O205" i="16"/>
  <c r="M203" i="16"/>
  <c r="L202" i="16"/>
  <c r="J200" i="16"/>
  <c r="I199" i="16"/>
  <c r="H198" i="16"/>
  <c r="G197" i="16"/>
  <c r="R192" i="16"/>
  <c r="P190" i="16"/>
  <c r="L186" i="16"/>
  <c r="K185" i="16"/>
  <c r="G42" i="29"/>
  <c r="J184" i="16"/>
  <c r="I183" i="16"/>
  <c r="H182" i="16"/>
  <c r="S177" i="16"/>
  <c r="T16" i="17" s="1"/>
  <c r="R176" i="16"/>
  <c r="O173" i="16"/>
  <c r="L170" i="16"/>
  <c r="K169" i="16"/>
  <c r="J168" i="16"/>
  <c r="I167" i="16"/>
  <c r="T162" i="16"/>
  <c r="S161" i="16"/>
  <c r="R160" i="16"/>
  <c r="L43" i="29"/>
  <c r="O157" i="16"/>
  <c r="N156" i="16"/>
  <c r="L154" i="16"/>
  <c r="K153" i="16"/>
  <c r="U147" i="16"/>
  <c r="T146" i="16"/>
  <c r="S145" i="16"/>
  <c r="R144" i="16"/>
  <c r="Q143" i="16"/>
  <c r="O141" i="16"/>
  <c r="L138" i="16"/>
  <c r="H134" i="16"/>
  <c r="U131" i="16"/>
  <c r="T130" i="16"/>
  <c r="S129" i="16"/>
  <c r="Q127" i="16"/>
  <c r="P126" i="16"/>
  <c r="N124" i="16"/>
  <c r="M123" i="16"/>
  <c r="J120" i="16"/>
  <c r="I119" i="16"/>
  <c r="H118" i="16"/>
  <c r="U115" i="16"/>
  <c r="S113" i="16"/>
  <c r="R112" i="16"/>
  <c r="J104" i="16"/>
  <c r="I103" i="16"/>
  <c r="U99" i="16"/>
  <c r="T98" i="16"/>
  <c r="P94" i="16"/>
  <c r="M91" i="16"/>
  <c r="K89" i="16"/>
  <c r="H86" i="16"/>
  <c r="I13" i="18" s="1"/>
  <c r="Q25" i="29"/>
  <c r="T82" i="16"/>
  <c r="S81" i="16"/>
  <c r="Q79" i="16"/>
  <c r="N76" i="16"/>
  <c r="J72" i="16"/>
  <c r="I71" i="16"/>
  <c r="H70" i="16"/>
  <c r="Q3" i="29"/>
  <c r="T66" i="16"/>
  <c r="S65" i="16"/>
  <c r="R64" i="16"/>
  <c r="P62" i="16"/>
  <c r="O61" i="16"/>
  <c r="N60" i="16"/>
  <c r="K57" i="16"/>
  <c r="H54" i="16"/>
  <c r="I10" i="18" s="1"/>
  <c r="R48" i="16"/>
  <c r="J40" i="16"/>
  <c r="F21" i="29"/>
  <c r="I39" i="16"/>
  <c r="U35" i="16"/>
  <c r="T34" i="16"/>
  <c r="R32" i="16"/>
  <c r="P30" i="16"/>
  <c r="M27" i="16"/>
  <c r="L26" i="16"/>
  <c r="J24" i="16"/>
  <c r="T18" i="16"/>
  <c r="R16" i="16"/>
  <c r="P14" i="16"/>
  <c r="N12" i="16"/>
  <c r="M11" i="16"/>
  <c r="K9" i="16"/>
  <c r="J8" i="16"/>
  <c r="I7" i="16"/>
  <c r="G5" i="16"/>
  <c r="S1235" i="16"/>
  <c r="R1234" i="16"/>
  <c r="P58" i="29"/>
  <c r="S1219" i="16"/>
  <c r="J56" i="29"/>
  <c r="M1213" i="16"/>
  <c r="E55" i="29"/>
  <c r="H1208" i="16"/>
  <c r="P54" i="29"/>
  <c r="S1203" i="16"/>
  <c r="J1162" i="16"/>
  <c r="I1161" i="16"/>
  <c r="R1122" i="16"/>
  <c r="M1117" i="16"/>
  <c r="L1116" i="16"/>
  <c r="K1115" i="16"/>
  <c r="J1114" i="16"/>
  <c r="Q1105" i="16"/>
  <c r="P1104" i="16"/>
  <c r="N1102" i="16"/>
  <c r="L1100" i="16"/>
  <c r="J1098" i="16"/>
  <c r="I1097" i="16"/>
  <c r="H1096" i="16"/>
  <c r="U1093" i="16"/>
  <c r="T1092" i="16"/>
  <c r="Q1089" i="16"/>
  <c r="P1088" i="16"/>
  <c r="M1085" i="16"/>
  <c r="L1084" i="16"/>
  <c r="K1083" i="16"/>
  <c r="I1081" i="16"/>
  <c r="H1080" i="16"/>
  <c r="U1077" i="16"/>
  <c r="T1076" i="16"/>
  <c r="S1075" i="16"/>
  <c r="P1072" i="16"/>
  <c r="L1068" i="16"/>
  <c r="I1065" i="16"/>
  <c r="U1061" i="16"/>
  <c r="T1060" i="16"/>
  <c r="Q1057" i="16"/>
  <c r="M1053" i="16"/>
  <c r="L1052" i="16"/>
  <c r="I1049" i="16"/>
  <c r="U1045" i="16"/>
  <c r="S1043" i="16"/>
  <c r="P1040" i="16"/>
  <c r="O1039" i="16"/>
  <c r="N1038" i="16"/>
  <c r="M1037" i="16"/>
  <c r="L1036" i="16"/>
  <c r="K1035" i="16"/>
  <c r="U1029" i="16"/>
  <c r="T1028" i="16"/>
  <c r="R1026" i="16"/>
  <c r="P1024" i="16"/>
  <c r="N1022" i="16"/>
  <c r="M1021" i="16"/>
  <c r="L1020" i="16"/>
  <c r="I1017" i="16"/>
  <c r="H1016" i="16"/>
  <c r="U1013" i="16"/>
  <c r="T1012" i="16"/>
  <c r="S1011" i="16"/>
  <c r="P1008" i="16"/>
  <c r="O1007" i="16"/>
  <c r="N1006" i="16"/>
  <c r="J1002" i="16"/>
  <c r="I1001" i="16"/>
  <c r="G999" i="16"/>
  <c r="U997" i="16"/>
  <c r="T996" i="16"/>
  <c r="N990" i="16"/>
  <c r="M989" i="16"/>
  <c r="L988" i="16"/>
  <c r="U981" i="16"/>
  <c r="T980" i="16"/>
  <c r="Q977" i="16"/>
  <c r="N974" i="16"/>
  <c r="M973" i="16"/>
  <c r="L972" i="16"/>
  <c r="J970" i="16"/>
  <c r="I969" i="16"/>
  <c r="G967" i="16"/>
  <c r="U965" i="16"/>
  <c r="R962" i="16"/>
  <c r="Q961" i="16"/>
  <c r="P960" i="16"/>
  <c r="N958" i="16"/>
  <c r="M957" i="16"/>
  <c r="J954" i="16"/>
  <c r="F46" i="29"/>
  <c r="I953" i="16"/>
  <c r="G951" i="16"/>
  <c r="U949" i="16"/>
  <c r="R946" i="16"/>
  <c r="P944" i="16"/>
  <c r="O943" i="16"/>
  <c r="N942" i="16"/>
  <c r="M941" i="16"/>
  <c r="J938" i="16"/>
  <c r="I937" i="16"/>
  <c r="H936" i="16"/>
  <c r="G935" i="16"/>
  <c r="T932" i="16"/>
  <c r="S931" i="16"/>
  <c r="P928" i="16"/>
  <c r="O927" i="16"/>
  <c r="N926" i="16"/>
  <c r="K923" i="16"/>
  <c r="I921" i="16"/>
  <c r="H920" i="16"/>
  <c r="G919" i="16"/>
  <c r="T916" i="16"/>
  <c r="P912" i="16"/>
  <c r="O911" i="16"/>
  <c r="N910" i="16"/>
  <c r="J906" i="16"/>
  <c r="H904" i="16"/>
  <c r="G903" i="16"/>
  <c r="T900" i="16"/>
  <c r="S899" i="16"/>
  <c r="R898" i="16"/>
  <c r="Q897" i="16"/>
  <c r="O895" i="16"/>
  <c r="N894" i="16"/>
  <c r="L892" i="16"/>
  <c r="J890" i="16"/>
  <c r="I889" i="16"/>
  <c r="G887" i="16"/>
  <c r="Q881" i="16"/>
  <c r="P880" i="16"/>
  <c r="L876" i="16"/>
  <c r="J874" i="16"/>
  <c r="H872" i="16"/>
  <c r="U869" i="16"/>
  <c r="R866" i="16"/>
  <c r="Q865" i="16"/>
  <c r="P864" i="16"/>
  <c r="M861" i="16"/>
  <c r="K859" i="16"/>
  <c r="G855" i="16"/>
  <c r="S851" i="16"/>
  <c r="Q849" i="16"/>
  <c r="N846" i="16"/>
  <c r="L844" i="16"/>
  <c r="K843" i="16"/>
  <c r="I841" i="16"/>
  <c r="G839" i="16"/>
  <c r="T836" i="16"/>
  <c r="S835" i="16"/>
  <c r="R834" i="16"/>
  <c r="Q833" i="16"/>
  <c r="O831" i="16"/>
  <c r="N830" i="16"/>
  <c r="L828" i="16"/>
  <c r="G823" i="16"/>
  <c r="S819" i="16"/>
  <c r="M813" i="16"/>
  <c r="K811" i="16"/>
  <c r="H808" i="16"/>
  <c r="R802" i="16"/>
  <c r="K8" i="29"/>
  <c r="N798" i="16"/>
  <c r="M797" i="16"/>
  <c r="L796" i="16"/>
  <c r="K795" i="16"/>
  <c r="J794" i="16"/>
  <c r="H792" i="16"/>
  <c r="U789" i="16"/>
  <c r="S787" i="16"/>
  <c r="T12" i="18" s="1"/>
  <c r="R786" i="16"/>
  <c r="O783" i="16"/>
  <c r="I49" i="29"/>
  <c r="L780" i="16"/>
  <c r="J778" i="16"/>
  <c r="H776" i="16"/>
  <c r="G775" i="16"/>
  <c r="U773" i="16"/>
  <c r="T772" i="16"/>
  <c r="R770" i="16"/>
  <c r="P768" i="16"/>
  <c r="N766" i="16"/>
  <c r="M765" i="16"/>
  <c r="L764" i="16"/>
  <c r="K763" i="16"/>
  <c r="G759" i="16"/>
  <c r="U757" i="16"/>
  <c r="S755" i="16"/>
  <c r="O751" i="16"/>
  <c r="M749" i="16"/>
  <c r="K747" i="16"/>
  <c r="J746" i="16"/>
  <c r="U741" i="16"/>
  <c r="M733" i="16"/>
  <c r="G727" i="16"/>
  <c r="U725" i="16"/>
  <c r="Q721" i="16"/>
  <c r="P720" i="16"/>
  <c r="M717" i="16"/>
  <c r="I713" i="16"/>
  <c r="O703" i="16"/>
  <c r="K699" i="16"/>
  <c r="J698" i="16"/>
  <c r="I697" i="16"/>
  <c r="G695" i="16"/>
  <c r="S691" i="16"/>
  <c r="R690" i="16"/>
  <c r="Q689" i="16"/>
  <c r="P688" i="16"/>
  <c r="N686" i="16"/>
  <c r="M685" i="16"/>
  <c r="L684" i="16"/>
  <c r="J682" i="16"/>
  <c r="I681" i="16"/>
  <c r="U677" i="16"/>
  <c r="Q673" i="16"/>
  <c r="P672" i="16"/>
  <c r="O671" i="16"/>
  <c r="N670" i="16"/>
  <c r="H33" i="29"/>
  <c r="K667" i="16"/>
  <c r="I665" i="16"/>
  <c r="H664" i="16"/>
  <c r="I9" i="18" s="1"/>
  <c r="G663" i="16"/>
  <c r="S659" i="16"/>
  <c r="Q657" i="16"/>
  <c r="N654" i="16"/>
  <c r="M653" i="16"/>
  <c r="J650" i="16"/>
  <c r="I649" i="16"/>
  <c r="E6" i="29"/>
  <c r="H648" i="16"/>
  <c r="U645" i="16"/>
  <c r="S643" i="16"/>
  <c r="Q641" i="16"/>
  <c r="P640" i="16"/>
  <c r="O639" i="16"/>
  <c r="K635" i="16"/>
  <c r="J634" i="16"/>
  <c r="D48" i="29"/>
  <c r="G631" i="16"/>
  <c r="Q625" i="16"/>
  <c r="P624" i="16"/>
  <c r="N622" i="16"/>
  <c r="M621" i="16"/>
  <c r="L620" i="16"/>
  <c r="I617" i="16"/>
  <c r="U613" i="16"/>
  <c r="T612" i="16"/>
  <c r="P608" i="16"/>
  <c r="N606" i="16"/>
  <c r="M605" i="16"/>
  <c r="L604" i="16"/>
  <c r="K603" i="16"/>
  <c r="J602" i="16"/>
  <c r="I601" i="16"/>
  <c r="H600" i="16"/>
  <c r="T596" i="16"/>
  <c r="S595" i="16"/>
  <c r="Q593" i="16"/>
  <c r="P592" i="16"/>
  <c r="N590" i="16"/>
  <c r="L588" i="16"/>
  <c r="K587" i="16"/>
  <c r="I585" i="16"/>
  <c r="G583" i="16"/>
  <c r="R44" i="29"/>
  <c r="U581" i="16"/>
  <c r="T580" i="16"/>
  <c r="S579" i="16"/>
  <c r="O575" i="16"/>
  <c r="N574" i="16"/>
  <c r="M573" i="16"/>
  <c r="L572" i="16"/>
  <c r="H568" i="16"/>
  <c r="G567" i="16"/>
  <c r="U565" i="16"/>
  <c r="K50" i="29"/>
  <c r="N558" i="16"/>
  <c r="M557" i="16"/>
  <c r="L556" i="16"/>
  <c r="Q26" i="29"/>
  <c r="T548" i="16"/>
  <c r="M541" i="16"/>
  <c r="I537" i="16"/>
  <c r="T532" i="16"/>
  <c r="P528" i="16"/>
  <c r="Q13" i="17" s="1"/>
  <c r="N526" i="16"/>
  <c r="K523" i="16"/>
  <c r="J522" i="16"/>
  <c r="G519" i="16"/>
  <c r="U517" i="16"/>
  <c r="S515" i="16"/>
  <c r="P512" i="16"/>
  <c r="K507" i="16"/>
  <c r="G503" i="16"/>
  <c r="P41" i="29"/>
  <c r="S499" i="16"/>
  <c r="O495" i="16"/>
  <c r="N494" i="16"/>
  <c r="M493" i="16"/>
  <c r="S483" i="16"/>
  <c r="P480" i="16"/>
  <c r="L476" i="16"/>
  <c r="K475" i="16"/>
  <c r="J474" i="16"/>
  <c r="U469" i="16"/>
  <c r="S467" i="16"/>
  <c r="N462" i="16"/>
  <c r="M461" i="16"/>
  <c r="J458" i="16"/>
  <c r="D53" i="29"/>
  <c r="G455" i="16"/>
  <c r="U453" i="16"/>
  <c r="T452" i="16"/>
  <c r="P448" i="16"/>
  <c r="L444" i="16"/>
  <c r="K443" i="16"/>
  <c r="J442" i="16"/>
  <c r="I441" i="16"/>
  <c r="H440" i="16"/>
  <c r="U437" i="16"/>
  <c r="S435" i="16"/>
  <c r="R434" i="16"/>
  <c r="Q433" i="16"/>
  <c r="P432" i="16"/>
  <c r="M429" i="16"/>
  <c r="L428" i="16"/>
  <c r="J426" i="16"/>
  <c r="I425" i="16"/>
  <c r="U421" i="16"/>
  <c r="P40" i="29"/>
  <c r="S419" i="16"/>
  <c r="L52" i="29"/>
  <c r="O415" i="16"/>
  <c r="N414" i="16"/>
  <c r="M413" i="16"/>
  <c r="U405" i="16"/>
  <c r="L396" i="16"/>
  <c r="J394" i="16"/>
  <c r="R386" i="16"/>
  <c r="O383" i="16"/>
  <c r="D51" i="29"/>
  <c r="G375" i="16"/>
  <c r="U373" i="16"/>
  <c r="R370" i="16"/>
  <c r="O367" i="16"/>
  <c r="M365" i="16"/>
  <c r="I361" i="16"/>
  <c r="G359" i="16"/>
  <c r="U357" i="16"/>
  <c r="T356" i="16"/>
  <c r="S355" i="16"/>
  <c r="O351" i="16"/>
  <c r="M349" i="16"/>
  <c r="K347" i="16"/>
  <c r="H344" i="16"/>
  <c r="I11" i="18" s="1"/>
  <c r="G343" i="16"/>
  <c r="T340" i="16"/>
  <c r="Q337" i="16"/>
  <c r="O335" i="16"/>
  <c r="N334" i="16"/>
  <c r="H328" i="16"/>
  <c r="U325" i="16"/>
  <c r="S323" i="16"/>
  <c r="Q321" i="16"/>
  <c r="O319" i="16"/>
  <c r="N318" i="16"/>
  <c r="J314" i="16"/>
  <c r="F5" i="29"/>
  <c r="I313" i="16"/>
  <c r="H312" i="16"/>
  <c r="S307" i="16"/>
  <c r="R306" i="16"/>
  <c r="P304" i="16"/>
  <c r="L300" i="16"/>
  <c r="J298" i="16"/>
  <c r="I297" i="16"/>
  <c r="H296" i="16"/>
  <c r="S291" i="16"/>
  <c r="N24" i="29"/>
  <c r="Q289" i="16"/>
  <c r="M285" i="16"/>
  <c r="J282" i="16"/>
  <c r="F30" i="29"/>
  <c r="I281" i="16"/>
  <c r="H280" i="16"/>
  <c r="G279" i="16"/>
  <c r="S275" i="16"/>
  <c r="R274" i="16"/>
  <c r="N34" i="29"/>
  <c r="Q273" i="16"/>
  <c r="P272" i="16"/>
  <c r="L268" i="16"/>
  <c r="K267" i="16"/>
  <c r="J266" i="16"/>
  <c r="E20" i="29"/>
  <c r="H264" i="16"/>
  <c r="U261" i="16"/>
  <c r="S259" i="16"/>
  <c r="R258" i="16"/>
  <c r="M47" i="29"/>
  <c r="P256" i="16"/>
  <c r="N254" i="16"/>
  <c r="M253" i="16"/>
  <c r="K251" i="16"/>
  <c r="H248" i="16"/>
  <c r="G247" i="16"/>
  <c r="U245" i="16"/>
  <c r="R242" i="16"/>
  <c r="O239" i="16"/>
  <c r="J234" i="16"/>
  <c r="I233" i="16"/>
  <c r="G231" i="16"/>
  <c r="R16" i="29"/>
  <c r="U229" i="16"/>
  <c r="S227" i="16"/>
  <c r="R226" i="16"/>
  <c r="N222" i="16"/>
  <c r="M221" i="16"/>
  <c r="K219" i="16"/>
  <c r="J218" i="16"/>
  <c r="U213" i="16"/>
  <c r="S211" i="16"/>
  <c r="R210" i="16"/>
  <c r="L23" i="29"/>
  <c r="O207" i="16"/>
  <c r="N206" i="16"/>
  <c r="M205" i="16"/>
  <c r="K203" i="16"/>
  <c r="J202" i="16"/>
  <c r="H200" i="16"/>
  <c r="G199" i="16"/>
  <c r="U197" i="16"/>
  <c r="M42" i="29"/>
  <c r="P192" i="16"/>
  <c r="N190" i="16"/>
  <c r="J186" i="16"/>
  <c r="I185" i="16"/>
  <c r="H184" i="16"/>
  <c r="G183" i="16"/>
  <c r="Q177" i="16"/>
  <c r="R16" i="17" s="1"/>
  <c r="P176" i="16"/>
  <c r="N174" i="16"/>
  <c r="M173" i="16"/>
  <c r="J170" i="16"/>
  <c r="I169" i="16"/>
  <c r="H168" i="16"/>
  <c r="R162" i="16"/>
  <c r="Q161" i="16"/>
  <c r="P160" i="16"/>
  <c r="J43" i="29"/>
  <c r="M157" i="16"/>
  <c r="L156" i="16"/>
  <c r="G11" i="29"/>
  <c r="J154" i="16"/>
  <c r="I153" i="16"/>
  <c r="G151" i="16"/>
  <c r="S147" i="16"/>
  <c r="R146" i="16"/>
  <c r="Q145" i="16"/>
  <c r="P144" i="16"/>
  <c r="O143" i="16"/>
  <c r="M141" i="16"/>
  <c r="J138" i="16"/>
  <c r="S131" i="16"/>
  <c r="R130" i="16"/>
  <c r="Q129" i="16"/>
  <c r="N126" i="16"/>
  <c r="M125" i="16"/>
  <c r="L124" i="16"/>
  <c r="K123" i="16"/>
  <c r="H120" i="16"/>
  <c r="G119" i="16"/>
  <c r="T116" i="16"/>
  <c r="S115" i="16"/>
  <c r="Q113" i="16"/>
  <c r="P112" i="16"/>
  <c r="O111" i="16"/>
  <c r="H104" i="16"/>
  <c r="G103" i="16"/>
  <c r="R98" i="16"/>
  <c r="O95" i="16"/>
  <c r="N94" i="16"/>
  <c r="K91" i="16"/>
  <c r="I89" i="16"/>
  <c r="R82" i="16"/>
  <c r="Q81" i="16"/>
  <c r="O79" i="16"/>
  <c r="L76" i="16"/>
  <c r="E18" i="29"/>
  <c r="H72" i="16"/>
  <c r="O3" i="29"/>
  <c r="R66" i="16"/>
  <c r="Q65" i="16"/>
  <c r="N62" i="16"/>
  <c r="M61" i="16"/>
  <c r="L60" i="16"/>
  <c r="I57" i="16"/>
  <c r="P48" i="16"/>
  <c r="H40" i="16"/>
  <c r="D21" i="29"/>
  <c r="G39" i="16"/>
  <c r="U37" i="16"/>
  <c r="R34" i="16"/>
  <c r="P32" i="16"/>
  <c r="N30" i="16"/>
  <c r="K27" i="16"/>
  <c r="H24" i="16"/>
  <c r="T20" i="16"/>
  <c r="R18" i="16"/>
  <c r="P16" i="16"/>
  <c r="N14" i="16"/>
  <c r="L12" i="16"/>
  <c r="K11" i="16"/>
  <c r="I9" i="16"/>
  <c r="H8" i="16"/>
  <c r="G7" i="16"/>
  <c r="U5" i="16"/>
  <c r="T4" i="16"/>
  <c r="K52" i="29"/>
  <c r="N415" i="16"/>
  <c r="M414" i="16"/>
  <c r="L413" i="16"/>
  <c r="U406" i="16"/>
  <c r="Q28" i="29"/>
  <c r="T405" i="16"/>
  <c r="K396" i="16"/>
  <c r="I394" i="16"/>
  <c r="U390" i="16"/>
  <c r="Q386" i="16"/>
  <c r="N383" i="16"/>
  <c r="U374" i="16"/>
  <c r="T373" i="16"/>
  <c r="Q370" i="16"/>
  <c r="N367" i="16"/>
  <c r="L365" i="16"/>
  <c r="H361" i="16"/>
  <c r="T357" i="16"/>
  <c r="S356" i="16"/>
  <c r="R355" i="16"/>
  <c r="N351" i="16"/>
  <c r="L349" i="16"/>
  <c r="J347" i="16"/>
  <c r="G344" i="16"/>
  <c r="H11" i="18" s="1"/>
  <c r="S340" i="16"/>
  <c r="P337" i="16"/>
  <c r="N335" i="16"/>
  <c r="M334" i="16"/>
  <c r="J331" i="16"/>
  <c r="G328" i="16"/>
  <c r="U326" i="16"/>
  <c r="T325" i="16"/>
  <c r="R323" i="16"/>
  <c r="P321" i="16"/>
  <c r="N319" i="16"/>
  <c r="M318" i="16"/>
  <c r="I314" i="16"/>
  <c r="H313" i="16"/>
  <c r="G312" i="16"/>
  <c r="R307" i="16"/>
  <c r="Q306" i="16"/>
  <c r="O304" i="16"/>
  <c r="N303" i="16"/>
  <c r="K300" i="16"/>
  <c r="I298" i="16"/>
  <c r="H297" i="16"/>
  <c r="G296" i="16"/>
  <c r="U294" i="16"/>
  <c r="R291" i="16"/>
  <c r="P289" i="16"/>
  <c r="L285" i="16"/>
  <c r="I282" i="16"/>
  <c r="H281" i="16"/>
  <c r="G280" i="16"/>
  <c r="R275" i="16"/>
  <c r="Q274" i="16"/>
  <c r="M34" i="29"/>
  <c r="P273" i="16"/>
  <c r="O272" i="16"/>
  <c r="K268" i="16"/>
  <c r="J267" i="16"/>
  <c r="G264" i="16"/>
  <c r="T261" i="16"/>
  <c r="R259" i="16"/>
  <c r="Q258" i="16"/>
  <c r="L47" i="29"/>
  <c r="O256" i="16"/>
  <c r="M254" i="16"/>
  <c r="L253" i="16"/>
  <c r="J251" i="16"/>
  <c r="G248" i="16"/>
  <c r="U246" i="16"/>
  <c r="T245" i="16"/>
  <c r="Q242" i="16"/>
  <c r="N239" i="16"/>
  <c r="I234" i="16"/>
  <c r="H233" i="16"/>
  <c r="U230" i="16"/>
  <c r="Q16" i="29"/>
  <c r="T229" i="16"/>
  <c r="R227" i="16"/>
  <c r="Q226" i="16"/>
  <c r="M222" i="16"/>
  <c r="L221" i="16"/>
  <c r="J219" i="16"/>
  <c r="I218" i="16"/>
  <c r="T213" i="16"/>
  <c r="Q210" i="16"/>
  <c r="K23" i="29"/>
  <c r="N207" i="16"/>
  <c r="M206" i="16"/>
  <c r="L205" i="16"/>
  <c r="J203" i="16"/>
  <c r="I202" i="16"/>
  <c r="G200" i="16"/>
  <c r="U198" i="16"/>
  <c r="T197" i="16"/>
  <c r="O192" i="16"/>
  <c r="M190" i="16"/>
  <c r="I186" i="16"/>
  <c r="H185" i="16"/>
  <c r="G184" i="16"/>
  <c r="U182" i="16"/>
  <c r="P177" i="16"/>
  <c r="Q16" i="17" s="1"/>
  <c r="O176" i="16"/>
  <c r="M174" i="16"/>
  <c r="L173" i="16"/>
  <c r="I170" i="16"/>
  <c r="H169" i="16"/>
  <c r="G168" i="16"/>
  <c r="Q162" i="16"/>
  <c r="P161" i="16"/>
  <c r="O160" i="16"/>
  <c r="I43" i="29"/>
  <c r="L157" i="16"/>
  <c r="I154" i="16"/>
  <c r="H153" i="16"/>
  <c r="R147" i="16"/>
  <c r="Q146" i="16"/>
  <c r="P145" i="16"/>
  <c r="O144" i="16"/>
  <c r="N143" i="16"/>
  <c r="L141" i="16"/>
  <c r="I138" i="16"/>
  <c r="U134" i="16"/>
  <c r="R131" i="16"/>
  <c r="Q130" i="16"/>
  <c r="P129" i="16"/>
  <c r="N127" i="16"/>
  <c r="M126" i="16"/>
  <c r="L125" i="16"/>
  <c r="K124" i="16"/>
  <c r="J123" i="16"/>
  <c r="G120" i="16"/>
  <c r="U118" i="16"/>
  <c r="S116" i="16"/>
  <c r="R115" i="16"/>
  <c r="P113" i="16"/>
  <c r="O112" i="16"/>
  <c r="N111" i="16"/>
  <c r="G104" i="16"/>
  <c r="U102" i="16"/>
  <c r="R99" i="16"/>
  <c r="Q98" i="16"/>
  <c r="K38" i="29"/>
  <c r="N95" i="16"/>
  <c r="M94" i="16"/>
  <c r="J91" i="16"/>
  <c r="H89" i="16"/>
  <c r="U86" i="16"/>
  <c r="V13" i="18" s="1"/>
  <c r="Q82" i="16"/>
  <c r="P81" i="16"/>
  <c r="N79" i="16"/>
  <c r="K76" i="16"/>
  <c r="D18" i="29"/>
  <c r="G72" i="16"/>
  <c r="U70" i="16"/>
  <c r="Q66" i="16"/>
  <c r="P65" i="16"/>
  <c r="O64" i="16"/>
  <c r="M62" i="16"/>
  <c r="K60" i="16"/>
  <c r="H57" i="16"/>
  <c r="U54" i="16"/>
  <c r="V10" i="18" s="1"/>
  <c r="O48" i="16"/>
  <c r="G40" i="16"/>
  <c r="O9" i="29"/>
  <c r="R35" i="16"/>
  <c r="Q34" i="16"/>
  <c r="O32" i="16"/>
  <c r="M30" i="16"/>
  <c r="J27" i="16"/>
  <c r="I26" i="16"/>
  <c r="G24" i="16"/>
  <c r="S20" i="16"/>
  <c r="Q18" i="16"/>
  <c r="M14" i="16"/>
  <c r="K12" i="16"/>
  <c r="J11" i="16"/>
  <c r="H9" i="16"/>
  <c r="G8" i="16"/>
  <c r="T5" i="16"/>
  <c r="S4" i="16"/>
  <c r="Q1235" i="16"/>
  <c r="P1234" i="16"/>
  <c r="H56" i="29"/>
  <c r="K1213" i="16"/>
  <c r="N54" i="29"/>
  <c r="Q1203" i="16"/>
  <c r="H1162" i="16"/>
  <c r="G1161" i="16"/>
  <c r="P1122" i="16"/>
  <c r="K1117" i="16"/>
  <c r="J1116" i="16"/>
  <c r="I1115" i="16"/>
  <c r="T1110" i="16"/>
  <c r="O1105" i="16"/>
  <c r="N1104" i="16"/>
  <c r="L1102" i="16"/>
  <c r="H1098" i="16"/>
  <c r="G1097" i="16"/>
  <c r="S1093" i="16"/>
  <c r="R1092" i="16"/>
  <c r="O1089" i="16"/>
  <c r="N1088" i="16"/>
  <c r="K1085" i="16"/>
  <c r="J1084" i="16"/>
  <c r="I1083" i="16"/>
  <c r="G1081" i="16"/>
  <c r="S1077" i="16"/>
  <c r="R1076" i="16"/>
  <c r="Q1075" i="16"/>
  <c r="N1072" i="16"/>
  <c r="J1068" i="16"/>
  <c r="G1065" i="16"/>
  <c r="S1061" i="16"/>
  <c r="R1060" i="16"/>
  <c r="O1057" i="16"/>
  <c r="K1053" i="16"/>
  <c r="J1052" i="16"/>
  <c r="I1051" i="16"/>
  <c r="G1049" i="16"/>
  <c r="S1045" i="16"/>
  <c r="Q1043" i="16"/>
  <c r="N1040" i="16"/>
  <c r="M1039" i="16"/>
  <c r="L1038" i="16"/>
  <c r="K1037" i="16"/>
  <c r="J1036" i="16"/>
  <c r="I1035" i="16"/>
  <c r="T1030" i="16"/>
  <c r="S1029" i="16"/>
  <c r="R1028" i="16"/>
  <c r="P1026" i="16"/>
  <c r="N1024" i="16"/>
  <c r="L1022" i="16"/>
  <c r="K1021" i="16"/>
  <c r="J1020" i="16"/>
  <c r="G1017" i="16"/>
  <c r="T1014" i="16"/>
  <c r="S1013" i="16"/>
  <c r="R1012" i="16"/>
  <c r="Q1011" i="16"/>
  <c r="N1008" i="16"/>
  <c r="M1007" i="16"/>
  <c r="L1006" i="16"/>
  <c r="H1002" i="16"/>
  <c r="G1001" i="16"/>
  <c r="U999" i="16"/>
  <c r="T998" i="16"/>
  <c r="S997" i="16"/>
  <c r="R996" i="16"/>
  <c r="K989" i="16"/>
  <c r="J988" i="16"/>
  <c r="T982" i="16"/>
  <c r="S981" i="16"/>
  <c r="R980" i="16"/>
  <c r="O977" i="16"/>
  <c r="L974" i="16"/>
  <c r="K973" i="16"/>
  <c r="J972" i="16"/>
  <c r="H970" i="16"/>
  <c r="G969" i="16"/>
  <c r="U967" i="16"/>
  <c r="T966" i="16"/>
  <c r="S965" i="16"/>
  <c r="P962" i="16"/>
  <c r="O961" i="16"/>
  <c r="N960" i="16"/>
  <c r="K957" i="16"/>
  <c r="H954" i="16"/>
  <c r="D46" i="29"/>
  <c r="G953" i="16"/>
  <c r="U951" i="16"/>
  <c r="S949" i="16"/>
  <c r="P946" i="16"/>
  <c r="N944" i="16"/>
  <c r="M943" i="16"/>
  <c r="L942" i="16"/>
  <c r="K941" i="16"/>
  <c r="H938" i="16"/>
  <c r="G937" i="16"/>
  <c r="U935" i="16"/>
  <c r="R932" i="16"/>
  <c r="N928" i="16"/>
  <c r="M927" i="16"/>
  <c r="L926" i="16"/>
  <c r="H922" i="16"/>
  <c r="G921" i="16"/>
  <c r="U919" i="16"/>
  <c r="T918" i="16"/>
  <c r="R916" i="16"/>
  <c r="N912" i="16"/>
  <c r="M911" i="16"/>
  <c r="L910" i="16"/>
  <c r="H906" i="16"/>
  <c r="T902" i="16"/>
  <c r="R900" i="16"/>
  <c r="Q899" i="16"/>
  <c r="P898" i="16"/>
  <c r="O897" i="16"/>
  <c r="M895" i="16"/>
  <c r="L894" i="16"/>
  <c r="J892" i="16"/>
  <c r="H890" i="16"/>
  <c r="G889" i="16"/>
  <c r="U887" i="16"/>
  <c r="T886" i="16"/>
  <c r="S885" i="16"/>
  <c r="O881" i="16"/>
  <c r="N880" i="16"/>
  <c r="J876" i="16"/>
  <c r="H874" i="16"/>
  <c r="T870" i="16"/>
  <c r="S869" i="16"/>
  <c r="P866" i="16"/>
  <c r="N864" i="16"/>
  <c r="K861" i="16"/>
  <c r="I859" i="16"/>
  <c r="U855" i="16"/>
  <c r="T854" i="16"/>
  <c r="O849" i="16"/>
  <c r="L846" i="16"/>
  <c r="J844" i="16"/>
  <c r="I843" i="16"/>
  <c r="G841" i="16"/>
  <c r="U839" i="16"/>
  <c r="T838" i="16"/>
  <c r="R836" i="16"/>
  <c r="P834" i="16"/>
  <c r="O833" i="16"/>
  <c r="M831" i="16"/>
  <c r="L830" i="16"/>
  <c r="J828" i="16"/>
  <c r="U823" i="16"/>
  <c r="T822" i="16"/>
  <c r="Q819" i="16"/>
  <c r="K813" i="16"/>
  <c r="I811" i="16"/>
  <c r="Q45" i="29"/>
  <c r="T806" i="16"/>
  <c r="P802" i="16"/>
  <c r="I8" i="29"/>
  <c r="L798" i="16"/>
  <c r="J796" i="16"/>
  <c r="I795" i="16"/>
  <c r="H794" i="16"/>
  <c r="T790" i="16"/>
  <c r="S789" i="16"/>
  <c r="Q787" i="16"/>
  <c r="R12" i="18" s="1"/>
  <c r="P786" i="16"/>
  <c r="M783" i="16"/>
  <c r="G49" i="29"/>
  <c r="J780" i="16"/>
  <c r="H778" i="16"/>
  <c r="U775" i="16"/>
  <c r="S773" i="16"/>
  <c r="R772" i="16"/>
  <c r="N768" i="16"/>
  <c r="L766" i="16"/>
  <c r="K765" i="16"/>
  <c r="J764" i="16"/>
  <c r="U759" i="16"/>
  <c r="S757" i="16"/>
  <c r="Q755" i="16"/>
  <c r="M751" i="16"/>
  <c r="K749" i="16"/>
  <c r="I747" i="16"/>
  <c r="H746" i="16"/>
  <c r="T742" i="16"/>
  <c r="S741" i="16"/>
  <c r="K733" i="16"/>
  <c r="U727" i="16"/>
  <c r="S725" i="16"/>
  <c r="O721" i="16"/>
  <c r="N720" i="16"/>
  <c r="K717" i="16"/>
  <c r="G713" i="16"/>
  <c r="T710" i="16"/>
  <c r="M703" i="16"/>
  <c r="I699" i="16"/>
  <c r="H698" i="16"/>
  <c r="G697" i="16"/>
  <c r="U695" i="16"/>
  <c r="T694" i="16"/>
  <c r="Q691" i="16"/>
  <c r="P690" i="16"/>
  <c r="O689" i="16"/>
  <c r="N688" i="16"/>
  <c r="L686" i="16"/>
  <c r="K685" i="16"/>
  <c r="J684" i="16"/>
  <c r="H682" i="16"/>
  <c r="G681" i="16"/>
  <c r="U679" i="16"/>
  <c r="S677" i="16"/>
  <c r="O673" i="16"/>
  <c r="N672" i="16"/>
  <c r="M671" i="16"/>
  <c r="L670" i="16"/>
  <c r="F33" i="29"/>
  <c r="I667" i="16"/>
  <c r="G665" i="16"/>
  <c r="U663" i="16"/>
  <c r="T662" i="16"/>
  <c r="Q659" i="16"/>
  <c r="O657" i="16"/>
  <c r="L654" i="16"/>
  <c r="K653" i="16"/>
  <c r="H650" i="16"/>
  <c r="T646" i="16"/>
  <c r="S645" i="16"/>
  <c r="O641" i="16"/>
  <c r="N640" i="16"/>
  <c r="M639" i="16"/>
  <c r="I635" i="16"/>
  <c r="H634" i="16"/>
  <c r="R48" i="29"/>
  <c r="U631" i="16"/>
  <c r="T630" i="16"/>
  <c r="P626" i="16"/>
  <c r="O625" i="16"/>
  <c r="K57" i="29"/>
  <c r="N624" i="16"/>
  <c r="L622" i="16"/>
  <c r="K621" i="16"/>
  <c r="J620" i="16"/>
  <c r="G617" i="16"/>
  <c r="T614" i="16"/>
  <c r="S613" i="16"/>
  <c r="R612" i="16"/>
  <c r="N608" i="16"/>
  <c r="L606" i="16"/>
  <c r="K605" i="16"/>
  <c r="J604" i="16"/>
  <c r="I603" i="16"/>
  <c r="H602" i="16"/>
  <c r="R596" i="16"/>
  <c r="Q595" i="16"/>
  <c r="O593" i="16"/>
  <c r="N592" i="16"/>
  <c r="M591" i="16"/>
  <c r="L590" i="16"/>
  <c r="J588" i="16"/>
  <c r="I587" i="16"/>
  <c r="G585" i="16"/>
  <c r="U583" i="16"/>
  <c r="T582" i="16"/>
  <c r="P44" i="29"/>
  <c r="S581" i="16"/>
  <c r="R580" i="16"/>
  <c r="Q579" i="16"/>
  <c r="M575" i="16"/>
  <c r="L574" i="16"/>
  <c r="K573" i="16"/>
  <c r="J572" i="16"/>
  <c r="G569" i="16"/>
  <c r="T566" i="16"/>
  <c r="S565" i="16"/>
  <c r="I50" i="29"/>
  <c r="L558" i="16"/>
  <c r="K557" i="16"/>
  <c r="J556" i="16"/>
  <c r="T550" i="16"/>
  <c r="R548" i="16"/>
  <c r="K541" i="16"/>
  <c r="T534" i="16"/>
  <c r="R532" i="16"/>
  <c r="N528" i="16"/>
  <c r="L526" i="16"/>
  <c r="I523" i="16"/>
  <c r="H522" i="16"/>
  <c r="U519" i="16"/>
  <c r="S517" i="16"/>
  <c r="Q515" i="16"/>
  <c r="N512" i="16"/>
  <c r="I507" i="16"/>
  <c r="U503" i="16"/>
  <c r="T502" i="16"/>
  <c r="N41" i="29"/>
  <c r="Q499" i="16"/>
  <c r="M495" i="16"/>
  <c r="L494" i="16"/>
  <c r="K493" i="16"/>
  <c r="T486" i="16"/>
  <c r="Q483" i="16"/>
  <c r="N480" i="16"/>
  <c r="J476" i="16"/>
  <c r="K22" i="18" s="1"/>
  <c r="I475" i="16"/>
  <c r="H474" i="16"/>
  <c r="T470" i="16"/>
  <c r="S469" i="16"/>
  <c r="Q467" i="16"/>
  <c r="L462" i="16"/>
  <c r="K461" i="16"/>
  <c r="H458" i="16"/>
  <c r="R53" i="29"/>
  <c r="U455" i="16"/>
  <c r="S453" i="16"/>
  <c r="R452" i="16"/>
  <c r="J444" i="16"/>
  <c r="H442" i="16"/>
  <c r="G441" i="16"/>
  <c r="S437" i="16"/>
  <c r="Q435" i="16"/>
  <c r="P434" i="16"/>
  <c r="O433" i="16"/>
  <c r="N432" i="16"/>
  <c r="K429" i="16"/>
  <c r="J428" i="16"/>
  <c r="H426" i="16"/>
  <c r="G425" i="16"/>
  <c r="T422" i="16"/>
  <c r="S421" i="16"/>
  <c r="J52" i="29"/>
  <c r="M415" i="16"/>
  <c r="K413" i="16"/>
  <c r="U407" i="16"/>
  <c r="T406" i="16"/>
  <c r="S405" i="16"/>
  <c r="J396" i="16"/>
  <c r="H394" i="16"/>
  <c r="T390" i="16"/>
  <c r="P386" i="16"/>
  <c r="M383" i="16"/>
  <c r="U375" i="16"/>
  <c r="T374" i="16"/>
  <c r="P370" i="16"/>
  <c r="M367" i="16"/>
  <c r="K365" i="16"/>
  <c r="G361" i="16"/>
  <c r="U359" i="16"/>
  <c r="S357" i="16"/>
  <c r="R356" i="16"/>
  <c r="Q355" i="16"/>
  <c r="M351" i="16"/>
  <c r="K349" i="16"/>
  <c r="I347" i="16"/>
  <c r="U343" i="16"/>
  <c r="R340" i="16"/>
  <c r="O337" i="16"/>
  <c r="M335" i="16"/>
  <c r="L334" i="16"/>
  <c r="I331" i="16"/>
  <c r="T326" i="16"/>
  <c r="S325" i="16"/>
  <c r="Q323" i="16"/>
  <c r="O321" i="16"/>
  <c r="M319" i="16"/>
  <c r="L318" i="16"/>
  <c r="H314" i="16"/>
  <c r="G313" i="16"/>
  <c r="U311" i="16"/>
  <c r="Q307" i="16"/>
  <c r="P306" i="16"/>
  <c r="N304" i="16"/>
  <c r="M303" i="16"/>
  <c r="J300" i="16"/>
  <c r="H298" i="16"/>
  <c r="Q291" i="16"/>
  <c r="L24" i="29"/>
  <c r="O289" i="16"/>
  <c r="K285" i="16"/>
  <c r="H282" i="16"/>
  <c r="G281" i="16"/>
  <c r="U279" i="16"/>
  <c r="P274" i="16"/>
  <c r="L34" i="29"/>
  <c r="O273" i="16"/>
  <c r="N272" i="16"/>
  <c r="J268" i="16"/>
  <c r="I267" i="16"/>
  <c r="H266" i="16"/>
  <c r="S261" i="16"/>
  <c r="Q259" i="16"/>
  <c r="P258" i="16"/>
  <c r="K47" i="29"/>
  <c r="N256" i="16"/>
  <c r="L254" i="16"/>
  <c r="I251" i="16"/>
  <c r="U247" i="16"/>
  <c r="T246" i="16"/>
  <c r="P13" i="29"/>
  <c r="S245" i="16"/>
  <c r="P242" i="16"/>
  <c r="M239" i="16"/>
  <c r="H234" i="16"/>
  <c r="G233" i="16"/>
  <c r="T230" i="16"/>
  <c r="P16" i="29"/>
  <c r="S229" i="16"/>
  <c r="Q227" i="16"/>
  <c r="P226" i="16"/>
  <c r="L222" i="16"/>
  <c r="K221" i="16"/>
  <c r="I219" i="16"/>
  <c r="H218" i="16"/>
  <c r="T214" i="16"/>
  <c r="S213" i="16"/>
  <c r="Q211" i="16"/>
  <c r="P210" i="16"/>
  <c r="J23" i="29"/>
  <c r="M207" i="16"/>
  <c r="L206" i="16"/>
  <c r="K205" i="16"/>
  <c r="I203" i="16"/>
  <c r="H202" i="16"/>
  <c r="U199" i="16"/>
  <c r="T198" i="16"/>
  <c r="S197" i="16"/>
  <c r="N192" i="16"/>
  <c r="H186" i="16"/>
  <c r="G185" i="16"/>
  <c r="U183" i="16"/>
  <c r="T182" i="16"/>
  <c r="O177" i="16"/>
  <c r="P16" i="17" s="1"/>
  <c r="N176" i="16"/>
  <c r="K173" i="16"/>
  <c r="H170" i="16"/>
  <c r="G169" i="16"/>
  <c r="U167" i="16"/>
  <c r="P162" i="16"/>
  <c r="O161" i="16"/>
  <c r="N160" i="16"/>
  <c r="H43" i="29"/>
  <c r="K157" i="16"/>
  <c r="J156" i="16"/>
  <c r="H154" i="16"/>
  <c r="G153" i="16"/>
  <c r="U151" i="16"/>
  <c r="Q147" i="16"/>
  <c r="P146" i="16"/>
  <c r="O145" i="16"/>
  <c r="N144" i="16"/>
  <c r="M143" i="16"/>
  <c r="K141" i="16"/>
  <c r="H138" i="16"/>
  <c r="T134" i="16"/>
  <c r="Q131" i="16"/>
  <c r="P130" i="16"/>
  <c r="O129" i="16"/>
  <c r="M127" i="16"/>
  <c r="L126" i="16"/>
  <c r="K125" i="16"/>
  <c r="J124" i="16"/>
  <c r="I123" i="16"/>
  <c r="U119" i="16"/>
  <c r="Q32" i="29"/>
  <c r="T118" i="16"/>
  <c r="R116" i="16"/>
  <c r="Q115" i="16"/>
  <c r="O113" i="16"/>
  <c r="N112" i="16"/>
  <c r="M111" i="16"/>
  <c r="U103" i="16"/>
  <c r="Q31" i="29"/>
  <c r="T102" i="16"/>
  <c r="Q99" i="16"/>
  <c r="P98" i="16"/>
  <c r="M95" i="16"/>
  <c r="L94" i="16"/>
  <c r="G89" i="16"/>
  <c r="T86" i="16"/>
  <c r="U13" i="18" s="1"/>
  <c r="P82" i="16"/>
  <c r="O81" i="16"/>
  <c r="M79" i="16"/>
  <c r="J76" i="16"/>
  <c r="U71" i="16"/>
  <c r="T70" i="16"/>
  <c r="M3" i="29"/>
  <c r="P66" i="16"/>
  <c r="O65" i="16"/>
  <c r="N64" i="16"/>
  <c r="L62" i="16"/>
  <c r="K61" i="16"/>
  <c r="J60" i="16"/>
  <c r="G57" i="16"/>
  <c r="T54" i="16"/>
  <c r="U10" i="18" s="1"/>
  <c r="N48" i="16"/>
  <c r="U39" i="16"/>
  <c r="S37" i="16"/>
  <c r="N9" i="29"/>
  <c r="Q35" i="16"/>
  <c r="P34" i="16"/>
  <c r="N32" i="16"/>
  <c r="L30" i="16"/>
  <c r="I27" i="16"/>
  <c r="H26" i="16"/>
  <c r="R20" i="16"/>
  <c r="P18" i="16"/>
  <c r="N16" i="16"/>
  <c r="L14" i="16"/>
  <c r="I11" i="16"/>
  <c r="G9" i="16"/>
  <c r="U7" i="16"/>
  <c r="S5" i="16"/>
  <c r="R4" i="16"/>
  <c r="T475" i="16"/>
  <c r="S474" i="16"/>
  <c r="N469" i="16"/>
  <c r="L467" i="16"/>
  <c r="G462" i="16"/>
  <c r="S458" i="16"/>
  <c r="M53" i="29"/>
  <c r="P455" i="16"/>
  <c r="M452" i="16"/>
  <c r="I448" i="16"/>
  <c r="U444" i="16"/>
  <c r="T443" i="16"/>
  <c r="S442" i="16"/>
  <c r="R441" i="16"/>
  <c r="Q440" i="16"/>
  <c r="N437" i="16"/>
  <c r="L435" i="16"/>
  <c r="K434" i="16"/>
  <c r="J433" i="16"/>
  <c r="I432" i="16"/>
  <c r="U428" i="16"/>
  <c r="S426" i="16"/>
  <c r="R425" i="16"/>
  <c r="L36" i="29"/>
  <c r="O422" i="16"/>
  <c r="I40" i="29"/>
  <c r="L419" i="16"/>
  <c r="E52" i="29"/>
  <c r="H415" i="16"/>
  <c r="G414" i="16"/>
  <c r="P407" i="16"/>
  <c r="O406" i="16"/>
  <c r="N405" i="16"/>
  <c r="U396" i="16"/>
  <c r="S394" i="16"/>
  <c r="O390" i="16"/>
  <c r="K386" i="16"/>
  <c r="H383" i="16"/>
  <c r="M51" i="29"/>
  <c r="P375" i="16"/>
  <c r="O374" i="16"/>
  <c r="N373" i="16"/>
  <c r="K370" i="16"/>
  <c r="H367" i="16"/>
  <c r="R361" i="16"/>
  <c r="P359" i="16"/>
  <c r="N357" i="16"/>
  <c r="M356" i="16"/>
  <c r="L355" i="16"/>
  <c r="H351" i="16"/>
  <c r="T347" i="16"/>
  <c r="Q344" i="16"/>
  <c r="R11" i="18" s="1"/>
  <c r="P343" i="16"/>
  <c r="M340" i="16"/>
  <c r="J337" i="16"/>
  <c r="H335" i="16"/>
  <c r="G334" i="16"/>
  <c r="T331" i="16"/>
  <c r="Q328" i="16"/>
  <c r="N325" i="16"/>
  <c r="L323" i="16"/>
  <c r="J321" i="16"/>
  <c r="H319" i="16"/>
  <c r="G318" i="16"/>
  <c r="S314" i="16"/>
  <c r="O5" i="29"/>
  <c r="R313" i="16"/>
  <c r="Q312" i="16"/>
  <c r="P311" i="16"/>
  <c r="K306" i="16"/>
  <c r="I304" i="16"/>
  <c r="H303" i="16"/>
  <c r="S298" i="16"/>
  <c r="R297" i="16"/>
  <c r="Q296" i="16"/>
  <c r="O294" i="16"/>
  <c r="G24" i="29"/>
  <c r="J289" i="16"/>
  <c r="S282" i="16"/>
  <c r="O30" i="29"/>
  <c r="R281" i="16"/>
  <c r="Q280" i="16"/>
  <c r="P279" i="16"/>
  <c r="I17" i="29"/>
  <c r="L275" i="16"/>
  <c r="K274" i="16"/>
  <c r="G34" i="29"/>
  <c r="J273" i="16"/>
  <c r="I272" i="16"/>
  <c r="R35" i="29"/>
  <c r="U268" i="16"/>
  <c r="T267" i="16"/>
  <c r="S266" i="16"/>
  <c r="N261" i="16"/>
  <c r="L259" i="16"/>
  <c r="K258" i="16"/>
  <c r="T251" i="16"/>
  <c r="Q248" i="16"/>
  <c r="M12" i="29"/>
  <c r="P247" i="16"/>
  <c r="K242" i="16"/>
  <c r="H239" i="16"/>
  <c r="S234" i="16"/>
  <c r="R233" i="16"/>
  <c r="P231" i="16"/>
  <c r="O230" i="16"/>
  <c r="K16" i="29"/>
  <c r="N229" i="16"/>
  <c r="L227" i="16"/>
  <c r="K226" i="16"/>
  <c r="G222" i="16"/>
  <c r="S218" i="16"/>
  <c r="O214" i="16"/>
  <c r="N213" i="16"/>
  <c r="L211" i="16"/>
  <c r="K210" i="16"/>
  <c r="E23" i="29"/>
  <c r="H207" i="16"/>
  <c r="G206" i="16"/>
  <c r="S202" i="16"/>
  <c r="Q200" i="16"/>
  <c r="P199" i="16"/>
  <c r="O198" i="16"/>
  <c r="N197" i="16"/>
  <c r="I192" i="16"/>
  <c r="G190" i="16"/>
  <c r="S186" i="16"/>
  <c r="R185" i="16"/>
  <c r="N42" i="29"/>
  <c r="Q184" i="16"/>
  <c r="P183" i="16"/>
  <c r="J177" i="16"/>
  <c r="K16" i="17" s="1"/>
  <c r="I176" i="16"/>
  <c r="G174" i="16"/>
  <c r="S170" i="16"/>
  <c r="R169" i="16"/>
  <c r="Q168" i="16"/>
  <c r="P167" i="16"/>
  <c r="K162" i="16"/>
  <c r="J161" i="16"/>
  <c r="I160" i="16"/>
  <c r="U156" i="16"/>
  <c r="S154" i="16"/>
  <c r="R153" i="16"/>
  <c r="P151" i="16"/>
  <c r="L147" i="16"/>
  <c r="K146" i="16"/>
  <c r="J145" i="16"/>
  <c r="H143" i="16"/>
  <c r="S138" i="16"/>
  <c r="O134" i="16"/>
  <c r="L131" i="16"/>
  <c r="K130" i="16"/>
  <c r="J129" i="16"/>
  <c r="H127" i="16"/>
  <c r="G126" i="16"/>
  <c r="U124" i="16"/>
  <c r="T123" i="16"/>
  <c r="Q120" i="16"/>
  <c r="P119" i="16"/>
  <c r="O118" i="16"/>
  <c r="M116" i="16"/>
  <c r="L115" i="16"/>
  <c r="J113" i="16"/>
  <c r="I112" i="16"/>
  <c r="H111" i="16"/>
  <c r="Q104" i="16"/>
  <c r="P103" i="16"/>
  <c r="O102" i="16"/>
  <c r="L99" i="16"/>
  <c r="H95" i="16"/>
  <c r="G94" i="16"/>
  <c r="T91" i="16"/>
  <c r="R89" i="16"/>
  <c r="O86" i="16"/>
  <c r="P13" i="18" s="1"/>
  <c r="K82" i="16"/>
  <c r="J81" i="16"/>
  <c r="H79" i="16"/>
  <c r="U76" i="16"/>
  <c r="N18" i="29"/>
  <c r="Q72" i="16"/>
  <c r="P71" i="16"/>
  <c r="H3" i="29"/>
  <c r="K66" i="16"/>
  <c r="J65" i="16"/>
  <c r="I64" i="16"/>
  <c r="G62" i="16"/>
  <c r="U60" i="16"/>
  <c r="R57" i="16"/>
  <c r="O54" i="16"/>
  <c r="P10" i="18" s="1"/>
  <c r="Q40" i="16"/>
  <c r="M21" i="29"/>
  <c r="P39" i="16"/>
  <c r="N37" i="16"/>
  <c r="L35" i="16"/>
  <c r="K34" i="16"/>
  <c r="F19" i="29"/>
  <c r="I32" i="16"/>
  <c r="T27" i="16"/>
  <c r="S26" i="16"/>
  <c r="Q24" i="16"/>
  <c r="M20" i="16"/>
  <c r="K18" i="16"/>
  <c r="I16" i="16"/>
  <c r="G14" i="16"/>
  <c r="U12" i="16"/>
  <c r="T11" i="16"/>
  <c r="R9" i="16"/>
  <c r="Q8" i="16"/>
  <c r="P7" i="16"/>
  <c r="N5" i="16"/>
  <c r="M4" i="16"/>
  <c r="U557" i="16"/>
  <c r="T556" i="16"/>
  <c r="N550" i="16"/>
  <c r="I26" i="29"/>
  <c r="L548" i="16"/>
  <c r="U541" i="16"/>
  <c r="Q537" i="16"/>
  <c r="N534" i="16"/>
  <c r="L532" i="16"/>
  <c r="H528" i="16"/>
  <c r="I13" i="17" s="1"/>
  <c r="S523" i="16"/>
  <c r="R522" i="16"/>
  <c r="O519" i="16"/>
  <c r="M517" i="16"/>
  <c r="K515" i="16"/>
  <c r="E14" i="29"/>
  <c r="H512" i="16"/>
  <c r="S507" i="16"/>
  <c r="O503" i="16"/>
  <c r="H41" i="29"/>
  <c r="K499" i="16"/>
  <c r="G495" i="16"/>
  <c r="U493" i="16"/>
  <c r="N486" i="16"/>
  <c r="K483" i="16"/>
  <c r="H480" i="16"/>
  <c r="Q29" i="29"/>
  <c r="T476" i="16"/>
  <c r="S475" i="16"/>
  <c r="R474" i="16"/>
  <c r="N470" i="16"/>
  <c r="M469" i="16"/>
  <c r="K467" i="16"/>
  <c r="U461" i="16"/>
  <c r="R458" i="16"/>
  <c r="L53" i="29"/>
  <c r="O455" i="16"/>
  <c r="M453" i="16"/>
  <c r="L452" i="16"/>
  <c r="H448" i="16"/>
  <c r="T444" i="16"/>
  <c r="S443" i="16"/>
  <c r="R442" i="16"/>
  <c r="Q441" i="16"/>
  <c r="P440" i="16"/>
  <c r="M437" i="16"/>
  <c r="K435" i="16"/>
  <c r="J434" i="16"/>
  <c r="I433" i="16"/>
  <c r="H432" i="16"/>
  <c r="U429" i="16"/>
  <c r="T428" i="16"/>
  <c r="R426" i="16"/>
  <c r="Q425" i="16"/>
  <c r="N422" i="16"/>
  <c r="M421" i="16"/>
  <c r="H40" i="29"/>
  <c r="K419" i="16"/>
  <c r="D52" i="29"/>
  <c r="G415" i="16"/>
  <c r="U413" i="16"/>
  <c r="O407" i="16"/>
  <c r="N406" i="16"/>
  <c r="M405" i="16"/>
  <c r="T396" i="16"/>
  <c r="R394" i="16"/>
  <c r="N390" i="16"/>
  <c r="J386" i="16"/>
  <c r="G383" i="16"/>
  <c r="L51" i="29"/>
  <c r="O375" i="16"/>
  <c r="N374" i="16"/>
  <c r="M373" i="16"/>
  <c r="J370" i="16"/>
  <c r="G367" i="16"/>
  <c r="U365" i="16"/>
  <c r="Q361" i="16"/>
  <c r="M357" i="16"/>
  <c r="L356" i="16"/>
  <c r="K355" i="16"/>
  <c r="G351" i="16"/>
  <c r="U349" i="16"/>
  <c r="S347" i="16"/>
  <c r="P344" i="16"/>
  <c r="Q11" i="18" s="1"/>
  <c r="O343" i="16"/>
  <c r="L340" i="16"/>
  <c r="I337" i="16"/>
  <c r="G335" i="16"/>
  <c r="S331" i="16"/>
  <c r="P328" i="16"/>
  <c r="N326" i="16"/>
  <c r="M325" i="16"/>
  <c r="K323" i="16"/>
  <c r="I321" i="16"/>
  <c r="G319" i="16"/>
  <c r="R314" i="16"/>
  <c r="N5" i="29"/>
  <c r="Q313" i="16"/>
  <c r="P312" i="16"/>
  <c r="O311" i="16"/>
  <c r="K307" i="16"/>
  <c r="J306" i="16"/>
  <c r="H304" i="16"/>
  <c r="G303" i="16"/>
  <c r="T300" i="16"/>
  <c r="R298" i="16"/>
  <c r="Q297" i="16"/>
  <c r="P296" i="16"/>
  <c r="N294" i="16"/>
  <c r="K291" i="16"/>
  <c r="I289" i="16"/>
  <c r="U285" i="16"/>
  <c r="R282" i="16"/>
  <c r="N30" i="29"/>
  <c r="Q281" i="16"/>
  <c r="P280" i="16"/>
  <c r="O279" i="16"/>
  <c r="H17" i="29"/>
  <c r="K275" i="16"/>
  <c r="J274" i="16"/>
  <c r="I273" i="16"/>
  <c r="H272" i="16"/>
  <c r="Q35" i="29"/>
  <c r="T268" i="16"/>
  <c r="S267" i="16"/>
  <c r="R266" i="16"/>
  <c r="P264" i="16"/>
  <c r="M261" i="16"/>
  <c r="K259" i="16"/>
  <c r="J258" i="16"/>
  <c r="E47" i="29"/>
  <c r="H256" i="16"/>
  <c r="U253" i="16"/>
  <c r="S251" i="16"/>
  <c r="P248" i="16"/>
  <c r="O247" i="16"/>
  <c r="N246" i="16"/>
  <c r="J13" i="29"/>
  <c r="M245" i="16"/>
  <c r="J242" i="16"/>
  <c r="G239" i="16"/>
  <c r="R234" i="16"/>
  <c r="O231" i="16"/>
  <c r="N230" i="16"/>
  <c r="J16" i="29"/>
  <c r="M229" i="16"/>
  <c r="K227" i="16"/>
  <c r="J226" i="16"/>
  <c r="U221" i="16"/>
  <c r="S219" i="16"/>
  <c r="R218" i="16"/>
  <c r="N214" i="16"/>
  <c r="M213" i="16"/>
  <c r="K211" i="16"/>
  <c r="J210" i="16"/>
  <c r="U205" i="16"/>
  <c r="S203" i="16"/>
  <c r="R202" i="16"/>
  <c r="O199" i="16"/>
  <c r="N198" i="16"/>
  <c r="M197" i="16"/>
  <c r="H192" i="16"/>
  <c r="R186" i="16"/>
  <c r="Q185" i="16"/>
  <c r="O183" i="16"/>
  <c r="N182" i="16"/>
  <c r="I177" i="16"/>
  <c r="J16" i="17" s="1"/>
  <c r="U173" i="16"/>
  <c r="R170" i="16"/>
  <c r="Q169" i="16"/>
  <c r="P168" i="16"/>
  <c r="O167" i="16"/>
  <c r="J162" i="16"/>
  <c r="I161" i="16"/>
  <c r="H160" i="16"/>
  <c r="R43" i="29"/>
  <c r="U157" i="16"/>
  <c r="T156" i="16"/>
  <c r="O11" i="29"/>
  <c r="R154" i="16"/>
  <c r="Q153" i="16"/>
  <c r="O151" i="16"/>
  <c r="K147" i="16"/>
  <c r="J146" i="16"/>
  <c r="H144" i="16"/>
  <c r="R138" i="16"/>
  <c r="N134" i="16"/>
  <c r="K131" i="16"/>
  <c r="J130" i="16"/>
  <c r="I129" i="16"/>
  <c r="G127" i="16"/>
  <c r="U125" i="16"/>
  <c r="S123" i="16"/>
  <c r="P120" i="16"/>
  <c r="O119" i="16"/>
  <c r="K32" i="29"/>
  <c r="N118" i="16"/>
  <c r="L116" i="16"/>
  <c r="K115" i="16"/>
  <c r="I113" i="16"/>
  <c r="H112" i="16"/>
  <c r="G111" i="16"/>
  <c r="P104" i="16"/>
  <c r="O103" i="16"/>
  <c r="N102" i="16"/>
  <c r="K99" i="16"/>
  <c r="J98" i="16"/>
  <c r="D38" i="29"/>
  <c r="G95" i="16"/>
  <c r="S91" i="16"/>
  <c r="Q89" i="16"/>
  <c r="N86" i="16"/>
  <c r="G25" i="29"/>
  <c r="J82" i="16"/>
  <c r="I81" i="16"/>
  <c r="G79" i="16"/>
  <c r="T76" i="16"/>
  <c r="P72" i="16"/>
  <c r="O71" i="16"/>
  <c r="N70" i="16"/>
  <c r="J66" i="16"/>
  <c r="I65" i="16"/>
  <c r="H64" i="16"/>
  <c r="U61" i="16"/>
  <c r="T60" i="16"/>
  <c r="Q57" i="16"/>
  <c r="N54" i="16"/>
  <c r="H48" i="16"/>
  <c r="P40" i="16"/>
  <c r="L21" i="29"/>
  <c r="O39" i="16"/>
  <c r="M37" i="16"/>
  <c r="K35" i="16"/>
  <c r="J34" i="16"/>
  <c r="E19" i="29"/>
  <c r="H32" i="16"/>
  <c r="S27" i="16"/>
  <c r="R26" i="16"/>
  <c r="P24" i="16"/>
  <c r="L20" i="16"/>
  <c r="H16" i="16"/>
  <c r="T12" i="16"/>
  <c r="S11" i="16"/>
  <c r="Q9" i="16"/>
  <c r="P8" i="16"/>
  <c r="O7" i="16"/>
  <c r="M5" i="16"/>
  <c r="L4" i="16"/>
  <c r="K916" i="16"/>
  <c r="G912" i="16"/>
  <c r="U910" i="16"/>
  <c r="Q906" i="16"/>
  <c r="O904" i="16"/>
  <c r="N903" i="16"/>
  <c r="M902" i="16"/>
  <c r="K900" i="16"/>
  <c r="I898" i="16"/>
  <c r="H897" i="16"/>
  <c r="U894" i="16"/>
  <c r="S892" i="16"/>
  <c r="Q890" i="16"/>
  <c r="P889" i="16"/>
  <c r="N887" i="16"/>
  <c r="M886" i="16"/>
  <c r="L885" i="16"/>
  <c r="H881" i="16"/>
  <c r="G880" i="16"/>
  <c r="S876" i="16"/>
  <c r="Q874" i="16"/>
  <c r="O872" i="16"/>
  <c r="M870" i="16"/>
  <c r="L869" i="16"/>
  <c r="I866" i="16"/>
  <c r="H865" i="16"/>
  <c r="G864" i="16"/>
  <c r="T861" i="16"/>
  <c r="R859" i="16"/>
  <c r="N855" i="16"/>
  <c r="J851" i="16"/>
  <c r="H849" i="16"/>
  <c r="U846" i="16"/>
  <c r="S844" i="16"/>
  <c r="R843" i="16"/>
  <c r="M10" i="29"/>
  <c r="P841" i="16"/>
  <c r="N839" i="16"/>
  <c r="M838" i="16"/>
  <c r="K836" i="16"/>
  <c r="J835" i="16"/>
  <c r="I834" i="16"/>
  <c r="H833" i="16"/>
  <c r="U830" i="16"/>
  <c r="N823" i="16"/>
  <c r="M822" i="16"/>
  <c r="J819" i="16"/>
  <c r="T813" i="16"/>
  <c r="R811" i="16"/>
  <c r="O808" i="16"/>
  <c r="J45" i="29"/>
  <c r="M806" i="16"/>
  <c r="I802" i="16"/>
  <c r="R8" i="29"/>
  <c r="U798" i="16"/>
  <c r="S796" i="16"/>
  <c r="R795" i="16"/>
  <c r="Q794" i="16"/>
  <c r="O792" i="16"/>
  <c r="M790" i="16"/>
  <c r="J787" i="16"/>
  <c r="K12" i="18" s="1"/>
  <c r="I786" i="16"/>
  <c r="P49" i="29"/>
  <c r="S780" i="16"/>
  <c r="Q778" i="16"/>
  <c r="O776" i="16"/>
  <c r="N775" i="16"/>
  <c r="L773" i="16"/>
  <c r="K772" i="16"/>
  <c r="I770" i="16"/>
  <c r="G768" i="16"/>
  <c r="U766" i="16"/>
  <c r="T765" i="16"/>
  <c r="S764" i="16"/>
  <c r="R763" i="16"/>
  <c r="N759" i="16"/>
  <c r="L757" i="16"/>
  <c r="J755" i="16"/>
  <c r="T749" i="16"/>
  <c r="R747" i="16"/>
  <c r="Q746" i="16"/>
  <c r="M742" i="16"/>
  <c r="L741" i="16"/>
  <c r="T733" i="16"/>
  <c r="N727" i="16"/>
  <c r="L725" i="16"/>
  <c r="H721" i="16"/>
  <c r="G720" i="16"/>
  <c r="T717" i="16"/>
  <c r="P713" i="16"/>
  <c r="M710" i="16"/>
  <c r="R699" i="16"/>
  <c r="Q698" i="16"/>
  <c r="P697" i="16"/>
  <c r="O696" i="16"/>
  <c r="N695" i="16"/>
  <c r="M694" i="16"/>
  <c r="J691" i="16"/>
  <c r="I690" i="16"/>
  <c r="H689" i="16"/>
  <c r="G688" i="16"/>
  <c r="U686" i="16"/>
  <c r="S684" i="16"/>
  <c r="Q682" i="16"/>
  <c r="P681" i="16"/>
  <c r="N679" i="16"/>
  <c r="H673" i="16"/>
  <c r="G672" i="16"/>
  <c r="U670" i="16"/>
  <c r="O33" i="29"/>
  <c r="R667" i="16"/>
  <c r="P665" i="16"/>
  <c r="O664" i="16"/>
  <c r="P9" i="18" s="1"/>
  <c r="K34" i="29"/>
  <c r="N663" i="16"/>
  <c r="M662" i="16"/>
  <c r="J659" i="16"/>
  <c r="U654" i="16"/>
  <c r="T653" i="16"/>
  <c r="Q650" i="16"/>
  <c r="P649" i="16"/>
  <c r="O648" i="16"/>
  <c r="M646" i="16"/>
  <c r="L645" i="16"/>
  <c r="J643" i="16"/>
  <c r="H641" i="16"/>
  <c r="G640" i="16"/>
  <c r="R635" i="16"/>
  <c r="Q634" i="16"/>
  <c r="K48" i="29"/>
  <c r="N631" i="16"/>
  <c r="M630" i="16"/>
  <c r="I626" i="16"/>
  <c r="H625" i="16"/>
  <c r="D57" i="29"/>
  <c r="G624" i="16"/>
  <c r="U622" i="16"/>
  <c r="T621" i="16"/>
  <c r="S620" i="16"/>
  <c r="P617" i="16"/>
  <c r="M614" i="16"/>
  <c r="L613" i="16"/>
  <c r="K612" i="16"/>
  <c r="G608" i="16"/>
  <c r="U606" i="16"/>
  <c r="T605" i="16"/>
  <c r="S604" i="16"/>
  <c r="R603" i="16"/>
  <c r="Q602" i="16"/>
  <c r="P601" i="16"/>
  <c r="O600" i="16"/>
  <c r="K596" i="16"/>
  <c r="J595" i="16"/>
  <c r="H593" i="16"/>
  <c r="G592" i="16"/>
  <c r="U590" i="16"/>
  <c r="S588" i="16"/>
  <c r="R587" i="16"/>
  <c r="P585" i="16"/>
  <c r="N583" i="16"/>
  <c r="M582" i="16"/>
  <c r="I44" i="29"/>
  <c r="L581" i="16"/>
  <c r="K580" i="16"/>
  <c r="J579" i="16"/>
  <c r="U574" i="16"/>
  <c r="V22" i="18" s="1"/>
  <c r="T573" i="16"/>
  <c r="S572" i="16"/>
  <c r="P569" i="16"/>
  <c r="O568" i="16"/>
  <c r="N567" i="16"/>
  <c r="M566" i="16"/>
  <c r="L565" i="16"/>
  <c r="R50" i="29"/>
  <c r="U558" i="16"/>
  <c r="S556" i="16"/>
  <c r="M550" i="16"/>
  <c r="H26" i="29"/>
  <c r="K548" i="16"/>
  <c r="T541" i="16"/>
  <c r="P537" i="16"/>
  <c r="M534" i="16"/>
  <c r="K532" i="16"/>
  <c r="G528" i="16"/>
  <c r="H13" i="17" s="1"/>
  <c r="U526" i="16"/>
  <c r="Q522" i="16"/>
  <c r="N519" i="16"/>
  <c r="L517" i="16"/>
  <c r="J515" i="16"/>
  <c r="D14" i="29"/>
  <c r="G512" i="16"/>
  <c r="R507" i="16"/>
  <c r="N503" i="16"/>
  <c r="M502" i="16"/>
  <c r="G41" i="29"/>
  <c r="J499" i="16"/>
  <c r="U494" i="16"/>
  <c r="M486" i="16"/>
  <c r="J483" i="16"/>
  <c r="G480" i="16"/>
  <c r="S476" i="16"/>
  <c r="R475" i="16"/>
  <c r="J467" i="16"/>
  <c r="U462" i="16"/>
  <c r="Q458" i="16"/>
  <c r="K53" i="29"/>
  <c r="N455" i="16"/>
  <c r="L453" i="16"/>
  <c r="K452" i="16"/>
  <c r="G448" i="16"/>
  <c r="S444" i="16"/>
  <c r="R443" i="16"/>
  <c r="Q442" i="16"/>
  <c r="P441" i="16"/>
  <c r="O440" i="16"/>
  <c r="L437" i="16"/>
  <c r="J435" i="16"/>
  <c r="I434" i="16"/>
  <c r="H433" i="16"/>
  <c r="G432" i="16"/>
  <c r="T429" i="16"/>
  <c r="S428" i="16"/>
  <c r="Q426" i="16"/>
  <c r="M422" i="16"/>
  <c r="L421" i="16"/>
  <c r="J419" i="16"/>
  <c r="U414" i="16"/>
  <c r="T413" i="16"/>
  <c r="N407" i="16"/>
  <c r="M406" i="16"/>
  <c r="I28" i="29"/>
  <c r="L405" i="16"/>
  <c r="S396" i="16"/>
  <c r="Q394" i="16"/>
  <c r="M390" i="16"/>
  <c r="I386" i="16"/>
  <c r="M374" i="16"/>
  <c r="L373" i="16"/>
  <c r="I370" i="16"/>
  <c r="T365" i="16"/>
  <c r="P361" i="16"/>
  <c r="N359" i="16"/>
  <c r="L357" i="16"/>
  <c r="K356" i="16"/>
  <c r="T349" i="16"/>
  <c r="R347" i="16"/>
  <c r="O344" i="16"/>
  <c r="P11" i="18" s="1"/>
  <c r="N343" i="16"/>
  <c r="K340" i="16"/>
  <c r="H337" i="16"/>
  <c r="U334" i="16"/>
  <c r="R331" i="16"/>
  <c r="L39" i="29"/>
  <c r="O328" i="16"/>
  <c r="M326" i="16"/>
  <c r="J323" i="16"/>
  <c r="E31" i="29"/>
  <c r="H321" i="16"/>
  <c r="U318" i="16"/>
  <c r="Q314" i="16"/>
  <c r="M5" i="29"/>
  <c r="P313" i="16"/>
  <c r="O312" i="16"/>
  <c r="N311" i="16"/>
  <c r="J307" i="16"/>
  <c r="I306" i="16"/>
  <c r="G304" i="16"/>
  <c r="S300" i="16"/>
  <c r="Q298" i="16"/>
  <c r="P297" i="16"/>
  <c r="O296" i="16"/>
  <c r="P14" i="17" s="1"/>
  <c r="M294" i="16"/>
  <c r="J291" i="16"/>
  <c r="E24" i="29"/>
  <c r="H289" i="16"/>
  <c r="T285" i="16"/>
  <c r="Q282" i="16"/>
  <c r="M30" i="29"/>
  <c r="P281" i="16"/>
  <c r="N279" i="16"/>
  <c r="G17" i="29"/>
  <c r="J275" i="16"/>
  <c r="E34" i="29"/>
  <c r="H273" i="16"/>
  <c r="G272" i="16"/>
  <c r="P35" i="29"/>
  <c r="S268" i="16"/>
  <c r="R267" i="16"/>
  <c r="Q266" i="16"/>
  <c r="L20" i="29"/>
  <c r="O264" i="16"/>
  <c r="L261" i="16"/>
  <c r="J259" i="16"/>
  <c r="I258" i="16"/>
  <c r="D47" i="29"/>
  <c r="G256" i="16"/>
  <c r="U254" i="16"/>
  <c r="T253" i="16"/>
  <c r="R251" i="16"/>
  <c r="O248" i="16"/>
  <c r="K12" i="29"/>
  <c r="N247" i="16"/>
  <c r="M246" i="16"/>
  <c r="I13" i="29"/>
  <c r="L245" i="16"/>
  <c r="I242" i="16"/>
  <c r="Q234" i="16"/>
  <c r="P233" i="16"/>
  <c r="N231" i="16"/>
  <c r="M230" i="16"/>
  <c r="I16" i="29"/>
  <c r="L229" i="16"/>
  <c r="J227" i="16"/>
  <c r="I226" i="16"/>
  <c r="U222" i="16"/>
  <c r="T221" i="16"/>
  <c r="R219" i="16"/>
  <c r="Q218" i="16"/>
  <c r="M214" i="16"/>
  <c r="L213" i="16"/>
  <c r="J211" i="16"/>
  <c r="I210" i="16"/>
  <c r="U206" i="16"/>
  <c r="T205" i="16"/>
  <c r="R203" i="16"/>
  <c r="Q202" i="16"/>
  <c r="O200" i="16"/>
  <c r="N199" i="16"/>
  <c r="M198" i="16"/>
  <c r="L197" i="16"/>
  <c r="G192" i="16"/>
  <c r="U190" i="16"/>
  <c r="Q186" i="16"/>
  <c r="P185" i="16"/>
  <c r="L42" i="29"/>
  <c r="O184" i="16"/>
  <c r="M182" i="16"/>
  <c r="H177" i="16"/>
  <c r="I16" i="17" s="1"/>
  <c r="G176" i="16"/>
  <c r="U174" i="16"/>
  <c r="T173" i="16"/>
  <c r="Q170" i="16"/>
  <c r="P169" i="16"/>
  <c r="O168" i="16"/>
  <c r="N167" i="16"/>
  <c r="I162" i="16"/>
  <c r="H161" i="16"/>
  <c r="G160" i="16"/>
  <c r="Q43" i="29"/>
  <c r="T157" i="16"/>
  <c r="S156" i="16"/>
  <c r="Q154" i="16"/>
  <c r="P153" i="16"/>
  <c r="N151" i="16"/>
  <c r="J147" i="16"/>
  <c r="I146" i="16"/>
  <c r="H145" i="16"/>
  <c r="G144" i="16"/>
  <c r="T141" i="16"/>
  <c r="Q138" i="16"/>
  <c r="M134" i="16"/>
  <c r="J131" i="16"/>
  <c r="I130" i="16"/>
  <c r="H129" i="16"/>
  <c r="U126" i="16"/>
  <c r="T125" i="16"/>
  <c r="S124" i="16"/>
  <c r="R123" i="16"/>
  <c r="O120" i="16"/>
  <c r="N119" i="16"/>
  <c r="J32" i="29"/>
  <c r="M118" i="16"/>
  <c r="K116" i="16"/>
  <c r="J115" i="16"/>
  <c r="H113" i="16"/>
  <c r="G112" i="16"/>
  <c r="O104" i="16"/>
  <c r="N103" i="16"/>
  <c r="J31" i="29"/>
  <c r="M102" i="16"/>
  <c r="N8" i="18" s="1"/>
  <c r="J99" i="16"/>
  <c r="I98" i="16"/>
  <c r="U94" i="16"/>
  <c r="R91" i="16"/>
  <c r="P89" i="16"/>
  <c r="M86" i="16"/>
  <c r="N13" i="18" s="1"/>
  <c r="F25" i="29"/>
  <c r="I82" i="16"/>
  <c r="H81" i="16"/>
  <c r="S76" i="16"/>
  <c r="L18" i="29"/>
  <c r="O72" i="16"/>
  <c r="N71" i="16"/>
  <c r="M70" i="16"/>
  <c r="F3" i="29"/>
  <c r="I66" i="16"/>
  <c r="H65" i="16"/>
  <c r="G64" i="16"/>
  <c r="T61" i="16"/>
  <c r="S60" i="16"/>
  <c r="P57" i="16"/>
  <c r="M54" i="16"/>
  <c r="N10" i="18" s="1"/>
  <c r="G48" i="16"/>
  <c r="O40" i="16"/>
  <c r="K21" i="29"/>
  <c r="N39" i="16"/>
  <c r="L37" i="16"/>
  <c r="G9" i="29"/>
  <c r="J35" i="16"/>
  <c r="I34" i="16"/>
  <c r="D19" i="29"/>
  <c r="G32" i="16"/>
  <c r="U30" i="16"/>
  <c r="R27" i="16"/>
  <c r="Q26" i="16"/>
  <c r="O24" i="16"/>
  <c r="K20" i="16"/>
  <c r="I18" i="16"/>
  <c r="G16" i="16"/>
  <c r="U14" i="16"/>
  <c r="S12" i="16"/>
  <c r="R11" i="16"/>
  <c r="P9" i="16"/>
  <c r="O8" i="16"/>
  <c r="N7" i="16"/>
  <c r="I7" i="29"/>
  <c r="L5" i="16"/>
  <c r="K4" i="16"/>
  <c r="P763" i="16"/>
  <c r="J757" i="16"/>
  <c r="H755" i="16"/>
  <c r="T751" i="16"/>
  <c r="R749" i="16"/>
  <c r="P747" i="16"/>
  <c r="O746" i="16"/>
  <c r="K742" i="16"/>
  <c r="J741" i="16"/>
  <c r="R733" i="16"/>
  <c r="L727" i="16"/>
  <c r="J725" i="16"/>
  <c r="U720" i="16"/>
  <c r="R717" i="16"/>
  <c r="N713" i="16"/>
  <c r="K710" i="16"/>
  <c r="T703" i="16"/>
  <c r="P699" i="16"/>
  <c r="O698" i="16"/>
  <c r="N697" i="16"/>
  <c r="M696" i="16"/>
  <c r="L695" i="16"/>
  <c r="K694" i="16"/>
  <c r="H691" i="16"/>
  <c r="G690" i="16"/>
  <c r="U688" i="16"/>
  <c r="S686" i="16"/>
  <c r="R685" i="16"/>
  <c r="Q684" i="16"/>
  <c r="O682" i="16"/>
  <c r="N681" i="16"/>
  <c r="L679" i="16"/>
  <c r="J677" i="16"/>
  <c r="U672" i="16"/>
  <c r="T671" i="16"/>
  <c r="S670" i="16"/>
  <c r="M33" i="29"/>
  <c r="P667" i="16"/>
  <c r="N665" i="16"/>
  <c r="M664" i="16"/>
  <c r="N9" i="18" s="1"/>
  <c r="L663" i="16"/>
  <c r="K662" i="16"/>
  <c r="H659" i="16"/>
  <c r="S654" i="16"/>
  <c r="R653" i="16"/>
  <c r="O650" i="16"/>
  <c r="N649" i="16"/>
  <c r="M648" i="16"/>
  <c r="K646" i="16"/>
  <c r="H643" i="16"/>
  <c r="U640" i="16"/>
  <c r="T639" i="16"/>
  <c r="P635" i="16"/>
  <c r="O634" i="16"/>
  <c r="I48" i="29"/>
  <c r="L631" i="16"/>
  <c r="K630" i="16"/>
  <c r="G626" i="16"/>
  <c r="R57" i="29"/>
  <c r="U624" i="16"/>
  <c r="S622" i="16"/>
  <c r="R621" i="16"/>
  <c r="Q620" i="16"/>
  <c r="N617" i="16"/>
  <c r="K614" i="16"/>
  <c r="J613" i="16"/>
  <c r="I612" i="16"/>
  <c r="U608" i="16"/>
  <c r="S606" i="16"/>
  <c r="R605" i="16"/>
  <c r="Q604" i="16"/>
  <c r="P603" i="16"/>
  <c r="O602" i="16"/>
  <c r="N601" i="16"/>
  <c r="M600" i="16"/>
  <c r="I596" i="16"/>
  <c r="H595" i="16"/>
  <c r="U592" i="16"/>
  <c r="T591" i="16"/>
  <c r="S590" i="16"/>
  <c r="Q588" i="16"/>
  <c r="P587" i="16"/>
  <c r="N585" i="16"/>
  <c r="L583" i="16"/>
  <c r="K582" i="16"/>
  <c r="G44" i="29"/>
  <c r="J581" i="16"/>
  <c r="I580" i="16"/>
  <c r="H579" i="16"/>
  <c r="T575" i="16"/>
  <c r="S574" i="16"/>
  <c r="R573" i="16"/>
  <c r="Q572" i="16"/>
  <c r="N569" i="16"/>
  <c r="M568" i="16"/>
  <c r="L567" i="16"/>
  <c r="K566" i="16"/>
  <c r="J565" i="16"/>
  <c r="P50" i="29"/>
  <c r="S558" i="16"/>
  <c r="R557" i="16"/>
  <c r="Q556" i="16"/>
  <c r="K550" i="16"/>
  <c r="F26" i="29"/>
  <c r="I548" i="16"/>
  <c r="R541" i="16"/>
  <c r="N537" i="16"/>
  <c r="K534" i="16"/>
  <c r="I532" i="16"/>
  <c r="U528" i="16"/>
  <c r="V13" i="17" s="1"/>
  <c r="S526" i="16"/>
  <c r="P523" i="16"/>
  <c r="L519" i="16"/>
  <c r="J517" i="16"/>
  <c r="H515" i="16"/>
  <c r="R14" i="29"/>
  <c r="U512" i="16"/>
  <c r="P507" i="16"/>
  <c r="L503" i="16"/>
  <c r="K502" i="16"/>
  <c r="E41" i="29"/>
  <c r="H499" i="16"/>
  <c r="T495" i="16"/>
  <c r="S494" i="16"/>
  <c r="R493" i="16"/>
  <c r="K486" i="16"/>
  <c r="H483" i="16"/>
  <c r="U480" i="16"/>
  <c r="Q476" i="16"/>
  <c r="R22" i="18" s="1"/>
  <c r="P475" i="16"/>
  <c r="O474" i="16"/>
  <c r="K470" i="16"/>
  <c r="J469" i="16"/>
  <c r="H467" i="16"/>
  <c r="S462" i="16"/>
  <c r="R461" i="16"/>
  <c r="O458" i="16"/>
  <c r="I53" i="29"/>
  <c r="L455" i="16"/>
  <c r="J453" i="16"/>
  <c r="U448" i="16"/>
  <c r="Q444" i="16"/>
  <c r="P443" i="16"/>
  <c r="O442" i="16"/>
  <c r="N441" i="16"/>
  <c r="M440" i="16"/>
  <c r="J437" i="16"/>
  <c r="G434" i="16"/>
  <c r="U432" i="16"/>
  <c r="R429" i="16"/>
  <c r="Q428" i="16"/>
  <c r="O426" i="16"/>
  <c r="N425" i="16"/>
  <c r="K422" i="16"/>
  <c r="J421" i="16"/>
  <c r="E40" i="29"/>
  <c r="H419" i="16"/>
  <c r="Q52" i="29"/>
  <c r="T415" i="16"/>
  <c r="S414" i="16"/>
  <c r="R413" i="16"/>
  <c r="L407" i="16"/>
  <c r="G28" i="29"/>
  <c r="J405" i="16"/>
  <c r="Q396" i="16"/>
  <c r="O394" i="16"/>
  <c r="G386" i="16"/>
  <c r="T383" i="16"/>
  <c r="I51" i="29"/>
  <c r="L375" i="16"/>
  <c r="K374" i="16"/>
  <c r="J373" i="16"/>
  <c r="G370" i="16"/>
  <c r="T367" i="16"/>
  <c r="R365" i="16"/>
  <c r="N361" i="16"/>
  <c r="L359" i="16"/>
  <c r="J357" i="16"/>
  <c r="I356" i="16"/>
  <c r="H355" i="16"/>
  <c r="T351" i="16"/>
  <c r="R349" i="16"/>
  <c r="P347" i="16"/>
  <c r="M344" i="16"/>
  <c r="N11" i="18" s="1"/>
  <c r="L343" i="16"/>
  <c r="I340" i="16"/>
  <c r="T335" i="16"/>
  <c r="S334" i="16"/>
  <c r="P331" i="16"/>
  <c r="J39" i="29"/>
  <c r="M328" i="16"/>
  <c r="K326" i="16"/>
  <c r="J325" i="16"/>
  <c r="H323" i="16"/>
  <c r="T319" i="16"/>
  <c r="S318" i="16"/>
  <c r="O314" i="16"/>
  <c r="K5" i="29"/>
  <c r="N313" i="16"/>
  <c r="M312" i="16"/>
  <c r="L311" i="16"/>
  <c r="H307" i="16"/>
  <c r="G306" i="16"/>
  <c r="U304" i="16"/>
  <c r="T303" i="16"/>
  <c r="Q300" i="16"/>
  <c r="O298" i="16"/>
  <c r="N297" i="16"/>
  <c r="M296" i="16"/>
  <c r="N14" i="17" s="1"/>
  <c r="K294" i="16"/>
  <c r="H291" i="16"/>
  <c r="R285" i="16"/>
  <c r="O282" i="16"/>
  <c r="K30" i="29"/>
  <c r="N281" i="16"/>
  <c r="M280" i="16"/>
  <c r="L279" i="16"/>
  <c r="E17" i="29"/>
  <c r="H275" i="16"/>
  <c r="G274" i="16"/>
  <c r="U272" i="16"/>
  <c r="N35" i="29"/>
  <c r="Q268" i="16"/>
  <c r="P267" i="16"/>
  <c r="O266" i="16"/>
  <c r="J20" i="29"/>
  <c r="M264" i="16"/>
  <c r="J261" i="16"/>
  <c r="H259" i="16"/>
  <c r="G258" i="16"/>
  <c r="R47" i="29"/>
  <c r="U256" i="16"/>
  <c r="S254" i="16"/>
  <c r="R253" i="16"/>
  <c r="P251" i="16"/>
  <c r="M248" i="16"/>
  <c r="I12" i="29"/>
  <c r="L247" i="16"/>
  <c r="K246" i="16"/>
  <c r="G13" i="29"/>
  <c r="J245" i="16"/>
  <c r="G242" i="16"/>
  <c r="O234" i="16"/>
  <c r="N233" i="16"/>
  <c r="L231" i="16"/>
  <c r="K230" i="16"/>
  <c r="G16" i="29"/>
  <c r="J229" i="16"/>
  <c r="H227" i="16"/>
  <c r="S222" i="16"/>
  <c r="R221" i="16"/>
  <c r="P219" i="16"/>
  <c r="O218" i="16"/>
  <c r="K214" i="16"/>
  <c r="J213" i="16"/>
  <c r="H211" i="16"/>
  <c r="G210" i="16"/>
  <c r="Q23" i="29"/>
  <c r="T207" i="16"/>
  <c r="S206" i="16"/>
  <c r="R205" i="16"/>
  <c r="P203" i="16"/>
  <c r="O202" i="16"/>
  <c r="M200" i="16"/>
  <c r="L199" i="16"/>
  <c r="K198" i="16"/>
  <c r="J197" i="16"/>
  <c r="U192" i="16"/>
  <c r="S190" i="16"/>
  <c r="O186" i="16"/>
  <c r="N185" i="16"/>
  <c r="J42" i="29"/>
  <c r="M184" i="16"/>
  <c r="L183" i="16"/>
  <c r="K182" i="16"/>
  <c r="U176" i="16"/>
  <c r="S174" i="16"/>
  <c r="R173" i="16"/>
  <c r="O170" i="16"/>
  <c r="N169" i="16"/>
  <c r="M168" i="16"/>
  <c r="L167" i="16"/>
  <c r="O43" i="29"/>
  <c r="R157" i="16"/>
  <c r="Q156" i="16"/>
  <c r="O154" i="16"/>
  <c r="N153" i="16"/>
  <c r="L151" i="16"/>
  <c r="H147" i="16"/>
  <c r="G146" i="16"/>
  <c r="U144" i="16"/>
  <c r="T143" i="16"/>
  <c r="R141" i="16"/>
  <c r="O138" i="16"/>
  <c r="K134" i="16"/>
  <c r="H131" i="16"/>
  <c r="G130" i="16"/>
  <c r="T127" i="16"/>
  <c r="S126" i="16"/>
  <c r="R125" i="16"/>
  <c r="Q124" i="16"/>
  <c r="M120" i="16"/>
  <c r="L119" i="16"/>
  <c r="H32" i="29"/>
  <c r="K118" i="16"/>
  <c r="I116" i="16"/>
  <c r="H115" i="16"/>
  <c r="U112" i="16"/>
  <c r="T111" i="16"/>
  <c r="M104" i="16"/>
  <c r="L103" i="16"/>
  <c r="K102" i="16"/>
  <c r="H99" i="16"/>
  <c r="G98" i="16"/>
  <c r="Q38" i="29"/>
  <c r="T95" i="16"/>
  <c r="S94" i="16"/>
  <c r="P91" i="16"/>
  <c r="N89" i="16"/>
  <c r="K86" i="16"/>
  <c r="L13" i="18" s="1"/>
  <c r="G82" i="16"/>
  <c r="T79" i="16"/>
  <c r="Q76" i="16"/>
  <c r="J18" i="29"/>
  <c r="M72" i="16"/>
  <c r="L71" i="16"/>
  <c r="K70" i="16"/>
  <c r="D3" i="29"/>
  <c r="G66" i="16"/>
  <c r="U64" i="16"/>
  <c r="S62" i="16"/>
  <c r="R61" i="16"/>
  <c r="Q60" i="16"/>
  <c r="N57" i="16"/>
  <c r="K54" i="16"/>
  <c r="L10" i="18" s="1"/>
  <c r="U48" i="16"/>
  <c r="M40" i="16"/>
  <c r="I21" i="29"/>
  <c r="L39" i="16"/>
  <c r="J37" i="16"/>
  <c r="G34" i="16"/>
  <c r="R19" i="29"/>
  <c r="U32" i="16"/>
  <c r="S30" i="16"/>
  <c r="O26" i="16"/>
  <c r="M24" i="16"/>
  <c r="I20" i="16"/>
  <c r="G18" i="16"/>
  <c r="U16" i="16"/>
  <c r="S14" i="16"/>
  <c r="Q12" i="16"/>
  <c r="P11" i="16"/>
  <c r="N9" i="16"/>
  <c r="M8" i="16"/>
  <c r="L7" i="16"/>
  <c r="G7" i="29"/>
  <c r="J5" i="16"/>
  <c r="H20" i="16"/>
  <c r="T16" i="16"/>
  <c r="R14" i="16"/>
  <c r="P12" i="16"/>
  <c r="O11" i="16"/>
  <c r="M9" i="16"/>
  <c r="L8" i="16"/>
  <c r="F7" i="29"/>
  <c r="I5" i="16"/>
  <c r="H4" i="16"/>
  <c r="Y11" i="10"/>
  <c r="Z22" i="10"/>
  <c r="Z21" i="10"/>
  <c r="Y24" i="10"/>
  <c r="Y12" i="10"/>
  <c r="Z8" i="10"/>
  <c r="Z16" i="10"/>
  <c r="Z24" i="10"/>
  <c r="Z12" i="10"/>
  <c r="Z11" i="10"/>
  <c r="Z10" i="10"/>
  <c r="Z9" i="10"/>
  <c r="Z13" i="10"/>
  <c r="Z7" i="10"/>
  <c r="X21" i="10"/>
  <c r="X22" i="10"/>
  <c r="X24" i="10"/>
  <c r="Y22" i="10"/>
  <c r="Y21" i="10"/>
  <c r="X16" i="10"/>
  <c r="X8" i="10"/>
  <c r="Y16" i="10"/>
  <c r="Y8" i="10"/>
  <c r="X7" i="10"/>
  <c r="Y7" i="10"/>
  <c r="X12" i="10"/>
  <c r="X9" i="10"/>
  <c r="X13" i="10"/>
  <c r="X10" i="10"/>
  <c r="Y10" i="10"/>
  <c r="X11" i="10"/>
  <c r="Y13" i="10"/>
  <c r="Y9" i="10"/>
  <c r="Z20" i="10"/>
  <c r="X27" i="10"/>
  <c r="Y26" i="10"/>
  <c r="X23" i="10"/>
  <c r="X17" i="10"/>
  <c r="X20" i="10"/>
  <c r="X26" i="10"/>
  <c r="Z5" i="10"/>
  <c r="Z6" i="10"/>
  <c r="Z4" i="10"/>
  <c r="Z25" i="10"/>
  <c r="Z27" i="10"/>
  <c r="Z26" i="10"/>
  <c r="Z23" i="10"/>
  <c r="X5" i="10"/>
  <c r="Z17" i="10"/>
  <c r="X6" i="10"/>
  <c r="X4" i="10"/>
  <c r="X25" i="10"/>
  <c r="Y20" i="10"/>
  <c r="Y25" i="10"/>
  <c r="Y23" i="10"/>
  <c r="Y6" i="10"/>
  <c r="Y17" i="10"/>
  <c r="Y5" i="10"/>
  <c r="Y27" i="10"/>
  <c r="Y4" i="10"/>
  <c r="U22" i="18" l="1"/>
  <c r="N16" i="18"/>
  <c r="Y567" i="16"/>
  <c r="P16" i="18"/>
  <c r="Y1053" i="16"/>
  <c r="Y326" i="16"/>
  <c r="K16" i="18"/>
  <c r="Y373" i="16"/>
  <c r="L16" i="18"/>
  <c r="Y407" i="16"/>
  <c r="Y537" i="16"/>
  <c r="Y1097" i="16"/>
  <c r="Y486" i="16"/>
  <c r="Y903" i="16"/>
  <c r="Y441" i="16"/>
  <c r="X672" i="16"/>
  <c r="Y823" i="16"/>
  <c r="Y118" i="16"/>
  <c r="Y183" i="16"/>
  <c r="Y1020" i="16"/>
  <c r="V24" i="18"/>
  <c r="R14" i="17"/>
  <c r="Y1040" i="16"/>
  <c r="Y1036" i="16"/>
  <c r="Y1052" i="16"/>
  <c r="M24" i="18"/>
  <c r="Y89" i="16"/>
  <c r="Y663" i="16"/>
  <c r="Y470" i="16"/>
  <c r="Y359" i="16"/>
  <c r="Y154" i="16"/>
  <c r="Y887" i="16"/>
  <c r="H36" i="29"/>
  <c r="N29" i="29"/>
  <c r="J36" i="29"/>
  <c r="M18" i="29"/>
  <c r="Y374" i="16"/>
  <c r="E38" i="29"/>
  <c r="K28" i="29"/>
  <c r="Y433" i="16"/>
  <c r="D20" i="29"/>
  <c r="E30" i="29"/>
  <c r="G18" i="29"/>
  <c r="I11" i="29"/>
  <c r="O57" i="29"/>
  <c r="M8" i="29"/>
  <c r="P19" i="29"/>
  <c r="R25" i="29"/>
  <c r="E28" i="29"/>
  <c r="I18" i="29"/>
  <c r="M35" i="29"/>
  <c r="F28" i="29"/>
  <c r="G36" i="29"/>
  <c r="M29" i="29"/>
  <c r="H28" i="29"/>
  <c r="I36" i="29"/>
  <c r="O29" i="29"/>
  <c r="G26" i="29"/>
  <c r="K6" i="29"/>
  <c r="E57" i="29"/>
  <c r="H19" i="29"/>
  <c r="O21" i="29"/>
  <c r="G38" i="29"/>
  <c r="K40" i="29"/>
  <c r="L26" i="29"/>
  <c r="R36" i="29"/>
  <c r="G33" i="29"/>
  <c r="M38" i="29"/>
  <c r="M40" i="29"/>
  <c r="L8" i="29"/>
  <c r="Q57" i="29"/>
  <c r="I6" i="29"/>
  <c r="Q6" i="29"/>
  <c r="R39" i="29"/>
  <c r="G8" i="29"/>
  <c r="O13" i="29"/>
  <c r="D32" i="29"/>
  <c r="Q41" i="29"/>
  <c r="O18" i="29"/>
  <c r="F38" i="29"/>
  <c r="Q11" i="29"/>
  <c r="L13" i="29"/>
  <c r="J40" i="29"/>
  <c r="K26" i="29"/>
  <c r="G57" i="29"/>
  <c r="R5" i="29"/>
  <c r="L40" i="29"/>
  <c r="O7" i="29"/>
  <c r="L11" i="29"/>
  <c r="J7" i="29"/>
  <c r="M25" i="29"/>
  <c r="D30" i="29"/>
  <c r="D5" i="29"/>
  <c r="P28" i="29"/>
  <c r="D10" i="29"/>
  <c r="X50" i="29"/>
  <c r="V50" i="29"/>
  <c r="G20" i="29"/>
  <c r="D28" i="29"/>
  <c r="O14" i="29"/>
  <c r="E16" i="29"/>
  <c r="L35" i="29"/>
  <c r="Q19" i="29"/>
  <c r="G31" i="29"/>
  <c r="G32" i="29"/>
  <c r="Q8" i="29"/>
  <c r="F9" i="29"/>
  <c r="K42" i="29"/>
  <c r="R23" i="29"/>
  <c r="J12" i="29"/>
  <c r="L30" i="29"/>
  <c r="F14" i="29"/>
  <c r="P18" i="29"/>
  <c r="J25" i="29"/>
  <c r="H14" i="29"/>
  <c r="P26" i="29"/>
  <c r="E21" i="29"/>
  <c r="F39" i="29"/>
  <c r="M41" i="29"/>
  <c r="D26" i="29"/>
  <c r="O16" i="29"/>
  <c r="M23" i="29"/>
  <c r="V23" i="29" s="1"/>
  <c r="Q17" i="29"/>
  <c r="N6" i="29"/>
  <c r="D8" i="29"/>
  <c r="G19" i="29"/>
  <c r="N21" i="29"/>
  <c r="J41" i="29"/>
  <c r="G14" i="29"/>
  <c r="L3" i="29"/>
  <c r="P32" i="29"/>
  <c r="V54" i="29"/>
  <c r="X54" i="29"/>
  <c r="I19" i="29"/>
  <c r="K25" i="29"/>
  <c r="I47" i="29"/>
  <c r="J34" i="29"/>
  <c r="L41" i="29"/>
  <c r="I14" i="29"/>
  <c r="P31" i="29"/>
  <c r="Y248" i="16"/>
  <c r="V53" i="29"/>
  <c r="X53" i="29"/>
  <c r="G3" i="29"/>
  <c r="L12" i="29"/>
  <c r="M20" i="29"/>
  <c r="K19" i="29"/>
  <c r="R21" i="29"/>
  <c r="J38" i="29"/>
  <c r="O26" i="29"/>
  <c r="N3" i="29"/>
  <c r="I29" i="29"/>
  <c r="E32" i="29"/>
  <c r="N8" i="29"/>
  <c r="I10" i="29"/>
  <c r="F16" i="29"/>
  <c r="H12" i="29"/>
  <c r="I20" i="29"/>
  <c r="R24" i="29"/>
  <c r="Q14" i="29"/>
  <c r="N33" i="29"/>
  <c r="I31" i="29"/>
  <c r="X45" i="29"/>
  <c r="V45" i="29"/>
  <c r="M7" i="29"/>
  <c r="H57" i="29"/>
  <c r="O48" i="29"/>
  <c r="H29" i="29"/>
  <c r="P25" i="29"/>
  <c r="I23" i="29"/>
  <c r="F35" i="29"/>
  <c r="E8" i="29"/>
  <c r="R20" i="29"/>
  <c r="P10" i="29"/>
  <c r="F6" i="29"/>
  <c r="R26" i="29"/>
  <c r="I3" i="29"/>
  <c r="L16" i="29"/>
  <c r="H34" i="29"/>
  <c r="H24" i="29"/>
  <c r="P5" i="29"/>
  <c r="O39" i="29"/>
  <c r="O6" i="29"/>
  <c r="P21" i="29"/>
  <c r="H9" i="29"/>
  <c r="K14" i="29"/>
  <c r="Q7" i="29"/>
  <c r="L19" i="29"/>
  <c r="F11" i="29"/>
  <c r="R7" i="29"/>
  <c r="E42" i="29"/>
  <c r="R13" i="29"/>
  <c r="E39" i="29"/>
  <c r="R9" i="29"/>
  <c r="O47" i="29"/>
  <c r="K29" i="29"/>
  <c r="J33" i="29"/>
  <c r="V49" i="29"/>
  <c r="X49" i="29"/>
  <c r="O38" i="29"/>
  <c r="J11" i="29"/>
  <c r="G12" i="29"/>
  <c r="H20" i="29"/>
  <c r="Q24" i="29"/>
  <c r="D9" i="29"/>
  <c r="F17" i="29"/>
  <c r="K39" i="29"/>
  <c r="P33" i="29"/>
  <c r="G23" i="29"/>
  <c r="M13" i="29"/>
  <c r="D35" i="29"/>
  <c r="P39" i="29"/>
  <c r="N19" i="29"/>
  <c r="J14" i="29"/>
  <c r="R18" i="29"/>
  <c r="G10" i="29"/>
  <c r="J26" i="29"/>
  <c r="O10" i="29"/>
  <c r="X56" i="29"/>
  <c r="V56" i="29"/>
  <c r="N12" i="29"/>
  <c r="D33" i="29"/>
  <c r="Q12" i="29"/>
  <c r="K24" i="29"/>
  <c r="Q18" i="29"/>
  <c r="H23" i="29"/>
  <c r="N13" i="29"/>
  <c r="Q20" i="29"/>
  <c r="R30" i="29"/>
  <c r="I57" i="29"/>
  <c r="G5" i="29"/>
  <c r="E12" i="29"/>
  <c r="N20" i="29"/>
  <c r="R29" i="29"/>
  <c r="E9" i="29"/>
  <c r="N40" i="29"/>
  <c r="K35" i="29"/>
  <c r="Y11" i="16"/>
  <c r="N11" i="29"/>
  <c r="G40" i="29"/>
  <c r="P29" i="29"/>
  <c r="F34" i="29"/>
  <c r="F24" i="29"/>
  <c r="M39" i="29"/>
  <c r="K7" i="29"/>
  <c r="I9" i="29"/>
  <c r="L31" i="29"/>
  <c r="L32" i="29"/>
  <c r="P7" i="29"/>
  <c r="Q13" i="29"/>
  <c r="H35" i="29"/>
  <c r="O17" i="29"/>
  <c r="R28" i="29"/>
  <c r="M14" i="29"/>
  <c r="L29" i="29"/>
  <c r="P14" i="29"/>
  <c r="R34" i="29"/>
  <c r="J30" i="29"/>
  <c r="D40" i="29"/>
  <c r="K10" i="29"/>
  <c r="V46" i="29"/>
  <c r="X46" i="29"/>
  <c r="J48" i="29"/>
  <c r="K18" i="29"/>
  <c r="E25" i="29"/>
  <c r="R38" i="29"/>
  <c r="M11" i="29"/>
  <c r="F40" i="29"/>
  <c r="F41" i="29"/>
  <c r="K9" i="29"/>
  <c r="R11" i="29"/>
  <c r="M28" i="29"/>
  <c r="N36" i="29"/>
  <c r="F8" i="29"/>
  <c r="O40" i="29"/>
  <c r="L14" i="29"/>
  <c r="F18" i="29"/>
  <c r="J29" i="29"/>
  <c r="M17" i="29"/>
  <c r="Q48" i="29"/>
  <c r="L33" i="29"/>
  <c r="D11" i="29"/>
  <c r="F29" i="29"/>
  <c r="D31" i="29"/>
  <c r="O34" i="29"/>
  <c r="O42" i="29"/>
  <c r="F23" i="29"/>
  <c r="G47" i="29"/>
  <c r="O20" i="29"/>
  <c r="P30" i="29"/>
  <c r="L28" i="29"/>
  <c r="M36" i="29"/>
  <c r="N48" i="29"/>
  <c r="E33" i="29"/>
  <c r="O31" i="29"/>
  <c r="N28" i="29"/>
  <c r="O36" i="29"/>
  <c r="P9" i="29"/>
  <c r="D36" i="29"/>
  <c r="N17" i="29"/>
  <c r="K3" i="29"/>
  <c r="P38" i="29"/>
  <c r="K11" i="29"/>
  <c r="J6" i="29"/>
  <c r="L6" i="29"/>
  <c r="Y695" i="16"/>
  <c r="Y214" i="16"/>
  <c r="K36" i="29"/>
  <c r="H25" i="29"/>
  <c r="P11" i="29"/>
  <c r="N39" i="29"/>
  <c r="Y357" i="16"/>
  <c r="R12" i="29"/>
  <c r="R51" i="29"/>
  <c r="X51" i="29" s="1"/>
  <c r="Q36" i="29"/>
  <c r="G29" i="29"/>
  <c r="R32" i="29"/>
  <c r="D12" i="29"/>
  <c r="I35" i="29"/>
  <c r="P17" i="29"/>
  <c r="M57" i="29"/>
  <c r="F10" i="29"/>
  <c r="D7" i="29"/>
  <c r="D13" i="29"/>
  <c r="P24" i="29"/>
  <c r="R40" i="29"/>
  <c r="F32" i="29"/>
  <c r="Q34" i="29"/>
  <c r="K13" i="29"/>
  <c r="X55" i="29"/>
  <c r="V55" i="29"/>
  <c r="H7" i="29"/>
  <c r="J21" i="29"/>
  <c r="H13" i="29"/>
  <c r="O35" i="29"/>
  <c r="L5" i="29"/>
  <c r="Q16" i="18"/>
  <c r="P42" i="29"/>
  <c r="I24" i="29"/>
  <c r="Q5" i="29"/>
  <c r="L57" i="29"/>
  <c r="D6" i="29"/>
  <c r="H11" i="29"/>
  <c r="G30" i="29"/>
  <c r="N57" i="29"/>
  <c r="O8" i="29"/>
  <c r="H8" i="29"/>
  <c r="J19" i="29"/>
  <c r="I38" i="29"/>
  <c r="F42" i="29"/>
  <c r="N14" i="29"/>
  <c r="X44" i="29"/>
  <c r="V44" i="29"/>
  <c r="J9" i="29"/>
  <c r="J47" i="29"/>
  <c r="N7" i="29"/>
  <c r="L9" i="29"/>
  <c r="H38" i="29"/>
  <c r="O32" i="29"/>
  <c r="L17" i="29"/>
  <c r="M26" i="29"/>
  <c r="P48" i="29"/>
  <c r="M9" i="29"/>
  <c r="N47" i="29"/>
  <c r="V47" i="29" s="1"/>
  <c r="D29" i="29"/>
  <c r="D25" i="29"/>
  <c r="E11" i="29"/>
  <c r="N25" i="29"/>
  <c r="D42" i="29"/>
  <c r="M24" i="29"/>
  <c r="E5" i="29"/>
  <c r="D39" i="29"/>
  <c r="M19" i="29"/>
  <c r="E7" i="29"/>
  <c r="L14" i="17"/>
  <c r="F36" i="29"/>
  <c r="K33" i="29"/>
  <c r="F13" i="29"/>
  <c r="D17" i="29"/>
  <c r="D41" i="29"/>
  <c r="P8" i="29"/>
  <c r="E3" i="29"/>
  <c r="L48" i="29"/>
  <c r="M6" i="29"/>
  <c r="N10" i="29"/>
  <c r="N31" i="29"/>
  <c r="N32" i="29"/>
  <c r="Q10" i="29"/>
  <c r="O41" i="29"/>
  <c r="E10" i="29"/>
  <c r="P3" i="29"/>
  <c r="R6" i="29"/>
  <c r="Q21" i="29"/>
  <c r="O28" i="29"/>
  <c r="Q33" i="29"/>
  <c r="I25" i="29"/>
  <c r="M31" i="29"/>
  <c r="J17" i="29"/>
  <c r="Q42" i="29"/>
  <c r="Q39" i="29"/>
  <c r="N38" i="29"/>
  <c r="V51" i="29"/>
  <c r="H31" i="29"/>
  <c r="K31" i="29"/>
  <c r="J28" i="29"/>
  <c r="G35" i="29"/>
  <c r="R31" i="29"/>
  <c r="X52" i="29"/>
  <c r="V52" i="29"/>
  <c r="O25" i="29"/>
  <c r="L38" i="29"/>
  <c r="V38" i="29" s="1"/>
  <c r="O19" i="29"/>
  <c r="H5" i="29"/>
  <c r="H18" i="29"/>
  <c r="F31" i="29"/>
  <c r="E13" i="29"/>
  <c r="H39" i="29"/>
  <c r="H21" i="29"/>
  <c r="H16" i="29"/>
  <c r="K20" i="29"/>
  <c r="D34" i="29"/>
  <c r="L10" i="29"/>
  <c r="O12" i="29"/>
  <c r="P20" i="29"/>
  <c r="I34" i="29"/>
  <c r="Q30" i="29"/>
  <c r="Q9" i="29"/>
  <c r="I33" i="29"/>
  <c r="R42" i="29"/>
  <c r="N26" i="29"/>
  <c r="J35" i="29"/>
  <c r="Q40" i="29"/>
  <c r="F57" i="29"/>
  <c r="M48" i="29"/>
  <c r="R10" i="29"/>
  <c r="L7" i="29"/>
  <c r="M32" i="29"/>
  <c r="R33" i="29"/>
  <c r="V58" i="29"/>
  <c r="X58" i="29"/>
  <c r="N16" i="29"/>
  <c r="P12" i="29"/>
  <c r="E35" i="29"/>
  <c r="J24" i="29"/>
  <c r="E29" i="29"/>
  <c r="L25" i="29"/>
  <c r="P36" i="29"/>
  <c r="F20" i="29"/>
  <c r="V43" i="29"/>
  <c r="X43" i="29"/>
  <c r="O24" i="29"/>
  <c r="E48" i="29"/>
  <c r="K17" i="29"/>
  <c r="I39" i="29"/>
  <c r="Y902" i="16"/>
  <c r="Q14" i="17"/>
  <c r="N7" i="18"/>
  <c r="Y8" i="16"/>
  <c r="R16" i="18"/>
  <c r="P22" i="18"/>
  <c r="Y953" i="16"/>
  <c r="Y1161" i="16"/>
  <c r="Y16" i="16"/>
  <c r="I14" i="17"/>
  <c r="Y57" i="16"/>
  <c r="Y1104" i="16"/>
  <c r="N24" i="18"/>
  <c r="Y960" i="16"/>
  <c r="Y1100" i="16"/>
  <c r="Y280" i="16"/>
  <c r="Y197" i="16"/>
  <c r="Y828" i="16"/>
  <c r="S24" i="18"/>
  <c r="Y303" i="16"/>
  <c r="Y319" i="16"/>
  <c r="Y335" i="16"/>
  <c r="K24" i="18"/>
  <c r="L8" i="18"/>
  <c r="Y153" i="16"/>
  <c r="Y592" i="16"/>
  <c r="F203" i="16"/>
  <c r="F304" i="16"/>
  <c r="X304" i="16" s="1"/>
  <c r="F272" i="16"/>
  <c r="F256" i="16"/>
  <c r="F176" i="16"/>
  <c r="F160" i="16"/>
  <c r="F144" i="16"/>
  <c r="F112" i="16"/>
  <c r="X112" i="16" s="1"/>
  <c r="F64" i="16"/>
  <c r="F48" i="16"/>
  <c r="F32" i="16"/>
  <c r="F16" i="16"/>
  <c r="F335" i="16"/>
  <c r="F319" i="16"/>
  <c r="F303" i="16"/>
  <c r="F239" i="16"/>
  <c r="F207" i="16"/>
  <c r="F143" i="16"/>
  <c r="F127" i="16"/>
  <c r="F111" i="16"/>
  <c r="F95" i="16"/>
  <c r="F79" i="16"/>
  <c r="F1011" i="16"/>
  <c r="F960" i="16"/>
  <c r="F944" i="16"/>
  <c r="F928" i="16"/>
  <c r="F912" i="16"/>
  <c r="F880" i="16"/>
  <c r="F1081" i="16"/>
  <c r="F1093" i="16"/>
  <c r="F887" i="16"/>
  <c r="F854" i="16"/>
  <c r="F838" i="16"/>
  <c r="F822" i="16"/>
  <c r="C45" i="29"/>
  <c r="F806" i="16"/>
  <c r="F790" i="16"/>
  <c r="F742" i="16"/>
  <c r="F710" i="16"/>
  <c r="F694" i="16"/>
  <c r="F662" i="16"/>
  <c r="F646" i="16"/>
  <c r="F630" i="16"/>
  <c r="F614" i="16"/>
  <c r="F582" i="16"/>
  <c r="F566" i="16"/>
  <c r="F550" i="16"/>
  <c r="F534" i="16"/>
  <c r="F502" i="16"/>
  <c r="F486" i="16"/>
  <c r="F470" i="16"/>
  <c r="F422" i="16"/>
  <c r="F406" i="16"/>
  <c r="F390" i="16"/>
  <c r="F374" i="16"/>
  <c r="Y297" i="16"/>
  <c r="Y569" i="16"/>
  <c r="Y631" i="16"/>
  <c r="Y839" i="16"/>
  <c r="O10" i="18"/>
  <c r="Y54" i="16"/>
  <c r="Y422" i="16"/>
  <c r="Y469" i="16"/>
  <c r="Y129" i="16"/>
  <c r="Y160" i="16"/>
  <c r="Y174" i="16"/>
  <c r="H27" i="18"/>
  <c r="H4" i="17"/>
  <c r="M22" i="18"/>
  <c r="Y686" i="16"/>
  <c r="Y124" i="16"/>
  <c r="Y156" i="16"/>
  <c r="Y300" i="16"/>
  <c r="I23" i="18"/>
  <c r="I9" i="17"/>
  <c r="Y603" i="16"/>
  <c r="Y635" i="16"/>
  <c r="Y458" i="16"/>
  <c r="Y889" i="16"/>
  <c r="T6" i="18"/>
  <c r="T7" i="17"/>
  <c r="Y200" i="16"/>
  <c r="N4" i="17"/>
  <c r="N27" i="18"/>
  <c r="Y822" i="16"/>
  <c r="T7" i="18"/>
  <c r="Y483" i="16"/>
  <c r="Y755" i="16"/>
  <c r="R25" i="18"/>
  <c r="R8" i="17"/>
  <c r="T12" i="17"/>
  <c r="T17" i="18"/>
  <c r="Y1085" i="16"/>
  <c r="H6" i="17"/>
  <c r="H5" i="18"/>
  <c r="Y949" i="16"/>
  <c r="Y689" i="16"/>
  <c r="H8" i="18"/>
  <c r="Y741" i="16"/>
  <c r="Y221" i="16"/>
  <c r="Y557" i="16"/>
  <c r="J21" i="18"/>
  <c r="J10" i="17"/>
  <c r="Y340" i="16"/>
  <c r="Q5" i="18"/>
  <c r="Q6" i="17"/>
  <c r="Y34" i="16"/>
  <c r="F1043" i="16"/>
  <c r="F977" i="16"/>
  <c r="X977" i="16" s="1"/>
  <c r="F943" i="16"/>
  <c r="F927" i="16"/>
  <c r="F886" i="16"/>
  <c r="F869" i="16"/>
  <c r="F789" i="16"/>
  <c r="F773" i="16"/>
  <c r="F757" i="16"/>
  <c r="F741" i="16"/>
  <c r="F725" i="16"/>
  <c r="F677" i="16"/>
  <c r="F645" i="16"/>
  <c r="F613" i="16"/>
  <c r="C44" i="29"/>
  <c r="F581" i="16"/>
  <c r="F565" i="16"/>
  <c r="F517" i="16"/>
  <c r="F469" i="16"/>
  <c r="F453" i="16"/>
  <c r="F437" i="16"/>
  <c r="F421" i="16"/>
  <c r="F373" i="16"/>
  <c r="F357" i="16"/>
  <c r="Y343" i="16"/>
  <c r="I10" i="17"/>
  <c r="I21" i="18"/>
  <c r="H7" i="18"/>
  <c r="Y111" i="16"/>
  <c r="P21" i="18"/>
  <c r="P10" i="17"/>
  <c r="Y622" i="16"/>
  <c r="Y846" i="16"/>
  <c r="Y556" i="16"/>
  <c r="Y572" i="16"/>
  <c r="Y764" i="16"/>
  <c r="Y667" i="16"/>
  <c r="Y747" i="16"/>
  <c r="Y298" i="16"/>
  <c r="Y314" i="16"/>
  <c r="S6" i="18"/>
  <c r="S7" i="17"/>
  <c r="Y776" i="16"/>
  <c r="Y168" i="16"/>
  <c r="Y264" i="16"/>
  <c r="U24" i="18"/>
  <c r="Y999" i="16"/>
  <c r="U6" i="18"/>
  <c r="U7" i="17"/>
  <c r="L5" i="18"/>
  <c r="L6" i="17"/>
  <c r="L4" i="18"/>
  <c r="L5" i="17"/>
  <c r="Y851" i="16"/>
  <c r="Y932" i="16"/>
  <c r="Y1039" i="16"/>
  <c r="S25" i="18"/>
  <c r="S8" i="17"/>
  <c r="T11" i="17"/>
  <c r="T20" i="18"/>
  <c r="Y961" i="16"/>
  <c r="U4" i="18"/>
  <c r="U5" i="17"/>
  <c r="Y1045" i="16"/>
  <c r="Y573" i="16"/>
  <c r="Y613" i="16"/>
  <c r="Y630" i="16"/>
  <c r="Y645" i="16"/>
  <c r="Y980" i="16"/>
  <c r="Y973" i="16"/>
  <c r="Y4" i="16"/>
  <c r="Y116" i="16"/>
  <c r="Y996" i="16"/>
  <c r="L21" i="18"/>
  <c r="L10" i="17"/>
  <c r="Y226" i="16"/>
  <c r="Y258" i="16"/>
  <c r="Y274" i="16"/>
  <c r="Y113" i="16"/>
  <c r="F1084" i="16"/>
  <c r="F1040" i="16"/>
  <c r="F958" i="16"/>
  <c r="F926" i="16"/>
  <c r="F910" i="16"/>
  <c r="F1028" i="16"/>
  <c r="F1089" i="16"/>
  <c r="F1038" i="16"/>
  <c r="F885" i="16"/>
  <c r="F836" i="16"/>
  <c r="X836" i="16" s="1"/>
  <c r="F612" i="16"/>
  <c r="F596" i="16"/>
  <c r="F580" i="16"/>
  <c r="F548" i="16"/>
  <c r="F532" i="16"/>
  <c r="F452" i="16"/>
  <c r="F356" i="16"/>
  <c r="Y313" i="16"/>
  <c r="V4" i="18"/>
  <c r="V5" i="17"/>
  <c r="Y71" i="16"/>
  <c r="H14" i="17"/>
  <c r="Y126" i="16"/>
  <c r="J27" i="18"/>
  <c r="J4" i="17"/>
  <c r="O22" i="18"/>
  <c r="Y476" i="16"/>
  <c r="Y588" i="16"/>
  <c r="Y620" i="16"/>
  <c r="J8" i="18"/>
  <c r="S10" i="17"/>
  <c r="S21" i="18"/>
  <c r="H21" i="18"/>
  <c r="Y266" i="16"/>
  <c r="Y426" i="16"/>
  <c r="Y442" i="16"/>
  <c r="Y936" i="16"/>
  <c r="Y184" i="16"/>
  <c r="S22" i="18"/>
  <c r="O16" i="18"/>
  <c r="Y648" i="16"/>
  <c r="H10" i="17"/>
  <c r="Y515" i="16"/>
  <c r="J7" i="18"/>
  <c r="Y541" i="16"/>
  <c r="Y621" i="16"/>
  <c r="P6" i="18"/>
  <c r="P7" i="17"/>
  <c r="Y1092" i="16"/>
  <c r="Y625" i="16"/>
  <c r="Y141" i="16"/>
  <c r="I26" i="18"/>
  <c r="I3" i="17"/>
  <c r="R7" i="17"/>
  <c r="R6" i="18"/>
  <c r="Y977" i="16"/>
  <c r="W977" i="16"/>
  <c r="Y685" i="16"/>
  <c r="Y161" i="16"/>
  <c r="Y677" i="16"/>
  <c r="M20" i="18"/>
  <c r="M11" i="17"/>
  <c r="Q8" i="18"/>
  <c r="Y596" i="16"/>
  <c r="Y612" i="16"/>
  <c r="Y849" i="16"/>
  <c r="Y1043" i="16"/>
  <c r="F1234" i="16"/>
  <c r="F1213" i="16"/>
  <c r="C56" i="29"/>
  <c r="F1037" i="16"/>
  <c r="F1008" i="16"/>
  <c r="F957" i="16"/>
  <c r="F941" i="16"/>
  <c r="F1162" i="16"/>
  <c r="F1026" i="16"/>
  <c r="F851" i="16"/>
  <c r="F835" i="16"/>
  <c r="F819" i="16"/>
  <c r="F787" i="16"/>
  <c r="G12" i="18" s="1"/>
  <c r="F755" i="16"/>
  <c r="F691" i="16"/>
  <c r="X691" i="16" s="1"/>
  <c r="F659" i="16"/>
  <c r="F643" i="16"/>
  <c r="F595" i="16"/>
  <c r="F579" i="16"/>
  <c r="F515" i="16"/>
  <c r="C41" i="29"/>
  <c r="F499" i="16"/>
  <c r="F483" i="16"/>
  <c r="F467" i="16"/>
  <c r="F435" i="16"/>
  <c r="F419" i="16"/>
  <c r="F355" i="16"/>
  <c r="Y425" i="16"/>
  <c r="Y182" i="16"/>
  <c r="Y229" i="16"/>
  <c r="Y480" i="16"/>
  <c r="Y880" i="16"/>
  <c r="Y367" i="16"/>
  <c r="Y94" i="16"/>
  <c r="Y334" i="16"/>
  <c r="Y606" i="16"/>
  <c r="Q4" i="18"/>
  <c r="Q5" i="17"/>
  <c r="Y974" i="16"/>
  <c r="N6" i="18"/>
  <c r="N7" i="17"/>
  <c r="J26" i="18"/>
  <c r="J3" i="17"/>
  <c r="Y780" i="16"/>
  <c r="Y972" i="16"/>
  <c r="L7" i="18"/>
  <c r="V11" i="17"/>
  <c r="V20" i="18"/>
  <c r="Y859" i="16"/>
  <c r="I25" i="18"/>
  <c r="I8" i="17"/>
  <c r="Y600" i="16"/>
  <c r="M8" i="18"/>
  <c r="Y120" i="16"/>
  <c r="Y792" i="16"/>
  <c r="M23" i="18"/>
  <c r="M9" i="17"/>
  <c r="J5" i="18"/>
  <c r="J6" i="17"/>
  <c r="Y967" i="16"/>
  <c r="K25" i="18"/>
  <c r="K8" i="17"/>
  <c r="I5" i="17"/>
  <c r="I4" i="18"/>
  <c r="Y643" i="16"/>
  <c r="Y448" i="16"/>
  <c r="Y495" i="16"/>
  <c r="Y783" i="16"/>
  <c r="Y1007" i="16"/>
  <c r="Y897" i="16"/>
  <c r="Y941" i="16"/>
  <c r="Y698" i="16"/>
  <c r="Y786" i="16"/>
  <c r="Y614" i="16"/>
  <c r="Y20" i="16"/>
  <c r="Y1029" i="16"/>
  <c r="Y210" i="16"/>
  <c r="Y275" i="16"/>
  <c r="Y386" i="16"/>
  <c r="Q17" i="18"/>
  <c r="Q12" i="17"/>
  <c r="T9" i="17"/>
  <c r="T23" i="18"/>
  <c r="F334" i="16"/>
  <c r="F222" i="16"/>
  <c r="F190" i="16"/>
  <c r="F126" i="16"/>
  <c r="F285" i="16"/>
  <c r="F253" i="16"/>
  <c r="F221" i="16"/>
  <c r="F61" i="16"/>
  <c r="F156" i="16"/>
  <c r="F76" i="16"/>
  <c r="F60" i="16"/>
  <c r="F12" i="16"/>
  <c r="X130" i="16"/>
  <c r="Y169" i="16"/>
  <c r="Y185" i="16"/>
  <c r="Y281" i="16"/>
  <c r="Y585" i="16"/>
  <c r="Y406" i="16"/>
  <c r="P27" i="18"/>
  <c r="P4" i="17"/>
  <c r="U8" i="18"/>
  <c r="Y207" i="16"/>
  <c r="O21" i="18"/>
  <c r="O10" i="17"/>
  <c r="T21" i="18"/>
  <c r="Y604" i="16"/>
  <c r="Y796" i="16"/>
  <c r="Y331" i="16"/>
  <c r="T4" i="18"/>
  <c r="T5" i="17"/>
  <c r="K8" i="18"/>
  <c r="Y282" i="16"/>
  <c r="L26" i="18"/>
  <c r="L3" i="17"/>
  <c r="Y921" i="16"/>
  <c r="Y1049" i="16"/>
  <c r="Y1081" i="16"/>
  <c r="Y440" i="16"/>
  <c r="Y566" i="16"/>
  <c r="Y591" i="16"/>
  <c r="H16" i="18"/>
  <c r="Y1116" i="16"/>
  <c r="V8" i="17"/>
  <c r="V25" i="18"/>
  <c r="Y177" i="16"/>
  <c r="O16" i="17"/>
  <c r="Y413" i="16"/>
  <c r="Y874" i="16"/>
  <c r="Y890" i="16"/>
  <c r="H25" i="18"/>
  <c r="H8" i="17"/>
  <c r="Y770" i="16"/>
  <c r="Y1028" i="16"/>
  <c r="U8" i="17"/>
  <c r="U25" i="18"/>
  <c r="I27" i="18"/>
  <c r="I4" i="17"/>
  <c r="Y245" i="16"/>
  <c r="S14" i="17"/>
  <c r="O17" i="18"/>
  <c r="O12" i="17"/>
  <c r="Y548" i="16"/>
  <c r="Y18" i="16"/>
  <c r="U14" i="17"/>
  <c r="Y605" i="16"/>
  <c r="O27" i="18"/>
  <c r="O4" i="17"/>
  <c r="Y455" i="16"/>
  <c r="Y64" i="16"/>
  <c r="Q11" i="17"/>
  <c r="Q20" i="18"/>
  <c r="Y272" i="16"/>
  <c r="O13" i="17"/>
  <c r="Y528" i="16"/>
  <c r="Y1072" i="16"/>
  <c r="Y1088" i="16"/>
  <c r="R5" i="18"/>
  <c r="R6" i="17"/>
  <c r="Y143" i="16"/>
  <c r="I7" i="18"/>
  <c r="T25" i="18"/>
  <c r="T8" i="17"/>
  <c r="Y12" i="16"/>
  <c r="Y684" i="16"/>
  <c r="Y475" i="16"/>
  <c r="Y507" i="16"/>
  <c r="Y170" i="16"/>
  <c r="I11" i="17"/>
  <c r="I20" i="18"/>
  <c r="Y1032" i="16"/>
  <c r="J25" i="18"/>
  <c r="J8" i="17"/>
  <c r="Y502" i="16"/>
  <c r="V6" i="18"/>
  <c r="V7" i="17"/>
  <c r="Y467" i="16"/>
  <c r="Y595" i="16"/>
  <c r="Y659" i="16"/>
  <c r="Y819" i="16"/>
  <c r="Y835" i="16"/>
  <c r="Y895" i="16"/>
  <c r="Y429" i="16"/>
  <c r="I24" i="18"/>
  <c r="K6" i="18"/>
  <c r="K7" i="17"/>
  <c r="Y1234" i="16"/>
  <c r="Y205" i="16"/>
  <c r="Y885" i="16"/>
  <c r="Y981" i="16"/>
  <c r="Y1061" i="16"/>
  <c r="Y1105" i="16"/>
  <c r="Q21" i="18"/>
  <c r="Q10" i="17"/>
  <c r="Y349" i="16"/>
  <c r="Y1037" i="16"/>
  <c r="S7" i="18"/>
  <c r="Y452" i="16"/>
  <c r="Q23" i="18"/>
  <c r="Q9" i="17"/>
  <c r="Y98" i="16"/>
  <c r="I22" i="18"/>
  <c r="Y157" i="16"/>
  <c r="F1235" i="16"/>
  <c r="F1007" i="16"/>
  <c r="F974" i="16"/>
  <c r="F1117" i="16"/>
  <c r="F1083" i="16"/>
  <c r="F786" i="16"/>
  <c r="F626" i="16"/>
  <c r="F314" i="16"/>
  <c r="F298" i="16"/>
  <c r="F282" i="16"/>
  <c r="F266" i="16"/>
  <c r="F234" i="16"/>
  <c r="F218" i="16"/>
  <c r="F202" i="16"/>
  <c r="F170" i="16"/>
  <c r="F154" i="16"/>
  <c r="F138" i="16"/>
  <c r="F26" i="16"/>
  <c r="F313" i="16"/>
  <c r="F297" i="16"/>
  <c r="F233" i="16"/>
  <c r="F185" i="16"/>
  <c r="X185" i="16" s="1"/>
  <c r="V185" i="16" s="1"/>
  <c r="F169" i="16"/>
  <c r="F153" i="16"/>
  <c r="F89" i="16"/>
  <c r="F57" i="16"/>
  <c r="F9" i="16"/>
  <c r="F1122" i="16"/>
  <c r="F1072" i="16"/>
  <c r="X1072" i="16" s="1"/>
  <c r="F1030" i="16"/>
  <c r="F988" i="16"/>
  <c r="F972" i="16"/>
  <c r="X972" i="16" s="1"/>
  <c r="V972" i="16" s="1"/>
  <c r="F954" i="16"/>
  <c r="F938" i="16"/>
  <c r="F922" i="16"/>
  <c r="X922" i="16" s="1"/>
  <c r="F906" i="16"/>
  <c r="F1077" i="16"/>
  <c r="F881" i="16"/>
  <c r="F864" i="16"/>
  <c r="F768" i="16"/>
  <c r="F720" i="16"/>
  <c r="F688" i="16"/>
  <c r="F640" i="16"/>
  <c r="X640" i="16" s="1"/>
  <c r="F624" i="16"/>
  <c r="F608" i="16"/>
  <c r="F592" i="16"/>
  <c r="F528" i="16"/>
  <c r="G13" i="17" s="1"/>
  <c r="F512" i="16"/>
  <c r="F480" i="16"/>
  <c r="F448" i="16"/>
  <c r="F432" i="16"/>
  <c r="Y233" i="16"/>
  <c r="Y601" i="16"/>
  <c r="P26" i="18"/>
  <c r="P3" i="17"/>
  <c r="Y375" i="16"/>
  <c r="Y325" i="16"/>
  <c r="Y720" i="16"/>
  <c r="Y414" i="16"/>
  <c r="Y462" i="16"/>
  <c r="Y60" i="16"/>
  <c r="Y428" i="16"/>
  <c r="Y123" i="16"/>
  <c r="Y923" i="16"/>
  <c r="Y202" i="16"/>
  <c r="Y218" i="16"/>
  <c r="Y522" i="16"/>
  <c r="T24" i="18"/>
  <c r="Y808" i="16"/>
  <c r="Y920" i="16"/>
  <c r="Y1112" i="16"/>
  <c r="N26" i="18"/>
  <c r="N3" i="17"/>
  <c r="Y582" i="16"/>
  <c r="Y662" i="16"/>
  <c r="Y806" i="16"/>
  <c r="Y291" i="16"/>
  <c r="Y285" i="16"/>
  <c r="Y802" i="16"/>
  <c r="V16" i="18"/>
  <c r="Y1051" i="16"/>
  <c r="Y1012" i="16"/>
  <c r="Y1114" i="16"/>
  <c r="Y836" i="16"/>
  <c r="W836" i="16"/>
  <c r="Y626" i="16"/>
  <c r="Y717" i="16"/>
  <c r="Y1057" i="16"/>
  <c r="V14" i="17"/>
  <c r="Y421" i="16"/>
  <c r="Y1075" i="16"/>
  <c r="O5" i="18"/>
  <c r="O6" i="17"/>
  <c r="Y1203" i="16"/>
  <c r="Y162" i="16"/>
  <c r="Y434" i="16"/>
  <c r="F251" i="16"/>
  <c r="F219" i="16"/>
  <c r="F123" i="16"/>
  <c r="F91" i="16"/>
  <c r="F27" i="16"/>
  <c r="F11" i="16"/>
  <c r="F1075" i="16"/>
  <c r="F1032" i="16"/>
  <c r="F989" i="16"/>
  <c r="F973" i="16"/>
  <c r="F923" i="16"/>
  <c r="F1115" i="16"/>
  <c r="F1021" i="16"/>
  <c r="F1080" i="16"/>
  <c r="F1020" i="16"/>
  <c r="F865" i="16"/>
  <c r="F849" i="16"/>
  <c r="F721" i="16"/>
  <c r="F689" i="16"/>
  <c r="F673" i="16"/>
  <c r="F657" i="16"/>
  <c r="F641" i="16"/>
  <c r="F625" i="16"/>
  <c r="F593" i="16"/>
  <c r="F433" i="16"/>
  <c r="F328" i="16"/>
  <c r="F312" i="16"/>
  <c r="F296" i="16"/>
  <c r="F280" i="16"/>
  <c r="F264" i="16"/>
  <c r="F248" i="16"/>
  <c r="F168" i="16"/>
  <c r="F104" i="16"/>
  <c r="F72" i="16"/>
  <c r="F40" i="16"/>
  <c r="F24" i="16"/>
  <c r="F8" i="16"/>
  <c r="C46" i="29"/>
  <c r="F953" i="16"/>
  <c r="F937" i="16"/>
  <c r="F921" i="16"/>
  <c r="F1110" i="16"/>
  <c r="F1061" i="16"/>
  <c r="F831" i="16"/>
  <c r="F783" i="16"/>
  <c r="F751" i="16"/>
  <c r="F703" i="16"/>
  <c r="F671" i="16"/>
  <c r="F591" i="16"/>
  <c r="F575" i="16"/>
  <c r="F495" i="16"/>
  <c r="C52" i="29"/>
  <c r="F415" i="16"/>
  <c r="F383" i="16"/>
  <c r="F367" i="16"/>
  <c r="F351" i="16"/>
  <c r="H11" i="17"/>
  <c r="H20" i="18"/>
  <c r="Y681" i="16"/>
  <c r="Y713" i="16"/>
  <c r="Y311" i="16"/>
  <c r="Y519" i="16"/>
  <c r="Y727" i="16"/>
  <c r="Y534" i="16"/>
  <c r="Y5" i="16"/>
  <c r="P8" i="18"/>
  <c r="Y213" i="16"/>
  <c r="Y256" i="16"/>
  <c r="Y273" i="16"/>
  <c r="Y512" i="16"/>
  <c r="Y864" i="16"/>
  <c r="Y912" i="16"/>
  <c r="Y928" i="16"/>
  <c r="Y944" i="16"/>
  <c r="Y1008" i="16"/>
  <c r="Y1089" i="16"/>
  <c r="L7" i="17"/>
  <c r="L6" i="18"/>
  <c r="Y95" i="16"/>
  <c r="Y127" i="16"/>
  <c r="Y351" i="16"/>
  <c r="Y318" i="16"/>
  <c r="I16" i="18"/>
  <c r="Y894" i="16"/>
  <c r="Y27" i="16"/>
  <c r="Y699" i="16"/>
  <c r="Y843" i="16"/>
  <c r="I17" i="18"/>
  <c r="I12" i="17"/>
  <c r="Y1001" i="16"/>
  <c r="Y104" i="16"/>
  <c r="Y710" i="16"/>
  <c r="Y998" i="16"/>
  <c r="L25" i="18"/>
  <c r="L8" i="17"/>
  <c r="Y419" i="16"/>
  <c r="P17" i="18"/>
  <c r="P12" i="17"/>
  <c r="Y751" i="16"/>
  <c r="Y911" i="16"/>
  <c r="Y943" i="16"/>
  <c r="N4" i="18"/>
  <c r="N5" i="17"/>
  <c r="Y861" i="16"/>
  <c r="Y916" i="16"/>
  <c r="Y81" i="16"/>
  <c r="Y1077" i="16"/>
  <c r="N8" i="17"/>
  <c r="N25" i="18"/>
  <c r="Y869" i="16"/>
  <c r="P23" i="18"/>
  <c r="P9" i="17"/>
  <c r="Y1013" i="16"/>
  <c r="Y565" i="16"/>
  <c r="Y453" i="16"/>
  <c r="Y900" i="16"/>
  <c r="J6" i="18"/>
  <c r="J7" i="17"/>
  <c r="O20" i="18"/>
  <c r="O11" i="17"/>
  <c r="Y82" i="16"/>
  <c r="Y461" i="16"/>
  <c r="F1116" i="16"/>
  <c r="F1068" i="16"/>
  <c r="F1002" i="16"/>
  <c r="F970" i="16"/>
  <c r="F936" i="16"/>
  <c r="F920" i="16"/>
  <c r="F904" i="16"/>
  <c r="F1057" i="16"/>
  <c r="F1012" i="16"/>
  <c r="F895" i="16"/>
  <c r="F846" i="16"/>
  <c r="F830" i="16"/>
  <c r="F798" i="16"/>
  <c r="X798" i="16" s="1"/>
  <c r="F766" i="16"/>
  <c r="F686" i="16"/>
  <c r="F670" i="16"/>
  <c r="F622" i="16"/>
  <c r="F606" i="16"/>
  <c r="F590" i="16"/>
  <c r="F574" i="16"/>
  <c r="F558" i="16"/>
  <c r="X558" i="16" s="1"/>
  <c r="F526" i="16"/>
  <c r="F494" i="16"/>
  <c r="F462" i="16"/>
  <c r="F414" i="16"/>
  <c r="Y649" i="16"/>
  <c r="L17" i="18"/>
  <c r="L12" i="17"/>
  <c r="Y583" i="16"/>
  <c r="H4" i="18"/>
  <c r="H5" i="17"/>
  <c r="L20" i="18"/>
  <c r="L11" i="17"/>
  <c r="Y437" i="16"/>
  <c r="Q27" i="18"/>
  <c r="Q4" i="17"/>
  <c r="Y48" i="16"/>
  <c r="Y721" i="16"/>
  <c r="Y768" i="16"/>
  <c r="Y79" i="16"/>
  <c r="H26" i="18"/>
  <c r="H3" i="17"/>
  <c r="Y494" i="16"/>
  <c r="Y766" i="16"/>
  <c r="Y76" i="16"/>
  <c r="I8" i="18"/>
  <c r="S4" i="18"/>
  <c r="S5" i="17"/>
  <c r="Y876" i="16"/>
  <c r="Y892" i="16"/>
  <c r="Y138" i="16"/>
  <c r="Y186" i="16"/>
  <c r="Y234" i="16"/>
  <c r="Y937" i="16"/>
  <c r="Y1065" i="16"/>
  <c r="O7" i="18"/>
  <c r="Y24" i="16"/>
  <c r="Y40" i="16"/>
  <c r="O9" i="18"/>
  <c r="Y664" i="16"/>
  <c r="Y646" i="16"/>
  <c r="Y790" i="16"/>
  <c r="O23" i="18"/>
  <c r="O9" i="17"/>
  <c r="Y886" i="16"/>
  <c r="Y918" i="16"/>
  <c r="Y115" i="16"/>
  <c r="Y307" i="16"/>
  <c r="Y575" i="16"/>
  <c r="Y639" i="16"/>
  <c r="H9" i="17"/>
  <c r="H23" i="18"/>
  <c r="Y1021" i="16"/>
  <c r="Y1035" i="16"/>
  <c r="Y173" i="16"/>
  <c r="Y794" i="16"/>
  <c r="Y906" i="16"/>
  <c r="Y1098" i="16"/>
  <c r="U6" i="17"/>
  <c r="U5" i="18"/>
  <c r="Y997" i="16"/>
  <c r="J22" i="18"/>
  <c r="U7" i="18"/>
  <c r="S23" i="18"/>
  <c r="S9" i="17"/>
  <c r="F318" i="16"/>
  <c r="F254" i="16"/>
  <c r="F206" i="16"/>
  <c r="F174" i="16"/>
  <c r="F94" i="16"/>
  <c r="F62" i="16"/>
  <c r="F30" i="16"/>
  <c r="F14" i="16"/>
  <c r="C58" i="29"/>
  <c r="F1219" i="16"/>
  <c r="F1112" i="16"/>
  <c r="F1065" i="16"/>
  <c r="F1024" i="16"/>
  <c r="F1001" i="16"/>
  <c r="F969" i="16"/>
  <c r="F951" i="16"/>
  <c r="F935" i="16"/>
  <c r="F903" i="16"/>
  <c r="F1104" i="16"/>
  <c r="F1006" i="16"/>
  <c r="F894" i="16"/>
  <c r="F861" i="16"/>
  <c r="F813" i="16"/>
  <c r="F797" i="16"/>
  <c r="F765" i="16"/>
  <c r="F749" i="16"/>
  <c r="F685" i="16"/>
  <c r="F653" i="16"/>
  <c r="F621" i="16"/>
  <c r="F605" i="16"/>
  <c r="F573" i="16"/>
  <c r="F557" i="16"/>
  <c r="F541" i="16"/>
  <c r="F493" i="16"/>
  <c r="F461" i="16"/>
  <c r="F429" i="16"/>
  <c r="F413" i="16"/>
  <c r="F365" i="16"/>
  <c r="F349" i="16"/>
  <c r="M26" i="18"/>
  <c r="M3" i="17"/>
  <c r="Y665" i="16"/>
  <c r="Y7" i="16"/>
  <c r="Y119" i="16"/>
  <c r="Y151" i="16"/>
  <c r="Y167" i="16"/>
  <c r="Y759" i="16"/>
  <c r="Y37" i="16"/>
  <c r="V26" i="18"/>
  <c r="V3" i="17"/>
  <c r="U23" i="18"/>
  <c r="U9" i="17"/>
  <c r="Y1024" i="16"/>
  <c r="Y30" i="16"/>
  <c r="U12" i="17"/>
  <c r="U17" i="18"/>
  <c r="O24" i="18"/>
  <c r="Y910" i="16"/>
  <c r="W910" i="16"/>
  <c r="Y926" i="16"/>
  <c r="R10" i="17"/>
  <c r="R21" i="18"/>
  <c r="J9" i="17"/>
  <c r="J23" i="18"/>
  <c r="Y969" i="16"/>
  <c r="Y742" i="16"/>
  <c r="Y1014" i="16"/>
  <c r="K21" i="18"/>
  <c r="K10" i="17"/>
  <c r="Y259" i="16"/>
  <c r="T16" i="18"/>
  <c r="J24" i="18"/>
  <c r="L22" i="18"/>
  <c r="Y831" i="16"/>
  <c r="Y927" i="16"/>
  <c r="Y602" i="16"/>
  <c r="Y634" i="16"/>
  <c r="M16" i="18"/>
  <c r="Y778" i="16"/>
  <c r="M25" i="18"/>
  <c r="M8" i="17"/>
  <c r="Y1030" i="16"/>
  <c r="Y946" i="16"/>
  <c r="Y581" i="16"/>
  <c r="Y789" i="16"/>
  <c r="Y881" i="16"/>
  <c r="Y365" i="16"/>
  <c r="R27" i="18"/>
  <c r="R4" i="17"/>
  <c r="Y146" i="16"/>
  <c r="Y370" i="16"/>
  <c r="T27" i="18"/>
  <c r="T4" i="17"/>
  <c r="M5" i="17"/>
  <c r="M4" i="18"/>
  <c r="V7" i="18"/>
  <c r="C54" i="29"/>
  <c r="F1203" i="16"/>
  <c r="F1022" i="16"/>
  <c r="F967" i="16"/>
  <c r="F918" i="16"/>
  <c r="F902" i="16"/>
  <c r="F1100" i="16"/>
  <c r="F1052" i="16"/>
  <c r="F965" i="16"/>
  <c r="F876" i="16"/>
  <c r="F844" i="16"/>
  <c r="F828" i="16"/>
  <c r="F796" i="16"/>
  <c r="F780" i="16"/>
  <c r="C49" i="29"/>
  <c r="F764" i="16"/>
  <c r="F684" i="16"/>
  <c r="F620" i="16"/>
  <c r="F604" i="16"/>
  <c r="F588" i="16"/>
  <c r="F572" i="16"/>
  <c r="F556" i="16"/>
  <c r="F476" i="16"/>
  <c r="F444" i="16"/>
  <c r="F428" i="16"/>
  <c r="F396" i="16"/>
  <c r="Y617" i="16"/>
  <c r="J20" i="18"/>
  <c r="J11" i="17"/>
  <c r="N23" i="18"/>
  <c r="N9" i="17"/>
  <c r="O8" i="18"/>
  <c r="Y102" i="16"/>
  <c r="Y112" i="16"/>
  <c r="W112" i="16"/>
  <c r="Y672" i="16"/>
  <c r="V672" i="16" s="1"/>
  <c r="W672" i="16"/>
  <c r="Y1084" i="16"/>
  <c r="Y91" i="16"/>
  <c r="Y251" i="16"/>
  <c r="Y267" i="16"/>
  <c r="Y394" i="16"/>
  <c r="Y841" i="16"/>
  <c r="Y872" i="16"/>
  <c r="V21" i="18"/>
  <c r="V10" i="17"/>
  <c r="K17" i="18"/>
  <c r="K12" i="17"/>
  <c r="Y35" i="16"/>
  <c r="Y99" i="16"/>
  <c r="M7" i="18"/>
  <c r="T14" i="17"/>
  <c r="Y499" i="16"/>
  <c r="Y691" i="16"/>
  <c r="W691" i="16"/>
  <c r="Y653" i="16"/>
  <c r="Y765" i="16"/>
  <c r="M21" i="18"/>
  <c r="M10" i="17"/>
  <c r="Q6" i="18"/>
  <c r="Q7" i="17"/>
  <c r="Y922" i="16"/>
  <c r="W922" i="16"/>
  <c r="Y970" i="16"/>
  <c r="Y1002" i="16"/>
  <c r="Y65" i="16"/>
  <c r="U16" i="18"/>
  <c r="Y957" i="16"/>
  <c r="Y1060" i="16"/>
  <c r="Y965" i="16"/>
  <c r="Y321" i="16"/>
  <c r="Y757" i="16"/>
  <c r="Y773" i="16"/>
  <c r="Y1011" i="16"/>
  <c r="I7" i="17"/>
  <c r="I6" i="18"/>
  <c r="S8" i="18"/>
  <c r="Q25" i="18"/>
  <c r="Q8" i="17"/>
  <c r="F1035" i="16"/>
  <c r="F990" i="16"/>
  <c r="F1029" i="16"/>
  <c r="F866" i="16"/>
  <c r="F834" i="16"/>
  <c r="F770" i="16"/>
  <c r="F434" i="16"/>
  <c r="F386" i="16"/>
  <c r="F370" i="16"/>
  <c r="F340" i="16"/>
  <c r="F116" i="16"/>
  <c r="X116" i="16" s="1"/>
  <c r="V116" i="16" s="1"/>
  <c r="F20" i="16"/>
  <c r="F4" i="16"/>
  <c r="F999" i="16"/>
  <c r="F966" i="16"/>
  <c r="F949" i="16"/>
  <c r="F1097" i="16"/>
  <c r="F1049" i="16"/>
  <c r="F892" i="16"/>
  <c r="F859" i="16"/>
  <c r="F843" i="16"/>
  <c r="F795" i="16"/>
  <c r="F763" i="16"/>
  <c r="F747" i="16"/>
  <c r="F699" i="16"/>
  <c r="X699" i="16" s="1"/>
  <c r="V699" i="16" s="1"/>
  <c r="F635" i="16"/>
  <c r="F603" i="16"/>
  <c r="F587" i="16"/>
  <c r="F523" i="16"/>
  <c r="F507" i="16"/>
  <c r="F475" i="16"/>
  <c r="F443" i="16"/>
  <c r="F347" i="16"/>
  <c r="P7" i="18"/>
  <c r="Y39" i="16"/>
  <c r="Y103" i="16"/>
  <c r="Y199" i="16"/>
  <c r="Y247" i="16"/>
  <c r="Y279" i="16"/>
  <c r="Y775" i="16"/>
  <c r="K20" i="18"/>
  <c r="K11" i="17"/>
  <c r="Y246" i="16"/>
  <c r="Y294" i="16"/>
  <c r="Y405" i="16"/>
  <c r="Y192" i="16"/>
  <c r="N21" i="18"/>
  <c r="N10" i="17"/>
  <c r="Y432" i="16"/>
  <c r="Y383" i="16"/>
  <c r="Y254" i="16"/>
  <c r="Y574" i="16"/>
  <c r="Y1006" i="16"/>
  <c r="Y1102" i="16"/>
  <c r="Q24" i="18"/>
  <c r="Y763" i="16"/>
  <c r="Y1017" i="16"/>
  <c r="Y1162" i="16"/>
  <c r="O11" i="18"/>
  <c r="Y344" i="16"/>
  <c r="Y919" i="16"/>
  <c r="Y694" i="16"/>
  <c r="Y227" i="16"/>
  <c r="Y355" i="16"/>
  <c r="Y435" i="16"/>
  <c r="Y671" i="16"/>
  <c r="V23" i="18"/>
  <c r="V9" i="17"/>
  <c r="N22" i="18"/>
  <c r="P25" i="18"/>
  <c r="P8" i="17"/>
  <c r="M5" i="18"/>
  <c r="M6" i="17"/>
  <c r="Y690" i="16"/>
  <c r="Y733" i="16"/>
  <c r="J4" i="18"/>
  <c r="J5" i="17"/>
  <c r="Y962" i="16"/>
  <c r="Y145" i="16"/>
  <c r="W130" i="16"/>
  <c r="Y130" i="16"/>
  <c r="Y898" i="16"/>
  <c r="U27" i="18"/>
  <c r="U4" i="17"/>
  <c r="F325" i="16"/>
  <c r="F229" i="16"/>
  <c r="F323" i="16"/>
  <c r="F307" i="16"/>
  <c r="F291" i="16"/>
  <c r="F275" i="16"/>
  <c r="F227" i="16"/>
  <c r="F211" i="16"/>
  <c r="F131" i="16"/>
  <c r="F115" i="16"/>
  <c r="F99" i="16"/>
  <c r="F35" i="16"/>
  <c r="F1017" i="16"/>
  <c r="F998" i="16"/>
  <c r="F982" i="16"/>
  <c r="F932" i="16"/>
  <c r="F916" i="16"/>
  <c r="X916" i="16" s="1"/>
  <c r="F900" i="16"/>
  <c r="F1161" i="16"/>
  <c r="F1105" i="16"/>
  <c r="F874" i="16"/>
  <c r="F794" i="16"/>
  <c r="F778" i="16"/>
  <c r="F746" i="16"/>
  <c r="F698" i="16"/>
  <c r="F682" i="16"/>
  <c r="F650" i="16"/>
  <c r="F634" i="16"/>
  <c r="F602" i="16"/>
  <c r="F522" i="16"/>
  <c r="F474" i="16"/>
  <c r="F458" i="16"/>
  <c r="F442" i="16"/>
  <c r="F426" i="16"/>
  <c r="F394" i="16"/>
  <c r="U10" i="17"/>
  <c r="U21" i="18"/>
  <c r="Q7" i="18"/>
  <c r="Y134" i="16"/>
  <c r="Y390" i="16"/>
  <c r="Y593" i="16"/>
  <c r="Y608" i="16"/>
  <c r="O4" i="18"/>
  <c r="O5" i="17"/>
  <c r="Y624" i="16"/>
  <c r="W640" i="16"/>
  <c r="Y640" i="16"/>
  <c r="Y688" i="16"/>
  <c r="R11" i="17"/>
  <c r="R20" i="18"/>
  <c r="Y444" i="16"/>
  <c r="Y844" i="16"/>
  <c r="Y1068" i="16"/>
  <c r="Y203" i="16"/>
  <c r="Y219" i="16"/>
  <c r="Y268" i="16"/>
  <c r="Y587" i="16"/>
  <c r="Y474" i="16"/>
  <c r="L23" i="18"/>
  <c r="L9" i="17"/>
  <c r="Y1096" i="16"/>
  <c r="Y854" i="16"/>
  <c r="Y870" i="16"/>
  <c r="R8" i="18"/>
  <c r="Y147" i="16"/>
  <c r="P4" i="18"/>
  <c r="P5" i="17"/>
  <c r="Y834" i="16"/>
  <c r="Y673" i="16"/>
  <c r="H6" i="18"/>
  <c r="H7" i="17"/>
  <c r="Y253" i="16"/>
  <c r="T10" i="17"/>
  <c r="Y954" i="16"/>
  <c r="Y1122" i="16"/>
  <c r="Y725" i="16"/>
  <c r="J14" i="17"/>
  <c r="Y356" i="16"/>
  <c r="Y580" i="16"/>
  <c r="K5" i="17"/>
  <c r="K4" i="18"/>
  <c r="O25" i="18"/>
  <c r="O8" i="17"/>
  <c r="Y1219" i="16"/>
  <c r="F326" i="16"/>
  <c r="F294" i="16"/>
  <c r="F246" i="16"/>
  <c r="F230" i="16"/>
  <c r="F214" i="16"/>
  <c r="F198" i="16"/>
  <c r="F182" i="16"/>
  <c r="F134" i="16"/>
  <c r="F118" i="16"/>
  <c r="F102" i="16"/>
  <c r="F86" i="16"/>
  <c r="G13" i="18" s="1"/>
  <c r="F70" i="16"/>
  <c r="F54" i="16"/>
  <c r="G10" i="18" s="1"/>
  <c r="F261" i="16"/>
  <c r="C13" i="29"/>
  <c r="F245" i="16"/>
  <c r="F213" i="16"/>
  <c r="F197" i="16"/>
  <c r="F37" i="16"/>
  <c r="F5" i="16"/>
  <c r="F306" i="16"/>
  <c r="F274" i="16"/>
  <c r="F258" i="16"/>
  <c r="F242" i="16"/>
  <c r="F226" i="16"/>
  <c r="F210" i="16"/>
  <c r="F162" i="16"/>
  <c r="F146" i="16"/>
  <c r="F98" i="16"/>
  <c r="F66" i="16"/>
  <c r="C3" i="29"/>
  <c r="F34" i="16"/>
  <c r="F18" i="16"/>
  <c r="F1016" i="16"/>
  <c r="F997" i="16"/>
  <c r="F981" i="16"/>
  <c r="F931" i="16"/>
  <c r="F899" i="16"/>
  <c r="F1102" i="16"/>
  <c r="F1053" i="16"/>
  <c r="F890" i="16"/>
  <c r="F841" i="16"/>
  <c r="F713" i="16"/>
  <c r="F697" i="16"/>
  <c r="F681" i="16"/>
  <c r="F665" i="16"/>
  <c r="F617" i="16"/>
  <c r="F601" i="16"/>
  <c r="F585" i="16"/>
  <c r="F569" i="16"/>
  <c r="F537" i="16"/>
  <c r="F441" i="16"/>
  <c r="F425" i="16"/>
  <c r="F361" i="16"/>
  <c r="Y361" i="16"/>
  <c r="Y697" i="16"/>
  <c r="Y503" i="16"/>
  <c r="Y679" i="16"/>
  <c r="O13" i="18"/>
  <c r="Y86" i="16"/>
  <c r="M17" i="18"/>
  <c r="M12" i="17"/>
  <c r="R7" i="18"/>
  <c r="Y261" i="16"/>
  <c r="Y304" i="16"/>
  <c r="W304" i="16"/>
  <c r="V8" i="18"/>
  <c r="Y415" i="16"/>
  <c r="Y14" i="16"/>
  <c r="S11" i="17"/>
  <c r="S20" i="18"/>
  <c r="Y590" i="16"/>
  <c r="Y798" i="16"/>
  <c r="W798" i="16"/>
  <c r="Y830" i="16"/>
  <c r="Y942" i="16"/>
  <c r="K7" i="18"/>
  <c r="Y396" i="16"/>
  <c r="Y811" i="16"/>
  <c r="I6" i="17"/>
  <c r="I5" i="18"/>
  <c r="Y72" i="16"/>
  <c r="O14" i="17"/>
  <c r="Y296" i="16"/>
  <c r="Y312" i="16"/>
  <c r="Y328" i="16"/>
  <c r="Y935" i="16"/>
  <c r="K5" i="18"/>
  <c r="K6" i="17"/>
  <c r="Y982" i="16"/>
  <c r="Y211" i="16"/>
  <c r="S27" i="18"/>
  <c r="S4" i="17"/>
  <c r="R23" i="18"/>
  <c r="R9" i="17"/>
  <c r="Y899" i="16"/>
  <c r="Y703" i="16"/>
  <c r="S5" i="18"/>
  <c r="S6" i="17"/>
  <c r="Y61" i="16"/>
  <c r="Y813" i="16"/>
  <c r="Y650" i="16"/>
  <c r="Y682" i="16"/>
  <c r="Y746" i="16"/>
  <c r="U26" i="18"/>
  <c r="U3" i="17"/>
  <c r="Y833" i="16"/>
  <c r="J16" i="18"/>
  <c r="Y1093" i="16"/>
  <c r="H12" i="17"/>
  <c r="H17" i="18"/>
  <c r="Y966" i="16"/>
  <c r="Y866" i="16"/>
  <c r="Y66" i="16"/>
  <c r="M14" i="17"/>
  <c r="P20" i="18"/>
  <c r="P11" i="17"/>
  <c r="Y1117" i="16"/>
  <c r="F311" i="16"/>
  <c r="F279" i="16"/>
  <c r="F247" i="16"/>
  <c r="F231" i="16"/>
  <c r="F199" i="16"/>
  <c r="F183" i="16"/>
  <c r="F167" i="16"/>
  <c r="F151" i="16"/>
  <c r="F119" i="16"/>
  <c r="F71" i="16"/>
  <c r="C21" i="29"/>
  <c r="F39" i="16"/>
  <c r="F7" i="16"/>
  <c r="F337" i="16"/>
  <c r="F289" i="16"/>
  <c r="C24" i="29"/>
  <c r="F273" i="16"/>
  <c r="F177" i="16"/>
  <c r="F161" i="16"/>
  <c r="F145" i="16"/>
  <c r="F129" i="16"/>
  <c r="F113" i="16"/>
  <c r="F81" i="16"/>
  <c r="F65" i="16"/>
  <c r="Y9" i="16"/>
  <c r="J17" i="18"/>
  <c r="J12" i="17"/>
  <c r="Y855" i="16"/>
  <c r="Y32" i="16"/>
  <c r="Y144" i="16"/>
  <c r="Y176" i="16"/>
  <c r="S12" i="17"/>
  <c r="S17" i="18"/>
  <c r="Y641" i="16"/>
  <c r="Y239" i="16"/>
  <c r="Y526" i="16"/>
  <c r="Y670" i="16"/>
  <c r="U11" i="17"/>
  <c r="U20" i="18"/>
  <c r="Y26" i="16"/>
  <c r="L27" i="18"/>
  <c r="L4" i="17"/>
  <c r="Q22" i="18"/>
  <c r="Y1016" i="16"/>
  <c r="Y1208" i="16"/>
  <c r="Y838" i="16"/>
  <c r="Y131" i="16"/>
  <c r="O12" i="18"/>
  <c r="Y787" i="16"/>
  <c r="Y797" i="16"/>
  <c r="Y989" i="16"/>
  <c r="V5" i="18"/>
  <c r="V6" i="17"/>
  <c r="Y1076" i="16"/>
  <c r="Y1083" i="16"/>
  <c r="Y1115" i="16"/>
  <c r="Y125" i="16"/>
  <c r="R4" i="18"/>
  <c r="R5" i="17"/>
  <c r="K9" i="17"/>
  <c r="K23" i="18"/>
  <c r="Y938" i="16"/>
  <c r="V17" i="18"/>
  <c r="V12" i="17"/>
  <c r="R26" i="18"/>
  <c r="R3" i="17"/>
  <c r="Y532" i="16"/>
  <c r="S16" i="18"/>
  <c r="Y1235" i="16"/>
  <c r="Y323" i="16"/>
  <c r="Y337" i="16"/>
  <c r="F205" i="16"/>
  <c r="F173" i="16"/>
  <c r="F141" i="16"/>
  <c r="F125" i="16"/>
  <c r="F300" i="16"/>
  <c r="F268" i="16"/>
  <c r="F124" i="16"/>
  <c r="F331" i="16"/>
  <c r="F267" i="16"/>
  <c r="F147" i="16"/>
  <c r="F1208" i="16"/>
  <c r="X1208" i="16" s="1"/>
  <c r="F1098" i="16"/>
  <c r="F1051" i="16"/>
  <c r="F1014" i="16"/>
  <c r="F996" i="16"/>
  <c r="F980" i="16"/>
  <c r="F962" i="16"/>
  <c r="F946" i="16"/>
  <c r="F898" i="16"/>
  <c r="F1088" i="16"/>
  <c r="F1039" i="16"/>
  <c r="F889" i="16"/>
  <c r="F872" i="16"/>
  <c r="F808" i="16"/>
  <c r="F776" i="16"/>
  <c r="F696" i="16"/>
  <c r="F664" i="16"/>
  <c r="G9" i="18" s="1"/>
  <c r="F568" i="16"/>
  <c r="F344" i="16"/>
  <c r="G11" i="18" s="1"/>
  <c r="F1013" i="16"/>
  <c r="C30" i="29"/>
  <c r="F961" i="16"/>
  <c r="F897" i="16"/>
  <c r="F1085" i="16"/>
  <c r="F1036" i="16"/>
  <c r="F1096" i="16"/>
  <c r="F855" i="16"/>
  <c r="F839" i="16"/>
  <c r="F823" i="16"/>
  <c r="F727" i="16"/>
  <c r="F695" i="16"/>
  <c r="F679" i="16"/>
  <c r="F663" i="16"/>
  <c r="C48" i="29"/>
  <c r="F631" i="16"/>
  <c r="F583" i="16"/>
  <c r="F567" i="16"/>
  <c r="F519" i="16"/>
  <c r="F503" i="16"/>
  <c r="C53" i="29"/>
  <c r="F455" i="16"/>
  <c r="F407" i="16"/>
  <c r="C51" i="29"/>
  <c r="F375" i="16"/>
  <c r="F359" i="16"/>
  <c r="F343" i="16"/>
  <c r="M27" i="18"/>
  <c r="M4" i="17"/>
  <c r="Y231" i="16"/>
  <c r="T22" i="18"/>
  <c r="Y70" i="16"/>
  <c r="Y198" i="16"/>
  <c r="Y230" i="16"/>
  <c r="Y550" i="16"/>
  <c r="Q26" i="18"/>
  <c r="Q3" i="17"/>
  <c r="V4" i="17"/>
  <c r="V27" i="18"/>
  <c r="Y62" i="16"/>
  <c r="Y190" i="16"/>
  <c r="Y206" i="16"/>
  <c r="Y222" i="16"/>
  <c r="Y558" i="16"/>
  <c r="W558" i="16"/>
  <c r="Y654" i="16"/>
  <c r="Y958" i="16"/>
  <c r="Y990" i="16"/>
  <c r="Y1022" i="16"/>
  <c r="Y1038" i="16"/>
  <c r="T5" i="18"/>
  <c r="T6" i="17"/>
  <c r="Y988" i="16"/>
  <c r="Y347" i="16"/>
  <c r="K26" i="18"/>
  <c r="K3" i="17"/>
  <c r="Y443" i="16"/>
  <c r="Y523" i="16"/>
  <c r="Y795" i="16"/>
  <c r="Y568" i="16"/>
  <c r="Y696" i="16"/>
  <c r="Y904" i="16"/>
  <c r="Y1080" i="16"/>
  <c r="Y951" i="16"/>
  <c r="Y517" i="16"/>
  <c r="Y1110" i="16"/>
  <c r="N20" i="18"/>
  <c r="N11" i="17"/>
  <c r="S26" i="18"/>
  <c r="S3" i="17"/>
  <c r="Y579" i="16"/>
  <c r="Y931" i="16"/>
  <c r="R12" i="17"/>
  <c r="R17" i="18"/>
  <c r="Y772" i="16"/>
  <c r="P5" i="18"/>
  <c r="P6" i="17"/>
  <c r="Y657" i="16"/>
  <c r="Y493" i="16"/>
  <c r="Y749" i="16"/>
  <c r="N17" i="18"/>
  <c r="N12" i="17"/>
  <c r="Y1026" i="16"/>
  <c r="L24" i="18"/>
  <c r="O6" i="18"/>
  <c r="O7" i="17"/>
  <c r="Y1213" i="16"/>
  <c r="W1213" i="16"/>
  <c r="Y289" i="16"/>
  <c r="Y242" i="16"/>
  <c r="Y306" i="16"/>
  <c r="T26" i="18"/>
  <c r="T3" i="17"/>
  <c r="T8" i="18"/>
  <c r="Y865" i="16"/>
  <c r="P24" i="18"/>
  <c r="V916" i="16" l="1"/>
  <c r="X34" i="29"/>
  <c r="X8" i="29"/>
  <c r="X23" i="29"/>
  <c r="X16" i="29"/>
  <c r="X12" i="29"/>
  <c r="X48" i="29"/>
  <c r="V57" i="29"/>
  <c r="V21" i="29"/>
  <c r="V30" i="29"/>
  <c r="X41" i="29"/>
  <c r="V8" i="29"/>
  <c r="V32" i="29"/>
  <c r="V5" i="29"/>
  <c r="C35" i="29"/>
  <c r="C17" i="29"/>
  <c r="C16" i="29"/>
  <c r="C6" i="29"/>
  <c r="X32" i="29"/>
  <c r="V33" i="29"/>
  <c r="X33" i="29"/>
  <c r="V18" i="29"/>
  <c r="X18" i="29"/>
  <c r="V41" i="29"/>
  <c r="X30" i="29"/>
  <c r="X21" i="29"/>
  <c r="X38" i="29"/>
  <c r="V12" i="29"/>
  <c r="V28" i="29"/>
  <c r="X28" i="29"/>
  <c r="C7" i="29"/>
  <c r="C14" i="29"/>
  <c r="C11" i="29"/>
  <c r="C40" i="29"/>
  <c r="C26" i="29"/>
  <c r="C23" i="29"/>
  <c r="X31" i="29"/>
  <c r="V31" i="29"/>
  <c r="X11" i="29"/>
  <c r="V11" i="29"/>
  <c r="X29" i="29"/>
  <c r="V29" i="29"/>
  <c r="X19" i="29"/>
  <c r="V19" i="29"/>
  <c r="V26" i="29"/>
  <c r="X26" i="29"/>
  <c r="C18" i="29"/>
  <c r="C20" i="29"/>
  <c r="C39" i="29"/>
  <c r="C57" i="29"/>
  <c r="C38" i="29"/>
  <c r="V9" i="29"/>
  <c r="X9" i="29"/>
  <c r="X24" i="29"/>
  <c r="V24" i="29"/>
  <c r="X42" i="29"/>
  <c r="V42" i="29"/>
  <c r="X5" i="29"/>
  <c r="V6" i="29"/>
  <c r="X6" i="29"/>
  <c r="V16" i="29"/>
  <c r="C50" i="29"/>
  <c r="C8" i="29"/>
  <c r="C28" i="29"/>
  <c r="C25" i="29"/>
  <c r="V17" i="29"/>
  <c r="X17" i="29"/>
  <c r="X3" i="29"/>
  <c r="V3" i="29"/>
  <c r="V14" i="29"/>
  <c r="X14" i="29"/>
  <c r="C9" i="29"/>
  <c r="C5" i="29"/>
  <c r="C47" i="29"/>
  <c r="V10" i="29"/>
  <c r="X10" i="29"/>
  <c r="V7" i="29"/>
  <c r="X7" i="29"/>
  <c r="X47" i="29"/>
  <c r="C31" i="29"/>
  <c r="C29" i="29"/>
  <c r="U56" i="29"/>
  <c r="W56" i="29"/>
  <c r="C19" i="29"/>
  <c r="X20" i="29"/>
  <c r="V20" i="29"/>
  <c r="V48" i="29"/>
  <c r="V40" i="29"/>
  <c r="X40" i="29"/>
  <c r="X57" i="29"/>
  <c r="C33" i="29"/>
  <c r="C36" i="29"/>
  <c r="V35" i="29"/>
  <c r="X35" i="29"/>
  <c r="T56" i="29"/>
  <c r="V39" i="29"/>
  <c r="X39" i="29"/>
  <c r="V34" i="29"/>
  <c r="C12" i="29"/>
  <c r="C55" i="29"/>
  <c r="C34" i="29"/>
  <c r="C10" i="29"/>
  <c r="C32" i="29"/>
  <c r="X13" i="29"/>
  <c r="V13" i="29"/>
  <c r="X36" i="29"/>
  <c r="V36" i="29"/>
  <c r="V25" i="29"/>
  <c r="X25" i="29"/>
  <c r="W916" i="16"/>
  <c r="W699" i="16"/>
  <c r="W1072" i="16"/>
  <c r="E483" i="16"/>
  <c r="E631" i="16"/>
  <c r="E303" i="16"/>
  <c r="E351" i="16"/>
  <c r="E118" i="16"/>
  <c r="E143" i="16"/>
  <c r="E1011" i="16"/>
  <c r="E946" i="16"/>
  <c r="E434" i="16"/>
  <c r="E897" i="16"/>
  <c r="E1102" i="16"/>
  <c r="E590" i="16"/>
  <c r="E927" i="16"/>
  <c r="E663" i="16"/>
  <c r="E865" i="16"/>
  <c r="E778" i="16"/>
  <c r="E1001" i="16"/>
  <c r="E200" i="16"/>
  <c r="B52" i="29"/>
  <c r="E415" i="16"/>
  <c r="E789" i="16"/>
  <c r="E572" i="16"/>
  <c r="AB9" i="18"/>
  <c r="Z9" i="18"/>
  <c r="V922" i="16"/>
  <c r="Z10" i="17"/>
  <c r="AB10" i="17"/>
  <c r="W116" i="16"/>
  <c r="E355" i="16"/>
  <c r="E160" i="16"/>
  <c r="E646" i="16"/>
  <c r="E894" i="16"/>
  <c r="E126" i="16"/>
  <c r="E1114" i="16"/>
  <c r="E602" i="16"/>
  <c r="E1081" i="16"/>
  <c r="E569" i="16"/>
  <c r="E313" i="16"/>
  <c r="E792" i="16"/>
  <c r="E280" i="16"/>
  <c r="E24" i="16"/>
  <c r="E1053" i="16"/>
  <c r="E134" i="16"/>
  <c r="E595" i="16"/>
  <c r="E596" i="16"/>
  <c r="E949" i="16"/>
  <c r="E405" i="16"/>
  <c r="E1030" i="16"/>
  <c r="E124" i="16"/>
  <c r="E1110" i="16"/>
  <c r="E239" i="16"/>
  <c r="E768" i="16"/>
  <c r="E357" i="16"/>
  <c r="E765" i="16"/>
  <c r="E356" i="16"/>
  <c r="E580" i="16"/>
  <c r="E1013" i="16"/>
  <c r="E604" i="16"/>
  <c r="E1037" i="16"/>
  <c r="E219" i="16"/>
  <c r="E1061" i="16"/>
  <c r="E1234" i="16"/>
  <c r="E210" i="16"/>
  <c r="E673" i="16"/>
  <c r="E161" i="16"/>
  <c r="E622" i="16"/>
  <c r="E1098" i="16"/>
  <c r="E1065" i="16"/>
  <c r="E297" i="16"/>
  <c r="E1032" i="16"/>
  <c r="E776" i="16"/>
  <c r="E264" i="16"/>
  <c r="E8" i="16"/>
  <c r="V640" i="16"/>
  <c r="Z12" i="17"/>
  <c r="AB12" i="17"/>
  <c r="AB21" i="18"/>
  <c r="V130" i="16"/>
  <c r="X1213" i="16"/>
  <c r="V1213" i="16" s="1"/>
  <c r="G7" i="17"/>
  <c r="X7" i="17" s="1"/>
  <c r="G6" i="18"/>
  <c r="G16" i="17"/>
  <c r="X177" i="16"/>
  <c r="V177" i="16" s="1"/>
  <c r="E951" i="16"/>
  <c r="E1092" i="16"/>
  <c r="E1235" i="16"/>
  <c r="E413" i="16"/>
  <c r="E60" i="16"/>
  <c r="E467" i="16"/>
  <c r="E787" i="16"/>
  <c r="E311" i="16"/>
  <c r="E493" i="16"/>
  <c r="E795" i="16"/>
  <c r="B54" i="29"/>
  <c r="E1203" i="16"/>
  <c r="E383" i="16"/>
  <c r="E790" i="16"/>
  <c r="E813" i="16"/>
  <c r="E428" i="16"/>
  <c r="E1039" i="16"/>
  <c r="E653" i="16"/>
  <c r="E677" i="16"/>
  <c r="B35" i="29"/>
  <c r="E268" i="16"/>
  <c r="E11" i="16"/>
  <c r="E226" i="16"/>
  <c r="E689" i="16"/>
  <c r="E433" i="16"/>
  <c r="G27" i="18"/>
  <c r="G4" i="17"/>
  <c r="E797" i="16"/>
  <c r="E751" i="16"/>
  <c r="E695" i="16"/>
  <c r="E541" i="16"/>
  <c r="E899" i="16"/>
  <c r="E684" i="16"/>
  <c r="E982" i="16"/>
  <c r="E54" i="16"/>
  <c r="B53" i="29"/>
  <c r="E455" i="16"/>
  <c r="E1068" i="16"/>
  <c r="E565" i="16"/>
  <c r="E365" i="16"/>
  <c r="E759" i="16"/>
  <c r="E742" i="16"/>
  <c r="E741" i="16"/>
  <c r="E331" i="16"/>
  <c r="E763" i="16"/>
  <c r="B51" i="29"/>
  <c r="E375" i="16"/>
  <c r="E144" i="16"/>
  <c r="E988" i="16"/>
  <c r="E579" i="16"/>
  <c r="E167" i="16"/>
  <c r="E1012" i="16"/>
  <c r="E603" i="16"/>
  <c r="E192" i="16"/>
  <c r="E1036" i="16"/>
  <c r="E962" i="16"/>
  <c r="E657" i="16"/>
  <c r="E145" i="16"/>
  <c r="E606" i="16"/>
  <c r="E94" i="16"/>
  <c r="E314" i="16"/>
  <c r="E1049" i="16"/>
  <c r="E537" i="16"/>
  <c r="E281" i="16"/>
  <c r="E1016" i="16"/>
  <c r="E248" i="16"/>
  <c r="Z7" i="17"/>
  <c r="AB7" i="17"/>
  <c r="AB12" i="18"/>
  <c r="Z12" i="18"/>
  <c r="W1208" i="16"/>
  <c r="Z8" i="17"/>
  <c r="AB8" i="17"/>
  <c r="X57" i="16"/>
  <c r="V57" i="16" s="1"/>
  <c r="W57" i="16"/>
  <c r="X1007" i="16"/>
  <c r="V1007" i="16" s="1"/>
  <c r="W1007" i="16"/>
  <c r="AB13" i="17"/>
  <c r="Z13" i="17"/>
  <c r="Z17" i="18"/>
  <c r="AB17" i="18"/>
  <c r="Z21" i="18"/>
  <c r="G12" i="17"/>
  <c r="G17" i="18"/>
  <c r="Z10" i="18"/>
  <c r="AB10" i="18"/>
  <c r="Z25" i="18"/>
  <c r="AB25" i="18"/>
  <c r="E747" i="16"/>
  <c r="E211" i="16"/>
  <c r="E419" i="16"/>
  <c r="E811" i="16"/>
  <c r="E796" i="16"/>
  <c r="E1083" i="16"/>
  <c r="E199" i="16"/>
  <c r="B44" i="29"/>
  <c r="E581" i="16"/>
  <c r="E886" i="16"/>
  <c r="E35" i="16"/>
  <c r="E443" i="16"/>
  <c r="E659" i="16"/>
  <c r="E1100" i="16"/>
  <c r="E279" i="16"/>
  <c r="E688" i="16"/>
  <c r="E710" i="16"/>
  <c r="E325" i="16"/>
  <c r="E502" i="16"/>
  <c r="E935" i="16"/>
  <c r="E960" i="16"/>
  <c r="E550" i="16"/>
  <c r="E141" i="16"/>
  <c r="E575" i="16"/>
  <c r="E162" i="16"/>
  <c r="E881" i="16"/>
  <c r="E625" i="16"/>
  <c r="E113" i="16"/>
  <c r="E830" i="16"/>
  <c r="E574" i="16"/>
  <c r="E318" i="16"/>
  <c r="E62" i="16"/>
  <c r="E794" i="16"/>
  <c r="E282" i="16"/>
  <c r="E26" i="16"/>
  <c r="E1017" i="16"/>
  <c r="G16" i="18"/>
  <c r="Z7" i="18"/>
  <c r="AB7" i="18"/>
  <c r="V558" i="16"/>
  <c r="V798" i="16"/>
  <c r="G7" i="18"/>
  <c r="G14" i="17"/>
  <c r="X910" i="16"/>
  <c r="V910" i="16" s="1"/>
  <c r="G24" i="18"/>
  <c r="V977" i="16"/>
  <c r="E592" i="16"/>
  <c r="E900" i="16"/>
  <c r="E183" i="16"/>
  <c r="E1014" i="16"/>
  <c r="E1051" i="16"/>
  <c r="E275" i="16"/>
  <c r="E91" i="16"/>
  <c r="E386" i="16"/>
  <c r="E1105" i="16"/>
  <c r="E593" i="16"/>
  <c r="E81" i="16"/>
  <c r="E30" i="16"/>
  <c r="E696" i="16"/>
  <c r="E440" i="16"/>
  <c r="E184" i="16"/>
  <c r="AB11" i="17"/>
  <c r="Z11" i="17"/>
  <c r="W177" i="16"/>
  <c r="AB16" i="18"/>
  <c r="Z16" i="18"/>
  <c r="E285" i="16"/>
  <c r="E1077" i="16"/>
  <c r="E567" i="16"/>
  <c r="E876" i="16"/>
  <c r="E99" i="16"/>
  <c r="E230" i="16"/>
  <c r="E639" i="16"/>
  <c r="E229" i="16"/>
  <c r="E251" i="16"/>
  <c r="E452" i="16"/>
  <c r="E885" i="16"/>
  <c r="E476" i="16"/>
  <c r="E115" i="16"/>
  <c r="E267" i="16"/>
  <c r="E898" i="16"/>
  <c r="E849" i="16"/>
  <c r="E337" i="16"/>
  <c r="E912" i="16"/>
  <c r="E694" i="16"/>
  <c r="E1045" i="16"/>
  <c r="E1093" i="16"/>
  <c r="E643" i="16"/>
  <c r="E943" i="16"/>
  <c r="E733" i="16"/>
  <c r="E1029" i="16"/>
  <c r="E111" i="16"/>
  <c r="E515" i="16"/>
  <c r="E823" i="16"/>
  <c r="E967" i="16"/>
  <c r="E1024" i="16"/>
  <c r="E614" i="16"/>
  <c r="E205" i="16"/>
  <c r="E613" i="16"/>
  <c r="E1021" i="16"/>
  <c r="E612" i="16"/>
  <c r="E203" i="16"/>
  <c r="E635" i="16"/>
  <c r="E247" i="16"/>
  <c r="E16" i="16"/>
  <c r="E39" i="16"/>
  <c r="E475" i="16"/>
  <c r="B41" i="29"/>
  <c r="E499" i="16"/>
  <c r="E626" i="16"/>
  <c r="E370" i="16"/>
  <c r="E1089" i="16"/>
  <c r="E833" i="16"/>
  <c r="E321" i="16"/>
  <c r="E65" i="16"/>
  <c r="E1038" i="16"/>
  <c r="E526" i="16"/>
  <c r="E14" i="16"/>
  <c r="E1002" i="16"/>
  <c r="E746" i="16"/>
  <c r="E234" i="16"/>
  <c r="E969" i="16"/>
  <c r="E713" i="16"/>
  <c r="E936" i="16"/>
  <c r="E168" i="16"/>
  <c r="F1246" i="16"/>
  <c r="AB8" i="18"/>
  <c r="Z8" i="18"/>
  <c r="G5" i="18"/>
  <c r="G6" i="17"/>
  <c r="AB20" i="18"/>
  <c r="Z6" i="17"/>
  <c r="AB6" i="17"/>
  <c r="AB16" i="17"/>
  <c r="Z16" i="17"/>
  <c r="V691" i="16"/>
  <c r="AB22" i="18"/>
  <c r="Z22" i="18"/>
  <c r="E1085" i="16"/>
  <c r="E1035" i="16"/>
  <c r="E259" i="16"/>
  <c r="E1076" i="16"/>
  <c r="B47" i="29"/>
  <c r="E256" i="16"/>
  <c r="E300" i="16"/>
  <c r="E469" i="16"/>
  <c r="E851" i="16"/>
  <c r="E1052" i="16"/>
  <c r="E591" i="16"/>
  <c r="E892" i="16"/>
  <c r="E335" i="16"/>
  <c r="E981" i="16"/>
  <c r="E453" i="16"/>
  <c r="E773" i="16"/>
  <c r="E437" i="16"/>
  <c r="E998" i="16"/>
  <c r="E997" i="16"/>
  <c r="E588" i="16"/>
  <c r="E996" i="16"/>
  <c r="E587" i="16"/>
  <c r="E176" i="16"/>
  <c r="E608" i="16"/>
  <c r="E198" i="16"/>
  <c r="E835" i="16"/>
  <c r="E859" i="16"/>
  <c r="E448" i="16"/>
  <c r="E624" i="16"/>
  <c r="E214" i="16"/>
  <c r="E1122" i="16"/>
  <c r="E866" i="16"/>
  <c r="E98" i="16"/>
  <c r="E1022" i="16"/>
  <c r="E766" i="16"/>
  <c r="E254" i="16"/>
  <c r="E474" i="16"/>
  <c r="E218" i="16"/>
  <c r="B46" i="29"/>
  <c r="E953" i="16"/>
  <c r="E697" i="16"/>
  <c r="E441" i="16"/>
  <c r="E920" i="16"/>
  <c r="E664" i="16"/>
  <c r="AB13" i="18"/>
  <c r="Z13" i="18"/>
  <c r="Z5" i="18"/>
  <c r="AB5" i="18"/>
  <c r="AB3" i="17"/>
  <c r="Z3" i="17"/>
  <c r="V304" i="16"/>
  <c r="E340" i="16"/>
  <c r="E645" i="16"/>
  <c r="E839" i="16"/>
  <c r="E261" i="16"/>
  <c r="E630" i="16"/>
  <c r="E931" i="16"/>
  <c r="E1020" i="16"/>
  <c r="E495" i="16"/>
  <c r="E973" i="16"/>
  <c r="E151" i="16"/>
  <c r="E582" i="16"/>
  <c r="E173" i="16"/>
  <c r="E197" i="16"/>
  <c r="E374" i="16"/>
  <c r="B58" i="29"/>
  <c r="E1219" i="16"/>
  <c r="E422" i="16"/>
  <c r="E855" i="16"/>
  <c r="E37" i="16"/>
  <c r="E82" i="16"/>
  <c r="E1057" i="16"/>
  <c r="E289" i="16"/>
  <c r="E1006" i="16"/>
  <c r="E494" i="16"/>
  <c r="E970" i="16"/>
  <c r="E458" i="16"/>
  <c r="E202" i="16"/>
  <c r="E937" i="16"/>
  <c r="E681" i="16"/>
  <c r="E425" i="16"/>
  <c r="E169" i="16"/>
  <c r="E904" i="16"/>
  <c r="E648" i="16"/>
  <c r="G8" i="18"/>
  <c r="AB11" i="18"/>
  <c r="Z11" i="18"/>
  <c r="X20" i="16"/>
  <c r="V20" i="16" s="1"/>
  <c r="W20" i="16"/>
  <c r="Z24" i="18"/>
  <c r="AB24" i="18"/>
  <c r="Z9" i="17"/>
  <c r="AB9" i="17"/>
  <c r="Z26" i="18"/>
  <c r="AB26" i="18"/>
  <c r="G20" i="18"/>
  <c r="G11" i="17"/>
  <c r="Z23" i="18"/>
  <c r="AB23" i="18"/>
  <c r="W972" i="16"/>
  <c r="V836" i="16"/>
  <c r="G10" i="17"/>
  <c r="G21" i="18"/>
  <c r="X64" i="16"/>
  <c r="V64" i="16" s="1"/>
  <c r="W64" i="16"/>
  <c r="E156" i="16"/>
  <c r="E1075" i="16"/>
  <c r="E253" i="16"/>
  <c r="E522" i="16"/>
  <c r="E227" i="16"/>
  <c r="E671" i="16"/>
  <c r="E32" i="16"/>
  <c r="E291" i="16"/>
  <c r="E127" i="16"/>
  <c r="E944" i="16"/>
  <c r="E534" i="16"/>
  <c r="E125" i="16"/>
  <c r="E966" i="16"/>
  <c r="E557" i="16"/>
  <c r="E349" i="16"/>
  <c r="E783" i="16"/>
  <c r="E373" i="16"/>
  <c r="B45" i="29"/>
  <c r="E806" i="16"/>
  <c r="E831" i="16"/>
  <c r="E421" i="16"/>
  <c r="E12" i="16"/>
  <c r="E573" i="16"/>
  <c r="E834" i="16"/>
  <c r="B3" i="29"/>
  <c r="E66" i="16"/>
  <c r="B34" i="29"/>
  <c r="E273" i="16"/>
  <c r="E990" i="16"/>
  <c r="E222" i="16"/>
  <c r="E954" i="16"/>
  <c r="E698" i="16"/>
  <c r="E442" i="16"/>
  <c r="E186" i="16"/>
  <c r="E921" i="16"/>
  <c r="E665" i="16"/>
  <c r="E153" i="16"/>
  <c r="E120" i="16"/>
  <c r="E903" i="16"/>
  <c r="E861" i="16"/>
  <c r="E359" i="16"/>
  <c r="E989" i="16"/>
  <c r="E775" i="16"/>
  <c r="E182" i="16"/>
  <c r="E566" i="16"/>
  <c r="E486" i="16"/>
  <c r="E895" i="16"/>
  <c r="E76" i="16"/>
  <c r="E507" i="16"/>
  <c r="E119" i="16"/>
  <c r="E323" i="16"/>
  <c r="E347" i="16"/>
  <c r="B49" i="29"/>
  <c r="E780" i="16"/>
  <c r="E932" i="16"/>
  <c r="E523" i="16"/>
  <c r="E802" i="16"/>
  <c r="E34" i="16"/>
  <c r="E958" i="16"/>
  <c r="E190" i="16"/>
  <c r="E154" i="16"/>
  <c r="E889" i="16"/>
  <c r="E1112" i="16"/>
  <c r="E600" i="16"/>
  <c r="E344" i="16"/>
  <c r="G26" i="18"/>
  <c r="G3" i="17"/>
  <c r="V1208" i="16"/>
  <c r="V1072" i="16"/>
  <c r="E79" i="16"/>
  <c r="E503" i="16"/>
  <c r="E717" i="16"/>
  <c r="E307" i="16"/>
  <c r="E326" i="16"/>
  <c r="E528" i="16"/>
  <c r="E690" i="16"/>
  <c r="E641" i="16"/>
  <c r="E129" i="16"/>
  <c r="E846" i="16"/>
  <c r="E334" i="16"/>
  <c r="E298" i="16"/>
  <c r="E9" i="16"/>
  <c r="X6" i="18"/>
  <c r="Z6" i="18"/>
  <c r="AB6" i="18"/>
  <c r="E605" i="16"/>
  <c r="E621" i="16"/>
  <c r="B33" i="29"/>
  <c r="E667" i="16"/>
  <c r="E662" i="16"/>
  <c r="E685" i="16"/>
  <c r="E911" i="16"/>
  <c r="E146" i="16"/>
  <c r="E266" i="16"/>
  <c r="E233" i="16"/>
  <c r="E71" i="16"/>
  <c r="E5" i="16"/>
  <c r="E4" i="16"/>
  <c r="E902" i="16"/>
  <c r="E131" i="16"/>
  <c r="E517" i="16"/>
  <c r="E828" i="16"/>
  <c r="E1117" i="16"/>
  <c r="E620" i="16"/>
  <c r="E367" i="16"/>
  <c r="E764" i="16"/>
  <c r="E1104" i="16"/>
  <c r="E231" i="16"/>
  <c r="E923" i="16"/>
  <c r="B14" i="29"/>
  <c r="E512" i="16"/>
  <c r="B31" i="29"/>
  <c r="E102" i="16"/>
  <c r="E919" i="16"/>
  <c r="E918" i="16"/>
  <c r="E941" i="16"/>
  <c r="E532" i="16"/>
  <c r="E123" i="16"/>
  <c r="E147" i="16"/>
  <c r="E757" i="16"/>
  <c r="E396" i="16"/>
  <c r="E957" i="16"/>
  <c r="B26" i="29"/>
  <c r="E548" i="16"/>
  <c r="E306" i="16"/>
  <c r="E974" i="16"/>
  <c r="E462" i="16"/>
  <c r="E206" i="16"/>
  <c r="E938" i="16"/>
  <c r="E682" i="16"/>
  <c r="E426" i="16"/>
  <c r="E170" i="16"/>
  <c r="E1161" i="16"/>
  <c r="E649" i="16"/>
  <c r="E872" i="16"/>
  <c r="E104" i="16"/>
  <c r="Z14" i="17"/>
  <c r="AB14" i="17"/>
  <c r="Z4" i="17"/>
  <c r="AB4" i="17"/>
  <c r="V112" i="16"/>
  <c r="E1043" i="16"/>
  <c r="E390" i="16"/>
  <c r="E725" i="16"/>
  <c r="E1028" i="16"/>
  <c r="E822" i="16"/>
  <c r="E1008" i="16"/>
  <c r="E870" i="16"/>
  <c r="E461" i="16"/>
  <c r="E869" i="16"/>
  <c r="E48" i="16"/>
  <c r="E480" i="16"/>
  <c r="E70" i="16"/>
  <c r="B38" i="29"/>
  <c r="E95" i="16"/>
  <c r="E272" i="16"/>
  <c r="E1116" i="16"/>
  <c r="E755" i="16"/>
  <c r="E343" i="16"/>
  <c r="E86" i="16"/>
  <c r="E786" i="16"/>
  <c r="E274" i="16"/>
  <c r="E18" i="16"/>
  <c r="E942" i="16"/>
  <c r="E686" i="16"/>
  <c r="E174" i="16"/>
  <c r="E1162" i="16"/>
  <c r="E906" i="16"/>
  <c r="E650" i="16"/>
  <c r="E394" i="16"/>
  <c r="E138" i="16"/>
  <c r="E617" i="16"/>
  <c r="E361" i="16"/>
  <c r="E1096" i="16"/>
  <c r="E328" i="16"/>
  <c r="B18" i="29"/>
  <c r="E72" i="16"/>
  <c r="Z20" i="18"/>
  <c r="Z5" i="17"/>
  <c r="AB5" i="17"/>
  <c r="G4" i="18"/>
  <c r="G5" i="17"/>
  <c r="Z27" i="18"/>
  <c r="AB27" i="18"/>
  <c r="W185" i="16"/>
  <c r="E999" i="16"/>
  <c r="E749" i="16"/>
  <c r="E1084" i="16"/>
  <c r="B23" i="29"/>
  <c r="E207" i="16"/>
  <c r="E583" i="16"/>
  <c r="E887" i="16"/>
  <c r="E980" i="16"/>
  <c r="E444" i="16"/>
  <c r="E772" i="16"/>
  <c r="E1060" i="16"/>
  <c r="E965" i="16"/>
  <c r="E27" i="16"/>
  <c r="E844" i="16"/>
  <c r="E435" i="16"/>
  <c r="E843" i="16"/>
  <c r="E432" i="16"/>
  <c r="E864" i="16"/>
  <c r="E246" i="16"/>
  <c r="E679" i="16"/>
  <c r="E1115" i="16"/>
  <c r="E294" i="16"/>
  <c r="E727" i="16"/>
  <c r="E319" i="16"/>
  <c r="E880" i="16"/>
  <c r="E470" i="16"/>
  <c r="E61" i="16"/>
  <c r="E1026" i="16"/>
  <c r="E770" i="16"/>
  <c r="E258" i="16"/>
  <c r="E721" i="16"/>
  <c r="E926" i="16"/>
  <c r="E670" i="16"/>
  <c r="E414" i="16"/>
  <c r="E890" i="16"/>
  <c r="E634" i="16"/>
  <c r="E601" i="16"/>
  <c r="E89" i="16"/>
  <c r="E1080" i="16"/>
  <c r="E568" i="16"/>
  <c r="E312" i="16"/>
  <c r="E7" i="16"/>
  <c r="E213" i="16"/>
  <c r="B43" i="29"/>
  <c r="E157" i="16"/>
  <c r="E1040" i="16"/>
  <c r="E519" i="16"/>
  <c r="E928" i="16"/>
  <c r="E720" i="16"/>
  <c r="E103" i="16"/>
  <c r="E556" i="16"/>
  <c r="E819" i="16"/>
  <c r="E407" i="16"/>
  <c r="E406" i="16"/>
  <c r="E838" i="16"/>
  <c r="E429" i="16"/>
  <c r="E221" i="16"/>
  <c r="B13" i="29"/>
  <c r="E245" i="16"/>
  <c r="E1088" i="16"/>
  <c r="E703" i="16"/>
  <c r="E854" i="16"/>
  <c r="E242" i="16"/>
  <c r="E961" i="16"/>
  <c r="E654" i="16"/>
  <c r="E874" i="16"/>
  <c r="E1097" i="16"/>
  <c r="B10" i="29"/>
  <c r="E841" i="16"/>
  <c r="E585" i="16"/>
  <c r="E808" i="16"/>
  <c r="E296" i="16"/>
  <c r="E40" i="16"/>
  <c r="Z4" i="18"/>
  <c r="AB4" i="18"/>
  <c r="G22" i="18"/>
  <c r="G8" i="17"/>
  <c r="G25" i="18"/>
  <c r="G23" i="18"/>
  <c r="G9" i="17"/>
  <c r="U45" i="29" l="1"/>
  <c r="W45" i="29"/>
  <c r="T45" i="29"/>
  <c r="B8" i="29"/>
  <c r="W43" i="29"/>
  <c r="U43" i="29"/>
  <c r="T43" i="29"/>
  <c r="B40" i="29"/>
  <c r="B28" i="29"/>
  <c r="B32" i="29"/>
  <c r="U50" i="29"/>
  <c r="W50" i="29"/>
  <c r="T50" i="29"/>
  <c r="U31" i="29"/>
  <c r="T31" i="29"/>
  <c r="W31" i="29"/>
  <c r="U34" i="29"/>
  <c r="T34" i="29"/>
  <c r="W34" i="29"/>
  <c r="B24" i="29"/>
  <c r="W46" i="29"/>
  <c r="T46" i="29"/>
  <c r="U46" i="29"/>
  <c r="B30" i="29"/>
  <c r="B21" i="29"/>
  <c r="B29" i="29"/>
  <c r="B42" i="29"/>
  <c r="B9" i="29"/>
  <c r="B5" i="29"/>
  <c r="U55" i="29"/>
  <c r="W55" i="29"/>
  <c r="T55" i="29"/>
  <c r="W10" i="29"/>
  <c r="U10" i="29"/>
  <c r="T10" i="29"/>
  <c r="U18" i="29"/>
  <c r="T18" i="29"/>
  <c r="W18" i="29"/>
  <c r="W14" i="29"/>
  <c r="T14" i="29"/>
  <c r="U14" i="29"/>
  <c r="W49" i="29"/>
  <c r="T49" i="29"/>
  <c r="U49" i="29"/>
  <c r="W3" i="29"/>
  <c r="T3" i="29"/>
  <c r="U3" i="29"/>
  <c r="B6" i="29"/>
  <c r="B36" i="29"/>
  <c r="T47" i="29"/>
  <c r="W47" i="29"/>
  <c r="U47" i="29"/>
  <c r="B16" i="29"/>
  <c r="W51" i="29"/>
  <c r="T51" i="29"/>
  <c r="U51" i="29"/>
  <c r="B17" i="29"/>
  <c r="W52" i="29"/>
  <c r="U52" i="29"/>
  <c r="T52" i="29"/>
  <c r="B39" i="29"/>
  <c r="T26" i="29"/>
  <c r="W26" i="29"/>
  <c r="U26" i="29"/>
  <c r="B7" i="29"/>
  <c r="U33" i="29"/>
  <c r="W33" i="29"/>
  <c r="T33" i="29"/>
  <c r="B11" i="29"/>
  <c r="B19" i="29"/>
  <c r="B25" i="29"/>
  <c r="U58" i="29"/>
  <c r="T58" i="29"/>
  <c r="W58" i="29"/>
  <c r="B57" i="29"/>
  <c r="U53" i="29"/>
  <c r="T53" i="29"/>
  <c r="W53" i="29"/>
  <c r="W13" i="29"/>
  <c r="U13" i="29"/>
  <c r="T13" i="29"/>
  <c r="U23" i="29"/>
  <c r="T23" i="29"/>
  <c r="W23" i="29"/>
  <c r="W38" i="29"/>
  <c r="T38" i="29"/>
  <c r="U38" i="29"/>
  <c r="U41" i="29"/>
  <c r="W41" i="29"/>
  <c r="T41" i="29"/>
  <c r="B12" i="29"/>
  <c r="U44" i="29"/>
  <c r="W44" i="29"/>
  <c r="T44" i="29"/>
  <c r="W35" i="29"/>
  <c r="T35" i="29"/>
  <c r="U35" i="29"/>
  <c r="W54" i="29"/>
  <c r="U54" i="29"/>
  <c r="T54" i="29"/>
  <c r="B20" i="29"/>
  <c r="B48" i="29"/>
  <c r="X654" i="16"/>
  <c r="V654" i="16" s="1"/>
  <c r="W654" i="16"/>
  <c r="X568" i="16"/>
  <c r="V568" i="16" s="1"/>
  <c r="W568" i="16"/>
  <c r="X926" i="16"/>
  <c r="V926" i="16" s="1"/>
  <c r="W926" i="16"/>
  <c r="X319" i="16"/>
  <c r="V319" i="16" s="1"/>
  <c r="W319" i="16"/>
  <c r="X843" i="16"/>
  <c r="V843" i="16" s="1"/>
  <c r="W843" i="16"/>
  <c r="X980" i="16"/>
  <c r="V980" i="16" s="1"/>
  <c r="W980" i="16"/>
  <c r="X72" i="16"/>
  <c r="V72" i="16" s="1"/>
  <c r="W72" i="16"/>
  <c r="X906" i="16"/>
  <c r="V906" i="16" s="1"/>
  <c r="W906" i="16"/>
  <c r="F13" i="18"/>
  <c r="X86" i="16"/>
  <c r="V86" i="16" s="1"/>
  <c r="W86" i="16"/>
  <c r="X104" i="16"/>
  <c r="V104" i="16" s="1"/>
  <c r="W104" i="16"/>
  <c r="X9" i="16"/>
  <c r="V9" i="16" s="1"/>
  <c r="W9" i="16"/>
  <c r="X458" i="16"/>
  <c r="V458" i="16" s="1"/>
  <c r="W458" i="16"/>
  <c r="X855" i="16"/>
  <c r="V855" i="16" s="1"/>
  <c r="W855" i="16"/>
  <c r="X973" i="16"/>
  <c r="V973" i="16" s="1"/>
  <c r="W973" i="16"/>
  <c r="X340" i="16"/>
  <c r="V340" i="16" s="1"/>
  <c r="W340" i="16"/>
  <c r="X920" i="16"/>
  <c r="V920" i="16" s="1"/>
  <c r="W920" i="16"/>
  <c r="X1022" i="16"/>
  <c r="V1022" i="16" s="1"/>
  <c r="W1022" i="16"/>
  <c r="X835" i="16"/>
  <c r="V835" i="16" s="1"/>
  <c r="W835" i="16"/>
  <c r="X998" i="16"/>
  <c r="V998" i="16" s="1"/>
  <c r="W998" i="16"/>
  <c r="X1052" i="16"/>
  <c r="V1052" i="16" s="1"/>
  <c r="W1052" i="16"/>
  <c r="X1085" i="16"/>
  <c r="V1085" i="16" s="1"/>
  <c r="W1085" i="16"/>
  <c r="X969" i="16"/>
  <c r="V969" i="16" s="1"/>
  <c r="W969" i="16"/>
  <c r="X321" i="16"/>
  <c r="V321" i="16" s="1"/>
  <c r="W321" i="16"/>
  <c r="X614" i="16"/>
  <c r="V614" i="16" s="1"/>
  <c r="W614" i="16"/>
  <c r="X943" i="16"/>
  <c r="V943" i="16" s="1"/>
  <c r="W943" i="16"/>
  <c r="X849" i="16"/>
  <c r="V849" i="16" s="1"/>
  <c r="W849" i="16"/>
  <c r="X281" i="16"/>
  <c r="V281" i="16" s="1"/>
  <c r="W281" i="16"/>
  <c r="X962" i="16"/>
  <c r="V962" i="16" s="1"/>
  <c r="W962" i="16"/>
  <c r="X565" i="16"/>
  <c r="V565" i="16" s="1"/>
  <c r="W565" i="16"/>
  <c r="X433" i="16"/>
  <c r="V433" i="16" s="1"/>
  <c r="W433" i="16"/>
  <c r="X428" i="16"/>
  <c r="V428" i="16" s="1"/>
  <c r="W428" i="16"/>
  <c r="X787" i="16"/>
  <c r="V787" i="16" s="1"/>
  <c r="F12" i="18"/>
  <c r="W787" i="16"/>
  <c r="Y16" i="17"/>
  <c r="AA16" i="17"/>
  <c r="X622" i="16"/>
  <c r="V622" i="16" s="1"/>
  <c r="W622" i="16"/>
  <c r="X604" i="16"/>
  <c r="V604" i="16" s="1"/>
  <c r="W604" i="16"/>
  <c r="X1110" i="16"/>
  <c r="V1110" i="16" s="1"/>
  <c r="W1110" i="16"/>
  <c r="X1053" i="16"/>
  <c r="V1053" i="16" s="1"/>
  <c r="W1053" i="16"/>
  <c r="X40" i="16"/>
  <c r="V40" i="16" s="1"/>
  <c r="W40" i="16"/>
  <c r="X429" i="16"/>
  <c r="V429" i="16" s="1"/>
  <c r="W429" i="16"/>
  <c r="X928" i="16"/>
  <c r="V928" i="16" s="1"/>
  <c r="W928" i="16"/>
  <c r="X48" i="16"/>
  <c r="V48" i="16" s="1"/>
  <c r="W48" i="16"/>
  <c r="X390" i="16"/>
  <c r="V390" i="16" s="1"/>
  <c r="W390" i="16"/>
  <c r="X872" i="16"/>
  <c r="V872" i="16" s="1"/>
  <c r="W872" i="16"/>
  <c r="X462" i="16"/>
  <c r="V462" i="16" s="1"/>
  <c r="W462" i="16"/>
  <c r="X123" i="16"/>
  <c r="V123" i="16" s="1"/>
  <c r="W123" i="16"/>
  <c r="X231" i="16"/>
  <c r="V231" i="16" s="1"/>
  <c r="W231" i="16"/>
  <c r="X131" i="16"/>
  <c r="V131" i="16" s="1"/>
  <c r="W131" i="16"/>
  <c r="X911" i="16"/>
  <c r="V911" i="16" s="1"/>
  <c r="W911" i="16"/>
  <c r="X326" i="16"/>
  <c r="V326" i="16" s="1"/>
  <c r="W326" i="16"/>
  <c r="X889" i="16"/>
  <c r="V889" i="16" s="1"/>
  <c r="W889" i="16"/>
  <c r="X780" i="16"/>
  <c r="V780" i="16" s="1"/>
  <c r="W780" i="16"/>
  <c r="X566" i="16"/>
  <c r="V566" i="16" s="1"/>
  <c r="W566" i="16"/>
  <c r="X954" i="16"/>
  <c r="V954" i="16" s="1"/>
  <c r="W954" i="16"/>
  <c r="X421" i="16"/>
  <c r="V421" i="16" s="1"/>
  <c r="W421" i="16"/>
  <c r="X125" i="16"/>
  <c r="V125" i="16" s="1"/>
  <c r="W125" i="16"/>
  <c r="X522" i="16"/>
  <c r="V522" i="16" s="1"/>
  <c r="W522" i="16"/>
  <c r="X16" i="16"/>
  <c r="V16" i="16" s="1"/>
  <c r="W16" i="16"/>
  <c r="X229" i="16"/>
  <c r="V229" i="16" s="1"/>
  <c r="W229" i="16"/>
  <c r="X1105" i="16"/>
  <c r="V1105" i="16" s="1"/>
  <c r="W1105" i="16"/>
  <c r="X592" i="16"/>
  <c r="V592" i="16" s="1"/>
  <c r="W592" i="16"/>
  <c r="X794" i="16"/>
  <c r="V794" i="16" s="1"/>
  <c r="W794" i="16"/>
  <c r="X162" i="16"/>
  <c r="V162" i="16" s="1"/>
  <c r="W162" i="16"/>
  <c r="X710" i="16"/>
  <c r="V710" i="16" s="1"/>
  <c r="W710" i="16"/>
  <c r="X581" i="16"/>
  <c r="V581" i="16" s="1"/>
  <c r="W581" i="16"/>
  <c r="X144" i="16"/>
  <c r="V144" i="16" s="1"/>
  <c r="W144" i="16"/>
  <c r="X695" i="16"/>
  <c r="V695" i="16" s="1"/>
  <c r="W695" i="16"/>
  <c r="X602" i="16"/>
  <c r="V602" i="16" s="1"/>
  <c r="W602" i="16"/>
  <c r="X865" i="16"/>
  <c r="V865" i="16" s="1"/>
  <c r="W865" i="16"/>
  <c r="X1011" i="16"/>
  <c r="V1011" i="16" s="1"/>
  <c r="W1011" i="16"/>
  <c r="X970" i="16"/>
  <c r="V970" i="16" s="1"/>
  <c r="W970" i="16"/>
  <c r="X495" i="16"/>
  <c r="V495" i="16" s="1"/>
  <c r="W495" i="16"/>
  <c r="X98" i="16"/>
  <c r="V98" i="16" s="1"/>
  <c r="W98" i="16"/>
  <c r="X851" i="16"/>
  <c r="V851" i="16" s="1"/>
  <c r="W851" i="16"/>
  <c r="X833" i="16"/>
  <c r="V833" i="16" s="1"/>
  <c r="W833" i="16"/>
  <c r="X1024" i="16"/>
  <c r="V1024" i="16" s="1"/>
  <c r="W1024" i="16"/>
  <c r="X62" i="16"/>
  <c r="V62" i="16" s="1"/>
  <c r="W62" i="16"/>
  <c r="X575" i="16"/>
  <c r="V575" i="16" s="1"/>
  <c r="W575" i="16"/>
  <c r="W688" i="16"/>
  <c r="X688" i="16"/>
  <c r="V688" i="16" s="1"/>
  <c r="X199" i="16"/>
  <c r="V199" i="16" s="1"/>
  <c r="W199" i="16"/>
  <c r="X751" i="16"/>
  <c r="V751" i="16" s="1"/>
  <c r="W751" i="16"/>
  <c r="X467" i="16"/>
  <c r="V467" i="16" s="1"/>
  <c r="W467" i="16"/>
  <c r="X1114" i="16"/>
  <c r="V1114" i="16" s="1"/>
  <c r="W1114" i="16"/>
  <c r="X663" i="16"/>
  <c r="V663" i="16" s="1"/>
  <c r="W663" i="16"/>
  <c r="X143" i="16"/>
  <c r="V143" i="16" s="1"/>
  <c r="W143" i="16"/>
  <c r="X444" i="16"/>
  <c r="V444" i="16" s="1"/>
  <c r="W444" i="16"/>
  <c r="X251" i="16"/>
  <c r="V251" i="16" s="1"/>
  <c r="W251" i="16"/>
  <c r="X593" i="16"/>
  <c r="V593" i="16" s="1"/>
  <c r="W593" i="16"/>
  <c r="X325" i="16"/>
  <c r="V325" i="16" s="1"/>
  <c r="W325" i="16"/>
  <c r="X537" i="16"/>
  <c r="V537" i="16" s="1"/>
  <c r="W537" i="16"/>
  <c r="F26" i="18"/>
  <c r="X375" i="16"/>
  <c r="V375" i="16" s="1"/>
  <c r="F3" i="17"/>
  <c r="W375" i="16"/>
  <c r="X813" i="16"/>
  <c r="V813" i="16" s="1"/>
  <c r="W813" i="16"/>
  <c r="X8" i="16"/>
  <c r="V8" i="16" s="1"/>
  <c r="W8" i="16"/>
  <c r="X1013" i="16"/>
  <c r="V1013" i="16" s="1"/>
  <c r="W1013" i="16"/>
  <c r="X124" i="16"/>
  <c r="V124" i="16" s="1"/>
  <c r="W124" i="16"/>
  <c r="X838" i="16"/>
  <c r="V838" i="16" s="1"/>
  <c r="W838" i="16"/>
  <c r="X1043" i="16"/>
  <c r="V1043" i="16" s="1"/>
  <c r="W1043" i="16"/>
  <c r="X1104" i="16"/>
  <c r="V1104" i="16" s="1"/>
  <c r="W1104" i="16"/>
  <c r="X685" i="16"/>
  <c r="V685" i="16" s="1"/>
  <c r="W685" i="16"/>
  <c r="X154" i="16"/>
  <c r="V154" i="16" s="1"/>
  <c r="W154" i="16"/>
  <c r="X347" i="16"/>
  <c r="V347" i="16" s="1"/>
  <c r="W347" i="16"/>
  <c r="X182" i="16"/>
  <c r="V182" i="16" s="1"/>
  <c r="W182" i="16"/>
  <c r="X120" i="16"/>
  <c r="V120" i="16" s="1"/>
  <c r="W120" i="16"/>
  <c r="X222" i="16"/>
  <c r="V222" i="16" s="1"/>
  <c r="W222" i="16"/>
  <c r="X831" i="16"/>
  <c r="V831" i="16" s="1"/>
  <c r="W831" i="16"/>
  <c r="X534" i="16"/>
  <c r="V534" i="16" s="1"/>
  <c r="W534" i="16"/>
  <c r="X253" i="16"/>
  <c r="V253" i="16" s="1"/>
  <c r="W253" i="16"/>
  <c r="X639" i="16"/>
  <c r="V639" i="16" s="1"/>
  <c r="W639" i="16"/>
  <c r="X386" i="16"/>
  <c r="V386" i="16" s="1"/>
  <c r="W386" i="16"/>
  <c r="X89" i="16"/>
  <c r="V89" i="16" s="1"/>
  <c r="W89" i="16"/>
  <c r="X258" i="16"/>
  <c r="V258" i="16" s="1"/>
  <c r="W258" i="16"/>
  <c r="X294" i="16"/>
  <c r="V294" i="16" s="1"/>
  <c r="W294" i="16"/>
  <c r="X844" i="16"/>
  <c r="V844" i="16" s="1"/>
  <c r="W844" i="16"/>
  <c r="X583" i="16"/>
  <c r="V583" i="16" s="1"/>
  <c r="W583" i="16"/>
  <c r="X1096" i="16"/>
  <c r="V1096" i="16" s="1"/>
  <c r="W1096" i="16"/>
  <c r="X174" i="16"/>
  <c r="V174" i="16" s="1"/>
  <c r="W174" i="16"/>
  <c r="X334" i="16"/>
  <c r="V334" i="16" s="1"/>
  <c r="W334" i="16"/>
  <c r="X904" i="16"/>
  <c r="V904" i="16" s="1"/>
  <c r="W904" i="16"/>
  <c r="X494" i="16"/>
  <c r="V494" i="16" s="1"/>
  <c r="W494" i="16"/>
  <c r="F25" i="18"/>
  <c r="F8" i="17"/>
  <c r="Y8" i="17" s="1"/>
  <c r="X1219" i="16"/>
  <c r="V1219" i="16" s="1"/>
  <c r="W1219" i="16"/>
  <c r="X1020" i="16"/>
  <c r="V1020" i="16" s="1"/>
  <c r="W1020" i="16"/>
  <c r="X697" i="16"/>
  <c r="V697" i="16" s="1"/>
  <c r="W697" i="16"/>
  <c r="X866" i="16"/>
  <c r="V866" i="16" s="1"/>
  <c r="W866" i="16"/>
  <c r="X608" i="16"/>
  <c r="V608" i="16" s="1"/>
  <c r="W608" i="16"/>
  <c r="X773" i="16"/>
  <c r="V773" i="16" s="1"/>
  <c r="W773" i="16"/>
  <c r="X469" i="16"/>
  <c r="V469" i="16" s="1"/>
  <c r="W469" i="16"/>
  <c r="X746" i="16"/>
  <c r="V746" i="16" s="1"/>
  <c r="W746" i="16"/>
  <c r="X1089" i="16"/>
  <c r="V1089" i="16" s="1"/>
  <c r="W1089" i="16"/>
  <c r="X635" i="16"/>
  <c r="V635" i="16" s="1"/>
  <c r="W635" i="16"/>
  <c r="X967" i="16"/>
  <c r="V967" i="16" s="1"/>
  <c r="W967" i="16"/>
  <c r="X1093" i="16"/>
  <c r="V1093" i="16" s="1"/>
  <c r="W1093" i="16"/>
  <c r="X267" i="16"/>
  <c r="V267" i="16" s="1"/>
  <c r="W267" i="16"/>
  <c r="X1049" i="16"/>
  <c r="V1049" i="16" s="1"/>
  <c r="W1049" i="16"/>
  <c r="X192" i="16"/>
  <c r="V192" i="16" s="1"/>
  <c r="W192" i="16"/>
  <c r="X763" i="16"/>
  <c r="V763" i="16" s="1"/>
  <c r="W763" i="16"/>
  <c r="F27" i="18"/>
  <c r="X455" i="16"/>
  <c r="V455" i="16" s="1"/>
  <c r="F4" i="17"/>
  <c r="W455" i="16"/>
  <c r="X226" i="16"/>
  <c r="V226" i="16" s="1"/>
  <c r="W226" i="16"/>
  <c r="X790" i="16"/>
  <c r="V790" i="16" s="1"/>
  <c r="W790" i="16"/>
  <c r="Y6" i="18"/>
  <c r="AA6" i="18"/>
  <c r="X264" i="16"/>
  <c r="V264" i="16" s="1"/>
  <c r="W264" i="16"/>
  <c r="X673" i="16"/>
  <c r="V673" i="16" s="1"/>
  <c r="W673" i="16"/>
  <c r="X580" i="16"/>
  <c r="V580" i="16" s="1"/>
  <c r="W580" i="16"/>
  <c r="X1030" i="16"/>
  <c r="V1030" i="16" s="1"/>
  <c r="W1030" i="16"/>
  <c r="X1040" i="16"/>
  <c r="V1040" i="16" s="1"/>
  <c r="W1040" i="16"/>
  <c r="X461" i="16"/>
  <c r="V461" i="16" s="1"/>
  <c r="W461" i="16"/>
  <c r="X941" i="16"/>
  <c r="V941" i="16" s="1"/>
  <c r="W941" i="16"/>
  <c r="X764" i="16"/>
  <c r="V764" i="16" s="1"/>
  <c r="W764" i="16"/>
  <c r="X4" i="16"/>
  <c r="V4" i="16" s="1"/>
  <c r="E1246" i="16"/>
  <c r="W4" i="16"/>
  <c r="W662" i="16"/>
  <c r="X662" i="16"/>
  <c r="V662" i="16" s="1"/>
  <c r="X717" i="16"/>
  <c r="V717" i="16" s="1"/>
  <c r="W717" i="16"/>
  <c r="X190" i="16"/>
  <c r="V190" i="16" s="1"/>
  <c r="W190" i="16"/>
  <c r="X323" i="16"/>
  <c r="V323" i="16" s="1"/>
  <c r="W323" i="16"/>
  <c r="W806" i="16"/>
  <c r="X806" i="16"/>
  <c r="V806" i="16" s="1"/>
  <c r="X944" i="16"/>
  <c r="V944" i="16" s="1"/>
  <c r="W944" i="16"/>
  <c r="X1075" i="16"/>
  <c r="V1075" i="16" s="1"/>
  <c r="W1075" i="16"/>
  <c r="X16" i="17"/>
  <c r="X230" i="16"/>
  <c r="V230" i="16" s="1"/>
  <c r="W230" i="16"/>
  <c r="X184" i="16"/>
  <c r="V184" i="16" s="1"/>
  <c r="W184" i="16"/>
  <c r="X91" i="16"/>
  <c r="V91" i="16" s="1"/>
  <c r="W91" i="16"/>
  <c r="X318" i="16"/>
  <c r="V318" i="16" s="1"/>
  <c r="W318" i="16"/>
  <c r="X141" i="16"/>
  <c r="V141" i="16" s="1"/>
  <c r="W141" i="16"/>
  <c r="X279" i="16"/>
  <c r="V279" i="16" s="1"/>
  <c r="W279" i="16"/>
  <c r="X1083" i="16"/>
  <c r="V1083" i="16" s="1"/>
  <c r="W1083" i="16"/>
  <c r="X797" i="16"/>
  <c r="V797" i="16" s="1"/>
  <c r="W797" i="16"/>
  <c r="X60" i="16"/>
  <c r="V60" i="16" s="1"/>
  <c r="W60" i="16"/>
  <c r="Y7" i="17"/>
  <c r="AA7" i="17"/>
  <c r="X126" i="16"/>
  <c r="V126" i="16" s="1"/>
  <c r="W126" i="16"/>
  <c r="X572" i="16"/>
  <c r="V572" i="16" s="1"/>
  <c r="W572" i="16"/>
  <c r="X927" i="16"/>
  <c r="V927" i="16" s="1"/>
  <c r="W927" i="16"/>
  <c r="W118" i="16"/>
  <c r="X118" i="16"/>
  <c r="V118" i="16" s="1"/>
  <c r="X881" i="16"/>
  <c r="V881" i="16" s="1"/>
  <c r="W881" i="16"/>
  <c r="X747" i="16"/>
  <c r="V747" i="16" s="1"/>
  <c r="W747" i="16"/>
  <c r="X541" i="16"/>
  <c r="V541" i="16" s="1"/>
  <c r="W541" i="16"/>
  <c r="X778" i="16"/>
  <c r="V778" i="16" s="1"/>
  <c r="W778" i="16"/>
  <c r="X519" i="16"/>
  <c r="V519" i="16" s="1"/>
  <c r="W519" i="16"/>
  <c r="X649" i="16"/>
  <c r="V649" i="16" s="1"/>
  <c r="W649" i="16"/>
  <c r="X902" i="16"/>
  <c r="V902" i="16" s="1"/>
  <c r="W902" i="16"/>
  <c r="X406" i="16"/>
  <c r="V406" i="16" s="1"/>
  <c r="W406" i="16"/>
  <c r="X1161" i="16"/>
  <c r="V1161" i="16" s="1"/>
  <c r="W1161" i="16"/>
  <c r="X990" i="16"/>
  <c r="V990" i="16" s="1"/>
  <c r="W990" i="16"/>
  <c r="X770" i="16"/>
  <c r="V770" i="16" s="1"/>
  <c r="W770" i="16"/>
  <c r="X27" i="16"/>
  <c r="V27" i="16" s="1"/>
  <c r="W27" i="16"/>
  <c r="X686" i="16"/>
  <c r="V686" i="16" s="1"/>
  <c r="W686" i="16"/>
  <c r="X846" i="16"/>
  <c r="V846" i="16" s="1"/>
  <c r="W846" i="16"/>
  <c r="X953" i="16"/>
  <c r="V953" i="16" s="1"/>
  <c r="W953" i="16"/>
  <c r="X1122" i="16"/>
  <c r="V1122" i="16" s="1"/>
  <c r="W1122" i="16"/>
  <c r="X176" i="16"/>
  <c r="V176" i="16" s="1"/>
  <c r="W176" i="16"/>
  <c r="W453" i="16"/>
  <c r="X453" i="16"/>
  <c r="V453" i="16" s="1"/>
  <c r="X300" i="16"/>
  <c r="V300" i="16" s="1"/>
  <c r="W300" i="16"/>
  <c r="X1002" i="16"/>
  <c r="V1002" i="16" s="1"/>
  <c r="W1002" i="16"/>
  <c r="X370" i="16"/>
  <c r="V370" i="16" s="1"/>
  <c r="W370" i="16"/>
  <c r="X203" i="16"/>
  <c r="V203" i="16" s="1"/>
  <c r="W203" i="16"/>
  <c r="X823" i="16"/>
  <c r="V823" i="16" s="1"/>
  <c r="W823" i="16"/>
  <c r="X1045" i="16"/>
  <c r="V1045" i="16" s="1"/>
  <c r="W1045" i="16"/>
  <c r="X115" i="16"/>
  <c r="V115" i="16" s="1"/>
  <c r="W115" i="16"/>
  <c r="X314" i="16"/>
  <c r="V314" i="16" s="1"/>
  <c r="W314" i="16"/>
  <c r="X603" i="16"/>
  <c r="V603" i="16" s="1"/>
  <c r="W603" i="16"/>
  <c r="X331" i="16"/>
  <c r="V331" i="16" s="1"/>
  <c r="W331" i="16"/>
  <c r="F10" i="18"/>
  <c r="X54" i="16"/>
  <c r="V54" i="16" s="1"/>
  <c r="W54" i="16"/>
  <c r="W11" i="16"/>
  <c r="X11" i="16"/>
  <c r="V11" i="16" s="1"/>
  <c r="X383" i="16"/>
  <c r="V383" i="16" s="1"/>
  <c r="W383" i="16"/>
  <c r="W776" i="16"/>
  <c r="X776" i="16"/>
  <c r="V776" i="16" s="1"/>
  <c r="X210" i="16"/>
  <c r="V210" i="16" s="1"/>
  <c r="W210" i="16"/>
  <c r="X356" i="16"/>
  <c r="V356" i="16" s="1"/>
  <c r="W356" i="16"/>
  <c r="X405" i="16"/>
  <c r="V405" i="16" s="1"/>
  <c r="W405" i="16"/>
  <c r="F7" i="18"/>
  <c r="X24" i="16"/>
  <c r="V24" i="16" s="1"/>
  <c r="W24" i="16"/>
  <c r="X1080" i="16"/>
  <c r="V1080" i="16" s="1"/>
  <c r="W1080" i="16"/>
  <c r="W727" i="16"/>
  <c r="X727" i="16"/>
  <c r="V727" i="16" s="1"/>
  <c r="X887" i="16"/>
  <c r="V887" i="16" s="1"/>
  <c r="W887" i="16"/>
  <c r="X328" i="16"/>
  <c r="V328" i="16" s="1"/>
  <c r="W328" i="16"/>
  <c r="F16" i="18"/>
  <c r="X648" i="16"/>
  <c r="V648" i="16" s="1"/>
  <c r="W648" i="16"/>
  <c r="X422" i="16"/>
  <c r="V422" i="16" s="1"/>
  <c r="W422" i="16"/>
  <c r="X441" i="16"/>
  <c r="V441" i="16" s="1"/>
  <c r="W441" i="16"/>
  <c r="X198" i="16"/>
  <c r="V198" i="16" s="1"/>
  <c r="W198" i="16"/>
  <c r="X437" i="16"/>
  <c r="V437" i="16" s="1"/>
  <c r="W437" i="16"/>
  <c r="X234" i="16"/>
  <c r="V234" i="16" s="1"/>
  <c r="W234" i="16"/>
  <c r="X247" i="16"/>
  <c r="V247" i="16" s="1"/>
  <c r="W247" i="16"/>
  <c r="X643" i="16"/>
  <c r="V643" i="16" s="1"/>
  <c r="W643" i="16"/>
  <c r="X898" i="16"/>
  <c r="V898" i="16" s="1"/>
  <c r="W898" i="16"/>
  <c r="X961" i="16"/>
  <c r="V961" i="16" s="1"/>
  <c r="W961" i="16"/>
  <c r="X869" i="16"/>
  <c r="V869" i="16" s="1"/>
  <c r="W869" i="16"/>
  <c r="X532" i="16"/>
  <c r="V532" i="16" s="1"/>
  <c r="W532" i="16"/>
  <c r="X242" i="16"/>
  <c r="V242" i="16" s="1"/>
  <c r="W242" i="16"/>
  <c r="X306" i="16"/>
  <c r="V306" i="16" s="1"/>
  <c r="W306" i="16"/>
  <c r="X153" i="16"/>
  <c r="V153" i="16" s="1"/>
  <c r="W153" i="16"/>
  <c r="X808" i="16"/>
  <c r="V808" i="16" s="1"/>
  <c r="W808" i="16"/>
  <c r="X601" i="16"/>
  <c r="V601" i="16" s="1"/>
  <c r="W601" i="16"/>
  <c r="X1115" i="16"/>
  <c r="V1115" i="16" s="1"/>
  <c r="W1115" i="16"/>
  <c r="F21" i="18"/>
  <c r="F10" i="17"/>
  <c r="X207" i="16"/>
  <c r="V207" i="16" s="1"/>
  <c r="W207" i="16"/>
  <c r="X361" i="16"/>
  <c r="V361" i="16" s="1"/>
  <c r="W361" i="16"/>
  <c r="X1006" i="16"/>
  <c r="V1006" i="16" s="1"/>
  <c r="W1006" i="16"/>
  <c r="X374" i="16"/>
  <c r="V374" i="16" s="1"/>
  <c r="W374" i="16"/>
  <c r="X931" i="16"/>
  <c r="V931" i="16" s="1"/>
  <c r="W931" i="16"/>
  <c r="X854" i="16"/>
  <c r="V854" i="16" s="1"/>
  <c r="W854" i="16"/>
  <c r="X407" i="16"/>
  <c r="V407" i="16" s="1"/>
  <c r="W407" i="16"/>
  <c r="X157" i="16"/>
  <c r="V157" i="16" s="1"/>
  <c r="W157" i="16"/>
  <c r="X1116" i="16"/>
  <c r="V1116" i="16" s="1"/>
  <c r="W1116" i="16"/>
  <c r="X870" i="16"/>
  <c r="V870" i="16" s="1"/>
  <c r="W870" i="16"/>
  <c r="X170" i="16"/>
  <c r="V170" i="16" s="1"/>
  <c r="W170" i="16"/>
  <c r="F17" i="18"/>
  <c r="F12" i="17"/>
  <c r="X548" i="16"/>
  <c r="V548" i="16" s="1"/>
  <c r="W548" i="16"/>
  <c r="F24" i="18"/>
  <c r="X918" i="16"/>
  <c r="V918" i="16" s="1"/>
  <c r="W918" i="16"/>
  <c r="X367" i="16"/>
  <c r="V367" i="16" s="1"/>
  <c r="W367" i="16"/>
  <c r="X5" i="16"/>
  <c r="V5" i="16" s="1"/>
  <c r="W5" i="16"/>
  <c r="X667" i="16"/>
  <c r="V667" i="16" s="1"/>
  <c r="W667" i="16"/>
  <c r="X503" i="16"/>
  <c r="V503" i="16" s="1"/>
  <c r="W503" i="16"/>
  <c r="X958" i="16"/>
  <c r="V958" i="16" s="1"/>
  <c r="W958" i="16"/>
  <c r="X119" i="16"/>
  <c r="V119" i="16" s="1"/>
  <c r="W119" i="16"/>
  <c r="X989" i="16"/>
  <c r="V989" i="16" s="1"/>
  <c r="W989" i="16"/>
  <c r="X665" i="16"/>
  <c r="V665" i="16" s="1"/>
  <c r="W665" i="16"/>
  <c r="X273" i="16"/>
  <c r="V273" i="16" s="1"/>
  <c r="W273" i="16"/>
  <c r="X373" i="16"/>
  <c r="V373" i="16" s="1"/>
  <c r="W373" i="16"/>
  <c r="X127" i="16"/>
  <c r="V127" i="16" s="1"/>
  <c r="W127" i="16"/>
  <c r="X156" i="16"/>
  <c r="V156" i="16" s="1"/>
  <c r="W156" i="16"/>
  <c r="X169" i="16"/>
  <c r="V169" i="16" s="1"/>
  <c r="W169" i="16"/>
  <c r="X99" i="16"/>
  <c r="V99" i="16" s="1"/>
  <c r="W99" i="16"/>
  <c r="X440" i="16"/>
  <c r="V440" i="16" s="1"/>
  <c r="W440" i="16"/>
  <c r="X275" i="16"/>
  <c r="V275" i="16" s="1"/>
  <c r="W275" i="16"/>
  <c r="X574" i="16"/>
  <c r="V574" i="16" s="1"/>
  <c r="W574" i="16"/>
  <c r="X550" i="16"/>
  <c r="V550" i="16" s="1"/>
  <c r="W550" i="16"/>
  <c r="X1100" i="16"/>
  <c r="V1100" i="16" s="1"/>
  <c r="W1100" i="16"/>
  <c r="X796" i="16"/>
  <c r="V796" i="16" s="1"/>
  <c r="W796" i="16"/>
  <c r="X413" i="16"/>
  <c r="V413" i="16" s="1"/>
  <c r="W413" i="16"/>
  <c r="X280" i="16"/>
  <c r="V280" i="16" s="1"/>
  <c r="W280" i="16"/>
  <c r="X894" i="16"/>
  <c r="V894" i="16" s="1"/>
  <c r="W894" i="16"/>
  <c r="X789" i="16"/>
  <c r="V789" i="16" s="1"/>
  <c r="W789" i="16"/>
  <c r="X590" i="16"/>
  <c r="V590" i="16" s="1"/>
  <c r="W590" i="16"/>
  <c r="X351" i="16"/>
  <c r="V351" i="16" s="1"/>
  <c r="W351" i="16"/>
  <c r="X432" i="16"/>
  <c r="V432" i="16" s="1"/>
  <c r="W432" i="16"/>
  <c r="X1036" i="16"/>
  <c r="V1036" i="16" s="1"/>
  <c r="W1036" i="16"/>
  <c r="X1068" i="16"/>
  <c r="V1068" i="16" s="1"/>
  <c r="W1068" i="16"/>
  <c r="X689" i="16"/>
  <c r="V689" i="16" s="1"/>
  <c r="W689" i="16"/>
  <c r="X161" i="16"/>
  <c r="V161" i="16" s="1"/>
  <c r="W161" i="16"/>
  <c r="F14" i="17"/>
  <c r="X296" i="16"/>
  <c r="V296" i="16" s="1"/>
  <c r="W296" i="16"/>
  <c r="X343" i="16"/>
  <c r="V343" i="16" s="1"/>
  <c r="W343" i="16"/>
  <c r="X974" i="16"/>
  <c r="V974" i="16" s="1"/>
  <c r="W974" i="16"/>
  <c r="X307" i="16"/>
  <c r="V307" i="16" s="1"/>
  <c r="W307" i="16"/>
  <c r="X755" i="16"/>
  <c r="V755" i="16" s="1"/>
  <c r="W755" i="16"/>
  <c r="X775" i="16"/>
  <c r="V775" i="16" s="1"/>
  <c r="W775" i="16"/>
  <c r="X585" i="16"/>
  <c r="V585" i="16" s="1"/>
  <c r="W585" i="16"/>
  <c r="X634" i="16"/>
  <c r="V634" i="16" s="1"/>
  <c r="W634" i="16"/>
  <c r="X1026" i="16"/>
  <c r="V1026" i="16" s="1"/>
  <c r="W1026" i="16"/>
  <c r="X679" i="16"/>
  <c r="V679" i="16" s="1"/>
  <c r="W679" i="16"/>
  <c r="W965" i="16"/>
  <c r="X965" i="16"/>
  <c r="V965" i="16" s="1"/>
  <c r="X1084" i="16"/>
  <c r="V1084" i="16" s="1"/>
  <c r="W1084" i="16"/>
  <c r="X617" i="16"/>
  <c r="V617" i="16" s="1"/>
  <c r="W617" i="16"/>
  <c r="X942" i="16"/>
  <c r="V942" i="16" s="1"/>
  <c r="W942" i="16"/>
  <c r="X129" i="16"/>
  <c r="V129" i="16" s="1"/>
  <c r="W129" i="16"/>
  <c r="X425" i="16"/>
  <c r="V425" i="16" s="1"/>
  <c r="W425" i="16"/>
  <c r="X289" i="16"/>
  <c r="V289" i="16" s="1"/>
  <c r="W289" i="16"/>
  <c r="X197" i="16"/>
  <c r="V197" i="16" s="1"/>
  <c r="W197" i="16"/>
  <c r="X630" i="16"/>
  <c r="V630" i="16" s="1"/>
  <c r="W630" i="16"/>
  <c r="X218" i="16"/>
  <c r="V218" i="16" s="1"/>
  <c r="W218" i="16"/>
  <c r="X214" i="16"/>
  <c r="V214" i="16" s="1"/>
  <c r="W214" i="16"/>
  <c r="X587" i="16"/>
  <c r="V587" i="16" s="1"/>
  <c r="W587" i="16"/>
  <c r="X981" i="16"/>
  <c r="V981" i="16" s="1"/>
  <c r="W981" i="16"/>
  <c r="X256" i="16"/>
  <c r="V256" i="16" s="1"/>
  <c r="W256" i="16"/>
  <c r="X14" i="16"/>
  <c r="V14" i="16" s="1"/>
  <c r="W14" i="16"/>
  <c r="X626" i="16"/>
  <c r="V626" i="16" s="1"/>
  <c r="W626" i="16"/>
  <c r="X612" i="16"/>
  <c r="V612" i="16" s="1"/>
  <c r="W612" i="16"/>
  <c r="X515" i="16"/>
  <c r="V515" i="16" s="1"/>
  <c r="W515" i="16"/>
  <c r="X694" i="16"/>
  <c r="V694" i="16" s="1"/>
  <c r="W694" i="16"/>
  <c r="F22" i="18"/>
  <c r="X476" i="16"/>
  <c r="V476" i="16" s="1"/>
  <c r="W476" i="16"/>
  <c r="X94" i="16"/>
  <c r="V94" i="16" s="1"/>
  <c r="W94" i="16"/>
  <c r="X1012" i="16"/>
  <c r="V1012" i="16" s="1"/>
  <c r="W1012" i="16"/>
  <c r="X741" i="16"/>
  <c r="V741" i="16" s="1"/>
  <c r="W741" i="16"/>
  <c r="X268" i="16"/>
  <c r="V268" i="16" s="1"/>
  <c r="W268" i="16"/>
  <c r="F5" i="18"/>
  <c r="F6" i="17"/>
  <c r="X1203" i="16"/>
  <c r="V1203" i="16" s="1"/>
  <c r="W1203" i="16"/>
  <c r="X1032" i="16"/>
  <c r="V1032" i="16" s="1"/>
  <c r="W1032" i="16"/>
  <c r="X1234" i="16"/>
  <c r="V1234" i="16" s="1"/>
  <c r="W1234" i="16"/>
  <c r="X765" i="16"/>
  <c r="V765" i="16" s="1"/>
  <c r="W765" i="16"/>
  <c r="X949" i="16"/>
  <c r="V949" i="16" s="1"/>
  <c r="W949" i="16"/>
  <c r="X703" i="16"/>
  <c r="V703" i="16" s="1"/>
  <c r="W703" i="16"/>
  <c r="X819" i="16"/>
  <c r="V819" i="16" s="1"/>
  <c r="W819" i="16"/>
  <c r="X213" i="16"/>
  <c r="V213" i="16" s="1"/>
  <c r="W213" i="16"/>
  <c r="X272" i="16"/>
  <c r="V272" i="16" s="1"/>
  <c r="W272" i="16"/>
  <c r="X1008" i="16"/>
  <c r="V1008" i="16" s="1"/>
  <c r="W1008" i="16"/>
  <c r="X426" i="16"/>
  <c r="V426" i="16" s="1"/>
  <c r="W426" i="16"/>
  <c r="X957" i="16"/>
  <c r="V957" i="16" s="1"/>
  <c r="W957" i="16"/>
  <c r="X919" i="16"/>
  <c r="V919" i="16" s="1"/>
  <c r="W919" i="16"/>
  <c r="X620" i="16"/>
  <c r="V620" i="16" s="1"/>
  <c r="W620" i="16"/>
  <c r="X71" i="16"/>
  <c r="V71" i="16" s="1"/>
  <c r="W71" i="16"/>
  <c r="X621" i="16"/>
  <c r="V621" i="16" s="1"/>
  <c r="W621" i="16"/>
  <c r="X79" i="16"/>
  <c r="V79" i="16" s="1"/>
  <c r="W79" i="16"/>
  <c r="X34" i="16"/>
  <c r="V34" i="16" s="1"/>
  <c r="W34" i="16"/>
  <c r="X507" i="16"/>
  <c r="V507" i="16" s="1"/>
  <c r="W507" i="16"/>
  <c r="X359" i="16"/>
  <c r="V359" i="16" s="1"/>
  <c r="W359" i="16"/>
  <c r="X921" i="16"/>
  <c r="V921" i="16" s="1"/>
  <c r="W921" i="16"/>
  <c r="X66" i="16"/>
  <c r="V66" i="16" s="1"/>
  <c r="W66" i="16"/>
  <c r="X783" i="16"/>
  <c r="V783" i="16" s="1"/>
  <c r="W783" i="16"/>
  <c r="X291" i="16"/>
  <c r="V291" i="16" s="1"/>
  <c r="W291" i="16"/>
  <c r="X876" i="16"/>
  <c r="V876" i="16" s="1"/>
  <c r="W876" i="16"/>
  <c r="X696" i="16"/>
  <c r="V696" i="16" s="1"/>
  <c r="W696" i="16"/>
  <c r="X1051" i="16"/>
  <c r="V1051" i="16" s="1"/>
  <c r="W1051" i="16"/>
  <c r="X830" i="16"/>
  <c r="V830" i="16" s="1"/>
  <c r="W830" i="16"/>
  <c r="X960" i="16"/>
  <c r="V960" i="16" s="1"/>
  <c r="W960" i="16"/>
  <c r="X659" i="16"/>
  <c r="V659" i="16" s="1"/>
  <c r="W659" i="16"/>
  <c r="X811" i="16"/>
  <c r="V811" i="16" s="1"/>
  <c r="W811" i="16"/>
  <c r="X982" i="16"/>
  <c r="V982" i="16" s="1"/>
  <c r="W982" i="16"/>
  <c r="X1235" i="16"/>
  <c r="V1235" i="16" s="1"/>
  <c r="W1235" i="16"/>
  <c r="X792" i="16"/>
  <c r="V792" i="16" s="1"/>
  <c r="W792" i="16"/>
  <c r="X646" i="16"/>
  <c r="V646" i="16" s="1"/>
  <c r="W646" i="16"/>
  <c r="X415" i="16"/>
  <c r="V415" i="16" s="1"/>
  <c r="W415" i="16"/>
  <c r="X1102" i="16"/>
  <c r="V1102" i="16" s="1"/>
  <c r="W1102" i="16"/>
  <c r="X303" i="16"/>
  <c r="V303" i="16" s="1"/>
  <c r="W303" i="16"/>
  <c r="X721" i="16"/>
  <c r="V721" i="16" s="1"/>
  <c r="W721" i="16"/>
  <c r="X435" i="16"/>
  <c r="V435" i="16" s="1"/>
  <c r="W435" i="16"/>
  <c r="X1162" i="16"/>
  <c r="V1162" i="16" s="1"/>
  <c r="W1162" i="16"/>
  <c r="X298" i="16"/>
  <c r="V298" i="16" s="1"/>
  <c r="W298" i="16"/>
  <c r="X841" i="16"/>
  <c r="V841" i="16" s="1"/>
  <c r="W841" i="16"/>
  <c r="X890" i="16"/>
  <c r="V890" i="16" s="1"/>
  <c r="W890" i="16"/>
  <c r="X61" i="16"/>
  <c r="V61" i="16" s="1"/>
  <c r="W61" i="16"/>
  <c r="X246" i="16"/>
  <c r="V246" i="16" s="1"/>
  <c r="W246" i="16"/>
  <c r="X1060" i="16"/>
  <c r="V1060" i="16" s="1"/>
  <c r="W1060" i="16"/>
  <c r="X749" i="16"/>
  <c r="V749" i="16" s="1"/>
  <c r="W749" i="16"/>
  <c r="X138" i="16"/>
  <c r="V138" i="16" s="1"/>
  <c r="W138" i="16"/>
  <c r="X18" i="16"/>
  <c r="V18" i="16" s="1"/>
  <c r="W18" i="16"/>
  <c r="X641" i="16"/>
  <c r="V641" i="16" s="1"/>
  <c r="W641" i="16"/>
  <c r="F11" i="18"/>
  <c r="X344" i="16"/>
  <c r="V344" i="16" s="1"/>
  <c r="W344" i="16"/>
  <c r="X681" i="16"/>
  <c r="V681" i="16" s="1"/>
  <c r="W681" i="16"/>
  <c r="X1057" i="16"/>
  <c r="V1057" i="16" s="1"/>
  <c r="W1057" i="16"/>
  <c r="X173" i="16"/>
  <c r="V173" i="16" s="1"/>
  <c r="W173" i="16"/>
  <c r="X261" i="16"/>
  <c r="V261" i="16" s="1"/>
  <c r="W261" i="16"/>
  <c r="X474" i="16"/>
  <c r="V474" i="16" s="1"/>
  <c r="W474" i="16"/>
  <c r="F4" i="18"/>
  <c r="F5" i="17"/>
  <c r="X624" i="16"/>
  <c r="V624" i="16" s="1"/>
  <c r="W624" i="16"/>
  <c r="X996" i="16"/>
  <c r="V996" i="16" s="1"/>
  <c r="W996" i="16"/>
  <c r="X335" i="16"/>
  <c r="V335" i="16" s="1"/>
  <c r="W335" i="16"/>
  <c r="X1076" i="16"/>
  <c r="V1076" i="16" s="1"/>
  <c r="W1076" i="16"/>
  <c r="X168" i="16"/>
  <c r="V168" i="16" s="1"/>
  <c r="W168" i="16"/>
  <c r="X526" i="16"/>
  <c r="V526" i="16" s="1"/>
  <c r="W526" i="16"/>
  <c r="X499" i="16"/>
  <c r="V499" i="16" s="1"/>
  <c r="W499" i="16"/>
  <c r="X1021" i="16"/>
  <c r="V1021" i="16" s="1"/>
  <c r="W1021" i="16"/>
  <c r="X111" i="16"/>
  <c r="V111" i="16" s="1"/>
  <c r="W111" i="16"/>
  <c r="X912" i="16"/>
  <c r="V912" i="16" s="1"/>
  <c r="W912" i="16"/>
  <c r="X606" i="16"/>
  <c r="V606" i="16" s="1"/>
  <c r="W606" i="16"/>
  <c r="X167" i="16"/>
  <c r="V167" i="16" s="1"/>
  <c r="W167" i="16"/>
  <c r="X742" i="16"/>
  <c r="V742" i="16" s="1"/>
  <c r="W742" i="16"/>
  <c r="X677" i="16"/>
  <c r="V677" i="16" s="1"/>
  <c r="W677" i="16"/>
  <c r="X795" i="16"/>
  <c r="V795" i="16" s="1"/>
  <c r="W795" i="16"/>
  <c r="X297" i="16"/>
  <c r="V297" i="16" s="1"/>
  <c r="W297" i="16"/>
  <c r="X1061" i="16"/>
  <c r="V1061" i="16" s="1"/>
  <c r="W1061" i="16"/>
  <c r="X357" i="16"/>
  <c r="V357" i="16" s="1"/>
  <c r="W357" i="16"/>
  <c r="X596" i="16"/>
  <c r="V596" i="16" s="1"/>
  <c r="W596" i="16"/>
  <c r="X874" i="16"/>
  <c r="V874" i="16" s="1"/>
  <c r="W874" i="16"/>
  <c r="X880" i="16"/>
  <c r="V880" i="16" s="1"/>
  <c r="W880" i="16"/>
  <c r="X725" i="16"/>
  <c r="V725" i="16" s="1"/>
  <c r="W725" i="16"/>
  <c r="X206" i="16"/>
  <c r="V206" i="16" s="1"/>
  <c r="W206" i="16"/>
  <c r="X923" i="16"/>
  <c r="V923" i="16" s="1"/>
  <c r="W923" i="16"/>
  <c r="X556" i="16"/>
  <c r="V556" i="16" s="1"/>
  <c r="W556" i="16"/>
  <c r="X822" i="16"/>
  <c r="V822" i="16" s="1"/>
  <c r="W822" i="16"/>
  <c r="X396" i="16"/>
  <c r="V396" i="16" s="1"/>
  <c r="W396" i="16"/>
  <c r="X1117" i="16"/>
  <c r="V1117" i="16" s="1"/>
  <c r="W1117" i="16"/>
  <c r="X605" i="16"/>
  <c r="V605" i="16" s="1"/>
  <c r="W605" i="16"/>
  <c r="X76" i="16"/>
  <c r="V76" i="16" s="1"/>
  <c r="W76" i="16"/>
  <c r="X861" i="16"/>
  <c r="V861" i="16" s="1"/>
  <c r="W861" i="16"/>
  <c r="X186" i="16"/>
  <c r="V186" i="16" s="1"/>
  <c r="W186" i="16"/>
  <c r="X834" i="16"/>
  <c r="V834" i="16" s="1"/>
  <c r="W834" i="16"/>
  <c r="X349" i="16"/>
  <c r="V349" i="16" s="1"/>
  <c r="W349" i="16"/>
  <c r="X885" i="16"/>
  <c r="V885" i="16" s="1"/>
  <c r="W885" i="16"/>
  <c r="X567" i="16"/>
  <c r="V567" i="16" s="1"/>
  <c r="W567" i="16"/>
  <c r="X30" i="16"/>
  <c r="V30" i="16" s="1"/>
  <c r="W30" i="16"/>
  <c r="X1014" i="16"/>
  <c r="V1014" i="16" s="1"/>
  <c r="W1014" i="16"/>
  <c r="X1017" i="16"/>
  <c r="V1017" i="16" s="1"/>
  <c r="W1017" i="16"/>
  <c r="X113" i="16"/>
  <c r="V113" i="16" s="1"/>
  <c r="W113" i="16"/>
  <c r="X935" i="16"/>
  <c r="V935" i="16" s="1"/>
  <c r="W935" i="16"/>
  <c r="X443" i="16"/>
  <c r="V443" i="16" s="1"/>
  <c r="W443" i="16"/>
  <c r="X419" i="16"/>
  <c r="V419" i="16" s="1"/>
  <c r="W419" i="16"/>
  <c r="X684" i="16"/>
  <c r="V684" i="16" s="1"/>
  <c r="W684" i="16"/>
  <c r="X1092" i="16"/>
  <c r="V1092" i="16" s="1"/>
  <c r="W1092" i="16"/>
  <c r="X313" i="16"/>
  <c r="V313" i="16" s="1"/>
  <c r="W313" i="16"/>
  <c r="X200" i="16"/>
  <c r="V200" i="16" s="1"/>
  <c r="W200" i="16"/>
  <c r="X897" i="16"/>
  <c r="V897" i="16" s="1"/>
  <c r="W897" i="16"/>
  <c r="X631" i="16"/>
  <c r="V631" i="16" s="1"/>
  <c r="W631" i="16"/>
  <c r="X221" i="16"/>
  <c r="V221" i="16" s="1"/>
  <c r="W221" i="16"/>
  <c r="X720" i="16"/>
  <c r="V720" i="16" s="1"/>
  <c r="W720" i="16"/>
  <c r="X480" i="16"/>
  <c r="V480" i="16" s="1"/>
  <c r="W480" i="16"/>
  <c r="X147" i="16"/>
  <c r="V147" i="16" s="1"/>
  <c r="W147" i="16"/>
  <c r="X517" i="16"/>
  <c r="V517" i="16" s="1"/>
  <c r="W517" i="16"/>
  <c r="X146" i="16"/>
  <c r="V146" i="16" s="1"/>
  <c r="W146" i="16"/>
  <c r="X1112" i="16"/>
  <c r="V1112" i="16" s="1"/>
  <c r="W1112" i="16"/>
  <c r="X932" i="16"/>
  <c r="V932" i="16" s="1"/>
  <c r="W932" i="16"/>
  <c r="X486" i="16"/>
  <c r="V486" i="16" s="1"/>
  <c r="W486" i="16"/>
  <c r="X698" i="16"/>
  <c r="V698" i="16" s="1"/>
  <c r="W698" i="16"/>
  <c r="X12" i="16"/>
  <c r="V12" i="16" s="1"/>
  <c r="W12" i="16"/>
  <c r="X966" i="16"/>
  <c r="V966" i="16" s="1"/>
  <c r="W966" i="16"/>
  <c r="X227" i="16"/>
  <c r="V227" i="16" s="1"/>
  <c r="W227" i="16"/>
  <c r="X285" i="16"/>
  <c r="V285" i="16" s="1"/>
  <c r="W285" i="16"/>
  <c r="X900" i="16"/>
  <c r="V900" i="16" s="1"/>
  <c r="W900" i="16"/>
  <c r="X282" i="16"/>
  <c r="V282" i="16" s="1"/>
  <c r="W282" i="16"/>
  <c r="F23" i="18"/>
  <c r="F9" i="17"/>
  <c r="X886" i="16"/>
  <c r="V886" i="16" s="1"/>
  <c r="W886" i="16"/>
  <c r="X1081" i="16"/>
  <c r="V1081" i="16" s="1"/>
  <c r="W1081" i="16"/>
  <c r="X946" i="16"/>
  <c r="V946" i="16" s="1"/>
  <c r="W946" i="16"/>
  <c r="X1088" i="16"/>
  <c r="V1088" i="16" s="1"/>
  <c r="W1088" i="16"/>
  <c r="X7" i="16"/>
  <c r="V7" i="16" s="1"/>
  <c r="W7" i="16"/>
  <c r="X95" i="16"/>
  <c r="V95" i="16" s="1"/>
  <c r="W95" i="16"/>
  <c r="X682" i="16"/>
  <c r="V682" i="16" s="1"/>
  <c r="W682" i="16"/>
  <c r="F8" i="18"/>
  <c r="X102" i="16"/>
  <c r="V102" i="16" s="1"/>
  <c r="W102" i="16"/>
  <c r="X233" i="16"/>
  <c r="V233" i="16" s="1"/>
  <c r="W233" i="16"/>
  <c r="X802" i="16"/>
  <c r="V802" i="16" s="1"/>
  <c r="W802" i="16"/>
  <c r="W32" i="16"/>
  <c r="X32" i="16"/>
  <c r="V32" i="16" s="1"/>
  <c r="X937" i="16"/>
  <c r="V937" i="16" s="1"/>
  <c r="W937" i="16"/>
  <c r="F11" i="17"/>
  <c r="F20" i="18"/>
  <c r="X82" i="16"/>
  <c r="V82" i="16" s="1"/>
  <c r="W82" i="16"/>
  <c r="X582" i="16"/>
  <c r="V582" i="16" s="1"/>
  <c r="W582" i="16"/>
  <c r="X839" i="16"/>
  <c r="V839" i="16" s="1"/>
  <c r="W839" i="16"/>
  <c r="X254" i="16"/>
  <c r="V254" i="16" s="1"/>
  <c r="W254" i="16"/>
  <c r="X448" i="16"/>
  <c r="V448" i="16" s="1"/>
  <c r="W448" i="16"/>
  <c r="X588" i="16"/>
  <c r="V588" i="16" s="1"/>
  <c r="W588" i="16"/>
  <c r="X892" i="16"/>
  <c r="V892" i="16" s="1"/>
  <c r="W892" i="16"/>
  <c r="X259" i="16"/>
  <c r="V259" i="16" s="1"/>
  <c r="W259" i="16"/>
  <c r="X936" i="16"/>
  <c r="V936" i="16" s="1"/>
  <c r="W936" i="16"/>
  <c r="X1038" i="16"/>
  <c r="V1038" i="16" s="1"/>
  <c r="W1038" i="16"/>
  <c r="X475" i="16"/>
  <c r="V475" i="16" s="1"/>
  <c r="W475" i="16"/>
  <c r="X613" i="16"/>
  <c r="V613" i="16" s="1"/>
  <c r="W613" i="16"/>
  <c r="W1029" i="16"/>
  <c r="X1029" i="16"/>
  <c r="V1029" i="16" s="1"/>
  <c r="X248" i="16"/>
  <c r="V248" i="16" s="1"/>
  <c r="W248" i="16"/>
  <c r="X145" i="16"/>
  <c r="V145" i="16" s="1"/>
  <c r="W145" i="16"/>
  <c r="X579" i="16"/>
  <c r="V579" i="16" s="1"/>
  <c r="W579" i="16"/>
  <c r="X759" i="16"/>
  <c r="V759" i="16" s="1"/>
  <c r="W759" i="16"/>
  <c r="X653" i="16"/>
  <c r="V653" i="16" s="1"/>
  <c r="W653" i="16"/>
  <c r="X493" i="16"/>
  <c r="V493" i="16" s="1"/>
  <c r="W493" i="16"/>
  <c r="X1065" i="16"/>
  <c r="V1065" i="16" s="1"/>
  <c r="W1065" i="16"/>
  <c r="X219" i="16"/>
  <c r="V219" i="16" s="1"/>
  <c r="W219" i="16"/>
  <c r="X768" i="16"/>
  <c r="V768" i="16" s="1"/>
  <c r="W768" i="16"/>
  <c r="X595" i="16"/>
  <c r="V595" i="16" s="1"/>
  <c r="W595" i="16"/>
  <c r="X160" i="16"/>
  <c r="V160" i="16" s="1"/>
  <c r="W160" i="16"/>
  <c r="X670" i="16"/>
  <c r="V670" i="16" s="1"/>
  <c r="W670" i="16"/>
  <c r="X1097" i="16"/>
  <c r="V1097" i="16" s="1"/>
  <c r="W1097" i="16"/>
  <c r="X414" i="16"/>
  <c r="V414" i="16" s="1"/>
  <c r="W414" i="16"/>
  <c r="X470" i="16"/>
  <c r="V470" i="16" s="1"/>
  <c r="W470" i="16"/>
  <c r="X864" i="16"/>
  <c r="V864" i="16" s="1"/>
  <c r="W864" i="16"/>
  <c r="X772" i="16"/>
  <c r="V772" i="16" s="1"/>
  <c r="W772" i="16"/>
  <c r="X999" i="16"/>
  <c r="V999" i="16" s="1"/>
  <c r="W999" i="16"/>
  <c r="X274" i="16"/>
  <c r="V274" i="16" s="1"/>
  <c r="W274" i="16"/>
  <c r="X690" i="16"/>
  <c r="V690" i="16" s="1"/>
  <c r="W690" i="16"/>
  <c r="X245" i="16"/>
  <c r="V245" i="16" s="1"/>
  <c r="W245" i="16"/>
  <c r="X103" i="16"/>
  <c r="V103" i="16" s="1"/>
  <c r="W103" i="16"/>
  <c r="X394" i="16"/>
  <c r="V394" i="16" s="1"/>
  <c r="W394" i="16"/>
  <c r="X70" i="16"/>
  <c r="V70" i="16" s="1"/>
  <c r="W70" i="16"/>
  <c r="X1028" i="16"/>
  <c r="V1028" i="16" s="1"/>
  <c r="W1028" i="16"/>
  <c r="X938" i="16"/>
  <c r="V938" i="16" s="1"/>
  <c r="W938" i="16"/>
  <c r="X757" i="16"/>
  <c r="V757" i="16" s="1"/>
  <c r="W757" i="16"/>
  <c r="X512" i="16"/>
  <c r="V512" i="16" s="1"/>
  <c r="W512" i="16"/>
  <c r="X828" i="16"/>
  <c r="V828" i="16" s="1"/>
  <c r="W828" i="16"/>
  <c r="X266" i="16"/>
  <c r="V266" i="16" s="1"/>
  <c r="W266" i="16"/>
  <c r="X600" i="16"/>
  <c r="V600" i="16" s="1"/>
  <c r="W600" i="16"/>
  <c r="X523" i="16"/>
  <c r="V523" i="16" s="1"/>
  <c r="W523" i="16"/>
  <c r="X895" i="16"/>
  <c r="V895" i="16" s="1"/>
  <c r="W895" i="16"/>
  <c r="X903" i="16"/>
  <c r="V903" i="16" s="1"/>
  <c r="W903" i="16"/>
  <c r="X442" i="16"/>
  <c r="V442" i="16" s="1"/>
  <c r="W442" i="16"/>
  <c r="X573" i="16"/>
  <c r="V573" i="16" s="1"/>
  <c r="W573" i="16"/>
  <c r="X557" i="16"/>
  <c r="V557" i="16" s="1"/>
  <c r="W557" i="16"/>
  <c r="X671" i="16"/>
  <c r="V671" i="16" s="1"/>
  <c r="W671" i="16"/>
  <c r="F9" i="18"/>
  <c r="X664" i="16"/>
  <c r="V664" i="16" s="1"/>
  <c r="W664" i="16"/>
  <c r="X452" i="16"/>
  <c r="V452" i="16" s="1"/>
  <c r="W452" i="16"/>
  <c r="W1077" i="16"/>
  <c r="X1077" i="16"/>
  <c r="V1077" i="16" s="1"/>
  <c r="X81" i="16"/>
  <c r="V81" i="16" s="1"/>
  <c r="W81" i="16"/>
  <c r="X183" i="16"/>
  <c r="V183" i="16" s="1"/>
  <c r="W183" i="16"/>
  <c r="X26" i="16"/>
  <c r="V26" i="16" s="1"/>
  <c r="W26" i="16"/>
  <c r="X625" i="16"/>
  <c r="V625" i="16" s="1"/>
  <c r="W625" i="16"/>
  <c r="X502" i="16"/>
  <c r="V502" i="16" s="1"/>
  <c r="W502" i="16"/>
  <c r="X35" i="16"/>
  <c r="V35" i="16" s="1"/>
  <c r="W35" i="16"/>
  <c r="X211" i="16"/>
  <c r="V211" i="16" s="1"/>
  <c r="W211" i="16"/>
  <c r="X899" i="16"/>
  <c r="V899" i="16" s="1"/>
  <c r="W899" i="16"/>
  <c r="X951" i="16"/>
  <c r="V951" i="16" s="1"/>
  <c r="W951" i="16"/>
  <c r="X569" i="16"/>
  <c r="V569" i="16" s="1"/>
  <c r="W569" i="16"/>
  <c r="X1001" i="16"/>
  <c r="V1001" i="16" s="1"/>
  <c r="W1001" i="16"/>
  <c r="X434" i="16"/>
  <c r="V434" i="16" s="1"/>
  <c r="W434" i="16"/>
  <c r="X483" i="16"/>
  <c r="V483" i="16" s="1"/>
  <c r="W483" i="16"/>
  <c r="X312" i="16"/>
  <c r="V312" i="16" s="1"/>
  <c r="W312" i="16"/>
  <c r="X650" i="16"/>
  <c r="V650" i="16" s="1"/>
  <c r="W650" i="16"/>
  <c r="X786" i="16"/>
  <c r="V786" i="16" s="1"/>
  <c r="W786" i="16"/>
  <c r="F13" i="17"/>
  <c r="X528" i="16"/>
  <c r="V528" i="16" s="1"/>
  <c r="W528" i="16"/>
  <c r="X202" i="16"/>
  <c r="V202" i="16" s="1"/>
  <c r="W202" i="16"/>
  <c r="X37" i="16"/>
  <c r="V37" i="16" s="1"/>
  <c r="W37" i="16"/>
  <c r="X151" i="16"/>
  <c r="V151" i="16" s="1"/>
  <c r="W151" i="16"/>
  <c r="X645" i="16"/>
  <c r="V645" i="16" s="1"/>
  <c r="W645" i="16"/>
  <c r="X766" i="16"/>
  <c r="V766" i="16" s="1"/>
  <c r="W766" i="16"/>
  <c r="X859" i="16"/>
  <c r="V859" i="16" s="1"/>
  <c r="W859" i="16"/>
  <c r="X997" i="16"/>
  <c r="V997" i="16" s="1"/>
  <c r="W997" i="16"/>
  <c r="X591" i="16"/>
  <c r="V591" i="16" s="1"/>
  <c r="W591" i="16"/>
  <c r="X1035" i="16"/>
  <c r="V1035" i="16" s="1"/>
  <c r="W1035" i="16"/>
  <c r="X713" i="16"/>
  <c r="V713" i="16" s="1"/>
  <c r="W713" i="16"/>
  <c r="X65" i="16"/>
  <c r="V65" i="16" s="1"/>
  <c r="W65" i="16"/>
  <c r="X39" i="16"/>
  <c r="V39" i="16" s="1"/>
  <c r="W39" i="16"/>
  <c r="X205" i="16"/>
  <c r="V205" i="16" s="1"/>
  <c r="W205" i="16"/>
  <c r="X733" i="16"/>
  <c r="V733" i="16" s="1"/>
  <c r="W733" i="16"/>
  <c r="X337" i="16"/>
  <c r="V337" i="16" s="1"/>
  <c r="W337" i="16"/>
  <c r="X1016" i="16"/>
  <c r="V1016" i="16" s="1"/>
  <c r="W1016" i="16"/>
  <c r="X657" i="16"/>
  <c r="V657" i="16" s="1"/>
  <c r="W657" i="16"/>
  <c r="X988" i="16"/>
  <c r="V988" i="16" s="1"/>
  <c r="W988" i="16"/>
  <c r="W365" i="16"/>
  <c r="X365" i="16"/>
  <c r="V365" i="16" s="1"/>
  <c r="X1039" i="16"/>
  <c r="V1039" i="16" s="1"/>
  <c r="W1039" i="16"/>
  <c r="X311" i="16"/>
  <c r="V311" i="16" s="1"/>
  <c r="W311" i="16"/>
  <c r="X1098" i="16"/>
  <c r="V1098" i="16" s="1"/>
  <c r="W1098" i="16"/>
  <c r="X1037" i="16"/>
  <c r="V1037" i="16" s="1"/>
  <c r="W1037" i="16"/>
  <c r="X239" i="16"/>
  <c r="V239" i="16" s="1"/>
  <c r="W239" i="16"/>
  <c r="W134" i="16"/>
  <c r="X134" i="16"/>
  <c r="V134" i="16" s="1"/>
  <c r="X355" i="16"/>
  <c r="V355" i="16" s="1"/>
  <c r="W355" i="16"/>
  <c r="Z8" i="3"/>
  <c r="Y14" i="3"/>
  <c r="Y8" i="3"/>
  <c r="Z9" i="3"/>
  <c r="Z12" i="3"/>
  <c r="Z3" i="3"/>
  <c r="Y3" i="3"/>
  <c r="Z4" i="3"/>
  <c r="Z5" i="3"/>
  <c r="Y4" i="3"/>
  <c r="Y5" i="3"/>
  <c r="Z6" i="3"/>
  <c r="Y6" i="3"/>
  <c r="Z7" i="3"/>
  <c r="Y7" i="3"/>
  <c r="Y9" i="3"/>
  <c r="Z10" i="3"/>
  <c r="Y10" i="3"/>
  <c r="Z11" i="3"/>
  <c r="Y11" i="3"/>
  <c r="Y12" i="3"/>
  <c r="Z13" i="3"/>
  <c r="Y13" i="3"/>
  <c r="Z14" i="3"/>
  <c r="X6" i="3"/>
  <c r="X7" i="3"/>
  <c r="X8" i="3"/>
  <c r="X10" i="3"/>
  <c r="X11" i="3"/>
  <c r="X12" i="3"/>
  <c r="X13" i="3"/>
  <c r="X14" i="3"/>
  <c r="X4" i="3"/>
  <c r="X3" i="3"/>
  <c r="X9" i="3"/>
  <c r="X5" i="3"/>
  <c r="W48" i="29" l="1"/>
  <c r="T48" i="29"/>
  <c r="U48" i="29"/>
  <c r="T9" i="29"/>
  <c r="U9" i="29"/>
  <c r="W9" i="29"/>
  <c r="T30" i="29"/>
  <c r="W30" i="29"/>
  <c r="U30" i="29"/>
  <c r="T8" i="29"/>
  <c r="U8" i="29"/>
  <c r="W8" i="29"/>
  <c r="U20" i="29"/>
  <c r="W20" i="29"/>
  <c r="T20" i="29"/>
  <c r="T25" i="29"/>
  <c r="U25" i="29"/>
  <c r="W25" i="29"/>
  <c r="U42" i="29"/>
  <c r="W42" i="29"/>
  <c r="T42" i="29"/>
  <c r="T19" i="29"/>
  <c r="U19" i="29"/>
  <c r="W19" i="29"/>
  <c r="T16" i="29"/>
  <c r="W16" i="29"/>
  <c r="U16" i="29"/>
  <c r="T29" i="29"/>
  <c r="W29" i="29"/>
  <c r="U29" i="29"/>
  <c r="W32" i="29"/>
  <c r="U32" i="29"/>
  <c r="T32" i="29"/>
  <c r="T12" i="29"/>
  <c r="W12" i="29"/>
  <c r="U12" i="29"/>
  <c r="T11" i="29"/>
  <c r="U11" i="29"/>
  <c r="W11" i="29"/>
  <c r="U39" i="29"/>
  <c r="W39" i="29"/>
  <c r="T39" i="29"/>
  <c r="U21" i="29"/>
  <c r="T21" i="29"/>
  <c r="W21" i="29"/>
  <c r="T28" i="29"/>
  <c r="W28" i="29"/>
  <c r="U28" i="29"/>
  <c r="T17" i="29"/>
  <c r="U17" i="29"/>
  <c r="W17" i="29"/>
  <c r="T24" i="29"/>
  <c r="U24" i="29"/>
  <c r="W24" i="29"/>
  <c r="W40" i="29"/>
  <c r="T40" i="29"/>
  <c r="U40" i="29"/>
  <c r="U57" i="29"/>
  <c r="W57" i="29"/>
  <c r="T57" i="29"/>
  <c r="U36" i="29"/>
  <c r="W36" i="29"/>
  <c r="T36" i="29"/>
  <c r="W7" i="29"/>
  <c r="T7" i="29"/>
  <c r="U7" i="29"/>
  <c r="U6" i="29"/>
  <c r="W6" i="29"/>
  <c r="T6" i="29"/>
  <c r="W5" i="29"/>
  <c r="U5" i="29"/>
  <c r="T5" i="29"/>
  <c r="Y24" i="18"/>
  <c r="AA24" i="18"/>
  <c r="X24" i="18"/>
  <c r="AA27" i="18"/>
  <c r="Y27" i="18"/>
  <c r="X27" i="18"/>
  <c r="Y5" i="17"/>
  <c r="X5" i="17"/>
  <c r="AA5" i="17"/>
  <c r="Y16" i="18"/>
  <c r="X16" i="18"/>
  <c r="AA16" i="18"/>
  <c r="X7" i="18"/>
  <c r="Y7" i="18"/>
  <c r="AA7" i="18"/>
  <c r="AA12" i="18"/>
  <c r="X12" i="18"/>
  <c r="Y12" i="18"/>
  <c r="Y14" i="17"/>
  <c r="AA14" i="17"/>
  <c r="X14" i="17"/>
  <c r="Y17" i="18"/>
  <c r="X17" i="18"/>
  <c r="AA17" i="18"/>
  <c r="X8" i="18"/>
  <c r="AA8" i="18"/>
  <c r="Y8" i="18"/>
  <c r="X12" i="17"/>
  <c r="Y12" i="17"/>
  <c r="AA12" i="17"/>
  <c r="AA22" i="18"/>
  <c r="X22" i="18"/>
  <c r="Y22" i="18"/>
  <c r="X10" i="17"/>
  <c r="AA10" i="17"/>
  <c r="AA3" i="17"/>
  <c r="Y3" i="17"/>
  <c r="X3" i="17"/>
  <c r="X21" i="18"/>
  <c r="Y21" i="18"/>
  <c r="AA21" i="18"/>
  <c r="X11" i="17"/>
  <c r="AA11" i="17"/>
  <c r="Y11" i="17"/>
  <c r="Y26" i="18"/>
  <c r="X26" i="18"/>
  <c r="AA26" i="18"/>
  <c r="AA13" i="18"/>
  <c r="Y13" i="18"/>
  <c r="X13" i="18"/>
  <c r="X9" i="17"/>
  <c r="Y9" i="17"/>
  <c r="AA9" i="17"/>
  <c r="Y20" i="18"/>
  <c r="AA20" i="18"/>
  <c r="X20" i="18"/>
  <c r="X10" i="18"/>
  <c r="AA10" i="18"/>
  <c r="Y10" i="18"/>
  <c r="AA11" i="18"/>
  <c r="Y11" i="18"/>
  <c r="X11" i="18"/>
  <c r="X4" i="18"/>
  <c r="Y4" i="18"/>
  <c r="AA4" i="18"/>
  <c r="Y10" i="17"/>
  <c r="AA13" i="17"/>
  <c r="Y13" i="17"/>
  <c r="X13" i="17"/>
  <c r="Y6" i="17"/>
  <c r="AA6" i="17"/>
  <c r="X6" i="17"/>
  <c r="Y4" i="17"/>
  <c r="AA4" i="17"/>
  <c r="X4" i="17"/>
  <c r="AA8" i="17"/>
  <c r="X8" i="17"/>
  <c r="X23" i="18"/>
  <c r="Y23" i="18"/>
  <c r="AA23" i="18"/>
  <c r="AA9" i="18"/>
  <c r="Y9" i="18"/>
  <c r="X9" i="18"/>
  <c r="AA5" i="18"/>
  <c r="X5" i="18"/>
  <c r="Y5" i="18"/>
  <c r="AA25" i="18"/>
  <c r="Y25" i="18"/>
  <c r="X25" i="18"/>
</calcChain>
</file>

<file path=xl/sharedStrings.xml><?xml version="1.0" encoding="utf-8"?>
<sst xmlns="http://schemas.openxmlformats.org/spreadsheetml/2006/main" count="3762" uniqueCount="1512">
  <si>
    <t>id</t>
  </si>
  <si>
    <t>name</t>
  </si>
  <si>
    <t>structure_order</t>
  </si>
  <si>
    <t>parent_id</t>
  </si>
  <si>
    <t>113</t>
  </si>
  <si>
    <t>124</t>
  </si>
  <si>
    <t>143</t>
  </si>
  <si>
    <t>146</t>
  </si>
  <si>
    <t>152</t>
  </si>
  <si>
    <t>170</t>
  </si>
  <si>
    <t>171</t>
  </si>
  <si>
    <t>172</t>
  </si>
  <si>
    <t>175</t>
  </si>
  <si>
    <t>177</t>
  </si>
  <si>
    <t>178</t>
  </si>
  <si>
    <t>179</t>
  </si>
  <si>
    <t>180</t>
  </si>
  <si>
    <t>183</t>
  </si>
  <si>
    <t>184</t>
  </si>
  <si>
    <t>200</t>
  </si>
  <si>
    <t>207</t>
  </si>
  <si>
    <t>background</t>
  </si>
  <si>
    <t>Tuberomammillary nucleus, ventral part</t>
  </si>
  <si>
    <t>Primary somatosensory area, mouth, layer 6b</t>
  </si>
  <si>
    <t>Inferior colliculus</t>
  </si>
  <si>
    <t>internal capsule</t>
  </si>
  <si>
    <t>Principal sensory nucleus of the trigeminal</t>
  </si>
  <si>
    <t>Primary somatosensory area, trunk, layer 6a</t>
  </si>
  <si>
    <t>Superior colliculus, motor related, intermediate gray layer</t>
  </si>
  <si>
    <t>Parataenial nucleus</t>
  </si>
  <si>
    <t>Superior colliculus, motor related, intermediate white layer</t>
  </si>
  <si>
    <t>Induseum griseum</t>
  </si>
  <si>
    <t>Anterior amygdalar area</t>
  </si>
  <si>
    <t>Superior colliculus, motor related, deep gray layer</t>
  </si>
  <si>
    <t>Intergeniculate leaflet of the lateral geniculate complex</t>
  </si>
  <si>
    <t>Anterior cingulate area</t>
  </si>
  <si>
    <t>Primary visual area, layer 6a</t>
  </si>
  <si>
    <t>Oculomotor nucleus</t>
  </si>
  <si>
    <t>Gustatory areas, layer 1</t>
  </si>
  <si>
    <t>Paraventricular hypothalamic nucleus</t>
  </si>
  <si>
    <t>posteromedial visual area, layer 2/3</t>
  </si>
  <si>
    <t>Superior colliculus, motor related, deep white layer</t>
  </si>
  <si>
    <t>Infralimbic area</t>
  </si>
  <si>
    <t>Precommissural nucleus</t>
  </si>
  <si>
    <t>Nucleus accumbens</t>
  </si>
  <si>
    <t>medial longitudinal fascicle</t>
  </si>
  <si>
    <t>Paraventricular hypothalamic nucleus, descending division</t>
  </si>
  <si>
    <t>Anterodorsal nucleus</t>
  </si>
  <si>
    <t>Lateral terminal nucleus of the accessory optic tract</t>
  </si>
  <si>
    <t>Interstitial nucleus of Cajal</t>
  </si>
  <si>
    <t>Frontal pole, layer 1</t>
  </si>
  <si>
    <t>Anterodorsal preoptic nucleus</t>
  </si>
  <si>
    <t>ventricular systems</t>
  </si>
  <si>
    <t>Lateral visual area, layer 6a</t>
  </si>
  <si>
    <t>middle cerebellar peduncle</t>
  </si>
  <si>
    <t>lateral ventricle</t>
  </si>
  <si>
    <t>Inferior olivary complex</t>
  </si>
  <si>
    <t>Prelimbic area, layer 6a</t>
  </si>
  <si>
    <t>Anterior hypothalamic nucleus</t>
  </si>
  <si>
    <t>Interposed nucleus</t>
  </si>
  <si>
    <t>motor root of the trigeminal nerve</t>
  </si>
  <si>
    <t>Dorsal cochlear nucleus</t>
  </si>
  <si>
    <t>Temporal association areas, layer 1</t>
  </si>
  <si>
    <t>Interpeduncular nucleus</t>
  </si>
  <si>
    <t>Ventral cochlear nucleus</t>
  </si>
  <si>
    <t>Agranular insular area, dorsal part</t>
  </si>
  <si>
    <t>Superior olivary complex, medial part</t>
  </si>
  <si>
    <t>Inferior salivatory nucleus</t>
  </si>
  <si>
    <t>Primary somatosensory area, lower limb, layer 2/3</t>
  </si>
  <si>
    <t>Superior olivary complex, lateral part</t>
  </si>
  <si>
    <t>Trochlear nucleus</t>
  </si>
  <si>
    <t>optic chiasm</t>
  </si>
  <si>
    <t>Periventricular hypothalamic nucleus, intermediate part</t>
  </si>
  <si>
    <t>Agranular insular area, posterior part, layer 1</t>
  </si>
  <si>
    <t>Lateral visual area, layer 6b</t>
  </si>
  <si>
    <t>Superior olivary complex, periolivary region</t>
  </si>
  <si>
    <t>optic tract</t>
  </si>
  <si>
    <t>Periventricular hypothalamic nucleus, posterior part</t>
  </si>
  <si>
    <t>Anteromedial nucleus</t>
  </si>
  <si>
    <t>Midbrain reticular nucleus</t>
  </si>
  <si>
    <t>third ventricle</t>
  </si>
  <si>
    <t>Lateral amygdalar nucleus</t>
  </si>
  <si>
    <t>Prelimbic area, layer 6b</t>
  </si>
  <si>
    <t>Periventricular hypothalamic nucleus, preoptic part</t>
  </si>
  <si>
    <t>Intermediate reticular nucleus</t>
  </si>
  <si>
    <t>cerebral aqueduct</t>
  </si>
  <si>
    <t>Nucleus ambiguus, ventral division</t>
  </si>
  <si>
    <t>fourth ventricle</t>
  </si>
  <si>
    <t>Pontine reticular nucleus</t>
  </si>
  <si>
    <t>Locus ceruleus</t>
  </si>
  <si>
    <t>Gustatory areas, layer 4</t>
  </si>
  <si>
    <t>lateral recess</t>
  </si>
  <si>
    <t>Lateral dorsal nucleus of thalamus</t>
  </si>
  <si>
    <t>Dorsal auditory area, layer 6a</t>
  </si>
  <si>
    <t>posterior commissure</t>
  </si>
  <si>
    <t>Anterior olfactory nucleus</t>
  </si>
  <si>
    <t>Laterodorsal tegmental nucleus</t>
  </si>
  <si>
    <t>Agranular insular area, posterior part, layer 2/3</t>
  </si>
  <si>
    <t>central canal, spinal cord/medulla</t>
  </si>
  <si>
    <t>Nucleus prepositus</t>
  </si>
  <si>
    <t>Dorsal part of the lateral geniculate complex</t>
  </si>
  <si>
    <t>Prelimbic area, layer 1</t>
  </si>
  <si>
    <t>Retrochiasmatic area</t>
  </si>
  <si>
    <t>Nucleus of Roller</t>
  </si>
  <si>
    <t>Ventral part of the lateral geniculate complex</t>
  </si>
  <si>
    <t>Gustatory areas, layer 2/3</t>
  </si>
  <si>
    <t>Nucleus of reunions</t>
  </si>
  <si>
    <t>Lateral habenula</t>
  </si>
  <si>
    <t>Gustatory areas, layer 5</t>
  </si>
  <si>
    <t>Accessory olfactory bulb, glomerular layer</t>
  </si>
  <si>
    <t>Rhomboid nucleus</t>
  </si>
  <si>
    <t>pyramid</t>
  </si>
  <si>
    <t>Lateral hypothalamic area</t>
  </si>
  <si>
    <t>Accessory olfactory bulb, granular layer</t>
  </si>
  <si>
    <t>Primary somatosensory area, barrel field, layer 2/3</t>
  </si>
  <si>
    <t>Medial vestibular nucleus</t>
  </si>
  <si>
    <t>Linear nucleus of the medulla</t>
  </si>
  <si>
    <t>Accessory olfactory bulb, mitral layer</t>
  </si>
  <si>
    <t>Area postrema</t>
  </si>
  <si>
    <t>Lateral vestibular nucleus</t>
  </si>
  <si>
    <t>Lateral mammillary nucleus</t>
  </si>
  <si>
    <t>Anterior cingulate area, dorsal part, layer 2/3</t>
  </si>
  <si>
    <t>Red nucleus</t>
  </si>
  <si>
    <t>Anterior pretectal nucleus</t>
  </si>
  <si>
    <t>Superior vestibular nucleus</t>
  </si>
  <si>
    <t>Lateral posterior nucleus of the thalamus</t>
  </si>
  <si>
    <t>Arcuate hypothalamic nucleus</t>
  </si>
  <si>
    <t>Spinal vestibular nucleus</t>
  </si>
  <si>
    <t>Lateral preoptic area</t>
  </si>
  <si>
    <t>Anterior tegmental nucleus</t>
  </si>
  <si>
    <t>Anterolateral visual area, layer 5</t>
  </si>
  <si>
    <t>Temporal association areas, layer 4</t>
  </si>
  <si>
    <t>Lateral reticular nucleus</t>
  </si>
  <si>
    <t>solitary tract</t>
  </si>
  <si>
    <t>Dorsal auditory area, layer 6b</t>
  </si>
  <si>
    <t>Midbrain reticular nucleus, retrorubral area</t>
  </si>
  <si>
    <t>Posterior auditory area, layer 6a</t>
  </si>
  <si>
    <t>Lateral septal nucleus, caudal (caudodorsal) part</t>
  </si>
  <si>
    <t>Primary auditory area, layer 2/3</t>
  </si>
  <si>
    <t>Dorsal auditory area, layer 5</t>
  </si>
  <si>
    <t>Retrosplenial area</t>
  </si>
  <si>
    <t>Anteroventral nucleus of thalamus</t>
  </si>
  <si>
    <t>posteromedial visual area, layer 6a</t>
  </si>
  <si>
    <t>Lateral septal nucleus, rostral (rostroventral) part</t>
  </si>
  <si>
    <t>Nucleus of the lateral olfactory tract, molecular layer</t>
  </si>
  <si>
    <t>Reticular nucleus of the thalamus</t>
  </si>
  <si>
    <t>Anteroventral preoptic nucleus</t>
  </si>
  <si>
    <t>Lateral septal nucleus, ventral part</t>
  </si>
  <si>
    <t>Posterolateral visual area, layer 2/3</t>
  </si>
  <si>
    <t>Nucleus sagulum</t>
  </si>
  <si>
    <t>Anteroventral periventricular nucleus</t>
  </si>
  <si>
    <t>Retrosplenial area, dorsal part, layer 6a</t>
  </si>
  <si>
    <t>Striatum-like amygdalar nuclei</t>
  </si>
  <si>
    <t>Retrosplenial area, lateral agranular part, layer 6b</t>
  </si>
  <si>
    <t>Barrington's nucleus</t>
  </si>
  <si>
    <t>Anteromedial visual area, layer 1</t>
  </si>
  <si>
    <t>Bed nucleus of the anterior commissure</t>
  </si>
  <si>
    <t>Orbital area, ventrolateral part, layer 2/3</t>
  </si>
  <si>
    <t>Temporal association areas, layer 5</t>
  </si>
  <si>
    <t>Bed nucleus of the accessory olfactory tract</t>
  </si>
  <si>
    <t>Basolateral amygdalar nucleus</t>
  </si>
  <si>
    <t>Anterior cingulate area, ventral part, layer 2/3</t>
  </si>
  <si>
    <t>Magnocellular nucleus</t>
  </si>
  <si>
    <t>stria terminalis</t>
  </si>
  <si>
    <t>Basolateral amygdalar nucleus, anterior part</t>
  </si>
  <si>
    <t>Prelimbic area, layer 2/3</t>
  </si>
  <si>
    <t>Primary visual area, layer 6b</t>
  </si>
  <si>
    <t>Magnocellular reticular nucleus</t>
  </si>
  <si>
    <t>Septofimbrial nucleus</t>
  </si>
  <si>
    <t>Basolateral amygdalar nucleus, posterior part</t>
  </si>
  <si>
    <t>Midbrain</t>
  </si>
  <si>
    <t>Agranular insular area, posterior part, layer 6a</t>
  </si>
  <si>
    <t>Supragenual nucleus</t>
  </si>
  <si>
    <t>Basomedial amygdalar nucleus</t>
  </si>
  <si>
    <t>Primary motor area, Layer 1</t>
  </si>
  <si>
    <t>Subgeniculate nucleus</t>
  </si>
  <si>
    <t>Suprageniculate nucleus</t>
  </si>
  <si>
    <t>superior cerebelar peduncles</t>
  </si>
  <si>
    <t>Agranular insular area, dorsal part, layer 2/3</t>
  </si>
  <si>
    <t>Retrosplenial area, dorsal part, layer 6b</t>
  </si>
  <si>
    <t>Accessory supraoptic group</t>
  </si>
  <si>
    <t>Septohippocampal nucleus</t>
  </si>
  <si>
    <t>Perirhinal area, layer 6a</t>
  </si>
  <si>
    <t>supramammillary decussation</t>
  </si>
  <si>
    <t>Substantia innominata</t>
  </si>
  <si>
    <t>Agranular insular area, posterior part, layer 5</t>
  </si>
  <si>
    <t>Subparaventricular zone</t>
  </si>
  <si>
    <t>Subceruleus nucleus</t>
  </si>
  <si>
    <t>Bed nuclei of the stria terminalis</t>
  </si>
  <si>
    <t>Medulla</t>
  </si>
  <si>
    <t>Preparasubthalamic nucleus</t>
  </si>
  <si>
    <t>Sublaterodorsal nucleus</t>
  </si>
  <si>
    <t>Mediodorsal nucleus of thalamus</t>
  </si>
  <si>
    <t>Prelimbic area, layer 5</t>
  </si>
  <si>
    <t>Parasubthalamic nucleus</t>
  </si>
  <si>
    <t>Submedial nucleus of the thalamus</t>
  </si>
  <si>
    <t>Perirhinal area, layer 6b</t>
  </si>
  <si>
    <t>Infracerebellar nucleus</t>
  </si>
  <si>
    <t>Substantia nigra, compact part</t>
  </si>
  <si>
    <t>Posterolateral visual area, layer 6a</t>
  </si>
  <si>
    <t>cuneate fascicle</t>
  </si>
  <si>
    <t>Substantia nigra, reticular part</t>
  </si>
  <si>
    <t>Field CA1</t>
  </si>
  <si>
    <t>Supraoptic nucleus</t>
  </si>
  <si>
    <t>Posterolateral visual area, layer 6b</t>
  </si>
  <si>
    <t>ventral tegmental decussation</t>
  </si>
  <si>
    <t>Anteromedial visual area, layer 4</t>
  </si>
  <si>
    <t>Medial amygdalar nucleus</t>
  </si>
  <si>
    <t>Orbital area, lateral part, layer 2/3</t>
  </si>
  <si>
    <t>vestibular nerve</t>
  </si>
  <si>
    <t>Subparafascicular nucleus, magnocellular part</t>
  </si>
  <si>
    <t>Lateral visual area, layer 1</t>
  </si>
  <si>
    <t>Subparafascicular nucleus, parvicellular part</t>
  </si>
  <si>
    <t>Field CA2</t>
  </si>
  <si>
    <t>Ectorhinal area/Layer 2/3</t>
  </si>
  <si>
    <t>Spinal nucleus of the trigeminal, caudal part</t>
  </si>
  <si>
    <t>Retrosplenial area, ventral part, layer 2/3</t>
  </si>
  <si>
    <t>Anteromedial visual area, layer 5</t>
  </si>
  <si>
    <t>Retrosplenial area, dorsal part, layer 2/3</t>
  </si>
  <si>
    <t>columns of the fornix</t>
  </si>
  <si>
    <t>Spinal nucleus of the trigeminal, interpolar part</t>
  </si>
  <si>
    <t>Orbital area, lateral part, layer 6a</t>
  </si>
  <si>
    <t>Anteromedial visual area, layer 6b</t>
  </si>
  <si>
    <t>Retrosplenial area, dorsal part, layer 1</t>
  </si>
  <si>
    <t>dorsal hippocampal commissure</t>
  </si>
  <si>
    <t>Spinal nucleus of the trigeminal, oral part</t>
  </si>
  <si>
    <t>Orbital area, lateral part, layer 1</t>
  </si>
  <si>
    <t>ventral hippocampal commissure</t>
  </si>
  <si>
    <t>Primary somatosensory area, upper limb, layer 1</t>
  </si>
  <si>
    <t>Basolateral amygdalar nucleus, ventral part</t>
  </si>
  <si>
    <t>Median preoptic nucleus</t>
  </si>
  <si>
    <t>Posterior auditory area, layer 6b</t>
  </si>
  <si>
    <t>Midbrain trigeminal nucleus</t>
  </si>
  <si>
    <t>Primary somatosensory area, trunk, layer 6b</t>
  </si>
  <si>
    <t>Field CA3</t>
  </si>
  <si>
    <t>alveus</t>
  </si>
  <si>
    <t>posteromedial visual area, layer 6b</t>
  </si>
  <si>
    <t>Subthalamic nucleus</t>
  </si>
  <si>
    <t>Medial geniculate complex</t>
  </si>
  <si>
    <t>Striatum</t>
  </si>
  <si>
    <t>Primary somatosensory area, lower limb, layer 6a</t>
  </si>
  <si>
    <t>brachium of the inferior colliculus</t>
  </si>
  <si>
    <t>Medial habenula</t>
  </si>
  <si>
    <t>Orbital area, medial part, layer 1</t>
  </si>
  <si>
    <t>Orbital area, lateral part, layer 6b</t>
  </si>
  <si>
    <t>Medial mammillary nucleus</t>
  </si>
  <si>
    <t>Superior colliculus, motor related, intermediate gray layer, sublayer a</t>
  </si>
  <si>
    <t>posteromedial visual area, layer 4</t>
  </si>
  <si>
    <t>Subiculum</t>
  </si>
  <si>
    <t>Superior colliculus, motor related, intermediate gray layer, sublayer b</t>
  </si>
  <si>
    <t>Main olfactory bulb</t>
  </si>
  <si>
    <t>Primary somatosensory area, lower limb, layer 6b</t>
  </si>
  <si>
    <t>Superior colliculus, motor related, intermediate gray layer, sublayer c</t>
  </si>
  <si>
    <t>Medial preoptic nucleus</t>
  </si>
  <si>
    <t>Ventral auditory area, layer 6a</t>
  </si>
  <si>
    <t>Medial preoptic area</t>
  </si>
  <si>
    <t>Supramammillary nucleus</t>
  </si>
  <si>
    <t>Dorsal auditory area, layer 1</t>
  </si>
  <si>
    <t>dorsal fornix</t>
  </si>
  <si>
    <t>Medial pretectal area</t>
  </si>
  <si>
    <t>Supratrigeminal nucleus</t>
  </si>
  <si>
    <t>Central amygdalar nucleus</t>
  </si>
  <si>
    <t>Perirhinal area, layer 1</t>
  </si>
  <si>
    <t>Retrosplenial area, ventral part, layer 1</t>
  </si>
  <si>
    <t>Retrosplenial area, dorsal part, layer 4</t>
  </si>
  <si>
    <t>Thalamus</t>
  </si>
  <si>
    <t>Infralimbic area, layer 2/3</t>
  </si>
  <si>
    <t>Primary somatosensory area, nose, layer 1</t>
  </si>
  <si>
    <t>Medial septal nucleus</t>
  </si>
  <si>
    <t>posteromedial visual area, layer 5</t>
  </si>
  <si>
    <t>Postpiriform transition area</t>
  </si>
  <si>
    <t>Lateral visual area, layer 4</t>
  </si>
  <si>
    <t>Tegmental reticular nucleus</t>
  </si>
  <si>
    <t>Central lateral nucleus of the thalamus</t>
  </si>
  <si>
    <t>Accessory facial motor nucleus</t>
  </si>
  <si>
    <t>Primary somatosensory area, upper limb, layer 4</t>
  </si>
  <si>
    <t>Nucleus of the brachium of the inferior colliculus</t>
  </si>
  <si>
    <t>Triangular nucleus of septum</t>
  </si>
  <si>
    <t>Orbital area, medial part, layer 2/3</t>
  </si>
  <si>
    <t>Claustrum</t>
  </si>
  <si>
    <t>Nucleus of Darkschewitsch</t>
  </si>
  <si>
    <t>Anterior cingulate area, ventral part, layer 1</t>
  </si>
  <si>
    <t>Taenia tecta</t>
  </si>
  <si>
    <t>Retrosplenial area, ventral part, layer 6a</t>
  </si>
  <si>
    <t>Primary visual area, layer 1</t>
  </si>
  <si>
    <t>fasciculus retroflexus</t>
  </si>
  <si>
    <t>Diagonal band nucleus</t>
  </si>
  <si>
    <t>Ventral auditory area, layer 6b</t>
  </si>
  <si>
    <t>Central medial nucleus of the thalamus</t>
  </si>
  <si>
    <t>Dorsal auditory area, layer 2/3</t>
  </si>
  <si>
    <t>Anterolateral visual area, layer 6a</t>
  </si>
  <si>
    <t>fimbria</t>
  </si>
  <si>
    <t>Nucleus incertus</t>
  </si>
  <si>
    <t>Orbital area, ventrolateral part, layer 6a</t>
  </si>
  <si>
    <t>Subparafascicular area</t>
  </si>
  <si>
    <t>Retrosplenial area, dorsal part, layer 5</t>
  </si>
  <si>
    <t>habenular commissure</t>
  </si>
  <si>
    <t>Nucleus of the lateral lemniscus</t>
  </si>
  <si>
    <t>Lateral visual area, layer 5</t>
  </si>
  <si>
    <t>Tuberal nucleus</t>
  </si>
  <si>
    <t>Cuneiform nucleus</t>
  </si>
  <si>
    <t>Orbital area, medial part, layer 5</t>
  </si>
  <si>
    <t>Motor nucleus of trigeminal</t>
  </si>
  <si>
    <t>Retrosplenial area, ventral part, layer 6b</t>
  </si>
  <si>
    <t>Primary somatosensory area, upper limb, layer 5</t>
  </si>
  <si>
    <t>Nucleus of the optic tract</t>
  </si>
  <si>
    <t>Ventral anterior-lateral complex of the thalamus</t>
  </si>
  <si>
    <t>Orbital area, lateral part, layer 5</t>
  </si>
  <si>
    <t>Dentate gyrus, granule cell layer</t>
  </si>
  <si>
    <t>inferior colliculus commissure</t>
  </si>
  <si>
    <t>Nucleus of the posterior commissure</t>
  </si>
  <si>
    <t>Gustatory areas, layer 6a</t>
  </si>
  <si>
    <t>Cortical amygdalar area, anterior part</t>
  </si>
  <si>
    <t>Nucleus of the trapezoid body</t>
  </si>
  <si>
    <t>Posterior auditory area, layer 2/3</t>
  </si>
  <si>
    <t>Cortical amygdalar area, posterior part</t>
  </si>
  <si>
    <t>Primary motor area, Layer 5</t>
  </si>
  <si>
    <t>Anterolateral visual area, layer 6b</t>
  </si>
  <si>
    <t>Nucleus of the solitary tract</t>
  </si>
  <si>
    <t>Abducens nucleus</t>
  </si>
  <si>
    <t>Primary somatosensory area, nose, layer 4</t>
  </si>
  <si>
    <t>Secondary motor area, layer 1</t>
  </si>
  <si>
    <t>Primary somatosensory area, mouth, layer 2/3</t>
  </si>
  <si>
    <t>lateral lemniscus</t>
  </si>
  <si>
    <t>Facial motor nucleus</t>
  </si>
  <si>
    <t>Gustatory areas, layer 6b</t>
  </si>
  <si>
    <t>lateral olfactory tract, body</t>
  </si>
  <si>
    <t>Frontal pole, layer 2/3</t>
  </si>
  <si>
    <t>Primary somatosensory area, trunk, layer 2/3</t>
  </si>
  <si>
    <t>Retrosplenial area, lateral agranular part, layer 1</t>
  </si>
  <si>
    <t>Caudoputamen</t>
  </si>
  <si>
    <t>mammillary peduncle</t>
  </si>
  <si>
    <t>Agranular insular area, ventral part, layer 6a</t>
  </si>
  <si>
    <t>Dorsal auditory area, layer 4</t>
  </si>
  <si>
    <t>Orbital area, ventrolateral part, layer 6b</t>
  </si>
  <si>
    <t>mammillotegmental tract</t>
  </si>
  <si>
    <t>Ventral medial nucleus of the thalamus</t>
  </si>
  <si>
    <t>Retrosplenial area, ventral part, layer 5</t>
  </si>
  <si>
    <t>Ventrolateral preoptic nucleus</t>
  </si>
  <si>
    <t>mammilothalmic tract</t>
  </si>
  <si>
    <t>Perirhinal area, layer 5</t>
  </si>
  <si>
    <t>Ventromedial hypothalamic nucleus</t>
  </si>
  <si>
    <t>Agranular insular area, ventral part, layer 2/3</t>
  </si>
  <si>
    <t>Posterior auditory area, layer 1</t>
  </si>
  <si>
    <t>medial lemniscus</t>
  </si>
  <si>
    <t>Olfactory areas</t>
  </si>
  <si>
    <t>Primary somatosensory area, nose, layer 5</t>
  </si>
  <si>
    <t>Cortical subplate</t>
  </si>
  <si>
    <t>Agranular insular area, ventral part, layer 1</t>
  </si>
  <si>
    <t>midbrain tract of the trigeminal nerve</t>
  </si>
  <si>
    <t>Olivary pretectal nucleus</t>
  </si>
  <si>
    <t>Infralimbic area, layer 1</t>
  </si>
  <si>
    <t>Cuneate nucleus</t>
  </si>
  <si>
    <t>Ventral posterolateral nucleus of the thalamus</t>
  </si>
  <si>
    <t>Primary visual area, layer 4</t>
  </si>
  <si>
    <t>Ventral posterolateral nucleus of the thalamus, parvicellular part</t>
  </si>
  <si>
    <t>Dentate gyrus</t>
  </si>
  <si>
    <t>arbor vitae</t>
  </si>
  <si>
    <t>Temporal association areas, layer 6a</t>
  </si>
  <si>
    <t>Ventral posteromedial nucleus of the thalamus</t>
  </si>
  <si>
    <t>Primary auditory area, layer 1</t>
  </si>
  <si>
    <t>Ventral posteromedial nucleus of the thalamus, parvicellular part</t>
  </si>
  <si>
    <t>Ventral tegmental area</t>
  </si>
  <si>
    <t>Posterolateral visual area, layer 1</t>
  </si>
  <si>
    <t>Olfactory tubercle</t>
  </si>
  <si>
    <t>Ventral auditory area, layer 2/3</t>
  </si>
  <si>
    <t>Ventral tegmental nucleus</t>
  </si>
  <si>
    <t>Posterior auditory area, layer 4</t>
  </si>
  <si>
    <t>Nucleus x</t>
  </si>
  <si>
    <t>Secondary motor area, layer 5</t>
  </si>
  <si>
    <t>Pons</t>
  </si>
  <si>
    <t>Anterior cingulate area, ventral part, layer 5</t>
  </si>
  <si>
    <t>Hypoglossal nucleus</t>
  </si>
  <si>
    <t>Retrosplenial area, lateral agranular part, layer 5</t>
  </si>
  <si>
    <t>corpus callosum</t>
  </si>
  <si>
    <t>Primary visual area, layer 5</t>
  </si>
  <si>
    <t>Posterior amygdalar nucleus</t>
  </si>
  <si>
    <t>Nucleus y</t>
  </si>
  <si>
    <t>Agranular insular area, dorsal part, layer 6a</t>
  </si>
  <si>
    <t>corticospinal tract</t>
  </si>
  <si>
    <t>Temporal association areas, layer 6b</t>
  </si>
  <si>
    <t>Piriform-amygdalar area</t>
  </si>
  <si>
    <t>Posterior auditory area, layer 5</t>
  </si>
  <si>
    <t>spinal tract of the trigeminal nerve</t>
  </si>
  <si>
    <t>Periaqueductal gray</t>
  </si>
  <si>
    <t>Zona incerta</t>
  </si>
  <si>
    <t>facial nerve</t>
  </si>
  <si>
    <t>Agranular insular area, ventral part, layer 5</t>
  </si>
  <si>
    <t>stria medullaris</t>
  </si>
  <si>
    <t>Pallidum</t>
  </si>
  <si>
    <t>Fields of Forel</t>
  </si>
  <si>
    <t>posteromedial visual area, layer 1</t>
  </si>
  <si>
    <t>Supplemental somatosensory area, layer 2/3</t>
  </si>
  <si>
    <t>Anterior cingulate area, ventral part, 6a</t>
  </si>
  <si>
    <t>Dorsal peduncular area</t>
  </si>
  <si>
    <t>Primary auditory area, layer 4</t>
  </si>
  <si>
    <t>Anterior cingulate area, ventral part, 6b</t>
  </si>
  <si>
    <t>Primary visual area, layer 2/3</t>
  </si>
  <si>
    <t>Infralimbic area, layer 5</t>
  </si>
  <si>
    <t>Dorsomedial nucleus of the hypothalamus</t>
  </si>
  <si>
    <t>Agranular insular area, dorsal part, layer 6b</t>
  </si>
  <si>
    <t>Ectorhinal area/Layer 1</t>
  </si>
  <si>
    <t>Primary somatosensory area, nose, layer 2/3</t>
  </si>
  <si>
    <t>Dorsal motor nucleus of the vagus nerve</t>
  </si>
  <si>
    <t>trapezoid body</t>
  </si>
  <si>
    <t>Superior colliculus, superficial gray layer</t>
  </si>
  <si>
    <t>Parasubiculum</t>
  </si>
  <si>
    <t>Primary motor area, Layer 6a</t>
  </si>
  <si>
    <t>Dentate nucleus</t>
  </si>
  <si>
    <t>Primary auditory area, layer 5</t>
  </si>
  <si>
    <t>Visceral area, layer 6b</t>
  </si>
  <si>
    <t>Superior colliculus, optic layer</t>
  </si>
  <si>
    <t>Parvicellular reticular nucleus</t>
  </si>
  <si>
    <t>Primary somatosensory area, upper limb, layer 2/3</t>
  </si>
  <si>
    <t>Visceral area, layer 6a</t>
  </si>
  <si>
    <t>Parasolitary nucleus</t>
  </si>
  <si>
    <t>Supplemental somatosensory area, layer 6a</t>
  </si>
  <si>
    <t>rubrospinal tract</t>
  </si>
  <si>
    <t>Parabrachial nucleus</t>
  </si>
  <si>
    <t>Posterolateral visual area, layer 4</t>
  </si>
  <si>
    <t>Supplemental somatosensory area, layer 1</t>
  </si>
  <si>
    <t>Parabigeminal nucleus</t>
  </si>
  <si>
    <t>tectospinal pathway</t>
  </si>
  <si>
    <t>Primary somatosensory area, mouth, layer 1</t>
  </si>
  <si>
    <t>Dorsal tegmental nucleus</t>
  </si>
  <si>
    <t>Primary motor area, Layer 6b</t>
  </si>
  <si>
    <t>amygdalar capsule</t>
  </si>
  <si>
    <t>Perirhinal area, layer 2/3</t>
  </si>
  <si>
    <t>Primary somatosensory area, nose, layer 6a</t>
  </si>
  <si>
    <t>Supplemental somatosensory area, layer 6b</t>
  </si>
  <si>
    <t>Retrosplenial area, lateral agranular part</t>
  </si>
  <si>
    <t>Ectorhinal area</t>
  </si>
  <si>
    <t>Visceral area, layer 1</t>
  </si>
  <si>
    <t>Pontine central gray</t>
  </si>
  <si>
    <t>anterior commissure, olfactory limb</t>
  </si>
  <si>
    <t>Posterolateral visual area, layer 5</t>
  </si>
  <si>
    <t>External cuneate nucleus</t>
  </si>
  <si>
    <t>Anterolateral visual area, layer 2/3</t>
  </si>
  <si>
    <t>Retrosplenial area, lateral agranular part, layer 6a</t>
  </si>
  <si>
    <t>Paracentral nucleus</t>
  </si>
  <si>
    <t>anterior commissure, temporal limb</t>
  </si>
  <si>
    <t>Orbital area, medial part, layer 6a</t>
  </si>
  <si>
    <t>trochlear nerve</t>
  </si>
  <si>
    <t>Lingula (I)</t>
  </si>
  <si>
    <t>Posterodorsal preoptic nucleus</t>
  </si>
  <si>
    <t>Entorhinal area, lateral part</t>
  </si>
  <si>
    <t>Anterior cingulate area, dorsal part, layer 6a</t>
  </si>
  <si>
    <t>Central lobule</t>
  </si>
  <si>
    <t>cerebal peduncle</t>
  </si>
  <si>
    <t>Entorhinal area, medial part, dorsal zone</t>
  </si>
  <si>
    <t>Anterior cingulate area, dorsal part, layer 6b</t>
  </si>
  <si>
    <t>Culmen</t>
  </si>
  <si>
    <t>Primary somatosensory area, nose, layer 6b</t>
  </si>
  <si>
    <t>Parafascicular nucleus</t>
  </si>
  <si>
    <t>Pontine gray</t>
  </si>
  <si>
    <t>Entorhinal area, medial part, ventral zone</t>
  </si>
  <si>
    <t>Anterior cingulate area, dorsal part, layer 1</t>
  </si>
  <si>
    <t>Declive (VI)</t>
  </si>
  <si>
    <t>Nucleus ambiguus, dorsal division</t>
  </si>
  <si>
    <t>cingulum bundle</t>
  </si>
  <si>
    <t>Primary motor area, Layer 2/3</t>
  </si>
  <si>
    <t>Folium-tuber vermis (VII)</t>
  </si>
  <si>
    <t>Primary somatosensory area, upper limb, layer 6a</t>
  </si>
  <si>
    <t>Posterior hypothalamic nucleus</t>
  </si>
  <si>
    <t>vomeronasal nerve</t>
  </si>
  <si>
    <t>Primary somatosensory area, mouth, layer 4</t>
  </si>
  <si>
    <t>Pyramus (VIII)</t>
  </si>
  <si>
    <t>Endopiriform nucleus, dorsal part</t>
  </si>
  <si>
    <t>Primary auditory area, layer 6a</t>
  </si>
  <si>
    <t>Uvula (IX)</t>
  </si>
  <si>
    <t>Ventral auditory area, layer 1</t>
  </si>
  <si>
    <t>Piriform area</t>
  </si>
  <si>
    <t>Secondary motor area, layer 2/3</t>
  </si>
  <si>
    <t>Retrosplenial area, lateral agranular part, layer 2/3</t>
  </si>
  <si>
    <t>Endopiriform nucleus, ventral part</t>
  </si>
  <si>
    <t>Nodulus (X)</t>
  </si>
  <si>
    <t>Orbital area, ventrolateral part, layer 1</t>
  </si>
  <si>
    <t>Paragigantocellular reticular nucleus, dorsal part</t>
  </si>
  <si>
    <t>Prelimbic area</t>
  </si>
  <si>
    <t>Lateral visual area, layer 2/3</t>
  </si>
  <si>
    <t>Primary somatosensory area, mouth, layer 5</t>
  </si>
  <si>
    <t>Ectorhinal area/Layer 6a</t>
  </si>
  <si>
    <t>Paragigantocellular reticular nucleus, lateral part</t>
  </si>
  <si>
    <t>Dorsal premammillary nucleus</t>
  </si>
  <si>
    <t>Primary somatosensory area, barrel field, layer 1</t>
  </si>
  <si>
    <t>Fasciola cinerea</t>
  </si>
  <si>
    <t>Primary motor area</t>
  </si>
  <si>
    <t>Ectorhinal area/Layer 5</t>
  </si>
  <si>
    <t>Fastigial nucleus</t>
  </si>
  <si>
    <t>Ventral auditory area, layer 4</t>
  </si>
  <si>
    <t>Agranular insular area, dorsal part, layer 1</t>
  </si>
  <si>
    <t>root</t>
  </si>
  <si>
    <t>Fundus of striatum</t>
  </si>
  <si>
    <t>Ventral premammillary nucleus</t>
  </si>
  <si>
    <t>Primary auditory area, layer 6b</t>
  </si>
  <si>
    <t>Primary somatosensory area, trunk, layer 1</t>
  </si>
  <si>
    <t>Simple lobule</t>
  </si>
  <si>
    <t>fiber tracts</t>
  </si>
  <si>
    <t>Visceral area, layer 4</t>
  </si>
  <si>
    <t>Anterior cingulate area, dorsal part, layer 5</t>
  </si>
  <si>
    <t>olfactory nerve layer of main olfactory bulb</t>
  </si>
  <si>
    <t>Ansiform lobule</t>
  </si>
  <si>
    <t>Posterior complex of the thalamus</t>
  </si>
  <si>
    <t>Secondary motor area, layer 6a</t>
  </si>
  <si>
    <t>Globus pallidus, external segment</t>
  </si>
  <si>
    <t>Ventral auditory area, layer 5</t>
  </si>
  <si>
    <t>Paramedian lobule</t>
  </si>
  <si>
    <t>Primary somatosensory area, upper limb, layer 6b</t>
  </si>
  <si>
    <t>Posterior limiting nucleus of the thalamus</t>
  </si>
  <si>
    <t>Primary somatosensory area, lower limb, layer 1</t>
  </si>
  <si>
    <t>Globus pallidus, internal segment</t>
  </si>
  <si>
    <t>Copula pyramidis</t>
  </si>
  <si>
    <t>Supplemental somatosensory area, layer 4</t>
  </si>
  <si>
    <t>Postsubiculum</t>
  </si>
  <si>
    <t>Primary somatosensory area, barrel field, layer 6a</t>
  </si>
  <si>
    <t>Gracile nucleus</t>
  </si>
  <si>
    <t>Paraflocculus</t>
  </si>
  <si>
    <t>Peripeduncular nucleus</t>
  </si>
  <si>
    <t>Ectorhinal area/Layer 6b</t>
  </si>
  <si>
    <t>Anteromedial visual area, layer 6a</t>
  </si>
  <si>
    <t>Primary somatosensory area, barrel field, layer 4</t>
  </si>
  <si>
    <t>Gigantocellular reticular nucleus</t>
  </si>
  <si>
    <t>Flocculus</t>
  </si>
  <si>
    <t>Pedunculopontine nucleus</t>
  </si>
  <si>
    <t>Infralimbic area, layer 6a</t>
  </si>
  <si>
    <t>Visceral area, layer 5</t>
  </si>
  <si>
    <t>doral tegmental decussation</t>
  </si>
  <si>
    <t>Posterior pretectal nucleus</t>
  </si>
  <si>
    <t>Primary somatosensory area, barrel field, layer 6b</t>
  </si>
  <si>
    <t>Anteromedial visual area, layer 2/3</t>
  </si>
  <si>
    <t>Parapyramidal nucleus</t>
  </si>
  <si>
    <t>Anterolateral visual area, layer 1</t>
  </si>
  <si>
    <t>Perireunensis nucleus</t>
  </si>
  <si>
    <t>Infralimbic area, layer 6b</t>
  </si>
  <si>
    <t>Presubiculum</t>
  </si>
  <si>
    <t>Secondary motor area, layer 6b</t>
  </si>
  <si>
    <t>Primary somatosensory area, trunk, layer 4</t>
  </si>
  <si>
    <t>Hippocampal formation</t>
  </si>
  <si>
    <t>Supplemental somatosensory area, layer 5</t>
  </si>
  <si>
    <t>external medullary lamina of the thalamus</t>
  </si>
  <si>
    <t>Pontine reticular nucleus, caudal part</t>
  </si>
  <si>
    <t>Primary somatosensory area, lower limb, layer 4</t>
  </si>
  <si>
    <t>Hypothalamus</t>
  </si>
  <si>
    <t>Medullary reticular nucleus, dorsal part</t>
  </si>
  <si>
    <t>Agranular insular area, dorsal part, layer 5</t>
  </si>
  <si>
    <t>Primary somatosensory area, mouth, layer 6a</t>
  </si>
  <si>
    <t>Intercalated amygdalar nucleus</t>
  </si>
  <si>
    <t>Visceral area, layer 2/3</t>
  </si>
  <si>
    <t>Medullary reticular nucleus, ventral part</t>
  </si>
  <si>
    <t>Parastrial nucleus</t>
  </si>
  <si>
    <t>Primary somatosensory area, trunk, layer 5</t>
  </si>
  <si>
    <t>Interanterodorsal nucleus of the thalamus</t>
  </si>
  <si>
    <t>Anterolateral visual area, layer 4</t>
  </si>
  <si>
    <t>Interanteromedial nucleus of the thalamus</t>
  </si>
  <si>
    <t>inferior cerebellar peduncle</t>
  </si>
  <si>
    <t>Orbital area, ventrolateral part, layer 5</t>
  </si>
  <si>
    <t>Tuberomammillary nucleus, dorsal part</t>
  </si>
  <si>
    <t>Temporal association areas, layer 2/3</t>
  </si>
  <si>
    <t>Primary somatosensory area, lower limb, layer 5</t>
  </si>
  <si>
    <t>Nucleus of the lateral olfactory tract, layer 3</t>
  </si>
  <si>
    <t>Dentate gyrus, molecular layer</t>
  </si>
  <si>
    <t>Dentate gyrus, polymorph layer</t>
  </si>
  <si>
    <t>Unlabeled</t>
  </si>
  <si>
    <t>Field CA1 ventral</t>
  </si>
  <si>
    <t>Field CA2 ventral</t>
  </si>
  <si>
    <t>Field CA3 ventral</t>
  </si>
  <si>
    <t>Dentate gyrus, granule cell layer ventral</t>
  </si>
  <si>
    <t>Dentate gyrus ventral</t>
  </si>
  <si>
    <t>Dentate gyrus, subgranular zone ventral</t>
  </si>
  <si>
    <t>dCA1</t>
  </si>
  <si>
    <t>dCA3</t>
  </si>
  <si>
    <t>dDG</t>
  </si>
  <si>
    <t>vCA1</t>
  </si>
  <si>
    <t>vCA3</t>
  </si>
  <si>
    <t>vDG</t>
  </si>
  <si>
    <t>RSP</t>
  </si>
  <si>
    <t>ACC</t>
  </si>
  <si>
    <t>PL</t>
  </si>
  <si>
    <t>IL</t>
  </si>
  <si>
    <t>CeA</t>
  </si>
  <si>
    <t>BLA</t>
  </si>
  <si>
    <t>Group</t>
  </si>
  <si>
    <t>T-test</t>
  </si>
  <si>
    <t>Gem 0</t>
  </si>
  <si>
    <t>Gem 1</t>
  </si>
  <si>
    <t>secondary fissure</t>
  </si>
  <si>
    <t>Basic cell groups and regions</t>
  </si>
  <si>
    <t>posterolateral fissure</t>
  </si>
  <si>
    <t>Interfascicular nucleus raphÈ</t>
  </si>
  <si>
    <t>internal medullary lamina of the thalamus</t>
  </si>
  <si>
    <t>Layer 6b, isocortex</t>
  </si>
  <si>
    <t>nodular fissure</t>
  </si>
  <si>
    <t>Entorhinal area, lateral part, layer 2</t>
  </si>
  <si>
    <t>lateral olfactory tract, general</t>
  </si>
  <si>
    <t>Posterior parietal association areas</t>
  </si>
  <si>
    <t>simple fissure</t>
  </si>
  <si>
    <t>Entorhinal area, lateral part, layer 6a</t>
  </si>
  <si>
    <t>lateral spinothalamic tract</t>
  </si>
  <si>
    <t>Periventricular hypothalamic nucleus, anterior part</t>
  </si>
  <si>
    <t>intercrural fissure</t>
  </si>
  <si>
    <t>longitudinal association bundle</t>
  </si>
  <si>
    <t>Anterior cingulate area, dorsal part</t>
  </si>
  <si>
    <t>ansoparamedian fissure</t>
  </si>
  <si>
    <t>Spinal nucleus of the trigeminal, oral part, rostral dorsomedial part</t>
  </si>
  <si>
    <t>mammillary related</t>
  </si>
  <si>
    <t>Paraventricular hypothalamic nucleus, magnocellular division, anterior magnocellular part</t>
  </si>
  <si>
    <t>Anterior cingulate area, ventral part</t>
  </si>
  <si>
    <t>intraparafloccular fissure</t>
  </si>
  <si>
    <t>Intralaminar nuclei of the dorsal thalamus</t>
  </si>
  <si>
    <t>Entorhinal area, lateral part, layer 3</t>
  </si>
  <si>
    <t>Spinal nucleus of the trigeminal, oral part, middle dorsomedial part, dorsal zone</t>
  </si>
  <si>
    <t>medial forebrain bundle</t>
  </si>
  <si>
    <t>Paraventricular hypothalamic nucleus, parvicellular division, anterior parvicellular part</t>
  </si>
  <si>
    <t>paramedian sulcus</t>
  </si>
  <si>
    <t>Medial terminal nucleus of the accessory optic tract</t>
  </si>
  <si>
    <t>Intermediodorsal nucleus of the thalamus</t>
  </si>
  <si>
    <t>Entorhinal area, lateral part, layer 6b</t>
  </si>
  <si>
    <t>Spinal nucleus of the trigeminal, oral part, middle dorsomedial part, ventral zone</t>
  </si>
  <si>
    <t>parafloccular sulcus</t>
  </si>
  <si>
    <t>Spinal nucleus of the trigeminal, oral part, ventrolateral part</t>
  </si>
  <si>
    <t>midbrain related</t>
  </si>
  <si>
    <t>Paraventricular hypothalamic nucleus, magnocellular division</t>
  </si>
  <si>
    <t>Dorsal terminal nucleus of the accessory optic tract</t>
  </si>
  <si>
    <t>Interstitial nucleus of the vestibular nerve</t>
  </si>
  <si>
    <t>Spinal nucleus of the trigeminal, oral part, caudal dorsomedial part</t>
  </si>
  <si>
    <t>Paraventricular hypothalamic nucleus, magnocellular division, medial magnocellular part</t>
  </si>
  <si>
    <t>Anterior hypothalamic area</t>
  </si>
  <si>
    <t>Nucleus of the lateral lemniscus, dorsal part</t>
  </si>
  <si>
    <t>spinocerebellar tract</t>
  </si>
  <si>
    <t>middle thalamic commissure</t>
  </si>
  <si>
    <t>Paraventricular hypothalamic nucleus, parvicellular division, medial parvicellular part, dorsal zone</t>
  </si>
  <si>
    <t>rhinocele</t>
  </si>
  <si>
    <t>Nucleus of the lateral lemniscus, horizontal part</t>
  </si>
  <si>
    <t>Entorhinal area, lateral part, layer 4</t>
  </si>
  <si>
    <t>Paraventricular hypothalamic nucleus, parvicellular division</t>
  </si>
  <si>
    <t>Agranular insular area</t>
  </si>
  <si>
    <t>subependymal zone</t>
  </si>
  <si>
    <t>Nucleus of the lateral lemniscus, ventral part</t>
  </si>
  <si>
    <t>nigrostriatal tract</t>
  </si>
  <si>
    <t>Paraventricular hypothalamic nucleus, magnocellular division, posterior magnocellular part</t>
  </si>
  <si>
    <t>Somatomotor areas, Layer 1</t>
  </si>
  <si>
    <t>choroid plexus</t>
  </si>
  <si>
    <t>nigrothalamic fibers</t>
  </si>
  <si>
    <t>Paraventricular hypothalamic nucleus, parvicellular division, periventricular part</t>
  </si>
  <si>
    <t>Agranular insular area, posterior part</t>
  </si>
  <si>
    <t>Granular lamina of the cochlear nuclei</t>
  </si>
  <si>
    <t>choroid fissure</t>
  </si>
  <si>
    <t>Agranular insular area, ventral part</t>
  </si>
  <si>
    <t>Kolliker-Fuse subnucleus</t>
  </si>
  <si>
    <t>interventricular foramen</t>
  </si>
  <si>
    <t>Superior central nucleus raphÈ, medial part</t>
  </si>
  <si>
    <t>pallidotegmental fascicle</t>
  </si>
  <si>
    <t>Nucleus ambiguus</t>
  </si>
  <si>
    <t>Superior central nucleus raphÈ, lateral part</t>
  </si>
  <si>
    <t>Lateral group of the dorsal thalamus</t>
  </si>
  <si>
    <t>Entorhinal area, lateral part, layer 5</t>
  </si>
  <si>
    <t>Periventricular region</t>
  </si>
  <si>
    <t>pallidothalmic pathway</t>
  </si>
  <si>
    <t>Olfactory tubercle, layers 1-3</t>
  </si>
  <si>
    <t>Paraventricular nucleus of the thalamus</t>
  </si>
  <si>
    <t>periventricular bundle of the hypothalamus</t>
  </si>
  <si>
    <t>Accessory olfactory bulb</t>
  </si>
  <si>
    <t>Piriform area, layers 1-3</t>
  </si>
  <si>
    <t>Perihypoglossal nuclei</t>
  </si>
  <si>
    <t>Periventricular zone</t>
  </si>
  <si>
    <t>Anterior olfactory nucleus, layer 1</t>
  </si>
  <si>
    <t>Nucleus intercalatus</t>
  </si>
  <si>
    <t>Midbrain raphÈ nuclei</t>
  </si>
  <si>
    <t>premammillary commissure</t>
  </si>
  <si>
    <t>Anterior olfactory nucleus, dorsal part</t>
  </si>
  <si>
    <t>Anterior olfactory nucleus, layer 2</t>
  </si>
  <si>
    <t>preoptic commissure</t>
  </si>
  <si>
    <t>Anterior olfactory nucleus, external part</t>
  </si>
  <si>
    <t>Anterior cingulate area, layer 6a</t>
  </si>
  <si>
    <t>propriohypothalamic pathways</t>
  </si>
  <si>
    <t>Anterior olfactory nucleus, lateral part</t>
  </si>
  <si>
    <t>Frontal pole, cerebral cortex</t>
  </si>
  <si>
    <t>Parapyramidal nucleus, deep part</t>
  </si>
  <si>
    <t>Anterior olfactory nucleus, medial part</t>
  </si>
  <si>
    <t>Cortical amygdalar area, anterior part, layer 1</t>
  </si>
  <si>
    <t>Parapyramidal nucleus, superficial part</t>
  </si>
  <si>
    <t>Prelimbic area, layer 2</t>
  </si>
  <si>
    <t>Rostral linear nucleus raphÈ</t>
  </si>
  <si>
    <t>pyramidal decussation</t>
  </si>
  <si>
    <t>Anterior olfactory nucleus, posteroventral part</t>
  </si>
  <si>
    <t>Cortical amygdalar area, anterior part, layer 2</t>
  </si>
  <si>
    <t>retriculospinal tract, lateral part</t>
  </si>
  <si>
    <t>Nucleus raphÈ magnus</t>
  </si>
  <si>
    <t>Cortical amygdalar area, anterior part, layer 3</t>
  </si>
  <si>
    <t>Main olfactory bulb, glomerular layer</t>
  </si>
  <si>
    <t>retriculospinal tract, medial part</t>
  </si>
  <si>
    <t>Cortical amygdalar area, posterior part, lateral zone, layer 1</t>
  </si>
  <si>
    <t>Somatomotor areas, Layer 2/3</t>
  </si>
  <si>
    <t>Main olfactory bulb, granule layer</t>
  </si>
  <si>
    <t>rubroreticular tract</t>
  </si>
  <si>
    <t>Nucleus raphÈ obscurus</t>
  </si>
  <si>
    <t>Cortical amygdalar area, posterior part, lateral zone, layer 2</t>
  </si>
  <si>
    <t>Anterior cingulate area, layer 6b</t>
  </si>
  <si>
    <t>Main olfactory bulb, inner plexiform layer</t>
  </si>
  <si>
    <t>sensory root of the trigeminal nerve</t>
  </si>
  <si>
    <t>Nucleus raphÈ pallidus</t>
  </si>
  <si>
    <t>Cortical amygdalar area, posterior part, lateral zone, layer 3</t>
  </si>
  <si>
    <t>Main olfactory bulb, mitral layer</t>
  </si>
  <si>
    <t>Nucleus raphÈ pontis</t>
  </si>
  <si>
    <t>Anterior group of the dorsal thalamus</t>
  </si>
  <si>
    <t>Cortical amygdalar area, posterior part, medial zone, layer 1</t>
  </si>
  <si>
    <t>Posterior parietal association areas, layer 2/3</t>
  </si>
  <si>
    <t>Lateral septal nucleus</t>
  </si>
  <si>
    <t>Main olfactory bulb, outer plexiform layer</t>
  </si>
  <si>
    <t>spinocervical tract</t>
  </si>
  <si>
    <t>Auditory areas</t>
  </si>
  <si>
    <t>Cortical amygdalar area, posterior part, medial zone, layer 2</t>
  </si>
  <si>
    <t>spinohypothalamic pathway</t>
  </si>
  <si>
    <t>Cortical amygdalar area, posterior part, medial zone, layer 3</t>
  </si>
  <si>
    <t>Entorhinal area, medial part, ventral zone, layer 1</t>
  </si>
  <si>
    <t>spino-olivary pathway</t>
  </si>
  <si>
    <t>Orbital area, layer 1</t>
  </si>
  <si>
    <t>Dorsal peduncular area, layer 6a</t>
  </si>
  <si>
    <t>Nucleus of the lateral olfactory tract, pyramidal layer</t>
  </si>
  <si>
    <t>spinoreticular pathway</t>
  </si>
  <si>
    <t>Lateral septal complex</t>
  </si>
  <si>
    <t>Piriform area, molecular layer</t>
  </si>
  <si>
    <t>spinotectal pathway</t>
  </si>
  <si>
    <t>Lateral tegmental nucleus</t>
  </si>
  <si>
    <t>Piriform area, pyramidal layer</t>
  </si>
  <si>
    <t>spinotelenchephalic pathway</t>
  </si>
  <si>
    <t>Suprachiasmatic nucleus</t>
  </si>
  <si>
    <t>Hypothalamic lateral zone</t>
  </si>
  <si>
    <t>Piriform area, polymorph layer</t>
  </si>
  <si>
    <t>spinovestibular pathway</t>
  </si>
  <si>
    <t>Superior colliculus, motor related</t>
  </si>
  <si>
    <t>Taenia tecta, dorsal part, layers 1-4</t>
  </si>
  <si>
    <t>Somatomotor areas, Layer 5</t>
  </si>
  <si>
    <t>Ventral part of the lateral geniculate complex, lateral zone</t>
  </si>
  <si>
    <t>Superior colliculus, sensory related</t>
  </si>
  <si>
    <t>Taenia tecta, ventral part, layers 1-3</t>
  </si>
  <si>
    <t>Posterior parietal association areas, layer 6a</t>
  </si>
  <si>
    <t>striatonigral pathway</t>
  </si>
  <si>
    <t>Entorhinal area, lateral part, layer 4/5</t>
  </si>
  <si>
    <t>Isocortex</t>
  </si>
  <si>
    <t>Ventral part of the lateral geniculate complex, medial zone</t>
  </si>
  <si>
    <t>subthalamic fascicle</t>
  </si>
  <si>
    <t>Primary somatosensory area</t>
  </si>
  <si>
    <t>Midbrain, motor related</t>
  </si>
  <si>
    <t>Entorhinal area, medial part, ventral zone, layer 2</t>
  </si>
  <si>
    <t>Basomedial amygdalar nucleus, anterior part</t>
  </si>
  <si>
    <t>Primary somatosensory area, barrel field</t>
  </si>
  <si>
    <t>Mammillary body</t>
  </si>
  <si>
    <t>Basomedial amygdalar nucleus, posterior part</t>
  </si>
  <si>
    <t>superior colliculus commissure</t>
  </si>
  <si>
    <t>Primary somatosensory area, lower limb</t>
  </si>
  <si>
    <t>Subfornical organ</t>
  </si>
  <si>
    <t>Midbrain, sensory related</t>
  </si>
  <si>
    <t>Posterior parietal association areas, layer 6b</t>
  </si>
  <si>
    <t>Brain stem</t>
  </si>
  <si>
    <t>Primary somatosensory area, mouth</t>
  </si>
  <si>
    <t>Primary somatosensory area, layer 2/3</t>
  </si>
  <si>
    <t>Midbrain, behavioral state related</t>
  </si>
  <si>
    <t>supraoptic commissures</t>
  </si>
  <si>
    <t>Orbital area, layer 5</t>
  </si>
  <si>
    <t>Primary somatosensory area, nose</t>
  </si>
  <si>
    <t>Agranular insular area, posterior part, layer 6b</t>
  </si>
  <si>
    <t>tectothalamic pathway</t>
  </si>
  <si>
    <t>Bed nuclei of the stria terminalis, anterior division</t>
  </si>
  <si>
    <t>Dorsal peduncular area, layer 2/3</t>
  </si>
  <si>
    <t>Primary somatosensory area, trunk</t>
  </si>
  <si>
    <t>thalamic peduncles</t>
  </si>
  <si>
    <t>Bed nuclei of the stria terminalis, posterior division</t>
  </si>
  <si>
    <t>Primary somatosensory area, upper limb</t>
  </si>
  <si>
    <t>Medulla, motor related</t>
  </si>
  <si>
    <t>Entorhinal area, medial part, ventral zone, layer 3</t>
  </si>
  <si>
    <t>trigeminocerebellar tract</t>
  </si>
  <si>
    <t>Ammon's horn</t>
  </si>
  <si>
    <t>Cortical amygdalar area, posterior part, lateral zone, layers 1-3</t>
  </si>
  <si>
    <t>Supplemental somatosensory area</t>
  </si>
  <si>
    <t>Medulla, behavioral state related</t>
  </si>
  <si>
    <t>Cortical amygdalar area, posterior part, medial zone, layers 1-3</t>
  </si>
  <si>
    <t>trochlear nerve decussation</t>
  </si>
  <si>
    <t>Primary visual area</t>
  </si>
  <si>
    <t>Medulla, sensory related</t>
  </si>
  <si>
    <t>Entorhinal area, lateral part, layer 5/6</t>
  </si>
  <si>
    <t>gracile fascicle</t>
  </si>
  <si>
    <t>ventral spinothalamic tract</t>
  </si>
  <si>
    <t>Field CA1, stratum lacunosum-moleculare</t>
  </si>
  <si>
    <t>Nucleus of the lateral olfactory tract, layers 1-3</t>
  </si>
  <si>
    <t>Anteromedial visual area</t>
  </si>
  <si>
    <t>Medullary reticular nucleus</t>
  </si>
  <si>
    <t>internal arcuate fibers</t>
  </si>
  <si>
    <t>Superior olivary complex</t>
  </si>
  <si>
    <t>Field CA1, stratum oriens</t>
  </si>
  <si>
    <t>Piriform-amygdalar area, layers 1-3</t>
  </si>
  <si>
    <t>Anterolateral visual area</t>
  </si>
  <si>
    <t>olivocerebellar tract</t>
  </si>
  <si>
    <t>ventrolateral hypothalamic tract</t>
  </si>
  <si>
    <t>Subparafascicular nucleus</t>
  </si>
  <si>
    <t>Field CA1, pyramidal layer</t>
  </si>
  <si>
    <t>Piriform-amygdalar area, molecular layer</t>
  </si>
  <si>
    <t>Lateral visual area</t>
  </si>
  <si>
    <t>reticulocerebellar tract</t>
  </si>
  <si>
    <t>Medial amygdalar nucleus, anterodorsal part</t>
  </si>
  <si>
    <t>Field CA1, stratum radiatum</t>
  </si>
  <si>
    <t>Piriform-amygdalar area, pyramidal layer</t>
  </si>
  <si>
    <t>Medial amygdalar nucleus, anteroventral part</t>
  </si>
  <si>
    <t>Entorhinal area, medial part, ventral zone, layer 4</t>
  </si>
  <si>
    <t>precommissural fornix diagonal band</t>
  </si>
  <si>
    <t>Piriform-amygdalar area, polymorph layer</t>
  </si>
  <si>
    <t>Posterolateral visual area</t>
  </si>
  <si>
    <t>Medial amygdalar nucleus, posterodorsal part</t>
  </si>
  <si>
    <t>medial corticohypothalmic tract</t>
  </si>
  <si>
    <t>Field CA2, stratum lacunosum-moleculare</t>
  </si>
  <si>
    <t>Nucleus circularis</t>
  </si>
  <si>
    <t>Medial amygdalar nucleus, posteroventral part</t>
  </si>
  <si>
    <t>Field CA2, stratum oriens</t>
  </si>
  <si>
    <t>Paraventricular hypothalamic nucleus, descending division, dorsal parvicellular part</t>
  </si>
  <si>
    <t>Medial group of the dorsal thalamus</t>
  </si>
  <si>
    <t>Field CA2, pyramidal layer</t>
  </si>
  <si>
    <t>Paraventricular hypothalamic nucleus, descending division, forniceal part</t>
  </si>
  <si>
    <t>Somatosensory areas</t>
  </si>
  <si>
    <t>Field CA2, stratum radiatum</t>
  </si>
  <si>
    <t>Paraventricular hypothalamic nucleus, descending division, lateral parvicellular part</t>
  </si>
  <si>
    <t>Visual areas, layer 6a</t>
  </si>
  <si>
    <t>Olfactory tubercle, molecular layer</t>
  </si>
  <si>
    <t>accessory olfactory tract</t>
  </si>
  <si>
    <t>Superior salivatory nucleus</t>
  </si>
  <si>
    <t>Paraventricular hypothalamic nucleus, descending division, medial parvicellular part, ventral zone</t>
  </si>
  <si>
    <t>Olfactory tubercle, pyramidal layer</t>
  </si>
  <si>
    <t>Hypothalamic medial zone</t>
  </si>
  <si>
    <t>Entorhinal area, medial part, dorsal zone, layer 2a</t>
  </si>
  <si>
    <t>Field CA3, stratum lacunosum-moleculare</t>
  </si>
  <si>
    <t>Medial amygdalar nucleus, posterodorsal part, sublayer a</t>
  </si>
  <si>
    <t>Olfactory tubercle, polymorph layer</t>
  </si>
  <si>
    <t>angular path</t>
  </si>
  <si>
    <t>Orbital area, layer 6a</t>
  </si>
  <si>
    <t>Field CA3, stratum lucidum</t>
  </si>
  <si>
    <t>Medial amygdalar nucleus, posterodorsal part, sublayer b</t>
  </si>
  <si>
    <t>Islands of Calleja</t>
  </si>
  <si>
    <t>Striatum dorsal region</t>
  </si>
  <si>
    <t>Field CA3, stratum oriens</t>
  </si>
  <si>
    <t>Medial amygdalar nucleus, posterodorsal part, sublayer c</t>
  </si>
  <si>
    <t>Major island of Calleja</t>
  </si>
  <si>
    <t>bulbocerebellar tract</t>
  </si>
  <si>
    <t>Orbital area, layer 2/3</t>
  </si>
  <si>
    <t>Striatum ventral region</t>
  </si>
  <si>
    <t>Field CA3, pyramidal layer</t>
  </si>
  <si>
    <t>Dorsal peduncular area, layer 1</t>
  </si>
  <si>
    <t>Visual areas, layer 6b</t>
  </si>
  <si>
    <t>Bed nuclei of the stria terminalis, anterior division, anteromedial area</t>
  </si>
  <si>
    <t>cuneocerebellar tract</t>
  </si>
  <si>
    <t>Somatomotor areas</t>
  </si>
  <si>
    <t>Field CA3, stratum radiatum</t>
  </si>
  <si>
    <t>Bed nuclei of the stria terminalis, anterior division, dorsomedial nucleus</t>
  </si>
  <si>
    <t>dorsal acoustic stria</t>
  </si>
  <si>
    <t>Entorhinal area, medial part, dorsal zone, layer 2b</t>
  </si>
  <si>
    <t>Subiculum, dorsal part</t>
  </si>
  <si>
    <t>Cerebellum</t>
  </si>
  <si>
    <t>Bed nuclei of the stria terminalis, anterior division, fusiform nucleus</t>
  </si>
  <si>
    <t>dorsal column</t>
  </si>
  <si>
    <t>Orbital area, layer 6b</t>
  </si>
  <si>
    <t>Postpiriform transition area, layers 1-3</t>
  </si>
  <si>
    <t>Subiculum, ventral part</t>
  </si>
  <si>
    <t>Cerebellar nuclei</t>
  </si>
  <si>
    <t>Bed nuclei of the stria terminalis, anterior division, magnocellular nucleus</t>
  </si>
  <si>
    <t>dorsal commissure of the spinal cord</t>
  </si>
  <si>
    <t>Orbital area, medial part, layer 2</t>
  </si>
  <si>
    <t>Entorhinal area, medial part, dorsal zone, layer 1</t>
  </si>
  <si>
    <t>Cerebellar cortex</t>
  </si>
  <si>
    <t>Bed nuclei of the stria terminalis, anterior division, ventral nucleus</t>
  </si>
  <si>
    <t>Posterior parietal association areas, layer 1</t>
  </si>
  <si>
    <t>posteromedial visual area</t>
  </si>
  <si>
    <t>Dorsal peduncular area, layer 2</t>
  </si>
  <si>
    <t>Bed nuclei of the stria terminalis, anterior division, anterolateral area</t>
  </si>
  <si>
    <t>dorsal limb</t>
  </si>
  <si>
    <t>Midbrain reticular nucleus, magnocellular part</t>
  </si>
  <si>
    <t>Temporal association areas</t>
  </si>
  <si>
    <t>Entorhinal area, medial part, dorsal zone, layer 2</t>
  </si>
  <si>
    <t>Central amygdalar nucleus, capsular part</t>
  </si>
  <si>
    <t>Bed nuclei of the stria terminalis, anterior division, juxtacapsular nucleus</t>
  </si>
  <si>
    <t>dorsal longitudinal fascicle</t>
  </si>
  <si>
    <t>Midbrain reticular nucleus, magnocellular part, general</t>
  </si>
  <si>
    <t>Entorhinal area, medial part, dorsal zone, layer 5/6</t>
  </si>
  <si>
    <t>Central amygdalar nucleus, lateral part</t>
  </si>
  <si>
    <t>Pontine reticular nucleus, ventral part</t>
  </si>
  <si>
    <t>dorsal spinocerebellar tract</t>
  </si>
  <si>
    <t>Bed nuclei of the stria terminalis, anterior division, oval nucleus</t>
  </si>
  <si>
    <t>Midbrain reticular nucleus, parvicellular part</t>
  </si>
  <si>
    <t>Tuberomammillary nucleus</t>
  </si>
  <si>
    <t>Central amygdalar nucleus, medial part</t>
  </si>
  <si>
    <t>Cochlear nucleus, subpedunclular granular region</t>
  </si>
  <si>
    <t>Visual areas, layer 2/3</t>
  </si>
  <si>
    <t>Bed nuclei of the stria terminalis, anterior division, rhomboid nucleus</t>
  </si>
  <si>
    <t>dorsal tegmental tract</t>
  </si>
  <si>
    <t>Cerebrum</t>
  </si>
  <si>
    <t>Accessory abducens nucleus</t>
  </si>
  <si>
    <t>Bed nuclei of the stria terminalis, posterior division, dorsal nucleus</t>
  </si>
  <si>
    <t>dorsolateral fascicle</t>
  </si>
  <si>
    <t>Midline group of the dorsal thalamus</t>
  </si>
  <si>
    <t>Anterior cingulate area, layer 1</t>
  </si>
  <si>
    <t>Bed nuclei of the stria terminalis, posterior division, principal nucleus</t>
  </si>
  <si>
    <t>external capsule</t>
  </si>
  <si>
    <t>Cortical amygdalar area, posterior part, lateral zone, layers 1-2</t>
  </si>
  <si>
    <t>Bed nuclei of the stria terminalis, posterior division, interfascicular nucleus</t>
  </si>
  <si>
    <t>fasciculus proprius</t>
  </si>
  <si>
    <t>Central linear nucleus raphÈ</t>
  </si>
  <si>
    <t>Cortical amygdalar area, posterior part, medial zone, layers 1-2</t>
  </si>
  <si>
    <t>Bed nuclei of the stria terminalis, posterior division, transverse nucleus</t>
  </si>
  <si>
    <t>Taenia tecta, dorsal part</t>
  </si>
  <si>
    <t>Bed nuclei of the stria terminalis, posterior division, strial extension</t>
  </si>
  <si>
    <t>Taenia tecta, ventral part</t>
  </si>
  <si>
    <t>Retrosplenial area, ventral part, layer 2</t>
  </si>
  <si>
    <t>Cochlear nuclei</t>
  </si>
  <si>
    <t>Substantia nigra, lateral part</t>
  </si>
  <si>
    <t>Mediodorsal nucleus of the thalamus, central part</t>
  </si>
  <si>
    <t>hippocampal commissures</t>
  </si>
  <si>
    <t>Nucleus of the lateral olfactory tract</t>
  </si>
  <si>
    <t>Cerebral nuclei</t>
  </si>
  <si>
    <t>Interpeduncular fossa</t>
  </si>
  <si>
    <t>Mediodorsal nucleus of the thalamus, lateral part</t>
  </si>
  <si>
    <t>hypothalamohypophysial tract</t>
  </si>
  <si>
    <t>Cortical amygdalar area</t>
  </si>
  <si>
    <t>Posterior parietal association areas, layer 4</t>
  </si>
  <si>
    <t>Mediodorsal nucleus of the thalamus, medial part</t>
  </si>
  <si>
    <t>Ventral group of the dorsal thalamus</t>
  </si>
  <si>
    <t>Efferent vestibular nucleus</t>
  </si>
  <si>
    <t>intermediate acoustic stria</t>
  </si>
  <si>
    <t>Somatomotor areas, Layer 6a</t>
  </si>
  <si>
    <t>Vermal regions</t>
  </si>
  <si>
    <t>Dorsal peduncular area, layer 5</t>
  </si>
  <si>
    <t>juxtarestiform body</t>
  </si>
  <si>
    <t>Paraventricular hypothalamic nucleus, magnocellular division, posterior magnocellular part, lateral zone</t>
  </si>
  <si>
    <t>Cortical amygdalar area, posterior part, lateral zone</t>
  </si>
  <si>
    <t>Nucleus of the solitary tract, central part</t>
  </si>
  <si>
    <t>Paraventricular hypothalamic nucleus, magnocellular division, posterior magnocellular part, medial zone</t>
  </si>
  <si>
    <t>Cortical amygdalar area, posterior part, medial zone</t>
  </si>
  <si>
    <t>Entorhinal area, medial part, dorsal zone, layer 3</t>
  </si>
  <si>
    <t>Nucleus of the solitary tract, commissural part</t>
  </si>
  <si>
    <t>Dorsomedial nucleus of the hypothalamus, anterior part</t>
  </si>
  <si>
    <t>Visual areas</t>
  </si>
  <si>
    <t>Nucleus of the solitary tract, gelatinous part</t>
  </si>
  <si>
    <t>Dorsomedial nucleus of the hypothalamus, posterior part</t>
  </si>
  <si>
    <t>Visceral area</t>
  </si>
  <si>
    <t>Superior central nucleus raphÈ</t>
  </si>
  <si>
    <t>Nucleus of the solitary tract, lateral part</t>
  </si>
  <si>
    <t>Posterior parietal association areas, layer 5</t>
  </si>
  <si>
    <t>Dorsomedial nucleus of the hypothalamus, ventral part</t>
  </si>
  <si>
    <t>Primary somatosensory area, layer 6a</t>
  </si>
  <si>
    <t>Cerebral cortex</t>
  </si>
  <si>
    <t>Nucleus of the solitary tract, medial part</t>
  </si>
  <si>
    <t>Cortical plate</t>
  </si>
  <si>
    <t>Agranular insular area, ventral part, layer 6b</t>
  </si>
  <si>
    <t>Anterior hypothalamic nucleus, anterior part</t>
  </si>
  <si>
    <t>Vestibular nuclei</t>
  </si>
  <si>
    <t>Anterior hypothalamic nucleus, central part</t>
  </si>
  <si>
    <t>Ventral posterior complex of the thalamus</t>
  </si>
  <si>
    <t>abducens nerve</t>
  </si>
  <si>
    <t>Entorhinal area, medial part, dorsal zone, layer 4</t>
  </si>
  <si>
    <t>perforant path</t>
  </si>
  <si>
    <t>Orbital area</t>
  </si>
  <si>
    <t>Entorhinal area, lateral part, layer 2a</t>
  </si>
  <si>
    <t>Anterior hypothalamic nucleus, dorsal part</t>
  </si>
  <si>
    <t>accessory spinal nerve</t>
  </si>
  <si>
    <t>Primary somatosensory area, layer 6b</t>
  </si>
  <si>
    <t>Dorsal column nuclei</t>
  </si>
  <si>
    <t>periventricular bundle of the thalamus</t>
  </si>
  <si>
    <t>Orbital area, lateral part</t>
  </si>
  <si>
    <t>Anterior hypothalamic nucleus, posterior part</t>
  </si>
  <si>
    <t>Entorhinal area, medial part, dorsal zone, layer 5</t>
  </si>
  <si>
    <t>pineal stalk</t>
  </si>
  <si>
    <t>Orbital area, medial part</t>
  </si>
  <si>
    <t>Medial mammillary nucleus, median part</t>
  </si>
  <si>
    <t>Dentate gyrus crest</t>
  </si>
  <si>
    <t>central tegmental bundle</t>
  </si>
  <si>
    <t>postcommissural fornix</t>
  </si>
  <si>
    <t>Orbital area, ventral part</t>
  </si>
  <si>
    <t>Anterior cingulate area, layer 5</t>
  </si>
  <si>
    <t>Medial preoptic nucleus, central part</t>
  </si>
  <si>
    <t>Dentate gyrus crest, molecular layer</t>
  </si>
  <si>
    <t>Entorhinal area, medial part, dorsal zone, layer 6</t>
  </si>
  <si>
    <t>cerebellar commissure</t>
  </si>
  <si>
    <t>precommissural fornix, general</t>
  </si>
  <si>
    <t>Orbital area, ventrolateral part</t>
  </si>
  <si>
    <t>Infralimbic area, layer 2</t>
  </si>
  <si>
    <t>Medial preoptic nucleus, lateral part</t>
  </si>
  <si>
    <t>Dentate gyrus crest, polymorph layer</t>
  </si>
  <si>
    <t>cerebellar peduncles</t>
  </si>
  <si>
    <t>principal mammillary tract</t>
  </si>
  <si>
    <t>Medial preoptic nucleus, medial part</t>
  </si>
  <si>
    <t>Dentate gyrus crest, granule cell layer</t>
  </si>
  <si>
    <t>cerebral nuclei related</t>
  </si>
  <si>
    <t>Ventromedial hypothalamic nucleus, anterior part</t>
  </si>
  <si>
    <t>propriohypothalamic pathways, dorsal</t>
  </si>
  <si>
    <t>Vascular organ of the lamina terminalis</t>
  </si>
  <si>
    <t>Entorhinal area, lateral part, layer 2b</t>
  </si>
  <si>
    <t>Dentate gyrus lateral blade</t>
  </si>
  <si>
    <t>cerebrum related</t>
  </si>
  <si>
    <t>Ventromedial hypothalamic nucleus, central part</t>
  </si>
  <si>
    <t>propriohypothalamic pathways, lateral</t>
  </si>
  <si>
    <t>Dentate gyrus lateral blade, molecular layer</t>
  </si>
  <si>
    <t>Ventromedial hypothalamic nucleus, dorsomedial part</t>
  </si>
  <si>
    <t>propriohypothalamic pathways, medial</t>
  </si>
  <si>
    <t>Dentate gyrus lateral blade, polymorph layer</t>
  </si>
  <si>
    <t>Ventromedial hypothalamic nucleus, ventrolateral part</t>
  </si>
  <si>
    <t>propriohypothalamic pathways, ventral</t>
  </si>
  <si>
    <t>Nucleus z</t>
  </si>
  <si>
    <t>Dentate gyrus lateral blade, granule cell layer</t>
  </si>
  <si>
    <t>dorsal roots</t>
  </si>
  <si>
    <t>Primary somatosensory area, layer 1</t>
  </si>
  <si>
    <t>Dopaminergic A13 group</t>
  </si>
  <si>
    <t>Dentate gyrus medial blade</t>
  </si>
  <si>
    <t>Visual areas, layer 1</t>
  </si>
  <si>
    <t>Dentate gyrus medial blade, molecular layer</t>
  </si>
  <si>
    <t>glossopharyngeal nerve</t>
  </si>
  <si>
    <t>Pallidum, caudal region</t>
  </si>
  <si>
    <t>Inferior colliculus, central nucleus</t>
  </si>
  <si>
    <t>superior cerebellar peduncle decussation</t>
  </si>
  <si>
    <t>hypoglossal nerve</t>
  </si>
  <si>
    <t>Dentate gyrus medial blade, polymorph layer</t>
  </si>
  <si>
    <t>supraoptic commissures, anterior</t>
  </si>
  <si>
    <t>Pallidum, dorsal region</t>
  </si>
  <si>
    <t>Inferior colliculus, dorsal nucleus</t>
  </si>
  <si>
    <t>Retrohippocampal region</t>
  </si>
  <si>
    <t>Dentate gyrus medial blade, granule cell layer</t>
  </si>
  <si>
    <t>hypothalamus related</t>
  </si>
  <si>
    <t>supraoptic commissures, dorsal</t>
  </si>
  <si>
    <t>Pallidum, medial region</t>
  </si>
  <si>
    <t>Inferior colliculus, external nucleus</t>
  </si>
  <si>
    <t>Subiculum, dorsal part, molecular layer</t>
  </si>
  <si>
    <t>oculomotor nerve</t>
  </si>
  <si>
    <t>supraoptic commissures, ventral</t>
  </si>
  <si>
    <t>Superior colliculus, zonal layer</t>
  </si>
  <si>
    <t>Pallidum, ventral region</t>
  </si>
  <si>
    <t>Subiculum, dorsal part, stratum radiatum</t>
  </si>
  <si>
    <t>olfactory nerve</t>
  </si>
  <si>
    <t>Subiculum, dorsal part, pyramidal layer</t>
  </si>
  <si>
    <t>optic nerve</t>
  </si>
  <si>
    <t>uncinate fascicle</t>
  </si>
  <si>
    <t>Subiculum, ventral part, molecular layer</t>
  </si>
  <si>
    <t>retriculospinal tract</t>
  </si>
  <si>
    <t>Thalamus, polymodal association cortex related</t>
  </si>
  <si>
    <t>ventral commissure of the spinal cord</t>
  </si>
  <si>
    <t>Parabrachial nucleus, lateral division, central lateral part</t>
  </si>
  <si>
    <t>Subiculum, ventral part, stratum radiatum</t>
  </si>
  <si>
    <t>Thalamus, sensory-motor cortex related</t>
  </si>
  <si>
    <t>Primary somatosensory area, layer 4</t>
  </si>
  <si>
    <t>ventral spinocerebellar tract</t>
  </si>
  <si>
    <t>Parabrachial nucleus, lateral division, dorsal lateral part</t>
  </si>
  <si>
    <t>Subiculum, ventral part, pyramidal layer</t>
  </si>
  <si>
    <t>spinothalamic tract</t>
  </si>
  <si>
    <t>Dorsal nucleus raphÈ</t>
  </si>
  <si>
    <t>Parabrachial nucleus, lateral division, external lateral part</t>
  </si>
  <si>
    <t>accessory optic tract</t>
  </si>
  <si>
    <t>Retrosplenial area, dorsal part</t>
  </si>
  <si>
    <t>Parabrachial nucleus, lateral division</t>
  </si>
  <si>
    <t>Parabrachial nucleus, lateral division, superior lateral part</t>
  </si>
  <si>
    <t>terminal nerve</t>
  </si>
  <si>
    <t>Retrosplenial area, ventral part</t>
  </si>
  <si>
    <t>Efferent cochlear group</t>
  </si>
  <si>
    <t>Parabrachial nucleus, medial division</t>
  </si>
  <si>
    <t>Parabrachial nucleus, lateral division, ventral lateral part</t>
  </si>
  <si>
    <t>ansa peduncularis</t>
  </si>
  <si>
    <t>thalamus related</t>
  </si>
  <si>
    <t>Parabrachial nucleus, medial division, external medial part</t>
  </si>
  <si>
    <t>trigeminal nerve</t>
  </si>
  <si>
    <t>Medial septal complex</t>
  </si>
  <si>
    <t>Entorhinal area</t>
  </si>
  <si>
    <t>Visual areas, layer 4</t>
  </si>
  <si>
    <t>Parabrachial nucleus, medial division, medial medial part</t>
  </si>
  <si>
    <t>brachium of the superior colliculus</t>
  </si>
  <si>
    <t>vagus nerve</t>
  </si>
  <si>
    <t>Primary somatosensory area, layer 5</t>
  </si>
  <si>
    <t>Perirhinal area</t>
  </si>
  <si>
    <t>Parabrachial nucleus, medial division, ventral medial part</t>
  </si>
  <si>
    <t>ventral roots</t>
  </si>
  <si>
    <t>cervicothalamic tract</t>
  </si>
  <si>
    <t>vestibulocochlear nerve</t>
  </si>
  <si>
    <t>Visual areas, layer 5</t>
  </si>
  <si>
    <t>Paragigantocellular reticular nucleus</t>
  </si>
  <si>
    <t>vestibulospinal pathway</t>
  </si>
  <si>
    <t>Endopiriform nucleus</t>
  </si>
  <si>
    <t>Somatomotor areas, Layer 6b</t>
  </si>
  <si>
    <t>cochlear nerve</t>
  </si>
  <si>
    <t>Pineal body</t>
  </si>
  <si>
    <t>Lateral reticular nucleus, magnocellular part</t>
  </si>
  <si>
    <t>corpus callosum, anterior forceps</t>
  </si>
  <si>
    <t>Epithalamus</t>
  </si>
  <si>
    <t>cerebellum related fiber tracts</t>
  </si>
  <si>
    <t>Lateral reticular nucleus, parvicellular part</t>
  </si>
  <si>
    <t>corpus callosum, extreme capsule</t>
  </si>
  <si>
    <t>cranial nerves</t>
  </si>
  <si>
    <t>corpus callosum, posterior forceps</t>
  </si>
  <si>
    <t>Edinger-Westphal nucleus</t>
  </si>
  <si>
    <t>Lobule II</t>
  </si>
  <si>
    <t>corpus callosum, rostrum</t>
  </si>
  <si>
    <t>lateral forebrain bundle system</t>
  </si>
  <si>
    <t>Lobule III</t>
  </si>
  <si>
    <t>corpus callosum, splenium</t>
  </si>
  <si>
    <t>Pons, motor related</t>
  </si>
  <si>
    <t>medial forebrain bundle system</t>
  </si>
  <si>
    <t>Lobule IV</t>
  </si>
  <si>
    <t>Secondary motor area</t>
  </si>
  <si>
    <t>corticobulbar tract</t>
  </si>
  <si>
    <t>Paramedian reticular nucleus</t>
  </si>
  <si>
    <t>Entorhinal area, lateral part, layer 2/3</t>
  </si>
  <si>
    <t>extrapyramidal fiber systems</t>
  </si>
  <si>
    <t>Lobule V</t>
  </si>
  <si>
    <t>Primary auditory area</t>
  </si>
  <si>
    <t>corticopontine tract</t>
  </si>
  <si>
    <t>Geniculate group, dorsal thalamus</t>
  </si>
  <si>
    <t>Dorsal auditory area</t>
  </si>
  <si>
    <t>corticorubral tract</t>
  </si>
  <si>
    <t>Geniculate group, ventral thalamus</t>
  </si>
  <si>
    <t>Ventral auditory area</t>
  </si>
  <si>
    <t>corticospinal tract, crossed</t>
  </si>
  <si>
    <t>grooves</t>
  </si>
  <si>
    <t>Posterior auditory area</t>
  </si>
  <si>
    <t>corticospinal tract, uncrossed</t>
  </si>
  <si>
    <t>grooves of the cerebral cortex</t>
  </si>
  <si>
    <t>Taenia tecta, dorsal part, layer 1</t>
  </si>
  <si>
    <t>corticotectal tract</t>
  </si>
  <si>
    <t>grooves of the cerebellar cortex</t>
  </si>
  <si>
    <t>Taenia tecta, dorsal part, layer 2</t>
  </si>
  <si>
    <t>crossed tectospinal pathway</t>
  </si>
  <si>
    <t>Taenia tecta, dorsal part, layer 3</t>
  </si>
  <si>
    <t>direct tectospinal pathway</t>
  </si>
  <si>
    <t>Anterior cingulate area, layer 2/3</t>
  </si>
  <si>
    <t>endorhinal groove</t>
  </si>
  <si>
    <t>Crus 1</t>
  </si>
  <si>
    <t>Gustatory areas</t>
  </si>
  <si>
    <t>Taenia tecta, dorsal part, layer 4</t>
  </si>
  <si>
    <t>hippocampal fissure</t>
  </si>
  <si>
    <t>Crus 2</t>
  </si>
  <si>
    <t>Hindbrain</t>
  </si>
  <si>
    <t>Taenia tecta, ventral part, layer 1</t>
  </si>
  <si>
    <t>dorsal thalamus related</t>
  </si>
  <si>
    <t xml:space="preserve">Primary somatosensory area, barrel field, layer 5 </t>
  </si>
  <si>
    <t>rhinal fissure</t>
  </si>
  <si>
    <t>Medial geniculate complex, dorsal part</t>
  </si>
  <si>
    <t>Hemispheric regions</t>
  </si>
  <si>
    <t>Taenia tecta, ventral part, layer 2</t>
  </si>
  <si>
    <t>efferent cochleovestibular bundle</t>
  </si>
  <si>
    <t>rhinal incisure</t>
  </si>
  <si>
    <t>Medial geniculate complex, ventral part</t>
  </si>
  <si>
    <t>Hippocampal region</t>
  </si>
  <si>
    <t>Taenia tecta, ventral part, layer 3</t>
  </si>
  <si>
    <t>epithalamus related</t>
  </si>
  <si>
    <t>precentral fissure</t>
  </si>
  <si>
    <t>Medial geniculate complex, medial part</t>
  </si>
  <si>
    <t>Lobules IV-V</t>
  </si>
  <si>
    <t>preculminate fissure</t>
  </si>
  <si>
    <t>Anteromedial nucleus, dorsal part</t>
  </si>
  <si>
    <t>fornix system</t>
  </si>
  <si>
    <t>Pretectal region</t>
  </si>
  <si>
    <t>primary fissure</t>
  </si>
  <si>
    <t>Anteromedial nucleus, ventral part</t>
  </si>
  <si>
    <t>genu of corpus callosum</t>
  </si>
  <si>
    <t>Supramammillary nucleus, lateral part</t>
  </si>
  <si>
    <t>posterior superior fissure</t>
  </si>
  <si>
    <t>genu of the facial nerve</t>
  </si>
  <si>
    <t>Pons, behavioral state related</t>
  </si>
  <si>
    <t>Supramammillary nucleus, medial part</t>
  </si>
  <si>
    <t>prepyramidal fissure</t>
  </si>
  <si>
    <t>Entorhinal area, lateral part, layer 1</t>
  </si>
  <si>
    <t>Suprachiasmatic preoptic nucleus</t>
  </si>
  <si>
    <t>Interbrain</t>
  </si>
  <si>
    <t>intermediate nerve</t>
  </si>
  <si>
    <t>Pons, sensory related</t>
  </si>
  <si>
    <t>Entorhinal area, medial part, ventral zone, layer 5/6</t>
  </si>
  <si>
    <t>Postpiriform transition area, layers 1</t>
  </si>
  <si>
    <t>Postpiriform transition area, layers 2</t>
  </si>
  <si>
    <t>Postpiriform transition area, layers 3</t>
  </si>
  <si>
    <t>Cerebellar cortex, granular layer</t>
  </si>
  <si>
    <t>Cerebellar cortex, molecular layer</t>
  </si>
  <si>
    <t>Cerebellar cortex, Purkinje layer</t>
  </si>
  <si>
    <t>Median eminence</t>
  </si>
  <si>
    <t>Simple lobule, granular layer</t>
  </si>
  <si>
    <t>Simple lobule, Purkinje layer</t>
  </si>
  <si>
    <t>Simple lobule, molecular layer</t>
  </si>
  <si>
    <t>Crus 1, granular layer</t>
  </si>
  <si>
    <t>Crus 1, Purkinje layer</t>
  </si>
  <si>
    <t>Crus 1, molecular layer</t>
  </si>
  <si>
    <t>Crus 2, granular layer</t>
  </si>
  <si>
    <t>Crus 2, Purkinje layer</t>
  </si>
  <si>
    <t>Crus 2, molecular layer</t>
  </si>
  <si>
    <t>Paramedian lobule, granular layer</t>
  </si>
  <si>
    <t>Paramedian lobule, Purkinje layer</t>
  </si>
  <si>
    <t>Paramedian lobule, molecular layer</t>
  </si>
  <si>
    <t>Copula pyramidis, granular layer</t>
  </si>
  <si>
    <t>Copula pyramidis, Purkinje layer</t>
  </si>
  <si>
    <t>Copula pyramidis, molecular layer</t>
  </si>
  <si>
    <t>Paraflocculus, granular layer</t>
  </si>
  <si>
    <t>Paraflocculus, Purkinje layer</t>
  </si>
  <si>
    <t>Paraflocculus, molecular layer</t>
  </si>
  <si>
    <t>Flocculus, granular layer</t>
  </si>
  <si>
    <t>Flocculus, Purkinje layer</t>
  </si>
  <si>
    <t>Flocculus, molecular layer</t>
  </si>
  <si>
    <t>Parasubiculum, layer 1</t>
  </si>
  <si>
    <t>Parasubiculum, layer 2</t>
  </si>
  <si>
    <t>Parasubiculum, layer 3</t>
  </si>
  <si>
    <t>Postsubiculum, layer 1</t>
  </si>
  <si>
    <t>Postsubiculum, layer 2</t>
  </si>
  <si>
    <t>Postsubiculum, layer 3</t>
  </si>
  <si>
    <t>Presubiculum, layer 1</t>
  </si>
  <si>
    <t>Presubiculum, layer 2</t>
  </si>
  <si>
    <t>Presubiculum, layer 3</t>
  </si>
  <si>
    <t>Dentate gyrus, subgranular zone</t>
  </si>
  <si>
    <t>Lingula (I), granular layer</t>
  </si>
  <si>
    <t>Lingula (I), Purkinje layer</t>
  </si>
  <si>
    <t>Lingula (I), molecular layer</t>
  </si>
  <si>
    <t>Lobule II, granular layer</t>
  </si>
  <si>
    <t>Lobule II, Purkinje layer</t>
  </si>
  <si>
    <t>Lobule II, molecular layer</t>
  </si>
  <si>
    <t>Lobule III, granular layer</t>
  </si>
  <si>
    <t>Lobule III, Purkinje layer</t>
  </si>
  <si>
    <t>Lobule III, molecular layer</t>
  </si>
  <si>
    <t>Lobule IV, granular layer</t>
  </si>
  <si>
    <t>Lobule IV, Purkinje layer</t>
  </si>
  <si>
    <t>Lobule IV, molecular layer</t>
  </si>
  <si>
    <t>Lobule V, granular layer</t>
  </si>
  <si>
    <t>Lobule V, Purkinje layer</t>
  </si>
  <si>
    <t>Lobule V, molecular layer</t>
  </si>
  <si>
    <t>Lobules IV-V, granular layer</t>
  </si>
  <si>
    <t>Lobules IV-V, Purkinje layer</t>
  </si>
  <si>
    <t>Lobules IV-V, molecular layer</t>
  </si>
  <si>
    <t>Declive (VI), granular layer</t>
  </si>
  <si>
    <t>Declive (VI), Purkinje layer</t>
  </si>
  <si>
    <t>Declive (VI), molecular layer</t>
  </si>
  <si>
    <t>Folium-tuber vermis (VII), granular layer</t>
  </si>
  <si>
    <t>Folium-tuber vermis (VII), Purkinje layer</t>
  </si>
  <si>
    <t>Folium-tuber vermis (VII), molecular layer</t>
  </si>
  <si>
    <t>Pyramus (VIII), granular layer</t>
  </si>
  <si>
    <t>Pyramus (VIII), Purkinje layer</t>
  </si>
  <si>
    <t>Pyramus (VIII), molecular layer</t>
  </si>
  <si>
    <t>Uvula (IX), granular layer</t>
  </si>
  <si>
    <t>Uvula (IX), Purkinje layer</t>
  </si>
  <si>
    <t>Uvula (IX), molecular layer</t>
  </si>
  <si>
    <t>Nodulus (X), granular layer</t>
  </si>
  <si>
    <t>Nodulus (X), Purkinje layer</t>
  </si>
  <si>
    <t>Nodulus (X), molecular layer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</si>
  <si>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</si>
  <si>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</si>
  <si>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</si>
  <si>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</si>
  <si>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</si>
  <si>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</si>
  <si>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Filter</t>
  </si>
  <si>
    <t>Ammon's horn ventral</t>
  </si>
  <si>
    <t>Field CA1, stratum lacunosum-moleculare ventral</t>
  </si>
  <si>
    <t>Field CA1, stratum oriens ventral</t>
  </si>
  <si>
    <t>Field CA1, pyramidal layer ventral</t>
  </si>
  <si>
    <t>Field CA1, stratum radiatum ventral</t>
  </si>
  <si>
    <t>Field CA2, stratum lacunosum-moleculare ventral</t>
  </si>
  <si>
    <t>Field CA2, stratum oriens ventral</t>
  </si>
  <si>
    <t>Field CA2, pyramidal layer ventral</t>
  </si>
  <si>
    <t>Field CA2, stratum radiatum ventral</t>
  </si>
  <si>
    <t>Field CA3, stratum lacunosum-moleculare ventral</t>
  </si>
  <si>
    <t>Field CA3, stratum lucidum ventral</t>
  </si>
  <si>
    <t>Field CA3, stratum oriens ventral</t>
  </si>
  <si>
    <t>Field CA3, pyramidal layer ventral</t>
  </si>
  <si>
    <t>Field CA3, stratum radiatum ventral</t>
  </si>
  <si>
    <t>Dentate gyrus crest ventral</t>
  </si>
  <si>
    <t>Dentate gyrus crest, molecular layer ventral</t>
  </si>
  <si>
    <t>Dentate gyrus crest, polymorph layer  ventral</t>
  </si>
  <si>
    <t>Dentate gyrus crest, granule cell layer ventral</t>
  </si>
  <si>
    <t>Dentate gyrus lateral blade ventral</t>
  </si>
  <si>
    <t>Dentate gyrus lateral blade, molecular layer ventral</t>
  </si>
  <si>
    <t>Dentate gyrus lateral blade, polymorph layer ventral</t>
  </si>
  <si>
    <t>Dentate gyrus lateral blade, granule cell layer ventral</t>
  </si>
  <si>
    <t>Dentate gyrus medial blade ventral</t>
  </si>
  <si>
    <t>Dentate gyrus medial blade, molecular layer ventral</t>
  </si>
  <si>
    <t>Dentate gyrus medial blade, polymorph layer ventral ventral</t>
  </si>
  <si>
    <t>Dentate gyrus medial blade, granule cell layer ventral ventral</t>
  </si>
  <si>
    <t>Dentate gyrus, molecular layer ventral</t>
  </si>
  <si>
    <t>Dentate gyrus, polymorph layer ventral</t>
  </si>
  <si>
    <t>Amy</t>
  </si>
  <si>
    <t>AI</t>
  </si>
  <si>
    <t>CPu</t>
  </si>
  <si>
    <t>NAc</t>
  </si>
  <si>
    <t>BNST</t>
  </si>
  <si>
    <t>PAG</t>
  </si>
  <si>
    <t>aHyp</t>
  </si>
  <si>
    <t>Cg</t>
  </si>
  <si>
    <t>mOFC / MO</t>
  </si>
  <si>
    <t>Ent</t>
  </si>
  <si>
    <t>PtA / FEF / M2</t>
  </si>
  <si>
    <t>Amygdala</t>
  </si>
  <si>
    <t>Anterior Insula</t>
  </si>
  <si>
    <t>Secondary Motor Cortex</t>
  </si>
  <si>
    <t>Cingulate cortex</t>
  </si>
  <si>
    <t>Medial orbital cortex</t>
  </si>
  <si>
    <t>Entorhinal cortex</t>
  </si>
  <si>
    <t>Salience network</t>
  </si>
  <si>
    <t>Executive control network</t>
  </si>
  <si>
    <t>Default mode network</t>
  </si>
  <si>
    <t>region</t>
  </si>
  <si>
    <t>SEM 0</t>
  </si>
  <si>
    <t>SEM 1</t>
  </si>
  <si>
    <t>Order</t>
  </si>
  <si>
    <t>ID</t>
  </si>
  <si>
    <t>Animal</t>
  </si>
  <si>
    <t>Primary somatosensory area, barrel field, layer 5</t>
  </si>
  <si>
    <t>Interfascicular nucleus raphÃË</t>
  </si>
  <si>
    <t>Central linear nucleus raphÃË</t>
  </si>
  <si>
    <t>Dorsal nucleus raphÃË</t>
  </si>
  <si>
    <t>Superior central nucleus raphÃË</t>
  </si>
  <si>
    <t>Nucleus raphÃË pontis</t>
  </si>
  <si>
    <t>Nucleus raphÃË magnus</t>
  </si>
  <si>
    <t>Nucleus raphÃË pallidus</t>
  </si>
  <si>
    <t>Nucleus raphÃË obscurus</t>
  </si>
  <si>
    <t>Difference</t>
  </si>
  <si>
    <t>Z score</t>
  </si>
  <si>
    <t>Area</t>
  </si>
  <si>
    <t>Region1</t>
  </si>
  <si>
    <t>Region2</t>
  </si>
  <si>
    <t>Region3</t>
  </si>
  <si>
    <t>Region4</t>
  </si>
  <si>
    <t>Region5</t>
  </si>
  <si>
    <t>Region6</t>
  </si>
  <si>
    <t>Region7</t>
  </si>
  <si>
    <t>Number</t>
  </si>
  <si>
    <t>Region</t>
  </si>
  <si>
    <t>Grey</t>
  </si>
  <si>
    <t>Frontal pole</t>
  </si>
  <si>
    <t xml:space="preserve">Somatomotor areas </t>
  </si>
  <si>
    <t>primary motor area</t>
  </si>
  <si>
    <t xml:space="preserve">secondary motor area </t>
  </si>
  <si>
    <t>primary somatosensory area</t>
  </si>
  <si>
    <t>supplemental somatosensory area</t>
  </si>
  <si>
    <t>gustatory areas</t>
  </si>
  <si>
    <t>visceral area</t>
  </si>
  <si>
    <t>auditory areas</t>
  </si>
  <si>
    <t>dorsal auditory area</t>
  </si>
  <si>
    <t>primary auditory area</t>
  </si>
  <si>
    <t>posterior auditory area</t>
  </si>
  <si>
    <t>ventral auditory area</t>
  </si>
  <si>
    <t xml:space="preserve">visual areas </t>
  </si>
  <si>
    <t>anterolateral visual area</t>
  </si>
  <si>
    <t>anterior cingulate area</t>
  </si>
  <si>
    <t>prelimbic area</t>
  </si>
  <si>
    <t>infralimbic</t>
  </si>
  <si>
    <t>orbital area</t>
  </si>
  <si>
    <t>agranular insular area</t>
  </si>
  <si>
    <t>retrosplenial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</si>
  <si>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</si>
  <si>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</si>
  <si>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</si>
  <si>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</si>
  <si>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</si>
  <si>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</si>
  <si>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</si>
  <si>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</si>
  <si>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</si>
  <si>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</si>
  <si>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</si>
  <si>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</si>
  <si>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</si>
  <si>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</si>
  <si>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hippocampal formation</t>
  </si>
  <si>
    <t>hippocampal region</t>
  </si>
  <si>
    <t>CA</t>
  </si>
  <si>
    <t>DG</t>
  </si>
  <si>
    <t>retrohippocampal region</t>
  </si>
  <si>
    <t>entorhinal area</t>
  </si>
  <si>
    <t>parasubiculum</t>
  </si>
  <si>
    <t>postsubiculum</t>
  </si>
  <si>
    <t>presubiculum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</si>
  <si>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</si>
  <si>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</si>
  <si>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</si>
  <si>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</si>
  <si>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</si>
  <si>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</si>
  <si>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cerebral nuclei</t>
  </si>
  <si>
    <t>striatum</t>
  </si>
  <si>
    <t>striatum dorsal region</t>
  </si>
  <si>
    <t>striatum ventral region</t>
  </si>
  <si>
    <t>lateral septal complex</t>
  </si>
  <si>
    <t>lateral septal nucleus</t>
  </si>
  <si>
    <t>septofimbrial nucleus</t>
  </si>
  <si>
    <t xml:space="preserve">septohippocampal nucleus </t>
  </si>
  <si>
    <t>striatum-like amygdalar nuclei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</si>
  <si>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</si>
  <si>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</si>
  <si>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</si>
  <si>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</si>
  <si>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</si>
  <si>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pallidum</t>
  </si>
  <si>
    <t>pallidum dorsal region</t>
  </si>
  <si>
    <t>pallidum ventral region</t>
  </si>
  <si>
    <t>pallidum medial region</t>
  </si>
  <si>
    <t>medial septal complex</t>
  </si>
  <si>
    <t>triangular nucleus of septum</t>
  </si>
  <si>
    <t>interbrain</t>
  </si>
  <si>
    <t>thalamus</t>
  </si>
  <si>
    <t>thalamus, sensory-motor</t>
  </si>
  <si>
    <t>ventral group of dorsal thalamus</t>
  </si>
  <si>
    <t>thalamus, polymodal</t>
  </si>
  <si>
    <t>hypothalamus</t>
  </si>
  <si>
    <t>periventricular zone</t>
  </si>
  <si>
    <t>periventricular region</t>
  </si>
  <si>
    <t>hypothalamic medial zone</t>
  </si>
  <si>
    <t>hypothalamic lateral zone</t>
  </si>
  <si>
    <t>midbrain</t>
  </si>
  <si>
    <t>midbrain, sensory related</t>
  </si>
  <si>
    <t>midbrain, motor related</t>
  </si>
  <si>
    <t>periaqueductal grey</t>
  </si>
  <si>
    <t>midbrain, behavioral state related</t>
  </si>
  <si>
    <t>hindbrain</t>
  </si>
  <si>
    <t>pons</t>
  </si>
  <si>
    <t>pons, sensory related</t>
  </si>
  <si>
    <t>pons, motor related</t>
  </si>
  <si>
    <t>pons, behavioral state related</t>
  </si>
  <si>
    <t>medulla</t>
  </si>
  <si>
    <t>medulla, sensory related</t>
  </si>
  <si>
    <t>medulla, motor related</t>
  </si>
  <si>
    <t>medulla, behavioral state related</t>
  </si>
  <si>
    <t>Fiber tracts</t>
  </si>
  <si>
    <t>Ventricular system</t>
  </si>
  <si>
    <t>PVT</t>
  </si>
  <si>
    <t>Paraventricular thalamic nucleus</t>
  </si>
  <si>
    <t>Nre</t>
  </si>
  <si>
    <t>posterior parietal association areas</t>
  </si>
  <si>
    <t>pallidum, caudal region</t>
  </si>
  <si>
    <t>lateral group</t>
  </si>
  <si>
    <t>anterior group</t>
  </si>
  <si>
    <t>medial group</t>
  </si>
  <si>
    <t>midline group</t>
  </si>
  <si>
    <t>intralaminar</t>
  </si>
  <si>
    <t>geniculate group</t>
  </si>
  <si>
    <t xml:space="preserve">superior colliculus, sensory </t>
  </si>
  <si>
    <t>inferior colliculus</t>
  </si>
  <si>
    <t>pretectal region</t>
  </si>
  <si>
    <t>midbrain raphe</t>
  </si>
  <si>
    <t>Midbrain raphÃˆ nuclei</t>
  </si>
  <si>
    <t>Superior central nucleus raphÃˆ, lateral part</t>
  </si>
  <si>
    <t>Superior central nucleus raphÃˆ, medial part</t>
  </si>
  <si>
    <t>dorsal column nuclei</t>
  </si>
  <si>
    <t>vestibular nuclei</t>
  </si>
  <si>
    <t>lingula</t>
  </si>
  <si>
    <t>central lobule</t>
  </si>
  <si>
    <t>primary motor</t>
  </si>
  <si>
    <t>secondary motor</t>
  </si>
  <si>
    <t>cluster</t>
  </si>
  <si>
    <t>Cluster</t>
  </si>
  <si>
    <t>frontal pole</t>
  </si>
  <si>
    <t>Kolom1</t>
  </si>
  <si>
    <t>somatomotor</t>
  </si>
  <si>
    <t xml:space="preserve">somatosensory </t>
  </si>
  <si>
    <t>primary somatosensory</t>
  </si>
  <si>
    <t>supplemental somatosensory</t>
  </si>
  <si>
    <t>gustatory</t>
  </si>
  <si>
    <t>visceral</t>
  </si>
  <si>
    <t>auditory</t>
  </si>
  <si>
    <t>primary auditory</t>
  </si>
  <si>
    <t>posterior auditory</t>
  </si>
  <si>
    <t>ventral auditory</t>
  </si>
  <si>
    <t>visual</t>
  </si>
  <si>
    <t>anterolateral visual</t>
  </si>
  <si>
    <t>anteromedial visual</t>
  </si>
  <si>
    <t>lateral visual</t>
  </si>
  <si>
    <t>primary visual</t>
  </si>
  <si>
    <t>posterolateral visual</t>
  </si>
  <si>
    <t>posteromedial visual</t>
  </si>
  <si>
    <t>dACC</t>
  </si>
  <si>
    <t>vACC</t>
  </si>
  <si>
    <t>PrL</t>
  </si>
  <si>
    <t>orbital</t>
  </si>
  <si>
    <t>lateral orbital</t>
  </si>
  <si>
    <t>medial orbital</t>
  </si>
  <si>
    <t>ventral orbital</t>
  </si>
  <si>
    <t>agranular insula posterior</t>
  </si>
  <si>
    <t>agranular insula, dorsal</t>
  </si>
  <si>
    <t>agranular insula, ventral</t>
  </si>
  <si>
    <t>RSP lateral agranular</t>
  </si>
  <si>
    <t>RS dorsal</t>
  </si>
  <si>
    <t>RSP ventral</t>
  </si>
  <si>
    <t>parietal association</t>
  </si>
  <si>
    <t>temporal association</t>
  </si>
  <si>
    <t>PRh</t>
  </si>
  <si>
    <t>Ectorhinal</t>
  </si>
  <si>
    <t>olfactory</t>
  </si>
  <si>
    <t>dCA2</t>
  </si>
  <si>
    <t>vCA2</t>
  </si>
  <si>
    <t>Entorhinal, lateral</t>
  </si>
  <si>
    <t>Entorhinal, medial</t>
  </si>
  <si>
    <t>Entorhinal, ventral</t>
  </si>
  <si>
    <t>frontal_pole</t>
  </si>
  <si>
    <t>primary_motor</t>
  </si>
  <si>
    <t>secondary_motor</t>
  </si>
  <si>
    <t>somatosensory_</t>
  </si>
  <si>
    <t>supplemental_somatosensory</t>
  </si>
  <si>
    <t>primary_auditory</t>
  </si>
  <si>
    <t>posterior_auditory</t>
  </si>
  <si>
    <t>ventral_auditory</t>
  </si>
  <si>
    <t>anterolateral_visual</t>
  </si>
  <si>
    <t>anteromedial_visual</t>
  </si>
  <si>
    <t>lateral_visual</t>
  </si>
  <si>
    <t>primary_visual</t>
  </si>
  <si>
    <t>posterolateral_visual</t>
  </si>
  <si>
    <t>posteromedial_visual</t>
  </si>
  <si>
    <t>lateral_orbital</t>
  </si>
  <si>
    <t>medial_orbital</t>
  </si>
  <si>
    <t>ventral_orbital</t>
  </si>
  <si>
    <t>agranular_insula_posterior</t>
  </si>
  <si>
    <t>RSP_lateral_agranular</t>
  </si>
  <si>
    <t>RS_dorsal</t>
  </si>
  <si>
    <t>RSP_ventral</t>
  </si>
  <si>
    <t>temporal_association</t>
  </si>
  <si>
    <t>Entorhinal_lateral</t>
  </si>
  <si>
    <t>agranular_insula_ventral</t>
  </si>
  <si>
    <t>agranular_insula_dorsal</t>
  </si>
  <si>
    <t>Entorhinal_ventral</t>
  </si>
  <si>
    <t>Entorhinal_medial</t>
  </si>
  <si>
    <t>subiculum_dorsal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</si>
</sst>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4" fillId="0" borderId="2" xfId="0" applyFont="1" applyBorder="1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4" fillId="0" borderId="5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/>
    <xf numFmtId="0" fontId="6" fillId="0" borderId="6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4" fillId="0" borderId="8" xfId="0" applyFont="1" applyBorder="1"/>
    <xf numFmtId="0" fontId="5" fillId="0" borderId="8" xfId="0" applyFont="1" applyBorder="1" applyAlignment="1">
      <alignment horizontal="center" vertical="top"/>
    </xf>
    <xf numFmtId="0" fontId="6" fillId="0" borderId="8" xfId="0" applyFont="1" applyBorder="1"/>
    <xf numFmtId="0" fontId="6" fillId="0" borderId="9" xfId="0" applyFont="1" applyBorder="1"/>
    <xf numFmtId="0" fontId="8" fillId="0" borderId="8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7" fillId="0" borderId="0" xfId="0" applyFont="1" applyBorder="1"/>
    <xf numFmtId="0" fontId="7" fillId="0" borderId="6" xfId="0" applyFont="1" applyBorder="1"/>
    <xf numFmtId="0" fontId="4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9" fillId="0" borderId="0" xfId="0" applyFont="1"/>
    <xf numFmtId="0" fontId="10" fillId="0" borderId="0" xfId="0" applyFont="1"/>
  </cellXfs>
  <cellStyles count="1">
    <cellStyle name="Standaard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Z&lt;2'!$Y$3:$Y$16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3-4EDF-94E8-91748920F562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Z&lt;2'!$Z$3:$Z$16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3-4EDF-94E8-91748920F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Z&lt;2'!$AA$4:$AA$13,'Brain networks corrected Z&lt;2'!$AA$16:$AA$17,'Brain networks corrected Z&lt;2'!$AA$20:$AA$27)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('Brain networks corrected Z&lt;2'!$AA$4:$AA$13,'Brain networks corrected Z&lt;2'!$AA$16:$AA$17,'Brain networks corrected Z&lt;2'!$AA$20:$AA$27)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Z&lt;2'!$A$4:$A$13,'Brain networks corrected Z&lt;2'!$A$16:$A$17,'Brain networks corrected Z&lt;2'!$A$20:$A$27)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Z&lt;2'!$Y$4:$Y$13,'Brain networks corrected Z&lt;2'!$Y$16:$Y$17,'Brain networks corrected Z&lt;2'!$Y$20:$Y$27)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6-4C24-936C-03EA7D9F3F76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Z&lt;2'!$AB$4:$AB$13,'Brain networks corrected Z&lt;2'!$AB$16:$AB$17,'Brain networks corrected Z&lt;2'!$AB$20:$AB$27)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('Brain networks corrected Z&lt;2'!$AB$4:$AB$13,'Brain networks corrected Z&lt;2'!$AB$16:$AB$17,'Brain networks corrected Z&lt;2'!$AB$20:$AB$27)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Z&lt;2'!$A$4:$A$13,'Brain networks corrected Z&lt;2'!$A$16:$A$17,'Brain networks corrected Z&lt;2'!$A$20:$A$27)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Z&lt;2'!$Z$4:$Z$13,'Brain networks corrected Z&lt;2'!$Z$16:$Z$17,'Brain networks corrected Z&lt;2'!$Z$20:$Z$27)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6-4C24-936C-03EA7D9F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'Z-scores&lt;2'!$C$3:$UE$3</c:f>
              <c:strCache>
                <c:ptCount val="549"/>
                <c:pt idx="0">
                  <c:v>#N/B</c:v>
                </c:pt>
                <c:pt idx="1">
                  <c:v>#N/B</c:v>
                </c:pt>
                <c:pt idx="2">
                  <c:v>#N/B</c:v>
                </c:pt>
                <c:pt idx="3">
                  <c:v>#N/B</c:v>
                </c:pt>
                <c:pt idx="4">
                  <c:v>#N/B</c:v>
                </c:pt>
                <c:pt idx="5">
                  <c:v>#N/B</c:v>
                </c:pt>
                <c:pt idx="6">
                  <c:v>#N/B</c:v>
                </c:pt>
                <c:pt idx="7">
                  <c:v>#N/B</c:v>
                </c:pt>
                <c:pt idx="8">
                  <c:v>#N/B</c:v>
                </c:pt>
                <c:pt idx="9">
                  <c:v>#N/B</c:v>
                </c:pt>
                <c:pt idx="10">
                  <c:v>#N/B</c:v>
                </c:pt>
                <c:pt idx="11">
                  <c:v>Frontal pole, layer 1</c:v>
                </c:pt>
                <c:pt idx="12">
                  <c:v>Frontal pole, layer 2/3</c:v>
                </c:pt>
                <c:pt idx="13">
                  <c:v>Primary motor area</c:v>
                </c:pt>
                <c:pt idx="14">
                  <c:v>Primary motor area, Layer 1</c:v>
                </c:pt>
                <c:pt idx="15">
                  <c:v>Primary motor area, Layer 2/3</c:v>
                </c:pt>
                <c:pt idx="16">
                  <c:v>Primary motor area, Layer 5</c:v>
                </c:pt>
                <c:pt idx="17">
                  <c:v>Primary motor area, Layer 6a</c:v>
                </c:pt>
                <c:pt idx="18">
                  <c:v>Primary motor area, Layer 6b</c:v>
                </c:pt>
                <c:pt idx="19">
                  <c:v>Secondary motor area, layer 1</c:v>
                </c:pt>
                <c:pt idx="20">
                  <c:v>Secondary motor area, layer 2/3</c:v>
                </c:pt>
                <c:pt idx="21">
                  <c:v>Secondary motor area, layer 5</c:v>
                </c:pt>
                <c:pt idx="22">
                  <c:v>Secondary motor area, layer 6a</c:v>
                </c:pt>
                <c:pt idx="23">
                  <c:v>Secondary motor area, layer 6b</c:v>
                </c:pt>
                <c:pt idx="24">
                  <c:v>Primary somatosensory area, nose, layer 1</c:v>
                </c:pt>
                <c:pt idx="25">
                  <c:v>Primary somatosensory area, nose, layer 2/3</c:v>
                </c:pt>
                <c:pt idx="26">
                  <c:v>Primary somatosensory area, nose, layer 4</c:v>
                </c:pt>
                <c:pt idx="27">
                  <c:v>Primary somatosensory area, nose, layer 5</c:v>
                </c:pt>
                <c:pt idx="28">
                  <c:v>Primary somatosensory area, nose, layer 6a</c:v>
                </c:pt>
                <c:pt idx="29">
                  <c:v>Primary somatosensory area, nose, layer 6b</c:v>
                </c:pt>
                <c:pt idx="30">
                  <c:v>Primary somatosensory area, barrel field, layer 1</c:v>
                </c:pt>
                <c:pt idx="31">
                  <c:v>Primary somatosensory area, barrel field, layer 2/3</c:v>
                </c:pt>
                <c:pt idx="32">
                  <c:v>Primary somatosensory area, barrel field, layer 4</c:v>
                </c:pt>
                <c:pt idx="33">
                  <c:v>Primary somatosensory area, barrel field, layer 5</c:v>
                </c:pt>
                <c:pt idx="34">
                  <c:v>Primary somatosensory area, barrel field, layer 6a</c:v>
                </c:pt>
                <c:pt idx="35">
                  <c:v>Primary somatosensory area, barrel field, layer 6b</c:v>
                </c:pt>
                <c:pt idx="36">
                  <c:v>Primary somatosensory area, lower limb, layer 1</c:v>
                </c:pt>
                <c:pt idx="37">
                  <c:v>Primary somatosensory area, lower limb, layer 2/3</c:v>
                </c:pt>
                <c:pt idx="38">
                  <c:v>Primary somatosensory area, lower limb, layer 4</c:v>
                </c:pt>
                <c:pt idx="39">
                  <c:v>Primary somatosensory area, lower limb, layer 5</c:v>
                </c:pt>
                <c:pt idx="40">
                  <c:v>Primary somatosensory area, lower limb, layer 6a</c:v>
                </c:pt>
                <c:pt idx="41">
                  <c:v>Primary somatosensory area, lower limb, layer 6b</c:v>
                </c:pt>
                <c:pt idx="42">
                  <c:v>Primary somatosensory area, mouth, layer 1</c:v>
                </c:pt>
                <c:pt idx="43">
                  <c:v>Primary somatosensory area, mouth, layer 2/3</c:v>
                </c:pt>
                <c:pt idx="44">
                  <c:v>Primary somatosensory area, mouth, layer 4</c:v>
                </c:pt>
                <c:pt idx="45">
                  <c:v>Primary somatosensory area, mouth, layer 5</c:v>
                </c:pt>
                <c:pt idx="46">
                  <c:v>Primary somatosensory area, mouth, layer 6a</c:v>
                </c:pt>
                <c:pt idx="47">
                  <c:v>Primary somatosensory area, mouth, layer 6b</c:v>
                </c:pt>
                <c:pt idx="48">
                  <c:v>Primary somatosensory area, upper limb, layer 1</c:v>
                </c:pt>
                <c:pt idx="49">
                  <c:v>Primary somatosensory area, upper limb, layer 2/3</c:v>
                </c:pt>
                <c:pt idx="50">
                  <c:v>Primary somatosensory area, upper limb, layer 4</c:v>
                </c:pt>
                <c:pt idx="51">
                  <c:v>Primary somatosensory area, upper limb, layer 5</c:v>
                </c:pt>
                <c:pt idx="52">
                  <c:v>Primary somatosensory area, upper limb, layer 6a</c:v>
                </c:pt>
                <c:pt idx="53">
                  <c:v>Primary somatosensory area, upper limb, layer 6b</c:v>
                </c:pt>
                <c:pt idx="54">
                  <c:v>Primary somatosensory area, trunk, layer 1</c:v>
                </c:pt>
                <c:pt idx="55">
                  <c:v>Primary somatosensory area, trunk, layer 2/3</c:v>
                </c:pt>
                <c:pt idx="56">
                  <c:v>Primary somatosensory area, trunk, layer 4</c:v>
                </c:pt>
                <c:pt idx="57">
                  <c:v>Primary somatosensory area, trunk, layer 5</c:v>
                </c:pt>
                <c:pt idx="58">
                  <c:v>Primary somatosensory area, trunk, layer 6a</c:v>
                </c:pt>
                <c:pt idx="59">
                  <c:v>Primary somatosensory area, trunk, layer 6b</c:v>
                </c:pt>
                <c:pt idx="60">
                  <c:v>Supplemental somatosensory area, layer 1</c:v>
                </c:pt>
                <c:pt idx="61">
                  <c:v>Supplemental somatosensory area, layer 2/3</c:v>
                </c:pt>
                <c:pt idx="62">
                  <c:v>Supplemental somatosensory area, layer 4</c:v>
                </c:pt>
                <c:pt idx="63">
                  <c:v>Supplemental somatosensory area, layer 5</c:v>
                </c:pt>
                <c:pt idx="64">
                  <c:v>Supplemental somatosensory area, layer 6a</c:v>
                </c:pt>
                <c:pt idx="65">
                  <c:v>Supplemental somatosensory area, layer 6b</c:v>
                </c:pt>
                <c:pt idx="66">
                  <c:v>Gustatory areas, layer 1</c:v>
                </c:pt>
                <c:pt idx="67">
                  <c:v>Gustatory areas, layer 2/3</c:v>
                </c:pt>
                <c:pt idx="68">
                  <c:v>Gustatory areas, layer 4</c:v>
                </c:pt>
                <c:pt idx="69">
                  <c:v>Gustatory areas, layer 5</c:v>
                </c:pt>
                <c:pt idx="70">
                  <c:v>Gustatory areas, layer 6a</c:v>
                </c:pt>
                <c:pt idx="71">
                  <c:v>Gustatory areas, layer 6b</c:v>
                </c:pt>
                <c:pt idx="72">
                  <c:v>Visceral area, layer 1</c:v>
                </c:pt>
                <c:pt idx="73">
                  <c:v>Visceral area, layer 2/3</c:v>
                </c:pt>
                <c:pt idx="74">
                  <c:v>Visceral area, layer 4</c:v>
                </c:pt>
                <c:pt idx="75">
                  <c:v>Visceral area, layer 5</c:v>
                </c:pt>
                <c:pt idx="76">
                  <c:v>Visceral area, layer 6a</c:v>
                </c:pt>
                <c:pt idx="77">
                  <c:v>Visceral area, layer 6b</c:v>
                </c:pt>
                <c:pt idx="78">
                  <c:v>Dorsal auditory area, layer 1</c:v>
                </c:pt>
                <c:pt idx="79">
                  <c:v>Dorsal auditory area, layer 2/3</c:v>
                </c:pt>
                <c:pt idx="80">
                  <c:v>Dorsal auditory area, layer 4</c:v>
                </c:pt>
                <c:pt idx="81">
                  <c:v>Dorsal auditory area, layer 5</c:v>
                </c:pt>
                <c:pt idx="82">
                  <c:v>Dorsal auditory area, layer 6a</c:v>
                </c:pt>
                <c:pt idx="83">
                  <c:v>Dorsal auditory area, layer 6b</c:v>
                </c:pt>
                <c:pt idx="84">
                  <c:v>Primary auditory area, layer 1</c:v>
                </c:pt>
                <c:pt idx="85">
                  <c:v>Primary auditory area, layer 2/3</c:v>
                </c:pt>
                <c:pt idx="86">
                  <c:v>Primary auditory area, layer 4</c:v>
                </c:pt>
                <c:pt idx="87">
                  <c:v>Primary auditory area, layer 5</c:v>
                </c:pt>
                <c:pt idx="88">
                  <c:v>Primary auditory area, layer 6a</c:v>
                </c:pt>
                <c:pt idx="89">
                  <c:v>Primary auditory area, layer 6b</c:v>
                </c:pt>
                <c:pt idx="90">
                  <c:v>Posterior amygdalar nucleus</c:v>
                </c:pt>
                <c:pt idx="91">
                  <c:v>Posterior auditory area, layer 1</c:v>
                </c:pt>
                <c:pt idx="92">
                  <c:v>Posterior auditory area, layer 2/3</c:v>
                </c:pt>
                <c:pt idx="93">
                  <c:v>Posterior auditory area, layer 4</c:v>
                </c:pt>
                <c:pt idx="94">
                  <c:v>Posterior auditory area, layer 5</c:v>
                </c:pt>
                <c:pt idx="95">
                  <c:v>Posterior auditory area, layer 6a</c:v>
                </c:pt>
                <c:pt idx="96">
                  <c:v>Posterior auditory area, layer 6b</c:v>
                </c:pt>
                <c:pt idx="97">
                  <c:v>Ventral auditory area, layer 1</c:v>
                </c:pt>
                <c:pt idx="98">
                  <c:v>Ventral auditory area, layer 2/3</c:v>
                </c:pt>
                <c:pt idx="99">
                  <c:v>Ventral auditory area, layer 4</c:v>
                </c:pt>
                <c:pt idx="100">
                  <c:v>Ventral auditory area, layer 5</c:v>
                </c:pt>
                <c:pt idx="101">
                  <c:v>Ventral auditory area, layer 6a</c:v>
                </c:pt>
                <c:pt idx="102">
                  <c:v>Ventral auditory area, layer 6b</c:v>
                </c:pt>
                <c:pt idx="103">
                  <c:v>Anterolateral visual area, layer 1</c:v>
                </c:pt>
                <c:pt idx="104">
                  <c:v>Anterolateral visual area, layer 2/3</c:v>
                </c:pt>
                <c:pt idx="105">
                  <c:v>Anterolateral visual area, layer 4</c:v>
                </c:pt>
                <c:pt idx="106">
                  <c:v>Anterolateral visual area, layer 5</c:v>
                </c:pt>
                <c:pt idx="107">
                  <c:v>Anterolateral visual area, layer 6a</c:v>
                </c:pt>
                <c:pt idx="108">
                  <c:v>Anterolateral visual area, layer 6b</c:v>
                </c:pt>
                <c:pt idx="109">
                  <c:v>Anteromedial visual area, layer 1</c:v>
                </c:pt>
                <c:pt idx="110">
                  <c:v>Anteromedial visual area, layer 2/3</c:v>
                </c:pt>
                <c:pt idx="111">
                  <c:v>Anteromedial visual area, layer 4</c:v>
                </c:pt>
                <c:pt idx="112">
                  <c:v>Anteromedial visual area, layer 5</c:v>
                </c:pt>
                <c:pt idx="113">
                  <c:v>Anteromedial visual area, layer 6a</c:v>
                </c:pt>
                <c:pt idx="114">
                  <c:v>Anteromedial visual area, layer 6b</c:v>
                </c:pt>
                <c:pt idx="115">
                  <c:v>Lateral visual area, layer 1</c:v>
                </c:pt>
                <c:pt idx="116">
                  <c:v>Lateral visual area, layer 2/3</c:v>
                </c:pt>
                <c:pt idx="117">
                  <c:v>Lateral visual area, layer 4</c:v>
                </c:pt>
                <c:pt idx="118">
                  <c:v>Lateral visual area, layer 5</c:v>
                </c:pt>
                <c:pt idx="119">
                  <c:v>Lateral visual area, layer 6a</c:v>
                </c:pt>
                <c:pt idx="120">
                  <c:v>Lateral visual area, layer 6b</c:v>
                </c:pt>
                <c:pt idx="121">
                  <c:v>Primary visual area, layer 1</c:v>
                </c:pt>
                <c:pt idx="122">
                  <c:v>Primary visual area, layer 2/3</c:v>
                </c:pt>
                <c:pt idx="123">
                  <c:v>Primary visual area, layer 4</c:v>
                </c:pt>
                <c:pt idx="124">
                  <c:v>Primary visual area, layer 5</c:v>
                </c:pt>
                <c:pt idx="125">
                  <c:v>Primary visual area, layer 6a</c:v>
                </c:pt>
                <c:pt idx="126">
                  <c:v>Primary visual area, layer 6b</c:v>
                </c:pt>
                <c:pt idx="127">
                  <c:v>Posterolateral visual area, layer 1</c:v>
                </c:pt>
                <c:pt idx="128">
                  <c:v>Posterolateral visual area, layer 2/3</c:v>
                </c:pt>
                <c:pt idx="129">
                  <c:v>Posterolateral visual area, layer 4</c:v>
                </c:pt>
                <c:pt idx="130">
                  <c:v>Posterolateral visual area, layer 5</c:v>
                </c:pt>
                <c:pt idx="131">
                  <c:v>Posterolateral visual area, layer 6a</c:v>
                </c:pt>
                <c:pt idx="132">
                  <c:v>Posterolateral visual area, layer 6b</c:v>
                </c:pt>
                <c:pt idx="133">
                  <c:v>posteromedial visual area, layer 1</c:v>
                </c:pt>
                <c:pt idx="134">
                  <c:v>posteromedial visual area, layer 2/3</c:v>
                </c:pt>
                <c:pt idx="135">
                  <c:v>posteromedial visual area, layer 4</c:v>
                </c:pt>
                <c:pt idx="136">
                  <c:v>posteromedial visual area, layer 5</c:v>
                </c:pt>
                <c:pt idx="137">
                  <c:v>posteromedial visual area, layer 6a</c:v>
                </c:pt>
                <c:pt idx="138">
                  <c:v>posteromedial visual area, layer 6b</c:v>
                </c:pt>
                <c:pt idx="139">
                  <c:v>Anterior cingulate area, dorsal part, layer 1</c:v>
                </c:pt>
                <c:pt idx="140">
                  <c:v>Anterior cingulate area, dorsal part, layer 2/3</c:v>
                </c:pt>
                <c:pt idx="141">
                  <c:v>Anterior cingulate area, dorsal part, layer 5</c:v>
                </c:pt>
                <c:pt idx="142">
                  <c:v>Anterior cingulate area, dorsal part, layer 6a</c:v>
                </c:pt>
                <c:pt idx="143">
                  <c:v>Anterior cingulate area, dorsal part, layer 6b</c:v>
                </c:pt>
                <c:pt idx="144">
                  <c:v>Anterior cingulate area, ventral part, 6a</c:v>
                </c:pt>
                <c:pt idx="145">
                  <c:v>Anterior cingulate area, ventral part, 6b</c:v>
                </c:pt>
                <c:pt idx="146">
                  <c:v>Anterior cingulate area, ventral part, layer 1</c:v>
                </c:pt>
                <c:pt idx="147">
                  <c:v>Anterior cingulate area, ventral part, layer 2/3</c:v>
                </c:pt>
                <c:pt idx="148">
                  <c:v>Anterior cingulate area, ventral part, layer 5</c:v>
                </c:pt>
                <c:pt idx="149">
                  <c:v>Prelimbic area, layer 1</c:v>
                </c:pt>
                <c:pt idx="150">
                  <c:v>Prelimbic area, layer 2/3</c:v>
                </c:pt>
                <c:pt idx="151">
                  <c:v>Prelimbic area, layer 5</c:v>
                </c:pt>
                <c:pt idx="152">
                  <c:v>Prelimbic area, layer 6a</c:v>
                </c:pt>
                <c:pt idx="153">
                  <c:v>Prelimbic area, layer 6b</c:v>
                </c:pt>
                <c:pt idx="154">
                  <c:v>Infralimbic area, layer 1</c:v>
                </c:pt>
                <c:pt idx="155">
                  <c:v>Infralimbic area, layer 2/3</c:v>
                </c:pt>
                <c:pt idx="156">
                  <c:v>Infralimbic area, layer 5</c:v>
                </c:pt>
                <c:pt idx="157">
                  <c:v>Infralimbic area, layer 6a</c:v>
                </c:pt>
                <c:pt idx="158">
                  <c:v>Infralimbic area, layer 6b</c:v>
                </c:pt>
                <c:pt idx="159">
                  <c:v>Orbital area, lateral part, layer 1</c:v>
                </c:pt>
                <c:pt idx="160">
                  <c:v>Orbital area, lateral part, layer 2/3</c:v>
                </c:pt>
                <c:pt idx="161">
                  <c:v>Orbital area, lateral part, layer 5</c:v>
                </c:pt>
                <c:pt idx="162">
                  <c:v>Orbital area, lateral part, layer 6a</c:v>
                </c:pt>
                <c:pt idx="163">
                  <c:v>Orbital area, lateral part, layer 6b</c:v>
                </c:pt>
                <c:pt idx="164">
                  <c:v>Orbital area, medial part, layer 1</c:v>
                </c:pt>
                <c:pt idx="165">
                  <c:v>Orbital area, medial part, layer 2/3</c:v>
                </c:pt>
                <c:pt idx="166">
                  <c:v>Orbital area, medial part, layer 5</c:v>
                </c:pt>
                <c:pt idx="167">
                  <c:v>Orbital area, medial part, layer 6a</c:v>
                </c:pt>
                <c:pt idx="168">
                  <c:v>Orbital area, ventrolateral part, layer 1</c:v>
                </c:pt>
                <c:pt idx="169">
                  <c:v>Orbital area, ventrolateral part, layer 2/3</c:v>
                </c:pt>
                <c:pt idx="170">
                  <c:v>Orbital area, ventrolateral part, layer 5</c:v>
                </c:pt>
                <c:pt idx="171">
                  <c:v>Orbital area, ventrolateral part, layer 6a</c:v>
                </c:pt>
                <c:pt idx="172">
                  <c:v>Orbital area, ventrolateral part, layer 6b</c:v>
                </c:pt>
                <c:pt idx="173">
                  <c:v>Agranular insular area, dorsal part</c:v>
                </c:pt>
                <c:pt idx="174">
                  <c:v>Agranular insular area, dorsal part, layer 1</c:v>
                </c:pt>
                <c:pt idx="175">
                  <c:v>Agranular insular area, dorsal part, layer 2/3</c:v>
                </c:pt>
                <c:pt idx="176">
                  <c:v>Agranular insular area, dorsal part, layer 5</c:v>
                </c:pt>
                <c:pt idx="177">
                  <c:v>Agranular insular area, dorsal part, layer 6a</c:v>
                </c:pt>
                <c:pt idx="178">
                  <c:v>Agranular insular area, dorsal part, layer 6b</c:v>
                </c:pt>
                <c:pt idx="179">
                  <c:v>Agranular insular area, posterior part, layer 1</c:v>
                </c:pt>
                <c:pt idx="180">
                  <c:v>Agranular insular area, posterior part, layer 2/3</c:v>
                </c:pt>
                <c:pt idx="181">
                  <c:v>Agranular insular area, posterior part, layer 5</c:v>
                </c:pt>
                <c:pt idx="182">
                  <c:v>Agranular insular area, posterior part, layer 6a</c:v>
                </c:pt>
                <c:pt idx="183">
                  <c:v>Agranular insular area, ventral part, layer 1</c:v>
                </c:pt>
                <c:pt idx="184">
                  <c:v>Agranular insular area, ventral part, layer 2/3</c:v>
                </c:pt>
                <c:pt idx="185">
                  <c:v>Agranular insular area, ventral part, layer 5</c:v>
                </c:pt>
                <c:pt idx="186">
                  <c:v>Agranular insular area, ventral part, layer 6a</c:v>
                </c:pt>
                <c:pt idx="187">
                  <c:v>Retrosplenial area, lateral agranular part</c:v>
                </c:pt>
                <c:pt idx="188">
                  <c:v>Retrosplenial area, lateral agranular part, layer 1</c:v>
                </c:pt>
                <c:pt idx="189">
                  <c:v>Retrosplenial area, lateral agranular part, layer 2/3</c:v>
                </c:pt>
                <c:pt idx="190">
                  <c:v>Retrosplenial area, lateral agranular part, layer 5</c:v>
                </c:pt>
                <c:pt idx="191">
                  <c:v>Retrosplenial area, lateral agranular part, layer 6a</c:v>
                </c:pt>
                <c:pt idx="192">
                  <c:v>Retrosplenial area, lateral agranular part, layer 6b</c:v>
                </c:pt>
                <c:pt idx="193">
                  <c:v>Retrosplenial area, dorsal part, layer 1</c:v>
                </c:pt>
                <c:pt idx="194">
                  <c:v>Retrosplenial area, dorsal part, layer 2/3</c:v>
                </c:pt>
                <c:pt idx="195">
                  <c:v>Retrosplenial area, dorsal part, layer 4</c:v>
                </c:pt>
                <c:pt idx="196">
                  <c:v>Retrosplenial area, dorsal part, layer 5</c:v>
                </c:pt>
                <c:pt idx="197">
                  <c:v>Retrosplenial area, dorsal part, layer 6a</c:v>
                </c:pt>
                <c:pt idx="198">
                  <c:v>Retrosplenial area, dorsal part, layer 6b</c:v>
                </c:pt>
                <c:pt idx="199">
                  <c:v>Retrosplenial area, ventral part, layer 1</c:v>
                </c:pt>
                <c:pt idx="200">
                  <c:v>Retrosplenial area, ventral part, layer 2/3</c:v>
                </c:pt>
                <c:pt idx="201">
                  <c:v>Retrosplenial area, ventral part, layer 5</c:v>
                </c:pt>
                <c:pt idx="202">
                  <c:v>Retrosplenial area, ventral part, layer 6a</c:v>
                </c:pt>
                <c:pt idx="203">
                  <c:v>Retrosplenial area, ventral part, layer 6b</c:v>
                </c:pt>
                <c:pt idx="204">
                  <c:v>Temporal association areas, layer 1</c:v>
                </c:pt>
                <c:pt idx="205">
                  <c:v>Temporal association areas, layer 2/3</c:v>
                </c:pt>
                <c:pt idx="206">
                  <c:v>Temporal association areas, layer 4</c:v>
                </c:pt>
                <c:pt idx="207">
                  <c:v>Temporal association areas, layer 5</c:v>
                </c:pt>
                <c:pt idx="208">
                  <c:v>Temporal association areas, layer 6a</c:v>
                </c:pt>
                <c:pt idx="209">
                  <c:v>Temporal association areas, layer 6b</c:v>
                </c:pt>
                <c:pt idx="210">
                  <c:v>Perirhinal area, layer 1</c:v>
                </c:pt>
                <c:pt idx="211">
                  <c:v>Perirhinal area, layer 2/3</c:v>
                </c:pt>
                <c:pt idx="212">
                  <c:v>Perirhinal area, layer 5</c:v>
                </c:pt>
                <c:pt idx="213">
                  <c:v>Perirhinal area, layer 6a</c:v>
                </c:pt>
                <c:pt idx="214">
                  <c:v>Perirhinal area, layer 6b</c:v>
                </c:pt>
                <c:pt idx="215">
                  <c:v>Ectorhinal area</c:v>
                </c:pt>
                <c:pt idx="216">
                  <c:v>Ectorhinal area/Layer 1</c:v>
                </c:pt>
                <c:pt idx="217">
                  <c:v>Ectorhinal area/Layer 2/3</c:v>
                </c:pt>
                <c:pt idx="218">
                  <c:v>Ectorhinal area/Layer 5</c:v>
                </c:pt>
                <c:pt idx="219">
                  <c:v>Ectorhinal area/Layer 6a</c:v>
                </c:pt>
                <c:pt idx="220">
                  <c:v>Ectorhinal area/Layer 6b</c:v>
                </c:pt>
                <c:pt idx="221">
                  <c:v>Olfactory areas</c:v>
                </c:pt>
                <c:pt idx="222">
                  <c:v>Main olfactory bulb</c:v>
                </c:pt>
                <c:pt idx="223">
                  <c:v>Accessory olfactory bulb, glomerular layer</c:v>
                </c:pt>
                <c:pt idx="224">
                  <c:v>Accessory olfactory bulb, granular layer</c:v>
                </c:pt>
                <c:pt idx="225">
                  <c:v>Accessory olfactory bulb, mitral layer</c:v>
                </c:pt>
                <c:pt idx="226">
                  <c:v>Anterior olfactory nucleus</c:v>
                </c:pt>
                <c:pt idx="227">
                  <c:v>Taenia tecta</c:v>
                </c:pt>
                <c:pt idx="228">
                  <c:v>Dorsal peduncular area</c:v>
                </c:pt>
                <c:pt idx="229">
                  <c:v>Piriform area</c:v>
                </c:pt>
                <c:pt idx="230">
                  <c:v>Nucleus of the lateral olfactory tract, molecular layer</c:v>
                </c:pt>
                <c:pt idx="231">
                  <c:v>Nucleus of the lateral olfactory tract, layer 3</c:v>
                </c:pt>
                <c:pt idx="232">
                  <c:v>Cortical amygdalar area, anterior part</c:v>
                </c:pt>
                <c:pt idx="233">
                  <c:v>Cortical amygdalar area, posterior part</c:v>
                </c:pt>
                <c:pt idx="234">
                  <c:v>Piriform-amygdalar area</c:v>
                </c:pt>
                <c:pt idx="235">
                  <c:v>Postpiriform transition area</c:v>
                </c:pt>
                <c:pt idx="236">
                  <c:v>Hippocampal formation</c:v>
                </c:pt>
                <c:pt idx="237">
                  <c:v>Field CA1</c:v>
                </c:pt>
                <c:pt idx="238">
                  <c:v>Field CA2</c:v>
                </c:pt>
                <c:pt idx="239">
                  <c:v>Field CA3</c:v>
                </c:pt>
                <c:pt idx="240">
                  <c:v>Field CA1 ventral</c:v>
                </c:pt>
                <c:pt idx="241">
                  <c:v>Field CA2 ventral</c:v>
                </c:pt>
                <c:pt idx="242">
                  <c:v>Field CA3 ventral</c:v>
                </c:pt>
                <c:pt idx="243">
                  <c:v>Dentate gyrus, molecular layer</c:v>
                </c:pt>
                <c:pt idx="244">
                  <c:v>Dentate gyrus, molecular layer</c:v>
                </c:pt>
                <c:pt idx="245">
                  <c:v>Dentate gyrus, polymorph layer</c:v>
                </c:pt>
                <c:pt idx="246">
                  <c:v>Dentate gyrus, granule cell layer</c:v>
                </c:pt>
                <c:pt idx="247">
                  <c:v>Dentate gyrus, granule cell layer ventral</c:v>
                </c:pt>
                <c:pt idx="248">
                  <c:v>Dentate gyrus, subgranular zone ventral</c:v>
                </c:pt>
                <c:pt idx="249">
                  <c:v>Fasciola cinerea</c:v>
                </c:pt>
                <c:pt idx="250">
                  <c:v>Induseum griseum</c:v>
                </c:pt>
                <c:pt idx="251">
                  <c:v>Entorhinal area, lateral part</c:v>
                </c:pt>
                <c:pt idx="252">
                  <c:v>Entorhinal area, medial part, dorsal zone</c:v>
                </c:pt>
                <c:pt idx="253">
                  <c:v>Entorhinal area, medial part, ventral zone</c:v>
                </c:pt>
                <c:pt idx="254">
                  <c:v>Parasubiculum</c:v>
                </c:pt>
                <c:pt idx="255">
                  <c:v>Postsubiculum</c:v>
                </c:pt>
                <c:pt idx="256">
                  <c:v>Presubiculum</c:v>
                </c:pt>
                <c:pt idx="257">
                  <c:v>Subiculum</c:v>
                </c:pt>
                <c:pt idx="258">
                  <c:v>Cortical subplate</c:v>
                </c:pt>
                <c:pt idx="259">
                  <c:v>Claustrum</c:v>
                </c:pt>
                <c:pt idx="260">
                  <c:v>Endopiriform nucleus, dorsal part</c:v>
                </c:pt>
                <c:pt idx="261">
                  <c:v>Endopiriform nucleus, ventral part</c:v>
                </c:pt>
                <c:pt idx="262">
                  <c:v>Lateral amygdalar nucleus</c:v>
                </c:pt>
                <c:pt idx="263">
                  <c:v>Basolateral amygdalar nucleus, anterior part</c:v>
                </c:pt>
                <c:pt idx="264">
                  <c:v>Basolateral amygdalar nucleus, posterior part</c:v>
                </c:pt>
                <c:pt idx="265">
                  <c:v>Basolateral amygdalar nucleus, ventral part</c:v>
                </c:pt>
                <c:pt idx="266">
                  <c:v>Basomedial amygdalar nucleus</c:v>
                </c:pt>
                <c:pt idx="267">
                  <c:v>Striatum</c:v>
                </c:pt>
                <c:pt idx="268">
                  <c:v>Caudoputamen</c:v>
                </c:pt>
                <c:pt idx="269">
                  <c:v>Nucleus accumbens</c:v>
                </c:pt>
                <c:pt idx="270">
                  <c:v>Fundus of striatum</c:v>
                </c:pt>
                <c:pt idx="271">
                  <c:v>Olfactory tubercle</c:v>
                </c:pt>
                <c:pt idx="272">
                  <c:v>Lateral septal nucleus, caudal (caudodorsal) part</c:v>
                </c:pt>
                <c:pt idx="273">
                  <c:v>Lateral septal nucleus, rostral (rostroventral) part</c:v>
                </c:pt>
                <c:pt idx="274">
                  <c:v>Lateral septal nucleus, ventral part</c:v>
                </c:pt>
                <c:pt idx="275">
                  <c:v>Septofimbrial nucleus</c:v>
                </c:pt>
                <c:pt idx="276">
                  <c:v>Septohippocampal nucleus</c:v>
                </c:pt>
                <c:pt idx="277">
                  <c:v>Striatum-like amygdalar nuclei</c:v>
                </c:pt>
                <c:pt idx="278">
                  <c:v>Anterior amygdalar area</c:v>
                </c:pt>
                <c:pt idx="279">
                  <c:v>Bed nucleus of the accessory olfactory tract</c:v>
                </c:pt>
                <c:pt idx="280">
                  <c:v>Central amygdalar nucleus</c:v>
                </c:pt>
                <c:pt idx="281">
                  <c:v>Intercalated amygdalar nucleus</c:v>
                </c:pt>
                <c:pt idx="282">
                  <c:v>Medial amygdalar nucleus</c:v>
                </c:pt>
                <c:pt idx="283">
                  <c:v>Pallidum</c:v>
                </c:pt>
                <c:pt idx="284">
                  <c:v>Globus pallidus, internal segment</c:v>
                </c:pt>
                <c:pt idx="285">
                  <c:v>Globus pallidus, external segment</c:v>
                </c:pt>
                <c:pt idx="286">
                  <c:v>Substantia innominata</c:v>
                </c:pt>
                <c:pt idx="287">
                  <c:v>Magnocellular nucleus</c:v>
                </c:pt>
                <c:pt idx="288">
                  <c:v>Medial septal nucleus</c:v>
                </c:pt>
                <c:pt idx="289">
                  <c:v>Diagonal band nucleus</c:v>
                </c:pt>
                <c:pt idx="290">
                  <c:v>Triangular nucleus of septum</c:v>
                </c:pt>
                <c:pt idx="291">
                  <c:v>Bed nuclei of the stria terminalis</c:v>
                </c:pt>
                <c:pt idx="292">
                  <c:v>Bed nucleus of the anterior commissure</c:v>
                </c:pt>
                <c:pt idx="293">
                  <c:v>Thalamus</c:v>
                </c:pt>
                <c:pt idx="294">
                  <c:v>Ventral anterior-lateral complex of the thalamus</c:v>
                </c:pt>
                <c:pt idx="295">
                  <c:v>Ventral medial nucleus of the thalamus</c:v>
                </c:pt>
                <c:pt idx="296">
                  <c:v>Ventral posterolateral nucleus of the thalamus</c:v>
                </c:pt>
                <c:pt idx="297">
                  <c:v>Ventral posterolateral nucleus of the thalamus, parvicellular part</c:v>
                </c:pt>
                <c:pt idx="298">
                  <c:v>Ventral posteromedial nucleus of the thalamus</c:v>
                </c:pt>
                <c:pt idx="299">
                  <c:v>Ventral posteromedial nucleus of the thalamus, parvicellular part</c:v>
                </c:pt>
                <c:pt idx="300">
                  <c:v>Subparafascicular area</c:v>
                </c:pt>
                <c:pt idx="301">
                  <c:v>Subparafascicular nucleus, magnocellular part</c:v>
                </c:pt>
                <c:pt idx="302">
                  <c:v>Subparafascicular nucleus, parvicellular part</c:v>
                </c:pt>
                <c:pt idx="303">
                  <c:v>Peripeduncular nucleus</c:v>
                </c:pt>
                <c:pt idx="304">
                  <c:v>Medial geniculate complex</c:v>
                </c:pt>
                <c:pt idx="305">
                  <c:v>Dorsal part of the lateral geniculate complex</c:v>
                </c:pt>
                <c:pt idx="306">
                  <c:v>Lateral posterior nucleus of the thalamus</c:v>
                </c:pt>
                <c:pt idx="307">
                  <c:v>Posterior complex of the thalamus</c:v>
                </c:pt>
                <c:pt idx="308">
                  <c:v>Posterior limiting nucleus of the thalamus</c:v>
                </c:pt>
                <c:pt idx="309">
                  <c:v>Suprageniculate nucleus</c:v>
                </c:pt>
                <c:pt idx="310">
                  <c:v>Anteroventral nucleus of thalamus</c:v>
                </c:pt>
                <c:pt idx="311">
                  <c:v>Anteromedial nucleus</c:v>
                </c:pt>
                <c:pt idx="312">
                  <c:v>Anterodorsal nucleus</c:v>
                </c:pt>
                <c:pt idx="313">
                  <c:v>Interanteromedial nucleus of the thalamus</c:v>
                </c:pt>
                <c:pt idx="314">
                  <c:v>Interanterodorsal nucleus of the thalamus</c:v>
                </c:pt>
                <c:pt idx="315">
                  <c:v>Lateral dorsal nucleus of thalamus</c:v>
                </c:pt>
                <c:pt idx="316">
                  <c:v>Mediodorsal nucleus of thalamus</c:v>
                </c:pt>
                <c:pt idx="317">
                  <c:v>Submedial nucleus of the thalamus</c:v>
                </c:pt>
                <c:pt idx="318">
                  <c:v>Perireunensis nucleus</c:v>
                </c:pt>
                <c:pt idx="319">
                  <c:v>Parataenial nucleus</c:v>
                </c:pt>
                <c:pt idx="320">
                  <c:v>Nucleus of reunions</c:v>
                </c:pt>
                <c:pt idx="321">
                  <c:v>Rhomboid nucleus</c:v>
                </c:pt>
                <c:pt idx="322">
                  <c:v>Central medial nucleus of the thalamus</c:v>
                </c:pt>
                <c:pt idx="323">
                  <c:v>Paracentral nucleus</c:v>
                </c:pt>
                <c:pt idx="324">
                  <c:v>Central lateral nucleus of the thalamus</c:v>
                </c:pt>
                <c:pt idx="325">
                  <c:v>Parafascicular nucleus</c:v>
                </c:pt>
                <c:pt idx="326">
                  <c:v>Reticular nucleus of the thalamus</c:v>
                </c:pt>
                <c:pt idx="327">
                  <c:v>Intergeniculate leaflet of the lateral geniculate complex</c:v>
                </c:pt>
                <c:pt idx="328">
                  <c:v>Ventral part of the lateral geniculate complex</c:v>
                </c:pt>
                <c:pt idx="329">
                  <c:v>Subgeniculate nucleus</c:v>
                </c:pt>
                <c:pt idx="330">
                  <c:v>Medial habenula</c:v>
                </c:pt>
                <c:pt idx="331">
                  <c:v>Lateral habenula</c:v>
                </c:pt>
                <c:pt idx="332">
                  <c:v>Hypothalamus</c:v>
                </c:pt>
                <c:pt idx="333">
                  <c:v>Supraoptic nucleus</c:v>
                </c:pt>
                <c:pt idx="334">
                  <c:v>Accessory supraoptic group</c:v>
                </c:pt>
                <c:pt idx="335">
                  <c:v>Paraventricular hypothalamic nucleus</c:v>
                </c:pt>
                <c:pt idx="336">
                  <c:v>Periventricular hypothalamic nucleus, intermediate part</c:v>
                </c:pt>
                <c:pt idx="337">
                  <c:v>Arcuate hypothalamic nucleus</c:v>
                </c:pt>
                <c:pt idx="338">
                  <c:v>Anterodorsal preoptic nucleus</c:v>
                </c:pt>
                <c:pt idx="339">
                  <c:v>Anteroventral preoptic nucleus</c:v>
                </c:pt>
                <c:pt idx="340">
                  <c:v>Anteroventral periventricular nucleus</c:v>
                </c:pt>
                <c:pt idx="341">
                  <c:v>Dorsomedial nucleus of the hypothalamus</c:v>
                </c:pt>
                <c:pt idx="342">
                  <c:v>Median preoptic nucleus</c:v>
                </c:pt>
                <c:pt idx="343">
                  <c:v>Medial preoptic area</c:v>
                </c:pt>
                <c:pt idx="344">
                  <c:v>Posterodorsal preoptic nucleus</c:v>
                </c:pt>
                <c:pt idx="345">
                  <c:v>Parastrial nucleus</c:v>
                </c:pt>
                <c:pt idx="346">
                  <c:v>Periventricular hypothalamic nucleus, posterior part</c:v>
                </c:pt>
                <c:pt idx="347">
                  <c:v>Periventricular hypothalamic nucleus, preoptic part</c:v>
                </c:pt>
                <c:pt idx="348">
                  <c:v>Subparaventricular zone</c:v>
                </c:pt>
                <c:pt idx="349">
                  <c:v>Ventrolateral preoptic nucleus</c:v>
                </c:pt>
                <c:pt idx="350">
                  <c:v>Anterior hypothalamic nucleus</c:v>
                </c:pt>
                <c:pt idx="351">
                  <c:v>Lateral mammillary nucleus</c:v>
                </c:pt>
                <c:pt idx="352">
                  <c:v>Medial mammillary nucleus</c:v>
                </c:pt>
                <c:pt idx="353">
                  <c:v>Supramammillary nucleus</c:v>
                </c:pt>
                <c:pt idx="354">
                  <c:v>Tuberomammillary nucleus, dorsal part</c:v>
                </c:pt>
                <c:pt idx="355">
                  <c:v>Tuberomammillary nucleus, ventral part</c:v>
                </c:pt>
                <c:pt idx="356">
                  <c:v>Medial preoptic nucleus</c:v>
                </c:pt>
                <c:pt idx="357">
                  <c:v>Dorsal premammillary nucleus</c:v>
                </c:pt>
                <c:pt idx="358">
                  <c:v>Ventral premammillary nucleus</c:v>
                </c:pt>
                <c:pt idx="359">
                  <c:v>Paraventricular hypothalamic nucleus, descending division</c:v>
                </c:pt>
                <c:pt idx="360">
                  <c:v>Ventromedial hypothalamic nucleus</c:v>
                </c:pt>
                <c:pt idx="361">
                  <c:v>Posterior hypothalamic nucleus</c:v>
                </c:pt>
                <c:pt idx="362">
                  <c:v>Lateral hypothalamic area</c:v>
                </c:pt>
                <c:pt idx="363">
                  <c:v>Lateral preoptic area</c:v>
                </c:pt>
                <c:pt idx="364">
                  <c:v>Preparasubthalamic nucleus</c:v>
                </c:pt>
                <c:pt idx="365">
                  <c:v>Parasubthalamic nucleus</c:v>
                </c:pt>
                <c:pt idx="366">
                  <c:v>Retrochiasmatic area</c:v>
                </c:pt>
                <c:pt idx="367">
                  <c:v>Subthalamic nucleus</c:v>
                </c:pt>
                <c:pt idx="368">
                  <c:v>Tuberal nucleus</c:v>
                </c:pt>
                <c:pt idx="369">
                  <c:v>Zona incerta</c:v>
                </c:pt>
                <c:pt idx="370">
                  <c:v>Fields of Forel</c:v>
                </c:pt>
                <c:pt idx="371">
                  <c:v>Midbrain</c:v>
                </c:pt>
                <c:pt idx="372">
                  <c:v>Superior colliculus, optic layer</c:v>
                </c:pt>
                <c:pt idx="373">
                  <c:v>Superior colliculus, superficial gray layer</c:v>
                </c:pt>
                <c:pt idx="374">
                  <c:v>Inferior colliculus</c:v>
                </c:pt>
                <c:pt idx="375">
                  <c:v>Nucleus of the brachium of the inferior colliculus</c:v>
                </c:pt>
                <c:pt idx="376">
                  <c:v>Nucleus sagulum</c:v>
                </c:pt>
                <c:pt idx="377">
                  <c:v>Parabigeminal nucleus</c:v>
                </c:pt>
                <c:pt idx="378">
                  <c:v>Midbrain trigeminal nucleus</c:v>
                </c:pt>
                <c:pt idx="379">
                  <c:v>Substantia nigra, reticular part</c:v>
                </c:pt>
                <c:pt idx="380">
                  <c:v>Ventral tegmental area</c:v>
                </c:pt>
                <c:pt idx="381">
                  <c:v>Midbrain reticular nucleus</c:v>
                </c:pt>
                <c:pt idx="382">
                  <c:v>Midbrain reticular nucleus, retrorubral area</c:v>
                </c:pt>
                <c:pt idx="383">
                  <c:v>Superior colliculus, motor related, deep gray layer</c:v>
                </c:pt>
                <c:pt idx="384">
                  <c:v>Superior colliculus, motor related, deep white layer</c:v>
                </c:pt>
                <c:pt idx="385">
                  <c:v>Superior colliculus, motor related, intermediate white layer</c:v>
                </c:pt>
                <c:pt idx="386">
                  <c:v>Superior colliculus, motor related, intermediate gray layer</c:v>
                </c:pt>
                <c:pt idx="387">
                  <c:v>Superior colliculus, motor related, intermediate gray layer, sublayer a</c:v>
                </c:pt>
                <c:pt idx="388">
                  <c:v>Superior colliculus, motor related, intermediate gray layer, sublayer b</c:v>
                </c:pt>
                <c:pt idx="389">
                  <c:v>Superior colliculus, motor related, intermediate gray layer, sublayer c</c:v>
                </c:pt>
                <c:pt idx="390">
                  <c:v>Periaqueductal gray</c:v>
                </c:pt>
                <c:pt idx="391">
                  <c:v>Precommissural nucleus</c:v>
                </c:pt>
                <c:pt idx="392">
                  <c:v>Interstitial nucleus of Cajal</c:v>
                </c:pt>
                <c:pt idx="393">
                  <c:v>Nucleus of Darkschewitsch</c:v>
                </c:pt>
                <c:pt idx="394">
                  <c:v>Anterior pretectal nucleus</c:v>
                </c:pt>
                <c:pt idx="395">
                  <c:v>Medial pretectal area</c:v>
                </c:pt>
                <c:pt idx="396">
                  <c:v>Nucleus of the optic tract</c:v>
                </c:pt>
                <c:pt idx="397">
                  <c:v>Nucleus of the posterior commissure</c:v>
                </c:pt>
                <c:pt idx="398">
                  <c:v>Olivary pretectal nucleus</c:v>
                </c:pt>
                <c:pt idx="399">
                  <c:v>Posterior pretectal nucleus</c:v>
                </c:pt>
                <c:pt idx="400">
                  <c:v>Cuneiform nucleus</c:v>
                </c:pt>
                <c:pt idx="401">
                  <c:v>Red nucleus</c:v>
                </c:pt>
                <c:pt idx="402">
                  <c:v>Oculomotor nucleus</c:v>
                </c:pt>
                <c:pt idx="403">
                  <c:v>Trochlear nucleus</c:v>
                </c:pt>
                <c:pt idx="404">
                  <c:v>Ventral tegmental nucleus</c:v>
                </c:pt>
                <c:pt idx="405">
                  <c:v>Anterior tegmental nucleus</c:v>
                </c:pt>
                <c:pt idx="406">
                  <c:v>Lateral terminal nucleus of the accessory optic tract</c:v>
                </c:pt>
                <c:pt idx="407">
                  <c:v>Substantia nigra, compact part</c:v>
                </c:pt>
                <c:pt idx="408">
                  <c:v>Pedunculopontine nucleus</c:v>
                </c:pt>
                <c:pt idx="409">
                  <c:v>Interfascicular nucleus raphÃË</c:v>
                </c:pt>
                <c:pt idx="410">
                  <c:v>Interpeduncular nucleus</c:v>
                </c:pt>
                <c:pt idx="411">
                  <c:v>Central linear nucleus raphÃË</c:v>
                </c:pt>
                <c:pt idx="412">
                  <c:v>Dorsal nucleus raphÃË</c:v>
                </c:pt>
                <c:pt idx="413">
                  <c:v>Pons</c:v>
                </c:pt>
                <c:pt idx="414">
                  <c:v>Nucleus of the lateral lemniscus</c:v>
                </c:pt>
                <c:pt idx="415">
                  <c:v>Principal sensory nucleus of the trigeminal</c:v>
                </c:pt>
                <c:pt idx="416">
                  <c:v>Parabrachial nucleus</c:v>
                </c:pt>
                <c:pt idx="417">
                  <c:v>Superior olivary complex, periolivary region</c:v>
                </c:pt>
                <c:pt idx="418">
                  <c:v>Superior olivary complex, medial part</c:v>
                </c:pt>
                <c:pt idx="419">
                  <c:v>Superior olivary complex, lateral part</c:v>
                </c:pt>
                <c:pt idx="420">
                  <c:v>Barrington's nucleus</c:v>
                </c:pt>
                <c:pt idx="421">
                  <c:v>Dorsal tegmental nucleus</c:v>
                </c:pt>
                <c:pt idx="422">
                  <c:v>Pontine central gray</c:v>
                </c:pt>
                <c:pt idx="423">
                  <c:v>Pontine gray</c:v>
                </c:pt>
                <c:pt idx="424">
                  <c:v>Pontine reticular nucleus, caudal part</c:v>
                </c:pt>
                <c:pt idx="425">
                  <c:v>Supragenual nucleus</c:v>
                </c:pt>
                <c:pt idx="426">
                  <c:v>Supratrigeminal nucleus</c:v>
                </c:pt>
                <c:pt idx="427">
                  <c:v>Tegmental reticular nucleus</c:v>
                </c:pt>
                <c:pt idx="428">
                  <c:v>Motor nucleus of trigeminal</c:v>
                </c:pt>
                <c:pt idx="429">
                  <c:v>Superior central nucleus raphÃË</c:v>
                </c:pt>
                <c:pt idx="430">
                  <c:v>Locus ceruleus</c:v>
                </c:pt>
                <c:pt idx="431">
                  <c:v>Laterodorsal tegmental nucleus</c:v>
                </c:pt>
                <c:pt idx="432">
                  <c:v>Nucleus incertus</c:v>
                </c:pt>
                <c:pt idx="433">
                  <c:v>Pontine reticular nucleus</c:v>
                </c:pt>
                <c:pt idx="434">
                  <c:v>Nucleus raphÃË pontis</c:v>
                </c:pt>
                <c:pt idx="435">
                  <c:v>Subceruleus nucleus</c:v>
                </c:pt>
                <c:pt idx="436">
                  <c:v>Sublaterodorsal nucleus</c:v>
                </c:pt>
                <c:pt idx="437">
                  <c:v>Medulla</c:v>
                </c:pt>
                <c:pt idx="438">
                  <c:v>Area postrema</c:v>
                </c:pt>
                <c:pt idx="439">
                  <c:v>Dorsal cochlear nucleus</c:v>
                </c:pt>
                <c:pt idx="440">
                  <c:v>Ventral cochlear nucleus</c:v>
                </c:pt>
                <c:pt idx="441">
                  <c:v>Cuneate nucleus</c:v>
                </c:pt>
                <c:pt idx="442">
                  <c:v>Gracile nucleus</c:v>
                </c:pt>
                <c:pt idx="443">
                  <c:v>External cuneate nucleus</c:v>
                </c:pt>
                <c:pt idx="444">
                  <c:v>Nucleus of the trapezoid body</c:v>
                </c:pt>
                <c:pt idx="445">
                  <c:v>Nucleus of the solitary tract</c:v>
                </c:pt>
                <c:pt idx="446">
                  <c:v>Spinal nucleus of the trigeminal, caudal part</c:v>
                </c:pt>
                <c:pt idx="447">
                  <c:v>Spinal nucleus of the trigeminal, interpolar part</c:v>
                </c:pt>
                <c:pt idx="448">
                  <c:v>Spinal nucleus of the trigeminal, oral part</c:v>
                </c:pt>
                <c:pt idx="449">
                  <c:v>Abducens nucleus</c:v>
                </c:pt>
                <c:pt idx="450">
                  <c:v>Facial motor nucleus</c:v>
                </c:pt>
                <c:pt idx="451">
                  <c:v>Accessory facial motor nucleus</c:v>
                </c:pt>
                <c:pt idx="452">
                  <c:v>Nucleus ambiguus, dorsal division</c:v>
                </c:pt>
                <c:pt idx="453">
                  <c:v>Nucleus ambiguus, ventral division</c:v>
                </c:pt>
                <c:pt idx="454">
                  <c:v>Dorsal motor nucleus of the vagus nerve</c:v>
                </c:pt>
                <c:pt idx="455">
                  <c:v>Gigantocellular reticular nucleus</c:v>
                </c:pt>
                <c:pt idx="456">
                  <c:v>Infracerebellar nucleus</c:v>
                </c:pt>
                <c:pt idx="457">
                  <c:v>Inferior olivary complex</c:v>
                </c:pt>
                <c:pt idx="458">
                  <c:v>Intermediate reticular nucleus</c:v>
                </c:pt>
                <c:pt idx="459">
                  <c:v>Inferior salivatory nucleus</c:v>
                </c:pt>
                <c:pt idx="460">
                  <c:v>Linear nucleus of the medulla</c:v>
                </c:pt>
                <c:pt idx="461">
                  <c:v>Lateral reticular nucleus</c:v>
                </c:pt>
                <c:pt idx="462">
                  <c:v>Magnocellular reticular nucleus</c:v>
                </c:pt>
                <c:pt idx="463">
                  <c:v>Medullary reticular nucleus, dorsal part</c:v>
                </c:pt>
                <c:pt idx="464">
                  <c:v>Medullary reticular nucleus, ventral part</c:v>
                </c:pt>
                <c:pt idx="465">
                  <c:v>Parvicellular reticular nucleus</c:v>
                </c:pt>
                <c:pt idx="466">
                  <c:v>Parasolitary nucleus</c:v>
                </c:pt>
                <c:pt idx="467">
                  <c:v>Paragigantocellular reticular nucleus, dorsal part</c:v>
                </c:pt>
                <c:pt idx="468">
                  <c:v>Paragigantocellular reticular nucleus, lateral part</c:v>
                </c:pt>
                <c:pt idx="469">
                  <c:v>Nucleus of Roller</c:v>
                </c:pt>
                <c:pt idx="470">
                  <c:v>Nucleus prepositus</c:v>
                </c:pt>
                <c:pt idx="471">
                  <c:v>Parapyramidal nucleus</c:v>
                </c:pt>
                <c:pt idx="472">
                  <c:v>Lateral vestibular nucleus</c:v>
                </c:pt>
                <c:pt idx="473">
                  <c:v>Medial vestibular nucleus</c:v>
                </c:pt>
                <c:pt idx="474">
                  <c:v>Spinal vestibular nucleus</c:v>
                </c:pt>
                <c:pt idx="475">
                  <c:v>Superior vestibular nucleus</c:v>
                </c:pt>
                <c:pt idx="476">
                  <c:v>Nucleus x</c:v>
                </c:pt>
                <c:pt idx="477">
                  <c:v>Hypoglossal nucleus</c:v>
                </c:pt>
                <c:pt idx="478">
                  <c:v>Nucleus y</c:v>
                </c:pt>
                <c:pt idx="479">
                  <c:v>Nucleus raphÃË magnus</c:v>
                </c:pt>
                <c:pt idx="480">
                  <c:v>Nucleus raphÃË pallidus</c:v>
                </c:pt>
                <c:pt idx="481">
                  <c:v>Nucleus raphÃË obscurus</c:v>
                </c:pt>
                <c:pt idx="482">
                  <c:v>Lingula (I)</c:v>
                </c:pt>
                <c:pt idx="483">
                  <c:v>Central lobule</c:v>
                </c:pt>
                <c:pt idx="484">
                  <c:v>Culmen</c:v>
                </c:pt>
                <c:pt idx="485">
                  <c:v>Declive (VI)</c:v>
                </c:pt>
                <c:pt idx="486">
                  <c:v>Folium-tuber vermis (VII)</c:v>
                </c:pt>
                <c:pt idx="487">
                  <c:v>Pyramus (VIII)</c:v>
                </c:pt>
                <c:pt idx="488">
                  <c:v>Uvula (IX)</c:v>
                </c:pt>
                <c:pt idx="489">
                  <c:v>Nodulus (X)</c:v>
                </c:pt>
                <c:pt idx="490">
                  <c:v>Simple lobule</c:v>
                </c:pt>
                <c:pt idx="491">
                  <c:v>Ansiform lobule</c:v>
                </c:pt>
                <c:pt idx="492">
                  <c:v>Paramedian lobule</c:v>
                </c:pt>
                <c:pt idx="493">
                  <c:v>Copula pyramidis</c:v>
                </c:pt>
                <c:pt idx="494">
                  <c:v>Paraflocculus</c:v>
                </c:pt>
                <c:pt idx="495">
                  <c:v>Flocculus</c:v>
                </c:pt>
                <c:pt idx="496">
                  <c:v>Fastigial nucleus</c:v>
                </c:pt>
                <c:pt idx="497">
                  <c:v>Interposed nucleus</c:v>
                </c:pt>
                <c:pt idx="498">
                  <c:v>Dentate nucleus</c:v>
                </c:pt>
                <c:pt idx="499">
                  <c:v>fiber tracts</c:v>
                </c:pt>
                <c:pt idx="500">
                  <c:v>vomeronasal nerve</c:v>
                </c:pt>
                <c:pt idx="501">
                  <c:v>olfactory nerve layer of main olfactory bulb</c:v>
                </c:pt>
                <c:pt idx="502">
                  <c:v>lateral olfactory tract, body</c:v>
                </c:pt>
                <c:pt idx="503">
                  <c:v>anterior commissure, olfactory limb</c:v>
                </c:pt>
                <c:pt idx="504">
                  <c:v>brachium of the inferior colliculus</c:v>
                </c:pt>
                <c:pt idx="505">
                  <c:v>optic chiasm</c:v>
                </c:pt>
                <c:pt idx="506">
                  <c:v>optic tract</c:v>
                </c:pt>
                <c:pt idx="507">
                  <c:v>medial longitudinal fascicle</c:v>
                </c:pt>
                <c:pt idx="508">
                  <c:v>posterior commissure</c:v>
                </c:pt>
                <c:pt idx="509">
                  <c:v>trochlear nerve</c:v>
                </c:pt>
                <c:pt idx="510">
                  <c:v>motor root of the trigeminal nerve</c:v>
                </c:pt>
                <c:pt idx="511">
                  <c:v>midbrain tract of the trigeminal nerve</c:v>
                </c:pt>
                <c:pt idx="512">
                  <c:v>spinal tract of the trigeminal nerve</c:v>
                </c:pt>
                <c:pt idx="513">
                  <c:v>facial nerve</c:v>
                </c:pt>
                <c:pt idx="514">
                  <c:v>vestibular nerve</c:v>
                </c:pt>
                <c:pt idx="515">
                  <c:v>trapezoid body</c:v>
                </c:pt>
                <c:pt idx="516">
                  <c:v>lateral lemniscus</c:v>
                </c:pt>
                <c:pt idx="517">
                  <c:v>inferior colliculus commissure</c:v>
                </c:pt>
                <c:pt idx="518">
                  <c:v>solitary tract</c:v>
                </c:pt>
                <c:pt idx="519">
                  <c:v>cuneate fascicle</c:v>
                </c:pt>
                <c:pt idx="520">
                  <c:v>medial lemniscus</c:v>
                </c:pt>
                <c:pt idx="521">
                  <c:v>superior cerebelar peduncles</c:v>
                </c:pt>
                <c:pt idx="522">
                  <c:v>middle cerebellar peduncle</c:v>
                </c:pt>
                <c:pt idx="523">
                  <c:v>inferior cerebellar peduncle</c:v>
                </c:pt>
                <c:pt idx="524">
                  <c:v>arbor vitae</c:v>
                </c:pt>
                <c:pt idx="525">
                  <c:v>corpus callosum</c:v>
                </c:pt>
                <c:pt idx="526">
                  <c:v>corticospinal tract</c:v>
                </c:pt>
                <c:pt idx="527">
                  <c:v>external medullary lamina of the thalamus</c:v>
                </c:pt>
                <c:pt idx="528">
                  <c:v>internal capsule</c:v>
                </c:pt>
                <c:pt idx="529">
                  <c:v>cerebal peduncle</c:v>
                </c:pt>
                <c:pt idx="530">
                  <c:v>pyramid</c:v>
                </c:pt>
                <c:pt idx="531">
                  <c:v>tectospinal pathway</c:v>
                </c:pt>
                <c:pt idx="532">
                  <c:v>doral tegmental decussation</c:v>
                </c:pt>
                <c:pt idx="533">
                  <c:v>rubrospinal tract</c:v>
                </c:pt>
                <c:pt idx="534">
                  <c:v>ventral tegmental decussation</c:v>
                </c:pt>
                <c:pt idx="535">
                  <c:v>amygdalar capsule</c:v>
                </c:pt>
                <c:pt idx="536">
                  <c:v>anterior commissure, temporal limb</c:v>
                </c:pt>
                <c:pt idx="537">
                  <c:v>cingulum bundle</c:v>
                </c:pt>
                <c:pt idx="538">
                  <c:v>alveus</c:v>
                </c:pt>
                <c:pt idx="539">
                  <c:v>dorsal fornix</c:v>
                </c:pt>
                <c:pt idx="540">
                  <c:v>fimbria</c:v>
                </c:pt>
                <c:pt idx="541">
                  <c:v>columns of the fornix</c:v>
                </c:pt>
                <c:pt idx="542">
                  <c:v>dorsal hippocampal commissure</c:v>
                </c:pt>
                <c:pt idx="543">
                  <c:v>ventral hippocampal commissure</c:v>
                </c:pt>
                <c:pt idx="544">
                  <c:v>stria terminalis</c:v>
                </c:pt>
                <c:pt idx="545">
                  <c:v>supramammillary decussation</c:v>
                </c:pt>
                <c:pt idx="546">
                  <c:v>mammilothalmic tract</c:v>
                </c:pt>
                <c:pt idx="547">
                  <c:v>mammillotegmental tract</c:v>
                </c:pt>
                <c:pt idx="548">
                  <c:v>mammillary peduncle</c:v>
                </c:pt>
              </c:strCache>
            </c:strRef>
          </c:cat>
          <c:val>
            <c:numRef>
              <c:f>'Z-scores&lt;2'!$C$22:$UP$22</c:f>
              <c:numCache>
                <c:formatCode>0.00000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D5C-A862-53F9BCAC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'Z-scores&lt;2'!$C$1:$UP$1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  <c:pt idx="311">
                  <c:v>301</c:v>
                </c:pt>
                <c:pt idx="312">
                  <c:v>302</c:v>
                </c:pt>
                <c:pt idx="313">
                  <c:v>303</c:v>
                </c:pt>
                <c:pt idx="314">
                  <c:v>304</c:v>
                </c:pt>
                <c:pt idx="315">
                  <c:v>305</c:v>
                </c:pt>
                <c:pt idx="316">
                  <c:v>306</c:v>
                </c:pt>
                <c:pt idx="317">
                  <c:v>307</c:v>
                </c:pt>
                <c:pt idx="318">
                  <c:v>308</c:v>
                </c:pt>
                <c:pt idx="319">
                  <c:v>309</c:v>
                </c:pt>
                <c:pt idx="320">
                  <c:v>310</c:v>
                </c:pt>
                <c:pt idx="321">
                  <c:v>311</c:v>
                </c:pt>
                <c:pt idx="322">
                  <c:v>312</c:v>
                </c:pt>
                <c:pt idx="323">
                  <c:v>313</c:v>
                </c:pt>
                <c:pt idx="324">
                  <c:v>314</c:v>
                </c:pt>
                <c:pt idx="325">
                  <c:v>315</c:v>
                </c:pt>
                <c:pt idx="326">
                  <c:v>316</c:v>
                </c:pt>
                <c:pt idx="327">
                  <c:v>317</c:v>
                </c:pt>
                <c:pt idx="328">
                  <c:v>318</c:v>
                </c:pt>
                <c:pt idx="329">
                  <c:v>319</c:v>
                </c:pt>
                <c:pt idx="330">
                  <c:v>320</c:v>
                </c:pt>
                <c:pt idx="331">
                  <c:v>321</c:v>
                </c:pt>
                <c:pt idx="332">
                  <c:v>322</c:v>
                </c:pt>
                <c:pt idx="333">
                  <c:v>323</c:v>
                </c:pt>
                <c:pt idx="334">
                  <c:v>324</c:v>
                </c:pt>
                <c:pt idx="335">
                  <c:v>325</c:v>
                </c:pt>
                <c:pt idx="336">
                  <c:v>326</c:v>
                </c:pt>
                <c:pt idx="337">
                  <c:v>327</c:v>
                </c:pt>
                <c:pt idx="338">
                  <c:v>328</c:v>
                </c:pt>
                <c:pt idx="339">
                  <c:v>329</c:v>
                </c:pt>
                <c:pt idx="340">
                  <c:v>330</c:v>
                </c:pt>
                <c:pt idx="341">
                  <c:v>331</c:v>
                </c:pt>
                <c:pt idx="342">
                  <c:v>332</c:v>
                </c:pt>
                <c:pt idx="343">
                  <c:v>333</c:v>
                </c:pt>
                <c:pt idx="344">
                  <c:v>334</c:v>
                </c:pt>
                <c:pt idx="345">
                  <c:v>335</c:v>
                </c:pt>
                <c:pt idx="346">
                  <c:v>336</c:v>
                </c:pt>
                <c:pt idx="347">
                  <c:v>337</c:v>
                </c:pt>
                <c:pt idx="348">
                  <c:v>338</c:v>
                </c:pt>
                <c:pt idx="349">
                  <c:v>339</c:v>
                </c:pt>
                <c:pt idx="350">
                  <c:v>340</c:v>
                </c:pt>
                <c:pt idx="351">
                  <c:v>341</c:v>
                </c:pt>
                <c:pt idx="352">
                  <c:v>342</c:v>
                </c:pt>
                <c:pt idx="353">
                  <c:v>343</c:v>
                </c:pt>
                <c:pt idx="354">
                  <c:v>344</c:v>
                </c:pt>
                <c:pt idx="355">
                  <c:v>345</c:v>
                </c:pt>
                <c:pt idx="356">
                  <c:v>346</c:v>
                </c:pt>
                <c:pt idx="357">
                  <c:v>347</c:v>
                </c:pt>
                <c:pt idx="358">
                  <c:v>348</c:v>
                </c:pt>
                <c:pt idx="359">
                  <c:v>349</c:v>
                </c:pt>
                <c:pt idx="360">
                  <c:v>350</c:v>
                </c:pt>
                <c:pt idx="361">
                  <c:v>351</c:v>
                </c:pt>
                <c:pt idx="362">
                  <c:v>352</c:v>
                </c:pt>
                <c:pt idx="363">
                  <c:v>353</c:v>
                </c:pt>
                <c:pt idx="364">
                  <c:v>354</c:v>
                </c:pt>
                <c:pt idx="365">
                  <c:v>355</c:v>
                </c:pt>
                <c:pt idx="366">
                  <c:v>356</c:v>
                </c:pt>
                <c:pt idx="367">
                  <c:v>357</c:v>
                </c:pt>
                <c:pt idx="368">
                  <c:v>358</c:v>
                </c:pt>
                <c:pt idx="369">
                  <c:v>359</c:v>
                </c:pt>
                <c:pt idx="370">
                  <c:v>360</c:v>
                </c:pt>
                <c:pt idx="371">
                  <c:v>361</c:v>
                </c:pt>
                <c:pt idx="372">
                  <c:v>362</c:v>
                </c:pt>
                <c:pt idx="373">
                  <c:v>363</c:v>
                </c:pt>
                <c:pt idx="374">
                  <c:v>364</c:v>
                </c:pt>
                <c:pt idx="375">
                  <c:v>365</c:v>
                </c:pt>
                <c:pt idx="376">
                  <c:v>366</c:v>
                </c:pt>
                <c:pt idx="377">
                  <c:v>367</c:v>
                </c:pt>
                <c:pt idx="378">
                  <c:v>368</c:v>
                </c:pt>
                <c:pt idx="379">
                  <c:v>369</c:v>
                </c:pt>
                <c:pt idx="380">
                  <c:v>370</c:v>
                </c:pt>
                <c:pt idx="381">
                  <c:v>371</c:v>
                </c:pt>
                <c:pt idx="382">
                  <c:v>372</c:v>
                </c:pt>
                <c:pt idx="383">
                  <c:v>373</c:v>
                </c:pt>
                <c:pt idx="384">
                  <c:v>374</c:v>
                </c:pt>
                <c:pt idx="385">
                  <c:v>375</c:v>
                </c:pt>
                <c:pt idx="386">
                  <c:v>376</c:v>
                </c:pt>
                <c:pt idx="387">
                  <c:v>377</c:v>
                </c:pt>
                <c:pt idx="388">
                  <c:v>378</c:v>
                </c:pt>
                <c:pt idx="389">
                  <c:v>379</c:v>
                </c:pt>
                <c:pt idx="390">
                  <c:v>380</c:v>
                </c:pt>
                <c:pt idx="391">
                  <c:v>381</c:v>
                </c:pt>
                <c:pt idx="392">
                  <c:v>382</c:v>
                </c:pt>
                <c:pt idx="393">
                  <c:v>383</c:v>
                </c:pt>
                <c:pt idx="394">
                  <c:v>384</c:v>
                </c:pt>
                <c:pt idx="395">
                  <c:v>385</c:v>
                </c:pt>
                <c:pt idx="396">
                  <c:v>386</c:v>
                </c:pt>
                <c:pt idx="397">
                  <c:v>387</c:v>
                </c:pt>
                <c:pt idx="398">
                  <c:v>388</c:v>
                </c:pt>
                <c:pt idx="399">
                  <c:v>389</c:v>
                </c:pt>
                <c:pt idx="400">
                  <c:v>390</c:v>
                </c:pt>
                <c:pt idx="401">
                  <c:v>391</c:v>
                </c:pt>
                <c:pt idx="402">
                  <c:v>392</c:v>
                </c:pt>
                <c:pt idx="403">
                  <c:v>393</c:v>
                </c:pt>
                <c:pt idx="404">
                  <c:v>394</c:v>
                </c:pt>
                <c:pt idx="405">
                  <c:v>395</c:v>
                </c:pt>
                <c:pt idx="406">
                  <c:v>396</c:v>
                </c:pt>
                <c:pt idx="407">
                  <c:v>397</c:v>
                </c:pt>
                <c:pt idx="408">
                  <c:v>398</c:v>
                </c:pt>
                <c:pt idx="409">
                  <c:v>399</c:v>
                </c:pt>
                <c:pt idx="410">
                  <c:v>400</c:v>
                </c:pt>
                <c:pt idx="411">
                  <c:v>401</c:v>
                </c:pt>
                <c:pt idx="412">
                  <c:v>402</c:v>
                </c:pt>
                <c:pt idx="413">
                  <c:v>403</c:v>
                </c:pt>
                <c:pt idx="414">
                  <c:v>404</c:v>
                </c:pt>
                <c:pt idx="415">
                  <c:v>405</c:v>
                </c:pt>
                <c:pt idx="416">
                  <c:v>406</c:v>
                </c:pt>
                <c:pt idx="417">
                  <c:v>407</c:v>
                </c:pt>
                <c:pt idx="418">
                  <c:v>408</c:v>
                </c:pt>
                <c:pt idx="419">
                  <c:v>409</c:v>
                </c:pt>
                <c:pt idx="420">
                  <c:v>410</c:v>
                </c:pt>
                <c:pt idx="421">
                  <c:v>411</c:v>
                </c:pt>
                <c:pt idx="422">
                  <c:v>412</c:v>
                </c:pt>
                <c:pt idx="423">
                  <c:v>413</c:v>
                </c:pt>
                <c:pt idx="424">
                  <c:v>414</c:v>
                </c:pt>
                <c:pt idx="425">
                  <c:v>415</c:v>
                </c:pt>
                <c:pt idx="426">
                  <c:v>416</c:v>
                </c:pt>
                <c:pt idx="427">
                  <c:v>417</c:v>
                </c:pt>
                <c:pt idx="428">
                  <c:v>418</c:v>
                </c:pt>
                <c:pt idx="429">
                  <c:v>419</c:v>
                </c:pt>
                <c:pt idx="430">
                  <c:v>420</c:v>
                </c:pt>
                <c:pt idx="431">
                  <c:v>421</c:v>
                </c:pt>
                <c:pt idx="432">
                  <c:v>422</c:v>
                </c:pt>
                <c:pt idx="433">
                  <c:v>423</c:v>
                </c:pt>
                <c:pt idx="434">
                  <c:v>424</c:v>
                </c:pt>
                <c:pt idx="435">
                  <c:v>425</c:v>
                </c:pt>
                <c:pt idx="436">
                  <c:v>426</c:v>
                </c:pt>
                <c:pt idx="437">
                  <c:v>427</c:v>
                </c:pt>
                <c:pt idx="438">
                  <c:v>428</c:v>
                </c:pt>
                <c:pt idx="439">
                  <c:v>429</c:v>
                </c:pt>
                <c:pt idx="440">
                  <c:v>430</c:v>
                </c:pt>
                <c:pt idx="441">
                  <c:v>431</c:v>
                </c:pt>
                <c:pt idx="442">
                  <c:v>432</c:v>
                </c:pt>
                <c:pt idx="443">
                  <c:v>433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437</c:v>
                </c:pt>
                <c:pt idx="448">
                  <c:v>438</c:v>
                </c:pt>
                <c:pt idx="449">
                  <c:v>439</c:v>
                </c:pt>
                <c:pt idx="450">
                  <c:v>440</c:v>
                </c:pt>
                <c:pt idx="451">
                  <c:v>441</c:v>
                </c:pt>
                <c:pt idx="452">
                  <c:v>442</c:v>
                </c:pt>
                <c:pt idx="453">
                  <c:v>443</c:v>
                </c:pt>
                <c:pt idx="454">
                  <c:v>444</c:v>
                </c:pt>
                <c:pt idx="455">
                  <c:v>445</c:v>
                </c:pt>
                <c:pt idx="456">
                  <c:v>446</c:v>
                </c:pt>
                <c:pt idx="457">
                  <c:v>447</c:v>
                </c:pt>
                <c:pt idx="458">
                  <c:v>448</c:v>
                </c:pt>
                <c:pt idx="459">
                  <c:v>449</c:v>
                </c:pt>
                <c:pt idx="460">
                  <c:v>450</c:v>
                </c:pt>
                <c:pt idx="461">
                  <c:v>451</c:v>
                </c:pt>
                <c:pt idx="462">
                  <c:v>452</c:v>
                </c:pt>
                <c:pt idx="463">
                  <c:v>453</c:v>
                </c:pt>
                <c:pt idx="464">
                  <c:v>454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458</c:v>
                </c:pt>
                <c:pt idx="469">
                  <c:v>459</c:v>
                </c:pt>
                <c:pt idx="470">
                  <c:v>460</c:v>
                </c:pt>
                <c:pt idx="471">
                  <c:v>461</c:v>
                </c:pt>
                <c:pt idx="472">
                  <c:v>462</c:v>
                </c:pt>
                <c:pt idx="473">
                  <c:v>463</c:v>
                </c:pt>
                <c:pt idx="474">
                  <c:v>464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471</c:v>
                </c:pt>
                <c:pt idx="482">
                  <c:v>472</c:v>
                </c:pt>
                <c:pt idx="483">
                  <c:v>473</c:v>
                </c:pt>
                <c:pt idx="484">
                  <c:v>474</c:v>
                </c:pt>
                <c:pt idx="485">
                  <c:v>475</c:v>
                </c:pt>
                <c:pt idx="486">
                  <c:v>476</c:v>
                </c:pt>
                <c:pt idx="487">
                  <c:v>477</c:v>
                </c:pt>
                <c:pt idx="488">
                  <c:v>478</c:v>
                </c:pt>
                <c:pt idx="489">
                  <c:v>479</c:v>
                </c:pt>
                <c:pt idx="490">
                  <c:v>480</c:v>
                </c:pt>
                <c:pt idx="491">
                  <c:v>481</c:v>
                </c:pt>
                <c:pt idx="492">
                  <c:v>482</c:v>
                </c:pt>
                <c:pt idx="493">
                  <c:v>483</c:v>
                </c:pt>
                <c:pt idx="494">
                  <c:v>484</c:v>
                </c:pt>
                <c:pt idx="495">
                  <c:v>485</c:v>
                </c:pt>
                <c:pt idx="496">
                  <c:v>486</c:v>
                </c:pt>
                <c:pt idx="497">
                  <c:v>487</c:v>
                </c:pt>
                <c:pt idx="498">
                  <c:v>488</c:v>
                </c:pt>
                <c:pt idx="499">
                  <c:v>489</c:v>
                </c:pt>
                <c:pt idx="500">
                  <c:v>490</c:v>
                </c:pt>
                <c:pt idx="501">
                  <c:v>491</c:v>
                </c:pt>
                <c:pt idx="502">
                  <c:v>492</c:v>
                </c:pt>
                <c:pt idx="503">
                  <c:v>493</c:v>
                </c:pt>
                <c:pt idx="504">
                  <c:v>494</c:v>
                </c:pt>
                <c:pt idx="505">
                  <c:v>495</c:v>
                </c:pt>
                <c:pt idx="506">
                  <c:v>496</c:v>
                </c:pt>
                <c:pt idx="507">
                  <c:v>497</c:v>
                </c:pt>
                <c:pt idx="508">
                  <c:v>498</c:v>
                </c:pt>
                <c:pt idx="509">
                  <c:v>499</c:v>
                </c:pt>
                <c:pt idx="510">
                  <c:v>500</c:v>
                </c:pt>
                <c:pt idx="511">
                  <c:v>501</c:v>
                </c:pt>
                <c:pt idx="512">
                  <c:v>502</c:v>
                </c:pt>
                <c:pt idx="513">
                  <c:v>503</c:v>
                </c:pt>
                <c:pt idx="514">
                  <c:v>504</c:v>
                </c:pt>
                <c:pt idx="515">
                  <c:v>505</c:v>
                </c:pt>
                <c:pt idx="516">
                  <c:v>506</c:v>
                </c:pt>
                <c:pt idx="517">
                  <c:v>507</c:v>
                </c:pt>
                <c:pt idx="518">
                  <c:v>508</c:v>
                </c:pt>
                <c:pt idx="519">
                  <c:v>509</c:v>
                </c:pt>
                <c:pt idx="520">
                  <c:v>510</c:v>
                </c:pt>
                <c:pt idx="521">
                  <c:v>511</c:v>
                </c:pt>
                <c:pt idx="522">
                  <c:v>512</c:v>
                </c:pt>
                <c:pt idx="523">
                  <c:v>513</c:v>
                </c:pt>
                <c:pt idx="524">
                  <c:v>514</c:v>
                </c:pt>
                <c:pt idx="525">
                  <c:v>515</c:v>
                </c:pt>
                <c:pt idx="526">
                  <c:v>516</c:v>
                </c:pt>
                <c:pt idx="527">
                  <c:v>517</c:v>
                </c:pt>
                <c:pt idx="528">
                  <c:v>518</c:v>
                </c:pt>
                <c:pt idx="529">
                  <c:v>519</c:v>
                </c:pt>
                <c:pt idx="530">
                  <c:v>520</c:v>
                </c:pt>
                <c:pt idx="531">
                  <c:v>521</c:v>
                </c:pt>
                <c:pt idx="532">
                  <c:v>522</c:v>
                </c:pt>
                <c:pt idx="533">
                  <c:v>523</c:v>
                </c:pt>
                <c:pt idx="534">
                  <c:v>524</c:v>
                </c:pt>
                <c:pt idx="535">
                  <c:v>525</c:v>
                </c:pt>
                <c:pt idx="536">
                  <c:v>526</c:v>
                </c:pt>
                <c:pt idx="537">
                  <c:v>527</c:v>
                </c:pt>
                <c:pt idx="538">
                  <c:v>528</c:v>
                </c:pt>
                <c:pt idx="539">
                  <c:v>529</c:v>
                </c:pt>
                <c:pt idx="540">
                  <c:v>530</c:v>
                </c:pt>
                <c:pt idx="541">
                  <c:v>531</c:v>
                </c:pt>
                <c:pt idx="542">
                  <c:v>532</c:v>
                </c:pt>
                <c:pt idx="543">
                  <c:v>533</c:v>
                </c:pt>
                <c:pt idx="544">
                  <c:v>534</c:v>
                </c:pt>
                <c:pt idx="545">
                  <c:v>535</c:v>
                </c:pt>
                <c:pt idx="546">
                  <c:v>536</c:v>
                </c:pt>
                <c:pt idx="547">
                  <c:v>537</c:v>
                </c:pt>
                <c:pt idx="548">
                  <c:v>538</c:v>
                </c:pt>
                <c:pt idx="549">
                  <c:v>539</c:v>
                </c:pt>
                <c:pt idx="550">
                  <c:v>540</c:v>
                </c:pt>
                <c:pt idx="551">
                  <c:v>541</c:v>
                </c:pt>
                <c:pt idx="552">
                  <c:v>542</c:v>
                </c:pt>
                <c:pt idx="553">
                  <c:v>543</c:v>
                </c:pt>
                <c:pt idx="554">
                  <c:v>544</c:v>
                </c:pt>
                <c:pt idx="555">
                  <c:v>545</c:v>
                </c:pt>
                <c:pt idx="556">
                  <c:v>546</c:v>
                </c:pt>
                <c:pt idx="557">
                  <c:v>547</c:v>
                </c:pt>
                <c:pt idx="558">
                  <c:v>548</c:v>
                </c:pt>
                <c:pt idx="559">
                  <c:v>549</c:v>
                </c:pt>
              </c:numCache>
            </c:numRef>
          </c:cat>
          <c:val>
            <c:numRef>
              <c:f>'Z-scores&lt;2'!$C$23:$UP$23</c:f>
              <c:numCache>
                <c:formatCode>0</c:formatCode>
                <c:ptCount val="5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D5C-A862-53F9BCACBF1C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'Z-scores&lt;2'!$C$1:$UP$1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  <c:pt idx="75">
                  <c:v>65</c:v>
                </c:pt>
                <c:pt idx="76">
                  <c:v>66</c:v>
                </c:pt>
                <c:pt idx="77">
                  <c:v>67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72</c:v>
                </c:pt>
                <c:pt idx="83">
                  <c:v>73</c:v>
                </c:pt>
                <c:pt idx="84">
                  <c:v>74</c:v>
                </c:pt>
                <c:pt idx="85">
                  <c:v>75</c:v>
                </c:pt>
                <c:pt idx="86">
                  <c:v>76</c:v>
                </c:pt>
                <c:pt idx="87">
                  <c:v>77</c:v>
                </c:pt>
                <c:pt idx="88">
                  <c:v>78</c:v>
                </c:pt>
                <c:pt idx="89">
                  <c:v>79</c:v>
                </c:pt>
                <c:pt idx="90">
                  <c:v>80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113</c:v>
                </c:pt>
                <c:pt idx="124">
                  <c:v>114</c:v>
                </c:pt>
                <c:pt idx="125">
                  <c:v>115</c:v>
                </c:pt>
                <c:pt idx="126">
                  <c:v>116</c:v>
                </c:pt>
                <c:pt idx="127">
                  <c:v>117</c:v>
                </c:pt>
                <c:pt idx="128">
                  <c:v>118</c:v>
                </c:pt>
                <c:pt idx="129">
                  <c:v>119</c:v>
                </c:pt>
                <c:pt idx="130">
                  <c:v>120</c:v>
                </c:pt>
                <c:pt idx="131">
                  <c:v>121</c:v>
                </c:pt>
                <c:pt idx="132">
                  <c:v>122</c:v>
                </c:pt>
                <c:pt idx="133">
                  <c:v>123</c:v>
                </c:pt>
                <c:pt idx="134">
                  <c:v>124</c:v>
                </c:pt>
                <c:pt idx="135">
                  <c:v>125</c:v>
                </c:pt>
                <c:pt idx="136">
                  <c:v>126</c:v>
                </c:pt>
                <c:pt idx="137">
                  <c:v>127</c:v>
                </c:pt>
                <c:pt idx="138">
                  <c:v>128</c:v>
                </c:pt>
                <c:pt idx="139">
                  <c:v>129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133</c:v>
                </c:pt>
                <c:pt idx="144">
                  <c:v>134</c:v>
                </c:pt>
                <c:pt idx="145">
                  <c:v>135</c:v>
                </c:pt>
                <c:pt idx="146">
                  <c:v>136</c:v>
                </c:pt>
                <c:pt idx="147">
                  <c:v>137</c:v>
                </c:pt>
                <c:pt idx="148">
                  <c:v>138</c:v>
                </c:pt>
                <c:pt idx="149">
                  <c:v>139</c:v>
                </c:pt>
                <c:pt idx="150">
                  <c:v>140</c:v>
                </c:pt>
                <c:pt idx="151">
                  <c:v>141</c:v>
                </c:pt>
                <c:pt idx="152">
                  <c:v>142</c:v>
                </c:pt>
                <c:pt idx="153">
                  <c:v>143</c:v>
                </c:pt>
                <c:pt idx="154">
                  <c:v>144</c:v>
                </c:pt>
                <c:pt idx="155">
                  <c:v>145</c:v>
                </c:pt>
                <c:pt idx="156">
                  <c:v>146</c:v>
                </c:pt>
                <c:pt idx="157">
                  <c:v>147</c:v>
                </c:pt>
                <c:pt idx="158">
                  <c:v>148</c:v>
                </c:pt>
                <c:pt idx="159">
                  <c:v>149</c:v>
                </c:pt>
                <c:pt idx="160">
                  <c:v>150</c:v>
                </c:pt>
                <c:pt idx="161">
                  <c:v>151</c:v>
                </c:pt>
                <c:pt idx="162">
                  <c:v>152</c:v>
                </c:pt>
                <c:pt idx="163">
                  <c:v>153</c:v>
                </c:pt>
                <c:pt idx="164">
                  <c:v>154</c:v>
                </c:pt>
                <c:pt idx="165">
                  <c:v>155</c:v>
                </c:pt>
                <c:pt idx="166">
                  <c:v>156</c:v>
                </c:pt>
                <c:pt idx="167">
                  <c:v>157</c:v>
                </c:pt>
                <c:pt idx="168">
                  <c:v>158</c:v>
                </c:pt>
                <c:pt idx="169">
                  <c:v>159</c:v>
                </c:pt>
                <c:pt idx="170">
                  <c:v>160</c:v>
                </c:pt>
                <c:pt idx="171">
                  <c:v>161</c:v>
                </c:pt>
                <c:pt idx="172">
                  <c:v>162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166</c:v>
                </c:pt>
                <c:pt idx="177">
                  <c:v>167</c:v>
                </c:pt>
                <c:pt idx="178">
                  <c:v>168</c:v>
                </c:pt>
                <c:pt idx="179">
                  <c:v>169</c:v>
                </c:pt>
                <c:pt idx="180">
                  <c:v>170</c:v>
                </c:pt>
                <c:pt idx="181">
                  <c:v>171</c:v>
                </c:pt>
                <c:pt idx="182">
                  <c:v>172</c:v>
                </c:pt>
                <c:pt idx="183">
                  <c:v>173</c:v>
                </c:pt>
                <c:pt idx="184">
                  <c:v>174</c:v>
                </c:pt>
                <c:pt idx="185">
                  <c:v>175</c:v>
                </c:pt>
                <c:pt idx="186">
                  <c:v>176</c:v>
                </c:pt>
                <c:pt idx="187">
                  <c:v>177</c:v>
                </c:pt>
                <c:pt idx="188">
                  <c:v>178</c:v>
                </c:pt>
                <c:pt idx="189">
                  <c:v>179</c:v>
                </c:pt>
                <c:pt idx="190">
                  <c:v>180</c:v>
                </c:pt>
                <c:pt idx="191">
                  <c:v>181</c:v>
                </c:pt>
                <c:pt idx="192">
                  <c:v>182</c:v>
                </c:pt>
                <c:pt idx="193">
                  <c:v>183</c:v>
                </c:pt>
                <c:pt idx="194">
                  <c:v>184</c:v>
                </c:pt>
                <c:pt idx="195">
                  <c:v>185</c:v>
                </c:pt>
                <c:pt idx="196">
                  <c:v>186</c:v>
                </c:pt>
                <c:pt idx="197">
                  <c:v>187</c:v>
                </c:pt>
                <c:pt idx="198">
                  <c:v>188</c:v>
                </c:pt>
                <c:pt idx="199">
                  <c:v>189</c:v>
                </c:pt>
                <c:pt idx="200">
                  <c:v>190</c:v>
                </c:pt>
                <c:pt idx="201">
                  <c:v>191</c:v>
                </c:pt>
                <c:pt idx="202">
                  <c:v>192</c:v>
                </c:pt>
                <c:pt idx="203">
                  <c:v>193</c:v>
                </c:pt>
                <c:pt idx="204">
                  <c:v>194</c:v>
                </c:pt>
                <c:pt idx="205">
                  <c:v>195</c:v>
                </c:pt>
                <c:pt idx="206">
                  <c:v>196</c:v>
                </c:pt>
                <c:pt idx="207">
                  <c:v>197</c:v>
                </c:pt>
                <c:pt idx="208">
                  <c:v>198</c:v>
                </c:pt>
                <c:pt idx="209">
                  <c:v>199</c:v>
                </c:pt>
                <c:pt idx="210">
                  <c:v>200</c:v>
                </c:pt>
                <c:pt idx="211">
                  <c:v>201</c:v>
                </c:pt>
                <c:pt idx="212">
                  <c:v>202</c:v>
                </c:pt>
                <c:pt idx="213">
                  <c:v>203</c:v>
                </c:pt>
                <c:pt idx="214">
                  <c:v>204</c:v>
                </c:pt>
                <c:pt idx="215">
                  <c:v>205</c:v>
                </c:pt>
                <c:pt idx="216">
                  <c:v>206</c:v>
                </c:pt>
                <c:pt idx="217">
                  <c:v>207</c:v>
                </c:pt>
                <c:pt idx="218">
                  <c:v>208</c:v>
                </c:pt>
                <c:pt idx="219">
                  <c:v>209</c:v>
                </c:pt>
                <c:pt idx="220">
                  <c:v>210</c:v>
                </c:pt>
                <c:pt idx="221">
                  <c:v>211</c:v>
                </c:pt>
                <c:pt idx="222">
                  <c:v>212</c:v>
                </c:pt>
                <c:pt idx="223">
                  <c:v>213</c:v>
                </c:pt>
                <c:pt idx="224">
                  <c:v>214</c:v>
                </c:pt>
                <c:pt idx="225">
                  <c:v>215</c:v>
                </c:pt>
                <c:pt idx="226">
                  <c:v>216</c:v>
                </c:pt>
                <c:pt idx="227">
                  <c:v>217</c:v>
                </c:pt>
                <c:pt idx="228">
                  <c:v>218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224</c:v>
                </c:pt>
                <c:pt idx="235">
                  <c:v>225</c:v>
                </c:pt>
                <c:pt idx="236">
                  <c:v>226</c:v>
                </c:pt>
                <c:pt idx="237">
                  <c:v>227</c:v>
                </c:pt>
                <c:pt idx="238">
                  <c:v>228</c:v>
                </c:pt>
                <c:pt idx="239">
                  <c:v>229</c:v>
                </c:pt>
                <c:pt idx="240">
                  <c:v>230</c:v>
                </c:pt>
                <c:pt idx="241">
                  <c:v>231</c:v>
                </c:pt>
                <c:pt idx="242">
                  <c:v>232</c:v>
                </c:pt>
                <c:pt idx="243">
                  <c:v>233</c:v>
                </c:pt>
                <c:pt idx="244">
                  <c:v>234</c:v>
                </c:pt>
                <c:pt idx="245">
                  <c:v>235</c:v>
                </c:pt>
                <c:pt idx="246">
                  <c:v>236</c:v>
                </c:pt>
                <c:pt idx="247">
                  <c:v>237</c:v>
                </c:pt>
                <c:pt idx="248">
                  <c:v>238</c:v>
                </c:pt>
                <c:pt idx="249">
                  <c:v>239</c:v>
                </c:pt>
                <c:pt idx="250">
                  <c:v>240</c:v>
                </c:pt>
                <c:pt idx="251">
                  <c:v>241</c:v>
                </c:pt>
                <c:pt idx="252">
                  <c:v>242</c:v>
                </c:pt>
                <c:pt idx="253">
                  <c:v>243</c:v>
                </c:pt>
                <c:pt idx="254">
                  <c:v>244</c:v>
                </c:pt>
                <c:pt idx="255">
                  <c:v>245</c:v>
                </c:pt>
                <c:pt idx="256">
                  <c:v>246</c:v>
                </c:pt>
                <c:pt idx="257">
                  <c:v>247</c:v>
                </c:pt>
                <c:pt idx="258">
                  <c:v>248</c:v>
                </c:pt>
                <c:pt idx="259">
                  <c:v>249</c:v>
                </c:pt>
                <c:pt idx="260">
                  <c:v>250</c:v>
                </c:pt>
                <c:pt idx="261">
                  <c:v>251</c:v>
                </c:pt>
                <c:pt idx="262">
                  <c:v>252</c:v>
                </c:pt>
                <c:pt idx="263">
                  <c:v>253</c:v>
                </c:pt>
                <c:pt idx="264">
                  <c:v>254</c:v>
                </c:pt>
                <c:pt idx="265">
                  <c:v>255</c:v>
                </c:pt>
                <c:pt idx="266">
                  <c:v>256</c:v>
                </c:pt>
                <c:pt idx="267">
                  <c:v>257</c:v>
                </c:pt>
                <c:pt idx="268">
                  <c:v>258</c:v>
                </c:pt>
                <c:pt idx="269">
                  <c:v>259</c:v>
                </c:pt>
                <c:pt idx="270">
                  <c:v>260</c:v>
                </c:pt>
                <c:pt idx="271">
                  <c:v>261</c:v>
                </c:pt>
                <c:pt idx="272">
                  <c:v>262</c:v>
                </c:pt>
                <c:pt idx="273">
                  <c:v>263</c:v>
                </c:pt>
                <c:pt idx="274">
                  <c:v>264</c:v>
                </c:pt>
                <c:pt idx="275">
                  <c:v>265</c:v>
                </c:pt>
                <c:pt idx="276">
                  <c:v>266</c:v>
                </c:pt>
                <c:pt idx="277">
                  <c:v>267</c:v>
                </c:pt>
                <c:pt idx="278">
                  <c:v>268</c:v>
                </c:pt>
                <c:pt idx="279">
                  <c:v>269</c:v>
                </c:pt>
                <c:pt idx="280">
                  <c:v>270</c:v>
                </c:pt>
                <c:pt idx="281">
                  <c:v>271</c:v>
                </c:pt>
                <c:pt idx="282">
                  <c:v>272</c:v>
                </c:pt>
                <c:pt idx="283">
                  <c:v>273</c:v>
                </c:pt>
                <c:pt idx="284">
                  <c:v>274</c:v>
                </c:pt>
                <c:pt idx="285">
                  <c:v>275</c:v>
                </c:pt>
                <c:pt idx="286">
                  <c:v>276</c:v>
                </c:pt>
                <c:pt idx="287">
                  <c:v>277</c:v>
                </c:pt>
                <c:pt idx="288">
                  <c:v>278</c:v>
                </c:pt>
                <c:pt idx="289">
                  <c:v>279</c:v>
                </c:pt>
                <c:pt idx="290">
                  <c:v>280</c:v>
                </c:pt>
                <c:pt idx="291">
                  <c:v>281</c:v>
                </c:pt>
                <c:pt idx="292">
                  <c:v>282</c:v>
                </c:pt>
                <c:pt idx="293">
                  <c:v>283</c:v>
                </c:pt>
                <c:pt idx="294">
                  <c:v>284</c:v>
                </c:pt>
                <c:pt idx="295">
                  <c:v>285</c:v>
                </c:pt>
                <c:pt idx="296">
                  <c:v>286</c:v>
                </c:pt>
                <c:pt idx="297">
                  <c:v>287</c:v>
                </c:pt>
                <c:pt idx="298">
                  <c:v>288</c:v>
                </c:pt>
                <c:pt idx="299">
                  <c:v>289</c:v>
                </c:pt>
                <c:pt idx="300">
                  <c:v>290</c:v>
                </c:pt>
                <c:pt idx="301">
                  <c:v>291</c:v>
                </c:pt>
                <c:pt idx="302">
                  <c:v>292</c:v>
                </c:pt>
                <c:pt idx="303">
                  <c:v>293</c:v>
                </c:pt>
                <c:pt idx="304">
                  <c:v>294</c:v>
                </c:pt>
                <c:pt idx="305">
                  <c:v>295</c:v>
                </c:pt>
                <c:pt idx="306">
                  <c:v>296</c:v>
                </c:pt>
                <c:pt idx="307">
                  <c:v>297</c:v>
                </c:pt>
                <c:pt idx="308">
                  <c:v>298</c:v>
                </c:pt>
                <c:pt idx="309">
                  <c:v>299</c:v>
                </c:pt>
                <c:pt idx="310">
                  <c:v>300</c:v>
                </c:pt>
                <c:pt idx="311">
                  <c:v>301</c:v>
                </c:pt>
                <c:pt idx="312">
                  <c:v>302</c:v>
                </c:pt>
                <c:pt idx="313">
                  <c:v>303</c:v>
                </c:pt>
                <c:pt idx="314">
                  <c:v>304</c:v>
                </c:pt>
                <c:pt idx="315">
                  <c:v>305</c:v>
                </c:pt>
                <c:pt idx="316">
                  <c:v>306</c:v>
                </c:pt>
                <c:pt idx="317">
                  <c:v>307</c:v>
                </c:pt>
                <c:pt idx="318">
                  <c:v>308</c:v>
                </c:pt>
                <c:pt idx="319">
                  <c:v>309</c:v>
                </c:pt>
                <c:pt idx="320">
                  <c:v>310</c:v>
                </c:pt>
                <c:pt idx="321">
                  <c:v>311</c:v>
                </c:pt>
                <c:pt idx="322">
                  <c:v>312</c:v>
                </c:pt>
                <c:pt idx="323">
                  <c:v>313</c:v>
                </c:pt>
                <c:pt idx="324">
                  <c:v>314</c:v>
                </c:pt>
                <c:pt idx="325">
                  <c:v>315</c:v>
                </c:pt>
                <c:pt idx="326">
                  <c:v>316</c:v>
                </c:pt>
                <c:pt idx="327">
                  <c:v>317</c:v>
                </c:pt>
                <c:pt idx="328">
                  <c:v>318</c:v>
                </c:pt>
                <c:pt idx="329">
                  <c:v>319</c:v>
                </c:pt>
                <c:pt idx="330">
                  <c:v>320</c:v>
                </c:pt>
                <c:pt idx="331">
                  <c:v>321</c:v>
                </c:pt>
                <c:pt idx="332">
                  <c:v>322</c:v>
                </c:pt>
                <c:pt idx="333">
                  <c:v>323</c:v>
                </c:pt>
                <c:pt idx="334">
                  <c:v>324</c:v>
                </c:pt>
                <c:pt idx="335">
                  <c:v>325</c:v>
                </c:pt>
                <c:pt idx="336">
                  <c:v>326</c:v>
                </c:pt>
                <c:pt idx="337">
                  <c:v>327</c:v>
                </c:pt>
                <c:pt idx="338">
                  <c:v>328</c:v>
                </c:pt>
                <c:pt idx="339">
                  <c:v>329</c:v>
                </c:pt>
                <c:pt idx="340">
                  <c:v>330</c:v>
                </c:pt>
                <c:pt idx="341">
                  <c:v>331</c:v>
                </c:pt>
                <c:pt idx="342">
                  <c:v>332</c:v>
                </c:pt>
                <c:pt idx="343">
                  <c:v>333</c:v>
                </c:pt>
                <c:pt idx="344">
                  <c:v>334</c:v>
                </c:pt>
                <c:pt idx="345">
                  <c:v>335</c:v>
                </c:pt>
                <c:pt idx="346">
                  <c:v>336</c:v>
                </c:pt>
                <c:pt idx="347">
                  <c:v>337</c:v>
                </c:pt>
                <c:pt idx="348">
                  <c:v>338</c:v>
                </c:pt>
                <c:pt idx="349">
                  <c:v>339</c:v>
                </c:pt>
                <c:pt idx="350">
                  <c:v>340</c:v>
                </c:pt>
                <c:pt idx="351">
                  <c:v>341</c:v>
                </c:pt>
                <c:pt idx="352">
                  <c:v>342</c:v>
                </c:pt>
                <c:pt idx="353">
                  <c:v>343</c:v>
                </c:pt>
                <c:pt idx="354">
                  <c:v>344</c:v>
                </c:pt>
                <c:pt idx="355">
                  <c:v>345</c:v>
                </c:pt>
                <c:pt idx="356">
                  <c:v>346</c:v>
                </c:pt>
                <c:pt idx="357">
                  <c:v>347</c:v>
                </c:pt>
                <c:pt idx="358">
                  <c:v>348</c:v>
                </c:pt>
                <c:pt idx="359">
                  <c:v>349</c:v>
                </c:pt>
                <c:pt idx="360">
                  <c:v>350</c:v>
                </c:pt>
                <c:pt idx="361">
                  <c:v>351</c:v>
                </c:pt>
                <c:pt idx="362">
                  <c:v>352</c:v>
                </c:pt>
                <c:pt idx="363">
                  <c:v>353</c:v>
                </c:pt>
                <c:pt idx="364">
                  <c:v>354</c:v>
                </c:pt>
                <c:pt idx="365">
                  <c:v>355</c:v>
                </c:pt>
                <c:pt idx="366">
                  <c:v>356</c:v>
                </c:pt>
                <c:pt idx="367">
                  <c:v>357</c:v>
                </c:pt>
                <c:pt idx="368">
                  <c:v>358</c:v>
                </c:pt>
                <c:pt idx="369">
                  <c:v>359</c:v>
                </c:pt>
                <c:pt idx="370">
                  <c:v>360</c:v>
                </c:pt>
                <c:pt idx="371">
                  <c:v>361</c:v>
                </c:pt>
                <c:pt idx="372">
                  <c:v>362</c:v>
                </c:pt>
                <c:pt idx="373">
                  <c:v>363</c:v>
                </c:pt>
                <c:pt idx="374">
                  <c:v>364</c:v>
                </c:pt>
                <c:pt idx="375">
                  <c:v>365</c:v>
                </c:pt>
                <c:pt idx="376">
                  <c:v>366</c:v>
                </c:pt>
                <c:pt idx="377">
                  <c:v>367</c:v>
                </c:pt>
                <c:pt idx="378">
                  <c:v>368</c:v>
                </c:pt>
                <c:pt idx="379">
                  <c:v>369</c:v>
                </c:pt>
                <c:pt idx="380">
                  <c:v>370</c:v>
                </c:pt>
                <c:pt idx="381">
                  <c:v>371</c:v>
                </c:pt>
                <c:pt idx="382">
                  <c:v>372</c:v>
                </c:pt>
                <c:pt idx="383">
                  <c:v>373</c:v>
                </c:pt>
                <c:pt idx="384">
                  <c:v>374</c:v>
                </c:pt>
                <c:pt idx="385">
                  <c:v>375</c:v>
                </c:pt>
                <c:pt idx="386">
                  <c:v>376</c:v>
                </c:pt>
                <c:pt idx="387">
                  <c:v>377</c:v>
                </c:pt>
                <c:pt idx="388">
                  <c:v>378</c:v>
                </c:pt>
                <c:pt idx="389">
                  <c:v>379</c:v>
                </c:pt>
                <c:pt idx="390">
                  <c:v>380</c:v>
                </c:pt>
                <c:pt idx="391">
                  <c:v>381</c:v>
                </c:pt>
                <c:pt idx="392">
                  <c:v>382</c:v>
                </c:pt>
                <c:pt idx="393">
                  <c:v>383</c:v>
                </c:pt>
                <c:pt idx="394">
                  <c:v>384</c:v>
                </c:pt>
                <c:pt idx="395">
                  <c:v>385</c:v>
                </c:pt>
                <c:pt idx="396">
                  <c:v>386</c:v>
                </c:pt>
                <c:pt idx="397">
                  <c:v>387</c:v>
                </c:pt>
                <c:pt idx="398">
                  <c:v>388</c:v>
                </c:pt>
                <c:pt idx="399">
                  <c:v>389</c:v>
                </c:pt>
                <c:pt idx="400">
                  <c:v>390</c:v>
                </c:pt>
                <c:pt idx="401">
                  <c:v>391</c:v>
                </c:pt>
                <c:pt idx="402">
                  <c:v>392</c:v>
                </c:pt>
                <c:pt idx="403">
                  <c:v>393</c:v>
                </c:pt>
                <c:pt idx="404">
                  <c:v>394</c:v>
                </c:pt>
                <c:pt idx="405">
                  <c:v>395</c:v>
                </c:pt>
                <c:pt idx="406">
                  <c:v>396</c:v>
                </c:pt>
                <c:pt idx="407">
                  <c:v>397</c:v>
                </c:pt>
                <c:pt idx="408">
                  <c:v>398</c:v>
                </c:pt>
                <c:pt idx="409">
                  <c:v>399</c:v>
                </c:pt>
                <c:pt idx="410">
                  <c:v>400</c:v>
                </c:pt>
                <c:pt idx="411">
                  <c:v>401</c:v>
                </c:pt>
                <c:pt idx="412">
                  <c:v>402</c:v>
                </c:pt>
                <c:pt idx="413">
                  <c:v>403</c:v>
                </c:pt>
                <c:pt idx="414">
                  <c:v>404</c:v>
                </c:pt>
                <c:pt idx="415">
                  <c:v>405</c:v>
                </c:pt>
                <c:pt idx="416">
                  <c:v>406</c:v>
                </c:pt>
                <c:pt idx="417">
                  <c:v>407</c:v>
                </c:pt>
                <c:pt idx="418">
                  <c:v>408</c:v>
                </c:pt>
                <c:pt idx="419">
                  <c:v>409</c:v>
                </c:pt>
                <c:pt idx="420">
                  <c:v>410</c:v>
                </c:pt>
                <c:pt idx="421">
                  <c:v>411</c:v>
                </c:pt>
                <c:pt idx="422">
                  <c:v>412</c:v>
                </c:pt>
                <c:pt idx="423">
                  <c:v>413</c:v>
                </c:pt>
                <c:pt idx="424">
                  <c:v>414</c:v>
                </c:pt>
                <c:pt idx="425">
                  <c:v>415</c:v>
                </c:pt>
                <c:pt idx="426">
                  <c:v>416</c:v>
                </c:pt>
                <c:pt idx="427">
                  <c:v>417</c:v>
                </c:pt>
                <c:pt idx="428">
                  <c:v>418</c:v>
                </c:pt>
                <c:pt idx="429">
                  <c:v>419</c:v>
                </c:pt>
                <c:pt idx="430">
                  <c:v>420</c:v>
                </c:pt>
                <c:pt idx="431">
                  <c:v>421</c:v>
                </c:pt>
                <c:pt idx="432">
                  <c:v>422</c:v>
                </c:pt>
                <c:pt idx="433">
                  <c:v>423</c:v>
                </c:pt>
                <c:pt idx="434">
                  <c:v>424</c:v>
                </c:pt>
                <c:pt idx="435">
                  <c:v>425</c:v>
                </c:pt>
                <c:pt idx="436">
                  <c:v>426</c:v>
                </c:pt>
                <c:pt idx="437">
                  <c:v>427</c:v>
                </c:pt>
                <c:pt idx="438">
                  <c:v>428</c:v>
                </c:pt>
                <c:pt idx="439">
                  <c:v>429</c:v>
                </c:pt>
                <c:pt idx="440">
                  <c:v>430</c:v>
                </c:pt>
                <c:pt idx="441">
                  <c:v>431</c:v>
                </c:pt>
                <c:pt idx="442">
                  <c:v>432</c:v>
                </c:pt>
                <c:pt idx="443">
                  <c:v>433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437</c:v>
                </c:pt>
                <c:pt idx="448">
                  <c:v>438</c:v>
                </c:pt>
                <c:pt idx="449">
                  <c:v>439</c:v>
                </c:pt>
                <c:pt idx="450">
                  <c:v>440</c:v>
                </c:pt>
                <c:pt idx="451">
                  <c:v>441</c:v>
                </c:pt>
                <c:pt idx="452">
                  <c:v>442</c:v>
                </c:pt>
                <c:pt idx="453">
                  <c:v>443</c:v>
                </c:pt>
                <c:pt idx="454">
                  <c:v>444</c:v>
                </c:pt>
                <c:pt idx="455">
                  <c:v>445</c:v>
                </c:pt>
                <c:pt idx="456">
                  <c:v>446</c:v>
                </c:pt>
                <c:pt idx="457">
                  <c:v>447</c:v>
                </c:pt>
                <c:pt idx="458">
                  <c:v>448</c:v>
                </c:pt>
                <c:pt idx="459">
                  <c:v>449</c:v>
                </c:pt>
                <c:pt idx="460">
                  <c:v>450</c:v>
                </c:pt>
                <c:pt idx="461">
                  <c:v>451</c:v>
                </c:pt>
                <c:pt idx="462">
                  <c:v>452</c:v>
                </c:pt>
                <c:pt idx="463">
                  <c:v>453</c:v>
                </c:pt>
                <c:pt idx="464">
                  <c:v>454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458</c:v>
                </c:pt>
                <c:pt idx="469">
                  <c:v>459</c:v>
                </c:pt>
                <c:pt idx="470">
                  <c:v>460</c:v>
                </c:pt>
                <c:pt idx="471">
                  <c:v>461</c:v>
                </c:pt>
                <c:pt idx="472">
                  <c:v>462</c:v>
                </c:pt>
                <c:pt idx="473">
                  <c:v>463</c:v>
                </c:pt>
                <c:pt idx="474">
                  <c:v>464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471</c:v>
                </c:pt>
                <c:pt idx="482">
                  <c:v>472</c:v>
                </c:pt>
                <c:pt idx="483">
                  <c:v>473</c:v>
                </c:pt>
                <c:pt idx="484">
                  <c:v>474</c:v>
                </c:pt>
                <c:pt idx="485">
                  <c:v>475</c:v>
                </c:pt>
                <c:pt idx="486">
                  <c:v>476</c:v>
                </c:pt>
                <c:pt idx="487">
                  <c:v>477</c:v>
                </c:pt>
                <c:pt idx="488">
                  <c:v>478</c:v>
                </c:pt>
                <c:pt idx="489">
                  <c:v>479</c:v>
                </c:pt>
                <c:pt idx="490">
                  <c:v>480</c:v>
                </c:pt>
                <c:pt idx="491">
                  <c:v>481</c:v>
                </c:pt>
                <c:pt idx="492">
                  <c:v>482</c:v>
                </c:pt>
                <c:pt idx="493">
                  <c:v>483</c:v>
                </c:pt>
                <c:pt idx="494">
                  <c:v>484</c:v>
                </c:pt>
                <c:pt idx="495">
                  <c:v>485</c:v>
                </c:pt>
                <c:pt idx="496">
                  <c:v>486</c:v>
                </c:pt>
                <c:pt idx="497">
                  <c:v>487</c:v>
                </c:pt>
                <c:pt idx="498">
                  <c:v>488</c:v>
                </c:pt>
                <c:pt idx="499">
                  <c:v>489</c:v>
                </c:pt>
                <c:pt idx="500">
                  <c:v>490</c:v>
                </c:pt>
                <c:pt idx="501">
                  <c:v>491</c:v>
                </c:pt>
                <c:pt idx="502">
                  <c:v>492</c:v>
                </c:pt>
                <c:pt idx="503">
                  <c:v>493</c:v>
                </c:pt>
                <c:pt idx="504">
                  <c:v>494</c:v>
                </c:pt>
                <c:pt idx="505">
                  <c:v>495</c:v>
                </c:pt>
                <c:pt idx="506">
                  <c:v>496</c:v>
                </c:pt>
                <c:pt idx="507">
                  <c:v>497</c:v>
                </c:pt>
                <c:pt idx="508">
                  <c:v>498</c:v>
                </c:pt>
                <c:pt idx="509">
                  <c:v>499</c:v>
                </c:pt>
                <c:pt idx="510">
                  <c:v>500</c:v>
                </c:pt>
                <c:pt idx="511">
                  <c:v>501</c:v>
                </c:pt>
                <c:pt idx="512">
                  <c:v>502</c:v>
                </c:pt>
                <c:pt idx="513">
                  <c:v>503</c:v>
                </c:pt>
                <c:pt idx="514">
                  <c:v>504</c:v>
                </c:pt>
                <c:pt idx="515">
                  <c:v>505</c:v>
                </c:pt>
                <c:pt idx="516">
                  <c:v>506</c:v>
                </c:pt>
                <c:pt idx="517">
                  <c:v>507</c:v>
                </c:pt>
                <c:pt idx="518">
                  <c:v>508</c:v>
                </c:pt>
                <c:pt idx="519">
                  <c:v>509</c:v>
                </c:pt>
                <c:pt idx="520">
                  <c:v>510</c:v>
                </c:pt>
                <c:pt idx="521">
                  <c:v>511</c:v>
                </c:pt>
                <c:pt idx="522">
                  <c:v>512</c:v>
                </c:pt>
                <c:pt idx="523">
                  <c:v>513</c:v>
                </c:pt>
                <c:pt idx="524">
                  <c:v>514</c:v>
                </c:pt>
                <c:pt idx="525">
                  <c:v>515</c:v>
                </c:pt>
                <c:pt idx="526">
                  <c:v>516</c:v>
                </c:pt>
                <c:pt idx="527">
                  <c:v>517</c:v>
                </c:pt>
                <c:pt idx="528">
                  <c:v>518</c:v>
                </c:pt>
                <c:pt idx="529">
                  <c:v>519</c:v>
                </c:pt>
                <c:pt idx="530">
                  <c:v>520</c:v>
                </c:pt>
                <c:pt idx="531">
                  <c:v>521</c:v>
                </c:pt>
                <c:pt idx="532">
                  <c:v>522</c:v>
                </c:pt>
                <c:pt idx="533">
                  <c:v>523</c:v>
                </c:pt>
                <c:pt idx="534">
                  <c:v>524</c:v>
                </c:pt>
                <c:pt idx="535">
                  <c:v>525</c:v>
                </c:pt>
                <c:pt idx="536">
                  <c:v>526</c:v>
                </c:pt>
                <c:pt idx="537">
                  <c:v>527</c:v>
                </c:pt>
                <c:pt idx="538">
                  <c:v>528</c:v>
                </c:pt>
                <c:pt idx="539">
                  <c:v>529</c:v>
                </c:pt>
                <c:pt idx="540">
                  <c:v>530</c:v>
                </c:pt>
                <c:pt idx="541">
                  <c:v>531</c:v>
                </c:pt>
                <c:pt idx="542">
                  <c:v>532</c:v>
                </c:pt>
                <c:pt idx="543">
                  <c:v>533</c:v>
                </c:pt>
                <c:pt idx="544">
                  <c:v>534</c:v>
                </c:pt>
                <c:pt idx="545">
                  <c:v>535</c:v>
                </c:pt>
                <c:pt idx="546">
                  <c:v>536</c:v>
                </c:pt>
                <c:pt idx="547">
                  <c:v>537</c:v>
                </c:pt>
                <c:pt idx="548">
                  <c:v>538</c:v>
                </c:pt>
                <c:pt idx="549">
                  <c:v>539</c:v>
                </c:pt>
                <c:pt idx="550">
                  <c:v>540</c:v>
                </c:pt>
                <c:pt idx="551">
                  <c:v>541</c:v>
                </c:pt>
                <c:pt idx="552">
                  <c:v>542</c:v>
                </c:pt>
                <c:pt idx="553">
                  <c:v>543</c:v>
                </c:pt>
                <c:pt idx="554">
                  <c:v>544</c:v>
                </c:pt>
                <c:pt idx="555">
                  <c:v>545</c:v>
                </c:pt>
                <c:pt idx="556">
                  <c:v>546</c:v>
                </c:pt>
                <c:pt idx="557">
                  <c:v>547</c:v>
                </c:pt>
                <c:pt idx="558">
                  <c:v>548</c:v>
                </c:pt>
                <c:pt idx="559">
                  <c:v>549</c:v>
                </c:pt>
              </c:numCache>
            </c:numRef>
          </c:cat>
          <c:val>
            <c:numRef>
              <c:f>'Z-scores&lt;2'!$C$24:$UP$24</c:f>
              <c:numCache>
                <c:formatCode>0</c:formatCode>
                <c:ptCount val="56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D5C-A862-53F9BCAC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Z&lt;3'!$W$3:$W$58</c:f>
                <c:numCache>
                  <c:formatCode>General</c:formatCode>
                  <c:ptCount val="5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</c:numCache>
              </c:numRef>
            </c:plus>
            <c:minus>
              <c:numRef>
                <c:f>'Cluster counts corrected Z&lt;3'!$W$3:$W$58</c:f>
                <c:numCache>
                  <c:formatCode>General</c:formatCode>
                  <c:ptCount val="5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Z&lt;3'!$A$3:$A$58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cat>
          <c:val>
            <c:numRef>
              <c:f>'Cluster counts corrected Z&lt;3'!$U$3:$U$58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6-4B46-A24B-3C2ED72BCD31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Z&lt;3'!$X$3:$X$58</c:f>
                <c:numCache>
                  <c:formatCode>General</c:formatCode>
                  <c:ptCount val="5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</c:numCache>
              </c:numRef>
            </c:plus>
            <c:minus>
              <c:numRef>
                <c:f>'Cluster counts corrected Z&lt;3'!$X$3:$X$58</c:f>
                <c:numCache>
                  <c:formatCode>General</c:formatCode>
                  <c:ptCount val="5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Z&lt;3'!$A$3:$A$58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numCache>
            </c:numRef>
          </c:cat>
          <c:val>
            <c:numRef>
              <c:f>'Cluster counts corrected Z&lt;3'!$V$3:$V$58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6-4B46-A24B-3C2ED72B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Cluster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21</xdr:col>
      <xdr:colOff>600076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CF37F02-E136-4603-9D87-C83CB7615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4762</xdr:rowOff>
    </xdr:from>
    <xdr:to>
      <xdr:col>22</xdr:col>
      <xdr:colOff>1</xdr:colOff>
      <xdr:row>52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A4CCA64-729D-4A50-B758-EBF5FF327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15</xdr:col>
      <xdr:colOff>586067</xdr:colOff>
      <xdr:row>47</xdr:row>
      <xdr:rowOff>100013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E3DF36B-76A9-454E-A7FA-E64928397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24</xdr:col>
      <xdr:colOff>0</xdr:colOff>
      <xdr:row>88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39626B8-4A63-405E-97A6-23388BEFE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F9E90-FAE9-44FD-8624-A6D172B7A185}" name="Tabel1" displayName="Tabel1" ref="A1:M1091" totalsRowShown="0" headerRowDxfId="12">
  <autoFilter ref="A1:M1091" xr:uid="{02A7D23C-1DA4-4806-B888-943924BA6705}"/>
  <tableColumns count="13">
    <tableColumn id="1" xr3:uid="{FDEDEBFD-85F8-4B1E-9C11-48EF875C6D61}" name="Order" dataDxfId="11"/>
    <tableColumn id="2" xr3:uid="{40A514FC-A5EA-41B9-AEC2-59CFAA91BF14}" name="Region1" dataDxfId="10"/>
    <tableColumn id="3" xr3:uid="{2B8E2D26-7812-4114-A3E4-F2826BE10195}" name="Region2" dataDxfId="9"/>
    <tableColumn id="4" xr3:uid="{A16CA9A0-41B2-4AA2-8AA2-381D8FEE4F93}" name="Region3" dataDxfId="8"/>
    <tableColumn id="5" xr3:uid="{22BF7F68-FA6F-4484-A3A0-96662E6B2F18}" name="Region4" dataDxfId="7"/>
    <tableColumn id="6" xr3:uid="{EFB7B37D-88A3-490D-9FFA-352550DF3DCA}" name="Region5" dataDxfId="6"/>
    <tableColumn id="7" xr3:uid="{BEFC7BC2-3941-4952-8BDE-B49B6AC7C87A}" name="Region6" dataDxfId="5"/>
    <tableColumn id="8" xr3:uid="{DD33B5DD-9E9F-45E4-804C-6DA507536927}" name="Region7" dataDxfId="4"/>
    <tableColumn id="9" xr3:uid="{3DE0A12A-A759-4E3B-B347-ABFDF701AAC6}" name="Number" dataDxfId="3"/>
    <tableColumn id="10" xr3:uid="{206814A3-E4C8-4D2C-BE2F-FA4FB3577AA8}" name="ID" dataDxfId="2"/>
    <tableColumn id="11" xr3:uid="{B9F2AE09-F201-4B0A-A0FA-2DA57BC64D5A}" name="Region" dataDxfId="1"/>
    <tableColumn id="12" xr3:uid="{0E4A87CA-7C34-4831-9CF0-33088C1F2D6B}" name="Cluster"/>
    <tableColumn id="13" xr3:uid="{D6EB32B3-6913-432D-BF08-6D7E4AEAB97D}" name="Kolom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1BB8-15F4-4D14-8ADA-FFFC54ECEB12}">
  <dimension ref="A1:Z61"/>
  <sheetViews>
    <sheetView workbookViewId="0"/>
  </sheetViews>
  <sheetFormatPr defaultRowHeight="14.5" x14ac:dyDescent="0.35"/>
  <cols>
    <col min="3" max="3" width="37" bestFit="1" customWidth="1"/>
    <col min="15" max="15" width="10.54296875" bestFit="1" customWidth="1"/>
  </cols>
  <sheetData>
    <row r="1" spans="1:26" x14ac:dyDescent="0.3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6" x14ac:dyDescent="0.3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</row>
    <row r="3" spans="1:26" x14ac:dyDescent="0.35">
      <c r="A3" t="s">
        <v>569</v>
      </c>
      <c r="B3">
        <v>382</v>
      </c>
      <c r="C3" t="s">
        <v>202</v>
      </c>
      <c r="D3">
        <v>37700</v>
      </c>
      <c r="E3">
        <v>375</v>
      </c>
      <c r="F3" t="e">
        <f>SUMIFS(#REF!,#REF!,'Activation map'!$B3)</f>
        <v>#REF!</v>
      </c>
      <c r="G3" t="e">
        <f>SUMIFS(#REF!,#REF!,'Activation map'!$B3)</f>
        <v>#REF!</v>
      </c>
      <c r="H3" t="e">
        <f>SUMIFS(#REF!,#REF!,'Activation map'!$B3)</f>
        <v>#REF!</v>
      </c>
      <c r="I3" t="e">
        <f>SUMIFS(#REF!,#REF!,'Activation map'!$B3)</f>
        <v>#REF!</v>
      </c>
      <c r="J3" t="e">
        <f>SUMIFS(#REF!,#REF!,'Activation map'!$B3)</f>
        <v>#REF!</v>
      </c>
      <c r="K3" t="e">
        <f>SUMIFS(#REF!,#REF!,'Activation map'!$B3)</f>
        <v>#REF!</v>
      </c>
      <c r="L3" t="e">
        <f>SUMIFS(#REF!,#REF!,'Activation map'!$B3)</f>
        <v>#REF!</v>
      </c>
      <c r="M3" t="e">
        <f>SUMIFS(#REF!,#REF!,'Activation map'!$B3)</f>
        <v>#REF!</v>
      </c>
      <c r="N3" t="e">
        <f>SUMIFS(#REF!,#REF!,'Activation map'!$B3)</f>
        <v>#REF!</v>
      </c>
      <c r="O3" t="e">
        <f>SUMIFS(#REF!,#REF!,'Activation map'!$B3)</f>
        <v>#REF!</v>
      </c>
      <c r="P3" t="e">
        <f>SUMIFS(#REF!,#REF!,'Activation map'!$B3)</f>
        <v>#REF!</v>
      </c>
      <c r="Q3" t="e">
        <f>SUMIFS(#REF!,#REF!,'Activation map'!$B3)</f>
        <v>#REF!</v>
      </c>
      <c r="R3" t="e">
        <f>SUMIFS(#REF!,#REF!,'Activation map'!$B3)</f>
        <v>#REF!</v>
      </c>
      <c r="S3" t="e">
        <f>SUMIFS(#REF!,#REF!,'Activation map'!$B3)</f>
        <v>#REF!</v>
      </c>
      <c r="T3" t="e">
        <f>SUMIFS(#REF!,#REF!,'Activation map'!$B3)</f>
        <v>#REF!</v>
      </c>
      <c r="U3" t="e">
        <f>SUMIFS(#REF!,#REF!,'Activation map'!$B3)</f>
        <v>#REF!</v>
      </c>
      <c r="V3" t="e">
        <f>SUMIFS(#REF!,#REF!,'Activation map'!$B3)</f>
        <v>#REF!</v>
      </c>
      <c r="X3" t="e">
        <f t="shared" ref="X3:X14" si="0">_xlfn.T.TEST(F3:N3,O3:V3,2,2)</f>
        <v>#REF!</v>
      </c>
      <c r="Y3" t="e">
        <f>AVERAGE(F3:N3)</f>
        <v>#REF!</v>
      </c>
      <c r="Z3" t="e">
        <f>AVERAGE(O3:V3)</f>
        <v>#REF!</v>
      </c>
    </row>
    <row r="4" spans="1:26" x14ac:dyDescent="0.35">
      <c r="A4" t="s">
        <v>570</v>
      </c>
      <c r="B4">
        <v>463</v>
      </c>
      <c r="C4" t="s">
        <v>234</v>
      </c>
      <c r="D4">
        <v>38700</v>
      </c>
      <c r="E4">
        <v>375</v>
      </c>
      <c r="F4" t="e">
        <f>SUMIFS(#REF!,#REF!,'Activation map'!$B4)</f>
        <v>#REF!</v>
      </c>
      <c r="G4" t="e">
        <f>SUMIFS(#REF!,#REF!,'Activation map'!$B4)</f>
        <v>#REF!</v>
      </c>
      <c r="H4" t="e">
        <f>SUMIFS(#REF!,#REF!,'Activation map'!$B4)</f>
        <v>#REF!</v>
      </c>
      <c r="I4" t="e">
        <f>SUMIFS(#REF!,#REF!,'Activation map'!$B4)</f>
        <v>#REF!</v>
      </c>
      <c r="J4" t="e">
        <f>SUMIFS(#REF!,#REF!,'Activation map'!$B4)</f>
        <v>#REF!</v>
      </c>
      <c r="K4" t="e">
        <f>SUMIFS(#REF!,#REF!,'Activation map'!$B4)</f>
        <v>#REF!</v>
      </c>
      <c r="L4" t="e">
        <f>SUMIFS(#REF!,#REF!,'Activation map'!$B4)</f>
        <v>#REF!</v>
      </c>
      <c r="M4" t="e">
        <f>SUMIFS(#REF!,#REF!,'Activation map'!$B4)</f>
        <v>#REF!</v>
      </c>
      <c r="N4" t="e">
        <f>SUMIFS(#REF!,#REF!,'Activation map'!$B4)</f>
        <v>#REF!</v>
      </c>
      <c r="O4" t="e">
        <f>SUMIFS(#REF!,#REF!,'Activation map'!$B4)</f>
        <v>#REF!</v>
      </c>
      <c r="P4" t="e">
        <f>SUMIFS(#REF!,#REF!,'Activation map'!$B4)</f>
        <v>#REF!</v>
      </c>
      <c r="Q4" t="e">
        <f>SUMIFS(#REF!,#REF!,'Activation map'!$B4)</f>
        <v>#REF!</v>
      </c>
      <c r="R4" t="e">
        <f>SUMIFS(#REF!,#REF!,'Activation map'!$B4)</f>
        <v>#REF!</v>
      </c>
      <c r="S4" t="e">
        <f>SUMIFS(#REF!,#REF!,'Activation map'!$B4)</f>
        <v>#REF!</v>
      </c>
      <c r="T4" t="e">
        <f>SUMIFS(#REF!,#REF!,'Activation map'!$B4)</f>
        <v>#REF!</v>
      </c>
      <c r="U4" t="e">
        <f>SUMIFS(#REF!,#REF!,'Activation map'!$B4)</f>
        <v>#REF!</v>
      </c>
      <c r="V4" t="e">
        <f>SUMIFS(#REF!,#REF!,'Activation map'!$B4)</f>
        <v>#REF!</v>
      </c>
      <c r="X4" t="e">
        <f t="shared" si="0"/>
        <v>#REF!</v>
      </c>
      <c r="Y4" t="e">
        <f t="shared" ref="Y4:Y14" si="1">AVERAGE(F4:N4)</f>
        <v>#REF!</v>
      </c>
      <c r="Z4" t="e">
        <f t="shared" ref="Z4:Z14" si="2">AVERAGE(O4:V4)</f>
        <v>#REF!</v>
      </c>
    </row>
    <row r="5" spans="1:26" x14ac:dyDescent="0.35">
      <c r="A5" t="s">
        <v>571</v>
      </c>
      <c r="C5" t="s">
        <v>356</v>
      </c>
      <c r="E5">
        <v>726</v>
      </c>
      <c r="F5" t="e">
        <f>SUMPRODUCT(SUMIFS(#REF!,#REF!,$B16:$B18))</f>
        <v>#REF!</v>
      </c>
      <c r="G5" t="e">
        <f>SUMPRODUCT(SUMIFS(#REF!,#REF!,$B16:$B18))</f>
        <v>#REF!</v>
      </c>
      <c r="H5" t="e">
        <f>SUMPRODUCT(SUMIFS(#REF!,#REF!,$B16:$B18))</f>
        <v>#REF!</v>
      </c>
      <c r="I5" t="e">
        <f>SUMPRODUCT(SUMIFS(#REF!,#REF!,$B16:$B18))</f>
        <v>#REF!</v>
      </c>
      <c r="J5" t="e">
        <f>SUMPRODUCT(SUMIFS(#REF!,#REF!,$B16:$B18))</f>
        <v>#REF!</v>
      </c>
      <c r="K5" t="e">
        <f>SUMPRODUCT(SUMIFS(#REF!,#REF!,$B16:$B18))</f>
        <v>#REF!</v>
      </c>
      <c r="L5" t="e">
        <f>SUMPRODUCT(SUMIFS(#REF!,#REF!,$B16:$B18))</f>
        <v>#REF!</v>
      </c>
      <c r="M5" t="e">
        <f>SUMPRODUCT(SUMIFS(#REF!,#REF!,$B16:$B18))</f>
        <v>#REF!</v>
      </c>
      <c r="N5" t="e">
        <f>SUMPRODUCT(SUMIFS(#REF!,#REF!,$B16:$B18))</f>
        <v>#REF!</v>
      </c>
      <c r="O5" t="e">
        <f>SUMPRODUCT(SUMIFS(#REF!,#REF!,$B16:$B18))</f>
        <v>#REF!</v>
      </c>
      <c r="P5" t="e">
        <f>SUMPRODUCT(SUMIFS(#REF!,#REF!,$B16:$B18))</f>
        <v>#REF!</v>
      </c>
      <c r="Q5" t="e">
        <f>SUMPRODUCT(SUMIFS(#REF!,#REF!,$B16:$B18))</f>
        <v>#REF!</v>
      </c>
      <c r="R5" t="e">
        <f>SUMPRODUCT(SUMIFS(#REF!,#REF!,$B16:$B18))</f>
        <v>#REF!</v>
      </c>
      <c r="S5" t="e">
        <f>SUMPRODUCT(SUMIFS(#REF!,#REF!,$B16:$B18))</f>
        <v>#REF!</v>
      </c>
      <c r="T5" t="e">
        <f>SUMPRODUCT(SUMIFS(#REF!,#REF!,$B16:$B18))</f>
        <v>#REF!</v>
      </c>
      <c r="U5" t="e">
        <f>SUMPRODUCT(SUMIFS(#REF!,#REF!,$B16:$B18))</f>
        <v>#REF!</v>
      </c>
      <c r="V5" t="e">
        <f>SUMPRODUCT(SUMIFS(#REF!,#REF!,$B16:$B18))</f>
        <v>#REF!</v>
      </c>
      <c r="X5" t="e">
        <f t="shared" si="0"/>
        <v>#REF!</v>
      </c>
      <c r="Y5" t="e">
        <f t="shared" si="1"/>
        <v>#REF!</v>
      </c>
      <c r="Z5" t="e">
        <f t="shared" si="2"/>
        <v>#REF!</v>
      </c>
    </row>
    <row r="6" spans="1:26" x14ac:dyDescent="0.35">
      <c r="A6" t="s">
        <v>572</v>
      </c>
      <c r="B6">
        <v>2382</v>
      </c>
      <c r="C6" t="s">
        <v>563</v>
      </c>
      <c r="D6">
        <v>37700</v>
      </c>
      <c r="E6">
        <v>2375</v>
      </c>
      <c r="F6" t="e">
        <f>SUMIFS(#REF!,#REF!,'Activation map'!$B6)</f>
        <v>#REF!</v>
      </c>
      <c r="G6" t="e">
        <f>SUMIFS(#REF!,#REF!,'Activation map'!$B6)</f>
        <v>#REF!</v>
      </c>
      <c r="H6" t="e">
        <f>SUMIFS(#REF!,#REF!,'Activation map'!$B6)</f>
        <v>#REF!</v>
      </c>
      <c r="I6" t="e">
        <f>SUMIFS(#REF!,#REF!,'Activation map'!$B6)</f>
        <v>#REF!</v>
      </c>
      <c r="J6" t="e">
        <f>SUMIFS(#REF!,#REF!,'Activation map'!$B6)</f>
        <v>#REF!</v>
      </c>
      <c r="K6" t="e">
        <f>SUMIFS(#REF!,#REF!,'Activation map'!$B6)</f>
        <v>#REF!</v>
      </c>
      <c r="L6" t="e">
        <f>SUMIFS(#REF!,#REF!,'Activation map'!$B6)</f>
        <v>#REF!</v>
      </c>
      <c r="M6" t="e">
        <f>SUMIFS(#REF!,#REF!,'Activation map'!$B6)</f>
        <v>#REF!</v>
      </c>
      <c r="N6" t="e">
        <f>SUMIFS(#REF!,#REF!,'Activation map'!$B6)</f>
        <v>#REF!</v>
      </c>
      <c r="O6" t="e">
        <f>SUMIFS(#REF!,#REF!,'Activation map'!$B6)</f>
        <v>#REF!</v>
      </c>
      <c r="P6" t="e">
        <f>SUMIFS(#REF!,#REF!,'Activation map'!$B6)</f>
        <v>#REF!</v>
      </c>
      <c r="Q6" t="e">
        <f>SUMIFS(#REF!,#REF!,'Activation map'!$B6)</f>
        <v>#REF!</v>
      </c>
      <c r="R6" t="e">
        <f>SUMIFS(#REF!,#REF!,'Activation map'!$B6)</f>
        <v>#REF!</v>
      </c>
      <c r="S6" t="e">
        <f>SUMIFS(#REF!,#REF!,'Activation map'!$B6)</f>
        <v>#REF!</v>
      </c>
      <c r="T6" t="e">
        <f>SUMIFS(#REF!,#REF!,'Activation map'!$B6)</f>
        <v>#REF!</v>
      </c>
      <c r="U6" t="e">
        <f>SUMIFS(#REF!,#REF!,'Activation map'!$B6)</f>
        <v>#REF!</v>
      </c>
      <c r="V6" t="e">
        <f>SUMIFS(#REF!,#REF!,'Activation map'!$B6)</f>
        <v>#REF!</v>
      </c>
      <c r="X6" t="e">
        <f t="shared" si="0"/>
        <v>#REF!</v>
      </c>
      <c r="Y6" t="e">
        <f t="shared" si="1"/>
        <v>#REF!</v>
      </c>
      <c r="Z6" t="e">
        <f t="shared" si="2"/>
        <v>#REF!</v>
      </c>
    </row>
    <row r="7" spans="1:26" x14ac:dyDescent="0.35">
      <c r="A7" t="s">
        <v>573</v>
      </c>
      <c r="B7">
        <v>2463</v>
      </c>
      <c r="C7" t="s">
        <v>565</v>
      </c>
      <c r="D7">
        <v>38700</v>
      </c>
      <c r="E7">
        <v>2375</v>
      </c>
      <c r="F7" t="e">
        <f>SUMIFS(#REF!,#REF!,'Activation map'!$B7)</f>
        <v>#REF!</v>
      </c>
      <c r="G7" t="e">
        <f>SUMIFS(#REF!,#REF!,'Activation map'!$B7)</f>
        <v>#REF!</v>
      </c>
      <c r="H7" t="e">
        <f>SUMIFS(#REF!,#REF!,'Activation map'!$B7)</f>
        <v>#REF!</v>
      </c>
      <c r="I7" t="e">
        <f>SUMIFS(#REF!,#REF!,'Activation map'!$B7)</f>
        <v>#REF!</v>
      </c>
      <c r="J7" t="e">
        <f>SUMIFS(#REF!,#REF!,'Activation map'!$B7)</f>
        <v>#REF!</v>
      </c>
      <c r="K7" t="e">
        <f>SUMIFS(#REF!,#REF!,'Activation map'!$B7)</f>
        <v>#REF!</v>
      </c>
      <c r="L7" t="e">
        <f>SUMIFS(#REF!,#REF!,'Activation map'!$B7)</f>
        <v>#REF!</v>
      </c>
      <c r="M7" t="e">
        <f>SUMIFS(#REF!,#REF!,'Activation map'!$B7)</f>
        <v>#REF!</v>
      </c>
      <c r="N7" t="e">
        <f>SUMIFS(#REF!,#REF!,'Activation map'!$B7)</f>
        <v>#REF!</v>
      </c>
      <c r="O7" t="e">
        <f>SUMIFS(#REF!,#REF!,'Activation map'!$B7)</f>
        <v>#REF!</v>
      </c>
      <c r="P7" t="e">
        <f>SUMIFS(#REF!,#REF!,'Activation map'!$B7)</f>
        <v>#REF!</v>
      </c>
      <c r="Q7" t="e">
        <f>SUMIFS(#REF!,#REF!,'Activation map'!$B7)</f>
        <v>#REF!</v>
      </c>
      <c r="R7" t="e">
        <f>SUMIFS(#REF!,#REF!,'Activation map'!$B7)</f>
        <v>#REF!</v>
      </c>
      <c r="S7" t="e">
        <f>SUMIFS(#REF!,#REF!,'Activation map'!$B7)</f>
        <v>#REF!</v>
      </c>
      <c r="T7" t="e">
        <f>SUMIFS(#REF!,#REF!,'Activation map'!$B7)</f>
        <v>#REF!</v>
      </c>
      <c r="U7" t="e">
        <f>SUMIFS(#REF!,#REF!,'Activation map'!$B7)</f>
        <v>#REF!</v>
      </c>
      <c r="V7" t="e">
        <f>SUMIFS(#REF!,#REF!,'Activation map'!$B7)</f>
        <v>#REF!</v>
      </c>
      <c r="X7" t="e">
        <f t="shared" si="0"/>
        <v>#REF!</v>
      </c>
      <c r="Y7" t="e">
        <f t="shared" si="1"/>
        <v>#REF!</v>
      </c>
      <c r="Z7" t="e">
        <f t="shared" si="2"/>
        <v>#REF!</v>
      </c>
    </row>
    <row r="8" spans="1:26" x14ac:dyDescent="0.35">
      <c r="A8" t="s">
        <v>574</v>
      </c>
      <c r="C8" t="s">
        <v>567</v>
      </c>
      <c r="E8">
        <v>2726</v>
      </c>
      <c r="F8" t="e">
        <f>SUMPRODUCT(SUMIFS(#REF!,#REF!,$B19:$B21))</f>
        <v>#REF!</v>
      </c>
      <c r="G8" t="e">
        <f>SUMPRODUCT(SUMIFS(#REF!,#REF!,$B19:$B21))</f>
        <v>#REF!</v>
      </c>
      <c r="H8" t="e">
        <f>SUMPRODUCT(SUMIFS(#REF!,#REF!,$B19:$B21))</f>
        <v>#REF!</v>
      </c>
      <c r="I8" t="e">
        <f>SUMPRODUCT(SUMIFS(#REF!,#REF!,$B19:$B21))</f>
        <v>#REF!</v>
      </c>
      <c r="J8" t="e">
        <f>SUMPRODUCT(SUMIFS(#REF!,#REF!,$B19:$B21))</f>
        <v>#REF!</v>
      </c>
      <c r="K8" t="e">
        <f>SUMPRODUCT(SUMIFS(#REF!,#REF!,$B19:$B21))</f>
        <v>#REF!</v>
      </c>
      <c r="L8" t="e">
        <f>SUMPRODUCT(SUMIFS(#REF!,#REF!,$B19:$B21))</f>
        <v>#REF!</v>
      </c>
      <c r="M8" t="e">
        <f>SUMPRODUCT(SUMIFS(#REF!,#REF!,$B19:$B21))</f>
        <v>#REF!</v>
      </c>
      <c r="N8" t="e">
        <f>SUMPRODUCT(SUMIFS(#REF!,#REF!,$B19:$B21))</f>
        <v>#REF!</v>
      </c>
      <c r="O8" t="e">
        <f>SUMPRODUCT(SUMIFS(#REF!,#REF!,$B19:$B21))</f>
        <v>#REF!</v>
      </c>
      <c r="P8" t="e">
        <f>SUMPRODUCT(SUMIFS(#REF!,#REF!,$B19:$B21))</f>
        <v>#REF!</v>
      </c>
      <c r="Q8" t="e">
        <f>SUMPRODUCT(SUMIFS(#REF!,#REF!,$B19:$B21))</f>
        <v>#REF!</v>
      </c>
      <c r="R8" t="e">
        <f>SUMPRODUCT(SUMIFS(#REF!,#REF!,$B19:$B21))</f>
        <v>#REF!</v>
      </c>
      <c r="S8" t="e">
        <f>SUMPRODUCT(SUMIFS(#REF!,#REF!,$B19:$B21))</f>
        <v>#REF!</v>
      </c>
      <c r="T8" t="e">
        <f>SUMPRODUCT(SUMIFS(#REF!,#REF!,$B19:$B21))</f>
        <v>#REF!</v>
      </c>
      <c r="U8" t="e">
        <f>SUMPRODUCT(SUMIFS(#REF!,#REF!,$B19:$B21))</f>
        <v>#REF!</v>
      </c>
      <c r="V8" t="e">
        <f>SUMPRODUCT(SUMIFS(#REF!,#REF!,$B19:$B21))</f>
        <v>#REF!</v>
      </c>
      <c r="X8" t="e">
        <f t="shared" si="0"/>
        <v>#REF!</v>
      </c>
      <c r="Y8" t="e">
        <f t="shared" si="1"/>
        <v>#REF!</v>
      </c>
      <c r="Z8" t="e">
        <f t="shared" si="2"/>
        <v>#REF!</v>
      </c>
    </row>
    <row r="9" spans="1:26" x14ac:dyDescent="0.35">
      <c r="A9" t="s">
        <v>575</v>
      </c>
      <c r="C9" t="s">
        <v>140</v>
      </c>
      <c r="F9" t="e">
        <f>SUMPRODUCT(SUMIFS(#REF!,#REF!,$B22:$B38))</f>
        <v>#REF!</v>
      </c>
      <c r="G9" t="e">
        <f>SUMPRODUCT(SUMIFS(#REF!,#REF!,$B22:$B38))</f>
        <v>#REF!</v>
      </c>
      <c r="H9" t="e">
        <f>SUMPRODUCT(SUMIFS(#REF!,#REF!,$B22:$B38))</f>
        <v>#REF!</v>
      </c>
      <c r="I9" t="e">
        <f>SUMPRODUCT(SUMIFS(#REF!,#REF!,$B22:$B38))</f>
        <v>#REF!</v>
      </c>
      <c r="J9" t="e">
        <f>SUMPRODUCT(SUMIFS(#REF!,#REF!,$B22:$B38))</f>
        <v>#REF!</v>
      </c>
      <c r="K9" t="e">
        <f>SUMPRODUCT(SUMIFS(#REF!,#REF!,$B22:$B38))</f>
        <v>#REF!</v>
      </c>
      <c r="L9" t="e">
        <f>SUMPRODUCT(SUMIFS(#REF!,#REF!,$B22:$B38))</f>
        <v>#REF!</v>
      </c>
      <c r="M9" t="e">
        <f>SUMPRODUCT(SUMIFS(#REF!,#REF!,$B22:$B38))</f>
        <v>#REF!</v>
      </c>
      <c r="N9" t="e">
        <f>SUMPRODUCT(SUMIFS(#REF!,#REF!,$B22:$B38))</f>
        <v>#REF!</v>
      </c>
      <c r="O9" t="e">
        <f>SUMPRODUCT(SUMIFS(#REF!,#REF!,$B22:$B38))</f>
        <v>#REF!</v>
      </c>
      <c r="P9" t="e">
        <f>SUMPRODUCT(SUMIFS(#REF!,#REF!,$B22:$B38))</f>
        <v>#REF!</v>
      </c>
      <c r="Q9" t="e">
        <f>SUMPRODUCT(SUMIFS(#REF!,#REF!,$B22:$B38))</f>
        <v>#REF!</v>
      </c>
      <c r="R9" t="e">
        <f>SUMPRODUCT(SUMIFS(#REF!,#REF!,$B22:$B38))</f>
        <v>#REF!</v>
      </c>
      <c r="S9" t="e">
        <f>SUMPRODUCT(SUMIFS(#REF!,#REF!,$B22:$B38))</f>
        <v>#REF!</v>
      </c>
      <c r="T9" t="e">
        <f>SUMPRODUCT(SUMIFS(#REF!,#REF!,$B22:$B38))</f>
        <v>#REF!</v>
      </c>
      <c r="U9" t="e">
        <f>SUMPRODUCT(SUMIFS(#REF!,#REF!,$B22:$B38))</f>
        <v>#REF!</v>
      </c>
      <c r="V9" t="e">
        <f>SUMPRODUCT(SUMIFS(#REF!,#REF!,$B22:$B38))</f>
        <v>#REF!</v>
      </c>
      <c r="X9" t="e">
        <f t="shared" si="0"/>
        <v>#REF!</v>
      </c>
      <c r="Y9" t="e">
        <f t="shared" si="1"/>
        <v>#REF!</v>
      </c>
      <c r="Z9" t="e">
        <f t="shared" si="2"/>
        <v>#REF!</v>
      </c>
    </row>
    <row r="10" spans="1:26" x14ac:dyDescent="0.35">
      <c r="A10" t="s">
        <v>576</v>
      </c>
      <c r="C10" t="s">
        <v>35</v>
      </c>
      <c r="F10" t="e">
        <f>SUMPRODUCT(SUMIFS(#REF!,#REF!,$B39:$B48))</f>
        <v>#REF!</v>
      </c>
      <c r="G10" t="e">
        <f>SUMPRODUCT(SUMIFS(#REF!,#REF!,$B39:$B48))</f>
        <v>#REF!</v>
      </c>
      <c r="H10" t="e">
        <f>SUMPRODUCT(SUMIFS(#REF!,#REF!,$B39:$B48))</f>
        <v>#REF!</v>
      </c>
      <c r="I10" t="e">
        <f>SUMPRODUCT(SUMIFS(#REF!,#REF!,$B39:$B48))</f>
        <v>#REF!</v>
      </c>
      <c r="J10" t="e">
        <f>SUMPRODUCT(SUMIFS(#REF!,#REF!,$B39:$B48))</f>
        <v>#REF!</v>
      </c>
      <c r="K10" t="e">
        <f>SUMPRODUCT(SUMIFS(#REF!,#REF!,$B39:$B48))</f>
        <v>#REF!</v>
      </c>
      <c r="L10" t="e">
        <f>SUMPRODUCT(SUMIFS(#REF!,#REF!,$B39:$B48))</f>
        <v>#REF!</v>
      </c>
      <c r="M10" t="e">
        <f>SUMPRODUCT(SUMIFS(#REF!,#REF!,$B39:$B48))</f>
        <v>#REF!</v>
      </c>
      <c r="N10" t="e">
        <f>SUMPRODUCT(SUMIFS(#REF!,#REF!,$B39:$B48))</f>
        <v>#REF!</v>
      </c>
      <c r="O10" t="e">
        <f>SUMPRODUCT(SUMIFS(#REF!,#REF!,$B39:$B48))</f>
        <v>#REF!</v>
      </c>
      <c r="P10" t="e">
        <f>SUMPRODUCT(SUMIFS(#REF!,#REF!,$B39:$B48))</f>
        <v>#REF!</v>
      </c>
      <c r="Q10" t="e">
        <f>SUMPRODUCT(SUMIFS(#REF!,#REF!,$B39:$B48))</f>
        <v>#REF!</v>
      </c>
      <c r="R10" t="e">
        <f>SUMPRODUCT(SUMIFS(#REF!,#REF!,$B39:$B48))</f>
        <v>#REF!</v>
      </c>
      <c r="S10" t="e">
        <f>SUMPRODUCT(SUMIFS(#REF!,#REF!,$B39:$B48))</f>
        <v>#REF!</v>
      </c>
      <c r="T10" t="e">
        <f>SUMPRODUCT(SUMIFS(#REF!,#REF!,$B39:$B48))</f>
        <v>#REF!</v>
      </c>
      <c r="U10" t="e">
        <f>SUMPRODUCT(SUMIFS(#REF!,#REF!,$B39:$B48))</f>
        <v>#REF!</v>
      </c>
      <c r="V10" t="e">
        <f>SUMPRODUCT(SUMIFS(#REF!,#REF!,$B39:$B48))</f>
        <v>#REF!</v>
      </c>
      <c r="X10" t="e">
        <f t="shared" si="0"/>
        <v>#REF!</v>
      </c>
      <c r="Y10" t="e">
        <f t="shared" si="1"/>
        <v>#REF!</v>
      </c>
      <c r="Z10" t="e">
        <f t="shared" si="2"/>
        <v>#REF!</v>
      </c>
    </row>
    <row r="11" spans="1:26" x14ac:dyDescent="0.35">
      <c r="A11" t="s">
        <v>577</v>
      </c>
      <c r="C11" t="s">
        <v>478</v>
      </c>
      <c r="E11">
        <v>972</v>
      </c>
      <c r="F11" t="e">
        <f>SUMPRODUCT(SUMIFS(#REF!,#REF!,$B49:$B53))</f>
        <v>#REF!</v>
      </c>
      <c r="G11" t="e">
        <f>SUMPRODUCT(SUMIFS(#REF!,#REF!,$B49:$B53))</f>
        <v>#REF!</v>
      </c>
      <c r="H11" t="e">
        <f>SUMPRODUCT(SUMIFS(#REF!,#REF!,$B49:$B53))</f>
        <v>#REF!</v>
      </c>
      <c r="I11" t="e">
        <f>SUMPRODUCT(SUMIFS(#REF!,#REF!,$B49:$B53))</f>
        <v>#REF!</v>
      </c>
      <c r="J11" t="e">
        <f>SUMPRODUCT(SUMIFS(#REF!,#REF!,$B49:$B53))</f>
        <v>#REF!</v>
      </c>
      <c r="K11" t="e">
        <f>SUMPRODUCT(SUMIFS(#REF!,#REF!,$B49:$B53))</f>
        <v>#REF!</v>
      </c>
      <c r="L11" t="e">
        <f>SUMPRODUCT(SUMIFS(#REF!,#REF!,$B49:$B53))</f>
        <v>#REF!</v>
      </c>
      <c r="M11" t="e">
        <f>SUMPRODUCT(SUMIFS(#REF!,#REF!,$B49:$B53))</f>
        <v>#REF!</v>
      </c>
      <c r="N11" t="e">
        <f>SUMPRODUCT(SUMIFS(#REF!,#REF!,$B49:$B53))</f>
        <v>#REF!</v>
      </c>
      <c r="O11" t="e">
        <f>SUMPRODUCT(SUMIFS(#REF!,#REF!,$B49:$B53))</f>
        <v>#REF!</v>
      </c>
      <c r="P11" t="e">
        <f>SUMPRODUCT(SUMIFS(#REF!,#REF!,$B49:$B53))</f>
        <v>#REF!</v>
      </c>
      <c r="Q11" t="e">
        <f>SUMPRODUCT(SUMIFS(#REF!,#REF!,$B49:$B53))</f>
        <v>#REF!</v>
      </c>
      <c r="R11" t="e">
        <f>SUMPRODUCT(SUMIFS(#REF!,#REF!,$B49:$B53))</f>
        <v>#REF!</v>
      </c>
      <c r="S11" t="e">
        <f>SUMPRODUCT(SUMIFS(#REF!,#REF!,$B49:$B53))</f>
        <v>#REF!</v>
      </c>
      <c r="T11" t="e">
        <f>SUMPRODUCT(SUMIFS(#REF!,#REF!,$B49:$B53))</f>
        <v>#REF!</v>
      </c>
      <c r="U11" t="e">
        <f>SUMPRODUCT(SUMIFS(#REF!,#REF!,$B49:$B53))</f>
        <v>#REF!</v>
      </c>
      <c r="V11" t="e">
        <f>SUMPRODUCT(SUMIFS(#REF!,#REF!,$B49:$B53))</f>
        <v>#REF!</v>
      </c>
      <c r="X11" t="e">
        <f t="shared" si="0"/>
        <v>#REF!</v>
      </c>
      <c r="Y11" t="e">
        <f t="shared" si="1"/>
        <v>#REF!</v>
      </c>
      <c r="Z11" t="e">
        <f t="shared" si="2"/>
        <v>#REF!</v>
      </c>
    </row>
    <row r="12" spans="1:26" x14ac:dyDescent="0.35">
      <c r="A12" t="s">
        <v>578</v>
      </c>
      <c r="C12" t="s">
        <v>42</v>
      </c>
      <c r="E12">
        <v>44</v>
      </c>
      <c r="F12" t="e">
        <f>SUMPRODUCT(SUMIFS(#REF!,#REF!,$B54:$B58))</f>
        <v>#REF!</v>
      </c>
      <c r="G12" t="e">
        <f>SUMPRODUCT(SUMIFS(#REF!,#REF!,$B54:$B58))</f>
        <v>#REF!</v>
      </c>
      <c r="H12" t="e">
        <f>SUMPRODUCT(SUMIFS(#REF!,#REF!,$B54:$B58))</f>
        <v>#REF!</v>
      </c>
      <c r="I12" t="e">
        <f>SUMPRODUCT(SUMIFS(#REF!,#REF!,$B54:$B58))</f>
        <v>#REF!</v>
      </c>
      <c r="J12" t="e">
        <f>SUMPRODUCT(SUMIFS(#REF!,#REF!,$B54:$B58))</f>
        <v>#REF!</v>
      </c>
      <c r="K12" t="e">
        <f>SUMPRODUCT(SUMIFS(#REF!,#REF!,$B54:$B58))</f>
        <v>#REF!</v>
      </c>
      <c r="L12" t="e">
        <f>SUMPRODUCT(SUMIFS(#REF!,#REF!,$B54:$B58))</f>
        <v>#REF!</v>
      </c>
      <c r="M12" t="e">
        <f>SUMPRODUCT(SUMIFS(#REF!,#REF!,$B54:$B58))</f>
        <v>#REF!</v>
      </c>
      <c r="N12" t="e">
        <f>SUMPRODUCT(SUMIFS(#REF!,#REF!,$B54:$B58))</f>
        <v>#REF!</v>
      </c>
      <c r="O12" t="e">
        <f>SUMPRODUCT(SUMIFS(#REF!,#REF!,$B54:$B58))</f>
        <v>#REF!</v>
      </c>
      <c r="P12" t="e">
        <f>SUMPRODUCT(SUMIFS(#REF!,#REF!,$B54:$B58))</f>
        <v>#REF!</v>
      </c>
      <c r="Q12" t="e">
        <f>SUMPRODUCT(SUMIFS(#REF!,#REF!,$B54:$B58))</f>
        <v>#REF!</v>
      </c>
      <c r="R12" t="e">
        <f>SUMPRODUCT(SUMIFS(#REF!,#REF!,$B54:$B58))</f>
        <v>#REF!</v>
      </c>
      <c r="S12" t="e">
        <f>SUMPRODUCT(SUMIFS(#REF!,#REF!,$B54:$B58))</f>
        <v>#REF!</v>
      </c>
      <c r="T12" t="e">
        <f>SUMPRODUCT(SUMIFS(#REF!,#REF!,$B54:$B58))</f>
        <v>#REF!</v>
      </c>
      <c r="U12" t="e">
        <f>SUMPRODUCT(SUMIFS(#REF!,#REF!,$B54:$B58))</f>
        <v>#REF!</v>
      </c>
      <c r="V12" t="e">
        <f>SUMPRODUCT(SUMIFS(#REF!,#REF!,$B54:$B58))</f>
        <v>#REF!</v>
      </c>
      <c r="X12" t="e">
        <f t="shared" si="0"/>
        <v>#REF!</v>
      </c>
      <c r="Y12" t="e">
        <f t="shared" si="1"/>
        <v>#REF!</v>
      </c>
      <c r="Z12" t="e">
        <f t="shared" si="2"/>
        <v>#REF!</v>
      </c>
    </row>
    <row r="13" spans="1:26" x14ac:dyDescent="0.35">
      <c r="A13" t="s">
        <v>579</v>
      </c>
      <c r="B13">
        <v>536</v>
      </c>
      <c r="C13" t="s">
        <v>261</v>
      </c>
      <c r="D13">
        <v>50300</v>
      </c>
      <c r="E13">
        <v>278</v>
      </c>
      <c r="F13" t="e">
        <f>SUMIFS(#REF!,#REF!,'Activation map'!$B13)</f>
        <v>#REF!</v>
      </c>
      <c r="G13" t="e">
        <f>SUMIFS(#REF!,#REF!,'Activation map'!$B13)</f>
        <v>#REF!</v>
      </c>
      <c r="H13" t="e">
        <f>SUMIFS(#REF!,#REF!,'Activation map'!$B13)</f>
        <v>#REF!</v>
      </c>
      <c r="I13" t="e">
        <f>SUMIFS(#REF!,#REF!,'Activation map'!$B13)</f>
        <v>#REF!</v>
      </c>
      <c r="J13" t="e">
        <f>SUMIFS(#REF!,#REF!,'Activation map'!$B13)</f>
        <v>#REF!</v>
      </c>
      <c r="K13" t="e">
        <f>SUMIFS(#REF!,#REF!,'Activation map'!$B13)</f>
        <v>#REF!</v>
      </c>
      <c r="L13" t="e">
        <f>SUMIFS(#REF!,#REF!,'Activation map'!$B13)</f>
        <v>#REF!</v>
      </c>
      <c r="M13" t="e">
        <f>SUMIFS(#REF!,#REF!,'Activation map'!$B13)</f>
        <v>#REF!</v>
      </c>
      <c r="N13" t="e">
        <f>SUMIFS(#REF!,#REF!,'Activation map'!$B13)</f>
        <v>#REF!</v>
      </c>
      <c r="O13" t="e">
        <f>SUMIFS(#REF!,#REF!,'Activation map'!$B13)</f>
        <v>#REF!</v>
      </c>
      <c r="P13" t="e">
        <f>SUMIFS(#REF!,#REF!,'Activation map'!$B13)</f>
        <v>#REF!</v>
      </c>
      <c r="Q13" t="e">
        <f>SUMIFS(#REF!,#REF!,'Activation map'!$B13)</f>
        <v>#REF!</v>
      </c>
      <c r="R13" t="e">
        <f>SUMIFS(#REF!,#REF!,'Activation map'!$B13)</f>
        <v>#REF!</v>
      </c>
      <c r="S13" t="e">
        <f>SUMIFS(#REF!,#REF!,'Activation map'!$B13)</f>
        <v>#REF!</v>
      </c>
      <c r="T13" t="e">
        <f>SUMIFS(#REF!,#REF!,'Activation map'!$B13)</f>
        <v>#REF!</v>
      </c>
      <c r="U13" t="e">
        <f>SUMIFS(#REF!,#REF!,'Activation map'!$B13)</f>
        <v>#REF!</v>
      </c>
      <c r="V13" t="e">
        <f>SUMIFS(#REF!,#REF!,'Activation map'!$B13)</f>
        <v>#REF!</v>
      </c>
      <c r="X13" t="e">
        <f t="shared" si="0"/>
        <v>#REF!</v>
      </c>
      <c r="Y13" t="e">
        <f t="shared" si="1"/>
        <v>#REF!</v>
      </c>
      <c r="Z13" t="e">
        <f t="shared" si="2"/>
        <v>#REF!</v>
      </c>
    </row>
    <row r="14" spans="1:26" x14ac:dyDescent="0.35">
      <c r="A14" t="s">
        <v>580</v>
      </c>
      <c r="C14" t="s">
        <v>160</v>
      </c>
      <c r="E14">
        <v>295</v>
      </c>
      <c r="F14" t="e">
        <f>SUMPRODUCT(SUMIFS(#REF!,#REF!,$B59:$B61))</f>
        <v>#REF!</v>
      </c>
      <c r="G14" t="e">
        <f>SUMPRODUCT(SUMIFS(#REF!,#REF!,$B59:$B61))</f>
        <v>#REF!</v>
      </c>
      <c r="H14" t="e">
        <f>SUMPRODUCT(SUMIFS(#REF!,#REF!,$B59:$B61))</f>
        <v>#REF!</v>
      </c>
      <c r="I14" t="e">
        <f>SUMPRODUCT(SUMIFS(#REF!,#REF!,$B59:$B61))</f>
        <v>#REF!</v>
      </c>
      <c r="J14" t="e">
        <f>SUMPRODUCT(SUMIFS(#REF!,#REF!,$B59:$B61))</f>
        <v>#REF!</v>
      </c>
      <c r="K14" t="e">
        <f>SUMPRODUCT(SUMIFS(#REF!,#REF!,$B59:$B61))</f>
        <v>#REF!</v>
      </c>
      <c r="L14" t="e">
        <f>SUMPRODUCT(SUMIFS(#REF!,#REF!,$B59:$B61))</f>
        <v>#REF!</v>
      </c>
      <c r="M14" t="e">
        <f>SUMPRODUCT(SUMIFS(#REF!,#REF!,$B59:$B61))</f>
        <v>#REF!</v>
      </c>
      <c r="N14" t="e">
        <f>SUMPRODUCT(SUMIFS(#REF!,#REF!,$B59:$B61))</f>
        <v>#REF!</v>
      </c>
      <c r="O14" t="e">
        <f>SUMPRODUCT(SUMIFS(#REF!,#REF!,$B59:$B61))</f>
        <v>#REF!</v>
      </c>
      <c r="P14" t="e">
        <f>SUMPRODUCT(SUMIFS(#REF!,#REF!,$B59:$B61))</f>
        <v>#REF!</v>
      </c>
      <c r="Q14" t="e">
        <f>SUMPRODUCT(SUMIFS(#REF!,#REF!,$B59:$B61))</f>
        <v>#REF!</v>
      </c>
      <c r="R14" t="e">
        <f>SUMPRODUCT(SUMIFS(#REF!,#REF!,$B59:$B61))</f>
        <v>#REF!</v>
      </c>
      <c r="S14" t="e">
        <f>SUMPRODUCT(SUMIFS(#REF!,#REF!,$B59:$B61))</f>
        <v>#REF!</v>
      </c>
      <c r="T14" t="e">
        <f>SUMPRODUCT(SUMIFS(#REF!,#REF!,$B59:$B61))</f>
        <v>#REF!</v>
      </c>
      <c r="U14" t="e">
        <f>SUMPRODUCT(SUMIFS(#REF!,#REF!,$B59:$B61))</f>
        <v>#REF!</v>
      </c>
      <c r="V14" t="e">
        <f>SUMPRODUCT(SUMIFS(#REF!,#REF!,$B59:$B61))</f>
        <v>#REF!</v>
      </c>
      <c r="X14" t="e">
        <f t="shared" si="0"/>
        <v>#REF!</v>
      </c>
      <c r="Y14" t="e">
        <f t="shared" si="1"/>
        <v>#REF!</v>
      </c>
      <c r="Z14" t="e">
        <f t="shared" si="2"/>
        <v>#REF!</v>
      </c>
    </row>
    <row r="16" spans="1:26" x14ac:dyDescent="0.35">
      <c r="B16">
        <v>632</v>
      </c>
      <c r="C16" t="s">
        <v>308</v>
      </c>
      <c r="D16">
        <v>39600</v>
      </c>
      <c r="E16">
        <v>726</v>
      </c>
    </row>
    <row r="17" spans="2:5" x14ac:dyDescent="0.35">
      <c r="B17">
        <v>10703</v>
      </c>
      <c r="C17" t="s">
        <v>560</v>
      </c>
      <c r="D17">
        <v>39400</v>
      </c>
      <c r="E17">
        <v>726</v>
      </c>
    </row>
    <row r="18" spans="2:5" x14ac:dyDescent="0.35">
      <c r="B18">
        <v>10704</v>
      </c>
      <c r="C18" t="s">
        <v>561</v>
      </c>
      <c r="D18">
        <v>39500</v>
      </c>
      <c r="E18">
        <v>726</v>
      </c>
    </row>
    <row r="19" spans="2:5" x14ac:dyDescent="0.35">
      <c r="B19">
        <v>2632</v>
      </c>
      <c r="C19" t="s">
        <v>566</v>
      </c>
      <c r="D19">
        <v>39600</v>
      </c>
      <c r="E19">
        <v>2726</v>
      </c>
    </row>
    <row r="20" spans="2:5" x14ac:dyDescent="0.35">
      <c r="B20">
        <v>12703</v>
      </c>
      <c r="C20" t="s">
        <v>560</v>
      </c>
      <c r="D20">
        <v>39400</v>
      </c>
      <c r="E20">
        <v>2726</v>
      </c>
    </row>
    <row r="21" spans="2:5" x14ac:dyDescent="0.35">
      <c r="B21">
        <v>12704</v>
      </c>
      <c r="C21" t="s">
        <v>568</v>
      </c>
      <c r="D21">
        <v>39700</v>
      </c>
      <c r="E21">
        <v>2726</v>
      </c>
    </row>
    <row r="22" spans="2:5" x14ac:dyDescent="0.35">
      <c r="B22">
        <v>894</v>
      </c>
      <c r="C22" t="s">
        <v>430</v>
      </c>
      <c r="D22">
        <v>25300</v>
      </c>
      <c r="E22">
        <v>254</v>
      </c>
    </row>
    <row r="23" spans="2:5" x14ac:dyDescent="0.35">
      <c r="B23">
        <v>274</v>
      </c>
      <c r="C23" t="s">
        <v>151</v>
      </c>
      <c r="D23">
        <v>26400</v>
      </c>
      <c r="E23">
        <v>879</v>
      </c>
    </row>
    <row r="24" spans="2:5" x14ac:dyDescent="0.35">
      <c r="B24">
        <v>330</v>
      </c>
      <c r="C24" t="s">
        <v>179</v>
      </c>
      <c r="D24">
        <v>26500</v>
      </c>
      <c r="E24">
        <v>879</v>
      </c>
    </row>
    <row r="25" spans="2:5" x14ac:dyDescent="0.35">
      <c r="B25">
        <v>434</v>
      </c>
      <c r="C25" t="s">
        <v>218</v>
      </c>
      <c r="D25">
        <v>26100</v>
      </c>
      <c r="E25">
        <v>879</v>
      </c>
    </row>
    <row r="26" spans="2:5" x14ac:dyDescent="0.35">
      <c r="B26">
        <v>442</v>
      </c>
      <c r="C26" t="s">
        <v>223</v>
      </c>
      <c r="D26">
        <v>26000</v>
      </c>
      <c r="E26">
        <v>879</v>
      </c>
    </row>
    <row r="27" spans="2:5" x14ac:dyDescent="0.35">
      <c r="B27">
        <v>545</v>
      </c>
      <c r="C27" t="s">
        <v>264</v>
      </c>
      <c r="D27">
        <v>26200</v>
      </c>
      <c r="E27">
        <v>879</v>
      </c>
    </row>
    <row r="28" spans="2:5" x14ac:dyDescent="0.35">
      <c r="B28">
        <v>610</v>
      </c>
      <c r="C28" t="s">
        <v>295</v>
      </c>
      <c r="D28">
        <v>26300</v>
      </c>
      <c r="E28">
        <v>879</v>
      </c>
    </row>
    <row r="29" spans="2:5" x14ac:dyDescent="0.35">
      <c r="B29">
        <v>430</v>
      </c>
      <c r="C29" t="s">
        <v>216</v>
      </c>
      <c r="D29">
        <v>26900</v>
      </c>
      <c r="E29">
        <v>886</v>
      </c>
    </row>
    <row r="30" spans="2:5" x14ac:dyDescent="0.35">
      <c r="B30">
        <v>542</v>
      </c>
      <c r="C30" t="s">
        <v>263</v>
      </c>
      <c r="D30">
        <v>26700</v>
      </c>
      <c r="E30">
        <v>886</v>
      </c>
    </row>
    <row r="31" spans="2:5" x14ac:dyDescent="0.35">
      <c r="B31">
        <v>590</v>
      </c>
      <c r="C31" t="s">
        <v>283</v>
      </c>
      <c r="D31">
        <v>27100</v>
      </c>
      <c r="E31">
        <v>886</v>
      </c>
    </row>
    <row r="32" spans="2:5" x14ac:dyDescent="0.35">
      <c r="B32">
        <v>622</v>
      </c>
      <c r="C32" t="s">
        <v>303</v>
      </c>
      <c r="D32">
        <v>27200</v>
      </c>
      <c r="E32">
        <v>886</v>
      </c>
    </row>
    <row r="33" spans="2:5" x14ac:dyDescent="0.35">
      <c r="B33">
        <v>687</v>
      </c>
      <c r="C33" t="s">
        <v>337</v>
      </c>
      <c r="D33">
        <v>27000</v>
      </c>
      <c r="E33">
        <v>886</v>
      </c>
    </row>
    <row r="34" spans="2:5" x14ac:dyDescent="0.35">
      <c r="B34">
        <v>279</v>
      </c>
      <c r="C34" t="s">
        <v>153</v>
      </c>
      <c r="D34">
        <v>25800</v>
      </c>
      <c r="E34">
        <v>894</v>
      </c>
    </row>
    <row r="35" spans="2:5" x14ac:dyDescent="0.35">
      <c r="B35">
        <v>671</v>
      </c>
      <c r="C35" t="s">
        <v>329</v>
      </c>
      <c r="D35">
        <v>25400</v>
      </c>
      <c r="E35">
        <v>894</v>
      </c>
    </row>
    <row r="36" spans="2:5" x14ac:dyDescent="0.35">
      <c r="B36">
        <v>774</v>
      </c>
      <c r="C36" t="s">
        <v>373</v>
      </c>
      <c r="D36">
        <v>25600</v>
      </c>
      <c r="E36">
        <v>894</v>
      </c>
    </row>
    <row r="37" spans="2:5" x14ac:dyDescent="0.35">
      <c r="B37">
        <v>906</v>
      </c>
      <c r="C37" t="s">
        <v>438</v>
      </c>
      <c r="D37">
        <v>25700</v>
      </c>
      <c r="E37">
        <v>894</v>
      </c>
    </row>
    <row r="38" spans="2:5" x14ac:dyDescent="0.35">
      <c r="B38">
        <v>965</v>
      </c>
      <c r="C38" t="s">
        <v>473</v>
      </c>
      <c r="D38">
        <v>25500</v>
      </c>
      <c r="E38">
        <v>894</v>
      </c>
    </row>
    <row r="39" spans="2:5" x14ac:dyDescent="0.35">
      <c r="B39">
        <v>211</v>
      </c>
      <c r="C39" t="s">
        <v>121</v>
      </c>
      <c r="D39">
        <v>19100</v>
      </c>
      <c r="E39">
        <v>39</v>
      </c>
    </row>
    <row r="40" spans="2:5" x14ac:dyDescent="0.35">
      <c r="B40">
        <v>919</v>
      </c>
      <c r="C40" t="s">
        <v>446</v>
      </c>
      <c r="D40">
        <v>19300</v>
      </c>
      <c r="E40">
        <v>39</v>
      </c>
    </row>
    <row r="41" spans="2:5" x14ac:dyDescent="0.35">
      <c r="B41">
        <v>927</v>
      </c>
      <c r="C41" t="s">
        <v>450</v>
      </c>
      <c r="D41">
        <v>19400</v>
      </c>
      <c r="E41">
        <v>39</v>
      </c>
    </row>
    <row r="42" spans="2:5" x14ac:dyDescent="0.35">
      <c r="B42">
        <v>935</v>
      </c>
      <c r="C42" t="s">
        <v>456</v>
      </c>
      <c r="D42">
        <v>19000</v>
      </c>
      <c r="E42">
        <v>39</v>
      </c>
    </row>
    <row r="43" spans="2:5" x14ac:dyDescent="0.35">
      <c r="B43">
        <v>1015</v>
      </c>
      <c r="C43" t="s">
        <v>499</v>
      </c>
      <c r="D43">
        <v>19200</v>
      </c>
      <c r="E43">
        <v>39</v>
      </c>
    </row>
    <row r="44" spans="2:5" x14ac:dyDescent="0.35">
      <c r="B44">
        <v>296</v>
      </c>
      <c r="C44" t="s">
        <v>161</v>
      </c>
      <c r="D44">
        <v>19700</v>
      </c>
      <c r="E44">
        <v>48</v>
      </c>
    </row>
    <row r="45" spans="2:5" x14ac:dyDescent="0.35">
      <c r="B45">
        <v>588</v>
      </c>
      <c r="C45" t="s">
        <v>281</v>
      </c>
      <c r="D45">
        <v>19600</v>
      </c>
      <c r="E45">
        <v>48</v>
      </c>
    </row>
    <row r="46" spans="2:5" x14ac:dyDescent="0.35">
      <c r="B46">
        <v>772</v>
      </c>
      <c r="C46" t="s">
        <v>371</v>
      </c>
      <c r="D46">
        <v>19800</v>
      </c>
      <c r="E46">
        <v>48</v>
      </c>
    </row>
    <row r="47" spans="2:5" x14ac:dyDescent="0.35">
      <c r="B47">
        <v>810</v>
      </c>
      <c r="C47" t="s">
        <v>393</v>
      </c>
      <c r="D47">
        <v>19900</v>
      </c>
      <c r="E47">
        <v>48</v>
      </c>
    </row>
    <row r="48" spans="2:5" x14ac:dyDescent="0.35">
      <c r="B48">
        <v>819</v>
      </c>
      <c r="C48" t="s">
        <v>396</v>
      </c>
      <c r="D48">
        <v>20000</v>
      </c>
      <c r="E48">
        <v>48</v>
      </c>
    </row>
    <row r="49" spans="2:5" x14ac:dyDescent="0.35">
      <c r="B49">
        <v>84</v>
      </c>
      <c r="C49" t="s">
        <v>57</v>
      </c>
      <c r="D49">
        <v>20600</v>
      </c>
      <c r="E49">
        <v>972</v>
      </c>
    </row>
    <row r="50" spans="2:5" x14ac:dyDescent="0.35">
      <c r="B50">
        <v>132</v>
      </c>
      <c r="C50" t="s">
        <v>82</v>
      </c>
      <c r="D50">
        <v>20700</v>
      </c>
      <c r="E50">
        <v>972</v>
      </c>
    </row>
    <row r="51" spans="2:5" x14ac:dyDescent="0.35">
      <c r="B51">
        <v>171</v>
      </c>
      <c r="C51" t="s">
        <v>101</v>
      </c>
      <c r="D51">
        <v>20200</v>
      </c>
      <c r="E51">
        <v>972</v>
      </c>
    </row>
    <row r="52" spans="2:5" x14ac:dyDescent="0.35">
      <c r="B52">
        <v>304</v>
      </c>
      <c r="C52" t="s">
        <v>165</v>
      </c>
      <c r="D52">
        <v>20400</v>
      </c>
      <c r="E52">
        <v>972</v>
      </c>
    </row>
    <row r="53" spans="2:5" x14ac:dyDescent="0.35">
      <c r="B53">
        <v>363</v>
      </c>
      <c r="C53" t="s">
        <v>193</v>
      </c>
      <c r="D53">
        <v>20500</v>
      </c>
      <c r="E53">
        <v>972</v>
      </c>
    </row>
    <row r="54" spans="2:5" x14ac:dyDescent="0.35">
      <c r="B54">
        <v>556</v>
      </c>
      <c r="C54" t="s">
        <v>266</v>
      </c>
      <c r="D54">
        <v>8700</v>
      </c>
      <c r="E54">
        <v>44</v>
      </c>
    </row>
    <row r="55" spans="2:5" x14ac:dyDescent="0.35">
      <c r="B55">
        <v>707</v>
      </c>
      <c r="C55" t="s">
        <v>351</v>
      </c>
      <c r="D55">
        <v>8500</v>
      </c>
      <c r="E55">
        <v>44</v>
      </c>
    </row>
    <row r="56" spans="2:5" x14ac:dyDescent="0.35">
      <c r="B56">
        <v>827</v>
      </c>
      <c r="C56" t="s">
        <v>398</v>
      </c>
      <c r="D56">
        <v>8800</v>
      </c>
      <c r="E56">
        <v>44</v>
      </c>
    </row>
    <row r="57" spans="2:5" x14ac:dyDescent="0.35">
      <c r="B57">
        <v>1054</v>
      </c>
      <c r="C57" t="s">
        <v>524</v>
      </c>
      <c r="D57">
        <v>8900</v>
      </c>
      <c r="E57">
        <v>44</v>
      </c>
    </row>
    <row r="58" spans="2:5" x14ac:dyDescent="0.35">
      <c r="B58">
        <v>1081</v>
      </c>
      <c r="C58" t="s">
        <v>533</v>
      </c>
      <c r="D58">
        <v>9000</v>
      </c>
      <c r="E58">
        <v>44</v>
      </c>
    </row>
    <row r="59" spans="2:5" x14ac:dyDescent="0.35">
      <c r="B59">
        <v>303</v>
      </c>
      <c r="C59" t="s">
        <v>164</v>
      </c>
      <c r="D59">
        <v>47200</v>
      </c>
      <c r="E59">
        <v>295</v>
      </c>
    </row>
    <row r="60" spans="2:5" x14ac:dyDescent="0.35">
      <c r="B60">
        <v>311</v>
      </c>
      <c r="C60" t="s">
        <v>169</v>
      </c>
      <c r="D60">
        <v>47300</v>
      </c>
      <c r="E60">
        <v>295</v>
      </c>
    </row>
    <row r="61" spans="2:5" x14ac:dyDescent="0.35">
      <c r="B61">
        <v>451</v>
      </c>
      <c r="C61" t="s">
        <v>229</v>
      </c>
      <c r="D61">
        <v>47400</v>
      </c>
      <c r="E61">
        <v>295</v>
      </c>
    </row>
  </sheetData>
  <conditionalFormatting sqref="X3:X14">
    <cfRule type="cellIs" dxfId="21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6A82-343B-48EB-AA65-062D6A45388C}">
  <dimension ref="A1:Y1246"/>
  <sheetViews>
    <sheetView workbookViewId="0">
      <pane xSplit="4" ySplit="2" topLeftCell="G3" activePane="bottomRight" state="frozen"/>
      <selection pane="topRight" activeCell="E1" sqref="E1"/>
      <selection pane="bottomLeft" activeCell="A3" sqref="A3"/>
      <selection pane="bottomRight"/>
    </sheetView>
  </sheetViews>
  <sheetFormatPr defaultRowHeight="14.5" x14ac:dyDescent="0.35"/>
  <cols>
    <col min="1" max="1" width="10" bestFit="1" customWidth="1"/>
    <col min="2" max="2" width="23.81640625" customWidth="1"/>
    <col min="3" max="3" width="19.54296875" bestFit="1" customWidth="1"/>
    <col min="4" max="4" width="14.1796875" bestFit="1" customWidth="1"/>
    <col min="5" max="21" width="8.54296875" bestFit="1" customWidth="1"/>
    <col min="22" max="22" width="10.26953125" bestFit="1" customWidth="1"/>
    <col min="23" max="24" width="12" bestFit="1" customWidth="1"/>
    <col min="25" max="25" width="11.26953125" bestFit="1" customWidth="1"/>
  </cols>
  <sheetData>
    <row r="1" spans="1:25" x14ac:dyDescent="0.35"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17</v>
      </c>
      <c r="M2" s="1" t="s">
        <v>19</v>
      </c>
      <c r="N2" s="1" t="s">
        <v>4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18</v>
      </c>
      <c r="U2" s="1" t="s">
        <v>20</v>
      </c>
      <c r="V2" s="3" t="s">
        <v>1243</v>
      </c>
      <c r="W2" s="3" t="s">
        <v>582</v>
      </c>
      <c r="X2" s="3" t="s">
        <v>583</v>
      </c>
      <c r="Y2" s="3" t="s">
        <v>584</v>
      </c>
    </row>
    <row r="3" spans="1:25" x14ac:dyDescent="0.35">
      <c r="A3">
        <v>0</v>
      </c>
      <c r="B3" t="s">
        <v>21</v>
      </c>
      <c r="C3">
        <v>0</v>
      </c>
      <c r="E3" t="str">
        <f>IFERROR(IF(OR(HLOOKUP($A3,#REF!,3,FALSE)&gt;2,HLOOKUP(A3,#REF!,3,FALSE)&lt;-2),"",#REF!),"")</f>
        <v/>
      </c>
      <c r="F3" t="str">
        <f>IFERROR(IF(OR(HLOOKUP($A3,#REF!,4,FALSE)&gt;2,HLOOKUP($A3,#REF!,4,FALSE)&lt;-2),"",#REF!),"")</f>
        <v/>
      </c>
      <c r="G3" t="str">
        <f>IFERROR(IF(OR(HLOOKUP($A3,#REF!,5,FALSE)&gt;2,HLOOKUP($A3,#REF!,5,FALSE)&lt;-2),"",#REF!),"")</f>
        <v/>
      </c>
      <c r="H3" t="str">
        <f>IFERROR(IF(OR(HLOOKUP($A3,#REF!,6,FALSE)&gt;2,HLOOKUP($A3,#REF!,6,FALSE)&lt;-2),"",#REF!),"")</f>
        <v/>
      </c>
      <c r="I3" t="str">
        <f>IFERROR(IF(OR(HLOOKUP($A3,#REF!,7,FALSE)&gt;2,HLOOKUP($A3,#REF!,7,FALSE)&lt;-2),"",#REF!),"")</f>
        <v/>
      </c>
      <c r="J3" t="str">
        <f>IFERROR(IF(OR(HLOOKUP($A3,#REF!,8,FALSE)&gt;2,HLOOKUP($A3,#REF!,8,FALSE)&lt;-2),"",#REF!),"")</f>
        <v/>
      </c>
      <c r="K3" t="str">
        <f>IFERROR(IF(OR(HLOOKUP($A3,#REF!,9,FALSE)&gt;2,HLOOKUP($A3,#REF!,9,FALSE)&lt;-2),"",#REF!),"")</f>
        <v/>
      </c>
      <c r="L3" t="str">
        <f>IFERROR(IF(OR(HLOOKUP($A3,#REF!,10,FALSE)&gt;2,HLOOKUP($A3,#REF!,10,FALSE)&lt;-2),"",#REF!),"")</f>
        <v/>
      </c>
      <c r="M3" t="str">
        <f>IFERROR(IF(OR(HLOOKUP($A3,#REF!,11,FALSE)&gt;2,HLOOKUP($A3,#REF!,11,FALSE)&lt;-2),"",#REF!),"")</f>
        <v/>
      </c>
      <c r="N3" t="str">
        <f>IFERROR(IF(OR(HLOOKUP($A3,#REF!,12,FALSE)&gt;2,HLOOKUP($A3,#REF!,12,FALSE)&lt;-2),"",#REF!),"")</f>
        <v/>
      </c>
      <c r="O3" t="str">
        <f>IFERROR(IF(OR(HLOOKUP($A3,#REF!,13,FALSE)&gt;2,HLOOKUP($A3,#REF!,13,FALSE)&lt;-2),"",#REF!),"")</f>
        <v/>
      </c>
      <c r="P3" t="str">
        <f>IFERROR(IF(OR(HLOOKUP($A3,#REF!,14,FALSE)&gt;2,HLOOKUP($A3,#REF!,14,FALSE)&lt;-2),"",#REF!),"")</f>
        <v/>
      </c>
      <c r="Q3" t="str">
        <f>IFERROR(IF(OR(HLOOKUP($A3,#REF!,15,FALSE)&gt;2,HLOOKUP($A3,#REF!,15,FALSE)&lt;-2),"",#REF!),"")</f>
        <v/>
      </c>
      <c r="R3" t="str">
        <f>IFERROR(IF(OR(HLOOKUP($A3,#REF!,16,FALSE)&gt;2,HLOOKUP($A3,#REF!,16,FALSE)&lt;-2),"",#REF!),"")</f>
        <v/>
      </c>
      <c r="S3" t="str">
        <f>IFERROR(IF(OR(HLOOKUP($A3,#REF!,17,FALSE)&gt;2,HLOOKUP($A3,#REF!,17,FALSE)&lt;-2),"",#REF!),"")</f>
        <v/>
      </c>
      <c r="T3" t="str">
        <f>IFERROR(IF(OR(HLOOKUP($A3,#REF!,18,FALSE)&gt;2,HLOOKUP($A3,#REF!,18,FALSE)&lt;-2),"",#REF!),"")</f>
        <v/>
      </c>
      <c r="U3" t="str">
        <f>IFERROR(IF(OR(HLOOKUP($A3,#REF!,19,FALSE)&gt;2,HLOOKUP($A3,#REF!,19,FALSE)&lt;-2),"",#REF!),"")</f>
        <v/>
      </c>
      <c r="V3">
        <f>IFERROR(IF(AND(X3=0,Y3=0),0,1),0)</f>
        <v>1</v>
      </c>
      <c r="W3" t="str">
        <f>IFERROR(_xlfn.T.TEST(E3:M3,N3:U3,2,2),"")</f>
        <v/>
      </c>
      <c r="X3" t="str">
        <f>IFERROR(AVERAGE(E3:M3),"")</f>
        <v/>
      </c>
      <c r="Y3" t="str">
        <f>IFERROR(AVERAGE(N3:U3),"")</f>
        <v/>
      </c>
    </row>
    <row r="4" spans="1:25" x14ac:dyDescent="0.35">
      <c r="A4">
        <v>1</v>
      </c>
      <c r="B4" t="s">
        <v>22</v>
      </c>
      <c r="C4">
        <v>75500</v>
      </c>
      <c r="D4">
        <v>557</v>
      </c>
      <c r="E4" t="str">
        <f>IFERROR(IF(OR(HLOOKUP($A4,#REF!,3,FALSE)&gt;2,HLOOKUP(A4,#REF!,3,FALSE)&lt;-2),"",#REF!),"")</f>
        <v/>
      </c>
      <c r="F4" t="str">
        <f>IFERROR(IF(OR(HLOOKUP($A4,#REF!,4,FALSE)&gt;2,HLOOKUP($A4,#REF!,4,FALSE)&lt;-2),"",#REF!),"")</f>
        <v/>
      </c>
      <c r="G4" t="str">
        <f>IFERROR(IF(OR(HLOOKUP($A4,#REF!,5,FALSE)&gt;2,HLOOKUP($A4,#REF!,5,FALSE)&lt;-2),"",#REF!),"")</f>
        <v/>
      </c>
      <c r="H4" t="str">
        <f>IFERROR(IF(OR(HLOOKUP($A4,#REF!,6,FALSE)&gt;2,HLOOKUP($A4,#REF!,6,FALSE)&lt;-2),"",#REF!),"")</f>
        <v/>
      </c>
      <c r="I4" t="str">
        <f>IFERROR(IF(OR(HLOOKUP($A4,#REF!,7,FALSE)&gt;2,HLOOKUP($A4,#REF!,7,FALSE)&lt;-2),"",#REF!),"")</f>
        <v/>
      </c>
      <c r="J4" t="str">
        <f>IFERROR(IF(OR(HLOOKUP($A4,#REF!,8,FALSE)&gt;2,HLOOKUP($A4,#REF!,8,FALSE)&lt;-2),"",#REF!),"")</f>
        <v/>
      </c>
      <c r="K4" t="str">
        <f>IFERROR(IF(OR(HLOOKUP($A4,#REF!,9,FALSE)&gt;2,HLOOKUP($A4,#REF!,9,FALSE)&lt;-2),"",#REF!),"")</f>
        <v/>
      </c>
      <c r="L4" t="str">
        <f>IFERROR(IF(OR(HLOOKUP($A4,#REF!,10,FALSE)&gt;2,HLOOKUP($A4,#REF!,10,FALSE)&lt;-2),"",#REF!),"")</f>
        <v/>
      </c>
      <c r="M4" t="str">
        <f>IFERROR(IF(OR(HLOOKUP($A4,#REF!,11,FALSE)&gt;2,HLOOKUP($A4,#REF!,11,FALSE)&lt;-2),"",#REF!),"")</f>
        <v/>
      </c>
      <c r="N4" t="str">
        <f>IFERROR(IF(OR(HLOOKUP($A4,#REF!,12,FALSE)&gt;2,HLOOKUP($A4,#REF!,12,FALSE)&lt;-2),"",#REF!),"")</f>
        <v/>
      </c>
      <c r="O4" t="str">
        <f>IFERROR(IF(OR(HLOOKUP($A4,#REF!,13,FALSE)&gt;2,HLOOKUP($A4,#REF!,13,FALSE)&lt;-2),"",#REF!),"")</f>
        <v/>
      </c>
      <c r="P4" t="str">
        <f>IFERROR(IF(OR(HLOOKUP($A4,#REF!,14,FALSE)&gt;2,HLOOKUP($A4,#REF!,14,FALSE)&lt;-2),"",#REF!),"")</f>
        <v/>
      </c>
      <c r="Q4" t="str">
        <f>IFERROR(IF(OR(HLOOKUP($A4,#REF!,15,FALSE)&gt;2,HLOOKUP($A4,#REF!,15,FALSE)&lt;-2),"",#REF!),"")</f>
        <v/>
      </c>
      <c r="R4" t="str">
        <f>IFERROR(IF(OR(HLOOKUP($A4,#REF!,16,FALSE)&gt;2,HLOOKUP($A4,#REF!,16,FALSE)&lt;-2),"",#REF!),"")</f>
        <v/>
      </c>
      <c r="S4" t="str">
        <f>IFERROR(IF(OR(HLOOKUP($A4,#REF!,17,FALSE)&gt;2,HLOOKUP($A4,#REF!,17,FALSE)&lt;-2),"",#REF!),"")</f>
        <v/>
      </c>
      <c r="T4" t="str">
        <f>IFERROR(IF(OR(HLOOKUP($A4,#REF!,18,FALSE)&gt;2,HLOOKUP($A4,#REF!,18,FALSE)&lt;-2),"",#REF!),"")</f>
        <v/>
      </c>
      <c r="U4" t="str">
        <f>IFERROR(IF(OR(HLOOKUP($A4,#REF!,19,FALSE)&gt;2,HLOOKUP($A4,#REF!,19,FALSE)&lt;-2),"",#REF!),"")</f>
        <v/>
      </c>
      <c r="V4">
        <f t="shared" ref="V4:V67" si="0">IFERROR(IF(AND(X4=0,Y4=0),0,1),0)</f>
        <v>1</v>
      </c>
      <c r="W4" t="str">
        <f t="shared" ref="W4:W67" si="1">IFERROR(_xlfn.T.TEST(E4:M4,N4:U4,2,2),"")</f>
        <v/>
      </c>
      <c r="X4" t="str">
        <f t="shared" ref="X4:X67" si="2">IFERROR(AVERAGE(E4:M4),"")</f>
        <v/>
      </c>
      <c r="Y4" t="str">
        <f t="shared" ref="Y4:Y67" si="3">IFERROR(AVERAGE(N4:U4),"")</f>
        <v/>
      </c>
    </row>
    <row r="5" spans="1:25" x14ac:dyDescent="0.35">
      <c r="A5">
        <v>2</v>
      </c>
      <c r="B5" t="s">
        <v>23</v>
      </c>
      <c r="C5">
        <v>6200</v>
      </c>
      <c r="D5">
        <v>345</v>
      </c>
      <c r="E5" t="str">
        <f>IFERROR(IF(OR(HLOOKUP($A5,#REF!,3,FALSE)&gt;2,HLOOKUP(A5,#REF!,3,FALSE)&lt;-2),"",#REF!),"")</f>
        <v/>
      </c>
      <c r="F5" t="str">
        <f>IFERROR(IF(OR(HLOOKUP($A5,#REF!,4,FALSE)&gt;2,HLOOKUP($A5,#REF!,4,FALSE)&lt;-2),"",#REF!),"")</f>
        <v/>
      </c>
      <c r="G5" t="str">
        <f>IFERROR(IF(OR(HLOOKUP($A5,#REF!,5,FALSE)&gt;2,HLOOKUP($A5,#REF!,5,FALSE)&lt;-2),"",#REF!),"")</f>
        <v/>
      </c>
      <c r="H5" t="str">
        <f>IFERROR(IF(OR(HLOOKUP($A5,#REF!,6,FALSE)&gt;2,HLOOKUP($A5,#REF!,6,FALSE)&lt;-2),"",#REF!),"")</f>
        <v/>
      </c>
      <c r="I5" t="str">
        <f>IFERROR(IF(OR(HLOOKUP($A5,#REF!,7,FALSE)&gt;2,HLOOKUP($A5,#REF!,7,FALSE)&lt;-2),"",#REF!),"")</f>
        <v/>
      </c>
      <c r="J5" t="str">
        <f>IFERROR(IF(OR(HLOOKUP($A5,#REF!,8,FALSE)&gt;2,HLOOKUP($A5,#REF!,8,FALSE)&lt;-2),"",#REF!),"")</f>
        <v/>
      </c>
      <c r="K5" t="str">
        <f>IFERROR(IF(OR(HLOOKUP($A5,#REF!,9,FALSE)&gt;2,HLOOKUP($A5,#REF!,9,FALSE)&lt;-2),"",#REF!),"")</f>
        <v/>
      </c>
      <c r="L5" t="str">
        <f>IFERROR(IF(OR(HLOOKUP($A5,#REF!,10,FALSE)&gt;2,HLOOKUP($A5,#REF!,10,FALSE)&lt;-2),"",#REF!),"")</f>
        <v/>
      </c>
      <c r="M5" t="str">
        <f>IFERROR(IF(OR(HLOOKUP($A5,#REF!,11,FALSE)&gt;2,HLOOKUP($A5,#REF!,11,FALSE)&lt;-2),"",#REF!),"")</f>
        <v/>
      </c>
      <c r="N5" t="str">
        <f>IFERROR(IF(OR(HLOOKUP($A5,#REF!,12,FALSE)&gt;2,HLOOKUP($A5,#REF!,12,FALSE)&lt;-2),"",#REF!),"")</f>
        <v/>
      </c>
      <c r="O5" t="str">
        <f>IFERROR(IF(OR(HLOOKUP($A5,#REF!,13,FALSE)&gt;2,HLOOKUP($A5,#REF!,13,FALSE)&lt;-2),"",#REF!),"")</f>
        <v/>
      </c>
      <c r="P5" t="str">
        <f>IFERROR(IF(OR(HLOOKUP($A5,#REF!,14,FALSE)&gt;2,HLOOKUP($A5,#REF!,14,FALSE)&lt;-2),"",#REF!),"")</f>
        <v/>
      </c>
      <c r="Q5" t="str">
        <f>IFERROR(IF(OR(HLOOKUP($A5,#REF!,15,FALSE)&gt;2,HLOOKUP($A5,#REF!,15,FALSE)&lt;-2),"",#REF!),"")</f>
        <v/>
      </c>
      <c r="R5" t="str">
        <f>IFERROR(IF(OR(HLOOKUP($A5,#REF!,16,FALSE)&gt;2,HLOOKUP($A5,#REF!,16,FALSE)&lt;-2),"",#REF!),"")</f>
        <v/>
      </c>
      <c r="S5" t="str">
        <f>IFERROR(IF(OR(HLOOKUP($A5,#REF!,17,FALSE)&gt;2,HLOOKUP($A5,#REF!,17,FALSE)&lt;-2),"",#REF!),"")</f>
        <v/>
      </c>
      <c r="T5" t="str">
        <f>IFERROR(IF(OR(HLOOKUP($A5,#REF!,18,FALSE)&gt;2,HLOOKUP($A5,#REF!,18,FALSE)&lt;-2),"",#REF!),"")</f>
        <v/>
      </c>
      <c r="U5" t="str">
        <f>IFERROR(IF(OR(HLOOKUP($A5,#REF!,19,FALSE)&gt;2,HLOOKUP($A5,#REF!,19,FALSE)&lt;-2),"",#REF!),"")</f>
        <v/>
      </c>
      <c r="V5">
        <f t="shared" si="0"/>
        <v>1</v>
      </c>
      <c r="W5" t="str">
        <f t="shared" si="1"/>
        <v/>
      </c>
      <c r="X5" t="str">
        <f t="shared" si="2"/>
        <v/>
      </c>
      <c r="Y5" t="str">
        <f t="shared" si="3"/>
        <v/>
      </c>
    </row>
    <row r="6" spans="1:25" x14ac:dyDescent="0.35">
      <c r="A6">
        <v>3</v>
      </c>
      <c r="B6" t="s">
        <v>585</v>
      </c>
      <c r="C6">
        <v>118200</v>
      </c>
      <c r="D6">
        <v>1040</v>
      </c>
      <c r="E6" t="str">
        <f>IFERROR(IF(OR(HLOOKUP($A6,#REF!,3,FALSE)&gt;2,HLOOKUP(A6,#REF!,3,FALSE)&lt;-2),"",#REF!),"")</f>
        <v/>
      </c>
      <c r="F6" t="str">
        <f>IFERROR(IF(OR(HLOOKUP($A6,#REF!,4,FALSE)&gt;2,HLOOKUP($A6,#REF!,4,FALSE)&lt;-2),"",#REF!),"")</f>
        <v/>
      </c>
      <c r="G6" t="str">
        <f>IFERROR(IF(OR(HLOOKUP($A6,#REF!,5,FALSE)&gt;2,HLOOKUP($A6,#REF!,5,FALSE)&lt;-2),"",#REF!),"")</f>
        <v/>
      </c>
      <c r="H6" t="str">
        <f>IFERROR(IF(OR(HLOOKUP($A6,#REF!,6,FALSE)&gt;2,HLOOKUP($A6,#REF!,6,FALSE)&lt;-2),"",#REF!),"")</f>
        <v/>
      </c>
      <c r="I6" t="str">
        <f>IFERROR(IF(OR(HLOOKUP($A6,#REF!,7,FALSE)&gt;2,HLOOKUP($A6,#REF!,7,FALSE)&lt;-2),"",#REF!),"")</f>
        <v/>
      </c>
      <c r="J6" t="str">
        <f>IFERROR(IF(OR(HLOOKUP($A6,#REF!,8,FALSE)&gt;2,HLOOKUP($A6,#REF!,8,FALSE)&lt;-2),"",#REF!),"")</f>
        <v/>
      </c>
      <c r="K6" t="str">
        <f>IFERROR(IF(OR(HLOOKUP($A6,#REF!,9,FALSE)&gt;2,HLOOKUP($A6,#REF!,9,FALSE)&lt;-2),"",#REF!),"")</f>
        <v/>
      </c>
      <c r="L6" t="str">
        <f>IFERROR(IF(OR(HLOOKUP($A6,#REF!,10,FALSE)&gt;2,HLOOKUP($A6,#REF!,10,FALSE)&lt;-2),"",#REF!),"")</f>
        <v/>
      </c>
      <c r="M6" t="str">
        <f>IFERROR(IF(OR(HLOOKUP($A6,#REF!,11,FALSE)&gt;2,HLOOKUP($A6,#REF!,11,FALSE)&lt;-2),"",#REF!),"")</f>
        <v/>
      </c>
      <c r="N6" t="str">
        <f>IFERROR(IF(OR(HLOOKUP($A6,#REF!,12,FALSE)&gt;2,HLOOKUP($A6,#REF!,12,FALSE)&lt;-2),"",#REF!),"")</f>
        <v/>
      </c>
      <c r="O6" t="str">
        <f>IFERROR(IF(OR(HLOOKUP($A6,#REF!,13,FALSE)&gt;2,HLOOKUP($A6,#REF!,13,FALSE)&lt;-2),"",#REF!),"")</f>
        <v/>
      </c>
      <c r="P6" t="str">
        <f>IFERROR(IF(OR(HLOOKUP($A6,#REF!,14,FALSE)&gt;2,HLOOKUP($A6,#REF!,14,FALSE)&lt;-2),"",#REF!),"")</f>
        <v/>
      </c>
      <c r="Q6" t="str">
        <f>IFERROR(IF(OR(HLOOKUP($A6,#REF!,15,FALSE)&gt;2,HLOOKUP($A6,#REF!,15,FALSE)&lt;-2),"",#REF!),"")</f>
        <v/>
      </c>
      <c r="R6" t="str">
        <f>IFERROR(IF(OR(HLOOKUP($A6,#REF!,16,FALSE)&gt;2,HLOOKUP($A6,#REF!,16,FALSE)&lt;-2),"",#REF!),"")</f>
        <v/>
      </c>
      <c r="S6" t="str">
        <f>IFERROR(IF(OR(HLOOKUP($A6,#REF!,17,FALSE)&gt;2,HLOOKUP($A6,#REF!,17,FALSE)&lt;-2),"",#REF!),"")</f>
        <v/>
      </c>
      <c r="T6" t="str">
        <f>IFERROR(IF(OR(HLOOKUP($A6,#REF!,18,FALSE)&gt;2,HLOOKUP($A6,#REF!,18,FALSE)&lt;-2),"",#REF!),"")</f>
        <v/>
      </c>
      <c r="U6" t="str">
        <f>IFERROR(IF(OR(HLOOKUP($A6,#REF!,19,FALSE)&gt;2,HLOOKUP($A6,#REF!,19,FALSE)&lt;-2),"",#REF!),"")</f>
        <v/>
      </c>
      <c r="V6">
        <f t="shared" si="0"/>
        <v>1</v>
      </c>
      <c r="W6" t="str">
        <f t="shared" si="1"/>
        <v/>
      </c>
      <c r="X6" t="str">
        <f t="shared" si="2"/>
        <v/>
      </c>
      <c r="Y6" t="str">
        <f t="shared" si="3"/>
        <v/>
      </c>
    </row>
    <row r="7" spans="1:25" x14ac:dyDescent="0.35">
      <c r="A7">
        <v>4</v>
      </c>
      <c r="B7" t="s">
        <v>24</v>
      </c>
      <c r="C7">
        <v>79100</v>
      </c>
      <c r="D7">
        <v>339</v>
      </c>
      <c r="E7" t="str">
        <f>IFERROR(IF(OR(HLOOKUP($A7,#REF!,3,FALSE)&gt;2,HLOOKUP(A7,#REF!,3,FALSE)&lt;-2),"",#REF!),"")</f>
        <v/>
      </c>
      <c r="F7" t="str">
        <f>IFERROR(IF(OR(HLOOKUP($A7,#REF!,4,FALSE)&gt;2,HLOOKUP($A7,#REF!,4,FALSE)&lt;-2),"",#REF!),"")</f>
        <v/>
      </c>
      <c r="G7" t="str">
        <f>IFERROR(IF(OR(HLOOKUP($A7,#REF!,5,FALSE)&gt;2,HLOOKUP($A7,#REF!,5,FALSE)&lt;-2),"",#REF!),"")</f>
        <v/>
      </c>
      <c r="H7" t="str">
        <f>IFERROR(IF(OR(HLOOKUP($A7,#REF!,6,FALSE)&gt;2,HLOOKUP($A7,#REF!,6,FALSE)&lt;-2),"",#REF!),"")</f>
        <v/>
      </c>
      <c r="I7" t="str">
        <f>IFERROR(IF(OR(HLOOKUP($A7,#REF!,7,FALSE)&gt;2,HLOOKUP($A7,#REF!,7,FALSE)&lt;-2),"",#REF!),"")</f>
        <v/>
      </c>
      <c r="J7" t="str">
        <f>IFERROR(IF(OR(HLOOKUP($A7,#REF!,8,FALSE)&gt;2,HLOOKUP($A7,#REF!,8,FALSE)&lt;-2),"",#REF!),"")</f>
        <v/>
      </c>
      <c r="K7" t="str">
        <f>IFERROR(IF(OR(HLOOKUP($A7,#REF!,9,FALSE)&gt;2,HLOOKUP($A7,#REF!,9,FALSE)&lt;-2),"",#REF!),"")</f>
        <v/>
      </c>
      <c r="L7" t="str">
        <f>IFERROR(IF(OR(HLOOKUP($A7,#REF!,10,FALSE)&gt;2,HLOOKUP($A7,#REF!,10,FALSE)&lt;-2),"",#REF!),"")</f>
        <v/>
      </c>
      <c r="M7" t="str">
        <f>IFERROR(IF(OR(HLOOKUP($A7,#REF!,11,FALSE)&gt;2,HLOOKUP($A7,#REF!,11,FALSE)&lt;-2),"",#REF!),"")</f>
        <v/>
      </c>
      <c r="N7" t="str">
        <f>IFERROR(IF(OR(HLOOKUP($A7,#REF!,12,FALSE)&gt;2,HLOOKUP($A7,#REF!,12,FALSE)&lt;-2),"",#REF!),"")</f>
        <v/>
      </c>
      <c r="O7" t="str">
        <f>IFERROR(IF(OR(HLOOKUP($A7,#REF!,13,FALSE)&gt;2,HLOOKUP($A7,#REF!,13,FALSE)&lt;-2),"",#REF!),"")</f>
        <v/>
      </c>
      <c r="P7" t="str">
        <f>IFERROR(IF(OR(HLOOKUP($A7,#REF!,14,FALSE)&gt;2,HLOOKUP($A7,#REF!,14,FALSE)&lt;-2),"",#REF!),"")</f>
        <v/>
      </c>
      <c r="Q7" t="str">
        <f>IFERROR(IF(OR(HLOOKUP($A7,#REF!,15,FALSE)&gt;2,HLOOKUP($A7,#REF!,15,FALSE)&lt;-2),"",#REF!),"")</f>
        <v/>
      </c>
      <c r="R7" t="str">
        <f>IFERROR(IF(OR(HLOOKUP($A7,#REF!,16,FALSE)&gt;2,HLOOKUP($A7,#REF!,16,FALSE)&lt;-2),"",#REF!),"")</f>
        <v/>
      </c>
      <c r="S7" t="str">
        <f>IFERROR(IF(OR(HLOOKUP($A7,#REF!,17,FALSE)&gt;2,HLOOKUP($A7,#REF!,17,FALSE)&lt;-2),"",#REF!),"")</f>
        <v/>
      </c>
      <c r="T7" t="str">
        <f>IFERROR(IF(OR(HLOOKUP($A7,#REF!,18,FALSE)&gt;2,HLOOKUP($A7,#REF!,18,FALSE)&lt;-2),"",#REF!),"")</f>
        <v/>
      </c>
      <c r="U7" t="str">
        <f>IFERROR(IF(OR(HLOOKUP($A7,#REF!,19,FALSE)&gt;2,HLOOKUP($A7,#REF!,19,FALSE)&lt;-2),"",#REF!),"")</f>
        <v/>
      </c>
      <c r="V7">
        <f t="shared" si="0"/>
        <v>1</v>
      </c>
      <c r="W7" t="str">
        <f t="shared" si="1"/>
        <v/>
      </c>
      <c r="X7" t="str">
        <f t="shared" si="2"/>
        <v/>
      </c>
      <c r="Y7" t="str">
        <f t="shared" si="3"/>
        <v/>
      </c>
    </row>
    <row r="8" spans="1:25" x14ac:dyDescent="0.35">
      <c r="A8">
        <v>6</v>
      </c>
      <c r="B8" t="s">
        <v>25</v>
      </c>
      <c r="C8">
        <v>107000</v>
      </c>
      <c r="D8">
        <v>784</v>
      </c>
      <c r="E8" t="str">
        <f>IFERROR(IF(OR(HLOOKUP($A8,#REF!,3,FALSE)&gt;2,HLOOKUP(A8,#REF!,3,FALSE)&lt;-2),"",#REF!),"")</f>
        <v/>
      </c>
      <c r="F8" t="str">
        <f>IFERROR(IF(OR(HLOOKUP($A8,#REF!,4,FALSE)&gt;2,HLOOKUP($A8,#REF!,4,FALSE)&lt;-2),"",#REF!),"")</f>
        <v/>
      </c>
      <c r="G8" t="str">
        <f>IFERROR(IF(OR(HLOOKUP($A8,#REF!,5,FALSE)&gt;2,HLOOKUP($A8,#REF!,5,FALSE)&lt;-2),"",#REF!),"")</f>
        <v/>
      </c>
      <c r="H8" t="str">
        <f>IFERROR(IF(OR(HLOOKUP($A8,#REF!,6,FALSE)&gt;2,HLOOKUP($A8,#REF!,6,FALSE)&lt;-2),"",#REF!),"")</f>
        <v/>
      </c>
      <c r="I8" t="str">
        <f>IFERROR(IF(OR(HLOOKUP($A8,#REF!,7,FALSE)&gt;2,HLOOKUP($A8,#REF!,7,FALSE)&lt;-2),"",#REF!),"")</f>
        <v/>
      </c>
      <c r="J8" t="str">
        <f>IFERROR(IF(OR(HLOOKUP($A8,#REF!,8,FALSE)&gt;2,HLOOKUP($A8,#REF!,8,FALSE)&lt;-2),"",#REF!),"")</f>
        <v/>
      </c>
      <c r="K8" t="str">
        <f>IFERROR(IF(OR(HLOOKUP($A8,#REF!,9,FALSE)&gt;2,HLOOKUP($A8,#REF!,9,FALSE)&lt;-2),"",#REF!),"")</f>
        <v/>
      </c>
      <c r="L8" t="str">
        <f>IFERROR(IF(OR(HLOOKUP($A8,#REF!,10,FALSE)&gt;2,HLOOKUP($A8,#REF!,10,FALSE)&lt;-2),"",#REF!),"")</f>
        <v/>
      </c>
      <c r="M8" t="str">
        <f>IFERROR(IF(OR(HLOOKUP($A8,#REF!,11,FALSE)&gt;2,HLOOKUP($A8,#REF!,11,FALSE)&lt;-2),"",#REF!),"")</f>
        <v/>
      </c>
      <c r="N8" t="str">
        <f>IFERROR(IF(OR(HLOOKUP($A8,#REF!,12,FALSE)&gt;2,HLOOKUP($A8,#REF!,12,FALSE)&lt;-2),"",#REF!),"")</f>
        <v/>
      </c>
      <c r="O8" t="str">
        <f>IFERROR(IF(OR(HLOOKUP($A8,#REF!,13,FALSE)&gt;2,HLOOKUP($A8,#REF!,13,FALSE)&lt;-2),"",#REF!),"")</f>
        <v/>
      </c>
      <c r="P8" t="str">
        <f>IFERROR(IF(OR(HLOOKUP($A8,#REF!,14,FALSE)&gt;2,HLOOKUP($A8,#REF!,14,FALSE)&lt;-2),"",#REF!),"")</f>
        <v/>
      </c>
      <c r="Q8" t="str">
        <f>IFERROR(IF(OR(HLOOKUP($A8,#REF!,15,FALSE)&gt;2,HLOOKUP($A8,#REF!,15,FALSE)&lt;-2),"",#REF!),"")</f>
        <v/>
      </c>
      <c r="R8" t="str">
        <f>IFERROR(IF(OR(HLOOKUP($A8,#REF!,16,FALSE)&gt;2,HLOOKUP($A8,#REF!,16,FALSE)&lt;-2),"",#REF!),"")</f>
        <v/>
      </c>
      <c r="S8" t="str">
        <f>IFERROR(IF(OR(HLOOKUP($A8,#REF!,17,FALSE)&gt;2,HLOOKUP($A8,#REF!,17,FALSE)&lt;-2),"",#REF!),"")</f>
        <v/>
      </c>
      <c r="T8" t="str">
        <f>IFERROR(IF(OR(HLOOKUP($A8,#REF!,18,FALSE)&gt;2,HLOOKUP($A8,#REF!,18,FALSE)&lt;-2),"",#REF!),"")</f>
        <v/>
      </c>
      <c r="U8" t="str">
        <f>IFERROR(IF(OR(HLOOKUP($A8,#REF!,19,FALSE)&gt;2,HLOOKUP($A8,#REF!,19,FALSE)&lt;-2),"",#REF!),"")</f>
        <v/>
      </c>
      <c r="V8">
        <f t="shared" si="0"/>
        <v>1</v>
      </c>
      <c r="W8" t="str">
        <f t="shared" si="1"/>
        <v/>
      </c>
      <c r="X8" t="str">
        <f t="shared" si="2"/>
        <v/>
      </c>
      <c r="Y8" t="str">
        <f t="shared" si="3"/>
        <v/>
      </c>
    </row>
    <row r="9" spans="1:25" x14ac:dyDescent="0.35">
      <c r="A9">
        <v>7</v>
      </c>
      <c r="B9" t="s">
        <v>26</v>
      </c>
      <c r="C9">
        <v>85300</v>
      </c>
      <c r="D9">
        <v>1132</v>
      </c>
      <c r="E9" t="str">
        <f>IFERROR(IF(OR(HLOOKUP($A9,#REF!,3,FALSE)&gt;2,HLOOKUP(A9,#REF!,3,FALSE)&lt;-2),"",#REF!),"")</f>
        <v/>
      </c>
      <c r="F9" t="str">
        <f>IFERROR(IF(OR(HLOOKUP($A9,#REF!,4,FALSE)&gt;2,HLOOKUP($A9,#REF!,4,FALSE)&lt;-2),"",#REF!),"")</f>
        <v/>
      </c>
      <c r="G9" t="str">
        <f>IFERROR(IF(OR(HLOOKUP($A9,#REF!,5,FALSE)&gt;2,HLOOKUP($A9,#REF!,5,FALSE)&lt;-2),"",#REF!),"")</f>
        <v/>
      </c>
      <c r="H9" t="str">
        <f>IFERROR(IF(OR(HLOOKUP($A9,#REF!,6,FALSE)&gt;2,HLOOKUP($A9,#REF!,6,FALSE)&lt;-2),"",#REF!),"")</f>
        <v/>
      </c>
      <c r="I9" t="str">
        <f>IFERROR(IF(OR(HLOOKUP($A9,#REF!,7,FALSE)&gt;2,HLOOKUP($A9,#REF!,7,FALSE)&lt;-2),"",#REF!),"")</f>
        <v/>
      </c>
      <c r="J9" t="str">
        <f>IFERROR(IF(OR(HLOOKUP($A9,#REF!,8,FALSE)&gt;2,HLOOKUP($A9,#REF!,8,FALSE)&lt;-2),"",#REF!),"")</f>
        <v/>
      </c>
      <c r="K9" t="str">
        <f>IFERROR(IF(OR(HLOOKUP($A9,#REF!,9,FALSE)&gt;2,HLOOKUP($A9,#REF!,9,FALSE)&lt;-2),"",#REF!),"")</f>
        <v/>
      </c>
      <c r="L9" t="str">
        <f>IFERROR(IF(OR(HLOOKUP($A9,#REF!,10,FALSE)&gt;2,HLOOKUP($A9,#REF!,10,FALSE)&lt;-2),"",#REF!),"")</f>
        <v/>
      </c>
      <c r="M9" t="str">
        <f>IFERROR(IF(OR(HLOOKUP($A9,#REF!,11,FALSE)&gt;2,HLOOKUP($A9,#REF!,11,FALSE)&lt;-2),"",#REF!),"")</f>
        <v/>
      </c>
      <c r="N9" t="str">
        <f>IFERROR(IF(OR(HLOOKUP($A9,#REF!,12,FALSE)&gt;2,HLOOKUP($A9,#REF!,12,FALSE)&lt;-2),"",#REF!),"")</f>
        <v/>
      </c>
      <c r="O9" t="str">
        <f>IFERROR(IF(OR(HLOOKUP($A9,#REF!,13,FALSE)&gt;2,HLOOKUP($A9,#REF!,13,FALSE)&lt;-2),"",#REF!),"")</f>
        <v/>
      </c>
      <c r="P9" t="str">
        <f>IFERROR(IF(OR(HLOOKUP($A9,#REF!,14,FALSE)&gt;2,HLOOKUP($A9,#REF!,14,FALSE)&lt;-2),"",#REF!),"")</f>
        <v/>
      </c>
      <c r="Q9" t="str">
        <f>IFERROR(IF(OR(HLOOKUP($A9,#REF!,15,FALSE)&gt;2,HLOOKUP($A9,#REF!,15,FALSE)&lt;-2),"",#REF!),"")</f>
        <v/>
      </c>
      <c r="R9" t="str">
        <f>IFERROR(IF(OR(HLOOKUP($A9,#REF!,16,FALSE)&gt;2,HLOOKUP($A9,#REF!,16,FALSE)&lt;-2),"",#REF!),"")</f>
        <v/>
      </c>
      <c r="S9" t="str">
        <f>IFERROR(IF(OR(HLOOKUP($A9,#REF!,17,FALSE)&gt;2,HLOOKUP($A9,#REF!,17,FALSE)&lt;-2),"",#REF!),"")</f>
        <v/>
      </c>
      <c r="T9" t="str">
        <f>IFERROR(IF(OR(HLOOKUP($A9,#REF!,18,FALSE)&gt;2,HLOOKUP($A9,#REF!,18,FALSE)&lt;-2),"",#REF!),"")</f>
        <v/>
      </c>
      <c r="U9" t="str">
        <f>IFERROR(IF(OR(HLOOKUP($A9,#REF!,19,FALSE)&gt;2,HLOOKUP($A9,#REF!,19,FALSE)&lt;-2),"",#REF!),"")</f>
        <v/>
      </c>
      <c r="V9">
        <f t="shared" si="0"/>
        <v>1</v>
      </c>
      <c r="W9" t="str">
        <f t="shared" si="1"/>
        <v/>
      </c>
      <c r="X9" t="str">
        <f t="shared" si="2"/>
        <v/>
      </c>
      <c r="Y9" t="str">
        <f t="shared" si="3"/>
        <v/>
      </c>
    </row>
    <row r="10" spans="1:25" x14ac:dyDescent="0.35">
      <c r="A10">
        <v>8</v>
      </c>
      <c r="B10" t="s">
        <v>586</v>
      </c>
      <c r="C10">
        <v>100</v>
      </c>
      <c r="D10">
        <v>997</v>
      </c>
      <c r="E10" t="str">
        <f>IFERROR(IF(OR(HLOOKUP($A10,#REF!,3,FALSE)&gt;2,HLOOKUP(A10,#REF!,3,FALSE)&lt;-2),"",#REF!),"")</f>
        <v/>
      </c>
      <c r="F10" t="str">
        <f>IFERROR(IF(OR(HLOOKUP($A10,#REF!,4,FALSE)&gt;2,HLOOKUP($A10,#REF!,4,FALSE)&lt;-2),"",#REF!),"")</f>
        <v/>
      </c>
      <c r="G10" t="str">
        <f>IFERROR(IF(OR(HLOOKUP($A10,#REF!,5,FALSE)&gt;2,HLOOKUP($A10,#REF!,5,FALSE)&lt;-2),"",#REF!),"")</f>
        <v/>
      </c>
      <c r="H10" t="str">
        <f>IFERROR(IF(OR(HLOOKUP($A10,#REF!,6,FALSE)&gt;2,HLOOKUP($A10,#REF!,6,FALSE)&lt;-2),"",#REF!),"")</f>
        <v/>
      </c>
      <c r="I10" t="str">
        <f>IFERROR(IF(OR(HLOOKUP($A10,#REF!,7,FALSE)&gt;2,HLOOKUP($A10,#REF!,7,FALSE)&lt;-2),"",#REF!),"")</f>
        <v/>
      </c>
      <c r="J10" t="str">
        <f>IFERROR(IF(OR(HLOOKUP($A10,#REF!,8,FALSE)&gt;2,HLOOKUP($A10,#REF!,8,FALSE)&lt;-2),"",#REF!),"")</f>
        <v/>
      </c>
      <c r="K10" t="str">
        <f>IFERROR(IF(OR(HLOOKUP($A10,#REF!,9,FALSE)&gt;2,HLOOKUP($A10,#REF!,9,FALSE)&lt;-2),"",#REF!),"")</f>
        <v/>
      </c>
      <c r="L10" t="str">
        <f>IFERROR(IF(OR(HLOOKUP($A10,#REF!,10,FALSE)&gt;2,HLOOKUP($A10,#REF!,10,FALSE)&lt;-2),"",#REF!),"")</f>
        <v/>
      </c>
      <c r="M10" t="str">
        <f>IFERROR(IF(OR(HLOOKUP($A10,#REF!,11,FALSE)&gt;2,HLOOKUP($A10,#REF!,11,FALSE)&lt;-2),"",#REF!),"")</f>
        <v/>
      </c>
      <c r="N10" t="str">
        <f>IFERROR(IF(OR(HLOOKUP($A10,#REF!,12,FALSE)&gt;2,HLOOKUP($A10,#REF!,12,FALSE)&lt;-2),"",#REF!),"")</f>
        <v/>
      </c>
      <c r="O10" t="str">
        <f>IFERROR(IF(OR(HLOOKUP($A10,#REF!,13,FALSE)&gt;2,HLOOKUP($A10,#REF!,13,FALSE)&lt;-2),"",#REF!),"")</f>
        <v/>
      </c>
      <c r="P10" t="str">
        <f>IFERROR(IF(OR(HLOOKUP($A10,#REF!,14,FALSE)&gt;2,HLOOKUP($A10,#REF!,14,FALSE)&lt;-2),"",#REF!),"")</f>
        <v/>
      </c>
      <c r="Q10" t="str">
        <f>IFERROR(IF(OR(HLOOKUP($A10,#REF!,15,FALSE)&gt;2,HLOOKUP($A10,#REF!,15,FALSE)&lt;-2),"",#REF!),"")</f>
        <v/>
      </c>
      <c r="R10" t="str">
        <f>IFERROR(IF(OR(HLOOKUP($A10,#REF!,16,FALSE)&gt;2,HLOOKUP($A10,#REF!,16,FALSE)&lt;-2),"",#REF!),"")</f>
        <v/>
      </c>
      <c r="S10" t="str">
        <f>IFERROR(IF(OR(HLOOKUP($A10,#REF!,17,FALSE)&gt;2,HLOOKUP($A10,#REF!,17,FALSE)&lt;-2),"",#REF!),"")</f>
        <v/>
      </c>
      <c r="T10" t="str">
        <f>IFERROR(IF(OR(HLOOKUP($A10,#REF!,18,FALSE)&gt;2,HLOOKUP($A10,#REF!,18,FALSE)&lt;-2),"",#REF!),"")</f>
        <v/>
      </c>
      <c r="U10" t="str">
        <f>IFERROR(IF(OR(HLOOKUP($A10,#REF!,19,FALSE)&gt;2,HLOOKUP($A10,#REF!,19,FALSE)&lt;-2),"",#REF!),"")</f>
        <v/>
      </c>
      <c r="V10">
        <f t="shared" si="0"/>
        <v>1</v>
      </c>
      <c r="W10" t="str">
        <f t="shared" si="1"/>
        <v/>
      </c>
      <c r="X10" t="str">
        <f t="shared" si="2"/>
        <v/>
      </c>
      <c r="Y10" t="str">
        <f t="shared" si="3"/>
        <v/>
      </c>
    </row>
    <row r="11" spans="1:25" x14ac:dyDescent="0.35">
      <c r="A11">
        <v>9</v>
      </c>
      <c r="B11" t="s">
        <v>27</v>
      </c>
      <c r="C11">
        <v>7500</v>
      </c>
      <c r="D11">
        <v>361</v>
      </c>
      <c r="E11" t="str">
        <f>IFERROR(IF(OR(HLOOKUP($A11,#REF!,3,FALSE)&gt;2,HLOOKUP(A11,#REF!,3,FALSE)&lt;-2),"",#REF!),"")</f>
        <v/>
      </c>
      <c r="F11" t="str">
        <f>IFERROR(IF(OR(HLOOKUP($A11,#REF!,4,FALSE)&gt;2,HLOOKUP($A11,#REF!,4,FALSE)&lt;-2),"",#REF!),"")</f>
        <v/>
      </c>
      <c r="G11" t="str">
        <f>IFERROR(IF(OR(HLOOKUP($A11,#REF!,5,FALSE)&gt;2,HLOOKUP($A11,#REF!,5,FALSE)&lt;-2),"",#REF!),"")</f>
        <v/>
      </c>
      <c r="H11" t="str">
        <f>IFERROR(IF(OR(HLOOKUP($A11,#REF!,6,FALSE)&gt;2,HLOOKUP($A11,#REF!,6,FALSE)&lt;-2),"",#REF!),"")</f>
        <v/>
      </c>
      <c r="I11" t="str">
        <f>IFERROR(IF(OR(HLOOKUP($A11,#REF!,7,FALSE)&gt;2,HLOOKUP($A11,#REF!,7,FALSE)&lt;-2),"",#REF!),"")</f>
        <v/>
      </c>
      <c r="J11" t="str">
        <f>IFERROR(IF(OR(HLOOKUP($A11,#REF!,8,FALSE)&gt;2,HLOOKUP($A11,#REF!,8,FALSE)&lt;-2),"",#REF!),"")</f>
        <v/>
      </c>
      <c r="K11" t="str">
        <f>IFERROR(IF(OR(HLOOKUP($A11,#REF!,9,FALSE)&gt;2,HLOOKUP($A11,#REF!,9,FALSE)&lt;-2),"",#REF!),"")</f>
        <v/>
      </c>
      <c r="L11" t="str">
        <f>IFERROR(IF(OR(HLOOKUP($A11,#REF!,10,FALSE)&gt;2,HLOOKUP($A11,#REF!,10,FALSE)&lt;-2),"",#REF!),"")</f>
        <v/>
      </c>
      <c r="M11" t="str">
        <f>IFERROR(IF(OR(HLOOKUP($A11,#REF!,11,FALSE)&gt;2,HLOOKUP($A11,#REF!,11,FALSE)&lt;-2),"",#REF!),"")</f>
        <v/>
      </c>
      <c r="N11" t="str">
        <f>IFERROR(IF(OR(HLOOKUP($A11,#REF!,12,FALSE)&gt;2,HLOOKUP($A11,#REF!,12,FALSE)&lt;-2),"",#REF!),"")</f>
        <v/>
      </c>
      <c r="O11" t="str">
        <f>IFERROR(IF(OR(HLOOKUP($A11,#REF!,13,FALSE)&gt;2,HLOOKUP($A11,#REF!,13,FALSE)&lt;-2),"",#REF!),"")</f>
        <v/>
      </c>
      <c r="P11" t="str">
        <f>IFERROR(IF(OR(HLOOKUP($A11,#REF!,14,FALSE)&gt;2,HLOOKUP($A11,#REF!,14,FALSE)&lt;-2),"",#REF!),"")</f>
        <v/>
      </c>
      <c r="Q11" t="str">
        <f>IFERROR(IF(OR(HLOOKUP($A11,#REF!,15,FALSE)&gt;2,HLOOKUP($A11,#REF!,15,FALSE)&lt;-2),"",#REF!),"")</f>
        <v/>
      </c>
      <c r="R11" t="str">
        <f>IFERROR(IF(OR(HLOOKUP($A11,#REF!,16,FALSE)&gt;2,HLOOKUP($A11,#REF!,16,FALSE)&lt;-2),"",#REF!),"")</f>
        <v/>
      </c>
      <c r="S11" t="str">
        <f>IFERROR(IF(OR(HLOOKUP($A11,#REF!,17,FALSE)&gt;2,HLOOKUP($A11,#REF!,17,FALSE)&lt;-2),"",#REF!),"")</f>
        <v/>
      </c>
      <c r="T11" t="str">
        <f>IFERROR(IF(OR(HLOOKUP($A11,#REF!,18,FALSE)&gt;2,HLOOKUP($A11,#REF!,18,FALSE)&lt;-2),"",#REF!),"")</f>
        <v/>
      </c>
      <c r="U11" t="str">
        <f>IFERROR(IF(OR(HLOOKUP($A11,#REF!,19,FALSE)&gt;2,HLOOKUP($A11,#REF!,19,FALSE)&lt;-2),"",#REF!),"")</f>
        <v/>
      </c>
      <c r="V11">
        <f t="shared" si="0"/>
        <v>1</v>
      </c>
      <c r="W11" t="str">
        <f t="shared" si="1"/>
        <v/>
      </c>
      <c r="X11" t="str">
        <f t="shared" si="2"/>
        <v/>
      </c>
      <c r="Y11" t="str">
        <f t="shared" si="3"/>
        <v/>
      </c>
    </row>
    <row r="12" spans="1:25" x14ac:dyDescent="0.35">
      <c r="A12">
        <v>10</v>
      </c>
      <c r="B12" t="s">
        <v>28</v>
      </c>
      <c r="C12">
        <v>81100</v>
      </c>
      <c r="D12">
        <v>294</v>
      </c>
      <c r="E12" t="str">
        <f>IFERROR(IF(OR(HLOOKUP($A12,#REF!,3,FALSE)&gt;2,HLOOKUP(A12,#REF!,3,FALSE)&lt;-2),"",#REF!),"")</f>
        <v/>
      </c>
      <c r="F12" t="str">
        <f>IFERROR(IF(OR(HLOOKUP($A12,#REF!,4,FALSE)&gt;2,HLOOKUP($A12,#REF!,4,FALSE)&lt;-2),"",#REF!),"")</f>
        <v/>
      </c>
      <c r="G12" t="str">
        <f>IFERROR(IF(OR(HLOOKUP($A12,#REF!,5,FALSE)&gt;2,HLOOKUP($A12,#REF!,5,FALSE)&lt;-2),"",#REF!),"")</f>
        <v/>
      </c>
      <c r="H12" t="str">
        <f>IFERROR(IF(OR(HLOOKUP($A12,#REF!,6,FALSE)&gt;2,HLOOKUP($A12,#REF!,6,FALSE)&lt;-2),"",#REF!),"")</f>
        <v/>
      </c>
      <c r="I12" t="str">
        <f>IFERROR(IF(OR(HLOOKUP($A12,#REF!,7,FALSE)&gt;2,HLOOKUP($A12,#REF!,7,FALSE)&lt;-2),"",#REF!),"")</f>
        <v/>
      </c>
      <c r="J12" t="str">
        <f>IFERROR(IF(OR(HLOOKUP($A12,#REF!,8,FALSE)&gt;2,HLOOKUP($A12,#REF!,8,FALSE)&lt;-2),"",#REF!),"")</f>
        <v/>
      </c>
      <c r="K12" t="str">
        <f>IFERROR(IF(OR(HLOOKUP($A12,#REF!,9,FALSE)&gt;2,HLOOKUP($A12,#REF!,9,FALSE)&lt;-2),"",#REF!),"")</f>
        <v/>
      </c>
      <c r="L12" t="str">
        <f>IFERROR(IF(OR(HLOOKUP($A12,#REF!,10,FALSE)&gt;2,HLOOKUP($A12,#REF!,10,FALSE)&lt;-2),"",#REF!),"")</f>
        <v/>
      </c>
      <c r="M12" t="str">
        <f>IFERROR(IF(OR(HLOOKUP($A12,#REF!,11,FALSE)&gt;2,HLOOKUP($A12,#REF!,11,FALSE)&lt;-2),"",#REF!),"")</f>
        <v/>
      </c>
      <c r="N12" t="str">
        <f>IFERROR(IF(OR(HLOOKUP($A12,#REF!,12,FALSE)&gt;2,HLOOKUP($A12,#REF!,12,FALSE)&lt;-2),"",#REF!),"")</f>
        <v/>
      </c>
      <c r="O12" t="str">
        <f>IFERROR(IF(OR(HLOOKUP($A12,#REF!,13,FALSE)&gt;2,HLOOKUP($A12,#REF!,13,FALSE)&lt;-2),"",#REF!),"")</f>
        <v/>
      </c>
      <c r="P12" t="str">
        <f>IFERROR(IF(OR(HLOOKUP($A12,#REF!,14,FALSE)&gt;2,HLOOKUP($A12,#REF!,14,FALSE)&lt;-2),"",#REF!),"")</f>
        <v/>
      </c>
      <c r="Q12" t="str">
        <f>IFERROR(IF(OR(HLOOKUP($A12,#REF!,15,FALSE)&gt;2,HLOOKUP($A12,#REF!,15,FALSE)&lt;-2),"",#REF!),"")</f>
        <v/>
      </c>
      <c r="R12" t="str">
        <f>IFERROR(IF(OR(HLOOKUP($A12,#REF!,16,FALSE)&gt;2,HLOOKUP($A12,#REF!,16,FALSE)&lt;-2),"",#REF!),"")</f>
        <v/>
      </c>
      <c r="S12" t="str">
        <f>IFERROR(IF(OR(HLOOKUP($A12,#REF!,17,FALSE)&gt;2,HLOOKUP($A12,#REF!,17,FALSE)&lt;-2),"",#REF!),"")</f>
        <v/>
      </c>
      <c r="T12" t="str">
        <f>IFERROR(IF(OR(HLOOKUP($A12,#REF!,18,FALSE)&gt;2,HLOOKUP($A12,#REF!,18,FALSE)&lt;-2),"",#REF!),"")</f>
        <v/>
      </c>
      <c r="U12" t="str">
        <f>IFERROR(IF(OR(HLOOKUP($A12,#REF!,19,FALSE)&gt;2,HLOOKUP($A12,#REF!,19,FALSE)&lt;-2),"",#REF!),"")</f>
        <v/>
      </c>
      <c r="V12">
        <f t="shared" si="0"/>
        <v>1</v>
      </c>
      <c r="W12" t="str">
        <f t="shared" si="1"/>
        <v/>
      </c>
      <c r="X12" t="str">
        <f t="shared" si="2"/>
        <v/>
      </c>
      <c r="Y12" t="str">
        <f t="shared" si="3"/>
        <v/>
      </c>
    </row>
    <row r="13" spans="1:25" x14ac:dyDescent="0.35">
      <c r="A13">
        <v>11</v>
      </c>
      <c r="B13" t="s">
        <v>587</v>
      </c>
      <c r="C13">
        <v>118300</v>
      </c>
      <c r="D13">
        <v>1040</v>
      </c>
      <c r="E13" t="str">
        <f>IFERROR(IF(OR(HLOOKUP($A13,#REF!,3,FALSE)&gt;2,HLOOKUP(A13,#REF!,3,FALSE)&lt;-2),"",#REF!),"")</f>
        <v/>
      </c>
      <c r="F13" t="str">
        <f>IFERROR(IF(OR(HLOOKUP($A13,#REF!,4,FALSE)&gt;2,HLOOKUP($A13,#REF!,4,FALSE)&lt;-2),"",#REF!),"")</f>
        <v/>
      </c>
      <c r="G13" t="str">
        <f>IFERROR(IF(OR(HLOOKUP($A13,#REF!,5,FALSE)&gt;2,HLOOKUP($A13,#REF!,5,FALSE)&lt;-2),"",#REF!),"")</f>
        <v/>
      </c>
      <c r="H13" t="str">
        <f>IFERROR(IF(OR(HLOOKUP($A13,#REF!,6,FALSE)&gt;2,HLOOKUP($A13,#REF!,6,FALSE)&lt;-2),"",#REF!),"")</f>
        <v/>
      </c>
      <c r="I13" t="str">
        <f>IFERROR(IF(OR(HLOOKUP($A13,#REF!,7,FALSE)&gt;2,HLOOKUP($A13,#REF!,7,FALSE)&lt;-2),"",#REF!),"")</f>
        <v/>
      </c>
      <c r="J13" t="str">
        <f>IFERROR(IF(OR(HLOOKUP($A13,#REF!,8,FALSE)&gt;2,HLOOKUP($A13,#REF!,8,FALSE)&lt;-2),"",#REF!),"")</f>
        <v/>
      </c>
      <c r="K13" t="str">
        <f>IFERROR(IF(OR(HLOOKUP($A13,#REF!,9,FALSE)&gt;2,HLOOKUP($A13,#REF!,9,FALSE)&lt;-2),"",#REF!),"")</f>
        <v/>
      </c>
      <c r="L13" t="str">
        <f>IFERROR(IF(OR(HLOOKUP($A13,#REF!,10,FALSE)&gt;2,HLOOKUP($A13,#REF!,10,FALSE)&lt;-2),"",#REF!),"")</f>
        <v/>
      </c>
      <c r="M13" t="str">
        <f>IFERROR(IF(OR(HLOOKUP($A13,#REF!,11,FALSE)&gt;2,HLOOKUP($A13,#REF!,11,FALSE)&lt;-2),"",#REF!),"")</f>
        <v/>
      </c>
      <c r="N13" t="str">
        <f>IFERROR(IF(OR(HLOOKUP($A13,#REF!,12,FALSE)&gt;2,HLOOKUP($A13,#REF!,12,FALSE)&lt;-2),"",#REF!),"")</f>
        <v/>
      </c>
      <c r="O13" t="str">
        <f>IFERROR(IF(OR(HLOOKUP($A13,#REF!,13,FALSE)&gt;2,HLOOKUP($A13,#REF!,13,FALSE)&lt;-2),"",#REF!),"")</f>
        <v/>
      </c>
      <c r="P13" t="str">
        <f>IFERROR(IF(OR(HLOOKUP($A13,#REF!,14,FALSE)&gt;2,HLOOKUP($A13,#REF!,14,FALSE)&lt;-2),"",#REF!),"")</f>
        <v/>
      </c>
      <c r="Q13" t="str">
        <f>IFERROR(IF(OR(HLOOKUP($A13,#REF!,15,FALSE)&gt;2,HLOOKUP($A13,#REF!,15,FALSE)&lt;-2),"",#REF!),"")</f>
        <v/>
      </c>
      <c r="R13" t="str">
        <f>IFERROR(IF(OR(HLOOKUP($A13,#REF!,16,FALSE)&gt;2,HLOOKUP($A13,#REF!,16,FALSE)&lt;-2),"",#REF!),"")</f>
        <v/>
      </c>
      <c r="S13" t="str">
        <f>IFERROR(IF(OR(HLOOKUP($A13,#REF!,17,FALSE)&gt;2,HLOOKUP($A13,#REF!,17,FALSE)&lt;-2),"",#REF!),"")</f>
        <v/>
      </c>
      <c r="T13" t="str">
        <f>IFERROR(IF(OR(HLOOKUP($A13,#REF!,18,FALSE)&gt;2,HLOOKUP($A13,#REF!,18,FALSE)&lt;-2),"",#REF!),"")</f>
        <v/>
      </c>
      <c r="U13" t="str">
        <f>IFERROR(IF(OR(HLOOKUP($A13,#REF!,19,FALSE)&gt;2,HLOOKUP($A13,#REF!,19,FALSE)&lt;-2),"",#REF!),"")</f>
        <v/>
      </c>
      <c r="V13">
        <f t="shared" si="0"/>
        <v>1</v>
      </c>
      <c r="W13" t="str">
        <f t="shared" si="1"/>
        <v/>
      </c>
      <c r="X13" t="str">
        <f t="shared" si="2"/>
        <v/>
      </c>
      <c r="Y13" t="str">
        <f t="shared" si="3"/>
        <v/>
      </c>
    </row>
    <row r="14" spans="1:25" x14ac:dyDescent="0.35">
      <c r="A14">
        <v>12</v>
      </c>
      <c r="B14" t="s">
        <v>588</v>
      </c>
      <c r="C14">
        <v>84100</v>
      </c>
      <c r="D14">
        <v>165</v>
      </c>
      <c r="E14" t="str">
        <f>IFERROR(IF(OR(HLOOKUP($A14,#REF!,3,FALSE)&gt;2,HLOOKUP(A14,#REF!,3,FALSE)&lt;-2),"",#REF!),"")</f>
        <v/>
      </c>
      <c r="F14" t="str">
        <f>IFERROR(IF(OR(HLOOKUP($A14,#REF!,4,FALSE)&gt;2,HLOOKUP($A14,#REF!,4,FALSE)&lt;-2),"",#REF!),"")</f>
        <v/>
      </c>
      <c r="G14" t="str">
        <f>IFERROR(IF(OR(HLOOKUP($A14,#REF!,5,FALSE)&gt;2,HLOOKUP($A14,#REF!,5,FALSE)&lt;-2),"",#REF!),"")</f>
        <v/>
      </c>
      <c r="H14" t="str">
        <f>IFERROR(IF(OR(HLOOKUP($A14,#REF!,6,FALSE)&gt;2,HLOOKUP($A14,#REF!,6,FALSE)&lt;-2),"",#REF!),"")</f>
        <v/>
      </c>
      <c r="I14" t="str">
        <f>IFERROR(IF(OR(HLOOKUP($A14,#REF!,7,FALSE)&gt;2,HLOOKUP($A14,#REF!,7,FALSE)&lt;-2),"",#REF!),"")</f>
        <v/>
      </c>
      <c r="J14" t="str">
        <f>IFERROR(IF(OR(HLOOKUP($A14,#REF!,8,FALSE)&gt;2,HLOOKUP($A14,#REF!,8,FALSE)&lt;-2),"",#REF!),"")</f>
        <v/>
      </c>
      <c r="K14" t="str">
        <f>IFERROR(IF(OR(HLOOKUP($A14,#REF!,9,FALSE)&gt;2,HLOOKUP($A14,#REF!,9,FALSE)&lt;-2),"",#REF!),"")</f>
        <v/>
      </c>
      <c r="L14" t="str">
        <f>IFERROR(IF(OR(HLOOKUP($A14,#REF!,10,FALSE)&gt;2,HLOOKUP($A14,#REF!,10,FALSE)&lt;-2),"",#REF!),"")</f>
        <v/>
      </c>
      <c r="M14" t="str">
        <f>IFERROR(IF(OR(HLOOKUP($A14,#REF!,11,FALSE)&gt;2,HLOOKUP($A14,#REF!,11,FALSE)&lt;-2),"",#REF!),"")</f>
        <v/>
      </c>
      <c r="N14" t="str">
        <f>IFERROR(IF(OR(HLOOKUP($A14,#REF!,12,FALSE)&gt;2,HLOOKUP($A14,#REF!,12,FALSE)&lt;-2),"",#REF!),"")</f>
        <v/>
      </c>
      <c r="O14" t="str">
        <f>IFERROR(IF(OR(HLOOKUP($A14,#REF!,13,FALSE)&gt;2,HLOOKUP($A14,#REF!,13,FALSE)&lt;-2),"",#REF!),"")</f>
        <v/>
      </c>
      <c r="P14" t="str">
        <f>IFERROR(IF(OR(HLOOKUP($A14,#REF!,14,FALSE)&gt;2,HLOOKUP($A14,#REF!,14,FALSE)&lt;-2),"",#REF!),"")</f>
        <v/>
      </c>
      <c r="Q14" t="str">
        <f>IFERROR(IF(OR(HLOOKUP($A14,#REF!,15,FALSE)&gt;2,HLOOKUP($A14,#REF!,15,FALSE)&lt;-2),"",#REF!),"")</f>
        <v/>
      </c>
      <c r="R14" t="str">
        <f>IFERROR(IF(OR(HLOOKUP($A14,#REF!,16,FALSE)&gt;2,HLOOKUP($A14,#REF!,16,FALSE)&lt;-2),"",#REF!),"")</f>
        <v/>
      </c>
      <c r="S14" t="str">
        <f>IFERROR(IF(OR(HLOOKUP($A14,#REF!,17,FALSE)&gt;2,HLOOKUP($A14,#REF!,17,FALSE)&lt;-2),"",#REF!),"")</f>
        <v/>
      </c>
      <c r="T14" t="str">
        <f>IFERROR(IF(OR(HLOOKUP($A14,#REF!,18,FALSE)&gt;2,HLOOKUP($A14,#REF!,18,FALSE)&lt;-2),"",#REF!),"")</f>
        <v/>
      </c>
      <c r="U14" t="str">
        <f>IFERROR(IF(OR(HLOOKUP($A14,#REF!,19,FALSE)&gt;2,HLOOKUP($A14,#REF!,19,FALSE)&lt;-2),"",#REF!),"")</f>
        <v/>
      </c>
      <c r="V14">
        <f t="shared" si="0"/>
        <v>1</v>
      </c>
      <c r="W14" t="str">
        <f t="shared" si="1"/>
        <v/>
      </c>
      <c r="X14" t="str">
        <f t="shared" si="2"/>
        <v/>
      </c>
      <c r="Y14" t="str">
        <f t="shared" si="3"/>
        <v/>
      </c>
    </row>
    <row r="15" spans="1:25" x14ac:dyDescent="0.35">
      <c r="A15">
        <v>14</v>
      </c>
      <c r="B15" t="s">
        <v>589</v>
      </c>
      <c r="C15">
        <v>108200</v>
      </c>
      <c r="D15">
        <v>896</v>
      </c>
      <c r="E15" t="str">
        <f>IFERROR(IF(OR(HLOOKUP($A15,#REF!,3,FALSE)&gt;2,HLOOKUP(A15,#REF!,3,FALSE)&lt;-2),"",#REF!),"")</f>
        <v/>
      </c>
      <c r="F15" t="str">
        <f>IFERROR(IF(OR(HLOOKUP($A15,#REF!,4,FALSE)&gt;2,HLOOKUP($A15,#REF!,4,FALSE)&lt;-2),"",#REF!),"")</f>
        <v/>
      </c>
      <c r="G15" t="str">
        <f>IFERROR(IF(OR(HLOOKUP($A15,#REF!,5,FALSE)&gt;2,HLOOKUP($A15,#REF!,5,FALSE)&lt;-2),"",#REF!),"")</f>
        <v/>
      </c>
      <c r="H15" t="str">
        <f>IFERROR(IF(OR(HLOOKUP($A15,#REF!,6,FALSE)&gt;2,HLOOKUP($A15,#REF!,6,FALSE)&lt;-2),"",#REF!),"")</f>
        <v/>
      </c>
      <c r="I15" t="str">
        <f>IFERROR(IF(OR(HLOOKUP($A15,#REF!,7,FALSE)&gt;2,HLOOKUP($A15,#REF!,7,FALSE)&lt;-2),"",#REF!),"")</f>
        <v/>
      </c>
      <c r="J15" t="str">
        <f>IFERROR(IF(OR(HLOOKUP($A15,#REF!,8,FALSE)&gt;2,HLOOKUP($A15,#REF!,8,FALSE)&lt;-2),"",#REF!),"")</f>
        <v/>
      </c>
      <c r="K15" t="str">
        <f>IFERROR(IF(OR(HLOOKUP($A15,#REF!,9,FALSE)&gt;2,HLOOKUP($A15,#REF!,9,FALSE)&lt;-2),"",#REF!),"")</f>
        <v/>
      </c>
      <c r="L15" t="str">
        <f>IFERROR(IF(OR(HLOOKUP($A15,#REF!,10,FALSE)&gt;2,HLOOKUP($A15,#REF!,10,FALSE)&lt;-2),"",#REF!),"")</f>
        <v/>
      </c>
      <c r="M15" t="str">
        <f>IFERROR(IF(OR(HLOOKUP($A15,#REF!,11,FALSE)&gt;2,HLOOKUP($A15,#REF!,11,FALSE)&lt;-2),"",#REF!),"")</f>
        <v/>
      </c>
      <c r="N15" t="str">
        <f>IFERROR(IF(OR(HLOOKUP($A15,#REF!,12,FALSE)&gt;2,HLOOKUP($A15,#REF!,12,FALSE)&lt;-2),"",#REF!),"")</f>
        <v/>
      </c>
      <c r="O15" t="str">
        <f>IFERROR(IF(OR(HLOOKUP($A15,#REF!,13,FALSE)&gt;2,HLOOKUP($A15,#REF!,13,FALSE)&lt;-2),"",#REF!),"")</f>
        <v/>
      </c>
      <c r="P15" t="str">
        <f>IFERROR(IF(OR(HLOOKUP($A15,#REF!,14,FALSE)&gt;2,HLOOKUP($A15,#REF!,14,FALSE)&lt;-2),"",#REF!),"")</f>
        <v/>
      </c>
      <c r="Q15" t="str">
        <f>IFERROR(IF(OR(HLOOKUP($A15,#REF!,15,FALSE)&gt;2,HLOOKUP($A15,#REF!,15,FALSE)&lt;-2),"",#REF!),"")</f>
        <v/>
      </c>
      <c r="R15" t="str">
        <f>IFERROR(IF(OR(HLOOKUP($A15,#REF!,16,FALSE)&gt;2,HLOOKUP($A15,#REF!,16,FALSE)&lt;-2),"",#REF!),"")</f>
        <v/>
      </c>
      <c r="S15" t="str">
        <f>IFERROR(IF(OR(HLOOKUP($A15,#REF!,17,FALSE)&gt;2,HLOOKUP($A15,#REF!,17,FALSE)&lt;-2),"",#REF!),"")</f>
        <v/>
      </c>
      <c r="T15" t="str">
        <f>IFERROR(IF(OR(HLOOKUP($A15,#REF!,18,FALSE)&gt;2,HLOOKUP($A15,#REF!,18,FALSE)&lt;-2),"",#REF!),"")</f>
        <v/>
      </c>
      <c r="U15" t="str">
        <f>IFERROR(IF(OR(HLOOKUP($A15,#REF!,19,FALSE)&gt;2,HLOOKUP($A15,#REF!,19,FALSE)&lt;-2),"",#REF!),"")</f>
        <v/>
      </c>
      <c r="V15">
        <f t="shared" si="0"/>
        <v>1</v>
      </c>
      <c r="W15" t="str">
        <f t="shared" si="1"/>
        <v/>
      </c>
      <c r="X15" t="str">
        <f t="shared" si="2"/>
        <v/>
      </c>
      <c r="Y15" t="str">
        <f t="shared" si="3"/>
        <v/>
      </c>
    </row>
    <row r="16" spans="1:25" x14ac:dyDescent="0.35">
      <c r="A16">
        <v>15</v>
      </c>
      <c r="B16" t="s">
        <v>29</v>
      </c>
      <c r="C16">
        <v>68100</v>
      </c>
      <c r="D16">
        <v>571</v>
      </c>
      <c r="E16" t="str">
        <f>IFERROR(IF(OR(HLOOKUP($A16,#REF!,3,FALSE)&gt;2,HLOOKUP(A16,#REF!,3,FALSE)&lt;-2),"",#REF!),"")</f>
        <v/>
      </c>
      <c r="F16" t="str">
        <f>IFERROR(IF(OR(HLOOKUP($A16,#REF!,4,FALSE)&gt;2,HLOOKUP($A16,#REF!,4,FALSE)&lt;-2),"",#REF!),"")</f>
        <v/>
      </c>
      <c r="G16" t="str">
        <f>IFERROR(IF(OR(HLOOKUP($A16,#REF!,5,FALSE)&gt;2,HLOOKUP($A16,#REF!,5,FALSE)&lt;-2),"",#REF!),"")</f>
        <v/>
      </c>
      <c r="H16" t="str">
        <f>IFERROR(IF(OR(HLOOKUP($A16,#REF!,6,FALSE)&gt;2,HLOOKUP($A16,#REF!,6,FALSE)&lt;-2),"",#REF!),"")</f>
        <v/>
      </c>
      <c r="I16" t="str">
        <f>IFERROR(IF(OR(HLOOKUP($A16,#REF!,7,FALSE)&gt;2,HLOOKUP($A16,#REF!,7,FALSE)&lt;-2),"",#REF!),"")</f>
        <v/>
      </c>
      <c r="J16" t="str">
        <f>IFERROR(IF(OR(HLOOKUP($A16,#REF!,8,FALSE)&gt;2,HLOOKUP($A16,#REF!,8,FALSE)&lt;-2),"",#REF!),"")</f>
        <v/>
      </c>
      <c r="K16" t="str">
        <f>IFERROR(IF(OR(HLOOKUP($A16,#REF!,9,FALSE)&gt;2,HLOOKUP($A16,#REF!,9,FALSE)&lt;-2),"",#REF!),"")</f>
        <v/>
      </c>
      <c r="L16" t="str">
        <f>IFERROR(IF(OR(HLOOKUP($A16,#REF!,10,FALSE)&gt;2,HLOOKUP($A16,#REF!,10,FALSE)&lt;-2),"",#REF!),"")</f>
        <v/>
      </c>
      <c r="M16" t="str">
        <f>IFERROR(IF(OR(HLOOKUP($A16,#REF!,11,FALSE)&gt;2,HLOOKUP($A16,#REF!,11,FALSE)&lt;-2),"",#REF!),"")</f>
        <v/>
      </c>
      <c r="N16" t="str">
        <f>IFERROR(IF(OR(HLOOKUP($A16,#REF!,12,FALSE)&gt;2,HLOOKUP($A16,#REF!,12,FALSE)&lt;-2),"",#REF!),"")</f>
        <v/>
      </c>
      <c r="O16" t="str">
        <f>IFERROR(IF(OR(HLOOKUP($A16,#REF!,13,FALSE)&gt;2,HLOOKUP($A16,#REF!,13,FALSE)&lt;-2),"",#REF!),"")</f>
        <v/>
      </c>
      <c r="P16" t="str">
        <f>IFERROR(IF(OR(HLOOKUP($A16,#REF!,14,FALSE)&gt;2,HLOOKUP($A16,#REF!,14,FALSE)&lt;-2),"",#REF!),"")</f>
        <v/>
      </c>
      <c r="Q16" t="str">
        <f>IFERROR(IF(OR(HLOOKUP($A16,#REF!,15,FALSE)&gt;2,HLOOKUP($A16,#REF!,15,FALSE)&lt;-2),"",#REF!),"")</f>
        <v/>
      </c>
      <c r="R16" t="str">
        <f>IFERROR(IF(OR(HLOOKUP($A16,#REF!,16,FALSE)&gt;2,HLOOKUP($A16,#REF!,16,FALSE)&lt;-2),"",#REF!),"")</f>
        <v/>
      </c>
      <c r="S16" t="str">
        <f>IFERROR(IF(OR(HLOOKUP($A16,#REF!,17,FALSE)&gt;2,HLOOKUP($A16,#REF!,17,FALSE)&lt;-2),"",#REF!),"")</f>
        <v/>
      </c>
      <c r="T16" t="str">
        <f>IFERROR(IF(OR(HLOOKUP($A16,#REF!,18,FALSE)&gt;2,HLOOKUP($A16,#REF!,18,FALSE)&lt;-2),"",#REF!),"")</f>
        <v/>
      </c>
      <c r="U16" t="str">
        <f>IFERROR(IF(OR(HLOOKUP($A16,#REF!,19,FALSE)&gt;2,HLOOKUP($A16,#REF!,19,FALSE)&lt;-2),"",#REF!),"")</f>
        <v/>
      </c>
      <c r="V16">
        <f t="shared" si="0"/>
        <v>1</v>
      </c>
      <c r="W16" t="str">
        <f t="shared" si="1"/>
        <v/>
      </c>
      <c r="X16" t="str">
        <f t="shared" si="2"/>
        <v/>
      </c>
      <c r="Y16" t="str">
        <f t="shared" si="3"/>
        <v/>
      </c>
    </row>
    <row r="17" spans="1:25" x14ac:dyDescent="0.35">
      <c r="A17">
        <v>16</v>
      </c>
      <c r="B17" t="s">
        <v>590</v>
      </c>
      <c r="C17">
        <v>46500</v>
      </c>
      <c r="D17">
        <v>703</v>
      </c>
      <c r="E17" t="str">
        <f>IFERROR(IF(OR(HLOOKUP($A17,#REF!,3,FALSE)&gt;2,HLOOKUP(A17,#REF!,3,FALSE)&lt;-2),"",#REF!),"")</f>
        <v/>
      </c>
      <c r="F17" t="str">
        <f>IFERROR(IF(OR(HLOOKUP($A17,#REF!,4,FALSE)&gt;2,HLOOKUP($A17,#REF!,4,FALSE)&lt;-2),"",#REF!),"")</f>
        <v/>
      </c>
      <c r="G17" t="str">
        <f>IFERROR(IF(OR(HLOOKUP($A17,#REF!,5,FALSE)&gt;2,HLOOKUP($A17,#REF!,5,FALSE)&lt;-2),"",#REF!),"")</f>
        <v/>
      </c>
      <c r="H17" t="str">
        <f>IFERROR(IF(OR(HLOOKUP($A17,#REF!,6,FALSE)&gt;2,HLOOKUP($A17,#REF!,6,FALSE)&lt;-2),"",#REF!),"")</f>
        <v/>
      </c>
      <c r="I17" t="str">
        <f>IFERROR(IF(OR(HLOOKUP($A17,#REF!,7,FALSE)&gt;2,HLOOKUP($A17,#REF!,7,FALSE)&lt;-2),"",#REF!),"")</f>
        <v/>
      </c>
      <c r="J17" t="str">
        <f>IFERROR(IF(OR(HLOOKUP($A17,#REF!,8,FALSE)&gt;2,HLOOKUP($A17,#REF!,8,FALSE)&lt;-2),"",#REF!),"")</f>
        <v/>
      </c>
      <c r="K17" t="str">
        <f>IFERROR(IF(OR(HLOOKUP($A17,#REF!,9,FALSE)&gt;2,HLOOKUP($A17,#REF!,9,FALSE)&lt;-2),"",#REF!),"")</f>
        <v/>
      </c>
      <c r="L17" t="str">
        <f>IFERROR(IF(OR(HLOOKUP($A17,#REF!,10,FALSE)&gt;2,HLOOKUP($A17,#REF!,10,FALSE)&lt;-2),"",#REF!),"")</f>
        <v/>
      </c>
      <c r="M17" t="str">
        <f>IFERROR(IF(OR(HLOOKUP($A17,#REF!,11,FALSE)&gt;2,HLOOKUP($A17,#REF!,11,FALSE)&lt;-2),"",#REF!),"")</f>
        <v/>
      </c>
      <c r="N17" t="str">
        <f>IFERROR(IF(OR(HLOOKUP($A17,#REF!,12,FALSE)&gt;2,HLOOKUP($A17,#REF!,12,FALSE)&lt;-2),"",#REF!),"")</f>
        <v/>
      </c>
      <c r="O17" t="str">
        <f>IFERROR(IF(OR(HLOOKUP($A17,#REF!,13,FALSE)&gt;2,HLOOKUP($A17,#REF!,13,FALSE)&lt;-2),"",#REF!),"")</f>
        <v/>
      </c>
      <c r="P17" t="str">
        <f>IFERROR(IF(OR(HLOOKUP($A17,#REF!,14,FALSE)&gt;2,HLOOKUP($A17,#REF!,14,FALSE)&lt;-2),"",#REF!),"")</f>
        <v/>
      </c>
      <c r="Q17" t="str">
        <f>IFERROR(IF(OR(HLOOKUP($A17,#REF!,15,FALSE)&gt;2,HLOOKUP($A17,#REF!,15,FALSE)&lt;-2),"",#REF!),"")</f>
        <v/>
      </c>
      <c r="R17" t="str">
        <f>IFERROR(IF(OR(HLOOKUP($A17,#REF!,16,FALSE)&gt;2,HLOOKUP($A17,#REF!,16,FALSE)&lt;-2),"",#REF!),"")</f>
        <v/>
      </c>
      <c r="S17" t="str">
        <f>IFERROR(IF(OR(HLOOKUP($A17,#REF!,17,FALSE)&gt;2,HLOOKUP($A17,#REF!,17,FALSE)&lt;-2),"",#REF!),"")</f>
        <v/>
      </c>
      <c r="T17" t="str">
        <f>IFERROR(IF(OR(HLOOKUP($A17,#REF!,18,FALSE)&gt;2,HLOOKUP($A17,#REF!,18,FALSE)&lt;-2),"",#REF!),"")</f>
        <v/>
      </c>
      <c r="U17" t="str">
        <f>IFERROR(IF(OR(HLOOKUP($A17,#REF!,19,FALSE)&gt;2,HLOOKUP($A17,#REF!,19,FALSE)&lt;-2),"",#REF!),"")</f>
        <v/>
      </c>
      <c r="V17">
        <f t="shared" si="0"/>
        <v>1</v>
      </c>
      <c r="W17" t="str">
        <f t="shared" si="1"/>
        <v/>
      </c>
      <c r="X17" t="str">
        <f t="shared" si="2"/>
        <v/>
      </c>
      <c r="Y17" t="str">
        <f t="shared" si="3"/>
        <v/>
      </c>
    </row>
    <row r="18" spans="1:25" x14ac:dyDescent="0.35">
      <c r="A18">
        <v>17</v>
      </c>
      <c r="B18" t="s">
        <v>30</v>
      </c>
      <c r="C18">
        <v>81000</v>
      </c>
      <c r="D18">
        <v>294</v>
      </c>
      <c r="E18" t="str">
        <f>IFERROR(IF(OR(HLOOKUP($A18,#REF!,3,FALSE)&gt;2,HLOOKUP(A18,#REF!,3,FALSE)&lt;-2),"",#REF!),"")</f>
        <v/>
      </c>
      <c r="F18" t="str">
        <f>IFERROR(IF(OR(HLOOKUP($A18,#REF!,4,FALSE)&gt;2,HLOOKUP($A18,#REF!,4,FALSE)&lt;-2),"",#REF!),"")</f>
        <v/>
      </c>
      <c r="G18" t="str">
        <f>IFERROR(IF(OR(HLOOKUP($A18,#REF!,5,FALSE)&gt;2,HLOOKUP($A18,#REF!,5,FALSE)&lt;-2),"",#REF!),"")</f>
        <v/>
      </c>
      <c r="H18" t="str">
        <f>IFERROR(IF(OR(HLOOKUP($A18,#REF!,6,FALSE)&gt;2,HLOOKUP($A18,#REF!,6,FALSE)&lt;-2),"",#REF!),"")</f>
        <v/>
      </c>
      <c r="I18" t="str">
        <f>IFERROR(IF(OR(HLOOKUP($A18,#REF!,7,FALSE)&gt;2,HLOOKUP($A18,#REF!,7,FALSE)&lt;-2),"",#REF!),"")</f>
        <v/>
      </c>
      <c r="J18" t="str">
        <f>IFERROR(IF(OR(HLOOKUP($A18,#REF!,8,FALSE)&gt;2,HLOOKUP($A18,#REF!,8,FALSE)&lt;-2),"",#REF!),"")</f>
        <v/>
      </c>
      <c r="K18" t="str">
        <f>IFERROR(IF(OR(HLOOKUP($A18,#REF!,9,FALSE)&gt;2,HLOOKUP($A18,#REF!,9,FALSE)&lt;-2),"",#REF!),"")</f>
        <v/>
      </c>
      <c r="L18" t="str">
        <f>IFERROR(IF(OR(HLOOKUP($A18,#REF!,10,FALSE)&gt;2,HLOOKUP($A18,#REF!,10,FALSE)&lt;-2),"",#REF!),"")</f>
        <v/>
      </c>
      <c r="M18" t="str">
        <f>IFERROR(IF(OR(HLOOKUP($A18,#REF!,11,FALSE)&gt;2,HLOOKUP($A18,#REF!,11,FALSE)&lt;-2),"",#REF!),"")</f>
        <v/>
      </c>
      <c r="N18" t="str">
        <f>IFERROR(IF(OR(HLOOKUP($A18,#REF!,12,FALSE)&gt;2,HLOOKUP($A18,#REF!,12,FALSE)&lt;-2),"",#REF!),"")</f>
        <v/>
      </c>
      <c r="O18" t="str">
        <f>IFERROR(IF(OR(HLOOKUP($A18,#REF!,13,FALSE)&gt;2,HLOOKUP($A18,#REF!,13,FALSE)&lt;-2),"",#REF!),"")</f>
        <v/>
      </c>
      <c r="P18" t="str">
        <f>IFERROR(IF(OR(HLOOKUP($A18,#REF!,14,FALSE)&gt;2,HLOOKUP($A18,#REF!,14,FALSE)&lt;-2),"",#REF!),"")</f>
        <v/>
      </c>
      <c r="Q18" t="str">
        <f>IFERROR(IF(OR(HLOOKUP($A18,#REF!,15,FALSE)&gt;2,HLOOKUP($A18,#REF!,15,FALSE)&lt;-2),"",#REF!),"")</f>
        <v/>
      </c>
      <c r="R18" t="str">
        <f>IFERROR(IF(OR(HLOOKUP($A18,#REF!,16,FALSE)&gt;2,HLOOKUP($A18,#REF!,16,FALSE)&lt;-2),"",#REF!),"")</f>
        <v/>
      </c>
      <c r="S18" t="str">
        <f>IFERROR(IF(OR(HLOOKUP($A18,#REF!,17,FALSE)&gt;2,HLOOKUP($A18,#REF!,17,FALSE)&lt;-2),"",#REF!),"")</f>
        <v/>
      </c>
      <c r="T18" t="str">
        <f>IFERROR(IF(OR(HLOOKUP($A18,#REF!,18,FALSE)&gt;2,HLOOKUP($A18,#REF!,18,FALSE)&lt;-2),"",#REF!),"")</f>
        <v/>
      </c>
      <c r="U18" t="str">
        <f>IFERROR(IF(OR(HLOOKUP($A18,#REF!,19,FALSE)&gt;2,HLOOKUP($A18,#REF!,19,FALSE)&lt;-2),"",#REF!),"")</f>
        <v/>
      </c>
      <c r="V18">
        <f t="shared" si="0"/>
        <v>1</v>
      </c>
      <c r="W18" t="str">
        <f t="shared" si="1"/>
        <v/>
      </c>
      <c r="X18" t="str">
        <f t="shared" si="2"/>
        <v/>
      </c>
      <c r="Y18" t="str">
        <f t="shared" si="3"/>
        <v/>
      </c>
    </row>
    <row r="19" spans="1:25" x14ac:dyDescent="0.35">
      <c r="A19">
        <v>18</v>
      </c>
      <c r="B19" t="s">
        <v>591</v>
      </c>
      <c r="C19">
        <v>118400</v>
      </c>
      <c r="D19">
        <v>1040</v>
      </c>
      <c r="E19" t="str">
        <f>IFERROR(IF(OR(HLOOKUP($A19,#REF!,3,FALSE)&gt;2,HLOOKUP(A19,#REF!,3,FALSE)&lt;-2),"",#REF!),"")</f>
        <v/>
      </c>
      <c r="F19" t="str">
        <f>IFERROR(IF(OR(HLOOKUP($A19,#REF!,4,FALSE)&gt;2,HLOOKUP($A19,#REF!,4,FALSE)&lt;-2),"",#REF!),"")</f>
        <v/>
      </c>
      <c r="G19" t="str">
        <f>IFERROR(IF(OR(HLOOKUP($A19,#REF!,5,FALSE)&gt;2,HLOOKUP($A19,#REF!,5,FALSE)&lt;-2),"",#REF!),"")</f>
        <v/>
      </c>
      <c r="H19" t="str">
        <f>IFERROR(IF(OR(HLOOKUP($A19,#REF!,6,FALSE)&gt;2,HLOOKUP($A19,#REF!,6,FALSE)&lt;-2),"",#REF!),"")</f>
        <v/>
      </c>
      <c r="I19" t="str">
        <f>IFERROR(IF(OR(HLOOKUP($A19,#REF!,7,FALSE)&gt;2,HLOOKUP($A19,#REF!,7,FALSE)&lt;-2),"",#REF!),"")</f>
        <v/>
      </c>
      <c r="J19" t="str">
        <f>IFERROR(IF(OR(HLOOKUP($A19,#REF!,8,FALSE)&gt;2,HLOOKUP($A19,#REF!,8,FALSE)&lt;-2),"",#REF!),"")</f>
        <v/>
      </c>
      <c r="K19" t="str">
        <f>IFERROR(IF(OR(HLOOKUP($A19,#REF!,9,FALSE)&gt;2,HLOOKUP($A19,#REF!,9,FALSE)&lt;-2),"",#REF!),"")</f>
        <v/>
      </c>
      <c r="L19" t="str">
        <f>IFERROR(IF(OR(HLOOKUP($A19,#REF!,10,FALSE)&gt;2,HLOOKUP($A19,#REF!,10,FALSE)&lt;-2),"",#REF!),"")</f>
        <v/>
      </c>
      <c r="M19" t="str">
        <f>IFERROR(IF(OR(HLOOKUP($A19,#REF!,11,FALSE)&gt;2,HLOOKUP($A19,#REF!,11,FALSE)&lt;-2),"",#REF!),"")</f>
        <v/>
      </c>
      <c r="N19" t="str">
        <f>IFERROR(IF(OR(HLOOKUP($A19,#REF!,12,FALSE)&gt;2,HLOOKUP($A19,#REF!,12,FALSE)&lt;-2),"",#REF!),"")</f>
        <v/>
      </c>
      <c r="O19" t="str">
        <f>IFERROR(IF(OR(HLOOKUP($A19,#REF!,13,FALSE)&gt;2,HLOOKUP($A19,#REF!,13,FALSE)&lt;-2),"",#REF!),"")</f>
        <v/>
      </c>
      <c r="P19" t="str">
        <f>IFERROR(IF(OR(HLOOKUP($A19,#REF!,14,FALSE)&gt;2,HLOOKUP($A19,#REF!,14,FALSE)&lt;-2),"",#REF!),"")</f>
        <v/>
      </c>
      <c r="Q19" t="str">
        <f>IFERROR(IF(OR(HLOOKUP($A19,#REF!,15,FALSE)&gt;2,HLOOKUP($A19,#REF!,15,FALSE)&lt;-2),"",#REF!),"")</f>
        <v/>
      </c>
      <c r="R19" t="str">
        <f>IFERROR(IF(OR(HLOOKUP($A19,#REF!,16,FALSE)&gt;2,HLOOKUP($A19,#REF!,16,FALSE)&lt;-2),"",#REF!),"")</f>
        <v/>
      </c>
      <c r="S19" t="str">
        <f>IFERROR(IF(OR(HLOOKUP($A19,#REF!,17,FALSE)&gt;2,HLOOKUP($A19,#REF!,17,FALSE)&lt;-2),"",#REF!),"")</f>
        <v/>
      </c>
      <c r="T19" t="str">
        <f>IFERROR(IF(OR(HLOOKUP($A19,#REF!,18,FALSE)&gt;2,HLOOKUP($A19,#REF!,18,FALSE)&lt;-2),"",#REF!),"")</f>
        <v/>
      </c>
      <c r="U19" t="str">
        <f>IFERROR(IF(OR(HLOOKUP($A19,#REF!,19,FALSE)&gt;2,HLOOKUP($A19,#REF!,19,FALSE)&lt;-2),"",#REF!),"")</f>
        <v/>
      </c>
      <c r="V19">
        <f t="shared" si="0"/>
        <v>1</v>
      </c>
      <c r="W19" t="str">
        <f t="shared" si="1"/>
        <v/>
      </c>
      <c r="X19" t="str">
        <f t="shared" si="2"/>
        <v/>
      </c>
      <c r="Y19" t="str">
        <f t="shared" si="3"/>
        <v/>
      </c>
    </row>
    <row r="20" spans="1:25" x14ac:dyDescent="0.35">
      <c r="A20">
        <v>19</v>
      </c>
      <c r="B20" t="s">
        <v>31</v>
      </c>
      <c r="C20">
        <v>41100</v>
      </c>
      <c r="D20">
        <v>1080</v>
      </c>
      <c r="E20" t="str">
        <f>IFERROR(IF(OR(HLOOKUP($A20,#REF!,3,FALSE)&gt;2,HLOOKUP(A20,#REF!,3,FALSE)&lt;-2),"",#REF!),"")</f>
        <v/>
      </c>
      <c r="F20" t="str">
        <f>IFERROR(IF(OR(HLOOKUP($A20,#REF!,4,FALSE)&gt;2,HLOOKUP($A20,#REF!,4,FALSE)&lt;-2),"",#REF!),"")</f>
        <v/>
      </c>
      <c r="G20" t="str">
        <f>IFERROR(IF(OR(HLOOKUP($A20,#REF!,5,FALSE)&gt;2,HLOOKUP($A20,#REF!,5,FALSE)&lt;-2),"",#REF!),"")</f>
        <v/>
      </c>
      <c r="H20" t="str">
        <f>IFERROR(IF(OR(HLOOKUP($A20,#REF!,6,FALSE)&gt;2,HLOOKUP($A20,#REF!,6,FALSE)&lt;-2),"",#REF!),"")</f>
        <v/>
      </c>
      <c r="I20" t="str">
        <f>IFERROR(IF(OR(HLOOKUP($A20,#REF!,7,FALSE)&gt;2,HLOOKUP($A20,#REF!,7,FALSE)&lt;-2),"",#REF!),"")</f>
        <v/>
      </c>
      <c r="J20" t="str">
        <f>IFERROR(IF(OR(HLOOKUP($A20,#REF!,8,FALSE)&gt;2,HLOOKUP($A20,#REF!,8,FALSE)&lt;-2),"",#REF!),"")</f>
        <v/>
      </c>
      <c r="K20" t="str">
        <f>IFERROR(IF(OR(HLOOKUP($A20,#REF!,9,FALSE)&gt;2,HLOOKUP($A20,#REF!,9,FALSE)&lt;-2),"",#REF!),"")</f>
        <v/>
      </c>
      <c r="L20" t="str">
        <f>IFERROR(IF(OR(HLOOKUP($A20,#REF!,10,FALSE)&gt;2,HLOOKUP($A20,#REF!,10,FALSE)&lt;-2),"",#REF!),"")</f>
        <v/>
      </c>
      <c r="M20" t="str">
        <f>IFERROR(IF(OR(HLOOKUP($A20,#REF!,11,FALSE)&gt;2,HLOOKUP($A20,#REF!,11,FALSE)&lt;-2),"",#REF!),"")</f>
        <v/>
      </c>
      <c r="N20" t="str">
        <f>IFERROR(IF(OR(HLOOKUP($A20,#REF!,12,FALSE)&gt;2,HLOOKUP($A20,#REF!,12,FALSE)&lt;-2),"",#REF!),"")</f>
        <v/>
      </c>
      <c r="O20" t="str">
        <f>IFERROR(IF(OR(HLOOKUP($A20,#REF!,13,FALSE)&gt;2,HLOOKUP($A20,#REF!,13,FALSE)&lt;-2),"",#REF!),"")</f>
        <v/>
      </c>
      <c r="P20" t="str">
        <f>IFERROR(IF(OR(HLOOKUP($A20,#REF!,14,FALSE)&gt;2,HLOOKUP($A20,#REF!,14,FALSE)&lt;-2),"",#REF!),"")</f>
        <v/>
      </c>
      <c r="Q20" t="str">
        <f>IFERROR(IF(OR(HLOOKUP($A20,#REF!,15,FALSE)&gt;2,HLOOKUP($A20,#REF!,15,FALSE)&lt;-2),"",#REF!),"")</f>
        <v/>
      </c>
      <c r="R20" t="str">
        <f>IFERROR(IF(OR(HLOOKUP($A20,#REF!,16,FALSE)&gt;2,HLOOKUP($A20,#REF!,16,FALSE)&lt;-2),"",#REF!),"")</f>
        <v/>
      </c>
      <c r="S20" t="str">
        <f>IFERROR(IF(OR(HLOOKUP($A20,#REF!,17,FALSE)&gt;2,HLOOKUP($A20,#REF!,17,FALSE)&lt;-2),"",#REF!),"")</f>
        <v/>
      </c>
      <c r="T20" t="str">
        <f>IFERROR(IF(OR(HLOOKUP($A20,#REF!,18,FALSE)&gt;2,HLOOKUP($A20,#REF!,18,FALSE)&lt;-2),"",#REF!),"")</f>
        <v/>
      </c>
      <c r="U20" t="str">
        <f>IFERROR(IF(OR(HLOOKUP($A20,#REF!,19,FALSE)&gt;2,HLOOKUP($A20,#REF!,19,FALSE)&lt;-2),"",#REF!),"")</f>
        <v/>
      </c>
      <c r="V20">
        <f t="shared" si="0"/>
        <v>1</v>
      </c>
      <c r="W20" t="str">
        <f t="shared" si="1"/>
        <v/>
      </c>
      <c r="X20" t="str">
        <f t="shared" si="2"/>
        <v/>
      </c>
      <c r="Y20" t="str">
        <f t="shared" si="3"/>
        <v/>
      </c>
    </row>
    <row r="21" spans="1:25" x14ac:dyDescent="0.35">
      <c r="A21">
        <v>20</v>
      </c>
      <c r="B21" t="s">
        <v>592</v>
      </c>
      <c r="C21">
        <v>41500</v>
      </c>
      <c r="D21">
        <v>918</v>
      </c>
      <c r="E21" t="str">
        <f>IFERROR(IF(OR(HLOOKUP($A21,#REF!,3,FALSE)&gt;2,HLOOKUP(A21,#REF!,3,FALSE)&lt;-2),"",#REF!),"")</f>
        <v/>
      </c>
      <c r="F21" t="str">
        <f>IFERROR(IF(OR(HLOOKUP($A21,#REF!,4,FALSE)&gt;2,HLOOKUP($A21,#REF!,4,FALSE)&lt;-2),"",#REF!),"")</f>
        <v/>
      </c>
      <c r="G21" t="str">
        <f>IFERROR(IF(OR(HLOOKUP($A21,#REF!,5,FALSE)&gt;2,HLOOKUP($A21,#REF!,5,FALSE)&lt;-2),"",#REF!),"")</f>
        <v/>
      </c>
      <c r="H21" t="str">
        <f>IFERROR(IF(OR(HLOOKUP($A21,#REF!,6,FALSE)&gt;2,HLOOKUP($A21,#REF!,6,FALSE)&lt;-2),"",#REF!),"")</f>
        <v/>
      </c>
      <c r="I21" t="str">
        <f>IFERROR(IF(OR(HLOOKUP($A21,#REF!,7,FALSE)&gt;2,HLOOKUP($A21,#REF!,7,FALSE)&lt;-2),"",#REF!),"")</f>
        <v/>
      </c>
      <c r="J21" t="str">
        <f>IFERROR(IF(OR(HLOOKUP($A21,#REF!,8,FALSE)&gt;2,HLOOKUP($A21,#REF!,8,FALSE)&lt;-2),"",#REF!),"")</f>
        <v/>
      </c>
      <c r="K21" t="str">
        <f>IFERROR(IF(OR(HLOOKUP($A21,#REF!,9,FALSE)&gt;2,HLOOKUP($A21,#REF!,9,FALSE)&lt;-2),"",#REF!),"")</f>
        <v/>
      </c>
      <c r="L21" t="str">
        <f>IFERROR(IF(OR(HLOOKUP($A21,#REF!,10,FALSE)&gt;2,HLOOKUP($A21,#REF!,10,FALSE)&lt;-2),"",#REF!),"")</f>
        <v/>
      </c>
      <c r="M21" t="str">
        <f>IFERROR(IF(OR(HLOOKUP($A21,#REF!,11,FALSE)&gt;2,HLOOKUP($A21,#REF!,11,FALSE)&lt;-2),"",#REF!),"")</f>
        <v/>
      </c>
      <c r="N21" t="str">
        <f>IFERROR(IF(OR(HLOOKUP($A21,#REF!,12,FALSE)&gt;2,HLOOKUP($A21,#REF!,12,FALSE)&lt;-2),"",#REF!),"")</f>
        <v/>
      </c>
      <c r="O21" t="str">
        <f>IFERROR(IF(OR(HLOOKUP($A21,#REF!,13,FALSE)&gt;2,HLOOKUP($A21,#REF!,13,FALSE)&lt;-2),"",#REF!),"")</f>
        <v/>
      </c>
      <c r="P21" t="str">
        <f>IFERROR(IF(OR(HLOOKUP($A21,#REF!,14,FALSE)&gt;2,HLOOKUP($A21,#REF!,14,FALSE)&lt;-2),"",#REF!),"")</f>
        <v/>
      </c>
      <c r="Q21" t="str">
        <f>IFERROR(IF(OR(HLOOKUP($A21,#REF!,15,FALSE)&gt;2,HLOOKUP($A21,#REF!,15,FALSE)&lt;-2),"",#REF!),"")</f>
        <v/>
      </c>
      <c r="R21" t="str">
        <f>IFERROR(IF(OR(HLOOKUP($A21,#REF!,16,FALSE)&gt;2,HLOOKUP($A21,#REF!,16,FALSE)&lt;-2),"",#REF!),"")</f>
        <v/>
      </c>
      <c r="S21" t="str">
        <f>IFERROR(IF(OR(HLOOKUP($A21,#REF!,17,FALSE)&gt;2,HLOOKUP($A21,#REF!,17,FALSE)&lt;-2),"",#REF!),"")</f>
        <v/>
      </c>
      <c r="T21" t="str">
        <f>IFERROR(IF(OR(HLOOKUP($A21,#REF!,18,FALSE)&gt;2,HLOOKUP($A21,#REF!,18,FALSE)&lt;-2),"",#REF!),"")</f>
        <v/>
      </c>
      <c r="U21" t="str">
        <f>IFERROR(IF(OR(HLOOKUP($A21,#REF!,19,FALSE)&gt;2,HLOOKUP($A21,#REF!,19,FALSE)&lt;-2),"",#REF!),"")</f>
        <v/>
      </c>
      <c r="V21">
        <f t="shared" si="0"/>
        <v>1</v>
      </c>
      <c r="W21" t="str">
        <f t="shared" si="1"/>
        <v/>
      </c>
      <c r="X21" t="str">
        <f t="shared" si="2"/>
        <v/>
      </c>
      <c r="Y21" t="str">
        <f t="shared" si="3"/>
        <v/>
      </c>
    </row>
    <row r="22" spans="1:25" x14ac:dyDescent="0.35">
      <c r="A22">
        <v>21</v>
      </c>
      <c r="B22" t="s">
        <v>593</v>
      </c>
      <c r="C22">
        <v>97800</v>
      </c>
      <c r="D22">
        <v>840</v>
      </c>
      <c r="E22" t="str">
        <f>IFERROR(IF(OR(HLOOKUP($A22,#REF!,3,FALSE)&gt;2,HLOOKUP(A22,#REF!,3,FALSE)&lt;-2),"",#REF!),"")</f>
        <v/>
      </c>
      <c r="F22" t="str">
        <f>IFERROR(IF(OR(HLOOKUP($A22,#REF!,4,FALSE)&gt;2,HLOOKUP($A22,#REF!,4,FALSE)&lt;-2),"",#REF!),"")</f>
        <v/>
      </c>
      <c r="G22" t="str">
        <f>IFERROR(IF(OR(HLOOKUP($A22,#REF!,5,FALSE)&gt;2,HLOOKUP($A22,#REF!,5,FALSE)&lt;-2),"",#REF!),"")</f>
        <v/>
      </c>
      <c r="H22" t="str">
        <f>IFERROR(IF(OR(HLOOKUP($A22,#REF!,6,FALSE)&gt;2,HLOOKUP($A22,#REF!,6,FALSE)&lt;-2),"",#REF!),"")</f>
        <v/>
      </c>
      <c r="I22" t="str">
        <f>IFERROR(IF(OR(HLOOKUP($A22,#REF!,7,FALSE)&gt;2,HLOOKUP($A22,#REF!,7,FALSE)&lt;-2),"",#REF!),"")</f>
        <v/>
      </c>
      <c r="J22" t="str">
        <f>IFERROR(IF(OR(HLOOKUP($A22,#REF!,8,FALSE)&gt;2,HLOOKUP($A22,#REF!,8,FALSE)&lt;-2),"",#REF!),"")</f>
        <v/>
      </c>
      <c r="K22" t="str">
        <f>IFERROR(IF(OR(HLOOKUP($A22,#REF!,9,FALSE)&gt;2,HLOOKUP($A22,#REF!,9,FALSE)&lt;-2),"",#REF!),"")</f>
        <v/>
      </c>
      <c r="L22" t="str">
        <f>IFERROR(IF(OR(HLOOKUP($A22,#REF!,10,FALSE)&gt;2,HLOOKUP($A22,#REF!,10,FALSE)&lt;-2),"",#REF!),"")</f>
        <v/>
      </c>
      <c r="M22" t="str">
        <f>IFERROR(IF(OR(HLOOKUP($A22,#REF!,11,FALSE)&gt;2,HLOOKUP($A22,#REF!,11,FALSE)&lt;-2),"",#REF!),"")</f>
        <v/>
      </c>
      <c r="N22" t="str">
        <f>IFERROR(IF(OR(HLOOKUP($A22,#REF!,12,FALSE)&gt;2,HLOOKUP($A22,#REF!,12,FALSE)&lt;-2),"",#REF!),"")</f>
        <v/>
      </c>
      <c r="O22" t="str">
        <f>IFERROR(IF(OR(HLOOKUP($A22,#REF!,13,FALSE)&gt;2,HLOOKUP($A22,#REF!,13,FALSE)&lt;-2),"",#REF!),"")</f>
        <v/>
      </c>
      <c r="P22" t="str">
        <f>IFERROR(IF(OR(HLOOKUP($A22,#REF!,14,FALSE)&gt;2,HLOOKUP($A22,#REF!,14,FALSE)&lt;-2),"",#REF!),"")</f>
        <v/>
      </c>
      <c r="Q22" t="str">
        <f>IFERROR(IF(OR(HLOOKUP($A22,#REF!,15,FALSE)&gt;2,HLOOKUP($A22,#REF!,15,FALSE)&lt;-2),"",#REF!),"")</f>
        <v/>
      </c>
      <c r="R22" t="str">
        <f>IFERROR(IF(OR(HLOOKUP($A22,#REF!,16,FALSE)&gt;2,HLOOKUP($A22,#REF!,16,FALSE)&lt;-2),"",#REF!),"")</f>
        <v/>
      </c>
      <c r="S22" t="str">
        <f>IFERROR(IF(OR(HLOOKUP($A22,#REF!,17,FALSE)&gt;2,HLOOKUP($A22,#REF!,17,FALSE)&lt;-2),"",#REF!),"")</f>
        <v/>
      </c>
      <c r="T22" t="str">
        <f>IFERROR(IF(OR(HLOOKUP($A22,#REF!,18,FALSE)&gt;2,HLOOKUP($A22,#REF!,18,FALSE)&lt;-2),"",#REF!),"")</f>
        <v/>
      </c>
      <c r="U22" t="str">
        <f>IFERROR(IF(OR(HLOOKUP($A22,#REF!,19,FALSE)&gt;2,HLOOKUP($A22,#REF!,19,FALSE)&lt;-2),"",#REF!),"")</f>
        <v/>
      </c>
      <c r="V22">
        <f t="shared" si="0"/>
        <v>1</v>
      </c>
      <c r="W22" t="str">
        <f t="shared" si="1"/>
        <v/>
      </c>
      <c r="X22" t="str">
        <f t="shared" si="2"/>
        <v/>
      </c>
      <c r="Y22" t="str">
        <f t="shared" si="3"/>
        <v/>
      </c>
    </row>
    <row r="23" spans="1:25" x14ac:dyDescent="0.35">
      <c r="A23">
        <v>22</v>
      </c>
      <c r="B23" t="s">
        <v>594</v>
      </c>
      <c r="C23">
        <v>27300</v>
      </c>
      <c r="D23">
        <v>315</v>
      </c>
      <c r="E23" t="str">
        <f>IFERROR(IF(OR(HLOOKUP($A23,#REF!,3,FALSE)&gt;2,HLOOKUP(A23,#REF!,3,FALSE)&lt;-2),"",#REF!),"")</f>
        <v/>
      </c>
      <c r="F23" t="str">
        <f>IFERROR(IF(OR(HLOOKUP($A23,#REF!,4,FALSE)&gt;2,HLOOKUP($A23,#REF!,4,FALSE)&lt;-2),"",#REF!),"")</f>
        <v/>
      </c>
      <c r="G23" t="str">
        <f>IFERROR(IF(OR(HLOOKUP($A23,#REF!,5,FALSE)&gt;2,HLOOKUP($A23,#REF!,5,FALSE)&lt;-2),"",#REF!),"")</f>
        <v/>
      </c>
      <c r="H23" t="str">
        <f>IFERROR(IF(OR(HLOOKUP($A23,#REF!,6,FALSE)&gt;2,HLOOKUP($A23,#REF!,6,FALSE)&lt;-2),"",#REF!),"")</f>
        <v/>
      </c>
      <c r="I23" t="str">
        <f>IFERROR(IF(OR(HLOOKUP($A23,#REF!,7,FALSE)&gt;2,HLOOKUP($A23,#REF!,7,FALSE)&lt;-2),"",#REF!),"")</f>
        <v/>
      </c>
      <c r="J23" t="str">
        <f>IFERROR(IF(OR(HLOOKUP($A23,#REF!,8,FALSE)&gt;2,HLOOKUP($A23,#REF!,8,FALSE)&lt;-2),"",#REF!),"")</f>
        <v/>
      </c>
      <c r="K23" t="str">
        <f>IFERROR(IF(OR(HLOOKUP($A23,#REF!,9,FALSE)&gt;2,HLOOKUP($A23,#REF!,9,FALSE)&lt;-2),"",#REF!),"")</f>
        <v/>
      </c>
      <c r="L23" t="str">
        <f>IFERROR(IF(OR(HLOOKUP($A23,#REF!,10,FALSE)&gt;2,HLOOKUP($A23,#REF!,10,FALSE)&lt;-2),"",#REF!),"")</f>
        <v/>
      </c>
      <c r="M23" t="str">
        <f>IFERROR(IF(OR(HLOOKUP($A23,#REF!,11,FALSE)&gt;2,HLOOKUP($A23,#REF!,11,FALSE)&lt;-2),"",#REF!),"")</f>
        <v/>
      </c>
      <c r="N23" t="str">
        <f>IFERROR(IF(OR(HLOOKUP($A23,#REF!,12,FALSE)&gt;2,HLOOKUP($A23,#REF!,12,FALSE)&lt;-2),"",#REF!),"")</f>
        <v/>
      </c>
      <c r="O23" t="str">
        <f>IFERROR(IF(OR(HLOOKUP($A23,#REF!,13,FALSE)&gt;2,HLOOKUP($A23,#REF!,13,FALSE)&lt;-2),"",#REF!),"")</f>
        <v/>
      </c>
      <c r="P23" t="str">
        <f>IFERROR(IF(OR(HLOOKUP($A23,#REF!,14,FALSE)&gt;2,HLOOKUP($A23,#REF!,14,FALSE)&lt;-2),"",#REF!),"")</f>
        <v/>
      </c>
      <c r="Q23" t="str">
        <f>IFERROR(IF(OR(HLOOKUP($A23,#REF!,15,FALSE)&gt;2,HLOOKUP($A23,#REF!,15,FALSE)&lt;-2),"",#REF!),"")</f>
        <v/>
      </c>
      <c r="R23" t="str">
        <f>IFERROR(IF(OR(HLOOKUP($A23,#REF!,16,FALSE)&gt;2,HLOOKUP($A23,#REF!,16,FALSE)&lt;-2),"",#REF!),"")</f>
        <v/>
      </c>
      <c r="S23" t="str">
        <f>IFERROR(IF(OR(HLOOKUP($A23,#REF!,17,FALSE)&gt;2,HLOOKUP($A23,#REF!,17,FALSE)&lt;-2),"",#REF!),"")</f>
        <v/>
      </c>
      <c r="T23" t="str">
        <f>IFERROR(IF(OR(HLOOKUP($A23,#REF!,18,FALSE)&gt;2,HLOOKUP($A23,#REF!,18,FALSE)&lt;-2),"",#REF!),"")</f>
        <v/>
      </c>
      <c r="U23" t="str">
        <f>IFERROR(IF(OR(HLOOKUP($A23,#REF!,19,FALSE)&gt;2,HLOOKUP($A23,#REF!,19,FALSE)&lt;-2),"",#REF!),"")</f>
        <v/>
      </c>
      <c r="V23">
        <f t="shared" si="0"/>
        <v>1</v>
      </c>
      <c r="W23" t="str">
        <f t="shared" si="1"/>
        <v/>
      </c>
      <c r="X23" t="str">
        <f t="shared" si="2"/>
        <v/>
      </c>
      <c r="Y23" t="str">
        <f t="shared" si="3"/>
        <v/>
      </c>
    </row>
    <row r="24" spans="1:25" x14ac:dyDescent="0.35">
      <c r="A24">
        <v>23</v>
      </c>
      <c r="B24" t="s">
        <v>32</v>
      </c>
      <c r="C24">
        <v>50100</v>
      </c>
      <c r="D24">
        <v>278</v>
      </c>
      <c r="E24" t="str">
        <f>IFERROR(IF(OR(HLOOKUP($A24,#REF!,3,FALSE)&gt;2,HLOOKUP(A24,#REF!,3,FALSE)&lt;-2),"",#REF!),"")</f>
        <v/>
      </c>
      <c r="F24" t="str">
        <f>IFERROR(IF(OR(HLOOKUP($A24,#REF!,4,FALSE)&gt;2,HLOOKUP($A24,#REF!,4,FALSE)&lt;-2),"",#REF!),"")</f>
        <v/>
      </c>
      <c r="G24" t="str">
        <f>IFERROR(IF(OR(HLOOKUP($A24,#REF!,5,FALSE)&gt;2,HLOOKUP($A24,#REF!,5,FALSE)&lt;-2),"",#REF!),"")</f>
        <v/>
      </c>
      <c r="H24" t="str">
        <f>IFERROR(IF(OR(HLOOKUP($A24,#REF!,6,FALSE)&gt;2,HLOOKUP($A24,#REF!,6,FALSE)&lt;-2),"",#REF!),"")</f>
        <v/>
      </c>
      <c r="I24" t="str">
        <f>IFERROR(IF(OR(HLOOKUP($A24,#REF!,7,FALSE)&gt;2,HLOOKUP($A24,#REF!,7,FALSE)&lt;-2),"",#REF!),"")</f>
        <v/>
      </c>
      <c r="J24" t="str">
        <f>IFERROR(IF(OR(HLOOKUP($A24,#REF!,8,FALSE)&gt;2,HLOOKUP($A24,#REF!,8,FALSE)&lt;-2),"",#REF!),"")</f>
        <v/>
      </c>
      <c r="K24" t="str">
        <f>IFERROR(IF(OR(HLOOKUP($A24,#REF!,9,FALSE)&gt;2,HLOOKUP($A24,#REF!,9,FALSE)&lt;-2),"",#REF!),"")</f>
        <v/>
      </c>
      <c r="L24" t="str">
        <f>IFERROR(IF(OR(HLOOKUP($A24,#REF!,10,FALSE)&gt;2,HLOOKUP($A24,#REF!,10,FALSE)&lt;-2),"",#REF!),"")</f>
        <v/>
      </c>
      <c r="M24" t="str">
        <f>IFERROR(IF(OR(HLOOKUP($A24,#REF!,11,FALSE)&gt;2,HLOOKUP($A24,#REF!,11,FALSE)&lt;-2),"",#REF!),"")</f>
        <v/>
      </c>
      <c r="N24" t="str">
        <f>IFERROR(IF(OR(HLOOKUP($A24,#REF!,12,FALSE)&gt;2,HLOOKUP($A24,#REF!,12,FALSE)&lt;-2),"",#REF!),"")</f>
        <v/>
      </c>
      <c r="O24" t="str">
        <f>IFERROR(IF(OR(HLOOKUP($A24,#REF!,13,FALSE)&gt;2,HLOOKUP($A24,#REF!,13,FALSE)&lt;-2),"",#REF!),"")</f>
        <v/>
      </c>
      <c r="P24" t="str">
        <f>IFERROR(IF(OR(HLOOKUP($A24,#REF!,14,FALSE)&gt;2,HLOOKUP($A24,#REF!,14,FALSE)&lt;-2),"",#REF!),"")</f>
        <v/>
      </c>
      <c r="Q24" t="str">
        <f>IFERROR(IF(OR(HLOOKUP($A24,#REF!,15,FALSE)&gt;2,HLOOKUP($A24,#REF!,15,FALSE)&lt;-2),"",#REF!),"")</f>
        <v/>
      </c>
      <c r="R24" t="str">
        <f>IFERROR(IF(OR(HLOOKUP($A24,#REF!,16,FALSE)&gt;2,HLOOKUP($A24,#REF!,16,FALSE)&lt;-2),"",#REF!),"")</f>
        <v/>
      </c>
      <c r="S24" t="str">
        <f>IFERROR(IF(OR(HLOOKUP($A24,#REF!,17,FALSE)&gt;2,HLOOKUP($A24,#REF!,17,FALSE)&lt;-2),"",#REF!),"")</f>
        <v/>
      </c>
      <c r="T24" t="str">
        <f>IFERROR(IF(OR(HLOOKUP($A24,#REF!,18,FALSE)&gt;2,HLOOKUP($A24,#REF!,18,FALSE)&lt;-2),"",#REF!),"")</f>
        <v/>
      </c>
      <c r="U24" t="str">
        <f>IFERROR(IF(OR(HLOOKUP($A24,#REF!,19,FALSE)&gt;2,HLOOKUP($A24,#REF!,19,FALSE)&lt;-2),"",#REF!),"")</f>
        <v/>
      </c>
      <c r="V24">
        <f t="shared" si="0"/>
        <v>1</v>
      </c>
      <c r="W24" t="str">
        <f t="shared" si="1"/>
        <v/>
      </c>
      <c r="X24" t="str">
        <f t="shared" si="2"/>
        <v/>
      </c>
      <c r="Y24" t="str">
        <f t="shared" si="3"/>
        <v/>
      </c>
    </row>
    <row r="25" spans="1:25" x14ac:dyDescent="0.35">
      <c r="A25">
        <v>25</v>
      </c>
      <c r="B25" t="s">
        <v>595</v>
      </c>
      <c r="C25">
        <v>118500</v>
      </c>
      <c r="D25">
        <v>1040</v>
      </c>
      <c r="E25" t="str">
        <f>IFERROR(IF(OR(HLOOKUP($A25,#REF!,3,FALSE)&gt;2,HLOOKUP(A25,#REF!,3,FALSE)&lt;-2),"",#REF!),"")</f>
        <v/>
      </c>
      <c r="F25" t="str">
        <f>IFERROR(IF(OR(HLOOKUP($A25,#REF!,4,FALSE)&gt;2,HLOOKUP($A25,#REF!,4,FALSE)&lt;-2),"",#REF!),"")</f>
        <v/>
      </c>
      <c r="G25" t="str">
        <f>IFERROR(IF(OR(HLOOKUP($A25,#REF!,5,FALSE)&gt;2,HLOOKUP($A25,#REF!,5,FALSE)&lt;-2),"",#REF!),"")</f>
        <v/>
      </c>
      <c r="H25" t="str">
        <f>IFERROR(IF(OR(HLOOKUP($A25,#REF!,6,FALSE)&gt;2,HLOOKUP($A25,#REF!,6,FALSE)&lt;-2),"",#REF!),"")</f>
        <v/>
      </c>
      <c r="I25" t="str">
        <f>IFERROR(IF(OR(HLOOKUP($A25,#REF!,7,FALSE)&gt;2,HLOOKUP($A25,#REF!,7,FALSE)&lt;-2),"",#REF!),"")</f>
        <v/>
      </c>
      <c r="J25" t="str">
        <f>IFERROR(IF(OR(HLOOKUP($A25,#REF!,8,FALSE)&gt;2,HLOOKUP($A25,#REF!,8,FALSE)&lt;-2),"",#REF!),"")</f>
        <v/>
      </c>
      <c r="K25" t="str">
        <f>IFERROR(IF(OR(HLOOKUP($A25,#REF!,9,FALSE)&gt;2,HLOOKUP($A25,#REF!,9,FALSE)&lt;-2),"",#REF!),"")</f>
        <v/>
      </c>
      <c r="L25" t="str">
        <f>IFERROR(IF(OR(HLOOKUP($A25,#REF!,10,FALSE)&gt;2,HLOOKUP($A25,#REF!,10,FALSE)&lt;-2),"",#REF!),"")</f>
        <v/>
      </c>
      <c r="M25" t="str">
        <f>IFERROR(IF(OR(HLOOKUP($A25,#REF!,11,FALSE)&gt;2,HLOOKUP($A25,#REF!,11,FALSE)&lt;-2),"",#REF!),"")</f>
        <v/>
      </c>
      <c r="N25" t="str">
        <f>IFERROR(IF(OR(HLOOKUP($A25,#REF!,12,FALSE)&gt;2,HLOOKUP($A25,#REF!,12,FALSE)&lt;-2),"",#REF!),"")</f>
        <v/>
      </c>
      <c r="O25" t="str">
        <f>IFERROR(IF(OR(HLOOKUP($A25,#REF!,13,FALSE)&gt;2,HLOOKUP($A25,#REF!,13,FALSE)&lt;-2),"",#REF!),"")</f>
        <v/>
      </c>
      <c r="P25" t="str">
        <f>IFERROR(IF(OR(HLOOKUP($A25,#REF!,14,FALSE)&gt;2,HLOOKUP($A25,#REF!,14,FALSE)&lt;-2),"",#REF!),"")</f>
        <v/>
      </c>
      <c r="Q25" t="str">
        <f>IFERROR(IF(OR(HLOOKUP($A25,#REF!,15,FALSE)&gt;2,HLOOKUP($A25,#REF!,15,FALSE)&lt;-2),"",#REF!),"")</f>
        <v/>
      </c>
      <c r="R25" t="str">
        <f>IFERROR(IF(OR(HLOOKUP($A25,#REF!,16,FALSE)&gt;2,HLOOKUP($A25,#REF!,16,FALSE)&lt;-2),"",#REF!),"")</f>
        <v/>
      </c>
      <c r="S25" t="str">
        <f>IFERROR(IF(OR(HLOOKUP($A25,#REF!,17,FALSE)&gt;2,HLOOKUP($A25,#REF!,17,FALSE)&lt;-2),"",#REF!),"")</f>
        <v/>
      </c>
      <c r="T25" t="str">
        <f>IFERROR(IF(OR(HLOOKUP($A25,#REF!,18,FALSE)&gt;2,HLOOKUP($A25,#REF!,18,FALSE)&lt;-2),"",#REF!),"")</f>
        <v/>
      </c>
      <c r="U25" t="str">
        <f>IFERROR(IF(OR(HLOOKUP($A25,#REF!,19,FALSE)&gt;2,HLOOKUP($A25,#REF!,19,FALSE)&lt;-2),"",#REF!),"")</f>
        <v/>
      </c>
      <c r="V25">
        <f t="shared" si="0"/>
        <v>1</v>
      </c>
      <c r="W25" t="str">
        <f t="shared" si="1"/>
        <v/>
      </c>
      <c r="X25" t="str">
        <f t="shared" si="2"/>
        <v/>
      </c>
      <c r="Y25" t="str">
        <f t="shared" si="3"/>
        <v/>
      </c>
    </row>
    <row r="26" spans="1:25" x14ac:dyDescent="0.35">
      <c r="A26">
        <v>26</v>
      </c>
      <c r="B26" t="s">
        <v>33</v>
      </c>
      <c r="C26">
        <v>80800</v>
      </c>
      <c r="D26">
        <v>294</v>
      </c>
      <c r="E26" t="str">
        <f>IFERROR(IF(OR(HLOOKUP($A26,#REF!,3,FALSE)&gt;2,HLOOKUP(A26,#REF!,3,FALSE)&lt;-2),"",#REF!),"")</f>
        <v/>
      </c>
      <c r="F26" t="str">
        <f>IFERROR(IF(OR(HLOOKUP($A26,#REF!,4,FALSE)&gt;2,HLOOKUP($A26,#REF!,4,FALSE)&lt;-2),"",#REF!),"")</f>
        <v/>
      </c>
      <c r="G26" t="str">
        <f>IFERROR(IF(OR(HLOOKUP($A26,#REF!,5,FALSE)&gt;2,HLOOKUP($A26,#REF!,5,FALSE)&lt;-2),"",#REF!),"")</f>
        <v/>
      </c>
      <c r="H26" t="str">
        <f>IFERROR(IF(OR(HLOOKUP($A26,#REF!,6,FALSE)&gt;2,HLOOKUP($A26,#REF!,6,FALSE)&lt;-2),"",#REF!),"")</f>
        <v/>
      </c>
      <c r="I26" t="str">
        <f>IFERROR(IF(OR(HLOOKUP($A26,#REF!,7,FALSE)&gt;2,HLOOKUP($A26,#REF!,7,FALSE)&lt;-2),"",#REF!),"")</f>
        <v/>
      </c>
      <c r="J26" t="str">
        <f>IFERROR(IF(OR(HLOOKUP($A26,#REF!,8,FALSE)&gt;2,HLOOKUP($A26,#REF!,8,FALSE)&lt;-2),"",#REF!),"")</f>
        <v/>
      </c>
      <c r="K26" t="str">
        <f>IFERROR(IF(OR(HLOOKUP($A26,#REF!,9,FALSE)&gt;2,HLOOKUP($A26,#REF!,9,FALSE)&lt;-2),"",#REF!),"")</f>
        <v/>
      </c>
      <c r="L26" t="str">
        <f>IFERROR(IF(OR(HLOOKUP($A26,#REF!,10,FALSE)&gt;2,HLOOKUP($A26,#REF!,10,FALSE)&lt;-2),"",#REF!),"")</f>
        <v/>
      </c>
      <c r="M26" t="str">
        <f>IFERROR(IF(OR(HLOOKUP($A26,#REF!,11,FALSE)&gt;2,HLOOKUP($A26,#REF!,11,FALSE)&lt;-2),"",#REF!),"")</f>
        <v/>
      </c>
      <c r="N26" t="str">
        <f>IFERROR(IF(OR(HLOOKUP($A26,#REF!,12,FALSE)&gt;2,HLOOKUP($A26,#REF!,12,FALSE)&lt;-2),"",#REF!),"")</f>
        <v/>
      </c>
      <c r="O26" t="str">
        <f>IFERROR(IF(OR(HLOOKUP($A26,#REF!,13,FALSE)&gt;2,HLOOKUP($A26,#REF!,13,FALSE)&lt;-2),"",#REF!),"")</f>
        <v/>
      </c>
      <c r="P26" t="str">
        <f>IFERROR(IF(OR(HLOOKUP($A26,#REF!,14,FALSE)&gt;2,HLOOKUP($A26,#REF!,14,FALSE)&lt;-2),"",#REF!),"")</f>
        <v/>
      </c>
      <c r="Q26" t="str">
        <f>IFERROR(IF(OR(HLOOKUP($A26,#REF!,15,FALSE)&gt;2,HLOOKUP($A26,#REF!,15,FALSE)&lt;-2),"",#REF!),"")</f>
        <v/>
      </c>
      <c r="R26" t="str">
        <f>IFERROR(IF(OR(HLOOKUP($A26,#REF!,16,FALSE)&gt;2,HLOOKUP($A26,#REF!,16,FALSE)&lt;-2),"",#REF!),"")</f>
        <v/>
      </c>
      <c r="S26" t="str">
        <f>IFERROR(IF(OR(HLOOKUP($A26,#REF!,17,FALSE)&gt;2,HLOOKUP($A26,#REF!,17,FALSE)&lt;-2),"",#REF!),"")</f>
        <v/>
      </c>
      <c r="T26" t="str">
        <f>IFERROR(IF(OR(HLOOKUP($A26,#REF!,18,FALSE)&gt;2,HLOOKUP($A26,#REF!,18,FALSE)&lt;-2),"",#REF!),"")</f>
        <v/>
      </c>
      <c r="U26" t="str">
        <f>IFERROR(IF(OR(HLOOKUP($A26,#REF!,19,FALSE)&gt;2,HLOOKUP($A26,#REF!,19,FALSE)&lt;-2),"",#REF!),"")</f>
        <v/>
      </c>
      <c r="V26">
        <f t="shared" si="0"/>
        <v>1</v>
      </c>
      <c r="W26" t="str">
        <f t="shared" si="1"/>
        <v/>
      </c>
      <c r="X26" t="str">
        <f t="shared" si="2"/>
        <v/>
      </c>
      <c r="Y26" t="str">
        <f t="shared" si="3"/>
        <v/>
      </c>
    </row>
    <row r="27" spans="1:25" x14ac:dyDescent="0.35">
      <c r="A27">
        <v>27</v>
      </c>
      <c r="B27" t="s">
        <v>34</v>
      </c>
      <c r="C27">
        <v>69100</v>
      </c>
      <c r="D27">
        <v>1014</v>
      </c>
      <c r="E27" t="str">
        <f>IFERROR(IF(OR(HLOOKUP($A27,#REF!,3,FALSE)&gt;2,HLOOKUP(A27,#REF!,3,FALSE)&lt;-2),"",#REF!),"")</f>
        <v/>
      </c>
      <c r="F27" t="str">
        <f>IFERROR(IF(OR(HLOOKUP($A27,#REF!,4,FALSE)&gt;2,HLOOKUP($A27,#REF!,4,FALSE)&lt;-2),"",#REF!),"")</f>
        <v/>
      </c>
      <c r="G27" t="str">
        <f>IFERROR(IF(OR(HLOOKUP($A27,#REF!,5,FALSE)&gt;2,HLOOKUP($A27,#REF!,5,FALSE)&lt;-2),"",#REF!),"")</f>
        <v/>
      </c>
      <c r="H27" t="str">
        <f>IFERROR(IF(OR(HLOOKUP($A27,#REF!,6,FALSE)&gt;2,HLOOKUP($A27,#REF!,6,FALSE)&lt;-2),"",#REF!),"")</f>
        <v/>
      </c>
      <c r="I27" t="str">
        <f>IFERROR(IF(OR(HLOOKUP($A27,#REF!,7,FALSE)&gt;2,HLOOKUP($A27,#REF!,7,FALSE)&lt;-2),"",#REF!),"")</f>
        <v/>
      </c>
      <c r="J27" t="str">
        <f>IFERROR(IF(OR(HLOOKUP($A27,#REF!,8,FALSE)&gt;2,HLOOKUP($A27,#REF!,8,FALSE)&lt;-2),"",#REF!),"")</f>
        <v/>
      </c>
      <c r="K27" t="str">
        <f>IFERROR(IF(OR(HLOOKUP($A27,#REF!,9,FALSE)&gt;2,HLOOKUP($A27,#REF!,9,FALSE)&lt;-2),"",#REF!),"")</f>
        <v/>
      </c>
      <c r="L27" t="str">
        <f>IFERROR(IF(OR(HLOOKUP($A27,#REF!,10,FALSE)&gt;2,HLOOKUP($A27,#REF!,10,FALSE)&lt;-2),"",#REF!),"")</f>
        <v/>
      </c>
      <c r="M27" t="str">
        <f>IFERROR(IF(OR(HLOOKUP($A27,#REF!,11,FALSE)&gt;2,HLOOKUP($A27,#REF!,11,FALSE)&lt;-2),"",#REF!),"")</f>
        <v/>
      </c>
      <c r="N27" t="str">
        <f>IFERROR(IF(OR(HLOOKUP($A27,#REF!,12,FALSE)&gt;2,HLOOKUP($A27,#REF!,12,FALSE)&lt;-2),"",#REF!),"")</f>
        <v/>
      </c>
      <c r="O27" t="str">
        <f>IFERROR(IF(OR(HLOOKUP($A27,#REF!,13,FALSE)&gt;2,HLOOKUP($A27,#REF!,13,FALSE)&lt;-2),"",#REF!),"")</f>
        <v/>
      </c>
      <c r="P27" t="str">
        <f>IFERROR(IF(OR(HLOOKUP($A27,#REF!,14,FALSE)&gt;2,HLOOKUP($A27,#REF!,14,FALSE)&lt;-2),"",#REF!),"")</f>
        <v/>
      </c>
      <c r="Q27" t="str">
        <f>IFERROR(IF(OR(HLOOKUP($A27,#REF!,15,FALSE)&gt;2,HLOOKUP($A27,#REF!,15,FALSE)&lt;-2),"",#REF!),"")</f>
        <v/>
      </c>
      <c r="R27" t="str">
        <f>IFERROR(IF(OR(HLOOKUP($A27,#REF!,16,FALSE)&gt;2,HLOOKUP($A27,#REF!,16,FALSE)&lt;-2),"",#REF!),"")</f>
        <v/>
      </c>
      <c r="S27" t="str">
        <f>IFERROR(IF(OR(HLOOKUP($A27,#REF!,17,FALSE)&gt;2,HLOOKUP($A27,#REF!,17,FALSE)&lt;-2),"",#REF!),"")</f>
        <v/>
      </c>
      <c r="T27" t="str">
        <f>IFERROR(IF(OR(HLOOKUP($A27,#REF!,18,FALSE)&gt;2,HLOOKUP($A27,#REF!,18,FALSE)&lt;-2),"",#REF!),"")</f>
        <v/>
      </c>
      <c r="U27" t="str">
        <f>IFERROR(IF(OR(HLOOKUP($A27,#REF!,19,FALSE)&gt;2,HLOOKUP($A27,#REF!,19,FALSE)&lt;-2),"",#REF!),"")</f>
        <v/>
      </c>
      <c r="V27">
        <f t="shared" si="0"/>
        <v>1</v>
      </c>
      <c r="W27" t="str">
        <f t="shared" si="1"/>
        <v/>
      </c>
      <c r="X27" t="str">
        <f t="shared" si="2"/>
        <v/>
      </c>
      <c r="Y27" t="str">
        <f t="shared" si="3"/>
        <v/>
      </c>
    </row>
    <row r="28" spans="1:25" x14ac:dyDescent="0.35">
      <c r="A28">
        <v>28</v>
      </c>
      <c r="B28" t="s">
        <v>596</v>
      </c>
      <c r="C28">
        <v>42400</v>
      </c>
      <c r="D28">
        <v>918</v>
      </c>
      <c r="E28" t="str">
        <f>IFERROR(IF(OR(HLOOKUP($A28,#REF!,3,FALSE)&gt;2,HLOOKUP(A28,#REF!,3,FALSE)&lt;-2),"",#REF!),"")</f>
        <v/>
      </c>
      <c r="F28" t="str">
        <f>IFERROR(IF(OR(HLOOKUP($A28,#REF!,4,FALSE)&gt;2,HLOOKUP($A28,#REF!,4,FALSE)&lt;-2),"",#REF!),"")</f>
        <v/>
      </c>
      <c r="G28" t="str">
        <f>IFERROR(IF(OR(HLOOKUP($A28,#REF!,5,FALSE)&gt;2,HLOOKUP($A28,#REF!,5,FALSE)&lt;-2),"",#REF!),"")</f>
        <v/>
      </c>
      <c r="H28" t="str">
        <f>IFERROR(IF(OR(HLOOKUP($A28,#REF!,6,FALSE)&gt;2,HLOOKUP($A28,#REF!,6,FALSE)&lt;-2),"",#REF!),"")</f>
        <v/>
      </c>
      <c r="I28" t="str">
        <f>IFERROR(IF(OR(HLOOKUP($A28,#REF!,7,FALSE)&gt;2,HLOOKUP($A28,#REF!,7,FALSE)&lt;-2),"",#REF!),"")</f>
        <v/>
      </c>
      <c r="J28" t="str">
        <f>IFERROR(IF(OR(HLOOKUP($A28,#REF!,8,FALSE)&gt;2,HLOOKUP($A28,#REF!,8,FALSE)&lt;-2),"",#REF!),"")</f>
        <v/>
      </c>
      <c r="K28" t="str">
        <f>IFERROR(IF(OR(HLOOKUP($A28,#REF!,9,FALSE)&gt;2,HLOOKUP($A28,#REF!,9,FALSE)&lt;-2),"",#REF!),"")</f>
        <v/>
      </c>
      <c r="L28" t="str">
        <f>IFERROR(IF(OR(HLOOKUP($A28,#REF!,10,FALSE)&gt;2,HLOOKUP($A28,#REF!,10,FALSE)&lt;-2),"",#REF!),"")</f>
        <v/>
      </c>
      <c r="M28" t="str">
        <f>IFERROR(IF(OR(HLOOKUP($A28,#REF!,11,FALSE)&gt;2,HLOOKUP($A28,#REF!,11,FALSE)&lt;-2),"",#REF!),"")</f>
        <v/>
      </c>
      <c r="N28" t="str">
        <f>IFERROR(IF(OR(HLOOKUP($A28,#REF!,12,FALSE)&gt;2,HLOOKUP($A28,#REF!,12,FALSE)&lt;-2),"",#REF!),"")</f>
        <v/>
      </c>
      <c r="O28" t="str">
        <f>IFERROR(IF(OR(HLOOKUP($A28,#REF!,13,FALSE)&gt;2,HLOOKUP($A28,#REF!,13,FALSE)&lt;-2),"",#REF!),"")</f>
        <v/>
      </c>
      <c r="P28" t="str">
        <f>IFERROR(IF(OR(HLOOKUP($A28,#REF!,14,FALSE)&gt;2,HLOOKUP($A28,#REF!,14,FALSE)&lt;-2),"",#REF!),"")</f>
        <v/>
      </c>
      <c r="Q28" t="str">
        <f>IFERROR(IF(OR(HLOOKUP($A28,#REF!,15,FALSE)&gt;2,HLOOKUP($A28,#REF!,15,FALSE)&lt;-2),"",#REF!),"")</f>
        <v/>
      </c>
      <c r="R28" t="str">
        <f>IFERROR(IF(OR(HLOOKUP($A28,#REF!,16,FALSE)&gt;2,HLOOKUP($A28,#REF!,16,FALSE)&lt;-2),"",#REF!),"")</f>
        <v/>
      </c>
      <c r="S28" t="str">
        <f>IFERROR(IF(OR(HLOOKUP($A28,#REF!,17,FALSE)&gt;2,HLOOKUP($A28,#REF!,17,FALSE)&lt;-2),"",#REF!),"")</f>
        <v/>
      </c>
      <c r="T28" t="str">
        <f>IFERROR(IF(OR(HLOOKUP($A28,#REF!,18,FALSE)&gt;2,HLOOKUP($A28,#REF!,18,FALSE)&lt;-2),"",#REF!),"")</f>
        <v/>
      </c>
      <c r="U28" t="str">
        <f>IFERROR(IF(OR(HLOOKUP($A28,#REF!,19,FALSE)&gt;2,HLOOKUP($A28,#REF!,19,FALSE)&lt;-2),"",#REF!),"")</f>
        <v/>
      </c>
      <c r="V28">
        <f t="shared" si="0"/>
        <v>1</v>
      </c>
      <c r="W28" t="str">
        <f t="shared" si="1"/>
        <v/>
      </c>
      <c r="X28" t="str">
        <f t="shared" si="2"/>
        <v/>
      </c>
      <c r="Y28" t="str">
        <f t="shared" si="3"/>
        <v/>
      </c>
    </row>
    <row r="29" spans="1:25" x14ac:dyDescent="0.35">
      <c r="A29">
        <v>29</v>
      </c>
      <c r="B29" t="s">
        <v>597</v>
      </c>
      <c r="C29">
        <v>103200</v>
      </c>
      <c r="D29">
        <v>871</v>
      </c>
      <c r="E29" t="str">
        <f>IFERROR(IF(OR(HLOOKUP($A29,#REF!,3,FALSE)&gt;2,HLOOKUP(A29,#REF!,3,FALSE)&lt;-2),"",#REF!),"")</f>
        <v/>
      </c>
      <c r="F29" t="str">
        <f>IFERROR(IF(OR(HLOOKUP($A29,#REF!,4,FALSE)&gt;2,HLOOKUP($A29,#REF!,4,FALSE)&lt;-2),"",#REF!),"")</f>
        <v/>
      </c>
      <c r="G29" t="str">
        <f>IFERROR(IF(OR(HLOOKUP($A29,#REF!,5,FALSE)&gt;2,HLOOKUP($A29,#REF!,5,FALSE)&lt;-2),"",#REF!),"")</f>
        <v/>
      </c>
      <c r="H29" t="str">
        <f>IFERROR(IF(OR(HLOOKUP($A29,#REF!,6,FALSE)&gt;2,HLOOKUP($A29,#REF!,6,FALSE)&lt;-2),"",#REF!),"")</f>
        <v/>
      </c>
      <c r="I29" t="str">
        <f>IFERROR(IF(OR(HLOOKUP($A29,#REF!,7,FALSE)&gt;2,HLOOKUP($A29,#REF!,7,FALSE)&lt;-2),"",#REF!),"")</f>
        <v/>
      </c>
      <c r="J29" t="str">
        <f>IFERROR(IF(OR(HLOOKUP($A29,#REF!,8,FALSE)&gt;2,HLOOKUP($A29,#REF!,8,FALSE)&lt;-2),"",#REF!),"")</f>
        <v/>
      </c>
      <c r="K29" t="str">
        <f>IFERROR(IF(OR(HLOOKUP($A29,#REF!,9,FALSE)&gt;2,HLOOKUP($A29,#REF!,9,FALSE)&lt;-2),"",#REF!),"")</f>
        <v/>
      </c>
      <c r="L29" t="str">
        <f>IFERROR(IF(OR(HLOOKUP($A29,#REF!,10,FALSE)&gt;2,HLOOKUP($A29,#REF!,10,FALSE)&lt;-2),"",#REF!),"")</f>
        <v/>
      </c>
      <c r="M29" t="str">
        <f>IFERROR(IF(OR(HLOOKUP($A29,#REF!,11,FALSE)&gt;2,HLOOKUP($A29,#REF!,11,FALSE)&lt;-2),"",#REF!),"")</f>
        <v/>
      </c>
      <c r="N29" t="str">
        <f>IFERROR(IF(OR(HLOOKUP($A29,#REF!,12,FALSE)&gt;2,HLOOKUP($A29,#REF!,12,FALSE)&lt;-2),"",#REF!),"")</f>
        <v/>
      </c>
      <c r="O29" t="str">
        <f>IFERROR(IF(OR(HLOOKUP($A29,#REF!,13,FALSE)&gt;2,HLOOKUP($A29,#REF!,13,FALSE)&lt;-2),"",#REF!),"")</f>
        <v/>
      </c>
      <c r="P29" t="str">
        <f>IFERROR(IF(OR(HLOOKUP($A29,#REF!,14,FALSE)&gt;2,HLOOKUP($A29,#REF!,14,FALSE)&lt;-2),"",#REF!),"")</f>
        <v/>
      </c>
      <c r="Q29" t="str">
        <f>IFERROR(IF(OR(HLOOKUP($A29,#REF!,15,FALSE)&gt;2,HLOOKUP($A29,#REF!,15,FALSE)&lt;-2),"",#REF!),"")</f>
        <v/>
      </c>
      <c r="R29" t="str">
        <f>IFERROR(IF(OR(HLOOKUP($A29,#REF!,16,FALSE)&gt;2,HLOOKUP($A29,#REF!,16,FALSE)&lt;-2),"",#REF!),"")</f>
        <v/>
      </c>
      <c r="S29" t="str">
        <f>IFERROR(IF(OR(HLOOKUP($A29,#REF!,17,FALSE)&gt;2,HLOOKUP($A29,#REF!,17,FALSE)&lt;-2),"",#REF!),"")</f>
        <v/>
      </c>
      <c r="T29" t="str">
        <f>IFERROR(IF(OR(HLOOKUP($A29,#REF!,18,FALSE)&gt;2,HLOOKUP($A29,#REF!,18,FALSE)&lt;-2),"",#REF!),"")</f>
        <v/>
      </c>
      <c r="U29" t="str">
        <f>IFERROR(IF(OR(HLOOKUP($A29,#REF!,19,FALSE)&gt;2,HLOOKUP($A29,#REF!,19,FALSE)&lt;-2),"",#REF!),"")</f>
        <v/>
      </c>
      <c r="V29">
        <f t="shared" si="0"/>
        <v>1</v>
      </c>
      <c r="W29" t="str">
        <f t="shared" si="1"/>
        <v/>
      </c>
      <c r="X29" t="str">
        <f t="shared" si="2"/>
        <v/>
      </c>
      <c r="Y29" t="str">
        <f t="shared" si="3"/>
        <v/>
      </c>
    </row>
    <row r="30" spans="1:25" x14ac:dyDescent="0.35">
      <c r="A30">
        <v>30</v>
      </c>
      <c r="B30" t="s">
        <v>598</v>
      </c>
      <c r="C30">
        <v>71600</v>
      </c>
      <c r="D30">
        <v>157</v>
      </c>
      <c r="E30" t="str">
        <f>IFERROR(IF(OR(HLOOKUP($A30,#REF!,3,FALSE)&gt;2,HLOOKUP(A30,#REF!,3,FALSE)&lt;-2),"",#REF!),"")</f>
        <v/>
      </c>
      <c r="F30" t="str">
        <f>IFERROR(IF(OR(HLOOKUP($A30,#REF!,4,FALSE)&gt;2,HLOOKUP($A30,#REF!,4,FALSE)&lt;-2),"",#REF!),"")</f>
        <v/>
      </c>
      <c r="G30" t="str">
        <f>IFERROR(IF(OR(HLOOKUP($A30,#REF!,5,FALSE)&gt;2,HLOOKUP($A30,#REF!,5,FALSE)&lt;-2),"",#REF!),"")</f>
        <v/>
      </c>
      <c r="H30" t="str">
        <f>IFERROR(IF(OR(HLOOKUP($A30,#REF!,6,FALSE)&gt;2,HLOOKUP($A30,#REF!,6,FALSE)&lt;-2),"",#REF!),"")</f>
        <v/>
      </c>
      <c r="I30" t="str">
        <f>IFERROR(IF(OR(HLOOKUP($A30,#REF!,7,FALSE)&gt;2,HLOOKUP($A30,#REF!,7,FALSE)&lt;-2),"",#REF!),"")</f>
        <v/>
      </c>
      <c r="J30" t="str">
        <f>IFERROR(IF(OR(HLOOKUP($A30,#REF!,8,FALSE)&gt;2,HLOOKUP($A30,#REF!,8,FALSE)&lt;-2),"",#REF!),"")</f>
        <v/>
      </c>
      <c r="K30" t="str">
        <f>IFERROR(IF(OR(HLOOKUP($A30,#REF!,9,FALSE)&gt;2,HLOOKUP($A30,#REF!,9,FALSE)&lt;-2),"",#REF!),"")</f>
        <v/>
      </c>
      <c r="L30" t="str">
        <f>IFERROR(IF(OR(HLOOKUP($A30,#REF!,10,FALSE)&gt;2,HLOOKUP($A30,#REF!,10,FALSE)&lt;-2),"",#REF!),"")</f>
        <v/>
      </c>
      <c r="M30" t="str">
        <f>IFERROR(IF(OR(HLOOKUP($A30,#REF!,11,FALSE)&gt;2,HLOOKUP($A30,#REF!,11,FALSE)&lt;-2),"",#REF!),"")</f>
        <v/>
      </c>
      <c r="N30" t="str">
        <f>IFERROR(IF(OR(HLOOKUP($A30,#REF!,12,FALSE)&gt;2,HLOOKUP($A30,#REF!,12,FALSE)&lt;-2),"",#REF!),"")</f>
        <v/>
      </c>
      <c r="O30" t="str">
        <f>IFERROR(IF(OR(HLOOKUP($A30,#REF!,13,FALSE)&gt;2,HLOOKUP($A30,#REF!,13,FALSE)&lt;-2),"",#REF!),"")</f>
        <v/>
      </c>
      <c r="P30" t="str">
        <f>IFERROR(IF(OR(HLOOKUP($A30,#REF!,14,FALSE)&gt;2,HLOOKUP($A30,#REF!,14,FALSE)&lt;-2),"",#REF!),"")</f>
        <v/>
      </c>
      <c r="Q30" t="str">
        <f>IFERROR(IF(OR(HLOOKUP($A30,#REF!,15,FALSE)&gt;2,HLOOKUP($A30,#REF!,15,FALSE)&lt;-2),"",#REF!),"")</f>
        <v/>
      </c>
      <c r="R30" t="str">
        <f>IFERROR(IF(OR(HLOOKUP($A30,#REF!,16,FALSE)&gt;2,HLOOKUP($A30,#REF!,16,FALSE)&lt;-2),"",#REF!),"")</f>
        <v/>
      </c>
      <c r="S30" t="str">
        <f>IFERROR(IF(OR(HLOOKUP($A30,#REF!,17,FALSE)&gt;2,HLOOKUP($A30,#REF!,17,FALSE)&lt;-2),"",#REF!),"")</f>
        <v/>
      </c>
      <c r="T30" t="str">
        <f>IFERROR(IF(OR(HLOOKUP($A30,#REF!,18,FALSE)&gt;2,HLOOKUP($A30,#REF!,18,FALSE)&lt;-2),"",#REF!),"")</f>
        <v/>
      </c>
      <c r="U30" t="str">
        <f>IFERROR(IF(OR(HLOOKUP($A30,#REF!,19,FALSE)&gt;2,HLOOKUP($A30,#REF!,19,FALSE)&lt;-2),"",#REF!),"")</f>
        <v/>
      </c>
      <c r="V30">
        <f t="shared" si="0"/>
        <v>1</v>
      </c>
      <c r="W30" t="str">
        <f t="shared" si="1"/>
        <v/>
      </c>
      <c r="X30" t="str">
        <f t="shared" si="2"/>
        <v/>
      </c>
      <c r="Y30" t="str">
        <f t="shared" si="3"/>
        <v/>
      </c>
    </row>
    <row r="31" spans="1:25" x14ac:dyDescent="0.35">
      <c r="A31">
        <v>31</v>
      </c>
      <c r="B31" t="s">
        <v>35</v>
      </c>
      <c r="C31">
        <v>18300</v>
      </c>
      <c r="D31">
        <v>315</v>
      </c>
      <c r="E31" t="str">
        <f>IFERROR(IF(OR(HLOOKUP($A31,#REF!,3,FALSE)&gt;2,HLOOKUP(A31,#REF!,3,FALSE)&lt;-2),"",#REF!),"")</f>
        <v/>
      </c>
      <c r="F31" t="str">
        <f>IFERROR(IF(OR(HLOOKUP($A31,#REF!,4,FALSE)&gt;2,HLOOKUP($A31,#REF!,4,FALSE)&lt;-2),"",#REF!),"")</f>
        <v/>
      </c>
      <c r="G31" t="str">
        <f>IFERROR(IF(OR(HLOOKUP($A31,#REF!,5,FALSE)&gt;2,HLOOKUP($A31,#REF!,5,FALSE)&lt;-2),"",#REF!),"")</f>
        <v/>
      </c>
      <c r="H31" t="str">
        <f>IFERROR(IF(OR(HLOOKUP($A31,#REF!,6,FALSE)&gt;2,HLOOKUP($A31,#REF!,6,FALSE)&lt;-2),"",#REF!),"")</f>
        <v/>
      </c>
      <c r="I31" t="str">
        <f>IFERROR(IF(OR(HLOOKUP($A31,#REF!,7,FALSE)&gt;2,HLOOKUP($A31,#REF!,7,FALSE)&lt;-2),"",#REF!),"")</f>
        <v/>
      </c>
      <c r="J31" t="str">
        <f>IFERROR(IF(OR(HLOOKUP($A31,#REF!,8,FALSE)&gt;2,HLOOKUP($A31,#REF!,8,FALSE)&lt;-2),"",#REF!),"")</f>
        <v/>
      </c>
      <c r="K31" t="str">
        <f>IFERROR(IF(OR(HLOOKUP($A31,#REF!,9,FALSE)&gt;2,HLOOKUP($A31,#REF!,9,FALSE)&lt;-2),"",#REF!),"")</f>
        <v/>
      </c>
      <c r="L31" t="str">
        <f>IFERROR(IF(OR(HLOOKUP($A31,#REF!,10,FALSE)&gt;2,HLOOKUP($A31,#REF!,10,FALSE)&lt;-2),"",#REF!),"")</f>
        <v/>
      </c>
      <c r="M31" t="str">
        <f>IFERROR(IF(OR(HLOOKUP($A31,#REF!,11,FALSE)&gt;2,HLOOKUP($A31,#REF!,11,FALSE)&lt;-2),"",#REF!),"")</f>
        <v/>
      </c>
      <c r="N31" t="str">
        <f>IFERROR(IF(OR(HLOOKUP($A31,#REF!,12,FALSE)&gt;2,HLOOKUP($A31,#REF!,12,FALSE)&lt;-2),"",#REF!),"")</f>
        <v/>
      </c>
      <c r="O31" t="str">
        <f>IFERROR(IF(OR(HLOOKUP($A31,#REF!,13,FALSE)&gt;2,HLOOKUP($A31,#REF!,13,FALSE)&lt;-2),"",#REF!),"")</f>
        <v/>
      </c>
      <c r="P31" t="str">
        <f>IFERROR(IF(OR(HLOOKUP($A31,#REF!,14,FALSE)&gt;2,HLOOKUP($A31,#REF!,14,FALSE)&lt;-2),"",#REF!),"")</f>
        <v/>
      </c>
      <c r="Q31" t="str">
        <f>IFERROR(IF(OR(HLOOKUP($A31,#REF!,15,FALSE)&gt;2,HLOOKUP($A31,#REF!,15,FALSE)&lt;-2),"",#REF!),"")</f>
        <v/>
      </c>
      <c r="R31" t="str">
        <f>IFERROR(IF(OR(HLOOKUP($A31,#REF!,16,FALSE)&gt;2,HLOOKUP($A31,#REF!,16,FALSE)&lt;-2),"",#REF!),"")</f>
        <v/>
      </c>
      <c r="S31" t="str">
        <f>IFERROR(IF(OR(HLOOKUP($A31,#REF!,17,FALSE)&gt;2,HLOOKUP($A31,#REF!,17,FALSE)&lt;-2),"",#REF!),"")</f>
        <v/>
      </c>
      <c r="T31" t="str">
        <f>IFERROR(IF(OR(HLOOKUP($A31,#REF!,18,FALSE)&gt;2,HLOOKUP($A31,#REF!,18,FALSE)&lt;-2),"",#REF!),"")</f>
        <v/>
      </c>
      <c r="U31" t="str">
        <f>IFERROR(IF(OR(HLOOKUP($A31,#REF!,19,FALSE)&gt;2,HLOOKUP($A31,#REF!,19,FALSE)&lt;-2),"",#REF!),"")</f>
        <v/>
      </c>
      <c r="V31">
        <f t="shared" si="0"/>
        <v>1</v>
      </c>
      <c r="W31" t="str">
        <f t="shared" si="1"/>
        <v/>
      </c>
      <c r="X31" t="str">
        <f t="shared" si="2"/>
        <v/>
      </c>
      <c r="Y31" t="str">
        <f t="shared" si="3"/>
        <v/>
      </c>
    </row>
    <row r="32" spans="1:25" x14ac:dyDescent="0.35">
      <c r="A32">
        <v>33</v>
      </c>
      <c r="B32" t="s">
        <v>36</v>
      </c>
      <c r="C32">
        <v>16700</v>
      </c>
      <c r="D32">
        <v>385</v>
      </c>
      <c r="E32" t="str">
        <f>IFERROR(IF(OR(HLOOKUP($A32,#REF!,3,FALSE)&gt;2,HLOOKUP(A32,#REF!,3,FALSE)&lt;-2),"",#REF!),"")</f>
        <v/>
      </c>
      <c r="F32" t="str">
        <f>IFERROR(IF(OR(HLOOKUP($A32,#REF!,4,FALSE)&gt;2,HLOOKUP($A32,#REF!,4,FALSE)&lt;-2),"",#REF!),"")</f>
        <v/>
      </c>
      <c r="G32" t="str">
        <f>IFERROR(IF(OR(HLOOKUP($A32,#REF!,5,FALSE)&gt;2,HLOOKUP($A32,#REF!,5,FALSE)&lt;-2),"",#REF!),"")</f>
        <v/>
      </c>
      <c r="H32" t="str">
        <f>IFERROR(IF(OR(HLOOKUP($A32,#REF!,6,FALSE)&gt;2,HLOOKUP($A32,#REF!,6,FALSE)&lt;-2),"",#REF!),"")</f>
        <v/>
      </c>
      <c r="I32" t="str">
        <f>IFERROR(IF(OR(HLOOKUP($A32,#REF!,7,FALSE)&gt;2,HLOOKUP($A32,#REF!,7,FALSE)&lt;-2),"",#REF!),"")</f>
        <v/>
      </c>
      <c r="J32" t="str">
        <f>IFERROR(IF(OR(HLOOKUP($A32,#REF!,8,FALSE)&gt;2,HLOOKUP($A32,#REF!,8,FALSE)&lt;-2),"",#REF!),"")</f>
        <v/>
      </c>
      <c r="K32" t="str">
        <f>IFERROR(IF(OR(HLOOKUP($A32,#REF!,9,FALSE)&gt;2,HLOOKUP($A32,#REF!,9,FALSE)&lt;-2),"",#REF!),"")</f>
        <v/>
      </c>
      <c r="L32" t="str">
        <f>IFERROR(IF(OR(HLOOKUP($A32,#REF!,10,FALSE)&gt;2,HLOOKUP($A32,#REF!,10,FALSE)&lt;-2),"",#REF!),"")</f>
        <v/>
      </c>
      <c r="M32" t="str">
        <f>IFERROR(IF(OR(HLOOKUP($A32,#REF!,11,FALSE)&gt;2,HLOOKUP($A32,#REF!,11,FALSE)&lt;-2),"",#REF!),"")</f>
        <v/>
      </c>
      <c r="N32" t="str">
        <f>IFERROR(IF(OR(HLOOKUP($A32,#REF!,12,FALSE)&gt;2,HLOOKUP($A32,#REF!,12,FALSE)&lt;-2),"",#REF!),"")</f>
        <v/>
      </c>
      <c r="O32" t="str">
        <f>IFERROR(IF(OR(HLOOKUP($A32,#REF!,13,FALSE)&gt;2,HLOOKUP($A32,#REF!,13,FALSE)&lt;-2),"",#REF!),"")</f>
        <v/>
      </c>
      <c r="P32" t="str">
        <f>IFERROR(IF(OR(HLOOKUP($A32,#REF!,14,FALSE)&gt;2,HLOOKUP($A32,#REF!,14,FALSE)&lt;-2),"",#REF!),"")</f>
        <v/>
      </c>
      <c r="Q32" t="str">
        <f>IFERROR(IF(OR(HLOOKUP($A32,#REF!,15,FALSE)&gt;2,HLOOKUP($A32,#REF!,15,FALSE)&lt;-2),"",#REF!),"")</f>
        <v/>
      </c>
      <c r="R32" t="str">
        <f>IFERROR(IF(OR(HLOOKUP($A32,#REF!,16,FALSE)&gt;2,HLOOKUP($A32,#REF!,16,FALSE)&lt;-2),"",#REF!),"")</f>
        <v/>
      </c>
      <c r="S32" t="str">
        <f>IFERROR(IF(OR(HLOOKUP($A32,#REF!,17,FALSE)&gt;2,HLOOKUP($A32,#REF!,17,FALSE)&lt;-2),"",#REF!),"")</f>
        <v/>
      </c>
      <c r="T32" t="str">
        <f>IFERROR(IF(OR(HLOOKUP($A32,#REF!,18,FALSE)&gt;2,HLOOKUP($A32,#REF!,18,FALSE)&lt;-2),"",#REF!),"")</f>
        <v/>
      </c>
      <c r="U32" t="str">
        <f>IFERROR(IF(OR(HLOOKUP($A32,#REF!,19,FALSE)&gt;2,HLOOKUP($A32,#REF!,19,FALSE)&lt;-2),"",#REF!),"")</f>
        <v/>
      </c>
      <c r="V32">
        <f t="shared" si="0"/>
        <v>1</v>
      </c>
      <c r="W32" t="str">
        <f t="shared" si="1"/>
        <v/>
      </c>
      <c r="X32" t="str">
        <f t="shared" si="2"/>
        <v/>
      </c>
      <c r="Y32" t="str">
        <f t="shared" si="3"/>
        <v/>
      </c>
    </row>
    <row r="33" spans="1:25" x14ac:dyDescent="0.35">
      <c r="A33">
        <v>34</v>
      </c>
      <c r="B33" t="s">
        <v>599</v>
      </c>
      <c r="C33">
        <v>118600</v>
      </c>
      <c r="D33">
        <v>1040</v>
      </c>
      <c r="E33" t="str">
        <f>IFERROR(IF(OR(HLOOKUP($A33,#REF!,3,FALSE)&gt;2,HLOOKUP(A33,#REF!,3,FALSE)&lt;-2),"",#REF!),"")</f>
        <v/>
      </c>
      <c r="F33" t="str">
        <f>IFERROR(IF(OR(HLOOKUP($A33,#REF!,4,FALSE)&gt;2,HLOOKUP($A33,#REF!,4,FALSE)&lt;-2),"",#REF!),"")</f>
        <v/>
      </c>
      <c r="G33" t="str">
        <f>IFERROR(IF(OR(HLOOKUP($A33,#REF!,5,FALSE)&gt;2,HLOOKUP($A33,#REF!,5,FALSE)&lt;-2),"",#REF!),"")</f>
        <v/>
      </c>
      <c r="H33" t="str">
        <f>IFERROR(IF(OR(HLOOKUP($A33,#REF!,6,FALSE)&gt;2,HLOOKUP($A33,#REF!,6,FALSE)&lt;-2),"",#REF!),"")</f>
        <v/>
      </c>
      <c r="I33" t="str">
        <f>IFERROR(IF(OR(HLOOKUP($A33,#REF!,7,FALSE)&gt;2,HLOOKUP($A33,#REF!,7,FALSE)&lt;-2),"",#REF!),"")</f>
        <v/>
      </c>
      <c r="J33" t="str">
        <f>IFERROR(IF(OR(HLOOKUP($A33,#REF!,8,FALSE)&gt;2,HLOOKUP($A33,#REF!,8,FALSE)&lt;-2),"",#REF!),"")</f>
        <v/>
      </c>
      <c r="K33" t="str">
        <f>IFERROR(IF(OR(HLOOKUP($A33,#REF!,9,FALSE)&gt;2,HLOOKUP($A33,#REF!,9,FALSE)&lt;-2),"",#REF!),"")</f>
        <v/>
      </c>
      <c r="L33" t="str">
        <f>IFERROR(IF(OR(HLOOKUP($A33,#REF!,10,FALSE)&gt;2,HLOOKUP($A33,#REF!,10,FALSE)&lt;-2),"",#REF!),"")</f>
        <v/>
      </c>
      <c r="M33" t="str">
        <f>IFERROR(IF(OR(HLOOKUP($A33,#REF!,11,FALSE)&gt;2,HLOOKUP($A33,#REF!,11,FALSE)&lt;-2),"",#REF!),"")</f>
        <v/>
      </c>
      <c r="N33" t="str">
        <f>IFERROR(IF(OR(HLOOKUP($A33,#REF!,12,FALSE)&gt;2,HLOOKUP($A33,#REF!,12,FALSE)&lt;-2),"",#REF!),"")</f>
        <v/>
      </c>
      <c r="O33" t="str">
        <f>IFERROR(IF(OR(HLOOKUP($A33,#REF!,13,FALSE)&gt;2,HLOOKUP($A33,#REF!,13,FALSE)&lt;-2),"",#REF!),"")</f>
        <v/>
      </c>
      <c r="P33" t="str">
        <f>IFERROR(IF(OR(HLOOKUP($A33,#REF!,14,FALSE)&gt;2,HLOOKUP($A33,#REF!,14,FALSE)&lt;-2),"",#REF!),"")</f>
        <v/>
      </c>
      <c r="Q33" t="str">
        <f>IFERROR(IF(OR(HLOOKUP($A33,#REF!,15,FALSE)&gt;2,HLOOKUP($A33,#REF!,15,FALSE)&lt;-2),"",#REF!),"")</f>
        <v/>
      </c>
      <c r="R33" t="str">
        <f>IFERROR(IF(OR(HLOOKUP($A33,#REF!,16,FALSE)&gt;2,HLOOKUP($A33,#REF!,16,FALSE)&lt;-2),"",#REF!),"")</f>
        <v/>
      </c>
      <c r="S33" t="str">
        <f>IFERROR(IF(OR(HLOOKUP($A33,#REF!,17,FALSE)&gt;2,HLOOKUP($A33,#REF!,17,FALSE)&lt;-2),"",#REF!),"")</f>
        <v/>
      </c>
      <c r="T33" t="str">
        <f>IFERROR(IF(OR(HLOOKUP($A33,#REF!,18,FALSE)&gt;2,HLOOKUP($A33,#REF!,18,FALSE)&lt;-2),"",#REF!),"")</f>
        <v/>
      </c>
      <c r="U33" t="str">
        <f>IFERROR(IF(OR(HLOOKUP($A33,#REF!,19,FALSE)&gt;2,HLOOKUP($A33,#REF!,19,FALSE)&lt;-2),"",#REF!),"")</f>
        <v/>
      </c>
      <c r="V33">
        <f t="shared" si="0"/>
        <v>1</v>
      </c>
      <c r="W33" t="str">
        <f t="shared" si="1"/>
        <v/>
      </c>
      <c r="X33" t="str">
        <f t="shared" si="2"/>
        <v/>
      </c>
      <c r="Y33" t="str">
        <f t="shared" si="3"/>
        <v/>
      </c>
    </row>
    <row r="34" spans="1:25" x14ac:dyDescent="0.35">
      <c r="A34">
        <v>35</v>
      </c>
      <c r="B34" t="s">
        <v>37</v>
      </c>
      <c r="C34">
        <v>82800</v>
      </c>
      <c r="D34">
        <v>323</v>
      </c>
      <c r="E34" t="str">
        <f>IFERROR(IF(OR(HLOOKUP($A34,#REF!,3,FALSE)&gt;2,HLOOKUP(A34,#REF!,3,FALSE)&lt;-2),"",#REF!),"")</f>
        <v/>
      </c>
      <c r="F34" t="str">
        <f>IFERROR(IF(OR(HLOOKUP($A34,#REF!,4,FALSE)&gt;2,HLOOKUP($A34,#REF!,4,FALSE)&lt;-2),"",#REF!),"")</f>
        <v/>
      </c>
      <c r="G34" t="str">
        <f>IFERROR(IF(OR(HLOOKUP($A34,#REF!,5,FALSE)&gt;2,HLOOKUP($A34,#REF!,5,FALSE)&lt;-2),"",#REF!),"")</f>
        <v/>
      </c>
      <c r="H34" t="str">
        <f>IFERROR(IF(OR(HLOOKUP($A34,#REF!,6,FALSE)&gt;2,HLOOKUP($A34,#REF!,6,FALSE)&lt;-2),"",#REF!),"")</f>
        <v/>
      </c>
      <c r="I34" t="str">
        <f>IFERROR(IF(OR(HLOOKUP($A34,#REF!,7,FALSE)&gt;2,HLOOKUP($A34,#REF!,7,FALSE)&lt;-2),"",#REF!),"")</f>
        <v/>
      </c>
      <c r="J34" t="str">
        <f>IFERROR(IF(OR(HLOOKUP($A34,#REF!,8,FALSE)&gt;2,HLOOKUP($A34,#REF!,8,FALSE)&lt;-2),"",#REF!),"")</f>
        <v/>
      </c>
      <c r="K34" t="str">
        <f>IFERROR(IF(OR(HLOOKUP($A34,#REF!,9,FALSE)&gt;2,HLOOKUP($A34,#REF!,9,FALSE)&lt;-2),"",#REF!),"")</f>
        <v/>
      </c>
      <c r="L34" t="str">
        <f>IFERROR(IF(OR(HLOOKUP($A34,#REF!,10,FALSE)&gt;2,HLOOKUP($A34,#REF!,10,FALSE)&lt;-2),"",#REF!),"")</f>
        <v/>
      </c>
      <c r="M34" t="str">
        <f>IFERROR(IF(OR(HLOOKUP($A34,#REF!,11,FALSE)&gt;2,HLOOKUP($A34,#REF!,11,FALSE)&lt;-2),"",#REF!),"")</f>
        <v/>
      </c>
      <c r="N34" t="str">
        <f>IFERROR(IF(OR(HLOOKUP($A34,#REF!,12,FALSE)&gt;2,HLOOKUP($A34,#REF!,12,FALSE)&lt;-2),"",#REF!),"")</f>
        <v/>
      </c>
      <c r="O34" t="str">
        <f>IFERROR(IF(OR(HLOOKUP($A34,#REF!,13,FALSE)&gt;2,HLOOKUP($A34,#REF!,13,FALSE)&lt;-2),"",#REF!),"")</f>
        <v/>
      </c>
      <c r="P34" t="str">
        <f>IFERROR(IF(OR(HLOOKUP($A34,#REF!,14,FALSE)&gt;2,HLOOKUP($A34,#REF!,14,FALSE)&lt;-2),"",#REF!),"")</f>
        <v/>
      </c>
      <c r="Q34" t="str">
        <f>IFERROR(IF(OR(HLOOKUP($A34,#REF!,15,FALSE)&gt;2,HLOOKUP($A34,#REF!,15,FALSE)&lt;-2),"",#REF!),"")</f>
        <v/>
      </c>
      <c r="R34" t="str">
        <f>IFERROR(IF(OR(HLOOKUP($A34,#REF!,16,FALSE)&gt;2,HLOOKUP($A34,#REF!,16,FALSE)&lt;-2),"",#REF!),"")</f>
        <v/>
      </c>
      <c r="S34" t="str">
        <f>IFERROR(IF(OR(HLOOKUP($A34,#REF!,17,FALSE)&gt;2,HLOOKUP($A34,#REF!,17,FALSE)&lt;-2),"",#REF!),"")</f>
        <v/>
      </c>
      <c r="T34" t="str">
        <f>IFERROR(IF(OR(HLOOKUP($A34,#REF!,18,FALSE)&gt;2,HLOOKUP($A34,#REF!,18,FALSE)&lt;-2),"",#REF!),"")</f>
        <v/>
      </c>
      <c r="U34" t="str">
        <f>IFERROR(IF(OR(HLOOKUP($A34,#REF!,19,FALSE)&gt;2,HLOOKUP($A34,#REF!,19,FALSE)&lt;-2),"",#REF!),"")</f>
        <v/>
      </c>
      <c r="V34">
        <f t="shared" si="0"/>
        <v>1</v>
      </c>
      <c r="W34" t="str">
        <f t="shared" si="1"/>
        <v/>
      </c>
      <c r="X34" t="str">
        <f t="shared" si="2"/>
        <v/>
      </c>
      <c r="Y34" t="str">
        <f t="shared" si="3"/>
        <v/>
      </c>
    </row>
    <row r="35" spans="1:25" x14ac:dyDescent="0.35">
      <c r="A35">
        <v>36</v>
      </c>
      <c r="B35" t="s">
        <v>38</v>
      </c>
      <c r="C35">
        <v>9200</v>
      </c>
      <c r="D35">
        <v>1057</v>
      </c>
      <c r="E35" t="str">
        <f>IFERROR(IF(OR(HLOOKUP($A35,#REF!,3,FALSE)&gt;2,HLOOKUP(A35,#REF!,3,FALSE)&lt;-2),"",#REF!),"")</f>
        <v/>
      </c>
      <c r="F35" t="str">
        <f>IFERROR(IF(OR(HLOOKUP($A35,#REF!,4,FALSE)&gt;2,HLOOKUP($A35,#REF!,4,FALSE)&lt;-2),"",#REF!),"")</f>
        <v/>
      </c>
      <c r="G35" t="str">
        <f>IFERROR(IF(OR(HLOOKUP($A35,#REF!,5,FALSE)&gt;2,HLOOKUP($A35,#REF!,5,FALSE)&lt;-2),"",#REF!),"")</f>
        <v/>
      </c>
      <c r="H35" t="str">
        <f>IFERROR(IF(OR(HLOOKUP($A35,#REF!,6,FALSE)&gt;2,HLOOKUP($A35,#REF!,6,FALSE)&lt;-2),"",#REF!),"")</f>
        <v/>
      </c>
      <c r="I35" t="str">
        <f>IFERROR(IF(OR(HLOOKUP($A35,#REF!,7,FALSE)&gt;2,HLOOKUP($A35,#REF!,7,FALSE)&lt;-2),"",#REF!),"")</f>
        <v/>
      </c>
      <c r="J35" t="str">
        <f>IFERROR(IF(OR(HLOOKUP($A35,#REF!,8,FALSE)&gt;2,HLOOKUP($A35,#REF!,8,FALSE)&lt;-2),"",#REF!),"")</f>
        <v/>
      </c>
      <c r="K35" t="str">
        <f>IFERROR(IF(OR(HLOOKUP($A35,#REF!,9,FALSE)&gt;2,HLOOKUP($A35,#REF!,9,FALSE)&lt;-2),"",#REF!),"")</f>
        <v/>
      </c>
      <c r="L35" t="str">
        <f>IFERROR(IF(OR(HLOOKUP($A35,#REF!,10,FALSE)&gt;2,HLOOKUP($A35,#REF!,10,FALSE)&lt;-2),"",#REF!),"")</f>
        <v/>
      </c>
      <c r="M35" t="str">
        <f>IFERROR(IF(OR(HLOOKUP($A35,#REF!,11,FALSE)&gt;2,HLOOKUP($A35,#REF!,11,FALSE)&lt;-2),"",#REF!),"")</f>
        <v/>
      </c>
      <c r="N35" t="str">
        <f>IFERROR(IF(OR(HLOOKUP($A35,#REF!,12,FALSE)&gt;2,HLOOKUP($A35,#REF!,12,FALSE)&lt;-2),"",#REF!),"")</f>
        <v/>
      </c>
      <c r="O35" t="str">
        <f>IFERROR(IF(OR(HLOOKUP($A35,#REF!,13,FALSE)&gt;2,HLOOKUP($A35,#REF!,13,FALSE)&lt;-2),"",#REF!),"")</f>
        <v/>
      </c>
      <c r="P35" t="str">
        <f>IFERROR(IF(OR(HLOOKUP($A35,#REF!,14,FALSE)&gt;2,HLOOKUP($A35,#REF!,14,FALSE)&lt;-2),"",#REF!),"")</f>
        <v/>
      </c>
      <c r="Q35" t="str">
        <f>IFERROR(IF(OR(HLOOKUP($A35,#REF!,15,FALSE)&gt;2,HLOOKUP($A35,#REF!,15,FALSE)&lt;-2),"",#REF!),"")</f>
        <v/>
      </c>
      <c r="R35" t="str">
        <f>IFERROR(IF(OR(HLOOKUP($A35,#REF!,16,FALSE)&gt;2,HLOOKUP($A35,#REF!,16,FALSE)&lt;-2),"",#REF!),"")</f>
        <v/>
      </c>
      <c r="S35" t="str">
        <f>IFERROR(IF(OR(HLOOKUP($A35,#REF!,17,FALSE)&gt;2,HLOOKUP($A35,#REF!,17,FALSE)&lt;-2),"",#REF!),"")</f>
        <v/>
      </c>
      <c r="T35" t="str">
        <f>IFERROR(IF(OR(HLOOKUP($A35,#REF!,18,FALSE)&gt;2,HLOOKUP($A35,#REF!,18,FALSE)&lt;-2),"",#REF!),"")</f>
        <v/>
      </c>
      <c r="U35" t="str">
        <f>IFERROR(IF(OR(HLOOKUP($A35,#REF!,19,FALSE)&gt;2,HLOOKUP($A35,#REF!,19,FALSE)&lt;-2),"",#REF!),"")</f>
        <v/>
      </c>
      <c r="V35">
        <f t="shared" si="0"/>
        <v>1</v>
      </c>
      <c r="W35" t="str">
        <f t="shared" si="1"/>
        <v/>
      </c>
      <c r="X35" t="str">
        <f t="shared" si="2"/>
        <v/>
      </c>
      <c r="Y35" t="str">
        <f t="shared" si="3"/>
        <v/>
      </c>
    </row>
    <row r="36" spans="1:25" x14ac:dyDescent="0.35">
      <c r="A36">
        <v>37</v>
      </c>
      <c r="B36" t="s">
        <v>600</v>
      </c>
      <c r="C36">
        <v>112500</v>
      </c>
      <c r="D36">
        <v>768</v>
      </c>
      <c r="E36" t="str">
        <f>IFERROR(IF(OR(HLOOKUP($A36,#REF!,3,FALSE)&gt;2,HLOOKUP(A36,#REF!,3,FALSE)&lt;-2),"",#REF!),"")</f>
        <v/>
      </c>
      <c r="F36" t="str">
        <f>IFERROR(IF(OR(HLOOKUP($A36,#REF!,4,FALSE)&gt;2,HLOOKUP($A36,#REF!,4,FALSE)&lt;-2),"",#REF!),"")</f>
        <v/>
      </c>
      <c r="G36" t="str">
        <f>IFERROR(IF(OR(HLOOKUP($A36,#REF!,5,FALSE)&gt;2,HLOOKUP($A36,#REF!,5,FALSE)&lt;-2),"",#REF!),"")</f>
        <v/>
      </c>
      <c r="H36" t="str">
        <f>IFERROR(IF(OR(HLOOKUP($A36,#REF!,6,FALSE)&gt;2,HLOOKUP($A36,#REF!,6,FALSE)&lt;-2),"",#REF!),"")</f>
        <v/>
      </c>
      <c r="I36" t="str">
        <f>IFERROR(IF(OR(HLOOKUP($A36,#REF!,7,FALSE)&gt;2,HLOOKUP($A36,#REF!,7,FALSE)&lt;-2),"",#REF!),"")</f>
        <v/>
      </c>
      <c r="J36" t="str">
        <f>IFERROR(IF(OR(HLOOKUP($A36,#REF!,8,FALSE)&gt;2,HLOOKUP($A36,#REF!,8,FALSE)&lt;-2),"",#REF!),"")</f>
        <v/>
      </c>
      <c r="K36" t="str">
        <f>IFERROR(IF(OR(HLOOKUP($A36,#REF!,9,FALSE)&gt;2,HLOOKUP($A36,#REF!,9,FALSE)&lt;-2),"",#REF!),"")</f>
        <v/>
      </c>
      <c r="L36" t="str">
        <f>IFERROR(IF(OR(HLOOKUP($A36,#REF!,10,FALSE)&gt;2,HLOOKUP($A36,#REF!,10,FALSE)&lt;-2),"",#REF!),"")</f>
        <v/>
      </c>
      <c r="M36" t="str">
        <f>IFERROR(IF(OR(HLOOKUP($A36,#REF!,11,FALSE)&gt;2,HLOOKUP($A36,#REF!,11,FALSE)&lt;-2),"",#REF!),"")</f>
        <v/>
      </c>
      <c r="N36" t="str">
        <f>IFERROR(IF(OR(HLOOKUP($A36,#REF!,12,FALSE)&gt;2,HLOOKUP($A36,#REF!,12,FALSE)&lt;-2),"",#REF!),"")</f>
        <v/>
      </c>
      <c r="O36" t="str">
        <f>IFERROR(IF(OR(HLOOKUP($A36,#REF!,13,FALSE)&gt;2,HLOOKUP($A36,#REF!,13,FALSE)&lt;-2),"",#REF!),"")</f>
        <v/>
      </c>
      <c r="P36" t="str">
        <f>IFERROR(IF(OR(HLOOKUP($A36,#REF!,14,FALSE)&gt;2,HLOOKUP($A36,#REF!,14,FALSE)&lt;-2),"",#REF!),"")</f>
        <v/>
      </c>
      <c r="Q36" t="str">
        <f>IFERROR(IF(OR(HLOOKUP($A36,#REF!,15,FALSE)&gt;2,HLOOKUP($A36,#REF!,15,FALSE)&lt;-2),"",#REF!),"")</f>
        <v/>
      </c>
      <c r="R36" t="str">
        <f>IFERROR(IF(OR(HLOOKUP($A36,#REF!,16,FALSE)&gt;2,HLOOKUP($A36,#REF!,16,FALSE)&lt;-2),"",#REF!),"")</f>
        <v/>
      </c>
      <c r="S36" t="str">
        <f>IFERROR(IF(OR(HLOOKUP($A36,#REF!,17,FALSE)&gt;2,HLOOKUP($A36,#REF!,17,FALSE)&lt;-2),"",#REF!),"")</f>
        <v/>
      </c>
      <c r="T36" t="str">
        <f>IFERROR(IF(OR(HLOOKUP($A36,#REF!,18,FALSE)&gt;2,HLOOKUP($A36,#REF!,18,FALSE)&lt;-2),"",#REF!),"")</f>
        <v/>
      </c>
      <c r="U36" t="str">
        <f>IFERROR(IF(OR(HLOOKUP($A36,#REF!,19,FALSE)&gt;2,HLOOKUP($A36,#REF!,19,FALSE)&lt;-2),"",#REF!),"")</f>
        <v/>
      </c>
      <c r="V36">
        <f t="shared" si="0"/>
        <v>1</v>
      </c>
      <c r="W36" t="str">
        <f t="shared" si="1"/>
        <v/>
      </c>
      <c r="X36" t="str">
        <f t="shared" si="2"/>
        <v/>
      </c>
      <c r="Y36" t="str">
        <f t="shared" si="3"/>
        <v/>
      </c>
    </row>
    <row r="37" spans="1:25" x14ac:dyDescent="0.35">
      <c r="A37">
        <v>38</v>
      </c>
      <c r="B37" t="s">
        <v>39</v>
      </c>
      <c r="C37">
        <v>70500</v>
      </c>
      <c r="D37">
        <v>157</v>
      </c>
      <c r="E37" t="str">
        <f>IFERROR(IF(OR(HLOOKUP($A37,#REF!,3,FALSE)&gt;2,HLOOKUP(A37,#REF!,3,FALSE)&lt;-2),"",#REF!),"")</f>
        <v/>
      </c>
      <c r="F37" t="str">
        <f>IFERROR(IF(OR(HLOOKUP($A37,#REF!,4,FALSE)&gt;2,HLOOKUP($A37,#REF!,4,FALSE)&lt;-2),"",#REF!),"")</f>
        <v/>
      </c>
      <c r="G37" t="str">
        <f>IFERROR(IF(OR(HLOOKUP($A37,#REF!,5,FALSE)&gt;2,HLOOKUP($A37,#REF!,5,FALSE)&lt;-2),"",#REF!),"")</f>
        <v/>
      </c>
      <c r="H37" t="str">
        <f>IFERROR(IF(OR(HLOOKUP($A37,#REF!,6,FALSE)&gt;2,HLOOKUP($A37,#REF!,6,FALSE)&lt;-2),"",#REF!),"")</f>
        <v/>
      </c>
      <c r="I37" t="str">
        <f>IFERROR(IF(OR(HLOOKUP($A37,#REF!,7,FALSE)&gt;2,HLOOKUP($A37,#REF!,7,FALSE)&lt;-2),"",#REF!),"")</f>
        <v/>
      </c>
      <c r="J37" t="str">
        <f>IFERROR(IF(OR(HLOOKUP($A37,#REF!,8,FALSE)&gt;2,HLOOKUP($A37,#REF!,8,FALSE)&lt;-2),"",#REF!),"")</f>
        <v/>
      </c>
      <c r="K37" t="str">
        <f>IFERROR(IF(OR(HLOOKUP($A37,#REF!,9,FALSE)&gt;2,HLOOKUP($A37,#REF!,9,FALSE)&lt;-2),"",#REF!),"")</f>
        <v/>
      </c>
      <c r="L37" t="str">
        <f>IFERROR(IF(OR(HLOOKUP($A37,#REF!,10,FALSE)&gt;2,HLOOKUP($A37,#REF!,10,FALSE)&lt;-2),"",#REF!),"")</f>
        <v/>
      </c>
      <c r="M37" t="str">
        <f>IFERROR(IF(OR(HLOOKUP($A37,#REF!,11,FALSE)&gt;2,HLOOKUP($A37,#REF!,11,FALSE)&lt;-2),"",#REF!),"")</f>
        <v/>
      </c>
      <c r="N37" t="str">
        <f>IFERROR(IF(OR(HLOOKUP($A37,#REF!,12,FALSE)&gt;2,HLOOKUP($A37,#REF!,12,FALSE)&lt;-2),"",#REF!),"")</f>
        <v/>
      </c>
      <c r="O37" t="str">
        <f>IFERROR(IF(OR(HLOOKUP($A37,#REF!,13,FALSE)&gt;2,HLOOKUP($A37,#REF!,13,FALSE)&lt;-2),"",#REF!),"")</f>
        <v/>
      </c>
      <c r="P37" t="str">
        <f>IFERROR(IF(OR(HLOOKUP($A37,#REF!,14,FALSE)&gt;2,HLOOKUP($A37,#REF!,14,FALSE)&lt;-2),"",#REF!),"")</f>
        <v/>
      </c>
      <c r="Q37" t="str">
        <f>IFERROR(IF(OR(HLOOKUP($A37,#REF!,15,FALSE)&gt;2,HLOOKUP($A37,#REF!,15,FALSE)&lt;-2),"",#REF!),"")</f>
        <v/>
      </c>
      <c r="R37" t="str">
        <f>IFERROR(IF(OR(HLOOKUP($A37,#REF!,16,FALSE)&gt;2,HLOOKUP($A37,#REF!,16,FALSE)&lt;-2),"",#REF!),"")</f>
        <v/>
      </c>
      <c r="S37" t="str">
        <f>IFERROR(IF(OR(HLOOKUP($A37,#REF!,17,FALSE)&gt;2,HLOOKUP($A37,#REF!,17,FALSE)&lt;-2),"",#REF!),"")</f>
        <v/>
      </c>
      <c r="T37" t="str">
        <f>IFERROR(IF(OR(HLOOKUP($A37,#REF!,18,FALSE)&gt;2,HLOOKUP($A37,#REF!,18,FALSE)&lt;-2),"",#REF!),"")</f>
        <v/>
      </c>
      <c r="U37" t="str">
        <f>IFERROR(IF(OR(HLOOKUP($A37,#REF!,19,FALSE)&gt;2,HLOOKUP($A37,#REF!,19,FALSE)&lt;-2),"",#REF!),"")</f>
        <v/>
      </c>
      <c r="V37">
        <f t="shared" si="0"/>
        <v>1</v>
      </c>
      <c r="W37" t="str">
        <f t="shared" si="1"/>
        <v/>
      </c>
      <c r="X37" t="str">
        <f t="shared" si="2"/>
        <v/>
      </c>
      <c r="Y37" t="str">
        <f t="shared" si="3"/>
        <v/>
      </c>
    </row>
    <row r="38" spans="1:25" x14ac:dyDescent="0.35">
      <c r="A38">
        <v>39</v>
      </c>
      <c r="B38" t="s">
        <v>601</v>
      </c>
      <c r="C38">
        <v>18900</v>
      </c>
      <c r="D38">
        <v>31</v>
      </c>
      <c r="E38" t="str">
        <f>IFERROR(IF(OR(HLOOKUP($A38,#REF!,3,FALSE)&gt;2,HLOOKUP(A38,#REF!,3,FALSE)&lt;-2),"",#REF!),"")</f>
        <v/>
      </c>
      <c r="F38" t="str">
        <f>IFERROR(IF(OR(HLOOKUP($A38,#REF!,4,FALSE)&gt;2,HLOOKUP($A38,#REF!,4,FALSE)&lt;-2),"",#REF!),"")</f>
        <v/>
      </c>
      <c r="G38" t="str">
        <f>IFERROR(IF(OR(HLOOKUP($A38,#REF!,5,FALSE)&gt;2,HLOOKUP($A38,#REF!,5,FALSE)&lt;-2),"",#REF!),"")</f>
        <v/>
      </c>
      <c r="H38" t="str">
        <f>IFERROR(IF(OR(HLOOKUP($A38,#REF!,6,FALSE)&gt;2,HLOOKUP($A38,#REF!,6,FALSE)&lt;-2),"",#REF!),"")</f>
        <v/>
      </c>
      <c r="I38" t="str">
        <f>IFERROR(IF(OR(HLOOKUP($A38,#REF!,7,FALSE)&gt;2,HLOOKUP($A38,#REF!,7,FALSE)&lt;-2),"",#REF!),"")</f>
        <v/>
      </c>
      <c r="J38" t="str">
        <f>IFERROR(IF(OR(HLOOKUP($A38,#REF!,8,FALSE)&gt;2,HLOOKUP($A38,#REF!,8,FALSE)&lt;-2),"",#REF!),"")</f>
        <v/>
      </c>
      <c r="K38" t="str">
        <f>IFERROR(IF(OR(HLOOKUP($A38,#REF!,9,FALSE)&gt;2,HLOOKUP($A38,#REF!,9,FALSE)&lt;-2),"",#REF!),"")</f>
        <v/>
      </c>
      <c r="L38" t="str">
        <f>IFERROR(IF(OR(HLOOKUP($A38,#REF!,10,FALSE)&gt;2,HLOOKUP($A38,#REF!,10,FALSE)&lt;-2),"",#REF!),"")</f>
        <v/>
      </c>
      <c r="M38" t="str">
        <f>IFERROR(IF(OR(HLOOKUP($A38,#REF!,11,FALSE)&gt;2,HLOOKUP($A38,#REF!,11,FALSE)&lt;-2),"",#REF!),"")</f>
        <v/>
      </c>
      <c r="N38" t="str">
        <f>IFERROR(IF(OR(HLOOKUP($A38,#REF!,12,FALSE)&gt;2,HLOOKUP($A38,#REF!,12,FALSE)&lt;-2),"",#REF!),"")</f>
        <v/>
      </c>
      <c r="O38" t="str">
        <f>IFERROR(IF(OR(HLOOKUP($A38,#REF!,13,FALSE)&gt;2,HLOOKUP($A38,#REF!,13,FALSE)&lt;-2),"",#REF!),"")</f>
        <v/>
      </c>
      <c r="P38" t="str">
        <f>IFERROR(IF(OR(HLOOKUP($A38,#REF!,14,FALSE)&gt;2,HLOOKUP($A38,#REF!,14,FALSE)&lt;-2),"",#REF!),"")</f>
        <v/>
      </c>
      <c r="Q38" t="str">
        <f>IFERROR(IF(OR(HLOOKUP($A38,#REF!,15,FALSE)&gt;2,HLOOKUP($A38,#REF!,15,FALSE)&lt;-2),"",#REF!),"")</f>
        <v/>
      </c>
      <c r="R38" t="str">
        <f>IFERROR(IF(OR(HLOOKUP($A38,#REF!,16,FALSE)&gt;2,HLOOKUP($A38,#REF!,16,FALSE)&lt;-2),"",#REF!),"")</f>
        <v/>
      </c>
      <c r="S38" t="str">
        <f>IFERROR(IF(OR(HLOOKUP($A38,#REF!,17,FALSE)&gt;2,HLOOKUP($A38,#REF!,17,FALSE)&lt;-2),"",#REF!),"")</f>
        <v/>
      </c>
      <c r="T38" t="str">
        <f>IFERROR(IF(OR(HLOOKUP($A38,#REF!,18,FALSE)&gt;2,HLOOKUP($A38,#REF!,18,FALSE)&lt;-2),"",#REF!),"")</f>
        <v/>
      </c>
      <c r="U38" t="str">
        <f>IFERROR(IF(OR(HLOOKUP($A38,#REF!,19,FALSE)&gt;2,HLOOKUP($A38,#REF!,19,FALSE)&lt;-2),"",#REF!),"")</f>
        <v/>
      </c>
      <c r="V38">
        <f t="shared" si="0"/>
        <v>1</v>
      </c>
      <c r="W38" t="str">
        <f t="shared" si="1"/>
        <v/>
      </c>
      <c r="X38" t="str">
        <f t="shared" si="2"/>
        <v/>
      </c>
      <c r="Y38" t="str">
        <f t="shared" si="3"/>
        <v/>
      </c>
    </row>
    <row r="39" spans="1:25" x14ac:dyDescent="0.35">
      <c r="A39">
        <v>41</v>
      </c>
      <c r="B39" t="s">
        <v>40</v>
      </c>
      <c r="C39">
        <v>17800</v>
      </c>
      <c r="D39">
        <v>533</v>
      </c>
      <c r="E39" t="str">
        <f>IFERROR(IF(OR(HLOOKUP($A39,#REF!,3,FALSE)&gt;2,HLOOKUP(A39,#REF!,3,FALSE)&lt;-2),"",#REF!),"")</f>
        <v/>
      </c>
      <c r="F39" t="str">
        <f>IFERROR(IF(OR(HLOOKUP($A39,#REF!,4,FALSE)&gt;2,HLOOKUP($A39,#REF!,4,FALSE)&lt;-2),"",#REF!),"")</f>
        <v/>
      </c>
      <c r="G39" t="str">
        <f>IFERROR(IF(OR(HLOOKUP($A39,#REF!,5,FALSE)&gt;2,HLOOKUP($A39,#REF!,5,FALSE)&lt;-2),"",#REF!),"")</f>
        <v/>
      </c>
      <c r="H39" t="str">
        <f>IFERROR(IF(OR(HLOOKUP($A39,#REF!,6,FALSE)&gt;2,HLOOKUP($A39,#REF!,6,FALSE)&lt;-2),"",#REF!),"")</f>
        <v/>
      </c>
      <c r="I39" t="str">
        <f>IFERROR(IF(OR(HLOOKUP($A39,#REF!,7,FALSE)&gt;2,HLOOKUP($A39,#REF!,7,FALSE)&lt;-2),"",#REF!),"")</f>
        <v/>
      </c>
      <c r="J39" t="str">
        <f>IFERROR(IF(OR(HLOOKUP($A39,#REF!,8,FALSE)&gt;2,HLOOKUP($A39,#REF!,8,FALSE)&lt;-2),"",#REF!),"")</f>
        <v/>
      </c>
      <c r="K39" t="str">
        <f>IFERROR(IF(OR(HLOOKUP($A39,#REF!,9,FALSE)&gt;2,HLOOKUP($A39,#REF!,9,FALSE)&lt;-2),"",#REF!),"")</f>
        <v/>
      </c>
      <c r="L39" t="str">
        <f>IFERROR(IF(OR(HLOOKUP($A39,#REF!,10,FALSE)&gt;2,HLOOKUP($A39,#REF!,10,FALSE)&lt;-2),"",#REF!),"")</f>
        <v/>
      </c>
      <c r="M39" t="str">
        <f>IFERROR(IF(OR(HLOOKUP($A39,#REF!,11,FALSE)&gt;2,HLOOKUP($A39,#REF!,11,FALSE)&lt;-2),"",#REF!),"")</f>
        <v/>
      </c>
      <c r="N39" t="str">
        <f>IFERROR(IF(OR(HLOOKUP($A39,#REF!,12,FALSE)&gt;2,HLOOKUP($A39,#REF!,12,FALSE)&lt;-2),"",#REF!),"")</f>
        <v/>
      </c>
      <c r="O39" t="str">
        <f>IFERROR(IF(OR(HLOOKUP($A39,#REF!,13,FALSE)&gt;2,HLOOKUP($A39,#REF!,13,FALSE)&lt;-2),"",#REF!),"")</f>
        <v/>
      </c>
      <c r="P39" t="str">
        <f>IFERROR(IF(OR(HLOOKUP($A39,#REF!,14,FALSE)&gt;2,HLOOKUP($A39,#REF!,14,FALSE)&lt;-2),"",#REF!),"")</f>
        <v/>
      </c>
      <c r="Q39" t="str">
        <f>IFERROR(IF(OR(HLOOKUP($A39,#REF!,15,FALSE)&gt;2,HLOOKUP($A39,#REF!,15,FALSE)&lt;-2),"",#REF!),"")</f>
        <v/>
      </c>
      <c r="R39" t="str">
        <f>IFERROR(IF(OR(HLOOKUP($A39,#REF!,16,FALSE)&gt;2,HLOOKUP($A39,#REF!,16,FALSE)&lt;-2),"",#REF!),"")</f>
        <v/>
      </c>
      <c r="S39" t="str">
        <f>IFERROR(IF(OR(HLOOKUP($A39,#REF!,17,FALSE)&gt;2,HLOOKUP($A39,#REF!,17,FALSE)&lt;-2),"",#REF!),"")</f>
        <v/>
      </c>
      <c r="T39" t="str">
        <f>IFERROR(IF(OR(HLOOKUP($A39,#REF!,18,FALSE)&gt;2,HLOOKUP($A39,#REF!,18,FALSE)&lt;-2),"",#REF!),"")</f>
        <v/>
      </c>
      <c r="U39" t="str">
        <f>IFERROR(IF(OR(HLOOKUP($A39,#REF!,19,FALSE)&gt;2,HLOOKUP($A39,#REF!,19,FALSE)&lt;-2),"",#REF!),"")</f>
        <v/>
      </c>
      <c r="V39">
        <f t="shared" si="0"/>
        <v>1</v>
      </c>
      <c r="W39" t="str">
        <f t="shared" si="1"/>
        <v/>
      </c>
      <c r="X39" t="str">
        <f t="shared" si="2"/>
        <v/>
      </c>
      <c r="Y39" t="str">
        <f t="shared" si="3"/>
        <v/>
      </c>
    </row>
    <row r="40" spans="1:25" x14ac:dyDescent="0.35">
      <c r="A40">
        <v>42</v>
      </c>
      <c r="B40" t="s">
        <v>41</v>
      </c>
      <c r="C40">
        <v>80900</v>
      </c>
      <c r="D40">
        <v>294</v>
      </c>
      <c r="E40" t="str">
        <f>IFERROR(IF(OR(HLOOKUP($A40,#REF!,3,FALSE)&gt;2,HLOOKUP(A40,#REF!,3,FALSE)&lt;-2),"",#REF!),"")</f>
        <v/>
      </c>
      <c r="F40" t="str">
        <f>IFERROR(IF(OR(HLOOKUP($A40,#REF!,4,FALSE)&gt;2,HLOOKUP($A40,#REF!,4,FALSE)&lt;-2),"",#REF!),"")</f>
        <v/>
      </c>
      <c r="G40" t="str">
        <f>IFERROR(IF(OR(HLOOKUP($A40,#REF!,5,FALSE)&gt;2,HLOOKUP($A40,#REF!,5,FALSE)&lt;-2),"",#REF!),"")</f>
        <v/>
      </c>
      <c r="H40" t="str">
        <f>IFERROR(IF(OR(HLOOKUP($A40,#REF!,6,FALSE)&gt;2,HLOOKUP($A40,#REF!,6,FALSE)&lt;-2),"",#REF!),"")</f>
        <v/>
      </c>
      <c r="I40" t="str">
        <f>IFERROR(IF(OR(HLOOKUP($A40,#REF!,7,FALSE)&gt;2,HLOOKUP($A40,#REF!,7,FALSE)&lt;-2),"",#REF!),"")</f>
        <v/>
      </c>
      <c r="J40" t="str">
        <f>IFERROR(IF(OR(HLOOKUP($A40,#REF!,8,FALSE)&gt;2,HLOOKUP($A40,#REF!,8,FALSE)&lt;-2),"",#REF!),"")</f>
        <v/>
      </c>
      <c r="K40" t="str">
        <f>IFERROR(IF(OR(HLOOKUP($A40,#REF!,9,FALSE)&gt;2,HLOOKUP($A40,#REF!,9,FALSE)&lt;-2),"",#REF!),"")</f>
        <v/>
      </c>
      <c r="L40" t="str">
        <f>IFERROR(IF(OR(HLOOKUP($A40,#REF!,10,FALSE)&gt;2,HLOOKUP($A40,#REF!,10,FALSE)&lt;-2),"",#REF!),"")</f>
        <v/>
      </c>
      <c r="M40" t="str">
        <f>IFERROR(IF(OR(HLOOKUP($A40,#REF!,11,FALSE)&gt;2,HLOOKUP($A40,#REF!,11,FALSE)&lt;-2),"",#REF!),"")</f>
        <v/>
      </c>
      <c r="N40" t="str">
        <f>IFERROR(IF(OR(HLOOKUP($A40,#REF!,12,FALSE)&gt;2,HLOOKUP($A40,#REF!,12,FALSE)&lt;-2),"",#REF!),"")</f>
        <v/>
      </c>
      <c r="O40" t="str">
        <f>IFERROR(IF(OR(HLOOKUP($A40,#REF!,13,FALSE)&gt;2,HLOOKUP($A40,#REF!,13,FALSE)&lt;-2),"",#REF!),"")</f>
        <v/>
      </c>
      <c r="P40" t="str">
        <f>IFERROR(IF(OR(HLOOKUP($A40,#REF!,14,FALSE)&gt;2,HLOOKUP($A40,#REF!,14,FALSE)&lt;-2),"",#REF!),"")</f>
        <v/>
      </c>
      <c r="Q40" t="str">
        <f>IFERROR(IF(OR(HLOOKUP($A40,#REF!,15,FALSE)&gt;2,HLOOKUP($A40,#REF!,15,FALSE)&lt;-2),"",#REF!),"")</f>
        <v/>
      </c>
      <c r="R40" t="str">
        <f>IFERROR(IF(OR(HLOOKUP($A40,#REF!,16,FALSE)&gt;2,HLOOKUP($A40,#REF!,16,FALSE)&lt;-2),"",#REF!),"")</f>
        <v/>
      </c>
      <c r="S40" t="str">
        <f>IFERROR(IF(OR(HLOOKUP($A40,#REF!,17,FALSE)&gt;2,HLOOKUP($A40,#REF!,17,FALSE)&lt;-2),"",#REF!),"")</f>
        <v/>
      </c>
      <c r="T40" t="str">
        <f>IFERROR(IF(OR(HLOOKUP($A40,#REF!,18,FALSE)&gt;2,HLOOKUP($A40,#REF!,18,FALSE)&lt;-2),"",#REF!),"")</f>
        <v/>
      </c>
      <c r="U40" t="str">
        <f>IFERROR(IF(OR(HLOOKUP($A40,#REF!,19,FALSE)&gt;2,HLOOKUP($A40,#REF!,19,FALSE)&lt;-2),"",#REF!),"")</f>
        <v/>
      </c>
      <c r="V40">
        <f t="shared" si="0"/>
        <v>1</v>
      </c>
      <c r="W40" t="str">
        <f t="shared" si="1"/>
        <v/>
      </c>
      <c r="X40" t="str">
        <f t="shared" si="2"/>
        <v/>
      </c>
      <c r="Y40" t="str">
        <f t="shared" si="3"/>
        <v/>
      </c>
    </row>
    <row r="41" spans="1:25" x14ac:dyDescent="0.35">
      <c r="A41">
        <v>43</v>
      </c>
      <c r="B41" t="s">
        <v>602</v>
      </c>
      <c r="C41">
        <v>118700</v>
      </c>
      <c r="D41">
        <v>1040</v>
      </c>
      <c r="E41" t="str">
        <f>IFERROR(IF(OR(HLOOKUP($A41,#REF!,3,FALSE)&gt;2,HLOOKUP(A41,#REF!,3,FALSE)&lt;-2),"",#REF!),"")</f>
        <v/>
      </c>
      <c r="F41" t="str">
        <f>IFERROR(IF(OR(HLOOKUP($A41,#REF!,4,FALSE)&gt;2,HLOOKUP($A41,#REF!,4,FALSE)&lt;-2),"",#REF!),"")</f>
        <v/>
      </c>
      <c r="G41" t="str">
        <f>IFERROR(IF(OR(HLOOKUP($A41,#REF!,5,FALSE)&gt;2,HLOOKUP($A41,#REF!,5,FALSE)&lt;-2),"",#REF!),"")</f>
        <v/>
      </c>
      <c r="H41" t="str">
        <f>IFERROR(IF(OR(HLOOKUP($A41,#REF!,6,FALSE)&gt;2,HLOOKUP($A41,#REF!,6,FALSE)&lt;-2),"",#REF!),"")</f>
        <v/>
      </c>
      <c r="I41" t="str">
        <f>IFERROR(IF(OR(HLOOKUP($A41,#REF!,7,FALSE)&gt;2,HLOOKUP($A41,#REF!,7,FALSE)&lt;-2),"",#REF!),"")</f>
        <v/>
      </c>
      <c r="J41" t="str">
        <f>IFERROR(IF(OR(HLOOKUP($A41,#REF!,8,FALSE)&gt;2,HLOOKUP($A41,#REF!,8,FALSE)&lt;-2),"",#REF!),"")</f>
        <v/>
      </c>
      <c r="K41" t="str">
        <f>IFERROR(IF(OR(HLOOKUP($A41,#REF!,9,FALSE)&gt;2,HLOOKUP($A41,#REF!,9,FALSE)&lt;-2),"",#REF!),"")</f>
        <v/>
      </c>
      <c r="L41" t="str">
        <f>IFERROR(IF(OR(HLOOKUP($A41,#REF!,10,FALSE)&gt;2,HLOOKUP($A41,#REF!,10,FALSE)&lt;-2),"",#REF!),"")</f>
        <v/>
      </c>
      <c r="M41" t="str">
        <f>IFERROR(IF(OR(HLOOKUP($A41,#REF!,11,FALSE)&gt;2,HLOOKUP($A41,#REF!,11,FALSE)&lt;-2),"",#REF!),"")</f>
        <v/>
      </c>
      <c r="N41" t="str">
        <f>IFERROR(IF(OR(HLOOKUP($A41,#REF!,12,FALSE)&gt;2,HLOOKUP($A41,#REF!,12,FALSE)&lt;-2),"",#REF!),"")</f>
        <v/>
      </c>
      <c r="O41" t="str">
        <f>IFERROR(IF(OR(HLOOKUP($A41,#REF!,13,FALSE)&gt;2,HLOOKUP($A41,#REF!,13,FALSE)&lt;-2),"",#REF!),"")</f>
        <v/>
      </c>
      <c r="P41" t="str">
        <f>IFERROR(IF(OR(HLOOKUP($A41,#REF!,14,FALSE)&gt;2,HLOOKUP($A41,#REF!,14,FALSE)&lt;-2),"",#REF!),"")</f>
        <v/>
      </c>
      <c r="Q41" t="str">
        <f>IFERROR(IF(OR(HLOOKUP($A41,#REF!,15,FALSE)&gt;2,HLOOKUP($A41,#REF!,15,FALSE)&lt;-2),"",#REF!),"")</f>
        <v/>
      </c>
      <c r="R41" t="str">
        <f>IFERROR(IF(OR(HLOOKUP($A41,#REF!,16,FALSE)&gt;2,HLOOKUP($A41,#REF!,16,FALSE)&lt;-2),"",#REF!),"")</f>
        <v/>
      </c>
      <c r="S41" t="str">
        <f>IFERROR(IF(OR(HLOOKUP($A41,#REF!,17,FALSE)&gt;2,HLOOKUP($A41,#REF!,17,FALSE)&lt;-2),"",#REF!),"")</f>
        <v/>
      </c>
      <c r="T41" t="str">
        <f>IFERROR(IF(OR(HLOOKUP($A41,#REF!,18,FALSE)&gt;2,HLOOKUP($A41,#REF!,18,FALSE)&lt;-2),"",#REF!),"")</f>
        <v/>
      </c>
      <c r="U41" t="str">
        <f>IFERROR(IF(OR(HLOOKUP($A41,#REF!,19,FALSE)&gt;2,HLOOKUP($A41,#REF!,19,FALSE)&lt;-2),"",#REF!),"")</f>
        <v/>
      </c>
      <c r="V41">
        <f t="shared" si="0"/>
        <v>1</v>
      </c>
      <c r="W41" t="str">
        <f t="shared" si="1"/>
        <v/>
      </c>
      <c r="X41" t="str">
        <f t="shared" si="2"/>
        <v/>
      </c>
      <c r="Y41" t="str">
        <f t="shared" si="3"/>
        <v/>
      </c>
    </row>
    <row r="42" spans="1:25" x14ac:dyDescent="0.35">
      <c r="A42">
        <v>44</v>
      </c>
      <c r="B42" t="s">
        <v>42</v>
      </c>
      <c r="C42">
        <v>8400</v>
      </c>
      <c r="D42">
        <v>315</v>
      </c>
      <c r="E42" t="str">
        <f>IFERROR(IF(OR(HLOOKUP($A42,#REF!,3,FALSE)&gt;2,HLOOKUP(A42,#REF!,3,FALSE)&lt;-2),"",#REF!),"")</f>
        <v/>
      </c>
      <c r="F42" t="str">
        <f>IFERROR(IF(OR(HLOOKUP($A42,#REF!,4,FALSE)&gt;2,HLOOKUP($A42,#REF!,4,FALSE)&lt;-2),"",#REF!),"")</f>
        <v/>
      </c>
      <c r="G42" t="str">
        <f>IFERROR(IF(OR(HLOOKUP($A42,#REF!,5,FALSE)&gt;2,HLOOKUP($A42,#REF!,5,FALSE)&lt;-2),"",#REF!),"")</f>
        <v/>
      </c>
      <c r="H42" t="str">
        <f>IFERROR(IF(OR(HLOOKUP($A42,#REF!,6,FALSE)&gt;2,HLOOKUP($A42,#REF!,6,FALSE)&lt;-2),"",#REF!),"")</f>
        <v/>
      </c>
      <c r="I42" t="str">
        <f>IFERROR(IF(OR(HLOOKUP($A42,#REF!,7,FALSE)&gt;2,HLOOKUP($A42,#REF!,7,FALSE)&lt;-2),"",#REF!),"")</f>
        <v/>
      </c>
      <c r="J42" t="str">
        <f>IFERROR(IF(OR(HLOOKUP($A42,#REF!,8,FALSE)&gt;2,HLOOKUP($A42,#REF!,8,FALSE)&lt;-2),"",#REF!),"")</f>
        <v/>
      </c>
      <c r="K42" t="str">
        <f>IFERROR(IF(OR(HLOOKUP($A42,#REF!,9,FALSE)&gt;2,HLOOKUP($A42,#REF!,9,FALSE)&lt;-2),"",#REF!),"")</f>
        <v/>
      </c>
      <c r="L42" t="str">
        <f>IFERROR(IF(OR(HLOOKUP($A42,#REF!,10,FALSE)&gt;2,HLOOKUP($A42,#REF!,10,FALSE)&lt;-2),"",#REF!),"")</f>
        <v/>
      </c>
      <c r="M42" t="str">
        <f>IFERROR(IF(OR(HLOOKUP($A42,#REF!,11,FALSE)&gt;2,HLOOKUP($A42,#REF!,11,FALSE)&lt;-2),"",#REF!),"")</f>
        <v/>
      </c>
      <c r="N42" t="str">
        <f>IFERROR(IF(OR(HLOOKUP($A42,#REF!,12,FALSE)&gt;2,HLOOKUP($A42,#REF!,12,FALSE)&lt;-2),"",#REF!),"")</f>
        <v/>
      </c>
      <c r="O42" t="str">
        <f>IFERROR(IF(OR(HLOOKUP($A42,#REF!,13,FALSE)&gt;2,HLOOKUP($A42,#REF!,13,FALSE)&lt;-2),"",#REF!),"")</f>
        <v/>
      </c>
      <c r="P42" t="str">
        <f>IFERROR(IF(OR(HLOOKUP($A42,#REF!,14,FALSE)&gt;2,HLOOKUP($A42,#REF!,14,FALSE)&lt;-2),"",#REF!),"")</f>
        <v/>
      </c>
      <c r="Q42" t="str">
        <f>IFERROR(IF(OR(HLOOKUP($A42,#REF!,15,FALSE)&gt;2,HLOOKUP($A42,#REF!,15,FALSE)&lt;-2),"",#REF!),"")</f>
        <v/>
      </c>
      <c r="R42" t="str">
        <f>IFERROR(IF(OR(HLOOKUP($A42,#REF!,16,FALSE)&gt;2,HLOOKUP($A42,#REF!,16,FALSE)&lt;-2),"",#REF!),"")</f>
        <v/>
      </c>
      <c r="S42" t="str">
        <f>IFERROR(IF(OR(HLOOKUP($A42,#REF!,17,FALSE)&gt;2,HLOOKUP($A42,#REF!,17,FALSE)&lt;-2),"",#REF!),"")</f>
        <v/>
      </c>
      <c r="T42" t="str">
        <f>IFERROR(IF(OR(HLOOKUP($A42,#REF!,18,FALSE)&gt;2,HLOOKUP($A42,#REF!,18,FALSE)&lt;-2),"",#REF!),"")</f>
        <v/>
      </c>
      <c r="U42" t="str">
        <f>IFERROR(IF(OR(HLOOKUP($A42,#REF!,19,FALSE)&gt;2,HLOOKUP($A42,#REF!,19,FALSE)&lt;-2),"",#REF!),"")</f>
        <v/>
      </c>
      <c r="V42">
        <f t="shared" si="0"/>
        <v>1</v>
      </c>
      <c r="W42" t="str">
        <f t="shared" si="1"/>
        <v/>
      </c>
      <c r="X42" t="str">
        <f t="shared" si="2"/>
        <v/>
      </c>
      <c r="Y42" t="str">
        <f t="shared" si="3"/>
        <v/>
      </c>
    </row>
    <row r="43" spans="1:25" x14ac:dyDescent="0.35">
      <c r="A43">
        <v>45</v>
      </c>
      <c r="B43" t="s">
        <v>603</v>
      </c>
      <c r="C43">
        <v>91900</v>
      </c>
      <c r="D43">
        <v>445</v>
      </c>
      <c r="E43" t="str">
        <f>IFERROR(IF(OR(HLOOKUP($A43,#REF!,3,FALSE)&gt;2,HLOOKUP(A43,#REF!,3,FALSE)&lt;-2),"",#REF!),"")</f>
        <v/>
      </c>
      <c r="F43" t="str">
        <f>IFERROR(IF(OR(HLOOKUP($A43,#REF!,4,FALSE)&gt;2,HLOOKUP($A43,#REF!,4,FALSE)&lt;-2),"",#REF!),"")</f>
        <v/>
      </c>
      <c r="G43" t="str">
        <f>IFERROR(IF(OR(HLOOKUP($A43,#REF!,5,FALSE)&gt;2,HLOOKUP($A43,#REF!,5,FALSE)&lt;-2),"",#REF!),"")</f>
        <v/>
      </c>
      <c r="H43" t="str">
        <f>IFERROR(IF(OR(HLOOKUP($A43,#REF!,6,FALSE)&gt;2,HLOOKUP($A43,#REF!,6,FALSE)&lt;-2),"",#REF!),"")</f>
        <v/>
      </c>
      <c r="I43" t="str">
        <f>IFERROR(IF(OR(HLOOKUP($A43,#REF!,7,FALSE)&gt;2,HLOOKUP($A43,#REF!,7,FALSE)&lt;-2),"",#REF!),"")</f>
        <v/>
      </c>
      <c r="J43" t="str">
        <f>IFERROR(IF(OR(HLOOKUP($A43,#REF!,8,FALSE)&gt;2,HLOOKUP($A43,#REF!,8,FALSE)&lt;-2),"",#REF!),"")</f>
        <v/>
      </c>
      <c r="K43" t="str">
        <f>IFERROR(IF(OR(HLOOKUP($A43,#REF!,9,FALSE)&gt;2,HLOOKUP($A43,#REF!,9,FALSE)&lt;-2),"",#REF!),"")</f>
        <v/>
      </c>
      <c r="L43" t="str">
        <f>IFERROR(IF(OR(HLOOKUP($A43,#REF!,10,FALSE)&gt;2,HLOOKUP($A43,#REF!,10,FALSE)&lt;-2),"",#REF!),"")</f>
        <v/>
      </c>
      <c r="M43" t="str">
        <f>IFERROR(IF(OR(HLOOKUP($A43,#REF!,11,FALSE)&gt;2,HLOOKUP($A43,#REF!,11,FALSE)&lt;-2),"",#REF!),"")</f>
        <v/>
      </c>
      <c r="N43" t="str">
        <f>IFERROR(IF(OR(HLOOKUP($A43,#REF!,12,FALSE)&gt;2,HLOOKUP($A43,#REF!,12,FALSE)&lt;-2),"",#REF!),"")</f>
        <v/>
      </c>
      <c r="O43" t="str">
        <f>IFERROR(IF(OR(HLOOKUP($A43,#REF!,13,FALSE)&gt;2,HLOOKUP($A43,#REF!,13,FALSE)&lt;-2),"",#REF!),"")</f>
        <v/>
      </c>
      <c r="P43" t="str">
        <f>IFERROR(IF(OR(HLOOKUP($A43,#REF!,14,FALSE)&gt;2,HLOOKUP($A43,#REF!,14,FALSE)&lt;-2),"",#REF!),"")</f>
        <v/>
      </c>
      <c r="Q43" t="str">
        <f>IFERROR(IF(OR(HLOOKUP($A43,#REF!,15,FALSE)&gt;2,HLOOKUP($A43,#REF!,15,FALSE)&lt;-2),"",#REF!),"")</f>
        <v/>
      </c>
      <c r="R43" t="str">
        <f>IFERROR(IF(OR(HLOOKUP($A43,#REF!,16,FALSE)&gt;2,HLOOKUP($A43,#REF!,16,FALSE)&lt;-2),"",#REF!),"")</f>
        <v/>
      </c>
      <c r="S43" t="str">
        <f>IFERROR(IF(OR(HLOOKUP($A43,#REF!,17,FALSE)&gt;2,HLOOKUP($A43,#REF!,17,FALSE)&lt;-2),"",#REF!),"")</f>
        <v/>
      </c>
      <c r="T43" t="str">
        <f>IFERROR(IF(OR(HLOOKUP($A43,#REF!,18,FALSE)&gt;2,HLOOKUP($A43,#REF!,18,FALSE)&lt;-2),"",#REF!),"")</f>
        <v/>
      </c>
      <c r="U43" t="str">
        <f>IFERROR(IF(OR(HLOOKUP($A43,#REF!,19,FALSE)&gt;2,HLOOKUP($A43,#REF!,19,FALSE)&lt;-2),"",#REF!),"")</f>
        <v/>
      </c>
      <c r="V43">
        <f t="shared" si="0"/>
        <v>1</v>
      </c>
      <c r="W43" t="str">
        <f t="shared" si="1"/>
        <v/>
      </c>
      <c r="X43" t="str">
        <f t="shared" si="2"/>
        <v/>
      </c>
      <c r="Y43" t="str">
        <f t="shared" si="3"/>
        <v/>
      </c>
    </row>
    <row r="44" spans="1:25" x14ac:dyDescent="0.35">
      <c r="A44">
        <v>46</v>
      </c>
      <c r="B44" t="s">
        <v>604</v>
      </c>
      <c r="C44">
        <v>114300</v>
      </c>
      <c r="D44">
        <v>824</v>
      </c>
      <c r="E44" t="str">
        <f>IFERROR(IF(OR(HLOOKUP($A44,#REF!,3,FALSE)&gt;2,HLOOKUP(A44,#REF!,3,FALSE)&lt;-2),"",#REF!),"")</f>
        <v/>
      </c>
      <c r="F44" t="str">
        <f>IFERROR(IF(OR(HLOOKUP($A44,#REF!,4,FALSE)&gt;2,HLOOKUP($A44,#REF!,4,FALSE)&lt;-2),"",#REF!),"")</f>
        <v/>
      </c>
      <c r="G44" t="str">
        <f>IFERROR(IF(OR(HLOOKUP($A44,#REF!,5,FALSE)&gt;2,HLOOKUP($A44,#REF!,5,FALSE)&lt;-2),"",#REF!),"")</f>
        <v/>
      </c>
      <c r="H44" t="str">
        <f>IFERROR(IF(OR(HLOOKUP($A44,#REF!,6,FALSE)&gt;2,HLOOKUP($A44,#REF!,6,FALSE)&lt;-2),"",#REF!),"")</f>
        <v/>
      </c>
      <c r="I44" t="str">
        <f>IFERROR(IF(OR(HLOOKUP($A44,#REF!,7,FALSE)&gt;2,HLOOKUP($A44,#REF!,7,FALSE)&lt;-2),"",#REF!),"")</f>
        <v/>
      </c>
      <c r="J44" t="str">
        <f>IFERROR(IF(OR(HLOOKUP($A44,#REF!,8,FALSE)&gt;2,HLOOKUP($A44,#REF!,8,FALSE)&lt;-2),"",#REF!),"")</f>
        <v/>
      </c>
      <c r="K44" t="str">
        <f>IFERROR(IF(OR(HLOOKUP($A44,#REF!,9,FALSE)&gt;2,HLOOKUP($A44,#REF!,9,FALSE)&lt;-2),"",#REF!),"")</f>
        <v/>
      </c>
      <c r="L44" t="str">
        <f>IFERROR(IF(OR(HLOOKUP($A44,#REF!,10,FALSE)&gt;2,HLOOKUP($A44,#REF!,10,FALSE)&lt;-2),"",#REF!),"")</f>
        <v/>
      </c>
      <c r="M44" t="str">
        <f>IFERROR(IF(OR(HLOOKUP($A44,#REF!,11,FALSE)&gt;2,HLOOKUP($A44,#REF!,11,FALSE)&lt;-2),"",#REF!),"")</f>
        <v/>
      </c>
      <c r="N44" t="str">
        <f>IFERROR(IF(OR(HLOOKUP($A44,#REF!,12,FALSE)&gt;2,HLOOKUP($A44,#REF!,12,FALSE)&lt;-2),"",#REF!),"")</f>
        <v/>
      </c>
      <c r="O44" t="str">
        <f>IFERROR(IF(OR(HLOOKUP($A44,#REF!,13,FALSE)&gt;2,HLOOKUP($A44,#REF!,13,FALSE)&lt;-2),"",#REF!),"")</f>
        <v/>
      </c>
      <c r="P44" t="str">
        <f>IFERROR(IF(OR(HLOOKUP($A44,#REF!,14,FALSE)&gt;2,HLOOKUP($A44,#REF!,14,FALSE)&lt;-2),"",#REF!),"")</f>
        <v/>
      </c>
      <c r="Q44" t="str">
        <f>IFERROR(IF(OR(HLOOKUP($A44,#REF!,15,FALSE)&gt;2,HLOOKUP($A44,#REF!,15,FALSE)&lt;-2),"",#REF!),"")</f>
        <v/>
      </c>
      <c r="R44" t="str">
        <f>IFERROR(IF(OR(HLOOKUP($A44,#REF!,16,FALSE)&gt;2,HLOOKUP($A44,#REF!,16,FALSE)&lt;-2),"",#REF!),"")</f>
        <v/>
      </c>
      <c r="S44" t="str">
        <f>IFERROR(IF(OR(HLOOKUP($A44,#REF!,17,FALSE)&gt;2,HLOOKUP($A44,#REF!,17,FALSE)&lt;-2),"",#REF!),"")</f>
        <v/>
      </c>
      <c r="T44" t="str">
        <f>IFERROR(IF(OR(HLOOKUP($A44,#REF!,18,FALSE)&gt;2,HLOOKUP($A44,#REF!,18,FALSE)&lt;-2),"",#REF!),"")</f>
        <v/>
      </c>
      <c r="U44" t="str">
        <f>IFERROR(IF(OR(HLOOKUP($A44,#REF!,19,FALSE)&gt;2,HLOOKUP($A44,#REF!,19,FALSE)&lt;-2),"",#REF!),"")</f>
        <v/>
      </c>
      <c r="V44">
        <f t="shared" si="0"/>
        <v>1</v>
      </c>
      <c r="W44" t="str">
        <f t="shared" si="1"/>
        <v/>
      </c>
      <c r="X44" t="str">
        <f t="shared" si="2"/>
        <v/>
      </c>
      <c r="Y44" t="str">
        <f t="shared" si="3"/>
        <v/>
      </c>
    </row>
    <row r="45" spans="1:25" x14ac:dyDescent="0.35">
      <c r="A45">
        <v>47</v>
      </c>
      <c r="B45" t="s">
        <v>605</v>
      </c>
      <c r="C45">
        <v>70700</v>
      </c>
      <c r="D45">
        <v>71</v>
      </c>
      <c r="E45" t="str">
        <f>IFERROR(IF(OR(HLOOKUP($A45,#REF!,3,FALSE)&gt;2,HLOOKUP(A45,#REF!,3,FALSE)&lt;-2),"",#REF!),"")</f>
        <v/>
      </c>
      <c r="F45" t="str">
        <f>IFERROR(IF(OR(HLOOKUP($A45,#REF!,4,FALSE)&gt;2,HLOOKUP($A45,#REF!,4,FALSE)&lt;-2),"",#REF!),"")</f>
        <v/>
      </c>
      <c r="G45" t="str">
        <f>IFERROR(IF(OR(HLOOKUP($A45,#REF!,5,FALSE)&gt;2,HLOOKUP($A45,#REF!,5,FALSE)&lt;-2),"",#REF!),"")</f>
        <v/>
      </c>
      <c r="H45" t="str">
        <f>IFERROR(IF(OR(HLOOKUP($A45,#REF!,6,FALSE)&gt;2,HLOOKUP($A45,#REF!,6,FALSE)&lt;-2),"",#REF!),"")</f>
        <v/>
      </c>
      <c r="I45" t="str">
        <f>IFERROR(IF(OR(HLOOKUP($A45,#REF!,7,FALSE)&gt;2,HLOOKUP($A45,#REF!,7,FALSE)&lt;-2),"",#REF!),"")</f>
        <v/>
      </c>
      <c r="J45" t="str">
        <f>IFERROR(IF(OR(HLOOKUP($A45,#REF!,8,FALSE)&gt;2,HLOOKUP($A45,#REF!,8,FALSE)&lt;-2),"",#REF!),"")</f>
        <v/>
      </c>
      <c r="K45" t="str">
        <f>IFERROR(IF(OR(HLOOKUP($A45,#REF!,9,FALSE)&gt;2,HLOOKUP($A45,#REF!,9,FALSE)&lt;-2),"",#REF!),"")</f>
        <v/>
      </c>
      <c r="L45" t="str">
        <f>IFERROR(IF(OR(HLOOKUP($A45,#REF!,10,FALSE)&gt;2,HLOOKUP($A45,#REF!,10,FALSE)&lt;-2),"",#REF!),"")</f>
        <v/>
      </c>
      <c r="M45" t="str">
        <f>IFERROR(IF(OR(HLOOKUP($A45,#REF!,11,FALSE)&gt;2,HLOOKUP($A45,#REF!,11,FALSE)&lt;-2),"",#REF!),"")</f>
        <v/>
      </c>
      <c r="N45" t="str">
        <f>IFERROR(IF(OR(HLOOKUP($A45,#REF!,12,FALSE)&gt;2,HLOOKUP($A45,#REF!,12,FALSE)&lt;-2),"",#REF!),"")</f>
        <v/>
      </c>
      <c r="O45" t="str">
        <f>IFERROR(IF(OR(HLOOKUP($A45,#REF!,13,FALSE)&gt;2,HLOOKUP($A45,#REF!,13,FALSE)&lt;-2),"",#REF!),"")</f>
        <v/>
      </c>
      <c r="P45" t="str">
        <f>IFERROR(IF(OR(HLOOKUP($A45,#REF!,14,FALSE)&gt;2,HLOOKUP($A45,#REF!,14,FALSE)&lt;-2),"",#REF!),"")</f>
        <v/>
      </c>
      <c r="Q45" t="str">
        <f>IFERROR(IF(OR(HLOOKUP($A45,#REF!,15,FALSE)&gt;2,HLOOKUP($A45,#REF!,15,FALSE)&lt;-2),"",#REF!),"")</f>
        <v/>
      </c>
      <c r="R45" t="str">
        <f>IFERROR(IF(OR(HLOOKUP($A45,#REF!,16,FALSE)&gt;2,HLOOKUP($A45,#REF!,16,FALSE)&lt;-2),"",#REF!),"")</f>
        <v/>
      </c>
      <c r="S45" t="str">
        <f>IFERROR(IF(OR(HLOOKUP($A45,#REF!,17,FALSE)&gt;2,HLOOKUP($A45,#REF!,17,FALSE)&lt;-2),"",#REF!),"")</f>
        <v/>
      </c>
      <c r="T45" t="str">
        <f>IFERROR(IF(OR(HLOOKUP($A45,#REF!,18,FALSE)&gt;2,HLOOKUP($A45,#REF!,18,FALSE)&lt;-2),"",#REF!),"")</f>
        <v/>
      </c>
      <c r="U45" t="str">
        <f>IFERROR(IF(OR(HLOOKUP($A45,#REF!,19,FALSE)&gt;2,HLOOKUP($A45,#REF!,19,FALSE)&lt;-2),"",#REF!),"")</f>
        <v/>
      </c>
      <c r="V45">
        <f t="shared" si="0"/>
        <v>1</v>
      </c>
      <c r="W45" t="str">
        <f t="shared" si="1"/>
        <v/>
      </c>
      <c r="X45" t="str">
        <f t="shared" si="2"/>
        <v/>
      </c>
      <c r="Y45" t="str">
        <f t="shared" si="3"/>
        <v/>
      </c>
    </row>
    <row r="46" spans="1:25" x14ac:dyDescent="0.35">
      <c r="A46">
        <v>48</v>
      </c>
      <c r="B46" t="s">
        <v>606</v>
      </c>
      <c r="C46">
        <v>19500</v>
      </c>
      <c r="D46">
        <v>31</v>
      </c>
      <c r="E46" t="str">
        <f>IFERROR(IF(OR(HLOOKUP($A46,#REF!,3,FALSE)&gt;2,HLOOKUP(A46,#REF!,3,FALSE)&lt;-2),"",#REF!),"")</f>
        <v/>
      </c>
      <c r="F46" t="str">
        <f>IFERROR(IF(OR(HLOOKUP($A46,#REF!,4,FALSE)&gt;2,HLOOKUP($A46,#REF!,4,FALSE)&lt;-2),"",#REF!),"")</f>
        <v/>
      </c>
      <c r="G46" t="str">
        <f>IFERROR(IF(OR(HLOOKUP($A46,#REF!,5,FALSE)&gt;2,HLOOKUP($A46,#REF!,5,FALSE)&lt;-2),"",#REF!),"")</f>
        <v/>
      </c>
      <c r="H46" t="str">
        <f>IFERROR(IF(OR(HLOOKUP($A46,#REF!,6,FALSE)&gt;2,HLOOKUP($A46,#REF!,6,FALSE)&lt;-2),"",#REF!),"")</f>
        <v/>
      </c>
      <c r="I46" t="str">
        <f>IFERROR(IF(OR(HLOOKUP($A46,#REF!,7,FALSE)&gt;2,HLOOKUP($A46,#REF!,7,FALSE)&lt;-2),"",#REF!),"")</f>
        <v/>
      </c>
      <c r="J46" t="str">
        <f>IFERROR(IF(OR(HLOOKUP($A46,#REF!,8,FALSE)&gt;2,HLOOKUP($A46,#REF!,8,FALSE)&lt;-2),"",#REF!),"")</f>
        <v/>
      </c>
      <c r="K46" t="str">
        <f>IFERROR(IF(OR(HLOOKUP($A46,#REF!,9,FALSE)&gt;2,HLOOKUP($A46,#REF!,9,FALSE)&lt;-2),"",#REF!),"")</f>
        <v/>
      </c>
      <c r="L46" t="str">
        <f>IFERROR(IF(OR(HLOOKUP($A46,#REF!,10,FALSE)&gt;2,HLOOKUP($A46,#REF!,10,FALSE)&lt;-2),"",#REF!),"")</f>
        <v/>
      </c>
      <c r="M46" t="str">
        <f>IFERROR(IF(OR(HLOOKUP($A46,#REF!,11,FALSE)&gt;2,HLOOKUP($A46,#REF!,11,FALSE)&lt;-2),"",#REF!),"")</f>
        <v/>
      </c>
      <c r="N46" t="str">
        <f>IFERROR(IF(OR(HLOOKUP($A46,#REF!,12,FALSE)&gt;2,HLOOKUP($A46,#REF!,12,FALSE)&lt;-2),"",#REF!),"")</f>
        <v/>
      </c>
      <c r="O46" t="str">
        <f>IFERROR(IF(OR(HLOOKUP($A46,#REF!,13,FALSE)&gt;2,HLOOKUP($A46,#REF!,13,FALSE)&lt;-2),"",#REF!),"")</f>
        <v/>
      </c>
      <c r="P46" t="str">
        <f>IFERROR(IF(OR(HLOOKUP($A46,#REF!,14,FALSE)&gt;2,HLOOKUP($A46,#REF!,14,FALSE)&lt;-2),"",#REF!),"")</f>
        <v/>
      </c>
      <c r="Q46" t="str">
        <f>IFERROR(IF(OR(HLOOKUP($A46,#REF!,15,FALSE)&gt;2,HLOOKUP($A46,#REF!,15,FALSE)&lt;-2),"",#REF!),"")</f>
        <v/>
      </c>
      <c r="R46" t="str">
        <f>IFERROR(IF(OR(HLOOKUP($A46,#REF!,16,FALSE)&gt;2,HLOOKUP($A46,#REF!,16,FALSE)&lt;-2),"",#REF!),"")</f>
        <v/>
      </c>
      <c r="S46" t="str">
        <f>IFERROR(IF(OR(HLOOKUP($A46,#REF!,17,FALSE)&gt;2,HLOOKUP($A46,#REF!,17,FALSE)&lt;-2),"",#REF!),"")</f>
        <v/>
      </c>
      <c r="T46" t="str">
        <f>IFERROR(IF(OR(HLOOKUP($A46,#REF!,18,FALSE)&gt;2,HLOOKUP($A46,#REF!,18,FALSE)&lt;-2),"",#REF!),"")</f>
        <v/>
      </c>
      <c r="U46" t="str">
        <f>IFERROR(IF(OR(HLOOKUP($A46,#REF!,19,FALSE)&gt;2,HLOOKUP($A46,#REF!,19,FALSE)&lt;-2),"",#REF!),"")</f>
        <v/>
      </c>
      <c r="V46">
        <f t="shared" si="0"/>
        <v>1</v>
      </c>
      <c r="W46" t="str">
        <f t="shared" si="1"/>
        <v/>
      </c>
      <c r="X46" t="str">
        <f t="shared" si="2"/>
        <v/>
      </c>
      <c r="Y46" t="str">
        <f t="shared" si="3"/>
        <v/>
      </c>
    </row>
    <row r="47" spans="1:25" x14ac:dyDescent="0.35">
      <c r="A47">
        <v>49</v>
      </c>
      <c r="B47" t="s">
        <v>607</v>
      </c>
      <c r="C47">
        <v>118800</v>
      </c>
      <c r="D47">
        <v>1040</v>
      </c>
      <c r="E47" t="str">
        <f>IFERROR(IF(OR(HLOOKUP($A47,#REF!,3,FALSE)&gt;2,HLOOKUP(A47,#REF!,3,FALSE)&lt;-2),"",#REF!),"")</f>
        <v/>
      </c>
      <c r="F47" t="str">
        <f>IFERROR(IF(OR(HLOOKUP($A47,#REF!,4,FALSE)&gt;2,HLOOKUP($A47,#REF!,4,FALSE)&lt;-2),"",#REF!),"")</f>
        <v/>
      </c>
      <c r="G47" t="str">
        <f>IFERROR(IF(OR(HLOOKUP($A47,#REF!,5,FALSE)&gt;2,HLOOKUP($A47,#REF!,5,FALSE)&lt;-2),"",#REF!),"")</f>
        <v/>
      </c>
      <c r="H47" t="str">
        <f>IFERROR(IF(OR(HLOOKUP($A47,#REF!,6,FALSE)&gt;2,HLOOKUP($A47,#REF!,6,FALSE)&lt;-2),"",#REF!),"")</f>
        <v/>
      </c>
      <c r="I47" t="str">
        <f>IFERROR(IF(OR(HLOOKUP($A47,#REF!,7,FALSE)&gt;2,HLOOKUP($A47,#REF!,7,FALSE)&lt;-2),"",#REF!),"")</f>
        <v/>
      </c>
      <c r="J47" t="str">
        <f>IFERROR(IF(OR(HLOOKUP($A47,#REF!,8,FALSE)&gt;2,HLOOKUP($A47,#REF!,8,FALSE)&lt;-2),"",#REF!),"")</f>
        <v/>
      </c>
      <c r="K47" t="str">
        <f>IFERROR(IF(OR(HLOOKUP($A47,#REF!,9,FALSE)&gt;2,HLOOKUP($A47,#REF!,9,FALSE)&lt;-2),"",#REF!),"")</f>
        <v/>
      </c>
      <c r="L47" t="str">
        <f>IFERROR(IF(OR(HLOOKUP($A47,#REF!,10,FALSE)&gt;2,HLOOKUP($A47,#REF!,10,FALSE)&lt;-2),"",#REF!),"")</f>
        <v/>
      </c>
      <c r="M47" t="str">
        <f>IFERROR(IF(OR(HLOOKUP($A47,#REF!,11,FALSE)&gt;2,HLOOKUP($A47,#REF!,11,FALSE)&lt;-2),"",#REF!),"")</f>
        <v/>
      </c>
      <c r="N47" t="str">
        <f>IFERROR(IF(OR(HLOOKUP($A47,#REF!,12,FALSE)&gt;2,HLOOKUP($A47,#REF!,12,FALSE)&lt;-2),"",#REF!),"")</f>
        <v/>
      </c>
      <c r="O47" t="str">
        <f>IFERROR(IF(OR(HLOOKUP($A47,#REF!,13,FALSE)&gt;2,HLOOKUP($A47,#REF!,13,FALSE)&lt;-2),"",#REF!),"")</f>
        <v/>
      </c>
      <c r="P47" t="str">
        <f>IFERROR(IF(OR(HLOOKUP($A47,#REF!,14,FALSE)&gt;2,HLOOKUP($A47,#REF!,14,FALSE)&lt;-2),"",#REF!),"")</f>
        <v/>
      </c>
      <c r="Q47" t="str">
        <f>IFERROR(IF(OR(HLOOKUP($A47,#REF!,15,FALSE)&gt;2,HLOOKUP($A47,#REF!,15,FALSE)&lt;-2),"",#REF!),"")</f>
        <v/>
      </c>
      <c r="R47" t="str">
        <f>IFERROR(IF(OR(HLOOKUP($A47,#REF!,16,FALSE)&gt;2,HLOOKUP($A47,#REF!,16,FALSE)&lt;-2),"",#REF!),"")</f>
        <v/>
      </c>
      <c r="S47" t="str">
        <f>IFERROR(IF(OR(HLOOKUP($A47,#REF!,17,FALSE)&gt;2,HLOOKUP($A47,#REF!,17,FALSE)&lt;-2),"",#REF!),"")</f>
        <v/>
      </c>
      <c r="T47" t="str">
        <f>IFERROR(IF(OR(HLOOKUP($A47,#REF!,18,FALSE)&gt;2,HLOOKUP($A47,#REF!,18,FALSE)&lt;-2),"",#REF!),"")</f>
        <v/>
      </c>
      <c r="U47" t="str">
        <f>IFERROR(IF(OR(HLOOKUP($A47,#REF!,19,FALSE)&gt;2,HLOOKUP($A47,#REF!,19,FALSE)&lt;-2),"",#REF!),"")</f>
        <v/>
      </c>
      <c r="V47">
        <f t="shared" si="0"/>
        <v>1</v>
      </c>
      <c r="W47" t="str">
        <f t="shared" si="1"/>
        <v/>
      </c>
      <c r="X47" t="str">
        <f t="shared" si="2"/>
        <v/>
      </c>
      <c r="Y47" t="str">
        <f t="shared" si="3"/>
        <v/>
      </c>
    </row>
    <row r="48" spans="1:25" x14ac:dyDescent="0.35">
      <c r="A48">
        <v>50</v>
      </c>
      <c r="B48" t="s">
        <v>43</v>
      </c>
      <c r="C48">
        <v>81600</v>
      </c>
      <c r="D48">
        <v>795</v>
      </c>
      <c r="E48" t="str">
        <f>IFERROR(IF(OR(HLOOKUP($A48,#REF!,3,FALSE)&gt;2,HLOOKUP(A48,#REF!,3,FALSE)&lt;-2),"",#REF!),"")</f>
        <v/>
      </c>
      <c r="F48" t="str">
        <f>IFERROR(IF(OR(HLOOKUP($A48,#REF!,4,FALSE)&gt;2,HLOOKUP($A48,#REF!,4,FALSE)&lt;-2),"",#REF!),"")</f>
        <v/>
      </c>
      <c r="G48" t="str">
        <f>IFERROR(IF(OR(HLOOKUP($A48,#REF!,5,FALSE)&gt;2,HLOOKUP($A48,#REF!,5,FALSE)&lt;-2),"",#REF!),"")</f>
        <v/>
      </c>
      <c r="H48" t="str">
        <f>IFERROR(IF(OR(HLOOKUP($A48,#REF!,6,FALSE)&gt;2,HLOOKUP($A48,#REF!,6,FALSE)&lt;-2),"",#REF!),"")</f>
        <v/>
      </c>
      <c r="I48" t="str">
        <f>IFERROR(IF(OR(HLOOKUP($A48,#REF!,7,FALSE)&gt;2,HLOOKUP($A48,#REF!,7,FALSE)&lt;-2),"",#REF!),"")</f>
        <v/>
      </c>
      <c r="J48" t="str">
        <f>IFERROR(IF(OR(HLOOKUP($A48,#REF!,8,FALSE)&gt;2,HLOOKUP($A48,#REF!,8,FALSE)&lt;-2),"",#REF!),"")</f>
        <v/>
      </c>
      <c r="K48" t="str">
        <f>IFERROR(IF(OR(HLOOKUP($A48,#REF!,9,FALSE)&gt;2,HLOOKUP($A48,#REF!,9,FALSE)&lt;-2),"",#REF!),"")</f>
        <v/>
      </c>
      <c r="L48" t="str">
        <f>IFERROR(IF(OR(HLOOKUP($A48,#REF!,10,FALSE)&gt;2,HLOOKUP($A48,#REF!,10,FALSE)&lt;-2),"",#REF!),"")</f>
        <v/>
      </c>
      <c r="M48" t="str">
        <f>IFERROR(IF(OR(HLOOKUP($A48,#REF!,11,FALSE)&gt;2,HLOOKUP($A48,#REF!,11,FALSE)&lt;-2),"",#REF!),"")</f>
        <v/>
      </c>
      <c r="N48" t="str">
        <f>IFERROR(IF(OR(HLOOKUP($A48,#REF!,12,FALSE)&gt;2,HLOOKUP($A48,#REF!,12,FALSE)&lt;-2),"",#REF!),"")</f>
        <v/>
      </c>
      <c r="O48" t="str">
        <f>IFERROR(IF(OR(HLOOKUP($A48,#REF!,13,FALSE)&gt;2,HLOOKUP($A48,#REF!,13,FALSE)&lt;-2),"",#REF!),"")</f>
        <v/>
      </c>
      <c r="P48" t="str">
        <f>IFERROR(IF(OR(HLOOKUP($A48,#REF!,14,FALSE)&gt;2,HLOOKUP($A48,#REF!,14,FALSE)&lt;-2),"",#REF!),"")</f>
        <v/>
      </c>
      <c r="Q48" t="str">
        <f>IFERROR(IF(OR(HLOOKUP($A48,#REF!,15,FALSE)&gt;2,HLOOKUP($A48,#REF!,15,FALSE)&lt;-2),"",#REF!),"")</f>
        <v/>
      </c>
      <c r="R48" t="str">
        <f>IFERROR(IF(OR(HLOOKUP($A48,#REF!,16,FALSE)&gt;2,HLOOKUP($A48,#REF!,16,FALSE)&lt;-2),"",#REF!),"")</f>
        <v/>
      </c>
      <c r="S48" t="str">
        <f>IFERROR(IF(OR(HLOOKUP($A48,#REF!,17,FALSE)&gt;2,HLOOKUP($A48,#REF!,17,FALSE)&lt;-2),"",#REF!),"")</f>
        <v/>
      </c>
      <c r="T48" t="str">
        <f>IFERROR(IF(OR(HLOOKUP($A48,#REF!,18,FALSE)&gt;2,HLOOKUP($A48,#REF!,18,FALSE)&lt;-2),"",#REF!),"")</f>
        <v/>
      </c>
      <c r="U48" t="str">
        <f>IFERROR(IF(OR(HLOOKUP($A48,#REF!,19,FALSE)&gt;2,HLOOKUP($A48,#REF!,19,FALSE)&lt;-2),"",#REF!),"")</f>
        <v/>
      </c>
      <c r="V48">
        <f t="shared" si="0"/>
        <v>1</v>
      </c>
      <c r="W48" t="str">
        <f t="shared" si="1"/>
        <v/>
      </c>
      <c r="X48" t="str">
        <f t="shared" si="2"/>
        <v/>
      </c>
      <c r="Y48" t="str">
        <f t="shared" si="3"/>
        <v/>
      </c>
    </row>
    <row r="49" spans="1:25" x14ac:dyDescent="0.35">
      <c r="A49">
        <v>51</v>
      </c>
      <c r="B49" t="s">
        <v>608</v>
      </c>
      <c r="C49">
        <v>68300</v>
      </c>
      <c r="D49">
        <v>856</v>
      </c>
      <c r="E49" t="str">
        <f>IFERROR(IF(OR(HLOOKUP($A49,#REF!,3,FALSE)&gt;2,HLOOKUP(A49,#REF!,3,FALSE)&lt;-2),"",#REF!),"")</f>
        <v/>
      </c>
      <c r="F49" t="str">
        <f>IFERROR(IF(OR(HLOOKUP($A49,#REF!,4,FALSE)&gt;2,HLOOKUP($A49,#REF!,4,FALSE)&lt;-2),"",#REF!),"")</f>
        <v/>
      </c>
      <c r="G49" t="str">
        <f>IFERROR(IF(OR(HLOOKUP($A49,#REF!,5,FALSE)&gt;2,HLOOKUP($A49,#REF!,5,FALSE)&lt;-2),"",#REF!),"")</f>
        <v/>
      </c>
      <c r="H49" t="str">
        <f>IFERROR(IF(OR(HLOOKUP($A49,#REF!,6,FALSE)&gt;2,HLOOKUP($A49,#REF!,6,FALSE)&lt;-2),"",#REF!),"")</f>
        <v/>
      </c>
      <c r="I49" t="str">
        <f>IFERROR(IF(OR(HLOOKUP($A49,#REF!,7,FALSE)&gt;2,HLOOKUP($A49,#REF!,7,FALSE)&lt;-2),"",#REF!),"")</f>
        <v/>
      </c>
      <c r="J49" t="str">
        <f>IFERROR(IF(OR(HLOOKUP($A49,#REF!,8,FALSE)&gt;2,HLOOKUP($A49,#REF!,8,FALSE)&lt;-2),"",#REF!),"")</f>
        <v/>
      </c>
      <c r="K49" t="str">
        <f>IFERROR(IF(OR(HLOOKUP($A49,#REF!,9,FALSE)&gt;2,HLOOKUP($A49,#REF!,9,FALSE)&lt;-2),"",#REF!),"")</f>
        <v/>
      </c>
      <c r="L49" t="str">
        <f>IFERROR(IF(OR(HLOOKUP($A49,#REF!,10,FALSE)&gt;2,HLOOKUP($A49,#REF!,10,FALSE)&lt;-2),"",#REF!),"")</f>
        <v/>
      </c>
      <c r="M49" t="str">
        <f>IFERROR(IF(OR(HLOOKUP($A49,#REF!,11,FALSE)&gt;2,HLOOKUP($A49,#REF!,11,FALSE)&lt;-2),"",#REF!),"")</f>
        <v/>
      </c>
      <c r="N49" t="str">
        <f>IFERROR(IF(OR(HLOOKUP($A49,#REF!,12,FALSE)&gt;2,HLOOKUP($A49,#REF!,12,FALSE)&lt;-2),"",#REF!),"")</f>
        <v/>
      </c>
      <c r="O49" t="str">
        <f>IFERROR(IF(OR(HLOOKUP($A49,#REF!,13,FALSE)&gt;2,HLOOKUP($A49,#REF!,13,FALSE)&lt;-2),"",#REF!),"")</f>
        <v/>
      </c>
      <c r="P49" t="str">
        <f>IFERROR(IF(OR(HLOOKUP($A49,#REF!,14,FALSE)&gt;2,HLOOKUP($A49,#REF!,14,FALSE)&lt;-2),"",#REF!),"")</f>
        <v/>
      </c>
      <c r="Q49" t="str">
        <f>IFERROR(IF(OR(HLOOKUP($A49,#REF!,15,FALSE)&gt;2,HLOOKUP($A49,#REF!,15,FALSE)&lt;-2),"",#REF!),"")</f>
        <v/>
      </c>
      <c r="R49" t="str">
        <f>IFERROR(IF(OR(HLOOKUP($A49,#REF!,16,FALSE)&gt;2,HLOOKUP($A49,#REF!,16,FALSE)&lt;-2),"",#REF!),"")</f>
        <v/>
      </c>
      <c r="S49" t="str">
        <f>IFERROR(IF(OR(HLOOKUP($A49,#REF!,17,FALSE)&gt;2,HLOOKUP($A49,#REF!,17,FALSE)&lt;-2),"",#REF!),"")</f>
        <v/>
      </c>
      <c r="T49" t="str">
        <f>IFERROR(IF(OR(HLOOKUP($A49,#REF!,18,FALSE)&gt;2,HLOOKUP($A49,#REF!,18,FALSE)&lt;-2),"",#REF!),"")</f>
        <v/>
      </c>
      <c r="U49" t="str">
        <f>IFERROR(IF(OR(HLOOKUP($A49,#REF!,19,FALSE)&gt;2,HLOOKUP($A49,#REF!,19,FALSE)&lt;-2),"",#REF!),"")</f>
        <v/>
      </c>
      <c r="V49">
        <f t="shared" si="0"/>
        <v>1</v>
      </c>
      <c r="W49" t="str">
        <f t="shared" si="1"/>
        <v/>
      </c>
      <c r="X49" t="str">
        <f t="shared" si="2"/>
        <v/>
      </c>
      <c r="Y49" t="str">
        <f t="shared" si="3"/>
        <v/>
      </c>
    </row>
    <row r="50" spans="1:25" x14ac:dyDescent="0.35">
      <c r="A50">
        <v>52</v>
      </c>
      <c r="B50" t="s">
        <v>609</v>
      </c>
      <c r="C50">
        <v>41900</v>
      </c>
      <c r="D50">
        <v>918</v>
      </c>
      <c r="E50" t="str">
        <f>IFERROR(IF(OR(HLOOKUP($A50,#REF!,3,FALSE)&gt;2,HLOOKUP(A50,#REF!,3,FALSE)&lt;-2),"",#REF!),"")</f>
        <v/>
      </c>
      <c r="F50" t="str">
        <f>IFERROR(IF(OR(HLOOKUP($A50,#REF!,4,FALSE)&gt;2,HLOOKUP($A50,#REF!,4,FALSE)&lt;-2),"",#REF!),"")</f>
        <v/>
      </c>
      <c r="G50" t="str">
        <f>IFERROR(IF(OR(HLOOKUP($A50,#REF!,5,FALSE)&gt;2,HLOOKUP($A50,#REF!,5,FALSE)&lt;-2),"",#REF!),"")</f>
        <v/>
      </c>
      <c r="H50" t="str">
        <f>IFERROR(IF(OR(HLOOKUP($A50,#REF!,6,FALSE)&gt;2,HLOOKUP($A50,#REF!,6,FALSE)&lt;-2),"",#REF!),"")</f>
        <v/>
      </c>
      <c r="I50" t="str">
        <f>IFERROR(IF(OR(HLOOKUP($A50,#REF!,7,FALSE)&gt;2,HLOOKUP($A50,#REF!,7,FALSE)&lt;-2),"",#REF!),"")</f>
        <v/>
      </c>
      <c r="J50" t="str">
        <f>IFERROR(IF(OR(HLOOKUP($A50,#REF!,8,FALSE)&gt;2,HLOOKUP($A50,#REF!,8,FALSE)&lt;-2),"",#REF!),"")</f>
        <v/>
      </c>
      <c r="K50" t="str">
        <f>IFERROR(IF(OR(HLOOKUP($A50,#REF!,9,FALSE)&gt;2,HLOOKUP($A50,#REF!,9,FALSE)&lt;-2),"",#REF!),"")</f>
        <v/>
      </c>
      <c r="L50" t="str">
        <f>IFERROR(IF(OR(HLOOKUP($A50,#REF!,10,FALSE)&gt;2,HLOOKUP($A50,#REF!,10,FALSE)&lt;-2),"",#REF!),"")</f>
        <v/>
      </c>
      <c r="M50" t="str">
        <f>IFERROR(IF(OR(HLOOKUP($A50,#REF!,11,FALSE)&gt;2,HLOOKUP($A50,#REF!,11,FALSE)&lt;-2),"",#REF!),"")</f>
        <v/>
      </c>
      <c r="N50" t="str">
        <f>IFERROR(IF(OR(HLOOKUP($A50,#REF!,12,FALSE)&gt;2,HLOOKUP($A50,#REF!,12,FALSE)&lt;-2),"",#REF!),"")</f>
        <v/>
      </c>
      <c r="O50" t="str">
        <f>IFERROR(IF(OR(HLOOKUP($A50,#REF!,13,FALSE)&gt;2,HLOOKUP($A50,#REF!,13,FALSE)&lt;-2),"",#REF!),"")</f>
        <v/>
      </c>
      <c r="P50" t="str">
        <f>IFERROR(IF(OR(HLOOKUP($A50,#REF!,14,FALSE)&gt;2,HLOOKUP($A50,#REF!,14,FALSE)&lt;-2),"",#REF!),"")</f>
        <v/>
      </c>
      <c r="Q50" t="str">
        <f>IFERROR(IF(OR(HLOOKUP($A50,#REF!,15,FALSE)&gt;2,HLOOKUP($A50,#REF!,15,FALSE)&lt;-2),"",#REF!),"")</f>
        <v/>
      </c>
      <c r="R50" t="str">
        <f>IFERROR(IF(OR(HLOOKUP($A50,#REF!,16,FALSE)&gt;2,HLOOKUP($A50,#REF!,16,FALSE)&lt;-2),"",#REF!),"")</f>
        <v/>
      </c>
      <c r="S50" t="str">
        <f>IFERROR(IF(OR(HLOOKUP($A50,#REF!,17,FALSE)&gt;2,HLOOKUP($A50,#REF!,17,FALSE)&lt;-2),"",#REF!),"")</f>
        <v/>
      </c>
      <c r="T50" t="str">
        <f>IFERROR(IF(OR(HLOOKUP($A50,#REF!,18,FALSE)&gt;2,HLOOKUP($A50,#REF!,18,FALSE)&lt;-2),"",#REF!),"")</f>
        <v/>
      </c>
      <c r="U50" t="str">
        <f>IFERROR(IF(OR(HLOOKUP($A50,#REF!,19,FALSE)&gt;2,HLOOKUP($A50,#REF!,19,FALSE)&lt;-2),"",#REF!),"")</f>
        <v/>
      </c>
      <c r="V50">
        <f t="shared" si="0"/>
        <v>1</v>
      </c>
      <c r="W50" t="str">
        <f t="shared" si="1"/>
        <v/>
      </c>
      <c r="X50" t="str">
        <f t="shared" si="2"/>
        <v/>
      </c>
      <c r="Y50" t="str">
        <f t="shared" si="3"/>
        <v/>
      </c>
    </row>
    <row r="51" spans="1:25" x14ac:dyDescent="0.35">
      <c r="A51">
        <v>53</v>
      </c>
      <c r="B51" t="s">
        <v>610</v>
      </c>
      <c r="C51">
        <v>91700</v>
      </c>
      <c r="D51">
        <v>445</v>
      </c>
      <c r="E51" t="str">
        <f>IFERROR(IF(OR(HLOOKUP($A51,#REF!,3,FALSE)&gt;2,HLOOKUP(A51,#REF!,3,FALSE)&lt;-2),"",#REF!),"")</f>
        <v/>
      </c>
      <c r="F51" t="str">
        <f>IFERROR(IF(OR(HLOOKUP($A51,#REF!,4,FALSE)&gt;2,HLOOKUP($A51,#REF!,4,FALSE)&lt;-2),"",#REF!),"")</f>
        <v/>
      </c>
      <c r="G51" t="str">
        <f>IFERROR(IF(OR(HLOOKUP($A51,#REF!,5,FALSE)&gt;2,HLOOKUP($A51,#REF!,5,FALSE)&lt;-2),"",#REF!),"")</f>
        <v/>
      </c>
      <c r="H51" t="str">
        <f>IFERROR(IF(OR(HLOOKUP($A51,#REF!,6,FALSE)&gt;2,HLOOKUP($A51,#REF!,6,FALSE)&lt;-2),"",#REF!),"")</f>
        <v/>
      </c>
      <c r="I51" t="str">
        <f>IFERROR(IF(OR(HLOOKUP($A51,#REF!,7,FALSE)&gt;2,HLOOKUP($A51,#REF!,7,FALSE)&lt;-2),"",#REF!),"")</f>
        <v/>
      </c>
      <c r="J51" t="str">
        <f>IFERROR(IF(OR(HLOOKUP($A51,#REF!,8,FALSE)&gt;2,HLOOKUP($A51,#REF!,8,FALSE)&lt;-2),"",#REF!),"")</f>
        <v/>
      </c>
      <c r="K51" t="str">
        <f>IFERROR(IF(OR(HLOOKUP($A51,#REF!,9,FALSE)&gt;2,HLOOKUP($A51,#REF!,9,FALSE)&lt;-2),"",#REF!),"")</f>
        <v/>
      </c>
      <c r="L51" t="str">
        <f>IFERROR(IF(OR(HLOOKUP($A51,#REF!,10,FALSE)&gt;2,HLOOKUP($A51,#REF!,10,FALSE)&lt;-2),"",#REF!),"")</f>
        <v/>
      </c>
      <c r="M51" t="str">
        <f>IFERROR(IF(OR(HLOOKUP($A51,#REF!,11,FALSE)&gt;2,HLOOKUP($A51,#REF!,11,FALSE)&lt;-2),"",#REF!),"")</f>
        <v/>
      </c>
      <c r="N51" t="str">
        <f>IFERROR(IF(OR(HLOOKUP($A51,#REF!,12,FALSE)&gt;2,HLOOKUP($A51,#REF!,12,FALSE)&lt;-2),"",#REF!),"")</f>
        <v/>
      </c>
      <c r="O51" t="str">
        <f>IFERROR(IF(OR(HLOOKUP($A51,#REF!,13,FALSE)&gt;2,HLOOKUP($A51,#REF!,13,FALSE)&lt;-2),"",#REF!),"")</f>
        <v/>
      </c>
      <c r="P51" t="str">
        <f>IFERROR(IF(OR(HLOOKUP($A51,#REF!,14,FALSE)&gt;2,HLOOKUP($A51,#REF!,14,FALSE)&lt;-2),"",#REF!),"")</f>
        <v/>
      </c>
      <c r="Q51" t="str">
        <f>IFERROR(IF(OR(HLOOKUP($A51,#REF!,15,FALSE)&gt;2,HLOOKUP($A51,#REF!,15,FALSE)&lt;-2),"",#REF!),"")</f>
        <v/>
      </c>
      <c r="R51" t="str">
        <f>IFERROR(IF(OR(HLOOKUP($A51,#REF!,16,FALSE)&gt;2,HLOOKUP($A51,#REF!,16,FALSE)&lt;-2),"",#REF!),"")</f>
        <v/>
      </c>
      <c r="S51" t="str">
        <f>IFERROR(IF(OR(HLOOKUP($A51,#REF!,17,FALSE)&gt;2,HLOOKUP($A51,#REF!,17,FALSE)&lt;-2),"",#REF!),"")</f>
        <v/>
      </c>
      <c r="T51" t="str">
        <f>IFERROR(IF(OR(HLOOKUP($A51,#REF!,18,FALSE)&gt;2,HLOOKUP($A51,#REF!,18,FALSE)&lt;-2),"",#REF!),"")</f>
        <v/>
      </c>
      <c r="U51" t="str">
        <f>IFERROR(IF(OR(HLOOKUP($A51,#REF!,19,FALSE)&gt;2,HLOOKUP($A51,#REF!,19,FALSE)&lt;-2),"",#REF!),"")</f>
        <v/>
      </c>
      <c r="V51">
        <f t="shared" si="0"/>
        <v>1</v>
      </c>
      <c r="W51" t="str">
        <f t="shared" si="1"/>
        <v/>
      </c>
      <c r="X51" t="str">
        <f t="shared" si="2"/>
        <v/>
      </c>
      <c r="Y51" t="str">
        <f t="shared" si="3"/>
        <v/>
      </c>
    </row>
    <row r="52" spans="1:25" x14ac:dyDescent="0.35">
      <c r="A52">
        <v>54</v>
      </c>
      <c r="B52" t="s">
        <v>611</v>
      </c>
      <c r="C52">
        <v>112800</v>
      </c>
      <c r="D52">
        <v>824</v>
      </c>
      <c r="E52" t="str">
        <f>IFERROR(IF(OR(HLOOKUP($A52,#REF!,3,FALSE)&gt;2,HLOOKUP(A52,#REF!,3,FALSE)&lt;-2),"",#REF!),"")</f>
        <v/>
      </c>
      <c r="F52" t="str">
        <f>IFERROR(IF(OR(HLOOKUP($A52,#REF!,4,FALSE)&gt;2,HLOOKUP($A52,#REF!,4,FALSE)&lt;-2),"",#REF!),"")</f>
        <v/>
      </c>
      <c r="G52" t="str">
        <f>IFERROR(IF(OR(HLOOKUP($A52,#REF!,5,FALSE)&gt;2,HLOOKUP($A52,#REF!,5,FALSE)&lt;-2),"",#REF!),"")</f>
        <v/>
      </c>
      <c r="H52" t="str">
        <f>IFERROR(IF(OR(HLOOKUP($A52,#REF!,6,FALSE)&gt;2,HLOOKUP($A52,#REF!,6,FALSE)&lt;-2),"",#REF!),"")</f>
        <v/>
      </c>
      <c r="I52" t="str">
        <f>IFERROR(IF(OR(HLOOKUP($A52,#REF!,7,FALSE)&gt;2,HLOOKUP($A52,#REF!,7,FALSE)&lt;-2),"",#REF!),"")</f>
        <v/>
      </c>
      <c r="J52" t="str">
        <f>IFERROR(IF(OR(HLOOKUP($A52,#REF!,8,FALSE)&gt;2,HLOOKUP($A52,#REF!,8,FALSE)&lt;-2),"",#REF!),"")</f>
        <v/>
      </c>
      <c r="K52" t="str">
        <f>IFERROR(IF(OR(HLOOKUP($A52,#REF!,9,FALSE)&gt;2,HLOOKUP($A52,#REF!,9,FALSE)&lt;-2),"",#REF!),"")</f>
        <v/>
      </c>
      <c r="L52" t="str">
        <f>IFERROR(IF(OR(HLOOKUP($A52,#REF!,10,FALSE)&gt;2,HLOOKUP($A52,#REF!,10,FALSE)&lt;-2),"",#REF!),"")</f>
        <v/>
      </c>
      <c r="M52" t="str">
        <f>IFERROR(IF(OR(HLOOKUP($A52,#REF!,11,FALSE)&gt;2,HLOOKUP($A52,#REF!,11,FALSE)&lt;-2),"",#REF!),"")</f>
        <v/>
      </c>
      <c r="N52" t="str">
        <f>IFERROR(IF(OR(HLOOKUP($A52,#REF!,12,FALSE)&gt;2,HLOOKUP($A52,#REF!,12,FALSE)&lt;-2),"",#REF!),"")</f>
        <v/>
      </c>
      <c r="O52" t="str">
        <f>IFERROR(IF(OR(HLOOKUP($A52,#REF!,13,FALSE)&gt;2,HLOOKUP($A52,#REF!,13,FALSE)&lt;-2),"",#REF!),"")</f>
        <v/>
      </c>
      <c r="P52" t="str">
        <f>IFERROR(IF(OR(HLOOKUP($A52,#REF!,14,FALSE)&gt;2,HLOOKUP($A52,#REF!,14,FALSE)&lt;-2),"",#REF!),"")</f>
        <v/>
      </c>
      <c r="Q52" t="str">
        <f>IFERROR(IF(OR(HLOOKUP($A52,#REF!,15,FALSE)&gt;2,HLOOKUP($A52,#REF!,15,FALSE)&lt;-2),"",#REF!),"")</f>
        <v/>
      </c>
      <c r="R52" t="str">
        <f>IFERROR(IF(OR(HLOOKUP($A52,#REF!,16,FALSE)&gt;2,HLOOKUP($A52,#REF!,16,FALSE)&lt;-2),"",#REF!),"")</f>
        <v/>
      </c>
      <c r="S52" t="str">
        <f>IFERROR(IF(OR(HLOOKUP($A52,#REF!,17,FALSE)&gt;2,HLOOKUP($A52,#REF!,17,FALSE)&lt;-2),"",#REF!),"")</f>
        <v/>
      </c>
      <c r="T52" t="str">
        <f>IFERROR(IF(OR(HLOOKUP($A52,#REF!,18,FALSE)&gt;2,HLOOKUP($A52,#REF!,18,FALSE)&lt;-2),"",#REF!),"")</f>
        <v/>
      </c>
      <c r="U52" t="str">
        <f>IFERROR(IF(OR(HLOOKUP($A52,#REF!,19,FALSE)&gt;2,HLOOKUP($A52,#REF!,19,FALSE)&lt;-2),"",#REF!),"")</f>
        <v/>
      </c>
      <c r="V52">
        <f t="shared" si="0"/>
        <v>1</v>
      </c>
      <c r="W52" t="str">
        <f t="shared" si="1"/>
        <v/>
      </c>
      <c r="X52" t="str">
        <f t="shared" si="2"/>
        <v/>
      </c>
      <c r="Y52" t="str">
        <f t="shared" si="3"/>
        <v/>
      </c>
    </row>
    <row r="53" spans="1:25" x14ac:dyDescent="0.35">
      <c r="A53">
        <v>55</v>
      </c>
      <c r="B53" t="s">
        <v>612</v>
      </c>
      <c r="C53">
        <v>71300</v>
      </c>
      <c r="D53">
        <v>94</v>
      </c>
      <c r="E53" t="str">
        <f>IFERROR(IF(OR(HLOOKUP($A53,#REF!,3,FALSE)&gt;2,HLOOKUP(A53,#REF!,3,FALSE)&lt;-2),"",#REF!),"")</f>
        <v/>
      </c>
      <c r="F53" t="str">
        <f>IFERROR(IF(OR(HLOOKUP($A53,#REF!,4,FALSE)&gt;2,HLOOKUP($A53,#REF!,4,FALSE)&lt;-2),"",#REF!),"")</f>
        <v/>
      </c>
      <c r="G53" t="str">
        <f>IFERROR(IF(OR(HLOOKUP($A53,#REF!,5,FALSE)&gt;2,HLOOKUP($A53,#REF!,5,FALSE)&lt;-2),"",#REF!),"")</f>
        <v/>
      </c>
      <c r="H53" t="str">
        <f>IFERROR(IF(OR(HLOOKUP($A53,#REF!,6,FALSE)&gt;2,HLOOKUP($A53,#REF!,6,FALSE)&lt;-2),"",#REF!),"")</f>
        <v/>
      </c>
      <c r="I53" t="str">
        <f>IFERROR(IF(OR(HLOOKUP($A53,#REF!,7,FALSE)&gt;2,HLOOKUP($A53,#REF!,7,FALSE)&lt;-2),"",#REF!),"")</f>
        <v/>
      </c>
      <c r="J53" t="str">
        <f>IFERROR(IF(OR(HLOOKUP($A53,#REF!,8,FALSE)&gt;2,HLOOKUP($A53,#REF!,8,FALSE)&lt;-2),"",#REF!),"")</f>
        <v/>
      </c>
      <c r="K53" t="str">
        <f>IFERROR(IF(OR(HLOOKUP($A53,#REF!,9,FALSE)&gt;2,HLOOKUP($A53,#REF!,9,FALSE)&lt;-2),"",#REF!),"")</f>
        <v/>
      </c>
      <c r="L53" t="str">
        <f>IFERROR(IF(OR(HLOOKUP($A53,#REF!,10,FALSE)&gt;2,HLOOKUP($A53,#REF!,10,FALSE)&lt;-2),"",#REF!),"")</f>
        <v/>
      </c>
      <c r="M53" t="str">
        <f>IFERROR(IF(OR(HLOOKUP($A53,#REF!,11,FALSE)&gt;2,HLOOKUP($A53,#REF!,11,FALSE)&lt;-2),"",#REF!),"")</f>
        <v/>
      </c>
      <c r="N53" t="str">
        <f>IFERROR(IF(OR(HLOOKUP($A53,#REF!,12,FALSE)&gt;2,HLOOKUP($A53,#REF!,12,FALSE)&lt;-2),"",#REF!),"")</f>
        <v/>
      </c>
      <c r="O53" t="str">
        <f>IFERROR(IF(OR(HLOOKUP($A53,#REF!,13,FALSE)&gt;2,HLOOKUP($A53,#REF!,13,FALSE)&lt;-2),"",#REF!),"")</f>
        <v/>
      </c>
      <c r="P53" t="str">
        <f>IFERROR(IF(OR(HLOOKUP($A53,#REF!,14,FALSE)&gt;2,HLOOKUP($A53,#REF!,14,FALSE)&lt;-2),"",#REF!),"")</f>
        <v/>
      </c>
      <c r="Q53" t="str">
        <f>IFERROR(IF(OR(HLOOKUP($A53,#REF!,15,FALSE)&gt;2,HLOOKUP($A53,#REF!,15,FALSE)&lt;-2),"",#REF!),"")</f>
        <v/>
      </c>
      <c r="R53" t="str">
        <f>IFERROR(IF(OR(HLOOKUP($A53,#REF!,16,FALSE)&gt;2,HLOOKUP($A53,#REF!,16,FALSE)&lt;-2),"",#REF!),"")</f>
        <v/>
      </c>
      <c r="S53" t="str">
        <f>IFERROR(IF(OR(HLOOKUP($A53,#REF!,17,FALSE)&gt;2,HLOOKUP($A53,#REF!,17,FALSE)&lt;-2),"",#REF!),"")</f>
        <v/>
      </c>
      <c r="T53" t="str">
        <f>IFERROR(IF(OR(HLOOKUP($A53,#REF!,18,FALSE)&gt;2,HLOOKUP($A53,#REF!,18,FALSE)&lt;-2),"",#REF!),"")</f>
        <v/>
      </c>
      <c r="U53" t="str">
        <f>IFERROR(IF(OR(HLOOKUP($A53,#REF!,19,FALSE)&gt;2,HLOOKUP($A53,#REF!,19,FALSE)&lt;-2),"",#REF!),"")</f>
        <v/>
      </c>
      <c r="V53">
        <f t="shared" si="0"/>
        <v>1</v>
      </c>
      <c r="W53" t="str">
        <f t="shared" si="1"/>
        <v/>
      </c>
      <c r="X53" t="str">
        <f t="shared" si="2"/>
        <v/>
      </c>
      <c r="Y53" t="str">
        <f t="shared" si="3"/>
        <v/>
      </c>
    </row>
    <row r="54" spans="1:25" x14ac:dyDescent="0.35">
      <c r="A54">
        <v>56</v>
      </c>
      <c r="B54" t="s">
        <v>44</v>
      </c>
      <c r="C54">
        <v>48400</v>
      </c>
      <c r="D54">
        <v>493</v>
      </c>
      <c r="E54" t="str">
        <f>IFERROR(IF(OR(HLOOKUP($A54,#REF!,3,FALSE)&gt;2,HLOOKUP(A54,#REF!,3,FALSE)&lt;-2),"",#REF!),"")</f>
        <v/>
      </c>
      <c r="F54" t="str">
        <f>IFERROR(IF(OR(HLOOKUP($A54,#REF!,4,FALSE)&gt;2,HLOOKUP($A54,#REF!,4,FALSE)&lt;-2),"",#REF!),"")</f>
        <v/>
      </c>
      <c r="G54" t="str">
        <f>IFERROR(IF(OR(HLOOKUP($A54,#REF!,5,FALSE)&gt;2,HLOOKUP($A54,#REF!,5,FALSE)&lt;-2),"",#REF!),"")</f>
        <v/>
      </c>
      <c r="H54" t="str">
        <f>IFERROR(IF(OR(HLOOKUP($A54,#REF!,6,FALSE)&gt;2,HLOOKUP($A54,#REF!,6,FALSE)&lt;-2),"",#REF!),"")</f>
        <v/>
      </c>
      <c r="I54" t="str">
        <f>IFERROR(IF(OR(HLOOKUP($A54,#REF!,7,FALSE)&gt;2,HLOOKUP($A54,#REF!,7,FALSE)&lt;-2),"",#REF!),"")</f>
        <v/>
      </c>
      <c r="J54" t="str">
        <f>IFERROR(IF(OR(HLOOKUP($A54,#REF!,8,FALSE)&gt;2,HLOOKUP($A54,#REF!,8,FALSE)&lt;-2),"",#REF!),"")</f>
        <v/>
      </c>
      <c r="K54" t="str">
        <f>IFERROR(IF(OR(HLOOKUP($A54,#REF!,9,FALSE)&gt;2,HLOOKUP($A54,#REF!,9,FALSE)&lt;-2),"",#REF!),"")</f>
        <v/>
      </c>
      <c r="L54" t="str">
        <f>IFERROR(IF(OR(HLOOKUP($A54,#REF!,10,FALSE)&gt;2,HLOOKUP($A54,#REF!,10,FALSE)&lt;-2),"",#REF!),"")</f>
        <v/>
      </c>
      <c r="M54" t="str">
        <f>IFERROR(IF(OR(HLOOKUP($A54,#REF!,11,FALSE)&gt;2,HLOOKUP($A54,#REF!,11,FALSE)&lt;-2),"",#REF!),"")</f>
        <v/>
      </c>
      <c r="N54" t="str">
        <f>IFERROR(IF(OR(HLOOKUP($A54,#REF!,12,FALSE)&gt;2,HLOOKUP($A54,#REF!,12,FALSE)&lt;-2),"",#REF!),"")</f>
        <v/>
      </c>
      <c r="O54" t="str">
        <f>IFERROR(IF(OR(HLOOKUP($A54,#REF!,13,FALSE)&gt;2,HLOOKUP($A54,#REF!,13,FALSE)&lt;-2),"",#REF!),"")</f>
        <v/>
      </c>
      <c r="P54" t="str">
        <f>IFERROR(IF(OR(HLOOKUP($A54,#REF!,14,FALSE)&gt;2,HLOOKUP($A54,#REF!,14,FALSE)&lt;-2),"",#REF!),"")</f>
        <v/>
      </c>
      <c r="Q54" t="str">
        <f>IFERROR(IF(OR(HLOOKUP($A54,#REF!,15,FALSE)&gt;2,HLOOKUP($A54,#REF!,15,FALSE)&lt;-2),"",#REF!),"")</f>
        <v/>
      </c>
      <c r="R54" t="str">
        <f>IFERROR(IF(OR(HLOOKUP($A54,#REF!,16,FALSE)&gt;2,HLOOKUP($A54,#REF!,16,FALSE)&lt;-2),"",#REF!),"")</f>
        <v/>
      </c>
      <c r="S54" t="str">
        <f>IFERROR(IF(OR(HLOOKUP($A54,#REF!,17,FALSE)&gt;2,HLOOKUP($A54,#REF!,17,FALSE)&lt;-2),"",#REF!),"")</f>
        <v/>
      </c>
      <c r="T54" t="str">
        <f>IFERROR(IF(OR(HLOOKUP($A54,#REF!,18,FALSE)&gt;2,HLOOKUP($A54,#REF!,18,FALSE)&lt;-2),"",#REF!),"")</f>
        <v/>
      </c>
      <c r="U54" t="str">
        <f>IFERROR(IF(OR(HLOOKUP($A54,#REF!,19,FALSE)&gt;2,HLOOKUP($A54,#REF!,19,FALSE)&lt;-2),"",#REF!),"")</f>
        <v/>
      </c>
      <c r="V54">
        <f t="shared" si="0"/>
        <v>1</v>
      </c>
      <c r="W54" t="str">
        <f t="shared" si="1"/>
        <v/>
      </c>
      <c r="X54" t="str">
        <f t="shared" si="2"/>
        <v/>
      </c>
      <c r="Y54" t="str">
        <f t="shared" si="3"/>
        <v/>
      </c>
    </row>
    <row r="55" spans="1:25" x14ac:dyDescent="0.35">
      <c r="A55">
        <v>57</v>
      </c>
      <c r="B55" t="s">
        <v>613</v>
      </c>
      <c r="C55">
        <v>118900</v>
      </c>
      <c r="D55">
        <v>1040</v>
      </c>
      <c r="E55" t="str">
        <f>IFERROR(IF(OR(HLOOKUP($A55,#REF!,3,FALSE)&gt;2,HLOOKUP(A55,#REF!,3,FALSE)&lt;-2),"",#REF!),"")</f>
        <v/>
      </c>
      <c r="F55" t="str">
        <f>IFERROR(IF(OR(HLOOKUP($A55,#REF!,4,FALSE)&gt;2,HLOOKUP($A55,#REF!,4,FALSE)&lt;-2),"",#REF!),"")</f>
        <v/>
      </c>
      <c r="G55" t="str">
        <f>IFERROR(IF(OR(HLOOKUP($A55,#REF!,5,FALSE)&gt;2,HLOOKUP($A55,#REF!,5,FALSE)&lt;-2),"",#REF!),"")</f>
        <v/>
      </c>
      <c r="H55" t="str">
        <f>IFERROR(IF(OR(HLOOKUP($A55,#REF!,6,FALSE)&gt;2,HLOOKUP($A55,#REF!,6,FALSE)&lt;-2),"",#REF!),"")</f>
        <v/>
      </c>
      <c r="I55" t="str">
        <f>IFERROR(IF(OR(HLOOKUP($A55,#REF!,7,FALSE)&gt;2,HLOOKUP($A55,#REF!,7,FALSE)&lt;-2),"",#REF!),"")</f>
        <v/>
      </c>
      <c r="J55" t="str">
        <f>IFERROR(IF(OR(HLOOKUP($A55,#REF!,8,FALSE)&gt;2,HLOOKUP($A55,#REF!,8,FALSE)&lt;-2),"",#REF!),"")</f>
        <v/>
      </c>
      <c r="K55" t="str">
        <f>IFERROR(IF(OR(HLOOKUP($A55,#REF!,9,FALSE)&gt;2,HLOOKUP($A55,#REF!,9,FALSE)&lt;-2),"",#REF!),"")</f>
        <v/>
      </c>
      <c r="L55" t="str">
        <f>IFERROR(IF(OR(HLOOKUP($A55,#REF!,10,FALSE)&gt;2,HLOOKUP($A55,#REF!,10,FALSE)&lt;-2),"",#REF!),"")</f>
        <v/>
      </c>
      <c r="M55" t="str">
        <f>IFERROR(IF(OR(HLOOKUP($A55,#REF!,11,FALSE)&gt;2,HLOOKUP($A55,#REF!,11,FALSE)&lt;-2),"",#REF!),"")</f>
        <v/>
      </c>
      <c r="N55" t="str">
        <f>IFERROR(IF(OR(HLOOKUP($A55,#REF!,12,FALSE)&gt;2,HLOOKUP($A55,#REF!,12,FALSE)&lt;-2),"",#REF!),"")</f>
        <v/>
      </c>
      <c r="O55" t="str">
        <f>IFERROR(IF(OR(HLOOKUP($A55,#REF!,13,FALSE)&gt;2,HLOOKUP($A55,#REF!,13,FALSE)&lt;-2),"",#REF!),"")</f>
        <v/>
      </c>
      <c r="P55" t="str">
        <f>IFERROR(IF(OR(HLOOKUP($A55,#REF!,14,FALSE)&gt;2,HLOOKUP($A55,#REF!,14,FALSE)&lt;-2),"",#REF!),"")</f>
        <v/>
      </c>
      <c r="Q55" t="str">
        <f>IFERROR(IF(OR(HLOOKUP($A55,#REF!,15,FALSE)&gt;2,HLOOKUP($A55,#REF!,15,FALSE)&lt;-2),"",#REF!),"")</f>
        <v/>
      </c>
      <c r="R55" t="str">
        <f>IFERROR(IF(OR(HLOOKUP($A55,#REF!,16,FALSE)&gt;2,HLOOKUP($A55,#REF!,16,FALSE)&lt;-2),"",#REF!),"")</f>
        <v/>
      </c>
      <c r="S55" t="str">
        <f>IFERROR(IF(OR(HLOOKUP($A55,#REF!,17,FALSE)&gt;2,HLOOKUP($A55,#REF!,17,FALSE)&lt;-2),"",#REF!),"")</f>
        <v/>
      </c>
      <c r="T55" t="str">
        <f>IFERROR(IF(OR(HLOOKUP($A55,#REF!,18,FALSE)&gt;2,HLOOKUP($A55,#REF!,18,FALSE)&lt;-2),"",#REF!),"")</f>
        <v/>
      </c>
      <c r="U55" t="str">
        <f>IFERROR(IF(OR(HLOOKUP($A55,#REF!,19,FALSE)&gt;2,HLOOKUP($A55,#REF!,19,FALSE)&lt;-2),"",#REF!),"")</f>
        <v/>
      </c>
      <c r="V55">
        <f t="shared" si="0"/>
        <v>1</v>
      </c>
      <c r="W55" t="str">
        <f t="shared" si="1"/>
        <v/>
      </c>
      <c r="X55" t="str">
        <f t="shared" si="2"/>
        <v/>
      </c>
      <c r="Y55" t="str">
        <f t="shared" si="3"/>
        <v/>
      </c>
    </row>
    <row r="56" spans="1:25" x14ac:dyDescent="0.35">
      <c r="A56">
        <v>58</v>
      </c>
      <c r="B56" t="s">
        <v>614</v>
      </c>
      <c r="C56">
        <v>83500</v>
      </c>
      <c r="D56">
        <v>323</v>
      </c>
      <c r="E56" t="str">
        <f>IFERROR(IF(OR(HLOOKUP($A56,#REF!,3,FALSE)&gt;2,HLOOKUP(A56,#REF!,3,FALSE)&lt;-2),"",#REF!),"")</f>
        <v/>
      </c>
      <c r="F56" t="str">
        <f>IFERROR(IF(OR(HLOOKUP($A56,#REF!,4,FALSE)&gt;2,HLOOKUP($A56,#REF!,4,FALSE)&lt;-2),"",#REF!),"")</f>
        <v/>
      </c>
      <c r="G56" t="str">
        <f>IFERROR(IF(OR(HLOOKUP($A56,#REF!,5,FALSE)&gt;2,HLOOKUP($A56,#REF!,5,FALSE)&lt;-2),"",#REF!),"")</f>
        <v/>
      </c>
      <c r="H56" t="str">
        <f>IFERROR(IF(OR(HLOOKUP($A56,#REF!,6,FALSE)&gt;2,HLOOKUP($A56,#REF!,6,FALSE)&lt;-2),"",#REF!),"")</f>
        <v/>
      </c>
      <c r="I56" t="str">
        <f>IFERROR(IF(OR(HLOOKUP($A56,#REF!,7,FALSE)&gt;2,HLOOKUP($A56,#REF!,7,FALSE)&lt;-2),"",#REF!),"")</f>
        <v/>
      </c>
      <c r="J56" t="str">
        <f>IFERROR(IF(OR(HLOOKUP($A56,#REF!,8,FALSE)&gt;2,HLOOKUP($A56,#REF!,8,FALSE)&lt;-2),"",#REF!),"")</f>
        <v/>
      </c>
      <c r="K56" t="str">
        <f>IFERROR(IF(OR(HLOOKUP($A56,#REF!,9,FALSE)&gt;2,HLOOKUP($A56,#REF!,9,FALSE)&lt;-2),"",#REF!),"")</f>
        <v/>
      </c>
      <c r="L56" t="str">
        <f>IFERROR(IF(OR(HLOOKUP($A56,#REF!,10,FALSE)&gt;2,HLOOKUP($A56,#REF!,10,FALSE)&lt;-2),"",#REF!),"")</f>
        <v/>
      </c>
      <c r="M56" t="str">
        <f>IFERROR(IF(OR(HLOOKUP($A56,#REF!,11,FALSE)&gt;2,HLOOKUP($A56,#REF!,11,FALSE)&lt;-2),"",#REF!),"")</f>
        <v/>
      </c>
      <c r="N56" t="str">
        <f>IFERROR(IF(OR(HLOOKUP($A56,#REF!,12,FALSE)&gt;2,HLOOKUP($A56,#REF!,12,FALSE)&lt;-2),"",#REF!),"")</f>
        <v/>
      </c>
      <c r="O56" t="str">
        <f>IFERROR(IF(OR(HLOOKUP($A56,#REF!,13,FALSE)&gt;2,HLOOKUP($A56,#REF!,13,FALSE)&lt;-2),"",#REF!),"")</f>
        <v/>
      </c>
      <c r="P56" t="str">
        <f>IFERROR(IF(OR(HLOOKUP($A56,#REF!,14,FALSE)&gt;2,HLOOKUP($A56,#REF!,14,FALSE)&lt;-2),"",#REF!),"")</f>
        <v/>
      </c>
      <c r="Q56" t="str">
        <f>IFERROR(IF(OR(HLOOKUP($A56,#REF!,15,FALSE)&gt;2,HLOOKUP($A56,#REF!,15,FALSE)&lt;-2),"",#REF!),"")</f>
        <v/>
      </c>
      <c r="R56" t="str">
        <f>IFERROR(IF(OR(HLOOKUP($A56,#REF!,16,FALSE)&gt;2,HLOOKUP($A56,#REF!,16,FALSE)&lt;-2),"",#REF!),"")</f>
        <v/>
      </c>
      <c r="S56" t="str">
        <f>IFERROR(IF(OR(HLOOKUP($A56,#REF!,17,FALSE)&gt;2,HLOOKUP($A56,#REF!,17,FALSE)&lt;-2),"",#REF!),"")</f>
        <v/>
      </c>
      <c r="T56" t="str">
        <f>IFERROR(IF(OR(HLOOKUP($A56,#REF!,18,FALSE)&gt;2,HLOOKUP($A56,#REF!,18,FALSE)&lt;-2),"",#REF!),"")</f>
        <v/>
      </c>
      <c r="U56" t="str">
        <f>IFERROR(IF(OR(HLOOKUP($A56,#REF!,19,FALSE)&gt;2,HLOOKUP($A56,#REF!,19,FALSE)&lt;-2),"",#REF!),"")</f>
        <v/>
      </c>
      <c r="V56">
        <f t="shared" si="0"/>
        <v>1</v>
      </c>
      <c r="W56" t="str">
        <f t="shared" si="1"/>
        <v/>
      </c>
      <c r="X56" t="str">
        <f t="shared" si="2"/>
        <v/>
      </c>
      <c r="Y56" t="str">
        <f t="shared" si="3"/>
        <v/>
      </c>
    </row>
    <row r="57" spans="1:25" x14ac:dyDescent="0.35">
      <c r="A57">
        <v>59</v>
      </c>
      <c r="B57" t="s">
        <v>615</v>
      </c>
      <c r="C57">
        <v>67200</v>
      </c>
      <c r="D57">
        <v>444</v>
      </c>
      <c r="E57" t="str">
        <f>IFERROR(IF(OR(HLOOKUP($A57,#REF!,3,FALSE)&gt;2,HLOOKUP(A57,#REF!,3,FALSE)&lt;-2),"",#REF!),"")</f>
        <v/>
      </c>
      <c r="F57" t="str">
        <f>IFERROR(IF(OR(HLOOKUP($A57,#REF!,4,FALSE)&gt;2,HLOOKUP($A57,#REF!,4,FALSE)&lt;-2),"",#REF!),"")</f>
        <v/>
      </c>
      <c r="G57" t="str">
        <f>IFERROR(IF(OR(HLOOKUP($A57,#REF!,5,FALSE)&gt;2,HLOOKUP($A57,#REF!,5,FALSE)&lt;-2),"",#REF!),"")</f>
        <v/>
      </c>
      <c r="H57" t="str">
        <f>IFERROR(IF(OR(HLOOKUP($A57,#REF!,6,FALSE)&gt;2,HLOOKUP($A57,#REF!,6,FALSE)&lt;-2),"",#REF!),"")</f>
        <v/>
      </c>
      <c r="I57" t="str">
        <f>IFERROR(IF(OR(HLOOKUP($A57,#REF!,7,FALSE)&gt;2,HLOOKUP($A57,#REF!,7,FALSE)&lt;-2),"",#REF!),"")</f>
        <v/>
      </c>
      <c r="J57" t="str">
        <f>IFERROR(IF(OR(HLOOKUP($A57,#REF!,8,FALSE)&gt;2,HLOOKUP($A57,#REF!,8,FALSE)&lt;-2),"",#REF!),"")</f>
        <v/>
      </c>
      <c r="K57" t="str">
        <f>IFERROR(IF(OR(HLOOKUP($A57,#REF!,9,FALSE)&gt;2,HLOOKUP($A57,#REF!,9,FALSE)&lt;-2),"",#REF!),"")</f>
        <v/>
      </c>
      <c r="L57" t="str">
        <f>IFERROR(IF(OR(HLOOKUP($A57,#REF!,10,FALSE)&gt;2,HLOOKUP($A57,#REF!,10,FALSE)&lt;-2),"",#REF!),"")</f>
        <v/>
      </c>
      <c r="M57" t="str">
        <f>IFERROR(IF(OR(HLOOKUP($A57,#REF!,11,FALSE)&gt;2,HLOOKUP($A57,#REF!,11,FALSE)&lt;-2),"",#REF!),"")</f>
        <v/>
      </c>
      <c r="N57" t="str">
        <f>IFERROR(IF(OR(HLOOKUP($A57,#REF!,12,FALSE)&gt;2,HLOOKUP($A57,#REF!,12,FALSE)&lt;-2),"",#REF!),"")</f>
        <v/>
      </c>
      <c r="O57" t="str">
        <f>IFERROR(IF(OR(HLOOKUP($A57,#REF!,13,FALSE)&gt;2,HLOOKUP($A57,#REF!,13,FALSE)&lt;-2),"",#REF!),"")</f>
        <v/>
      </c>
      <c r="P57" t="str">
        <f>IFERROR(IF(OR(HLOOKUP($A57,#REF!,14,FALSE)&gt;2,HLOOKUP($A57,#REF!,14,FALSE)&lt;-2),"",#REF!),"")</f>
        <v/>
      </c>
      <c r="Q57" t="str">
        <f>IFERROR(IF(OR(HLOOKUP($A57,#REF!,15,FALSE)&gt;2,HLOOKUP($A57,#REF!,15,FALSE)&lt;-2),"",#REF!),"")</f>
        <v/>
      </c>
      <c r="R57" t="str">
        <f>IFERROR(IF(OR(HLOOKUP($A57,#REF!,16,FALSE)&gt;2,HLOOKUP($A57,#REF!,16,FALSE)&lt;-2),"",#REF!),"")</f>
        <v/>
      </c>
      <c r="S57" t="str">
        <f>IFERROR(IF(OR(HLOOKUP($A57,#REF!,17,FALSE)&gt;2,HLOOKUP($A57,#REF!,17,FALSE)&lt;-2),"",#REF!),"")</f>
        <v/>
      </c>
      <c r="T57" t="str">
        <f>IFERROR(IF(OR(HLOOKUP($A57,#REF!,18,FALSE)&gt;2,HLOOKUP($A57,#REF!,18,FALSE)&lt;-2),"",#REF!),"")</f>
        <v/>
      </c>
      <c r="U57" t="str">
        <f>IFERROR(IF(OR(HLOOKUP($A57,#REF!,19,FALSE)&gt;2,HLOOKUP($A57,#REF!,19,FALSE)&lt;-2),"",#REF!),"")</f>
        <v/>
      </c>
      <c r="V57">
        <f t="shared" si="0"/>
        <v>1</v>
      </c>
      <c r="W57" t="str">
        <f t="shared" si="1"/>
        <v/>
      </c>
      <c r="X57" t="str">
        <f t="shared" si="2"/>
        <v/>
      </c>
      <c r="Y57" t="str">
        <f t="shared" si="3"/>
        <v/>
      </c>
    </row>
    <row r="58" spans="1:25" x14ac:dyDescent="0.35">
      <c r="A58">
        <v>60</v>
      </c>
      <c r="B58" t="s">
        <v>616</v>
      </c>
      <c r="C58">
        <v>42500</v>
      </c>
      <c r="D58">
        <v>918</v>
      </c>
      <c r="E58" t="str">
        <f>IFERROR(IF(OR(HLOOKUP($A58,#REF!,3,FALSE)&gt;2,HLOOKUP(A58,#REF!,3,FALSE)&lt;-2),"",#REF!),"")</f>
        <v/>
      </c>
      <c r="F58" t="str">
        <f>IFERROR(IF(OR(HLOOKUP($A58,#REF!,4,FALSE)&gt;2,HLOOKUP($A58,#REF!,4,FALSE)&lt;-2),"",#REF!),"")</f>
        <v/>
      </c>
      <c r="G58" t="str">
        <f>IFERROR(IF(OR(HLOOKUP($A58,#REF!,5,FALSE)&gt;2,HLOOKUP($A58,#REF!,5,FALSE)&lt;-2),"",#REF!),"")</f>
        <v/>
      </c>
      <c r="H58" t="str">
        <f>IFERROR(IF(OR(HLOOKUP($A58,#REF!,6,FALSE)&gt;2,HLOOKUP($A58,#REF!,6,FALSE)&lt;-2),"",#REF!),"")</f>
        <v/>
      </c>
      <c r="I58" t="str">
        <f>IFERROR(IF(OR(HLOOKUP($A58,#REF!,7,FALSE)&gt;2,HLOOKUP($A58,#REF!,7,FALSE)&lt;-2),"",#REF!),"")</f>
        <v/>
      </c>
      <c r="J58" t="str">
        <f>IFERROR(IF(OR(HLOOKUP($A58,#REF!,8,FALSE)&gt;2,HLOOKUP($A58,#REF!,8,FALSE)&lt;-2),"",#REF!),"")</f>
        <v/>
      </c>
      <c r="K58" t="str">
        <f>IFERROR(IF(OR(HLOOKUP($A58,#REF!,9,FALSE)&gt;2,HLOOKUP($A58,#REF!,9,FALSE)&lt;-2),"",#REF!),"")</f>
        <v/>
      </c>
      <c r="L58" t="str">
        <f>IFERROR(IF(OR(HLOOKUP($A58,#REF!,10,FALSE)&gt;2,HLOOKUP($A58,#REF!,10,FALSE)&lt;-2),"",#REF!),"")</f>
        <v/>
      </c>
      <c r="M58" t="str">
        <f>IFERROR(IF(OR(HLOOKUP($A58,#REF!,11,FALSE)&gt;2,HLOOKUP($A58,#REF!,11,FALSE)&lt;-2),"",#REF!),"")</f>
        <v/>
      </c>
      <c r="N58" t="str">
        <f>IFERROR(IF(OR(HLOOKUP($A58,#REF!,12,FALSE)&gt;2,HLOOKUP($A58,#REF!,12,FALSE)&lt;-2),"",#REF!),"")</f>
        <v/>
      </c>
      <c r="O58" t="str">
        <f>IFERROR(IF(OR(HLOOKUP($A58,#REF!,13,FALSE)&gt;2,HLOOKUP($A58,#REF!,13,FALSE)&lt;-2),"",#REF!),"")</f>
        <v/>
      </c>
      <c r="P58" t="str">
        <f>IFERROR(IF(OR(HLOOKUP($A58,#REF!,14,FALSE)&gt;2,HLOOKUP($A58,#REF!,14,FALSE)&lt;-2),"",#REF!),"")</f>
        <v/>
      </c>
      <c r="Q58" t="str">
        <f>IFERROR(IF(OR(HLOOKUP($A58,#REF!,15,FALSE)&gt;2,HLOOKUP($A58,#REF!,15,FALSE)&lt;-2),"",#REF!),"")</f>
        <v/>
      </c>
      <c r="R58" t="str">
        <f>IFERROR(IF(OR(HLOOKUP($A58,#REF!,16,FALSE)&gt;2,HLOOKUP($A58,#REF!,16,FALSE)&lt;-2),"",#REF!),"")</f>
        <v/>
      </c>
      <c r="S58" t="str">
        <f>IFERROR(IF(OR(HLOOKUP($A58,#REF!,17,FALSE)&gt;2,HLOOKUP($A58,#REF!,17,FALSE)&lt;-2),"",#REF!),"")</f>
        <v/>
      </c>
      <c r="T58" t="str">
        <f>IFERROR(IF(OR(HLOOKUP($A58,#REF!,18,FALSE)&gt;2,HLOOKUP($A58,#REF!,18,FALSE)&lt;-2),"",#REF!),"")</f>
        <v/>
      </c>
      <c r="U58" t="str">
        <f>IFERROR(IF(OR(HLOOKUP($A58,#REF!,19,FALSE)&gt;2,HLOOKUP($A58,#REF!,19,FALSE)&lt;-2),"",#REF!),"")</f>
        <v/>
      </c>
      <c r="V58">
        <f t="shared" si="0"/>
        <v>1</v>
      </c>
      <c r="W58" t="str">
        <f t="shared" si="1"/>
        <v/>
      </c>
      <c r="X58" t="str">
        <f t="shared" si="2"/>
        <v/>
      </c>
      <c r="Y58" t="str">
        <f t="shared" si="3"/>
        <v/>
      </c>
    </row>
    <row r="59" spans="1:25" x14ac:dyDescent="0.35">
      <c r="A59">
        <v>61</v>
      </c>
      <c r="B59" t="s">
        <v>617</v>
      </c>
      <c r="C59">
        <v>91800</v>
      </c>
      <c r="D59">
        <v>445</v>
      </c>
      <c r="E59" t="str">
        <f>IFERROR(IF(OR(HLOOKUP($A59,#REF!,3,FALSE)&gt;2,HLOOKUP(A59,#REF!,3,FALSE)&lt;-2),"",#REF!),"")</f>
        <v/>
      </c>
      <c r="F59" t="str">
        <f>IFERROR(IF(OR(HLOOKUP($A59,#REF!,4,FALSE)&gt;2,HLOOKUP($A59,#REF!,4,FALSE)&lt;-2),"",#REF!),"")</f>
        <v/>
      </c>
      <c r="G59" t="str">
        <f>IFERROR(IF(OR(HLOOKUP($A59,#REF!,5,FALSE)&gt;2,HLOOKUP($A59,#REF!,5,FALSE)&lt;-2),"",#REF!),"")</f>
        <v/>
      </c>
      <c r="H59" t="str">
        <f>IFERROR(IF(OR(HLOOKUP($A59,#REF!,6,FALSE)&gt;2,HLOOKUP($A59,#REF!,6,FALSE)&lt;-2),"",#REF!),"")</f>
        <v/>
      </c>
      <c r="I59" t="str">
        <f>IFERROR(IF(OR(HLOOKUP($A59,#REF!,7,FALSE)&gt;2,HLOOKUP($A59,#REF!,7,FALSE)&lt;-2),"",#REF!),"")</f>
        <v/>
      </c>
      <c r="J59" t="str">
        <f>IFERROR(IF(OR(HLOOKUP($A59,#REF!,8,FALSE)&gt;2,HLOOKUP($A59,#REF!,8,FALSE)&lt;-2),"",#REF!),"")</f>
        <v/>
      </c>
      <c r="K59" t="str">
        <f>IFERROR(IF(OR(HLOOKUP($A59,#REF!,9,FALSE)&gt;2,HLOOKUP($A59,#REF!,9,FALSE)&lt;-2),"",#REF!),"")</f>
        <v/>
      </c>
      <c r="L59" t="str">
        <f>IFERROR(IF(OR(HLOOKUP($A59,#REF!,10,FALSE)&gt;2,HLOOKUP($A59,#REF!,10,FALSE)&lt;-2),"",#REF!),"")</f>
        <v/>
      </c>
      <c r="M59" t="str">
        <f>IFERROR(IF(OR(HLOOKUP($A59,#REF!,11,FALSE)&gt;2,HLOOKUP($A59,#REF!,11,FALSE)&lt;-2),"",#REF!),"")</f>
        <v/>
      </c>
      <c r="N59" t="str">
        <f>IFERROR(IF(OR(HLOOKUP($A59,#REF!,12,FALSE)&gt;2,HLOOKUP($A59,#REF!,12,FALSE)&lt;-2),"",#REF!),"")</f>
        <v/>
      </c>
      <c r="O59" t="str">
        <f>IFERROR(IF(OR(HLOOKUP($A59,#REF!,13,FALSE)&gt;2,HLOOKUP($A59,#REF!,13,FALSE)&lt;-2),"",#REF!),"")</f>
        <v/>
      </c>
      <c r="P59" t="str">
        <f>IFERROR(IF(OR(HLOOKUP($A59,#REF!,14,FALSE)&gt;2,HLOOKUP($A59,#REF!,14,FALSE)&lt;-2),"",#REF!),"")</f>
        <v/>
      </c>
      <c r="Q59" t="str">
        <f>IFERROR(IF(OR(HLOOKUP($A59,#REF!,15,FALSE)&gt;2,HLOOKUP($A59,#REF!,15,FALSE)&lt;-2),"",#REF!),"")</f>
        <v/>
      </c>
      <c r="R59" t="str">
        <f>IFERROR(IF(OR(HLOOKUP($A59,#REF!,16,FALSE)&gt;2,HLOOKUP($A59,#REF!,16,FALSE)&lt;-2),"",#REF!),"")</f>
        <v/>
      </c>
      <c r="S59" t="str">
        <f>IFERROR(IF(OR(HLOOKUP($A59,#REF!,17,FALSE)&gt;2,HLOOKUP($A59,#REF!,17,FALSE)&lt;-2),"",#REF!),"")</f>
        <v/>
      </c>
      <c r="T59" t="str">
        <f>IFERROR(IF(OR(HLOOKUP($A59,#REF!,18,FALSE)&gt;2,HLOOKUP($A59,#REF!,18,FALSE)&lt;-2),"",#REF!),"")</f>
        <v/>
      </c>
      <c r="U59" t="str">
        <f>IFERROR(IF(OR(HLOOKUP($A59,#REF!,19,FALSE)&gt;2,HLOOKUP($A59,#REF!,19,FALSE)&lt;-2),"",#REF!),"")</f>
        <v/>
      </c>
      <c r="V59">
        <f t="shared" si="0"/>
        <v>1</v>
      </c>
      <c r="W59" t="str">
        <f t="shared" si="1"/>
        <v/>
      </c>
      <c r="X59" t="str">
        <f t="shared" si="2"/>
        <v/>
      </c>
      <c r="Y59" t="str">
        <f t="shared" si="3"/>
        <v/>
      </c>
    </row>
    <row r="60" spans="1:25" x14ac:dyDescent="0.35">
      <c r="A60">
        <v>62</v>
      </c>
      <c r="B60" t="s">
        <v>45</v>
      </c>
      <c r="C60">
        <v>99100</v>
      </c>
      <c r="D60">
        <v>832</v>
      </c>
      <c r="E60" t="str">
        <f>IFERROR(IF(OR(HLOOKUP($A60,#REF!,3,FALSE)&gt;2,HLOOKUP(A60,#REF!,3,FALSE)&lt;-2),"",#REF!),"")</f>
        <v/>
      </c>
      <c r="F60" t="str">
        <f>IFERROR(IF(OR(HLOOKUP($A60,#REF!,4,FALSE)&gt;2,HLOOKUP($A60,#REF!,4,FALSE)&lt;-2),"",#REF!),"")</f>
        <v/>
      </c>
      <c r="G60" t="str">
        <f>IFERROR(IF(OR(HLOOKUP($A60,#REF!,5,FALSE)&gt;2,HLOOKUP($A60,#REF!,5,FALSE)&lt;-2),"",#REF!),"")</f>
        <v/>
      </c>
      <c r="H60" t="str">
        <f>IFERROR(IF(OR(HLOOKUP($A60,#REF!,6,FALSE)&gt;2,HLOOKUP($A60,#REF!,6,FALSE)&lt;-2),"",#REF!),"")</f>
        <v/>
      </c>
      <c r="I60" t="str">
        <f>IFERROR(IF(OR(HLOOKUP($A60,#REF!,7,FALSE)&gt;2,HLOOKUP($A60,#REF!,7,FALSE)&lt;-2),"",#REF!),"")</f>
        <v/>
      </c>
      <c r="J60" t="str">
        <f>IFERROR(IF(OR(HLOOKUP($A60,#REF!,8,FALSE)&gt;2,HLOOKUP($A60,#REF!,8,FALSE)&lt;-2),"",#REF!),"")</f>
        <v/>
      </c>
      <c r="K60" t="str">
        <f>IFERROR(IF(OR(HLOOKUP($A60,#REF!,9,FALSE)&gt;2,HLOOKUP($A60,#REF!,9,FALSE)&lt;-2),"",#REF!),"")</f>
        <v/>
      </c>
      <c r="L60" t="str">
        <f>IFERROR(IF(OR(HLOOKUP($A60,#REF!,10,FALSE)&gt;2,HLOOKUP($A60,#REF!,10,FALSE)&lt;-2),"",#REF!),"")</f>
        <v/>
      </c>
      <c r="M60" t="str">
        <f>IFERROR(IF(OR(HLOOKUP($A60,#REF!,11,FALSE)&gt;2,HLOOKUP($A60,#REF!,11,FALSE)&lt;-2),"",#REF!),"")</f>
        <v/>
      </c>
      <c r="N60" t="str">
        <f>IFERROR(IF(OR(HLOOKUP($A60,#REF!,12,FALSE)&gt;2,HLOOKUP($A60,#REF!,12,FALSE)&lt;-2),"",#REF!),"")</f>
        <v/>
      </c>
      <c r="O60" t="str">
        <f>IFERROR(IF(OR(HLOOKUP($A60,#REF!,13,FALSE)&gt;2,HLOOKUP($A60,#REF!,13,FALSE)&lt;-2),"",#REF!),"")</f>
        <v/>
      </c>
      <c r="P60" t="str">
        <f>IFERROR(IF(OR(HLOOKUP($A60,#REF!,14,FALSE)&gt;2,HLOOKUP($A60,#REF!,14,FALSE)&lt;-2),"",#REF!),"")</f>
        <v/>
      </c>
      <c r="Q60" t="str">
        <f>IFERROR(IF(OR(HLOOKUP($A60,#REF!,15,FALSE)&gt;2,HLOOKUP($A60,#REF!,15,FALSE)&lt;-2),"",#REF!),"")</f>
        <v/>
      </c>
      <c r="R60" t="str">
        <f>IFERROR(IF(OR(HLOOKUP($A60,#REF!,16,FALSE)&gt;2,HLOOKUP($A60,#REF!,16,FALSE)&lt;-2),"",#REF!),"")</f>
        <v/>
      </c>
      <c r="S60" t="str">
        <f>IFERROR(IF(OR(HLOOKUP($A60,#REF!,17,FALSE)&gt;2,HLOOKUP($A60,#REF!,17,FALSE)&lt;-2),"",#REF!),"")</f>
        <v/>
      </c>
      <c r="T60" t="str">
        <f>IFERROR(IF(OR(HLOOKUP($A60,#REF!,18,FALSE)&gt;2,HLOOKUP($A60,#REF!,18,FALSE)&lt;-2),"",#REF!),"")</f>
        <v/>
      </c>
      <c r="U60" t="str">
        <f>IFERROR(IF(OR(HLOOKUP($A60,#REF!,19,FALSE)&gt;2,HLOOKUP($A60,#REF!,19,FALSE)&lt;-2),"",#REF!),"")</f>
        <v/>
      </c>
      <c r="V60">
        <f t="shared" si="0"/>
        <v>1</v>
      </c>
      <c r="W60" t="str">
        <f t="shared" si="1"/>
        <v/>
      </c>
      <c r="X60" t="str">
        <f t="shared" si="2"/>
        <v/>
      </c>
      <c r="Y60" t="str">
        <f t="shared" si="3"/>
        <v/>
      </c>
    </row>
    <row r="61" spans="1:25" x14ac:dyDescent="0.35">
      <c r="A61">
        <v>63</v>
      </c>
      <c r="B61" t="s">
        <v>46</v>
      </c>
      <c r="C61">
        <v>76200</v>
      </c>
      <c r="D61">
        <v>467</v>
      </c>
      <c r="E61" t="str">
        <f>IFERROR(IF(OR(HLOOKUP($A61,#REF!,3,FALSE)&gt;2,HLOOKUP(A61,#REF!,3,FALSE)&lt;-2),"",#REF!),"")</f>
        <v/>
      </c>
      <c r="F61" t="str">
        <f>IFERROR(IF(OR(HLOOKUP($A61,#REF!,4,FALSE)&gt;2,HLOOKUP($A61,#REF!,4,FALSE)&lt;-2),"",#REF!),"")</f>
        <v/>
      </c>
      <c r="G61" t="str">
        <f>IFERROR(IF(OR(HLOOKUP($A61,#REF!,5,FALSE)&gt;2,HLOOKUP($A61,#REF!,5,FALSE)&lt;-2),"",#REF!),"")</f>
        <v/>
      </c>
      <c r="H61" t="str">
        <f>IFERROR(IF(OR(HLOOKUP($A61,#REF!,6,FALSE)&gt;2,HLOOKUP($A61,#REF!,6,FALSE)&lt;-2),"",#REF!),"")</f>
        <v/>
      </c>
      <c r="I61" t="str">
        <f>IFERROR(IF(OR(HLOOKUP($A61,#REF!,7,FALSE)&gt;2,HLOOKUP($A61,#REF!,7,FALSE)&lt;-2),"",#REF!),"")</f>
        <v/>
      </c>
      <c r="J61" t="str">
        <f>IFERROR(IF(OR(HLOOKUP($A61,#REF!,8,FALSE)&gt;2,HLOOKUP($A61,#REF!,8,FALSE)&lt;-2),"",#REF!),"")</f>
        <v/>
      </c>
      <c r="K61" t="str">
        <f>IFERROR(IF(OR(HLOOKUP($A61,#REF!,9,FALSE)&gt;2,HLOOKUP($A61,#REF!,9,FALSE)&lt;-2),"",#REF!),"")</f>
        <v/>
      </c>
      <c r="L61" t="str">
        <f>IFERROR(IF(OR(HLOOKUP($A61,#REF!,10,FALSE)&gt;2,HLOOKUP($A61,#REF!,10,FALSE)&lt;-2),"",#REF!),"")</f>
        <v/>
      </c>
      <c r="M61" t="str">
        <f>IFERROR(IF(OR(HLOOKUP($A61,#REF!,11,FALSE)&gt;2,HLOOKUP($A61,#REF!,11,FALSE)&lt;-2),"",#REF!),"")</f>
        <v/>
      </c>
      <c r="N61" t="str">
        <f>IFERROR(IF(OR(HLOOKUP($A61,#REF!,12,FALSE)&gt;2,HLOOKUP($A61,#REF!,12,FALSE)&lt;-2),"",#REF!),"")</f>
        <v/>
      </c>
      <c r="O61" t="str">
        <f>IFERROR(IF(OR(HLOOKUP($A61,#REF!,13,FALSE)&gt;2,HLOOKUP($A61,#REF!,13,FALSE)&lt;-2),"",#REF!),"")</f>
        <v/>
      </c>
      <c r="P61" t="str">
        <f>IFERROR(IF(OR(HLOOKUP($A61,#REF!,14,FALSE)&gt;2,HLOOKUP($A61,#REF!,14,FALSE)&lt;-2),"",#REF!),"")</f>
        <v/>
      </c>
      <c r="Q61" t="str">
        <f>IFERROR(IF(OR(HLOOKUP($A61,#REF!,15,FALSE)&gt;2,HLOOKUP($A61,#REF!,15,FALSE)&lt;-2),"",#REF!),"")</f>
        <v/>
      </c>
      <c r="R61" t="str">
        <f>IFERROR(IF(OR(HLOOKUP($A61,#REF!,16,FALSE)&gt;2,HLOOKUP($A61,#REF!,16,FALSE)&lt;-2),"",#REF!),"")</f>
        <v/>
      </c>
      <c r="S61" t="str">
        <f>IFERROR(IF(OR(HLOOKUP($A61,#REF!,17,FALSE)&gt;2,HLOOKUP($A61,#REF!,17,FALSE)&lt;-2),"",#REF!),"")</f>
        <v/>
      </c>
      <c r="T61" t="str">
        <f>IFERROR(IF(OR(HLOOKUP($A61,#REF!,18,FALSE)&gt;2,HLOOKUP($A61,#REF!,18,FALSE)&lt;-2),"",#REF!),"")</f>
        <v/>
      </c>
      <c r="U61" t="str">
        <f>IFERROR(IF(OR(HLOOKUP($A61,#REF!,19,FALSE)&gt;2,HLOOKUP($A61,#REF!,19,FALSE)&lt;-2),"",#REF!),"")</f>
        <v/>
      </c>
      <c r="V61">
        <f t="shared" si="0"/>
        <v>1</v>
      </c>
      <c r="W61" t="str">
        <f t="shared" si="1"/>
        <v/>
      </c>
      <c r="X61" t="str">
        <f t="shared" si="2"/>
        <v/>
      </c>
      <c r="Y61" t="str">
        <f t="shared" si="3"/>
        <v/>
      </c>
    </row>
    <row r="62" spans="1:25" x14ac:dyDescent="0.35">
      <c r="A62">
        <v>64</v>
      </c>
      <c r="B62" t="s">
        <v>47</v>
      </c>
      <c r="C62">
        <v>66700</v>
      </c>
      <c r="D62">
        <v>239</v>
      </c>
      <c r="E62" t="str">
        <f>IFERROR(IF(OR(HLOOKUP($A62,#REF!,3,FALSE)&gt;2,HLOOKUP(A62,#REF!,3,FALSE)&lt;-2),"",#REF!),"")</f>
        <v/>
      </c>
      <c r="F62" t="str">
        <f>IFERROR(IF(OR(HLOOKUP($A62,#REF!,4,FALSE)&gt;2,HLOOKUP($A62,#REF!,4,FALSE)&lt;-2),"",#REF!),"")</f>
        <v/>
      </c>
      <c r="G62" t="str">
        <f>IFERROR(IF(OR(HLOOKUP($A62,#REF!,5,FALSE)&gt;2,HLOOKUP($A62,#REF!,5,FALSE)&lt;-2),"",#REF!),"")</f>
        <v/>
      </c>
      <c r="H62" t="str">
        <f>IFERROR(IF(OR(HLOOKUP($A62,#REF!,6,FALSE)&gt;2,HLOOKUP($A62,#REF!,6,FALSE)&lt;-2),"",#REF!),"")</f>
        <v/>
      </c>
      <c r="I62" t="str">
        <f>IFERROR(IF(OR(HLOOKUP($A62,#REF!,7,FALSE)&gt;2,HLOOKUP($A62,#REF!,7,FALSE)&lt;-2),"",#REF!),"")</f>
        <v/>
      </c>
      <c r="J62" t="str">
        <f>IFERROR(IF(OR(HLOOKUP($A62,#REF!,8,FALSE)&gt;2,HLOOKUP($A62,#REF!,8,FALSE)&lt;-2),"",#REF!),"")</f>
        <v/>
      </c>
      <c r="K62" t="str">
        <f>IFERROR(IF(OR(HLOOKUP($A62,#REF!,9,FALSE)&gt;2,HLOOKUP($A62,#REF!,9,FALSE)&lt;-2),"",#REF!),"")</f>
        <v/>
      </c>
      <c r="L62" t="str">
        <f>IFERROR(IF(OR(HLOOKUP($A62,#REF!,10,FALSE)&gt;2,HLOOKUP($A62,#REF!,10,FALSE)&lt;-2),"",#REF!),"")</f>
        <v/>
      </c>
      <c r="M62" t="str">
        <f>IFERROR(IF(OR(HLOOKUP($A62,#REF!,11,FALSE)&gt;2,HLOOKUP($A62,#REF!,11,FALSE)&lt;-2),"",#REF!),"")</f>
        <v/>
      </c>
      <c r="N62" t="str">
        <f>IFERROR(IF(OR(HLOOKUP($A62,#REF!,12,FALSE)&gt;2,HLOOKUP($A62,#REF!,12,FALSE)&lt;-2),"",#REF!),"")</f>
        <v/>
      </c>
      <c r="O62" t="str">
        <f>IFERROR(IF(OR(HLOOKUP($A62,#REF!,13,FALSE)&gt;2,HLOOKUP($A62,#REF!,13,FALSE)&lt;-2),"",#REF!),"")</f>
        <v/>
      </c>
      <c r="P62" t="str">
        <f>IFERROR(IF(OR(HLOOKUP($A62,#REF!,14,FALSE)&gt;2,HLOOKUP($A62,#REF!,14,FALSE)&lt;-2),"",#REF!),"")</f>
        <v/>
      </c>
      <c r="Q62" t="str">
        <f>IFERROR(IF(OR(HLOOKUP($A62,#REF!,15,FALSE)&gt;2,HLOOKUP($A62,#REF!,15,FALSE)&lt;-2),"",#REF!),"")</f>
        <v/>
      </c>
      <c r="R62" t="str">
        <f>IFERROR(IF(OR(HLOOKUP($A62,#REF!,16,FALSE)&gt;2,HLOOKUP($A62,#REF!,16,FALSE)&lt;-2),"",#REF!),"")</f>
        <v/>
      </c>
      <c r="S62" t="str">
        <f>IFERROR(IF(OR(HLOOKUP($A62,#REF!,17,FALSE)&gt;2,HLOOKUP($A62,#REF!,17,FALSE)&lt;-2),"",#REF!),"")</f>
        <v/>
      </c>
      <c r="T62" t="str">
        <f>IFERROR(IF(OR(HLOOKUP($A62,#REF!,18,FALSE)&gt;2,HLOOKUP($A62,#REF!,18,FALSE)&lt;-2),"",#REF!),"")</f>
        <v/>
      </c>
      <c r="U62" t="str">
        <f>IFERROR(IF(OR(HLOOKUP($A62,#REF!,19,FALSE)&gt;2,HLOOKUP($A62,#REF!,19,FALSE)&lt;-2),"",#REF!),"")</f>
        <v/>
      </c>
      <c r="V62">
        <f t="shared" si="0"/>
        <v>1</v>
      </c>
      <c r="W62" t="str">
        <f t="shared" si="1"/>
        <v/>
      </c>
      <c r="X62" t="str">
        <f t="shared" si="2"/>
        <v/>
      </c>
      <c r="Y62" t="str">
        <f t="shared" si="3"/>
        <v/>
      </c>
    </row>
    <row r="63" spans="1:25" x14ac:dyDescent="0.35">
      <c r="A63">
        <v>65</v>
      </c>
      <c r="B63" t="s">
        <v>618</v>
      </c>
      <c r="C63">
        <v>119000</v>
      </c>
      <c r="D63">
        <v>1040</v>
      </c>
      <c r="E63" t="str">
        <f>IFERROR(IF(OR(HLOOKUP($A63,#REF!,3,FALSE)&gt;2,HLOOKUP(A63,#REF!,3,FALSE)&lt;-2),"",#REF!),"")</f>
        <v/>
      </c>
      <c r="F63" t="str">
        <f>IFERROR(IF(OR(HLOOKUP($A63,#REF!,4,FALSE)&gt;2,HLOOKUP($A63,#REF!,4,FALSE)&lt;-2),"",#REF!),"")</f>
        <v/>
      </c>
      <c r="G63" t="str">
        <f>IFERROR(IF(OR(HLOOKUP($A63,#REF!,5,FALSE)&gt;2,HLOOKUP($A63,#REF!,5,FALSE)&lt;-2),"",#REF!),"")</f>
        <v/>
      </c>
      <c r="H63" t="str">
        <f>IFERROR(IF(OR(HLOOKUP($A63,#REF!,6,FALSE)&gt;2,HLOOKUP($A63,#REF!,6,FALSE)&lt;-2),"",#REF!),"")</f>
        <v/>
      </c>
      <c r="I63" t="str">
        <f>IFERROR(IF(OR(HLOOKUP($A63,#REF!,7,FALSE)&gt;2,HLOOKUP($A63,#REF!,7,FALSE)&lt;-2),"",#REF!),"")</f>
        <v/>
      </c>
      <c r="J63" t="str">
        <f>IFERROR(IF(OR(HLOOKUP($A63,#REF!,8,FALSE)&gt;2,HLOOKUP($A63,#REF!,8,FALSE)&lt;-2),"",#REF!),"")</f>
        <v/>
      </c>
      <c r="K63" t="str">
        <f>IFERROR(IF(OR(HLOOKUP($A63,#REF!,9,FALSE)&gt;2,HLOOKUP($A63,#REF!,9,FALSE)&lt;-2),"",#REF!),"")</f>
        <v/>
      </c>
      <c r="L63" t="str">
        <f>IFERROR(IF(OR(HLOOKUP($A63,#REF!,10,FALSE)&gt;2,HLOOKUP($A63,#REF!,10,FALSE)&lt;-2),"",#REF!),"")</f>
        <v/>
      </c>
      <c r="M63" t="str">
        <f>IFERROR(IF(OR(HLOOKUP($A63,#REF!,11,FALSE)&gt;2,HLOOKUP($A63,#REF!,11,FALSE)&lt;-2),"",#REF!),"")</f>
        <v/>
      </c>
      <c r="N63" t="str">
        <f>IFERROR(IF(OR(HLOOKUP($A63,#REF!,12,FALSE)&gt;2,HLOOKUP($A63,#REF!,12,FALSE)&lt;-2),"",#REF!),"")</f>
        <v/>
      </c>
      <c r="O63" t="str">
        <f>IFERROR(IF(OR(HLOOKUP($A63,#REF!,13,FALSE)&gt;2,HLOOKUP($A63,#REF!,13,FALSE)&lt;-2),"",#REF!),"")</f>
        <v/>
      </c>
      <c r="P63" t="str">
        <f>IFERROR(IF(OR(HLOOKUP($A63,#REF!,14,FALSE)&gt;2,HLOOKUP($A63,#REF!,14,FALSE)&lt;-2),"",#REF!),"")</f>
        <v/>
      </c>
      <c r="Q63" t="str">
        <f>IFERROR(IF(OR(HLOOKUP($A63,#REF!,15,FALSE)&gt;2,HLOOKUP($A63,#REF!,15,FALSE)&lt;-2),"",#REF!),"")</f>
        <v/>
      </c>
      <c r="R63" t="str">
        <f>IFERROR(IF(OR(HLOOKUP($A63,#REF!,16,FALSE)&gt;2,HLOOKUP($A63,#REF!,16,FALSE)&lt;-2),"",#REF!),"")</f>
        <v/>
      </c>
      <c r="S63" t="str">
        <f>IFERROR(IF(OR(HLOOKUP($A63,#REF!,17,FALSE)&gt;2,HLOOKUP($A63,#REF!,17,FALSE)&lt;-2),"",#REF!),"")</f>
        <v/>
      </c>
      <c r="T63" t="str">
        <f>IFERROR(IF(OR(HLOOKUP($A63,#REF!,18,FALSE)&gt;2,HLOOKUP($A63,#REF!,18,FALSE)&lt;-2),"",#REF!),"")</f>
        <v/>
      </c>
      <c r="U63" t="str">
        <f>IFERROR(IF(OR(HLOOKUP($A63,#REF!,19,FALSE)&gt;2,HLOOKUP($A63,#REF!,19,FALSE)&lt;-2),"",#REF!),"")</f>
        <v/>
      </c>
      <c r="V63">
        <f t="shared" si="0"/>
        <v>1</v>
      </c>
      <c r="W63" t="str">
        <f t="shared" si="1"/>
        <v/>
      </c>
      <c r="X63" t="str">
        <f t="shared" si="2"/>
        <v/>
      </c>
      <c r="Y63" t="str">
        <f t="shared" si="3"/>
        <v/>
      </c>
    </row>
    <row r="64" spans="1:25" x14ac:dyDescent="0.35">
      <c r="A64">
        <v>66</v>
      </c>
      <c r="B64" t="s">
        <v>48</v>
      </c>
      <c r="C64">
        <v>83300</v>
      </c>
      <c r="D64">
        <v>323</v>
      </c>
      <c r="E64" t="str">
        <f>IFERROR(IF(OR(HLOOKUP($A64,#REF!,3,FALSE)&gt;2,HLOOKUP(A64,#REF!,3,FALSE)&lt;-2),"",#REF!),"")</f>
        <v/>
      </c>
      <c r="F64" t="str">
        <f>IFERROR(IF(OR(HLOOKUP($A64,#REF!,4,FALSE)&gt;2,HLOOKUP($A64,#REF!,4,FALSE)&lt;-2),"",#REF!),"")</f>
        <v/>
      </c>
      <c r="G64" t="str">
        <f>IFERROR(IF(OR(HLOOKUP($A64,#REF!,5,FALSE)&gt;2,HLOOKUP($A64,#REF!,5,FALSE)&lt;-2),"",#REF!),"")</f>
        <v/>
      </c>
      <c r="H64" t="str">
        <f>IFERROR(IF(OR(HLOOKUP($A64,#REF!,6,FALSE)&gt;2,HLOOKUP($A64,#REF!,6,FALSE)&lt;-2),"",#REF!),"")</f>
        <v/>
      </c>
      <c r="I64" t="str">
        <f>IFERROR(IF(OR(HLOOKUP($A64,#REF!,7,FALSE)&gt;2,HLOOKUP($A64,#REF!,7,FALSE)&lt;-2),"",#REF!),"")</f>
        <v/>
      </c>
      <c r="J64" t="str">
        <f>IFERROR(IF(OR(HLOOKUP($A64,#REF!,8,FALSE)&gt;2,HLOOKUP($A64,#REF!,8,FALSE)&lt;-2),"",#REF!),"")</f>
        <v/>
      </c>
      <c r="K64" t="str">
        <f>IFERROR(IF(OR(HLOOKUP($A64,#REF!,9,FALSE)&gt;2,HLOOKUP($A64,#REF!,9,FALSE)&lt;-2),"",#REF!),"")</f>
        <v/>
      </c>
      <c r="L64" t="str">
        <f>IFERROR(IF(OR(HLOOKUP($A64,#REF!,10,FALSE)&gt;2,HLOOKUP($A64,#REF!,10,FALSE)&lt;-2),"",#REF!),"")</f>
        <v/>
      </c>
      <c r="M64" t="str">
        <f>IFERROR(IF(OR(HLOOKUP($A64,#REF!,11,FALSE)&gt;2,HLOOKUP($A64,#REF!,11,FALSE)&lt;-2),"",#REF!),"")</f>
        <v/>
      </c>
      <c r="N64" t="str">
        <f>IFERROR(IF(OR(HLOOKUP($A64,#REF!,12,FALSE)&gt;2,HLOOKUP($A64,#REF!,12,FALSE)&lt;-2),"",#REF!),"")</f>
        <v/>
      </c>
      <c r="O64" t="str">
        <f>IFERROR(IF(OR(HLOOKUP($A64,#REF!,13,FALSE)&gt;2,HLOOKUP($A64,#REF!,13,FALSE)&lt;-2),"",#REF!),"")</f>
        <v/>
      </c>
      <c r="P64" t="str">
        <f>IFERROR(IF(OR(HLOOKUP($A64,#REF!,14,FALSE)&gt;2,HLOOKUP($A64,#REF!,14,FALSE)&lt;-2),"",#REF!),"")</f>
        <v/>
      </c>
      <c r="Q64" t="str">
        <f>IFERROR(IF(OR(HLOOKUP($A64,#REF!,15,FALSE)&gt;2,HLOOKUP($A64,#REF!,15,FALSE)&lt;-2),"",#REF!),"")</f>
        <v/>
      </c>
      <c r="R64" t="str">
        <f>IFERROR(IF(OR(HLOOKUP($A64,#REF!,16,FALSE)&gt;2,HLOOKUP($A64,#REF!,16,FALSE)&lt;-2),"",#REF!),"")</f>
        <v/>
      </c>
      <c r="S64" t="str">
        <f>IFERROR(IF(OR(HLOOKUP($A64,#REF!,17,FALSE)&gt;2,HLOOKUP($A64,#REF!,17,FALSE)&lt;-2),"",#REF!),"")</f>
        <v/>
      </c>
      <c r="T64" t="str">
        <f>IFERROR(IF(OR(HLOOKUP($A64,#REF!,18,FALSE)&gt;2,HLOOKUP($A64,#REF!,18,FALSE)&lt;-2),"",#REF!),"")</f>
        <v/>
      </c>
      <c r="U64" t="str">
        <f>IFERROR(IF(OR(HLOOKUP($A64,#REF!,19,FALSE)&gt;2,HLOOKUP($A64,#REF!,19,FALSE)&lt;-2),"",#REF!),"")</f>
        <v/>
      </c>
      <c r="V64">
        <f t="shared" si="0"/>
        <v>1</v>
      </c>
      <c r="W64" t="str">
        <f t="shared" si="1"/>
        <v/>
      </c>
      <c r="X64" t="str">
        <f t="shared" si="2"/>
        <v/>
      </c>
      <c r="Y64" t="str">
        <f t="shared" si="3"/>
        <v/>
      </c>
    </row>
    <row r="65" spans="1:25" x14ac:dyDescent="0.35">
      <c r="A65">
        <v>67</v>
      </c>
      <c r="B65" t="s">
        <v>49</v>
      </c>
      <c r="C65">
        <v>81700</v>
      </c>
      <c r="D65">
        <v>795</v>
      </c>
      <c r="E65" t="str">
        <f>IFERROR(IF(OR(HLOOKUP($A65,#REF!,3,FALSE)&gt;2,HLOOKUP(A65,#REF!,3,FALSE)&lt;-2),"",#REF!),"")</f>
        <v/>
      </c>
      <c r="F65" t="str">
        <f>IFERROR(IF(OR(HLOOKUP($A65,#REF!,4,FALSE)&gt;2,HLOOKUP($A65,#REF!,4,FALSE)&lt;-2),"",#REF!),"")</f>
        <v/>
      </c>
      <c r="G65" t="str">
        <f>IFERROR(IF(OR(HLOOKUP($A65,#REF!,5,FALSE)&gt;2,HLOOKUP($A65,#REF!,5,FALSE)&lt;-2),"",#REF!),"")</f>
        <v/>
      </c>
      <c r="H65" t="str">
        <f>IFERROR(IF(OR(HLOOKUP($A65,#REF!,6,FALSE)&gt;2,HLOOKUP($A65,#REF!,6,FALSE)&lt;-2),"",#REF!),"")</f>
        <v/>
      </c>
      <c r="I65" t="str">
        <f>IFERROR(IF(OR(HLOOKUP($A65,#REF!,7,FALSE)&gt;2,HLOOKUP($A65,#REF!,7,FALSE)&lt;-2),"",#REF!),"")</f>
        <v/>
      </c>
      <c r="J65" t="str">
        <f>IFERROR(IF(OR(HLOOKUP($A65,#REF!,8,FALSE)&gt;2,HLOOKUP($A65,#REF!,8,FALSE)&lt;-2),"",#REF!),"")</f>
        <v/>
      </c>
      <c r="K65" t="str">
        <f>IFERROR(IF(OR(HLOOKUP($A65,#REF!,9,FALSE)&gt;2,HLOOKUP($A65,#REF!,9,FALSE)&lt;-2),"",#REF!),"")</f>
        <v/>
      </c>
      <c r="L65" t="str">
        <f>IFERROR(IF(OR(HLOOKUP($A65,#REF!,10,FALSE)&gt;2,HLOOKUP($A65,#REF!,10,FALSE)&lt;-2),"",#REF!),"")</f>
        <v/>
      </c>
      <c r="M65" t="str">
        <f>IFERROR(IF(OR(HLOOKUP($A65,#REF!,11,FALSE)&gt;2,HLOOKUP($A65,#REF!,11,FALSE)&lt;-2),"",#REF!),"")</f>
        <v/>
      </c>
      <c r="N65" t="str">
        <f>IFERROR(IF(OR(HLOOKUP($A65,#REF!,12,FALSE)&gt;2,HLOOKUP($A65,#REF!,12,FALSE)&lt;-2),"",#REF!),"")</f>
        <v/>
      </c>
      <c r="O65" t="str">
        <f>IFERROR(IF(OR(HLOOKUP($A65,#REF!,13,FALSE)&gt;2,HLOOKUP($A65,#REF!,13,FALSE)&lt;-2),"",#REF!),"")</f>
        <v/>
      </c>
      <c r="P65" t="str">
        <f>IFERROR(IF(OR(HLOOKUP($A65,#REF!,14,FALSE)&gt;2,HLOOKUP($A65,#REF!,14,FALSE)&lt;-2),"",#REF!),"")</f>
        <v/>
      </c>
      <c r="Q65" t="str">
        <f>IFERROR(IF(OR(HLOOKUP($A65,#REF!,15,FALSE)&gt;2,HLOOKUP($A65,#REF!,15,FALSE)&lt;-2),"",#REF!),"")</f>
        <v/>
      </c>
      <c r="R65" t="str">
        <f>IFERROR(IF(OR(HLOOKUP($A65,#REF!,16,FALSE)&gt;2,HLOOKUP($A65,#REF!,16,FALSE)&lt;-2),"",#REF!),"")</f>
        <v/>
      </c>
      <c r="S65" t="str">
        <f>IFERROR(IF(OR(HLOOKUP($A65,#REF!,17,FALSE)&gt;2,HLOOKUP($A65,#REF!,17,FALSE)&lt;-2),"",#REF!),"")</f>
        <v/>
      </c>
      <c r="T65" t="str">
        <f>IFERROR(IF(OR(HLOOKUP($A65,#REF!,18,FALSE)&gt;2,HLOOKUP($A65,#REF!,18,FALSE)&lt;-2),"",#REF!),"")</f>
        <v/>
      </c>
      <c r="U65" t="str">
        <f>IFERROR(IF(OR(HLOOKUP($A65,#REF!,19,FALSE)&gt;2,HLOOKUP($A65,#REF!,19,FALSE)&lt;-2),"",#REF!),"")</f>
        <v/>
      </c>
      <c r="V65">
        <f t="shared" si="0"/>
        <v>1</v>
      </c>
      <c r="W65" t="str">
        <f t="shared" si="1"/>
        <v/>
      </c>
      <c r="X65" t="str">
        <f t="shared" si="2"/>
        <v/>
      </c>
      <c r="Y65" t="str">
        <f t="shared" si="3"/>
        <v/>
      </c>
    </row>
    <row r="66" spans="1:25" x14ac:dyDescent="0.35">
      <c r="A66">
        <v>68</v>
      </c>
      <c r="B66" t="s">
        <v>50</v>
      </c>
      <c r="C66">
        <v>700</v>
      </c>
      <c r="D66">
        <v>184</v>
      </c>
      <c r="E66" t="str">
        <f>IFERROR(IF(OR(HLOOKUP($A66,#REF!,3,FALSE)&gt;2,HLOOKUP(A66,#REF!,3,FALSE)&lt;-2),"",#REF!),"")</f>
        <v/>
      </c>
      <c r="F66" t="str">
        <f>IFERROR(IF(OR(HLOOKUP($A66,#REF!,4,FALSE)&gt;2,HLOOKUP($A66,#REF!,4,FALSE)&lt;-2),"",#REF!),"")</f>
        <v/>
      </c>
      <c r="G66" t="str">
        <f>IFERROR(IF(OR(HLOOKUP($A66,#REF!,5,FALSE)&gt;2,HLOOKUP($A66,#REF!,5,FALSE)&lt;-2),"",#REF!),"")</f>
        <v/>
      </c>
      <c r="H66" t="str">
        <f>IFERROR(IF(OR(HLOOKUP($A66,#REF!,6,FALSE)&gt;2,HLOOKUP($A66,#REF!,6,FALSE)&lt;-2),"",#REF!),"")</f>
        <v/>
      </c>
      <c r="I66" t="str">
        <f>IFERROR(IF(OR(HLOOKUP($A66,#REF!,7,FALSE)&gt;2,HLOOKUP($A66,#REF!,7,FALSE)&lt;-2),"",#REF!),"")</f>
        <v/>
      </c>
      <c r="J66" t="str">
        <f>IFERROR(IF(OR(HLOOKUP($A66,#REF!,8,FALSE)&gt;2,HLOOKUP($A66,#REF!,8,FALSE)&lt;-2),"",#REF!),"")</f>
        <v/>
      </c>
      <c r="K66" t="str">
        <f>IFERROR(IF(OR(HLOOKUP($A66,#REF!,9,FALSE)&gt;2,HLOOKUP($A66,#REF!,9,FALSE)&lt;-2),"",#REF!),"")</f>
        <v/>
      </c>
      <c r="L66" t="str">
        <f>IFERROR(IF(OR(HLOOKUP($A66,#REF!,10,FALSE)&gt;2,HLOOKUP($A66,#REF!,10,FALSE)&lt;-2),"",#REF!),"")</f>
        <v/>
      </c>
      <c r="M66" t="str">
        <f>IFERROR(IF(OR(HLOOKUP($A66,#REF!,11,FALSE)&gt;2,HLOOKUP($A66,#REF!,11,FALSE)&lt;-2),"",#REF!),"")</f>
        <v/>
      </c>
      <c r="N66" t="str">
        <f>IFERROR(IF(OR(HLOOKUP($A66,#REF!,12,FALSE)&gt;2,HLOOKUP($A66,#REF!,12,FALSE)&lt;-2),"",#REF!),"")</f>
        <v/>
      </c>
      <c r="O66" t="str">
        <f>IFERROR(IF(OR(HLOOKUP($A66,#REF!,13,FALSE)&gt;2,HLOOKUP($A66,#REF!,13,FALSE)&lt;-2),"",#REF!),"")</f>
        <v/>
      </c>
      <c r="P66" t="str">
        <f>IFERROR(IF(OR(HLOOKUP($A66,#REF!,14,FALSE)&gt;2,HLOOKUP($A66,#REF!,14,FALSE)&lt;-2),"",#REF!),"")</f>
        <v/>
      </c>
      <c r="Q66" t="str">
        <f>IFERROR(IF(OR(HLOOKUP($A66,#REF!,15,FALSE)&gt;2,HLOOKUP($A66,#REF!,15,FALSE)&lt;-2),"",#REF!),"")</f>
        <v/>
      </c>
      <c r="R66" t="str">
        <f>IFERROR(IF(OR(HLOOKUP($A66,#REF!,16,FALSE)&gt;2,HLOOKUP($A66,#REF!,16,FALSE)&lt;-2),"",#REF!),"")</f>
        <v/>
      </c>
      <c r="S66" t="str">
        <f>IFERROR(IF(OR(HLOOKUP($A66,#REF!,17,FALSE)&gt;2,HLOOKUP($A66,#REF!,17,FALSE)&lt;-2),"",#REF!),"")</f>
        <v/>
      </c>
      <c r="T66" t="str">
        <f>IFERROR(IF(OR(HLOOKUP($A66,#REF!,18,FALSE)&gt;2,HLOOKUP($A66,#REF!,18,FALSE)&lt;-2),"",#REF!),"")</f>
        <v/>
      </c>
      <c r="U66" t="str">
        <f>IFERROR(IF(OR(HLOOKUP($A66,#REF!,19,FALSE)&gt;2,HLOOKUP($A66,#REF!,19,FALSE)&lt;-2),"",#REF!),"")</f>
        <v/>
      </c>
      <c r="V66">
        <f t="shared" si="0"/>
        <v>1</v>
      </c>
      <c r="W66" t="str">
        <f t="shared" si="1"/>
        <v/>
      </c>
      <c r="X66" t="str">
        <f t="shared" si="2"/>
        <v/>
      </c>
      <c r="Y66" t="str">
        <f t="shared" si="3"/>
        <v/>
      </c>
    </row>
    <row r="67" spans="1:25" x14ac:dyDescent="0.35">
      <c r="A67">
        <v>69</v>
      </c>
      <c r="B67" t="s">
        <v>619</v>
      </c>
      <c r="C67">
        <v>92000</v>
      </c>
      <c r="D67">
        <v>445</v>
      </c>
      <c r="E67" t="str">
        <f>IFERROR(IF(OR(HLOOKUP($A67,#REF!,3,FALSE)&gt;2,HLOOKUP(A67,#REF!,3,FALSE)&lt;-2),"",#REF!),"")</f>
        <v/>
      </c>
      <c r="F67" t="str">
        <f>IFERROR(IF(OR(HLOOKUP($A67,#REF!,4,FALSE)&gt;2,HLOOKUP($A67,#REF!,4,FALSE)&lt;-2),"",#REF!),"")</f>
        <v/>
      </c>
      <c r="G67" t="str">
        <f>IFERROR(IF(OR(HLOOKUP($A67,#REF!,5,FALSE)&gt;2,HLOOKUP($A67,#REF!,5,FALSE)&lt;-2),"",#REF!),"")</f>
        <v/>
      </c>
      <c r="H67" t="str">
        <f>IFERROR(IF(OR(HLOOKUP($A67,#REF!,6,FALSE)&gt;2,HLOOKUP($A67,#REF!,6,FALSE)&lt;-2),"",#REF!),"")</f>
        <v/>
      </c>
      <c r="I67" t="str">
        <f>IFERROR(IF(OR(HLOOKUP($A67,#REF!,7,FALSE)&gt;2,HLOOKUP($A67,#REF!,7,FALSE)&lt;-2),"",#REF!),"")</f>
        <v/>
      </c>
      <c r="J67" t="str">
        <f>IFERROR(IF(OR(HLOOKUP($A67,#REF!,8,FALSE)&gt;2,HLOOKUP($A67,#REF!,8,FALSE)&lt;-2),"",#REF!),"")</f>
        <v/>
      </c>
      <c r="K67" t="str">
        <f>IFERROR(IF(OR(HLOOKUP($A67,#REF!,9,FALSE)&gt;2,HLOOKUP($A67,#REF!,9,FALSE)&lt;-2),"",#REF!),"")</f>
        <v/>
      </c>
      <c r="L67" t="str">
        <f>IFERROR(IF(OR(HLOOKUP($A67,#REF!,10,FALSE)&gt;2,HLOOKUP($A67,#REF!,10,FALSE)&lt;-2),"",#REF!),"")</f>
        <v/>
      </c>
      <c r="M67" t="str">
        <f>IFERROR(IF(OR(HLOOKUP($A67,#REF!,11,FALSE)&gt;2,HLOOKUP($A67,#REF!,11,FALSE)&lt;-2),"",#REF!),"")</f>
        <v/>
      </c>
      <c r="N67" t="str">
        <f>IFERROR(IF(OR(HLOOKUP($A67,#REF!,12,FALSE)&gt;2,HLOOKUP($A67,#REF!,12,FALSE)&lt;-2),"",#REF!),"")</f>
        <v/>
      </c>
      <c r="O67" t="str">
        <f>IFERROR(IF(OR(HLOOKUP($A67,#REF!,13,FALSE)&gt;2,HLOOKUP($A67,#REF!,13,FALSE)&lt;-2),"",#REF!),"")</f>
        <v/>
      </c>
      <c r="P67" t="str">
        <f>IFERROR(IF(OR(HLOOKUP($A67,#REF!,14,FALSE)&gt;2,HLOOKUP($A67,#REF!,14,FALSE)&lt;-2),"",#REF!),"")</f>
        <v/>
      </c>
      <c r="Q67" t="str">
        <f>IFERROR(IF(OR(HLOOKUP($A67,#REF!,15,FALSE)&gt;2,HLOOKUP($A67,#REF!,15,FALSE)&lt;-2),"",#REF!),"")</f>
        <v/>
      </c>
      <c r="R67" t="str">
        <f>IFERROR(IF(OR(HLOOKUP($A67,#REF!,16,FALSE)&gt;2,HLOOKUP($A67,#REF!,16,FALSE)&lt;-2),"",#REF!),"")</f>
        <v/>
      </c>
      <c r="S67" t="str">
        <f>IFERROR(IF(OR(HLOOKUP($A67,#REF!,17,FALSE)&gt;2,HLOOKUP($A67,#REF!,17,FALSE)&lt;-2),"",#REF!),"")</f>
        <v/>
      </c>
      <c r="T67" t="str">
        <f>IFERROR(IF(OR(HLOOKUP($A67,#REF!,18,FALSE)&gt;2,HLOOKUP($A67,#REF!,18,FALSE)&lt;-2),"",#REF!),"")</f>
        <v/>
      </c>
      <c r="U67" t="str">
        <f>IFERROR(IF(OR(HLOOKUP($A67,#REF!,19,FALSE)&gt;2,HLOOKUP($A67,#REF!,19,FALSE)&lt;-2),"",#REF!),"")</f>
        <v/>
      </c>
      <c r="V67">
        <f t="shared" si="0"/>
        <v>1</v>
      </c>
      <c r="W67" t="str">
        <f t="shared" si="1"/>
        <v/>
      </c>
      <c r="X67" t="str">
        <f t="shared" si="2"/>
        <v/>
      </c>
      <c r="Y67" t="str">
        <f t="shared" si="3"/>
        <v/>
      </c>
    </row>
    <row r="68" spans="1:25" x14ac:dyDescent="0.35">
      <c r="A68">
        <v>70</v>
      </c>
      <c r="B68" t="s">
        <v>620</v>
      </c>
      <c r="C68">
        <v>115500</v>
      </c>
      <c r="D68">
        <v>824</v>
      </c>
      <c r="E68" t="str">
        <f>IFERROR(IF(OR(HLOOKUP($A68,#REF!,3,FALSE)&gt;2,HLOOKUP(A68,#REF!,3,FALSE)&lt;-2),"",#REF!),"")</f>
        <v/>
      </c>
      <c r="F68" t="str">
        <f>IFERROR(IF(OR(HLOOKUP($A68,#REF!,4,FALSE)&gt;2,HLOOKUP($A68,#REF!,4,FALSE)&lt;-2),"",#REF!),"")</f>
        <v/>
      </c>
      <c r="G68" t="str">
        <f>IFERROR(IF(OR(HLOOKUP($A68,#REF!,5,FALSE)&gt;2,HLOOKUP($A68,#REF!,5,FALSE)&lt;-2),"",#REF!),"")</f>
        <v/>
      </c>
      <c r="H68" t="str">
        <f>IFERROR(IF(OR(HLOOKUP($A68,#REF!,6,FALSE)&gt;2,HLOOKUP($A68,#REF!,6,FALSE)&lt;-2),"",#REF!),"")</f>
        <v/>
      </c>
      <c r="I68" t="str">
        <f>IFERROR(IF(OR(HLOOKUP($A68,#REF!,7,FALSE)&gt;2,HLOOKUP($A68,#REF!,7,FALSE)&lt;-2),"",#REF!),"")</f>
        <v/>
      </c>
      <c r="J68" t="str">
        <f>IFERROR(IF(OR(HLOOKUP($A68,#REF!,8,FALSE)&gt;2,HLOOKUP($A68,#REF!,8,FALSE)&lt;-2),"",#REF!),"")</f>
        <v/>
      </c>
      <c r="K68" t="str">
        <f>IFERROR(IF(OR(HLOOKUP($A68,#REF!,9,FALSE)&gt;2,HLOOKUP($A68,#REF!,9,FALSE)&lt;-2),"",#REF!),"")</f>
        <v/>
      </c>
      <c r="L68" t="str">
        <f>IFERROR(IF(OR(HLOOKUP($A68,#REF!,10,FALSE)&gt;2,HLOOKUP($A68,#REF!,10,FALSE)&lt;-2),"",#REF!),"")</f>
        <v/>
      </c>
      <c r="M68" t="str">
        <f>IFERROR(IF(OR(HLOOKUP($A68,#REF!,11,FALSE)&gt;2,HLOOKUP($A68,#REF!,11,FALSE)&lt;-2),"",#REF!),"")</f>
        <v/>
      </c>
      <c r="N68" t="str">
        <f>IFERROR(IF(OR(HLOOKUP($A68,#REF!,12,FALSE)&gt;2,HLOOKUP($A68,#REF!,12,FALSE)&lt;-2),"",#REF!),"")</f>
        <v/>
      </c>
      <c r="O68" t="str">
        <f>IFERROR(IF(OR(HLOOKUP($A68,#REF!,13,FALSE)&gt;2,HLOOKUP($A68,#REF!,13,FALSE)&lt;-2),"",#REF!),"")</f>
        <v/>
      </c>
      <c r="P68" t="str">
        <f>IFERROR(IF(OR(HLOOKUP($A68,#REF!,14,FALSE)&gt;2,HLOOKUP($A68,#REF!,14,FALSE)&lt;-2),"",#REF!),"")</f>
        <v/>
      </c>
      <c r="Q68" t="str">
        <f>IFERROR(IF(OR(HLOOKUP($A68,#REF!,15,FALSE)&gt;2,HLOOKUP($A68,#REF!,15,FALSE)&lt;-2),"",#REF!),"")</f>
        <v/>
      </c>
      <c r="R68" t="str">
        <f>IFERROR(IF(OR(HLOOKUP($A68,#REF!,16,FALSE)&gt;2,HLOOKUP($A68,#REF!,16,FALSE)&lt;-2),"",#REF!),"")</f>
        <v/>
      </c>
      <c r="S68" t="str">
        <f>IFERROR(IF(OR(HLOOKUP($A68,#REF!,17,FALSE)&gt;2,HLOOKUP($A68,#REF!,17,FALSE)&lt;-2),"",#REF!),"")</f>
        <v/>
      </c>
      <c r="T68" t="str">
        <f>IFERROR(IF(OR(HLOOKUP($A68,#REF!,18,FALSE)&gt;2,HLOOKUP($A68,#REF!,18,FALSE)&lt;-2),"",#REF!),"")</f>
        <v/>
      </c>
      <c r="U68" t="str">
        <f>IFERROR(IF(OR(HLOOKUP($A68,#REF!,19,FALSE)&gt;2,HLOOKUP($A68,#REF!,19,FALSE)&lt;-2),"",#REF!),"")</f>
        <v/>
      </c>
      <c r="V68">
        <f t="shared" ref="V68:V131" si="4">IFERROR(IF(AND(X68=0,Y68=0),0,1),0)</f>
        <v>1</v>
      </c>
      <c r="W68" t="str">
        <f t="shared" ref="W68:W131" si="5">IFERROR(_xlfn.T.TEST(E68:M68,N68:U68,2,2),"")</f>
        <v/>
      </c>
      <c r="X68" t="str">
        <f t="shared" ref="X68:X131" si="6">IFERROR(AVERAGE(E68:M68),"")</f>
        <v/>
      </c>
      <c r="Y68" t="str">
        <f t="shared" ref="Y68:Y131" si="7">IFERROR(AVERAGE(N68:U68),"")</f>
        <v/>
      </c>
    </row>
    <row r="69" spans="1:25" x14ac:dyDescent="0.35">
      <c r="A69">
        <v>71</v>
      </c>
      <c r="B69" t="s">
        <v>621</v>
      </c>
      <c r="C69">
        <v>70600</v>
      </c>
      <c r="D69">
        <v>38</v>
      </c>
      <c r="E69" t="str">
        <f>IFERROR(IF(OR(HLOOKUP($A69,#REF!,3,FALSE)&gt;2,HLOOKUP(A69,#REF!,3,FALSE)&lt;-2),"",#REF!),"")</f>
        <v/>
      </c>
      <c r="F69" t="str">
        <f>IFERROR(IF(OR(HLOOKUP($A69,#REF!,4,FALSE)&gt;2,HLOOKUP($A69,#REF!,4,FALSE)&lt;-2),"",#REF!),"")</f>
        <v/>
      </c>
      <c r="G69" t="str">
        <f>IFERROR(IF(OR(HLOOKUP($A69,#REF!,5,FALSE)&gt;2,HLOOKUP($A69,#REF!,5,FALSE)&lt;-2),"",#REF!),"")</f>
        <v/>
      </c>
      <c r="H69" t="str">
        <f>IFERROR(IF(OR(HLOOKUP($A69,#REF!,6,FALSE)&gt;2,HLOOKUP($A69,#REF!,6,FALSE)&lt;-2),"",#REF!),"")</f>
        <v/>
      </c>
      <c r="I69" t="str">
        <f>IFERROR(IF(OR(HLOOKUP($A69,#REF!,7,FALSE)&gt;2,HLOOKUP($A69,#REF!,7,FALSE)&lt;-2),"",#REF!),"")</f>
        <v/>
      </c>
      <c r="J69" t="str">
        <f>IFERROR(IF(OR(HLOOKUP($A69,#REF!,8,FALSE)&gt;2,HLOOKUP($A69,#REF!,8,FALSE)&lt;-2),"",#REF!),"")</f>
        <v/>
      </c>
      <c r="K69" t="str">
        <f>IFERROR(IF(OR(HLOOKUP($A69,#REF!,9,FALSE)&gt;2,HLOOKUP($A69,#REF!,9,FALSE)&lt;-2),"",#REF!),"")</f>
        <v/>
      </c>
      <c r="L69" t="str">
        <f>IFERROR(IF(OR(HLOOKUP($A69,#REF!,10,FALSE)&gt;2,HLOOKUP($A69,#REF!,10,FALSE)&lt;-2),"",#REF!),"")</f>
        <v/>
      </c>
      <c r="M69" t="str">
        <f>IFERROR(IF(OR(HLOOKUP($A69,#REF!,11,FALSE)&gt;2,HLOOKUP($A69,#REF!,11,FALSE)&lt;-2),"",#REF!),"")</f>
        <v/>
      </c>
      <c r="N69" t="str">
        <f>IFERROR(IF(OR(HLOOKUP($A69,#REF!,12,FALSE)&gt;2,HLOOKUP($A69,#REF!,12,FALSE)&lt;-2),"",#REF!),"")</f>
        <v/>
      </c>
      <c r="O69" t="str">
        <f>IFERROR(IF(OR(HLOOKUP($A69,#REF!,13,FALSE)&gt;2,HLOOKUP($A69,#REF!,13,FALSE)&lt;-2),"",#REF!),"")</f>
        <v/>
      </c>
      <c r="P69" t="str">
        <f>IFERROR(IF(OR(HLOOKUP($A69,#REF!,14,FALSE)&gt;2,HLOOKUP($A69,#REF!,14,FALSE)&lt;-2),"",#REF!),"")</f>
        <v/>
      </c>
      <c r="Q69" t="str">
        <f>IFERROR(IF(OR(HLOOKUP($A69,#REF!,15,FALSE)&gt;2,HLOOKUP($A69,#REF!,15,FALSE)&lt;-2),"",#REF!),"")</f>
        <v/>
      </c>
      <c r="R69" t="str">
        <f>IFERROR(IF(OR(HLOOKUP($A69,#REF!,16,FALSE)&gt;2,HLOOKUP($A69,#REF!,16,FALSE)&lt;-2),"",#REF!),"")</f>
        <v/>
      </c>
      <c r="S69" t="str">
        <f>IFERROR(IF(OR(HLOOKUP($A69,#REF!,17,FALSE)&gt;2,HLOOKUP($A69,#REF!,17,FALSE)&lt;-2),"",#REF!),"")</f>
        <v/>
      </c>
      <c r="T69" t="str">
        <f>IFERROR(IF(OR(HLOOKUP($A69,#REF!,18,FALSE)&gt;2,HLOOKUP($A69,#REF!,18,FALSE)&lt;-2),"",#REF!),"")</f>
        <v/>
      </c>
      <c r="U69" t="str">
        <f>IFERROR(IF(OR(HLOOKUP($A69,#REF!,19,FALSE)&gt;2,HLOOKUP($A69,#REF!,19,FALSE)&lt;-2),"",#REF!),"")</f>
        <v/>
      </c>
      <c r="V69">
        <f t="shared" si="4"/>
        <v>1</v>
      </c>
      <c r="W69" t="str">
        <f t="shared" si="5"/>
        <v/>
      </c>
      <c r="X69" t="str">
        <f t="shared" si="6"/>
        <v/>
      </c>
      <c r="Y69" t="str">
        <f t="shared" si="7"/>
        <v/>
      </c>
    </row>
    <row r="70" spans="1:25" x14ac:dyDescent="0.35">
      <c r="A70">
        <v>72</v>
      </c>
      <c r="B70" t="s">
        <v>51</v>
      </c>
      <c r="C70">
        <v>72000</v>
      </c>
      <c r="D70">
        <v>141</v>
      </c>
      <c r="E70" t="str">
        <f>IFERROR(IF(OR(HLOOKUP($A70,#REF!,3,FALSE)&gt;2,HLOOKUP(A70,#REF!,3,FALSE)&lt;-2),"",#REF!),"")</f>
        <v/>
      </c>
      <c r="F70" t="str">
        <f>IFERROR(IF(OR(HLOOKUP($A70,#REF!,4,FALSE)&gt;2,HLOOKUP($A70,#REF!,4,FALSE)&lt;-2),"",#REF!),"")</f>
        <v/>
      </c>
      <c r="G70" t="str">
        <f>IFERROR(IF(OR(HLOOKUP($A70,#REF!,5,FALSE)&gt;2,HLOOKUP($A70,#REF!,5,FALSE)&lt;-2),"",#REF!),"")</f>
        <v/>
      </c>
      <c r="H70" t="str">
        <f>IFERROR(IF(OR(HLOOKUP($A70,#REF!,6,FALSE)&gt;2,HLOOKUP($A70,#REF!,6,FALSE)&lt;-2),"",#REF!),"")</f>
        <v/>
      </c>
      <c r="I70" t="str">
        <f>IFERROR(IF(OR(HLOOKUP($A70,#REF!,7,FALSE)&gt;2,HLOOKUP($A70,#REF!,7,FALSE)&lt;-2),"",#REF!),"")</f>
        <v/>
      </c>
      <c r="J70" t="str">
        <f>IFERROR(IF(OR(HLOOKUP($A70,#REF!,8,FALSE)&gt;2,HLOOKUP($A70,#REF!,8,FALSE)&lt;-2),"",#REF!),"")</f>
        <v/>
      </c>
      <c r="K70" t="str">
        <f>IFERROR(IF(OR(HLOOKUP($A70,#REF!,9,FALSE)&gt;2,HLOOKUP($A70,#REF!,9,FALSE)&lt;-2),"",#REF!),"")</f>
        <v/>
      </c>
      <c r="L70" t="str">
        <f>IFERROR(IF(OR(HLOOKUP($A70,#REF!,10,FALSE)&gt;2,HLOOKUP($A70,#REF!,10,FALSE)&lt;-2),"",#REF!),"")</f>
        <v/>
      </c>
      <c r="M70" t="str">
        <f>IFERROR(IF(OR(HLOOKUP($A70,#REF!,11,FALSE)&gt;2,HLOOKUP($A70,#REF!,11,FALSE)&lt;-2),"",#REF!),"")</f>
        <v/>
      </c>
      <c r="N70" t="str">
        <f>IFERROR(IF(OR(HLOOKUP($A70,#REF!,12,FALSE)&gt;2,HLOOKUP($A70,#REF!,12,FALSE)&lt;-2),"",#REF!),"")</f>
        <v/>
      </c>
      <c r="O70" t="str">
        <f>IFERROR(IF(OR(HLOOKUP($A70,#REF!,13,FALSE)&gt;2,HLOOKUP($A70,#REF!,13,FALSE)&lt;-2),"",#REF!),"")</f>
        <v/>
      </c>
      <c r="P70" t="str">
        <f>IFERROR(IF(OR(HLOOKUP($A70,#REF!,14,FALSE)&gt;2,HLOOKUP($A70,#REF!,14,FALSE)&lt;-2),"",#REF!),"")</f>
        <v/>
      </c>
      <c r="Q70" t="str">
        <f>IFERROR(IF(OR(HLOOKUP($A70,#REF!,15,FALSE)&gt;2,HLOOKUP($A70,#REF!,15,FALSE)&lt;-2),"",#REF!),"")</f>
        <v/>
      </c>
      <c r="R70" t="str">
        <f>IFERROR(IF(OR(HLOOKUP($A70,#REF!,16,FALSE)&gt;2,HLOOKUP($A70,#REF!,16,FALSE)&lt;-2),"",#REF!),"")</f>
        <v/>
      </c>
      <c r="S70" t="str">
        <f>IFERROR(IF(OR(HLOOKUP($A70,#REF!,17,FALSE)&gt;2,HLOOKUP($A70,#REF!,17,FALSE)&lt;-2),"",#REF!),"")</f>
        <v/>
      </c>
      <c r="T70" t="str">
        <f>IFERROR(IF(OR(HLOOKUP($A70,#REF!,18,FALSE)&gt;2,HLOOKUP($A70,#REF!,18,FALSE)&lt;-2),"",#REF!),"")</f>
        <v/>
      </c>
      <c r="U70" t="str">
        <f>IFERROR(IF(OR(HLOOKUP($A70,#REF!,19,FALSE)&gt;2,HLOOKUP($A70,#REF!,19,FALSE)&lt;-2),"",#REF!),"")</f>
        <v/>
      </c>
      <c r="V70">
        <f t="shared" si="4"/>
        <v>1</v>
      </c>
      <c r="W70" t="str">
        <f t="shared" si="5"/>
        <v/>
      </c>
      <c r="X70" t="str">
        <f t="shared" si="6"/>
        <v/>
      </c>
      <c r="Y70" t="str">
        <f t="shared" si="7"/>
        <v/>
      </c>
    </row>
    <row r="71" spans="1:25" x14ac:dyDescent="0.35">
      <c r="A71">
        <v>73</v>
      </c>
      <c r="B71" t="s">
        <v>52</v>
      </c>
      <c r="C71">
        <v>115800</v>
      </c>
      <c r="D71">
        <v>997</v>
      </c>
      <c r="E71" t="str">
        <f>IFERROR(IF(OR(HLOOKUP($A71,#REF!,3,FALSE)&gt;2,HLOOKUP(A71,#REF!,3,FALSE)&lt;-2),"",#REF!),"")</f>
        <v/>
      </c>
      <c r="F71" t="str">
        <f>IFERROR(IF(OR(HLOOKUP($A71,#REF!,4,FALSE)&gt;2,HLOOKUP($A71,#REF!,4,FALSE)&lt;-2),"",#REF!),"")</f>
        <v/>
      </c>
      <c r="G71" t="str">
        <f>IFERROR(IF(OR(HLOOKUP($A71,#REF!,5,FALSE)&gt;2,HLOOKUP($A71,#REF!,5,FALSE)&lt;-2),"",#REF!),"")</f>
        <v/>
      </c>
      <c r="H71" t="str">
        <f>IFERROR(IF(OR(HLOOKUP($A71,#REF!,6,FALSE)&gt;2,HLOOKUP($A71,#REF!,6,FALSE)&lt;-2),"",#REF!),"")</f>
        <v/>
      </c>
      <c r="I71" t="str">
        <f>IFERROR(IF(OR(HLOOKUP($A71,#REF!,7,FALSE)&gt;2,HLOOKUP($A71,#REF!,7,FALSE)&lt;-2),"",#REF!),"")</f>
        <v/>
      </c>
      <c r="J71" t="str">
        <f>IFERROR(IF(OR(HLOOKUP($A71,#REF!,8,FALSE)&gt;2,HLOOKUP($A71,#REF!,8,FALSE)&lt;-2),"",#REF!),"")</f>
        <v/>
      </c>
      <c r="K71" t="str">
        <f>IFERROR(IF(OR(HLOOKUP($A71,#REF!,9,FALSE)&gt;2,HLOOKUP($A71,#REF!,9,FALSE)&lt;-2),"",#REF!),"")</f>
        <v/>
      </c>
      <c r="L71" t="str">
        <f>IFERROR(IF(OR(HLOOKUP($A71,#REF!,10,FALSE)&gt;2,HLOOKUP($A71,#REF!,10,FALSE)&lt;-2),"",#REF!),"")</f>
        <v/>
      </c>
      <c r="M71" t="str">
        <f>IFERROR(IF(OR(HLOOKUP($A71,#REF!,11,FALSE)&gt;2,HLOOKUP($A71,#REF!,11,FALSE)&lt;-2),"",#REF!),"")</f>
        <v/>
      </c>
      <c r="N71" t="str">
        <f>IFERROR(IF(OR(HLOOKUP($A71,#REF!,12,FALSE)&gt;2,HLOOKUP($A71,#REF!,12,FALSE)&lt;-2),"",#REF!),"")</f>
        <v/>
      </c>
      <c r="O71" t="str">
        <f>IFERROR(IF(OR(HLOOKUP($A71,#REF!,13,FALSE)&gt;2,HLOOKUP($A71,#REF!,13,FALSE)&lt;-2),"",#REF!),"")</f>
        <v/>
      </c>
      <c r="P71" t="str">
        <f>IFERROR(IF(OR(HLOOKUP($A71,#REF!,14,FALSE)&gt;2,HLOOKUP($A71,#REF!,14,FALSE)&lt;-2),"",#REF!),"")</f>
        <v/>
      </c>
      <c r="Q71" t="str">
        <f>IFERROR(IF(OR(HLOOKUP($A71,#REF!,15,FALSE)&gt;2,HLOOKUP($A71,#REF!,15,FALSE)&lt;-2),"",#REF!),"")</f>
        <v/>
      </c>
      <c r="R71" t="str">
        <f>IFERROR(IF(OR(HLOOKUP($A71,#REF!,16,FALSE)&gt;2,HLOOKUP($A71,#REF!,16,FALSE)&lt;-2),"",#REF!),"")</f>
        <v/>
      </c>
      <c r="S71" t="str">
        <f>IFERROR(IF(OR(HLOOKUP($A71,#REF!,17,FALSE)&gt;2,HLOOKUP($A71,#REF!,17,FALSE)&lt;-2),"",#REF!),"")</f>
        <v/>
      </c>
      <c r="T71" t="str">
        <f>IFERROR(IF(OR(HLOOKUP($A71,#REF!,18,FALSE)&gt;2,HLOOKUP($A71,#REF!,18,FALSE)&lt;-2),"",#REF!),"")</f>
        <v/>
      </c>
      <c r="U71" t="str">
        <f>IFERROR(IF(OR(HLOOKUP($A71,#REF!,19,FALSE)&gt;2,HLOOKUP($A71,#REF!,19,FALSE)&lt;-2),"",#REF!),"")</f>
        <v/>
      </c>
      <c r="V71">
        <f t="shared" si="4"/>
        <v>1</v>
      </c>
      <c r="W71" t="str">
        <f t="shared" si="5"/>
        <v/>
      </c>
      <c r="X71" t="str">
        <f t="shared" si="6"/>
        <v/>
      </c>
      <c r="Y71" t="str">
        <f t="shared" si="7"/>
        <v/>
      </c>
    </row>
    <row r="72" spans="1:25" x14ac:dyDescent="0.35">
      <c r="A72">
        <v>74</v>
      </c>
      <c r="B72" t="s">
        <v>53</v>
      </c>
      <c r="C72">
        <v>16000</v>
      </c>
      <c r="D72">
        <v>409</v>
      </c>
      <c r="E72" t="str">
        <f>IFERROR(IF(OR(HLOOKUP($A72,#REF!,3,FALSE)&gt;2,HLOOKUP(A72,#REF!,3,FALSE)&lt;-2),"",#REF!),"")</f>
        <v/>
      </c>
      <c r="F72" t="str">
        <f>IFERROR(IF(OR(HLOOKUP($A72,#REF!,4,FALSE)&gt;2,HLOOKUP($A72,#REF!,4,FALSE)&lt;-2),"",#REF!),"")</f>
        <v/>
      </c>
      <c r="G72" t="str">
        <f>IFERROR(IF(OR(HLOOKUP($A72,#REF!,5,FALSE)&gt;2,HLOOKUP($A72,#REF!,5,FALSE)&lt;-2),"",#REF!),"")</f>
        <v/>
      </c>
      <c r="H72" t="str">
        <f>IFERROR(IF(OR(HLOOKUP($A72,#REF!,6,FALSE)&gt;2,HLOOKUP($A72,#REF!,6,FALSE)&lt;-2),"",#REF!),"")</f>
        <v/>
      </c>
      <c r="I72" t="str">
        <f>IFERROR(IF(OR(HLOOKUP($A72,#REF!,7,FALSE)&gt;2,HLOOKUP($A72,#REF!,7,FALSE)&lt;-2),"",#REF!),"")</f>
        <v/>
      </c>
      <c r="J72" t="str">
        <f>IFERROR(IF(OR(HLOOKUP($A72,#REF!,8,FALSE)&gt;2,HLOOKUP($A72,#REF!,8,FALSE)&lt;-2),"",#REF!),"")</f>
        <v/>
      </c>
      <c r="K72" t="str">
        <f>IFERROR(IF(OR(HLOOKUP($A72,#REF!,9,FALSE)&gt;2,HLOOKUP($A72,#REF!,9,FALSE)&lt;-2),"",#REF!),"")</f>
        <v/>
      </c>
      <c r="L72" t="str">
        <f>IFERROR(IF(OR(HLOOKUP($A72,#REF!,10,FALSE)&gt;2,HLOOKUP($A72,#REF!,10,FALSE)&lt;-2),"",#REF!),"")</f>
        <v/>
      </c>
      <c r="M72" t="str">
        <f>IFERROR(IF(OR(HLOOKUP($A72,#REF!,11,FALSE)&gt;2,HLOOKUP($A72,#REF!,11,FALSE)&lt;-2),"",#REF!),"")</f>
        <v/>
      </c>
      <c r="N72" t="str">
        <f>IFERROR(IF(OR(HLOOKUP($A72,#REF!,12,FALSE)&gt;2,HLOOKUP($A72,#REF!,12,FALSE)&lt;-2),"",#REF!),"")</f>
        <v/>
      </c>
      <c r="O72" t="str">
        <f>IFERROR(IF(OR(HLOOKUP($A72,#REF!,13,FALSE)&gt;2,HLOOKUP($A72,#REF!,13,FALSE)&lt;-2),"",#REF!),"")</f>
        <v/>
      </c>
      <c r="P72" t="str">
        <f>IFERROR(IF(OR(HLOOKUP($A72,#REF!,14,FALSE)&gt;2,HLOOKUP($A72,#REF!,14,FALSE)&lt;-2),"",#REF!),"")</f>
        <v/>
      </c>
      <c r="Q72" t="str">
        <f>IFERROR(IF(OR(HLOOKUP($A72,#REF!,15,FALSE)&gt;2,HLOOKUP($A72,#REF!,15,FALSE)&lt;-2),"",#REF!),"")</f>
        <v/>
      </c>
      <c r="R72" t="str">
        <f>IFERROR(IF(OR(HLOOKUP($A72,#REF!,16,FALSE)&gt;2,HLOOKUP($A72,#REF!,16,FALSE)&lt;-2),"",#REF!),"")</f>
        <v/>
      </c>
      <c r="S72" t="str">
        <f>IFERROR(IF(OR(HLOOKUP($A72,#REF!,17,FALSE)&gt;2,HLOOKUP($A72,#REF!,17,FALSE)&lt;-2),"",#REF!),"")</f>
        <v/>
      </c>
      <c r="T72" t="str">
        <f>IFERROR(IF(OR(HLOOKUP($A72,#REF!,18,FALSE)&gt;2,HLOOKUP($A72,#REF!,18,FALSE)&lt;-2),"",#REF!),"")</f>
        <v/>
      </c>
      <c r="U72" t="str">
        <f>IFERROR(IF(OR(HLOOKUP($A72,#REF!,19,FALSE)&gt;2,HLOOKUP($A72,#REF!,19,FALSE)&lt;-2),"",#REF!),"")</f>
        <v/>
      </c>
      <c r="V72">
        <f t="shared" si="4"/>
        <v>1</v>
      </c>
      <c r="W72" t="str">
        <f t="shared" si="5"/>
        <v/>
      </c>
      <c r="X72" t="str">
        <f t="shared" si="6"/>
        <v/>
      </c>
      <c r="Y72" t="str">
        <f t="shared" si="7"/>
        <v/>
      </c>
    </row>
    <row r="73" spans="1:25" x14ac:dyDescent="0.35">
      <c r="A73">
        <v>75</v>
      </c>
      <c r="B73" t="s">
        <v>622</v>
      </c>
      <c r="C73">
        <v>83400</v>
      </c>
      <c r="D73">
        <v>323</v>
      </c>
      <c r="E73" t="str">
        <f>IFERROR(IF(OR(HLOOKUP($A73,#REF!,3,FALSE)&gt;2,HLOOKUP(A73,#REF!,3,FALSE)&lt;-2),"",#REF!),"")</f>
        <v/>
      </c>
      <c r="F73" t="str">
        <f>IFERROR(IF(OR(HLOOKUP($A73,#REF!,4,FALSE)&gt;2,HLOOKUP($A73,#REF!,4,FALSE)&lt;-2),"",#REF!),"")</f>
        <v/>
      </c>
      <c r="G73" t="str">
        <f>IFERROR(IF(OR(HLOOKUP($A73,#REF!,5,FALSE)&gt;2,HLOOKUP($A73,#REF!,5,FALSE)&lt;-2),"",#REF!),"")</f>
        <v/>
      </c>
      <c r="H73" t="str">
        <f>IFERROR(IF(OR(HLOOKUP($A73,#REF!,6,FALSE)&gt;2,HLOOKUP($A73,#REF!,6,FALSE)&lt;-2),"",#REF!),"")</f>
        <v/>
      </c>
      <c r="I73" t="str">
        <f>IFERROR(IF(OR(HLOOKUP($A73,#REF!,7,FALSE)&gt;2,HLOOKUP($A73,#REF!,7,FALSE)&lt;-2),"",#REF!),"")</f>
        <v/>
      </c>
      <c r="J73" t="str">
        <f>IFERROR(IF(OR(HLOOKUP($A73,#REF!,8,FALSE)&gt;2,HLOOKUP($A73,#REF!,8,FALSE)&lt;-2),"",#REF!),"")</f>
        <v/>
      </c>
      <c r="K73" t="str">
        <f>IFERROR(IF(OR(HLOOKUP($A73,#REF!,9,FALSE)&gt;2,HLOOKUP($A73,#REF!,9,FALSE)&lt;-2),"",#REF!),"")</f>
        <v/>
      </c>
      <c r="L73" t="str">
        <f>IFERROR(IF(OR(HLOOKUP($A73,#REF!,10,FALSE)&gt;2,HLOOKUP($A73,#REF!,10,FALSE)&lt;-2),"",#REF!),"")</f>
        <v/>
      </c>
      <c r="M73" t="str">
        <f>IFERROR(IF(OR(HLOOKUP($A73,#REF!,11,FALSE)&gt;2,HLOOKUP($A73,#REF!,11,FALSE)&lt;-2),"",#REF!),"")</f>
        <v/>
      </c>
      <c r="N73" t="str">
        <f>IFERROR(IF(OR(HLOOKUP($A73,#REF!,12,FALSE)&gt;2,HLOOKUP($A73,#REF!,12,FALSE)&lt;-2),"",#REF!),"")</f>
        <v/>
      </c>
      <c r="O73" t="str">
        <f>IFERROR(IF(OR(HLOOKUP($A73,#REF!,13,FALSE)&gt;2,HLOOKUP($A73,#REF!,13,FALSE)&lt;-2),"",#REF!),"")</f>
        <v/>
      </c>
      <c r="P73" t="str">
        <f>IFERROR(IF(OR(HLOOKUP($A73,#REF!,14,FALSE)&gt;2,HLOOKUP($A73,#REF!,14,FALSE)&lt;-2),"",#REF!),"")</f>
        <v/>
      </c>
      <c r="Q73" t="str">
        <f>IFERROR(IF(OR(HLOOKUP($A73,#REF!,15,FALSE)&gt;2,HLOOKUP($A73,#REF!,15,FALSE)&lt;-2),"",#REF!),"")</f>
        <v/>
      </c>
      <c r="R73" t="str">
        <f>IFERROR(IF(OR(HLOOKUP($A73,#REF!,16,FALSE)&gt;2,HLOOKUP($A73,#REF!,16,FALSE)&lt;-2),"",#REF!),"")</f>
        <v/>
      </c>
      <c r="S73" t="str">
        <f>IFERROR(IF(OR(HLOOKUP($A73,#REF!,17,FALSE)&gt;2,HLOOKUP($A73,#REF!,17,FALSE)&lt;-2),"",#REF!),"")</f>
        <v/>
      </c>
      <c r="T73" t="str">
        <f>IFERROR(IF(OR(HLOOKUP($A73,#REF!,18,FALSE)&gt;2,HLOOKUP($A73,#REF!,18,FALSE)&lt;-2),"",#REF!),"")</f>
        <v/>
      </c>
      <c r="U73" t="str">
        <f>IFERROR(IF(OR(HLOOKUP($A73,#REF!,19,FALSE)&gt;2,HLOOKUP($A73,#REF!,19,FALSE)&lt;-2),"",#REF!),"")</f>
        <v/>
      </c>
      <c r="V73">
        <f t="shared" si="4"/>
        <v>1</v>
      </c>
      <c r="W73" t="str">
        <f t="shared" si="5"/>
        <v/>
      </c>
      <c r="X73" t="str">
        <f t="shared" si="6"/>
        <v/>
      </c>
      <c r="Y73" t="str">
        <f t="shared" si="7"/>
        <v/>
      </c>
    </row>
    <row r="74" spans="1:25" x14ac:dyDescent="0.35">
      <c r="A74">
        <v>76</v>
      </c>
      <c r="B74" t="s">
        <v>623</v>
      </c>
      <c r="C74">
        <v>96700</v>
      </c>
      <c r="D74">
        <v>370</v>
      </c>
      <c r="E74" t="str">
        <f>IFERROR(IF(OR(HLOOKUP($A74,#REF!,3,FALSE)&gt;2,HLOOKUP(A74,#REF!,3,FALSE)&lt;-2),"",#REF!),"")</f>
        <v/>
      </c>
      <c r="F74" t="str">
        <f>IFERROR(IF(OR(HLOOKUP($A74,#REF!,4,FALSE)&gt;2,HLOOKUP($A74,#REF!,4,FALSE)&lt;-2),"",#REF!),"")</f>
        <v/>
      </c>
      <c r="G74" t="str">
        <f>IFERROR(IF(OR(HLOOKUP($A74,#REF!,5,FALSE)&gt;2,HLOOKUP($A74,#REF!,5,FALSE)&lt;-2),"",#REF!),"")</f>
        <v/>
      </c>
      <c r="H74" t="str">
        <f>IFERROR(IF(OR(HLOOKUP($A74,#REF!,6,FALSE)&gt;2,HLOOKUP($A74,#REF!,6,FALSE)&lt;-2),"",#REF!),"")</f>
        <v/>
      </c>
      <c r="I74" t="str">
        <f>IFERROR(IF(OR(HLOOKUP($A74,#REF!,7,FALSE)&gt;2,HLOOKUP($A74,#REF!,7,FALSE)&lt;-2),"",#REF!),"")</f>
        <v/>
      </c>
      <c r="J74" t="str">
        <f>IFERROR(IF(OR(HLOOKUP($A74,#REF!,8,FALSE)&gt;2,HLOOKUP($A74,#REF!,8,FALSE)&lt;-2),"",#REF!),"")</f>
        <v/>
      </c>
      <c r="K74" t="str">
        <f>IFERROR(IF(OR(HLOOKUP($A74,#REF!,9,FALSE)&gt;2,HLOOKUP($A74,#REF!,9,FALSE)&lt;-2),"",#REF!),"")</f>
        <v/>
      </c>
      <c r="L74" t="str">
        <f>IFERROR(IF(OR(HLOOKUP($A74,#REF!,10,FALSE)&gt;2,HLOOKUP($A74,#REF!,10,FALSE)&lt;-2),"",#REF!),"")</f>
        <v/>
      </c>
      <c r="M74" t="str">
        <f>IFERROR(IF(OR(HLOOKUP($A74,#REF!,11,FALSE)&gt;2,HLOOKUP($A74,#REF!,11,FALSE)&lt;-2),"",#REF!),"")</f>
        <v/>
      </c>
      <c r="N74" t="str">
        <f>IFERROR(IF(OR(HLOOKUP($A74,#REF!,12,FALSE)&gt;2,HLOOKUP($A74,#REF!,12,FALSE)&lt;-2),"",#REF!),"")</f>
        <v/>
      </c>
      <c r="O74" t="str">
        <f>IFERROR(IF(OR(HLOOKUP($A74,#REF!,13,FALSE)&gt;2,HLOOKUP($A74,#REF!,13,FALSE)&lt;-2),"",#REF!),"")</f>
        <v/>
      </c>
      <c r="P74" t="str">
        <f>IFERROR(IF(OR(HLOOKUP($A74,#REF!,14,FALSE)&gt;2,HLOOKUP($A74,#REF!,14,FALSE)&lt;-2),"",#REF!),"")</f>
        <v/>
      </c>
      <c r="Q74" t="str">
        <f>IFERROR(IF(OR(HLOOKUP($A74,#REF!,15,FALSE)&gt;2,HLOOKUP($A74,#REF!,15,FALSE)&lt;-2),"",#REF!),"")</f>
        <v/>
      </c>
      <c r="R74" t="str">
        <f>IFERROR(IF(OR(HLOOKUP($A74,#REF!,16,FALSE)&gt;2,HLOOKUP($A74,#REF!,16,FALSE)&lt;-2),"",#REF!),"")</f>
        <v/>
      </c>
      <c r="S74" t="str">
        <f>IFERROR(IF(OR(HLOOKUP($A74,#REF!,17,FALSE)&gt;2,HLOOKUP($A74,#REF!,17,FALSE)&lt;-2),"",#REF!),"")</f>
        <v/>
      </c>
      <c r="T74" t="str">
        <f>IFERROR(IF(OR(HLOOKUP($A74,#REF!,18,FALSE)&gt;2,HLOOKUP($A74,#REF!,18,FALSE)&lt;-2),"",#REF!),"")</f>
        <v/>
      </c>
      <c r="U74" t="str">
        <f>IFERROR(IF(OR(HLOOKUP($A74,#REF!,19,FALSE)&gt;2,HLOOKUP($A74,#REF!,19,FALSE)&lt;-2),"",#REF!),"")</f>
        <v/>
      </c>
      <c r="V74">
        <f t="shared" si="4"/>
        <v>1</v>
      </c>
      <c r="W74" t="str">
        <f t="shared" si="5"/>
        <v/>
      </c>
      <c r="X74" t="str">
        <f t="shared" si="6"/>
        <v/>
      </c>
      <c r="Y74" t="str">
        <f t="shared" si="7"/>
        <v/>
      </c>
    </row>
    <row r="75" spans="1:25" x14ac:dyDescent="0.35">
      <c r="A75">
        <v>77</v>
      </c>
      <c r="B75" t="s">
        <v>624</v>
      </c>
      <c r="C75">
        <v>91600</v>
      </c>
      <c r="D75">
        <v>445</v>
      </c>
      <c r="E75" t="str">
        <f>IFERROR(IF(OR(HLOOKUP($A75,#REF!,3,FALSE)&gt;2,HLOOKUP(A75,#REF!,3,FALSE)&lt;-2),"",#REF!),"")</f>
        <v/>
      </c>
      <c r="F75" t="str">
        <f>IFERROR(IF(OR(HLOOKUP($A75,#REF!,4,FALSE)&gt;2,HLOOKUP($A75,#REF!,4,FALSE)&lt;-2),"",#REF!),"")</f>
        <v/>
      </c>
      <c r="G75" t="str">
        <f>IFERROR(IF(OR(HLOOKUP($A75,#REF!,5,FALSE)&gt;2,HLOOKUP($A75,#REF!,5,FALSE)&lt;-2),"",#REF!),"")</f>
        <v/>
      </c>
      <c r="H75" t="str">
        <f>IFERROR(IF(OR(HLOOKUP($A75,#REF!,6,FALSE)&gt;2,HLOOKUP($A75,#REF!,6,FALSE)&lt;-2),"",#REF!),"")</f>
        <v/>
      </c>
      <c r="I75" t="str">
        <f>IFERROR(IF(OR(HLOOKUP($A75,#REF!,7,FALSE)&gt;2,HLOOKUP($A75,#REF!,7,FALSE)&lt;-2),"",#REF!),"")</f>
        <v/>
      </c>
      <c r="J75" t="str">
        <f>IFERROR(IF(OR(HLOOKUP($A75,#REF!,8,FALSE)&gt;2,HLOOKUP($A75,#REF!,8,FALSE)&lt;-2),"",#REF!),"")</f>
        <v/>
      </c>
      <c r="K75" t="str">
        <f>IFERROR(IF(OR(HLOOKUP($A75,#REF!,9,FALSE)&gt;2,HLOOKUP($A75,#REF!,9,FALSE)&lt;-2),"",#REF!),"")</f>
        <v/>
      </c>
      <c r="L75" t="str">
        <f>IFERROR(IF(OR(HLOOKUP($A75,#REF!,10,FALSE)&gt;2,HLOOKUP($A75,#REF!,10,FALSE)&lt;-2),"",#REF!),"")</f>
        <v/>
      </c>
      <c r="M75" t="str">
        <f>IFERROR(IF(OR(HLOOKUP($A75,#REF!,11,FALSE)&gt;2,HLOOKUP($A75,#REF!,11,FALSE)&lt;-2),"",#REF!),"")</f>
        <v/>
      </c>
      <c r="N75" t="str">
        <f>IFERROR(IF(OR(HLOOKUP($A75,#REF!,12,FALSE)&gt;2,HLOOKUP($A75,#REF!,12,FALSE)&lt;-2),"",#REF!),"")</f>
        <v/>
      </c>
      <c r="O75" t="str">
        <f>IFERROR(IF(OR(HLOOKUP($A75,#REF!,13,FALSE)&gt;2,HLOOKUP($A75,#REF!,13,FALSE)&lt;-2),"",#REF!),"")</f>
        <v/>
      </c>
      <c r="P75" t="str">
        <f>IFERROR(IF(OR(HLOOKUP($A75,#REF!,14,FALSE)&gt;2,HLOOKUP($A75,#REF!,14,FALSE)&lt;-2),"",#REF!),"")</f>
        <v/>
      </c>
      <c r="Q75" t="str">
        <f>IFERROR(IF(OR(HLOOKUP($A75,#REF!,15,FALSE)&gt;2,HLOOKUP($A75,#REF!,15,FALSE)&lt;-2),"",#REF!),"")</f>
        <v/>
      </c>
      <c r="R75" t="str">
        <f>IFERROR(IF(OR(HLOOKUP($A75,#REF!,16,FALSE)&gt;2,HLOOKUP($A75,#REF!,16,FALSE)&lt;-2),"",#REF!),"")</f>
        <v/>
      </c>
      <c r="S75" t="str">
        <f>IFERROR(IF(OR(HLOOKUP($A75,#REF!,17,FALSE)&gt;2,HLOOKUP($A75,#REF!,17,FALSE)&lt;-2),"",#REF!),"")</f>
        <v/>
      </c>
      <c r="T75" t="str">
        <f>IFERROR(IF(OR(HLOOKUP($A75,#REF!,18,FALSE)&gt;2,HLOOKUP($A75,#REF!,18,FALSE)&lt;-2),"",#REF!),"")</f>
        <v/>
      </c>
      <c r="U75" t="str">
        <f>IFERROR(IF(OR(HLOOKUP($A75,#REF!,19,FALSE)&gt;2,HLOOKUP($A75,#REF!,19,FALSE)&lt;-2),"",#REF!),"")</f>
        <v/>
      </c>
      <c r="V75">
        <f t="shared" si="4"/>
        <v>1</v>
      </c>
      <c r="W75" t="str">
        <f t="shared" si="5"/>
        <v/>
      </c>
      <c r="X75" t="str">
        <f t="shared" si="6"/>
        <v/>
      </c>
      <c r="Y75" t="str">
        <f t="shared" si="7"/>
        <v/>
      </c>
    </row>
    <row r="76" spans="1:25" x14ac:dyDescent="0.35">
      <c r="A76">
        <v>78</v>
      </c>
      <c r="B76" t="s">
        <v>54</v>
      </c>
      <c r="C76">
        <v>105000</v>
      </c>
      <c r="D76">
        <v>752</v>
      </c>
      <c r="E76" t="str">
        <f>IFERROR(IF(OR(HLOOKUP($A76,#REF!,3,FALSE)&gt;2,HLOOKUP(A76,#REF!,3,FALSE)&lt;-2),"",#REF!),"")</f>
        <v/>
      </c>
      <c r="F76" t="str">
        <f>IFERROR(IF(OR(HLOOKUP($A76,#REF!,4,FALSE)&gt;2,HLOOKUP($A76,#REF!,4,FALSE)&lt;-2),"",#REF!),"")</f>
        <v/>
      </c>
      <c r="G76" t="str">
        <f>IFERROR(IF(OR(HLOOKUP($A76,#REF!,5,FALSE)&gt;2,HLOOKUP($A76,#REF!,5,FALSE)&lt;-2),"",#REF!),"")</f>
        <v/>
      </c>
      <c r="H76" t="str">
        <f>IFERROR(IF(OR(HLOOKUP($A76,#REF!,6,FALSE)&gt;2,HLOOKUP($A76,#REF!,6,FALSE)&lt;-2),"",#REF!),"")</f>
        <v/>
      </c>
      <c r="I76" t="str">
        <f>IFERROR(IF(OR(HLOOKUP($A76,#REF!,7,FALSE)&gt;2,HLOOKUP($A76,#REF!,7,FALSE)&lt;-2),"",#REF!),"")</f>
        <v/>
      </c>
      <c r="J76" t="str">
        <f>IFERROR(IF(OR(HLOOKUP($A76,#REF!,8,FALSE)&gt;2,HLOOKUP($A76,#REF!,8,FALSE)&lt;-2),"",#REF!),"")</f>
        <v/>
      </c>
      <c r="K76" t="str">
        <f>IFERROR(IF(OR(HLOOKUP($A76,#REF!,9,FALSE)&gt;2,HLOOKUP($A76,#REF!,9,FALSE)&lt;-2),"",#REF!),"")</f>
        <v/>
      </c>
      <c r="L76" t="str">
        <f>IFERROR(IF(OR(HLOOKUP($A76,#REF!,10,FALSE)&gt;2,HLOOKUP($A76,#REF!,10,FALSE)&lt;-2),"",#REF!),"")</f>
        <v/>
      </c>
      <c r="M76" t="str">
        <f>IFERROR(IF(OR(HLOOKUP($A76,#REF!,11,FALSE)&gt;2,HLOOKUP($A76,#REF!,11,FALSE)&lt;-2),"",#REF!),"")</f>
        <v/>
      </c>
      <c r="N76" t="str">
        <f>IFERROR(IF(OR(HLOOKUP($A76,#REF!,12,FALSE)&gt;2,HLOOKUP($A76,#REF!,12,FALSE)&lt;-2),"",#REF!),"")</f>
        <v/>
      </c>
      <c r="O76" t="str">
        <f>IFERROR(IF(OR(HLOOKUP($A76,#REF!,13,FALSE)&gt;2,HLOOKUP($A76,#REF!,13,FALSE)&lt;-2),"",#REF!),"")</f>
        <v/>
      </c>
      <c r="P76" t="str">
        <f>IFERROR(IF(OR(HLOOKUP($A76,#REF!,14,FALSE)&gt;2,HLOOKUP($A76,#REF!,14,FALSE)&lt;-2),"",#REF!),"")</f>
        <v/>
      </c>
      <c r="Q76" t="str">
        <f>IFERROR(IF(OR(HLOOKUP($A76,#REF!,15,FALSE)&gt;2,HLOOKUP($A76,#REF!,15,FALSE)&lt;-2),"",#REF!),"")</f>
        <v/>
      </c>
      <c r="R76" t="str">
        <f>IFERROR(IF(OR(HLOOKUP($A76,#REF!,16,FALSE)&gt;2,HLOOKUP($A76,#REF!,16,FALSE)&lt;-2),"",#REF!),"")</f>
        <v/>
      </c>
      <c r="S76" t="str">
        <f>IFERROR(IF(OR(HLOOKUP($A76,#REF!,17,FALSE)&gt;2,HLOOKUP($A76,#REF!,17,FALSE)&lt;-2),"",#REF!),"")</f>
        <v/>
      </c>
      <c r="T76" t="str">
        <f>IFERROR(IF(OR(HLOOKUP($A76,#REF!,18,FALSE)&gt;2,HLOOKUP($A76,#REF!,18,FALSE)&lt;-2),"",#REF!),"")</f>
        <v/>
      </c>
      <c r="U76" t="str">
        <f>IFERROR(IF(OR(HLOOKUP($A76,#REF!,19,FALSE)&gt;2,HLOOKUP($A76,#REF!,19,FALSE)&lt;-2),"",#REF!),"")</f>
        <v/>
      </c>
      <c r="V76">
        <f t="shared" si="4"/>
        <v>1</v>
      </c>
      <c r="W76" t="str">
        <f t="shared" si="5"/>
        <v/>
      </c>
      <c r="X76" t="str">
        <f t="shared" si="6"/>
        <v/>
      </c>
      <c r="Y76" t="str">
        <f t="shared" si="7"/>
        <v/>
      </c>
    </row>
    <row r="77" spans="1:25" x14ac:dyDescent="0.35">
      <c r="A77">
        <v>79</v>
      </c>
      <c r="B77" t="s">
        <v>625</v>
      </c>
      <c r="C77">
        <v>70800</v>
      </c>
      <c r="D77">
        <v>71</v>
      </c>
      <c r="E77" t="str">
        <f>IFERROR(IF(OR(HLOOKUP($A77,#REF!,3,FALSE)&gt;2,HLOOKUP(A77,#REF!,3,FALSE)&lt;-2),"",#REF!),"")</f>
        <v/>
      </c>
      <c r="F77" t="str">
        <f>IFERROR(IF(OR(HLOOKUP($A77,#REF!,4,FALSE)&gt;2,HLOOKUP($A77,#REF!,4,FALSE)&lt;-2),"",#REF!),"")</f>
        <v/>
      </c>
      <c r="G77" t="str">
        <f>IFERROR(IF(OR(HLOOKUP($A77,#REF!,5,FALSE)&gt;2,HLOOKUP($A77,#REF!,5,FALSE)&lt;-2),"",#REF!),"")</f>
        <v/>
      </c>
      <c r="H77" t="str">
        <f>IFERROR(IF(OR(HLOOKUP($A77,#REF!,6,FALSE)&gt;2,HLOOKUP($A77,#REF!,6,FALSE)&lt;-2),"",#REF!),"")</f>
        <v/>
      </c>
      <c r="I77" t="str">
        <f>IFERROR(IF(OR(HLOOKUP($A77,#REF!,7,FALSE)&gt;2,HLOOKUP($A77,#REF!,7,FALSE)&lt;-2),"",#REF!),"")</f>
        <v/>
      </c>
      <c r="J77" t="str">
        <f>IFERROR(IF(OR(HLOOKUP($A77,#REF!,8,FALSE)&gt;2,HLOOKUP($A77,#REF!,8,FALSE)&lt;-2),"",#REF!),"")</f>
        <v/>
      </c>
      <c r="K77" t="str">
        <f>IFERROR(IF(OR(HLOOKUP($A77,#REF!,9,FALSE)&gt;2,HLOOKUP($A77,#REF!,9,FALSE)&lt;-2),"",#REF!),"")</f>
        <v/>
      </c>
      <c r="L77" t="str">
        <f>IFERROR(IF(OR(HLOOKUP($A77,#REF!,10,FALSE)&gt;2,HLOOKUP($A77,#REF!,10,FALSE)&lt;-2),"",#REF!),"")</f>
        <v/>
      </c>
      <c r="M77" t="str">
        <f>IFERROR(IF(OR(HLOOKUP($A77,#REF!,11,FALSE)&gt;2,HLOOKUP($A77,#REF!,11,FALSE)&lt;-2),"",#REF!),"")</f>
        <v/>
      </c>
      <c r="N77" t="str">
        <f>IFERROR(IF(OR(HLOOKUP($A77,#REF!,12,FALSE)&gt;2,HLOOKUP($A77,#REF!,12,FALSE)&lt;-2),"",#REF!),"")</f>
        <v/>
      </c>
      <c r="O77" t="str">
        <f>IFERROR(IF(OR(HLOOKUP($A77,#REF!,13,FALSE)&gt;2,HLOOKUP($A77,#REF!,13,FALSE)&lt;-2),"",#REF!),"")</f>
        <v/>
      </c>
      <c r="P77" t="str">
        <f>IFERROR(IF(OR(HLOOKUP($A77,#REF!,14,FALSE)&gt;2,HLOOKUP($A77,#REF!,14,FALSE)&lt;-2),"",#REF!),"")</f>
        <v/>
      </c>
      <c r="Q77" t="str">
        <f>IFERROR(IF(OR(HLOOKUP($A77,#REF!,15,FALSE)&gt;2,HLOOKUP($A77,#REF!,15,FALSE)&lt;-2),"",#REF!),"")</f>
        <v/>
      </c>
      <c r="R77" t="str">
        <f>IFERROR(IF(OR(HLOOKUP($A77,#REF!,16,FALSE)&gt;2,HLOOKUP($A77,#REF!,16,FALSE)&lt;-2),"",#REF!),"")</f>
        <v/>
      </c>
      <c r="S77" t="str">
        <f>IFERROR(IF(OR(HLOOKUP($A77,#REF!,17,FALSE)&gt;2,HLOOKUP($A77,#REF!,17,FALSE)&lt;-2),"",#REF!),"")</f>
        <v/>
      </c>
      <c r="T77" t="str">
        <f>IFERROR(IF(OR(HLOOKUP($A77,#REF!,18,FALSE)&gt;2,HLOOKUP($A77,#REF!,18,FALSE)&lt;-2),"",#REF!),"")</f>
        <v/>
      </c>
      <c r="U77" t="str">
        <f>IFERROR(IF(OR(HLOOKUP($A77,#REF!,19,FALSE)&gt;2,HLOOKUP($A77,#REF!,19,FALSE)&lt;-2),"",#REF!),"")</f>
        <v/>
      </c>
      <c r="V77">
        <f t="shared" si="4"/>
        <v>1</v>
      </c>
      <c r="W77" t="str">
        <f t="shared" si="5"/>
        <v/>
      </c>
      <c r="X77" t="str">
        <f t="shared" si="6"/>
        <v/>
      </c>
      <c r="Y77" t="str">
        <f t="shared" si="7"/>
        <v/>
      </c>
    </row>
    <row r="78" spans="1:25" x14ac:dyDescent="0.35">
      <c r="A78">
        <v>80</v>
      </c>
      <c r="B78" t="s">
        <v>626</v>
      </c>
      <c r="C78">
        <v>72100</v>
      </c>
      <c r="D78">
        <v>141</v>
      </c>
      <c r="E78" t="str">
        <f>IFERROR(IF(OR(HLOOKUP($A78,#REF!,3,FALSE)&gt;2,HLOOKUP(A78,#REF!,3,FALSE)&lt;-2),"",#REF!),"")</f>
        <v/>
      </c>
      <c r="F78" t="str">
        <f>IFERROR(IF(OR(HLOOKUP($A78,#REF!,4,FALSE)&gt;2,HLOOKUP($A78,#REF!,4,FALSE)&lt;-2),"",#REF!),"")</f>
        <v/>
      </c>
      <c r="G78" t="str">
        <f>IFERROR(IF(OR(HLOOKUP($A78,#REF!,5,FALSE)&gt;2,HLOOKUP($A78,#REF!,5,FALSE)&lt;-2),"",#REF!),"")</f>
        <v/>
      </c>
      <c r="H78" t="str">
        <f>IFERROR(IF(OR(HLOOKUP($A78,#REF!,6,FALSE)&gt;2,HLOOKUP($A78,#REF!,6,FALSE)&lt;-2),"",#REF!),"")</f>
        <v/>
      </c>
      <c r="I78" t="str">
        <f>IFERROR(IF(OR(HLOOKUP($A78,#REF!,7,FALSE)&gt;2,HLOOKUP($A78,#REF!,7,FALSE)&lt;-2),"",#REF!),"")</f>
        <v/>
      </c>
      <c r="J78" t="str">
        <f>IFERROR(IF(OR(HLOOKUP($A78,#REF!,8,FALSE)&gt;2,HLOOKUP($A78,#REF!,8,FALSE)&lt;-2),"",#REF!),"")</f>
        <v/>
      </c>
      <c r="K78" t="str">
        <f>IFERROR(IF(OR(HLOOKUP($A78,#REF!,9,FALSE)&gt;2,HLOOKUP($A78,#REF!,9,FALSE)&lt;-2),"",#REF!),"")</f>
        <v/>
      </c>
      <c r="L78" t="str">
        <f>IFERROR(IF(OR(HLOOKUP($A78,#REF!,10,FALSE)&gt;2,HLOOKUP($A78,#REF!,10,FALSE)&lt;-2),"",#REF!),"")</f>
        <v/>
      </c>
      <c r="M78" t="str">
        <f>IFERROR(IF(OR(HLOOKUP($A78,#REF!,11,FALSE)&gt;2,HLOOKUP($A78,#REF!,11,FALSE)&lt;-2),"",#REF!),"")</f>
        <v/>
      </c>
      <c r="N78" t="str">
        <f>IFERROR(IF(OR(HLOOKUP($A78,#REF!,12,FALSE)&gt;2,HLOOKUP($A78,#REF!,12,FALSE)&lt;-2),"",#REF!),"")</f>
        <v/>
      </c>
      <c r="O78" t="str">
        <f>IFERROR(IF(OR(HLOOKUP($A78,#REF!,13,FALSE)&gt;2,HLOOKUP($A78,#REF!,13,FALSE)&lt;-2),"",#REF!),"")</f>
        <v/>
      </c>
      <c r="P78" t="str">
        <f>IFERROR(IF(OR(HLOOKUP($A78,#REF!,14,FALSE)&gt;2,HLOOKUP($A78,#REF!,14,FALSE)&lt;-2),"",#REF!),"")</f>
        <v/>
      </c>
      <c r="Q78" t="str">
        <f>IFERROR(IF(OR(HLOOKUP($A78,#REF!,15,FALSE)&gt;2,HLOOKUP($A78,#REF!,15,FALSE)&lt;-2),"",#REF!),"")</f>
        <v/>
      </c>
      <c r="R78" t="str">
        <f>IFERROR(IF(OR(HLOOKUP($A78,#REF!,16,FALSE)&gt;2,HLOOKUP($A78,#REF!,16,FALSE)&lt;-2),"",#REF!),"")</f>
        <v/>
      </c>
      <c r="S78" t="str">
        <f>IFERROR(IF(OR(HLOOKUP($A78,#REF!,17,FALSE)&gt;2,HLOOKUP($A78,#REF!,17,FALSE)&lt;-2),"",#REF!),"")</f>
        <v/>
      </c>
      <c r="T78" t="str">
        <f>IFERROR(IF(OR(HLOOKUP($A78,#REF!,18,FALSE)&gt;2,HLOOKUP($A78,#REF!,18,FALSE)&lt;-2),"",#REF!),"")</f>
        <v/>
      </c>
      <c r="U78" t="str">
        <f>IFERROR(IF(OR(HLOOKUP($A78,#REF!,19,FALSE)&gt;2,HLOOKUP($A78,#REF!,19,FALSE)&lt;-2),"",#REF!),"")</f>
        <v/>
      </c>
      <c r="V78">
        <f t="shared" si="4"/>
        <v>1</v>
      </c>
      <c r="W78" t="str">
        <f t="shared" si="5"/>
        <v/>
      </c>
      <c r="X78" t="str">
        <f t="shared" si="6"/>
        <v/>
      </c>
      <c r="Y78" t="str">
        <f t="shared" si="7"/>
        <v/>
      </c>
    </row>
    <row r="79" spans="1:25" x14ac:dyDescent="0.35">
      <c r="A79">
        <v>81</v>
      </c>
      <c r="B79" t="s">
        <v>55</v>
      </c>
      <c r="C79">
        <v>115900</v>
      </c>
      <c r="D79">
        <v>73</v>
      </c>
      <c r="E79" t="str">
        <f>IFERROR(IF(OR(HLOOKUP($A79,#REF!,3,FALSE)&gt;2,HLOOKUP(A79,#REF!,3,FALSE)&lt;-2),"",#REF!),"")</f>
        <v/>
      </c>
      <c r="F79" t="str">
        <f>IFERROR(IF(OR(HLOOKUP($A79,#REF!,4,FALSE)&gt;2,HLOOKUP($A79,#REF!,4,FALSE)&lt;-2),"",#REF!),"")</f>
        <v/>
      </c>
      <c r="G79" t="str">
        <f>IFERROR(IF(OR(HLOOKUP($A79,#REF!,5,FALSE)&gt;2,HLOOKUP($A79,#REF!,5,FALSE)&lt;-2),"",#REF!),"")</f>
        <v/>
      </c>
      <c r="H79" t="str">
        <f>IFERROR(IF(OR(HLOOKUP($A79,#REF!,6,FALSE)&gt;2,HLOOKUP($A79,#REF!,6,FALSE)&lt;-2),"",#REF!),"")</f>
        <v/>
      </c>
      <c r="I79" t="str">
        <f>IFERROR(IF(OR(HLOOKUP($A79,#REF!,7,FALSE)&gt;2,HLOOKUP($A79,#REF!,7,FALSE)&lt;-2),"",#REF!),"")</f>
        <v/>
      </c>
      <c r="J79" t="str">
        <f>IFERROR(IF(OR(HLOOKUP($A79,#REF!,8,FALSE)&gt;2,HLOOKUP($A79,#REF!,8,FALSE)&lt;-2),"",#REF!),"")</f>
        <v/>
      </c>
      <c r="K79" t="str">
        <f>IFERROR(IF(OR(HLOOKUP($A79,#REF!,9,FALSE)&gt;2,HLOOKUP($A79,#REF!,9,FALSE)&lt;-2),"",#REF!),"")</f>
        <v/>
      </c>
      <c r="L79" t="str">
        <f>IFERROR(IF(OR(HLOOKUP($A79,#REF!,10,FALSE)&gt;2,HLOOKUP($A79,#REF!,10,FALSE)&lt;-2),"",#REF!),"")</f>
        <v/>
      </c>
      <c r="M79" t="str">
        <f>IFERROR(IF(OR(HLOOKUP($A79,#REF!,11,FALSE)&gt;2,HLOOKUP($A79,#REF!,11,FALSE)&lt;-2),"",#REF!),"")</f>
        <v/>
      </c>
      <c r="N79" t="str">
        <f>IFERROR(IF(OR(HLOOKUP($A79,#REF!,12,FALSE)&gt;2,HLOOKUP($A79,#REF!,12,FALSE)&lt;-2),"",#REF!),"")</f>
        <v/>
      </c>
      <c r="O79" t="str">
        <f>IFERROR(IF(OR(HLOOKUP($A79,#REF!,13,FALSE)&gt;2,HLOOKUP($A79,#REF!,13,FALSE)&lt;-2),"",#REF!),"")</f>
        <v/>
      </c>
      <c r="P79" t="str">
        <f>IFERROR(IF(OR(HLOOKUP($A79,#REF!,14,FALSE)&gt;2,HLOOKUP($A79,#REF!,14,FALSE)&lt;-2),"",#REF!),"")</f>
        <v/>
      </c>
      <c r="Q79" t="str">
        <f>IFERROR(IF(OR(HLOOKUP($A79,#REF!,15,FALSE)&gt;2,HLOOKUP($A79,#REF!,15,FALSE)&lt;-2),"",#REF!),"")</f>
        <v/>
      </c>
      <c r="R79" t="str">
        <f>IFERROR(IF(OR(HLOOKUP($A79,#REF!,16,FALSE)&gt;2,HLOOKUP($A79,#REF!,16,FALSE)&lt;-2),"",#REF!),"")</f>
        <v/>
      </c>
      <c r="S79" t="str">
        <f>IFERROR(IF(OR(HLOOKUP($A79,#REF!,17,FALSE)&gt;2,HLOOKUP($A79,#REF!,17,FALSE)&lt;-2),"",#REF!),"")</f>
        <v/>
      </c>
      <c r="T79" t="str">
        <f>IFERROR(IF(OR(HLOOKUP($A79,#REF!,18,FALSE)&gt;2,HLOOKUP($A79,#REF!,18,FALSE)&lt;-2),"",#REF!),"")</f>
        <v/>
      </c>
      <c r="U79" t="str">
        <f>IFERROR(IF(OR(HLOOKUP($A79,#REF!,19,FALSE)&gt;2,HLOOKUP($A79,#REF!,19,FALSE)&lt;-2),"",#REF!),"")</f>
        <v/>
      </c>
      <c r="V79">
        <f t="shared" si="4"/>
        <v>1</v>
      </c>
      <c r="W79" t="str">
        <f t="shared" si="5"/>
        <v/>
      </c>
      <c r="X79" t="str">
        <f t="shared" si="6"/>
        <v/>
      </c>
      <c r="Y79" t="str">
        <f t="shared" si="7"/>
        <v/>
      </c>
    </row>
    <row r="80" spans="1:25" x14ac:dyDescent="0.35">
      <c r="A80">
        <v>82</v>
      </c>
      <c r="B80" t="s">
        <v>627</v>
      </c>
      <c r="C80">
        <v>85000</v>
      </c>
      <c r="D80">
        <v>612</v>
      </c>
      <c r="E80" t="str">
        <f>IFERROR(IF(OR(HLOOKUP($A80,#REF!,3,FALSE)&gt;2,HLOOKUP(A80,#REF!,3,FALSE)&lt;-2),"",#REF!),"")</f>
        <v/>
      </c>
      <c r="F80" t="str">
        <f>IFERROR(IF(OR(HLOOKUP($A80,#REF!,4,FALSE)&gt;2,HLOOKUP($A80,#REF!,4,FALSE)&lt;-2),"",#REF!),"")</f>
        <v/>
      </c>
      <c r="G80" t="str">
        <f>IFERROR(IF(OR(HLOOKUP($A80,#REF!,5,FALSE)&gt;2,HLOOKUP($A80,#REF!,5,FALSE)&lt;-2),"",#REF!),"")</f>
        <v/>
      </c>
      <c r="H80" t="str">
        <f>IFERROR(IF(OR(HLOOKUP($A80,#REF!,6,FALSE)&gt;2,HLOOKUP($A80,#REF!,6,FALSE)&lt;-2),"",#REF!),"")</f>
        <v/>
      </c>
      <c r="I80" t="str">
        <f>IFERROR(IF(OR(HLOOKUP($A80,#REF!,7,FALSE)&gt;2,HLOOKUP($A80,#REF!,7,FALSE)&lt;-2),"",#REF!),"")</f>
        <v/>
      </c>
      <c r="J80" t="str">
        <f>IFERROR(IF(OR(HLOOKUP($A80,#REF!,8,FALSE)&gt;2,HLOOKUP($A80,#REF!,8,FALSE)&lt;-2),"",#REF!),"")</f>
        <v/>
      </c>
      <c r="K80" t="str">
        <f>IFERROR(IF(OR(HLOOKUP($A80,#REF!,9,FALSE)&gt;2,HLOOKUP($A80,#REF!,9,FALSE)&lt;-2),"",#REF!),"")</f>
        <v/>
      </c>
      <c r="L80" t="str">
        <f>IFERROR(IF(OR(HLOOKUP($A80,#REF!,10,FALSE)&gt;2,HLOOKUP($A80,#REF!,10,FALSE)&lt;-2),"",#REF!),"")</f>
        <v/>
      </c>
      <c r="M80" t="str">
        <f>IFERROR(IF(OR(HLOOKUP($A80,#REF!,11,FALSE)&gt;2,HLOOKUP($A80,#REF!,11,FALSE)&lt;-2),"",#REF!),"")</f>
        <v/>
      </c>
      <c r="N80" t="str">
        <f>IFERROR(IF(OR(HLOOKUP($A80,#REF!,12,FALSE)&gt;2,HLOOKUP($A80,#REF!,12,FALSE)&lt;-2),"",#REF!),"")</f>
        <v/>
      </c>
      <c r="O80" t="str">
        <f>IFERROR(IF(OR(HLOOKUP($A80,#REF!,13,FALSE)&gt;2,HLOOKUP($A80,#REF!,13,FALSE)&lt;-2),"",#REF!),"")</f>
        <v/>
      </c>
      <c r="P80" t="str">
        <f>IFERROR(IF(OR(HLOOKUP($A80,#REF!,14,FALSE)&gt;2,HLOOKUP($A80,#REF!,14,FALSE)&lt;-2),"",#REF!),"")</f>
        <v/>
      </c>
      <c r="Q80" t="str">
        <f>IFERROR(IF(OR(HLOOKUP($A80,#REF!,15,FALSE)&gt;2,HLOOKUP($A80,#REF!,15,FALSE)&lt;-2),"",#REF!),"")</f>
        <v/>
      </c>
      <c r="R80" t="str">
        <f>IFERROR(IF(OR(HLOOKUP($A80,#REF!,16,FALSE)&gt;2,HLOOKUP($A80,#REF!,16,FALSE)&lt;-2),"",#REF!),"")</f>
        <v/>
      </c>
      <c r="S80" t="str">
        <f>IFERROR(IF(OR(HLOOKUP($A80,#REF!,17,FALSE)&gt;2,HLOOKUP($A80,#REF!,17,FALSE)&lt;-2),"",#REF!),"")</f>
        <v/>
      </c>
      <c r="T80" t="str">
        <f>IFERROR(IF(OR(HLOOKUP($A80,#REF!,18,FALSE)&gt;2,HLOOKUP($A80,#REF!,18,FALSE)&lt;-2),"",#REF!),"")</f>
        <v/>
      </c>
      <c r="U80" t="str">
        <f>IFERROR(IF(OR(HLOOKUP($A80,#REF!,19,FALSE)&gt;2,HLOOKUP($A80,#REF!,19,FALSE)&lt;-2),"",#REF!),"")</f>
        <v/>
      </c>
      <c r="V80">
        <f t="shared" si="4"/>
        <v>1</v>
      </c>
      <c r="W80" t="str">
        <f t="shared" si="5"/>
        <v/>
      </c>
      <c r="X80" t="str">
        <f t="shared" si="6"/>
        <v/>
      </c>
      <c r="Y80" t="str">
        <f t="shared" si="7"/>
        <v/>
      </c>
    </row>
    <row r="81" spans="1:25" x14ac:dyDescent="0.35">
      <c r="A81">
        <v>83</v>
      </c>
      <c r="B81" t="s">
        <v>56</v>
      </c>
      <c r="C81">
        <v>93500</v>
      </c>
      <c r="D81">
        <v>370</v>
      </c>
      <c r="E81" t="str">
        <f>IFERROR(IF(OR(HLOOKUP($A81,#REF!,3,FALSE)&gt;2,HLOOKUP(A81,#REF!,3,FALSE)&lt;-2),"",#REF!),"")</f>
        <v/>
      </c>
      <c r="F81" t="str">
        <f>IFERROR(IF(OR(HLOOKUP($A81,#REF!,4,FALSE)&gt;2,HLOOKUP($A81,#REF!,4,FALSE)&lt;-2),"",#REF!),"")</f>
        <v/>
      </c>
      <c r="G81" t="str">
        <f>IFERROR(IF(OR(HLOOKUP($A81,#REF!,5,FALSE)&gt;2,HLOOKUP($A81,#REF!,5,FALSE)&lt;-2),"",#REF!),"")</f>
        <v/>
      </c>
      <c r="H81" t="str">
        <f>IFERROR(IF(OR(HLOOKUP($A81,#REF!,6,FALSE)&gt;2,HLOOKUP($A81,#REF!,6,FALSE)&lt;-2),"",#REF!),"")</f>
        <v/>
      </c>
      <c r="I81" t="str">
        <f>IFERROR(IF(OR(HLOOKUP($A81,#REF!,7,FALSE)&gt;2,HLOOKUP($A81,#REF!,7,FALSE)&lt;-2),"",#REF!),"")</f>
        <v/>
      </c>
      <c r="J81" t="str">
        <f>IFERROR(IF(OR(HLOOKUP($A81,#REF!,8,FALSE)&gt;2,HLOOKUP($A81,#REF!,8,FALSE)&lt;-2),"",#REF!),"")</f>
        <v/>
      </c>
      <c r="K81" t="str">
        <f>IFERROR(IF(OR(HLOOKUP($A81,#REF!,9,FALSE)&gt;2,HLOOKUP($A81,#REF!,9,FALSE)&lt;-2),"",#REF!),"")</f>
        <v/>
      </c>
      <c r="L81" t="str">
        <f>IFERROR(IF(OR(HLOOKUP($A81,#REF!,10,FALSE)&gt;2,HLOOKUP($A81,#REF!,10,FALSE)&lt;-2),"",#REF!),"")</f>
        <v/>
      </c>
      <c r="M81" t="str">
        <f>IFERROR(IF(OR(HLOOKUP($A81,#REF!,11,FALSE)&gt;2,HLOOKUP($A81,#REF!,11,FALSE)&lt;-2),"",#REF!),"")</f>
        <v/>
      </c>
      <c r="N81" t="str">
        <f>IFERROR(IF(OR(HLOOKUP($A81,#REF!,12,FALSE)&gt;2,HLOOKUP($A81,#REF!,12,FALSE)&lt;-2),"",#REF!),"")</f>
        <v/>
      </c>
      <c r="O81" t="str">
        <f>IFERROR(IF(OR(HLOOKUP($A81,#REF!,13,FALSE)&gt;2,HLOOKUP($A81,#REF!,13,FALSE)&lt;-2),"",#REF!),"")</f>
        <v/>
      </c>
      <c r="P81" t="str">
        <f>IFERROR(IF(OR(HLOOKUP($A81,#REF!,14,FALSE)&gt;2,HLOOKUP($A81,#REF!,14,FALSE)&lt;-2),"",#REF!),"")</f>
        <v/>
      </c>
      <c r="Q81" t="str">
        <f>IFERROR(IF(OR(HLOOKUP($A81,#REF!,15,FALSE)&gt;2,HLOOKUP($A81,#REF!,15,FALSE)&lt;-2),"",#REF!),"")</f>
        <v/>
      </c>
      <c r="R81" t="str">
        <f>IFERROR(IF(OR(HLOOKUP($A81,#REF!,16,FALSE)&gt;2,HLOOKUP($A81,#REF!,16,FALSE)&lt;-2),"",#REF!),"")</f>
        <v/>
      </c>
      <c r="S81" t="str">
        <f>IFERROR(IF(OR(HLOOKUP($A81,#REF!,17,FALSE)&gt;2,HLOOKUP($A81,#REF!,17,FALSE)&lt;-2),"",#REF!),"")</f>
        <v/>
      </c>
      <c r="T81" t="str">
        <f>IFERROR(IF(OR(HLOOKUP($A81,#REF!,18,FALSE)&gt;2,HLOOKUP($A81,#REF!,18,FALSE)&lt;-2),"",#REF!),"")</f>
        <v/>
      </c>
      <c r="U81" t="str">
        <f>IFERROR(IF(OR(HLOOKUP($A81,#REF!,19,FALSE)&gt;2,HLOOKUP($A81,#REF!,19,FALSE)&lt;-2),"",#REF!),"")</f>
        <v/>
      </c>
      <c r="V81">
        <f t="shared" si="4"/>
        <v>1</v>
      </c>
      <c r="W81" t="str">
        <f t="shared" si="5"/>
        <v/>
      </c>
      <c r="X81" t="str">
        <f t="shared" si="6"/>
        <v/>
      </c>
      <c r="Y81" t="str">
        <f t="shared" si="7"/>
        <v/>
      </c>
    </row>
    <row r="82" spans="1:25" x14ac:dyDescent="0.35">
      <c r="A82">
        <v>84</v>
      </c>
      <c r="B82" t="s">
        <v>57</v>
      </c>
      <c r="C82">
        <v>20600</v>
      </c>
      <c r="D82">
        <v>972</v>
      </c>
      <c r="E82" t="str">
        <f>IFERROR(IF(OR(HLOOKUP($A82,#REF!,3,FALSE)&gt;2,HLOOKUP(A82,#REF!,3,FALSE)&lt;-2),"",#REF!),"")</f>
        <v/>
      </c>
      <c r="F82" t="str">
        <f>IFERROR(IF(OR(HLOOKUP($A82,#REF!,4,FALSE)&gt;2,HLOOKUP($A82,#REF!,4,FALSE)&lt;-2),"",#REF!),"")</f>
        <v/>
      </c>
      <c r="G82" t="str">
        <f>IFERROR(IF(OR(HLOOKUP($A82,#REF!,5,FALSE)&gt;2,HLOOKUP($A82,#REF!,5,FALSE)&lt;-2),"",#REF!),"")</f>
        <v/>
      </c>
      <c r="H82" t="str">
        <f>IFERROR(IF(OR(HLOOKUP($A82,#REF!,6,FALSE)&gt;2,HLOOKUP($A82,#REF!,6,FALSE)&lt;-2),"",#REF!),"")</f>
        <v/>
      </c>
      <c r="I82" t="str">
        <f>IFERROR(IF(OR(HLOOKUP($A82,#REF!,7,FALSE)&gt;2,HLOOKUP($A82,#REF!,7,FALSE)&lt;-2),"",#REF!),"")</f>
        <v/>
      </c>
      <c r="J82" t="str">
        <f>IFERROR(IF(OR(HLOOKUP($A82,#REF!,8,FALSE)&gt;2,HLOOKUP($A82,#REF!,8,FALSE)&lt;-2),"",#REF!),"")</f>
        <v/>
      </c>
      <c r="K82" t="str">
        <f>IFERROR(IF(OR(HLOOKUP($A82,#REF!,9,FALSE)&gt;2,HLOOKUP($A82,#REF!,9,FALSE)&lt;-2),"",#REF!),"")</f>
        <v/>
      </c>
      <c r="L82" t="str">
        <f>IFERROR(IF(OR(HLOOKUP($A82,#REF!,10,FALSE)&gt;2,HLOOKUP($A82,#REF!,10,FALSE)&lt;-2),"",#REF!),"")</f>
        <v/>
      </c>
      <c r="M82" t="str">
        <f>IFERROR(IF(OR(HLOOKUP($A82,#REF!,11,FALSE)&gt;2,HLOOKUP($A82,#REF!,11,FALSE)&lt;-2),"",#REF!),"")</f>
        <v/>
      </c>
      <c r="N82" t="str">
        <f>IFERROR(IF(OR(HLOOKUP($A82,#REF!,12,FALSE)&gt;2,HLOOKUP($A82,#REF!,12,FALSE)&lt;-2),"",#REF!),"")</f>
        <v/>
      </c>
      <c r="O82" t="str">
        <f>IFERROR(IF(OR(HLOOKUP($A82,#REF!,13,FALSE)&gt;2,HLOOKUP($A82,#REF!,13,FALSE)&lt;-2),"",#REF!),"")</f>
        <v/>
      </c>
      <c r="P82" t="str">
        <f>IFERROR(IF(OR(HLOOKUP($A82,#REF!,14,FALSE)&gt;2,HLOOKUP($A82,#REF!,14,FALSE)&lt;-2),"",#REF!),"")</f>
        <v/>
      </c>
      <c r="Q82" t="str">
        <f>IFERROR(IF(OR(HLOOKUP($A82,#REF!,15,FALSE)&gt;2,HLOOKUP($A82,#REF!,15,FALSE)&lt;-2),"",#REF!),"")</f>
        <v/>
      </c>
      <c r="R82" t="str">
        <f>IFERROR(IF(OR(HLOOKUP($A82,#REF!,16,FALSE)&gt;2,HLOOKUP($A82,#REF!,16,FALSE)&lt;-2),"",#REF!),"")</f>
        <v/>
      </c>
      <c r="S82" t="str">
        <f>IFERROR(IF(OR(HLOOKUP($A82,#REF!,17,FALSE)&gt;2,HLOOKUP($A82,#REF!,17,FALSE)&lt;-2),"",#REF!),"")</f>
        <v/>
      </c>
      <c r="T82" t="str">
        <f>IFERROR(IF(OR(HLOOKUP($A82,#REF!,18,FALSE)&gt;2,HLOOKUP($A82,#REF!,18,FALSE)&lt;-2),"",#REF!),"")</f>
        <v/>
      </c>
      <c r="U82" t="str">
        <f>IFERROR(IF(OR(HLOOKUP($A82,#REF!,19,FALSE)&gt;2,HLOOKUP($A82,#REF!,19,FALSE)&lt;-2),"",#REF!),"")</f>
        <v/>
      </c>
      <c r="V82">
        <f t="shared" si="4"/>
        <v>1</v>
      </c>
      <c r="W82" t="str">
        <f t="shared" si="5"/>
        <v/>
      </c>
      <c r="X82" t="str">
        <f t="shared" si="6"/>
        <v/>
      </c>
      <c r="Y82" t="str">
        <f t="shared" si="7"/>
        <v/>
      </c>
    </row>
    <row r="83" spans="1:25" x14ac:dyDescent="0.35">
      <c r="A83">
        <v>85</v>
      </c>
      <c r="B83" t="s">
        <v>628</v>
      </c>
      <c r="C83">
        <v>104700</v>
      </c>
      <c r="D83">
        <v>812</v>
      </c>
      <c r="E83" t="str">
        <f>IFERROR(IF(OR(HLOOKUP($A83,#REF!,3,FALSE)&gt;2,HLOOKUP(A83,#REF!,3,FALSE)&lt;-2),"",#REF!),"")</f>
        <v/>
      </c>
      <c r="F83" t="str">
        <f>IFERROR(IF(OR(HLOOKUP($A83,#REF!,4,FALSE)&gt;2,HLOOKUP($A83,#REF!,4,FALSE)&lt;-2),"",#REF!),"")</f>
        <v/>
      </c>
      <c r="G83" t="str">
        <f>IFERROR(IF(OR(HLOOKUP($A83,#REF!,5,FALSE)&gt;2,HLOOKUP($A83,#REF!,5,FALSE)&lt;-2),"",#REF!),"")</f>
        <v/>
      </c>
      <c r="H83" t="str">
        <f>IFERROR(IF(OR(HLOOKUP($A83,#REF!,6,FALSE)&gt;2,HLOOKUP($A83,#REF!,6,FALSE)&lt;-2),"",#REF!),"")</f>
        <v/>
      </c>
      <c r="I83" t="str">
        <f>IFERROR(IF(OR(HLOOKUP($A83,#REF!,7,FALSE)&gt;2,HLOOKUP($A83,#REF!,7,FALSE)&lt;-2),"",#REF!),"")</f>
        <v/>
      </c>
      <c r="J83" t="str">
        <f>IFERROR(IF(OR(HLOOKUP($A83,#REF!,8,FALSE)&gt;2,HLOOKUP($A83,#REF!,8,FALSE)&lt;-2),"",#REF!),"")</f>
        <v/>
      </c>
      <c r="K83" t="str">
        <f>IFERROR(IF(OR(HLOOKUP($A83,#REF!,9,FALSE)&gt;2,HLOOKUP($A83,#REF!,9,FALSE)&lt;-2),"",#REF!),"")</f>
        <v/>
      </c>
      <c r="L83" t="str">
        <f>IFERROR(IF(OR(HLOOKUP($A83,#REF!,10,FALSE)&gt;2,HLOOKUP($A83,#REF!,10,FALSE)&lt;-2),"",#REF!),"")</f>
        <v/>
      </c>
      <c r="M83" t="str">
        <f>IFERROR(IF(OR(HLOOKUP($A83,#REF!,11,FALSE)&gt;2,HLOOKUP($A83,#REF!,11,FALSE)&lt;-2),"",#REF!),"")</f>
        <v/>
      </c>
      <c r="N83" t="str">
        <f>IFERROR(IF(OR(HLOOKUP($A83,#REF!,12,FALSE)&gt;2,HLOOKUP($A83,#REF!,12,FALSE)&lt;-2),"",#REF!),"")</f>
        <v/>
      </c>
      <c r="O83" t="str">
        <f>IFERROR(IF(OR(HLOOKUP($A83,#REF!,13,FALSE)&gt;2,HLOOKUP($A83,#REF!,13,FALSE)&lt;-2),"",#REF!),"")</f>
        <v/>
      </c>
      <c r="P83" t="str">
        <f>IFERROR(IF(OR(HLOOKUP($A83,#REF!,14,FALSE)&gt;2,HLOOKUP($A83,#REF!,14,FALSE)&lt;-2),"",#REF!),"")</f>
        <v/>
      </c>
      <c r="Q83" t="str">
        <f>IFERROR(IF(OR(HLOOKUP($A83,#REF!,15,FALSE)&gt;2,HLOOKUP($A83,#REF!,15,FALSE)&lt;-2),"",#REF!),"")</f>
        <v/>
      </c>
      <c r="R83" t="str">
        <f>IFERROR(IF(OR(HLOOKUP($A83,#REF!,16,FALSE)&gt;2,HLOOKUP($A83,#REF!,16,FALSE)&lt;-2),"",#REF!),"")</f>
        <v/>
      </c>
      <c r="S83" t="str">
        <f>IFERROR(IF(OR(HLOOKUP($A83,#REF!,17,FALSE)&gt;2,HLOOKUP($A83,#REF!,17,FALSE)&lt;-2),"",#REF!),"")</f>
        <v/>
      </c>
      <c r="T83" t="str">
        <f>IFERROR(IF(OR(HLOOKUP($A83,#REF!,18,FALSE)&gt;2,HLOOKUP($A83,#REF!,18,FALSE)&lt;-2),"",#REF!),"")</f>
        <v/>
      </c>
      <c r="U83" t="str">
        <f>IFERROR(IF(OR(HLOOKUP($A83,#REF!,19,FALSE)&gt;2,HLOOKUP($A83,#REF!,19,FALSE)&lt;-2),"",#REF!),"")</f>
        <v/>
      </c>
      <c r="V83">
        <f t="shared" si="4"/>
        <v>1</v>
      </c>
      <c r="W83" t="str">
        <f t="shared" si="5"/>
        <v/>
      </c>
      <c r="X83" t="str">
        <f t="shared" si="6"/>
        <v/>
      </c>
      <c r="Y83" t="str">
        <f t="shared" si="7"/>
        <v/>
      </c>
    </row>
    <row r="84" spans="1:25" x14ac:dyDescent="0.35">
      <c r="A84">
        <v>86</v>
      </c>
      <c r="B84" t="s">
        <v>629</v>
      </c>
      <c r="C84">
        <v>108300</v>
      </c>
      <c r="D84">
        <v>896</v>
      </c>
      <c r="E84" t="str">
        <f>IFERROR(IF(OR(HLOOKUP($A84,#REF!,3,FALSE)&gt;2,HLOOKUP(A84,#REF!,3,FALSE)&lt;-2),"",#REF!),"")</f>
        <v/>
      </c>
      <c r="F84" t="str">
        <f>IFERROR(IF(OR(HLOOKUP($A84,#REF!,4,FALSE)&gt;2,HLOOKUP($A84,#REF!,4,FALSE)&lt;-2),"",#REF!),"")</f>
        <v/>
      </c>
      <c r="G84" t="str">
        <f>IFERROR(IF(OR(HLOOKUP($A84,#REF!,5,FALSE)&gt;2,HLOOKUP($A84,#REF!,5,FALSE)&lt;-2),"",#REF!),"")</f>
        <v/>
      </c>
      <c r="H84" t="str">
        <f>IFERROR(IF(OR(HLOOKUP($A84,#REF!,6,FALSE)&gt;2,HLOOKUP($A84,#REF!,6,FALSE)&lt;-2),"",#REF!),"")</f>
        <v/>
      </c>
      <c r="I84" t="str">
        <f>IFERROR(IF(OR(HLOOKUP($A84,#REF!,7,FALSE)&gt;2,HLOOKUP($A84,#REF!,7,FALSE)&lt;-2),"",#REF!),"")</f>
        <v/>
      </c>
      <c r="J84" t="str">
        <f>IFERROR(IF(OR(HLOOKUP($A84,#REF!,8,FALSE)&gt;2,HLOOKUP($A84,#REF!,8,FALSE)&lt;-2),"",#REF!),"")</f>
        <v/>
      </c>
      <c r="K84" t="str">
        <f>IFERROR(IF(OR(HLOOKUP($A84,#REF!,9,FALSE)&gt;2,HLOOKUP($A84,#REF!,9,FALSE)&lt;-2),"",#REF!),"")</f>
        <v/>
      </c>
      <c r="L84" t="str">
        <f>IFERROR(IF(OR(HLOOKUP($A84,#REF!,10,FALSE)&gt;2,HLOOKUP($A84,#REF!,10,FALSE)&lt;-2),"",#REF!),"")</f>
        <v/>
      </c>
      <c r="M84" t="str">
        <f>IFERROR(IF(OR(HLOOKUP($A84,#REF!,11,FALSE)&gt;2,HLOOKUP($A84,#REF!,11,FALSE)&lt;-2),"",#REF!),"")</f>
        <v/>
      </c>
      <c r="N84" t="str">
        <f>IFERROR(IF(OR(HLOOKUP($A84,#REF!,12,FALSE)&gt;2,HLOOKUP($A84,#REF!,12,FALSE)&lt;-2),"",#REF!),"")</f>
        <v/>
      </c>
      <c r="O84" t="str">
        <f>IFERROR(IF(OR(HLOOKUP($A84,#REF!,13,FALSE)&gt;2,HLOOKUP($A84,#REF!,13,FALSE)&lt;-2),"",#REF!),"")</f>
        <v/>
      </c>
      <c r="P84" t="str">
        <f>IFERROR(IF(OR(HLOOKUP($A84,#REF!,14,FALSE)&gt;2,HLOOKUP($A84,#REF!,14,FALSE)&lt;-2),"",#REF!),"")</f>
        <v/>
      </c>
      <c r="Q84" t="str">
        <f>IFERROR(IF(OR(HLOOKUP($A84,#REF!,15,FALSE)&gt;2,HLOOKUP($A84,#REF!,15,FALSE)&lt;-2),"",#REF!),"")</f>
        <v/>
      </c>
      <c r="R84" t="str">
        <f>IFERROR(IF(OR(HLOOKUP($A84,#REF!,16,FALSE)&gt;2,HLOOKUP($A84,#REF!,16,FALSE)&lt;-2),"",#REF!),"")</f>
        <v/>
      </c>
      <c r="S84" t="str">
        <f>IFERROR(IF(OR(HLOOKUP($A84,#REF!,17,FALSE)&gt;2,HLOOKUP($A84,#REF!,17,FALSE)&lt;-2),"",#REF!),"")</f>
        <v/>
      </c>
      <c r="T84" t="str">
        <f>IFERROR(IF(OR(HLOOKUP($A84,#REF!,18,FALSE)&gt;2,HLOOKUP($A84,#REF!,18,FALSE)&lt;-2),"",#REF!),"")</f>
        <v/>
      </c>
      <c r="U84" t="str">
        <f>IFERROR(IF(OR(HLOOKUP($A84,#REF!,19,FALSE)&gt;2,HLOOKUP($A84,#REF!,19,FALSE)&lt;-2),"",#REF!),"")</f>
        <v/>
      </c>
      <c r="V84">
        <f t="shared" si="4"/>
        <v>1</v>
      </c>
      <c r="W84" t="str">
        <f t="shared" si="5"/>
        <v/>
      </c>
      <c r="X84" t="str">
        <f t="shared" si="6"/>
        <v/>
      </c>
      <c r="Y84" t="str">
        <f t="shared" si="7"/>
        <v/>
      </c>
    </row>
    <row r="85" spans="1:25" x14ac:dyDescent="0.35">
      <c r="A85">
        <v>87</v>
      </c>
      <c r="B85" t="s">
        <v>630</v>
      </c>
      <c r="C85">
        <v>71400</v>
      </c>
      <c r="D85">
        <v>94</v>
      </c>
      <c r="E85" t="str">
        <f>IFERROR(IF(OR(HLOOKUP($A85,#REF!,3,FALSE)&gt;2,HLOOKUP(A85,#REF!,3,FALSE)&lt;-2),"",#REF!),"")</f>
        <v/>
      </c>
      <c r="F85" t="str">
        <f>IFERROR(IF(OR(HLOOKUP($A85,#REF!,4,FALSE)&gt;2,HLOOKUP($A85,#REF!,4,FALSE)&lt;-2),"",#REF!),"")</f>
        <v/>
      </c>
      <c r="G85" t="str">
        <f>IFERROR(IF(OR(HLOOKUP($A85,#REF!,5,FALSE)&gt;2,HLOOKUP($A85,#REF!,5,FALSE)&lt;-2),"",#REF!),"")</f>
        <v/>
      </c>
      <c r="H85" t="str">
        <f>IFERROR(IF(OR(HLOOKUP($A85,#REF!,6,FALSE)&gt;2,HLOOKUP($A85,#REF!,6,FALSE)&lt;-2),"",#REF!),"")</f>
        <v/>
      </c>
      <c r="I85" t="str">
        <f>IFERROR(IF(OR(HLOOKUP($A85,#REF!,7,FALSE)&gt;2,HLOOKUP($A85,#REF!,7,FALSE)&lt;-2),"",#REF!),"")</f>
        <v/>
      </c>
      <c r="J85" t="str">
        <f>IFERROR(IF(OR(HLOOKUP($A85,#REF!,8,FALSE)&gt;2,HLOOKUP($A85,#REF!,8,FALSE)&lt;-2),"",#REF!),"")</f>
        <v/>
      </c>
      <c r="K85" t="str">
        <f>IFERROR(IF(OR(HLOOKUP($A85,#REF!,9,FALSE)&gt;2,HLOOKUP($A85,#REF!,9,FALSE)&lt;-2),"",#REF!),"")</f>
        <v/>
      </c>
      <c r="L85" t="str">
        <f>IFERROR(IF(OR(HLOOKUP($A85,#REF!,10,FALSE)&gt;2,HLOOKUP($A85,#REF!,10,FALSE)&lt;-2),"",#REF!),"")</f>
        <v/>
      </c>
      <c r="M85" t="str">
        <f>IFERROR(IF(OR(HLOOKUP($A85,#REF!,11,FALSE)&gt;2,HLOOKUP($A85,#REF!,11,FALSE)&lt;-2),"",#REF!),"")</f>
        <v/>
      </c>
      <c r="N85" t="str">
        <f>IFERROR(IF(OR(HLOOKUP($A85,#REF!,12,FALSE)&gt;2,HLOOKUP($A85,#REF!,12,FALSE)&lt;-2),"",#REF!),"")</f>
        <v/>
      </c>
      <c r="O85" t="str">
        <f>IFERROR(IF(OR(HLOOKUP($A85,#REF!,13,FALSE)&gt;2,HLOOKUP($A85,#REF!,13,FALSE)&lt;-2),"",#REF!),"")</f>
        <v/>
      </c>
      <c r="P85" t="str">
        <f>IFERROR(IF(OR(HLOOKUP($A85,#REF!,14,FALSE)&gt;2,HLOOKUP($A85,#REF!,14,FALSE)&lt;-2),"",#REF!),"")</f>
        <v/>
      </c>
      <c r="Q85" t="str">
        <f>IFERROR(IF(OR(HLOOKUP($A85,#REF!,15,FALSE)&gt;2,HLOOKUP($A85,#REF!,15,FALSE)&lt;-2),"",#REF!),"")</f>
        <v/>
      </c>
      <c r="R85" t="str">
        <f>IFERROR(IF(OR(HLOOKUP($A85,#REF!,16,FALSE)&gt;2,HLOOKUP($A85,#REF!,16,FALSE)&lt;-2),"",#REF!),"")</f>
        <v/>
      </c>
      <c r="S85" t="str">
        <f>IFERROR(IF(OR(HLOOKUP($A85,#REF!,17,FALSE)&gt;2,HLOOKUP($A85,#REF!,17,FALSE)&lt;-2),"",#REF!),"")</f>
        <v/>
      </c>
      <c r="T85" t="str">
        <f>IFERROR(IF(OR(HLOOKUP($A85,#REF!,18,FALSE)&gt;2,HLOOKUP($A85,#REF!,18,FALSE)&lt;-2),"",#REF!),"")</f>
        <v/>
      </c>
      <c r="U85" t="str">
        <f>IFERROR(IF(OR(HLOOKUP($A85,#REF!,19,FALSE)&gt;2,HLOOKUP($A85,#REF!,19,FALSE)&lt;-2),"",#REF!),"")</f>
        <v/>
      </c>
      <c r="V85">
        <f t="shared" si="4"/>
        <v>1</v>
      </c>
      <c r="W85" t="str">
        <f t="shared" si="5"/>
        <v/>
      </c>
      <c r="X85" t="str">
        <f t="shared" si="6"/>
        <v/>
      </c>
      <c r="Y85" t="str">
        <f t="shared" si="7"/>
        <v/>
      </c>
    </row>
    <row r="86" spans="1:25" x14ac:dyDescent="0.35">
      <c r="A86">
        <v>88</v>
      </c>
      <c r="B86" t="s">
        <v>58</v>
      </c>
      <c r="C86">
        <v>74100</v>
      </c>
      <c r="D86">
        <v>467</v>
      </c>
      <c r="E86" t="str">
        <f>IFERROR(IF(OR(HLOOKUP($A86,#REF!,3,FALSE)&gt;2,HLOOKUP(A86,#REF!,3,FALSE)&lt;-2),"",#REF!),"")</f>
        <v/>
      </c>
      <c r="F86" t="str">
        <f>IFERROR(IF(OR(HLOOKUP($A86,#REF!,4,FALSE)&gt;2,HLOOKUP($A86,#REF!,4,FALSE)&lt;-2),"",#REF!),"")</f>
        <v/>
      </c>
      <c r="G86" t="str">
        <f>IFERROR(IF(OR(HLOOKUP($A86,#REF!,5,FALSE)&gt;2,HLOOKUP($A86,#REF!,5,FALSE)&lt;-2),"",#REF!),"")</f>
        <v/>
      </c>
      <c r="H86" t="str">
        <f>IFERROR(IF(OR(HLOOKUP($A86,#REF!,6,FALSE)&gt;2,HLOOKUP($A86,#REF!,6,FALSE)&lt;-2),"",#REF!),"")</f>
        <v/>
      </c>
      <c r="I86" t="str">
        <f>IFERROR(IF(OR(HLOOKUP($A86,#REF!,7,FALSE)&gt;2,HLOOKUP($A86,#REF!,7,FALSE)&lt;-2),"",#REF!),"")</f>
        <v/>
      </c>
      <c r="J86" t="str">
        <f>IFERROR(IF(OR(HLOOKUP($A86,#REF!,8,FALSE)&gt;2,HLOOKUP($A86,#REF!,8,FALSE)&lt;-2),"",#REF!),"")</f>
        <v/>
      </c>
      <c r="K86" t="str">
        <f>IFERROR(IF(OR(HLOOKUP($A86,#REF!,9,FALSE)&gt;2,HLOOKUP($A86,#REF!,9,FALSE)&lt;-2),"",#REF!),"")</f>
        <v/>
      </c>
      <c r="L86" t="str">
        <f>IFERROR(IF(OR(HLOOKUP($A86,#REF!,10,FALSE)&gt;2,HLOOKUP($A86,#REF!,10,FALSE)&lt;-2),"",#REF!),"")</f>
        <v/>
      </c>
      <c r="M86" t="str">
        <f>IFERROR(IF(OR(HLOOKUP($A86,#REF!,11,FALSE)&gt;2,HLOOKUP($A86,#REF!,11,FALSE)&lt;-2),"",#REF!),"")</f>
        <v/>
      </c>
      <c r="N86" t="str">
        <f>IFERROR(IF(OR(HLOOKUP($A86,#REF!,12,FALSE)&gt;2,HLOOKUP($A86,#REF!,12,FALSE)&lt;-2),"",#REF!),"")</f>
        <v/>
      </c>
      <c r="O86" t="str">
        <f>IFERROR(IF(OR(HLOOKUP($A86,#REF!,13,FALSE)&gt;2,HLOOKUP($A86,#REF!,13,FALSE)&lt;-2),"",#REF!),"")</f>
        <v/>
      </c>
      <c r="P86" t="str">
        <f>IFERROR(IF(OR(HLOOKUP($A86,#REF!,14,FALSE)&gt;2,HLOOKUP($A86,#REF!,14,FALSE)&lt;-2),"",#REF!),"")</f>
        <v/>
      </c>
      <c r="Q86" t="str">
        <f>IFERROR(IF(OR(HLOOKUP($A86,#REF!,15,FALSE)&gt;2,HLOOKUP($A86,#REF!,15,FALSE)&lt;-2),"",#REF!),"")</f>
        <v/>
      </c>
      <c r="R86" t="str">
        <f>IFERROR(IF(OR(HLOOKUP($A86,#REF!,16,FALSE)&gt;2,HLOOKUP($A86,#REF!,16,FALSE)&lt;-2),"",#REF!),"")</f>
        <v/>
      </c>
      <c r="S86" t="str">
        <f>IFERROR(IF(OR(HLOOKUP($A86,#REF!,17,FALSE)&gt;2,HLOOKUP($A86,#REF!,17,FALSE)&lt;-2),"",#REF!),"")</f>
        <v/>
      </c>
      <c r="T86" t="str">
        <f>IFERROR(IF(OR(HLOOKUP($A86,#REF!,18,FALSE)&gt;2,HLOOKUP($A86,#REF!,18,FALSE)&lt;-2),"",#REF!),"")</f>
        <v/>
      </c>
      <c r="U86" t="str">
        <f>IFERROR(IF(OR(HLOOKUP($A86,#REF!,19,FALSE)&gt;2,HLOOKUP($A86,#REF!,19,FALSE)&lt;-2),"",#REF!),"")</f>
        <v/>
      </c>
      <c r="V86">
        <f t="shared" si="4"/>
        <v>1</v>
      </c>
      <c r="W86" t="str">
        <f t="shared" si="5"/>
        <v/>
      </c>
      <c r="X86" t="str">
        <f t="shared" si="6"/>
        <v/>
      </c>
      <c r="Y86" t="str">
        <f t="shared" si="7"/>
        <v/>
      </c>
    </row>
    <row r="87" spans="1:25" x14ac:dyDescent="0.35">
      <c r="A87">
        <v>89</v>
      </c>
      <c r="B87" t="s">
        <v>631</v>
      </c>
      <c r="C87">
        <v>116000</v>
      </c>
      <c r="D87">
        <v>81</v>
      </c>
      <c r="E87" t="str">
        <f>IFERROR(IF(OR(HLOOKUP($A87,#REF!,3,FALSE)&gt;2,HLOOKUP(A87,#REF!,3,FALSE)&lt;-2),"",#REF!),"")</f>
        <v/>
      </c>
      <c r="F87" t="str">
        <f>IFERROR(IF(OR(HLOOKUP($A87,#REF!,4,FALSE)&gt;2,HLOOKUP($A87,#REF!,4,FALSE)&lt;-2),"",#REF!),"")</f>
        <v/>
      </c>
      <c r="G87" t="str">
        <f>IFERROR(IF(OR(HLOOKUP($A87,#REF!,5,FALSE)&gt;2,HLOOKUP($A87,#REF!,5,FALSE)&lt;-2),"",#REF!),"")</f>
        <v/>
      </c>
      <c r="H87" t="str">
        <f>IFERROR(IF(OR(HLOOKUP($A87,#REF!,6,FALSE)&gt;2,HLOOKUP($A87,#REF!,6,FALSE)&lt;-2),"",#REF!),"")</f>
        <v/>
      </c>
      <c r="I87" t="str">
        <f>IFERROR(IF(OR(HLOOKUP($A87,#REF!,7,FALSE)&gt;2,HLOOKUP($A87,#REF!,7,FALSE)&lt;-2),"",#REF!),"")</f>
        <v/>
      </c>
      <c r="J87" t="str">
        <f>IFERROR(IF(OR(HLOOKUP($A87,#REF!,8,FALSE)&gt;2,HLOOKUP($A87,#REF!,8,FALSE)&lt;-2),"",#REF!),"")</f>
        <v/>
      </c>
      <c r="K87" t="str">
        <f>IFERROR(IF(OR(HLOOKUP($A87,#REF!,9,FALSE)&gt;2,HLOOKUP($A87,#REF!,9,FALSE)&lt;-2),"",#REF!),"")</f>
        <v/>
      </c>
      <c r="L87" t="str">
        <f>IFERROR(IF(OR(HLOOKUP($A87,#REF!,10,FALSE)&gt;2,HLOOKUP($A87,#REF!,10,FALSE)&lt;-2),"",#REF!),"")</f>
        <v/>
      </c>
      <c r="M87" t="str">
        <f>IFERROR(IF(OR(HLOOKUP($A87,#REF!,11,FALSE)&gt;2,HLOOKUP($A87,#REF!,11,FALSE)&lt;-2),"",#REF!),"")</f>
        <v/>
      </c>
      <c r="N87" t="str">
        <f>IFERROR(IF(OR(HLOOKUP($A87,#REF!,12,FALSE)&gt;2,HLOOKUP($A87,#REF!,12,FALSE)&lt;-2),"",#REF!),"")</f>
        <v/>
      </c>
      <c r="O87" t="str">
        <f>IFERROR(IF(OR(HLOOKUP($A87,#REF!,13,FALSE)&gt;2,HLOOKUP($A87,#REF!,13,FALSE)&lt;-2),"",#REF!),"")</f>
        <v/>
      </c>
      <c r="P87" t="str">
        <f>IFERROR(IF(OR(HLOOKUP($A87,#REF!,14,FALSE)&gt;2,HLOOKUP($A87,#REF!,14,FALSE)&lt;-2),"",#REF!),"")</f>
        <v/>
      </c>
      <c r="Q87" t="str">
        <f>IFERROR(IF(OR(HLOOKUP($A87,#REF!,15,FALSE)&gt;2,HLOOKUP($A87,#REF!,15,FALSE)&lt;-2),"",#REF!),"")</f>
        <v/>
      </c>
      <c r="R87" t="str">
        <f>IFERROR(IF(OR(HLOOKUP($A87,#REF!,16,FALSE)&gt;2,HLOOKUP($A87,#REF!,16,FALSE)&lt;-2),"",#REF!),"")</f>
        <v/>
      </c>
      <c r="S87" t="str">
        <f>IFERROR(IF(OR(HLOOKUP($A87,#REF!,17,FALSE)&gt;2,HLOOKUP($A87,#REF!,17,FALSE)&lt;-2),"",#REF!),"")</f>
        <v/>
      </c>
      <c r="T87" t="str">
        <f>IFERROR(IF(OR(HLOOKUP($A87,#REF!,18,FALSE)&gt;2,HLOOKUP($A87,#REF!,18,FALSE)&lt;-2),"",#REF!),"")</f>
        <v/>
      </c>
      <c r="U87" t="str">
        <f>IFERROR(IF(OR(HLOOKUP($A87,#REF!,19,FALSE)&gt;2,HLOOKUP($A87,#REF!,19,FALSE)&lt;-2),"",#REF!),"")</f>
        <v/>
      </c>
      <c r="V87">
        <f t="shared" si="4"/>
        <v>1</v>
      </c>
      <c r="W87" t="str">
        <f t="shared" si="5"/>
        <v/>
      </c>
      <c r="X87" t="str">
        <f t="shared" si="6"/>
        <v/>
      </c>
      <c r="Y87" t="str">
        <f t="shared" si="7"/>
        <v/>
      </c>
    </row>
    <row r="88" spans="1:25" x14ac:dyDescent="0.35">
      <c r="A88">
        <v>90</v>
      </c>
      <c r="B88" t="s">
        <v>632</v>
      </c>
      <c r="C88">
        <v>85100</v>
      </c>
      <c r="D88">
        <v>612</v>
      </c>
      <c r="E88" t="str">
        <f>IFERROR(IF(OR(HLOOKUP($A88,#REF!,3,FALSE)&gt;2,HLOOKUP(A88,#REF!,3,FALSE)&lt;-2),"",#REF!),"")</f>
        <v/>
      </c>
      <c r="F88" t="str">
        <f>IFERROR(IF(OR(HLOOKUP($A88,#REF!,4,FALSE)&gt;2,HLOOKUP($A88,#REF!,4,FALSE)&lt;-2),"",#REF!),"")</f>
        <v/>
      </c>
      <c r="G88" t="str">
        <f>IFERROR(IF(OR(HLOOKUP($A88,#REF!,5,FALSE)&gt;2,HLOOKUP($A88,#REF!,5,FALSE)&lt;-2),"",#REF!),"")</f>
        <v/>
      </c>
      <c r="H88" t="str">
        <f>IFERROR(IF(OR(HLOOKUP($A88,#REF!,6,FALSE)&gt;2,HLOOKUP($A88,#REF!,6,FALSE)&lt;-2),"",#REF!),"")</f>
        <v/>
      </c>
      <c r="I88" t="str">
        <f>IFERROR(IF(OR(HLOOKUP($A88,#REF!,7,FALSE)&gt;2,HLOOKUP($A88,#REF!,7,FALSE)&lt;-2),"",#REF!),"")</f>
        <v/>
      </c>
      <c r="J88" t="str">
        <f>IFERROR(IF(OR(HLOOKUP($A88,#REF!,8,FALSE)&gt;2,HLOOKUP($A88,#REF!,8,FALSE)&lt;-2),"",#REF!),"")</f>
        <v/>
      </c>
      <c r="K88" t="str">
        <f>IFERROR(IF(OR(HLOOKUP($A88,#REF!,9,FALSE)&gt;2,HLOOKUP($A88,#REF!,9,FALSE)&lt;-2),"",#REF!),"")</f>
        <v/>
      </c>
      <c r="L88" t="str">
        <f>IFERROR(IF(OR(HLOOKUP($A88,#REF!,10,FALSE)&gt;2,HLOOKUP($A88,#REF!,10,FALSE)&lt;-2),"",#REF!),"")</f>
        <v/>
      </c>
      <c r="M88" t="str">
        <f>IFERROR(IF(OR(HLOOKUP($A88,#REF!,11,FALSE)&gt;2,HLOOKUP($A88,#REF!,11,FALSE)&lt;-2),"",#REF!),"")</f>
        <v/>
      </c>
      <c r="N88" t="str">
        <f>IFERROR(IF(OR(HLOOKUP($A88,#REF!,12,FALSE)&gt;2,HLOOKUP($A88,#REF!,12,FALSE)&lt;-2),"",#REF!),"")</f>
        <v/>
      </c>
      <c r="O88" t="str">
        <f>IFERROR(IF(OR(HLOOKUP($A88,#REF!,13,FALSE)&gt;2,HLOOKUP($A88,#REF!,13,FALSE)&lt;-2),"",#REF!),"")</f>
        <v/>
      </c>
      <c r="P88" t="str">
        <f>IFERROR(IF(OR(HLOOKUP($A88,#REF!,14,FALSE)&gt;2,HLOOKUP($A88,#REF!,14,FALSE)&lt;-2),"",#REF!),"")</f>
        <v/>
      </c>
      <c r="Q88" t="str">
        <f>IFERROR(IF(OR(HLOOKUP($A88,#REF!,15,FALSE)&gt;2,HLOOKUP($A88,#REF!,15,FALSE)&lt;-2),"",#REF!),"")</f>
        <v/>
      </c>
      <c r="R88" t="str">
        <f>IFERROR(IF(OR(HLOOKUP($A88,#REF!,16,FALSE)&gt;2,HLOOKUP($A88,#REF!,16,FALSE)&lt;-2),"",#REF!),"")</f>
        <v/>
      </c>
      <c r="S88" t="str">
        <f>IFERROR(IF(OR(HLOOKUP($A88,#REF!,17,FALSE)&gt;2,HLOOKUP($A88,#REF!,17,FALSE)&lt;-2),"",#REF!),"")</f>
        <v/>
      </c>
      <c r="T88" t="str">
        <f>IFERROR(IF(OR(HLOOKUP($A88,#REF!,18,FALSE)&gt;2,HLOOKUP($A88,#REF!,18,FALSE)&lt;-2),"",#REF!),"")</f>
        <v/>
      </c>
      <c r="U88" t="str">
        <f>IFERROR(IF(OR(HLOOKUP($A88,#REF!,19,FALSE)&gt;2,HLOOKUP($A88,#REF!,19,FALSE)&lt;-2),"",#REF!),"")</f>
        <v/>
      </c>
      <c r="V88">
        <f t="shared" si="4"/>
        <v>1</v>
      </c>
      <c r="W88" t="str">
        <f t="shared" si="5"/>
        <v/>
      </c>
      <c r="X88" t="str">
        <f t="shared" si="6"/>
        <v/>
      </c>
      <c r="Y88" t="str">
        <f t="shared" si="7"/>
        <v/>
      </c>
    </row>
    <row r="89" spans="1:25" x14ac:dyDescent="0.35">
      <c r="A89">
        <v>91</v>
      </c>
      <c r="B89" t="s">
        <v>59</v>
      </c>
      <c r="C89">
        <v>63100</v>
      </c>
      <c r="D89">
        <v>519</v>
      </c>
      <c r="E89" t="str">
        <f>IFERROR(IF(OR(HLOOKUP($A89,#REF!,3,FALSE)&gt;2,HLOOKUP(A89,#REF!,3,FALSE)&lt;-2),"",#REF!),"")</f>
        <v/>
      </c>
      <c r="F89" t="str">
        <f>IFERROR(IF(OR(HLOOKUP($A89,#REF!,4,FALSE)&gt;2,HLOOKUP($A89,#REF!,4,FALSE)&lt;-2),"",#REF!),"")</f>
        <v/>
      </c>
      <c r="G89" t="str">
        <f>IFERROR(IF(OR(HLOOKUP($A89,#REF!,5,FALSE)&gt;2,HLOOKUP($A89,#REF!,5,FALSE)&lt;-2),"",#REF!),"")</f>
        <v/>
      </c>
      <c r="H89" t="str">
        <f>IFERROR(IF(OR(HLOOKUP($A89,#REF!,6,FALSE)&gt;2,HLOOKUP($A89,#REF!,6,FALSE)&lt;-2),"",#REF!),"")</f>
        <v/>
      </c>
      <c r="I89" t="str">
        <f>IFERROR(IF(OR(HLOOKUP($A89,#REF!,7,FALSE)&gt;2,HLOOKUP($A89,#REF!,7,FALSE)&lt;-2),"",#REF!),"")</f>
        <v/>
      </c>
      <c r="J89" t="str">
        <f>IFERROR(IF(OR(HLOOKUP($A89,#REF!,8,FALSE)&gt;2,HLOOKUP($A89,#REF!,8,FALSE)&lt;-2),"",#REF!),"")</f>
        <v/>
      </c>
      <c r="K89" t="str">
        <f>IFERROR(IF(OR(HLOOKUP($A89,#REF!,9,FALSE)&gt;2,HLOOKUP($A89,#REF!,9,FALSE)&lt;-2),"",#REF!),"")</f>
        <v/>
      </c>
      <c r="L89" t="str">
        <f>IFERROR(IF(OR(HLOOKUP($A89,#REF!,10,FALSE)&gt;2,HLOOKUP($A89,#REF!,10,FALSE)&lt;-2),"",#REF!),"")</f>
        <v/>
      </c>
      <c r="M89" t="str">
        <f>IFERROR(IF(OR(HLOOKUP($A89,#REF!,11,FALSE)&gt;2,HLOOKUP($A89,#REF!,11,FALSE)&lt;-2),"",#REF!),"")</f>
        <v/>
      </c>
      <c r="N89" t="str">
        <f>IFERROR(IF(OR(HLOOKUP($A89,#REF!,12,FALSE)&gt;2,HLOOKUP($A89,#REF!,12,FALSE)&lt;-2),"",#REF!),"")</f>
        <v/>
      </c>
      <c r="O89" t="str">
        <f>IFERROR(IF(OR(HLOOKUP($A89,#REF!,13,FALSE)&gt;2,HLOOKUP($A89,#REF!,13,FALSE)&lt;-2),"",#REF!),"")</f>
        <v/>
      </c>
      <c r="P89" t="str">
        <f>IFERROR(IF(OR(HLOOKUP($A89,#REF!,14,FALSE)&gt;2,HLOOKUP($A89,#REF!,14,FALSE)&lt;-2),"",#REF!),"")</f>
        <v/>
      </c>
      <c r="Q89" t="str">
        <f>IFERROR(IF(OR(HLOOKUP($A89,#REF!,15,FALSE)&gt;2,HLOOKUP($A89,#REF!,15,FALSE)&lt;-2),"",#REF!),"")</f>
        <v/>
      </c>
      <c r="R89" t="str">
        <f>IFERROR(IF(OR(HLOOKUP($A89,#REF!,16,FALSE)&gt;2,HLOOKUP($A89,#REF!,16,FALSE)&lt;-2),"",#REF!),"")</f>
        <v/>
      </c>
      <c r="S89" t="str">
        <f>IFERROR(IF(OR(HLOOKUP($A89,#REF!,17,FALSE)&gt;2,HLOOKUP($A89,#REF!,17,FALSE)&lt;-2),"",#REF!),"")</f>
        <v/>
      </c>
      <c r="T89" t="str">
        <f>IFERROR(IF(OR(HLOOKUP($A89,#REF!,18,FALSE)&gt;2,HLOOKUP($A89,#REF!,18,FALSE)&lt;-2),"",#REF!),"")</f>
        <v/>
      </c>
      <c r="U89" t="str">
        <f>IFERROR(IF(OR(HLOOKUP($A89,#REF!,19,FALSE)&gt;2,HLOOKUP($A89,#REF!,19,FALSE)&lt;-2),"",#REF!),"")</f>
        <v/>
      </c>
      <c r="V89">
        <f t="shared" si="4"/>
        <v>1</v>
      </c>
      <c r="W89" t="str">
        <f t="shared" si="5"/>
        <v/>
      </c>
      <c r="X89" t="str">
        <f t="shared" si="6"/>
        <v/>
      </c>
      <c r="Y89" t="str">
        <f t="shared" si="7"/>
        <v/>
      </c>
    </row>
    <row r="90" spans="1:25" x14ac:dyDescent="0.35">
      <c r="A90">
        <v>92</v>
      </c>
      <c r="B90" t="s">
        <v>633</v>
      </c>
      <c r="C90">
        <v>42000</v>
      </c>
      <c r="D90">
        <v>918</v>
      </c>
      <c r="E90" t="str">
        <f>IFERROR(IF(OR(HLOOKUP($A90,#REF!,3,FALSE)&gt;2,HLOOKUP(A90,#REF!,3,FALSE)&lt;-2),"",#REF!),"")</f>
        <v/>
      </c>
      <c r="F90" t="str">
        <f>IFERROR(IF(OR(HLOOKUP($A90,#REF!,4,FALSE)&gt;2,HLOOKUP($A90,#REF!,4,FALSE)&lt;-2),"",#REF!),"")</f>
        <v/>
      </c>
      <c r="G90" t="str">
        <f>IFERROR(IF(OR(HLOOKUP($A90,#REF!,5,FALSE)&gt;2,HLOOKUP($A90,#REF!,5,FALSE)&lt;-2),"",#REF!),"")</f>
        <v/>
      </c>
      <c r="H90" t="str">
        <f>IFERROR(IF(OR(HLOOKUP($A90,#REF!,6,FALSE)&gt;2,HLOOKUP($A90,#REF!,6,FALSE)&lt;-2),"",#REF!),"")</f>
        <v/>
      </c>
      <c r="I90" t="str">
        <f>IFERROR(IF(OR(HLOOKUP($A90,#REF!,7,FALSE)&gt;2,HLOOKUP($A90,#REF!,7,FALSE)&lt;-2),"",#REF!),"")</f>
        <v/>
      </c>
      <c r="J90" t="str">
        <f>IFERROR(IF(OR(HLOOKUP($A90,#REF!,8,FALSE)&gt;2,HLOOKUP($A90,#REF!,8,FALSE)&lt;-2),"",#REF!),"")</f>
        <v/>
      </c>
      <c r="K90" t="str">
        <f>IFERROR(IF(OR(HLOOKUP($A90,#REF!,9,FALSE)&gt;2,HLOOKUP($A90,#REF!,9,FALSE)&lt;-2),"",#REF!),"")</f>
        <v/>
      </c>
      <c r="L90" t="str">
        <f>IFERROR(IF(OR(HLOOKUP($A90,#REF!,10,FALSE)&gt;2,HLOOKUP($A90,#REF!,10,FALSE)&lt;-2),"",#REF!),"")</f>
        <v/>
      </c>
      <c r="M90" t="str">
        <f>IFERROR(IF(OR(HLOOKUP($A90,#REF!,11,FALSE)&gt;2,HLOOKUP($A90,#REF!,11,FALSE)&lt;-2),"",#REF!),"")</f>
        <v/>
      </c>
      <c r="N90" t="str">
        <f>IFERROR(IF(OR(HLOOKUP($A90,#REF!,12,FALSE)&gt;2,HLOOKUP($A90,#REF!,12,FALSE)&lt;-2),"",#REF!),"")</f>
        <v/>
      </c>
      <c r="O90" t="str">
        <f>IFERROR(IF(OR(HLOOKUP($A90,#REF!,13,FALSE)&gt;2,HLOOKUP($A90,#REF!,13,FALSE)&lt;-2),"",#REF!),"")</f>
        <v/>
      </c>
      <c r="P90" t="str">
        <f>IFERROR(IF(OR(HLOOKUP($A90,#REF!,14,FALSE)&gt;2,HLOOKUP($A90,#REF!,14,FALSE)&lt;-2),"",#REF!),"")</f>
        <v/>
      </c>
      <c r="Q90" t="str">
        <f>IFERROR(IF(OR(HLOOKUP($A90,#REF!,15,FALSE)&gt;2,HLOOKUP($A90,#REF!,15,FALSE)&lt;-2),"",#REF!),"")</f>
        <v/>
      </c>
      <c r="R90" t="str">
        <f>IFERROR(IF(OR(HLOOKUP($A90,#REF!,16,FALSE)&gt;2,HLOOKUP($A90,#REF!,16,FALSE)&lt;-2),"",#REF!),"")</f>
        <v/>
      </c>
      <c r="S90" t="str">
        <f>IFERROR(IF(OR(HLOOKUP($A90,#REF!,17,FALSE)&gt;2,HLOOKUP($A90,#REF!,17,FALSE)&lt;-2),"",#REF!),"")</f>
        <v/>
      </c>
      <c r="T90" t="str">
        <f>IFERROR(IF(OR(HLOOKUP($A90,#REF!,18,FALSE)&gt;2,HLOOKUP($A90,#REF!,18,FALSE)&lt;-2),"",#REF!),"")</f>
        <v/>
      </c>
      <c r="U90" t="str">
        <f>IFERROR(IF(OR(HLOOKUP($A90,#REF!,19,FALSE)&gt;2,HLOOKUP($A90,#REF!,19,FALSE)&lt;-2),"",#REF!),"")</f>
        <v/>
      </c>
      <c r="V90">
        <f t="shared" si="4"/>
        <v>1</v>
      </c>
      <c r="W90" t="str">
        <f t="shared" si="5"/>
        <v/>
      </c>
      <c r="X90" t="str">
        <f t="shared" si="6"/>
        <v/>
      </c>
      <c r="Y90" t="str">
        <f t="shared" si="7"/>
        <v/>
      </c>
    </row>
    <row r="91" spans="1:25" x14ac:dyDescent="0.35">
      <c r="A91">
        <v>93</v>
      </c>
      <c r="B91" t="s">
        <v>60</v>
      </c>
      <c r="C91">
        <v>99700</v>
      </c>
      <c r="D91">
        <v>901</v>
      </c>
      <c r="E91" t="str">
        <f>IFERROR(IF(OR(HLOOKUP($A91,#REF!,3,FALSE)&gt;2,HLOOKUP(A91,#REF!,3,FALSE)&lt;-2),"",#REF!),"")</f>
        <v/>
      </c>
      <c r="F91" t="str">
        <f>IFERROR(IF(OR(HLOOKUP($A91,#REF!,4,FALSE)&gt;2,HLOOKUP($A91,#REF!,4,FALSE)&lt;-2),"",#REF!),"")</f>
        <v/>
      </c>
      <c r="G91" t="str">
        <f>IFERROR(IF(OR(HLOOKUP($A91,#REF!,5,FALSE)&gt;2,HLOOKUP($A91,#REF!,5,FALSE)&lt;-2),"",#REF!),"")</f>
        <v/>
      </c>
      <c r="H91" t="str">
        <f>IFERROR(IF(OR(HLOOKUP($A91,#REF!,6,FALSE)&gt;2,HLOOKUP($A91,#REF!,6,FALSE)&lt;-2),"",#REF!),"")</f>
        <v/>
      </c>
      <c r="I91" t="str">
        <f>IFERROR(IF(OR(HLOOKUP($A91,#REF!,7,FALSE)&gt;2,HLOOKUP($A91,#REF!,7,FALSE)&lt;-2),"",#REF!),"")</f>
        <v/>
      </c>
      <c r="J91" t="str">
        <f>IFERROR(IF(OR(HLOOKUP($A91,#REF!,8,FALSE)&gt;2,HLOOKUP($A91,#REF!,8,FALSE)&lt;-2),"",#REF!),"")</f>
        <v/>
      </c>
      <c r="K91" t="str">
        <f>IFERROR(IF(OR(HLOOKUP($A91,#REF!,9,FALSE)&gt;2,HLOOKUP($A91,#REF!,9,FALSE)&lt;-2),"",#REF!),"")</f>
        <v/>
      </c>
      <c r="L91" t="str">
        <f>IFERROR(IF(OR(HLOOKUP($A91,#REF!,10,FALSE)&gt;2,HLOOKUP($A91,#REF!,10,FALSE)&lt;-2),"",#REF!),"")</f>
        <v/>
      </c>
      <c r="M91" t="str">
        <f>IFERROR(IF(OR(HLOOKUP($A91,#REF!,11,FALSE)&gt;2,HLOOKUP($A91,#REF!,11,FALSE)&lt;-2),"",#REF!),"")</f>
        <v/>
      </c>
      <c r="N91" t="str">
        <f>IFERROR(IF(OR(HLOOKUP($A91,#REF!,12,FALSE)&gt;2,HLOOKUP($A91,#REF!,12,FALSE)&lt;-2),"",#REF!),"")</f>
        <v/>
      </c>
      <c r="O91" t="str">
        <f>IFERROR(IF(OR(HLOOKUP($A91,#REF!,13,FALSE)&gt;2,HLOOKUP($A91,#REF!,13,FALSE)&lt;-2),"",#REF!),"")</f>
        <v/>
      </c>
      <c r="P91" t="str">
        <f>IFERROR(IF(OR(HLOOKUP($A91,#REF!,14,FALSE)&gt;2,HLOOKUP($A91,#REF!,14,FALSE)&lt;-2),"",#REF!),"")</f>
        <v/>
      </c>
      <c r="Q91" t="str">
        <f>IFERROR(IF(OR(HLOOKUP($A91,#REF!,15,FALSE)&gt;2,HLOOKUP($A91,#REF!,15,FALSE)&lt;-2),"",#REF!),"")</f>
        <v/>
      </c>
      <c r="R91" t="str">
        <f>IFERROR(IF(OR(HLOOKUP($A91,#REF!,16,FALSE)&gt;2,HLOOKUP($A91,#REF!,16,FALSE)&lt;-2),"",#REF!),"")</f>
        <v/>
      </c>
      <c r="S91" t="str">
        <f>IFERROR(IF(OR(HLOOKUP($A91,#REF!,17,FALSE)&gt;2,HLOOKUP($A91,#REF!,17,FALSE)&lt;-2),"",#REF!),"")</f>
        <v/>
      </c>
      <c r="T91" t="str">
        <f>IFERROR(IF(OR(HLOOKUP($A91,#REF!,18,FALSE)&gt;2,HLOOKUP($A91,#REF!,18,FALSE)&lt;-2),"",#REF!),"")</f>
        <v/>
      </c>
      <c r="U91" t="str">
        <f>IFERROR(IF(OR(HLOOKUP($A91,#REF!,19,FALSE)&gt;2,HLOOKUP($A91,#REF!,19,FALSE)&lt;-2),"",#REF!),"")</f>
        <v/>
      </c>
      <c r="V91">
        <f t="shared" si="4"/>
        <v>1</v>
      </c>
      <c r="W91" t="str">
        <f t="shared" si="5"/>
        <v/>
      </c>
      <c r="X91" t="str">
        <f t="shared" si="6"/>
        <v/>
      </c>
      <c r="Y91" t="str">
        <f t="shared" si="7"/>
        <v/>
      </c>
    </row>
    <row r="92" spans="1:25" x14ac:dyDescent="0.35">
      <c r="A92">
        <v>94</v>
      </c>
      <c r="B92" t="s">
        <v>634</v>
      </c>
      <c r="C92">
        <v>71200</v>
      </c>
      <c r="D92">
        <v>38</v>
      </c>
      <c r="E92" t="str">
        <f>IFERROR(IF(OR(HLOOKUP($A92,#REF!,3,FALSE)&gt;2,HLOOKUP(A92,#REF!,3,FALSE)&lt;-2),"",#REF!),"")</f>
        <v/>
      </c>
      <c r="F92" t="str">
        <f>IFERROR(IF(OR(HLOOKUP($A92,#REF!,4,FALSE)&gt;2,HLOOKUP($A92,#REF!,4,FALSE)&lt;-2),"",#REF!),"")</f>
        <v/>
      </c>
      <c r="G92" t="str">
        <f>IFERROR(IF(OR(HLOOKUP($A92,#REF!,5,FALSE)&gt;2,HLOOKUP($A92,#REF!,5,FALSE)&lt;-2),"",#REF!),"")</f>
        <v/>
      </c>
      <c r="H92" t="str">
        <f>IFERROR(IF(OR(HLOOKUP($A92,#REF!,6,FALSE)&gt;2,HLOOKUP($A92,#REF!,6,FALSE)&lt;-2),"",#REF!),"")</f>
        <v/>
      </c>
      <c r="I92" t="str">
        <f>IFERROR(IF(OR(HLOOKUP($A92,#REF!,7,FALSE)&gt;2,HLOOKUP($A92,#REF!,7,FALSE)&lt;-2),"",#REF!),"")</f>
        <v/>
      </c>
      <c r="J92" t="str">
        <f>IFERROR(IF(OR(HLOOKUP($A92,#REF!,8,FALSE)&gt;2,HLOOKUP($A92,#REF!,8,FALSE)&lt;-2),"",#REF!),"")</f>
        <v/>
      </c>
      <c r="K92" t="str">
        <f>IFERROR(IF(OR(HLOOKUP($A92,#REF!,9,FALSE)&gt;2,HLOOKUP($A92,#REF!,9,FALSE)&lt;-2),"",#REF!),"")</f>
        <v/>
      </c>
      <c r="L92" t="str">
        <f>IFERROR(IF(OR(HLOOKUP($A92,#REF!,10,FALSE)&gt;2,HLOOKUP($A92,#REF!,10,FALSE)&lt;-2),"",#REF!),"")</f>
        <v/>
      </c>
      <c r="M92" t="str">
        <f>IFERROR(IF(OR(HLOOKUP($A92,#REF!,11,FALSE)&gt;2,HLOOKUP($A92,#REF!,11,FALSE)&lt;-2),"",#REF!),"")</f>
        <v/>
      </c>
      <c r="N92" t="str">
        <f>IFERROR(IF(OR(HLOOKUP($A92,#REF!,12,FALSE)&gt;2,HLOOKUP($A92,#REF!,12,FALSE)&lt;-2),"",#REF!),"")</f>
        <v/>
      </c>
      <c r="O92" t="str">
        <f>IFERROR(IF(OR(HLOOKUP($A92,#REF!,13,FALSE)&gt;2,HLOOKUP($A92,#REF!,13,FALSE)&lt;-2),"",#REF!),"")</f>
        <v/>
      </c>
      <c r="P92" t="str">
        <f>IFERROR(IF(OR(HLOOKUP($A92,#REF!,14,FALSE)&gt;2,HLOOKUP($A92,#REF!,14,FALSE)&lt;-2),"",#REF!),"")</f>
        <v/>
      </c>
      <c r="Q92" t="str">
        <f>IFERROR(IF(OR(HLOOKUP($A92,#REF!,15,FALSE)&gt;2,HLOOKUP($A92,#REF!,15,FALSE)&lt;-2),"",#REF!),"")</f>
        <v/>
      </c>
      <c r="R92" t="str">
        <f>IFERROR(IF(OR(HLOOKUP($A92,#REF!,16,FALSE)&gt;2,HLOOKUP($A92,#REF!,16,FALSE)&lt;-2),"",#REF!),"")</f>
        <v/>
      </c>
      <c r="S92" t="str">
        <f>IFERROR(IF(OR(HLOOKUP($A92,#REF!,17,FALSE)&gt;2,HLOOKUP($A92,#REF!,17,FALSE)&lt;-2),"",#REF!),"")</f>
        <v/>
      </c>
      <c r="T92" t="str">
        <f>IFERROR(IF(OR(HLOOKUP($A92,#REF!,18,FALSE)&gt;2,HLOOKUP($A92,#REF!,18,FALSE)&lt;-2),"",#REF!),"")</f>
        <v/>
      </c>
      <c r="U92" t="str">
        <f>IFERROR(IF(OR(HLOOKUP($A92,#REF!,19,FALSE)&gt;2,HLOOKUP($A92,#REF!,19,FALSE)&lt;-2),"",#REF!),"")</f>
        <v/>
      </c>
      <c r="V92">
        <f t="shared" si="4"/>
        <v>1</v>
      </c>
      <c r="W92" t="str">
        <f t="shared" si="5"/>
        <v/>
      </c>
      <c r="X92" t="str">
        <f t="shared" si="6"/>
        <v/>
      </c>
      <c r="Y92" t="str">
        <f t="shared" si="7"/>
        <v/>
      </c>
    </row>
    <row r="93" spans="1:25" x14ac:dyDescent="0.35">
      <c r="A93">
        <v>95</v>
      </c>
      <c r="B93" t="s">
        <v>635</v>
      </c>
      <c r="C93">
        <v>23300</v>
      </c>
      <c r="D93">
        <v>315</v>
      </c>
      <c r="E93" t="str">
        <f>IFERROR(IF(OR(HLOOKUP($A93,#REF!,3,FALSE)&gt;2,HLOOKUP(A93,#REF!,3,FALSE)&lt;-2),"",#REF!),"")</f>
        <v/>
      </c>
      <c r="F93" t="str">
        <f>IFERROR(IF(OR(HLOOKUP($A93,#REF!,4,FALSE)&gt;2,HLOOKUP($A93,#REF!,4,FALSE)&lt;-2),"",#REF!),"")</f>
        <v/>
      </c>
      <c r="G93" t="str">
        <f>IFERROR(IF(OR(HLOOKUP($A93,#REF!,5,FALSE)&gt;2,HLOOKUP($A93,#REF!,5,FALSE)&lt;-2),"",#REF!),"")</f>
        <v/>
      </c>
      <c r="H93" t="str">
        <f>IFERROR(IF(OR(HLOOKUP($A93,#REF!,6,FALSE)&gt;2,HLOOKUP($A93,#REF!,6,FALSE)&lt;-2),"",#REF!),"")</f>
        <v/>
      </c>
      <c r="I93" t="str">
        <f>IFERROR(IF(OR(HLOOKUP($A93,#REF!,7,FALSE)&gt;2,HLOOKUP($A93,#REF!,7,FALSE)&lt;-2),"",#REF!),"")</f>
        <v/>
      </c>
      <c r="J93" t="str">
        <f>IFERROR(IF(OR(HLOOKUP($A93,#REF!,8,FALSE)&gt;2,HLOOKUP($A93,#REF!,8,FALSE)&lt;-2),"",#REF!),"")</f>
        <v/>
      </c>
      <c r="K93" t="str">
        <f>IFERROR(IF(OR(HLOOKUP($A93,#REF!,9,FALSE)&gt;2,HLOOKUP($A93,#REF!,9,FALSE)&lt;-2),"",#REF!),"")</f>
        <v/>
      </c>
      <c r="L93" t="str">
        <f>IFERROR(IF(OR(HLOOKUP($A93,#REF!,10,FALSE)&gt;2,HLOOKUP($A93,#REF!,10,FALSE)&lt;-2),"",#REF!),"")</f>
        <v/>
      </c>
      <c r="M93" t="str">
        <f>IFERROR(IF(OR(HLOOKUP($A93,#REF!,11,FALSE)&gt;2,HLOOKUP($A93,#REF!,11,FALSE)&lt;-2),"",#REF!),"")</f>
        <v/>
      </c>
      <c r="N93" t="str">
        <f>IFERROR(IF(OR(HLOOKUP($A93,#REF!,12,FALSE)&gt;2,HLOOKUP($A93,#REF!,12,FALSE)&lt;-2),"",#REF!),"")</f>
        <v/>
      </c>
      <c r="O93" t="str">
        <f>IFERROR(IF(OR(HLOOKUP($A93,#REF!,13,FALSE)&gt;2,HLOOKUP($A93,#REF!,13,FALSE)&lt;-2),"",#REF!),"")</f>
        <v/>
      </c>
      <c r="P93" t="str">
        <f>IFERROR(IF(OR(HLOOKUP($A93,#REF!,14,FALSE)&gt;2,HLOOKUP($A93,#REF!,14,FALSE)&lt;-2),"",#REF!),"")</f>
        <v/>
      </c>
      <c r="Q93" t="str">
        <f>IFERROR(IF(OR(HLOOKUP($A93,#REF!,15,FALSE)&gt;2,HLOOKUP($A93,#REF!,15,FALSE)&lt;-2),"",#REF!),"")</f>
        <v/>
      </c>
      <c r="R93" t="str">
        <f>IFERROR(IF(OR(HLOOKUP($A93,#REF!,16,FALSE)&gt;2,HLOOKUP($A93,#REF!,16,FALSE)&lt;-2),"",#REF!),"")</f>
        <v/>
      </c>
      <c r="S93" t="str">
        <f>IFERROR(IF(OR(HLOOKUP($A93,#REF!,17,FALSE)&gt;2,HLOOKUP($A93,#REF!,17,FALSE)&lt;-2),"",#REF!),"")</f>
        <v/>
      </c>
      <c r="T93" t="str">
        <f>IFERROR(IF(OR(HLOOKUP($A93,#REF!,18,FALSE)&gt;2,HLOOKUP($A93,#REF!,18,FALSE)&lt;-2),"",#REF!),"")</f>
        <v/>
      </c>
      <c r="U93" t="str">
        <f>IFERROR(IF(OR(HLOOKUP($A93,#REF!,19,FALSE)&gt;2,HLOOKUP($A93,#REF!,19,FALSE)&lt;-2),"",#REF!),"")</f>
        <v/>
      </c>
      <c r="V93">
        <f t="shared" si="4"/>
        <v>1</v>
      </c>
      <c r="W93" t="str">
        <f t="shared" si="5"/>
        <v/>
      </c>
      <c r="X93" t="str">
        <f t="shared" si="6"/>
        <v/>
      </c>
      <c r="Y93" t="str">
        <f t="shared" si="7"/>
        <v/>
      </c>
    </row>
    <row r="94" spans="1:25" x14ac:dyDescent="0.35">
      <c r="A94">
        <v>96</v>
      </c>
      <c r="B94" t="s">
        <v>61</v>
      </c>
      <c r="C94">
        <v>90000</v>
      </c>
      <c r="D94">
        <v>607</v>
      </c>
      <c r="E94" t="str">
        <f>IFERROR(IF(OR(HLOOKUP($A94,#REF!,3,FALSE)&gt;2,HLOOKUP(A94,#REF!,3,FALSE)&lt;-2),"",#REF!),"")</f>
        <v/>
      </c>
      <c r="F94" t="str">
        <f>IFERROR(IF(OR(HLOOKUP($A94,#REF!,4,FALSE)&gt;2,HLOOKUP($A94,#REF!,4,FALSE)&lt;-2),"",#REF!),"")</f>
        <v/>
      </c>
      <c r="G94" t="str">
        <f>IFERROR(IF(OR(HLOOKUP($A94,#REF!,5,FALSE)&gt;2,HLOOKUP($A94,#REF!,5,FALSE)&lt;-2),"",#REF!),"")</f>
        <v/>
      </c>
      <c r="H94" t="str">
        <f>IFERROR(IF(OR(HLOOKUP($A94,#REF!,6,FALSE)&gt;2,HLOOKUP($A94,#REF!,6,FALSE)&lt;-2),"",#REF!),"")</f>
        <v/>
      </c>
      <c r="I94" t="str">
        <f>IFERROR(IF(OR(HLOOKUP($A94,#REF!,7,FALSE)&gt;2,HLOOKUP($A94,#REF!,7,FALSE)&lt;-2),"",#REF!),"")</f>
        <v/>
      </c>
      <c r="J94" t="str">
        <f>IFERROR(IF(OR(HLOOKUP($A94,#REF!,8,FALSE)&gt;2,HLOOKUP($A94,#REF!,8,FALSE)&lt;-2),"",#REF!),"")</f>
        <v/>
      </c>
      <c r="K94" t="str">
        <f>IFERROR(IF(OR(HLOOKUP($A94,#REF!,9,FALSE)&gt;2,HLOOKUP($A94,#REF!,9,FALSE)&lt;-2),"",#REF!),"")</f>
        <v/>
      </c>
      <c r="L94" t="str">
        <f>IFERROR(IF(OR(HLOOKUP($A94,#REF!,10,FALSE)&gt;2,HLOOKUP($A94,#REF!,10,FALSE)&lt;-2),"",#REF!),"")</f>
        <v/>
      </c>
      <c r="M94" t="str">
        <f>IFERROR(IF(OR(HLOOKUP($A94,#REF!,11,FALSE)&gt;2,HLOOKUP($A94,#REF!,11,FALSE)&lt;-2),"",#REF!),"")</f>
        <v/>
      </c>
      <c r="N94" t="str">
        <f>IFERROR(IF(OR(HLOOKUP($A94,#REF!,12,FALSE)&gt;2,HLOOKUP($A94,#REF!,12,FALSE)&lt;-2),"",#REF!),"")</f>
        <v/>
      </c>
      <c r="O94" t="str">
        <f>IFERROR(IF(OR(HLOOKUP($A94,#REF!,13,FALSE)&gt;2,HLOOKUP($A94,#REF!,13,FALSE)&lt;-2),"",#REF!),"")</f>
        <v/>
      </c>
      <c r="P94" t="str">
        <f>IFERROR(IF(OR(HLOOKUP($A94,#REF!,14,FALSE)&gt;2,HLOOKUP($A94,#REF!,14,FALSE)&lt;-2),"",#REF!),"")</f>
        <v/>
      </c>
      <c r="Q94" t="str">
        <f>IFERROR(IF(OR(HLOOKUP($A94,#REF!,15,FALSE)&gt;2,HLOOKUP($A94,#REF!,15,FALSE)&lt;-2),"",#REF!),"")</f>
        <v/>
      </c>
      <c r="R94" t="str">
        <f>IFERROR(IF(OR(HLOOKUP($A94,#REF!,16,FALSE)&gt;2,HLOOKUP($A94,#REF!,16,FALSE)&lt;-2),"",#REF!),"")</f>
        <v/>
      </c>
      <c r="S94" t="str">
        <f>IFERROR(IF(OR(HLOOKUP($A94,#REF!,17,FALSE)&gt;2,HLOOKUP($A94,#REF!,17,FALSE)&lt;-2),"",#REF!),"")</f>
        <v/>
      </c>
      <c r="T94" t="str">
        <f>IFERROR(IF(OR(HLOOKUP($A94,#REF!,18,FALSE)&gt;2,HLOOKUP($A94,#REF!,18,FALSE)&lt;-2),"",#REF!),"")</f>
        <v/>
      </c>
      <c r="U94" t="str">
        <f>IFERROR(IF(OR(HLOOKUP($A94,#REF!,19,FALSE)&gt;2,HLOOKUP($A94,#REF!,19,FALSE)&lt;-2),"",#REF!),"")</f>
        <v/>
      </c>
      <c r="V94">
        <f t="shared" si="4"/>
        <v>1</v>
      </c>
      <c r="W94" t="str">
        <f t="shared" si="5"/>
        <v/>
      </c>
      <c r="X94" t="str">
        <f t="shared" si="6"/>
        <v/>
      </c>
      <c r="Y94" t="str">
        <f t="shared" si="7"/>
        <v/>
      </c>
    </row>
    <row r="95" spans="1:25" x14ac:dyDescent="0.35">
      <c r="A95">
        <v>97</v>
      </c>
      <c r="B95" t="s">
        <v>62</v>
      </c>
      <c r="C95">
        <v>28100</v>
      </c>
      <c r="D95">
        <v>541</v>
      </c>
      <c r="E95" t="str">
        <f>IFERROR(IF(OR(HLOOKUP($A95,#REF!,3,FALSE)&gt;2,HLOOKUP(A95,#REF!,3,FALSE)&lt;-2),"",#REF!),"")</f>
        <v/>
      </c>
      <c r="F95" t="str">
        <f>IFERROR(IF(OR(HLOOKUP($A95,#REF!,4,FALSE)&gt;2,HLOOKUP($A95,#REF!,4,FALSE)&lt;-2),"",#REF!),"")</f>
        <v/>
      </c>
      <c r="G95" t="str">
        <f>IFERROR(IF(OR(HLOOKUP($A95,#REF!,5,FALSE)&gt;2,HLOOKUP($A95,#REF!,5,FALSE)&lt;-2),"",#REF!),"")</f>
        <v/>
      </c>
      <c r="H95" t="str">
        <f>IFERROR(IF(OR(HLOOKUP($A95,#REF!,6,FALSE)&gt;2,HLOOKUP($A95,#REF!,6,FALSE)&lt;-2),"",#REF!),"")</f>
        <v/>
      </c>
      <c r="I95" t="str">
        <f>IFERROR(IF(OR(HLOOKUP($A95,#REF!,7,FALSE)&gt;2,HLOOKUP($A95,#REF!,7,FALSE)&lt;-2),"",#REF!),"")</f>
        <v/>
      </c>
      <c r="J95" t="str">
        <f>IFERROR(IF(OR(HLOOKUP($A95,#REF!,8,FALSE)&gt;2,HLOOKUP($A95,#REF!,8,FALSE)&lt;-2),"",#REF!),"")</f>
        <v/>
      </c>
      <c r="K95" t="str">
        <f>IFERROR(IF(OR(HLOOKUP($A95,#REF!,9,FALSE)&gt;2,HLOOKUP($A95,#REF!,9,FALSE)&lt;-2),"",#REF!),"")</f>
        <v/>
      </c>
      <c r="L95" t="str">
        <f>IFERROR(IF(OR(HLOOKUP($A95,#REF!,10,FALSE)&gt;2,HLOOKUP($A95,#REF!,10,FALSE)&lt;-2),"",#REF!),"")</f>
        <v/>
      </c>
      <c r="M95" t="str">
        <f>IFERROR(IF(OR(HLOOKUP($A95,#REF!,11,FALSE)&gt;2,HLOOKUP($A95,#REF!,11,FALSE)&lt;-2),"",#REF!),"")</f>
        <v/>
      </c>
      <c r="N95" t="str">
        <f>IFERROR(IF(OR(HLOOKUP($A95,#REF!,12,FALSE)&gt;2,HLOOKUP($A95,#REF!,12,FALSE)&lt;-2),"",#REF!),"")</f>
        <v/>
      </c>
      <c r="O95" t="str">
        <f>IFERROR(IF(OR(HLOOKUP($A95,#REF!,13,FALSE)&gt;2,HLOOKUP($A95,#REF!,13,FALSE)&lt;-2),"",#REF!),"")</f>
        <v/>
      </c>
      <c r="P95" t="str">
        <f>IFERROR(IF(OR(HLOOKUP($A95,#REF!,14,FALSE)&gt;2,HLOOKUP($A95,#REF!,14,FALSE)&lt;-2),"",#REF!),"")</f>
        <v/>
      </c>
      <c r="Q95" t="str">
        <f>IFERROR(IF(OR(HLOOKUP($A95,#REF!,15,FALSE)&gt;2,HLOOKUP($A95,#REF!,15,FALSE)&lt;-2),"",#REF!),"")</f>
        <v/>
      </c>
      <c r="R95" t="str">
        <f>IFERROR(IF(OR(HLOOKUP($A95,#REF!,16,FALSE)&gt;2,HLOOKUP($A95,#REF!,16,FALSE)&lt;-2),"",#REF!),"")</f>
        <v/>
      </c>
      <c r="S95" t="str">
        <f>IFERROR(IF(OR(HLOOKUP($A95,#REF!,17,FALSE)&gt;2,HLOOKUP($A95,#REF!,17,FALSE)&lt;-2),"",#REF!),"")</f>
        <v/>
      </c>
      <c r="T95" t="str">
        <f>IFERROR(IF(OR(HLOOKUP($A95,#REF!,18,FALSE)&gt;2,HLOOKUP($A95,#REF!,18,FALSE)&lt;-2),"",#REF!),"")</f>
        <v/>
      </c>
      <c r="U95" t="str">
        <f>IFERROR(IF(OR(HLOOKUP($A95,#REF!,19,FALSE)&gt;2,HLOOKUP($A95,#REF!,19,FALSE)&lt;-2),"",#REF!),"")</f>
        <v/>
      </c>
      <c r="V95">
        <f t="shared" si="4"/>
        <v>1</v>
      </c>
      <c r="W95" t="str">
        <f t="shared" si="5"/>
        <v/>
      </c>
      <c r="X95" t="str">
        <f t="shared" si="6"/>
        <v/>
      </c>
      <c r="Y95" t="str">
        <f t="shared" si="7"/>
        <v/>
      </c>
    </row>
    <row r="96" spans="1:25" x14ac:dyDescent="0.35">
      <c r="A96">
        <v>98</v>
      </c>
      <c r="B96" t="s">
        <v>636</v>
      </c>
      <c r="C96">
        <v>116100</v>
      </c>
      <c r="D96">
        <v>81</v>
      </c>
      <c r="E96" t="str">
        <f>IFERROR(IF(OR(HLOOKUP($A96,#REF!,3,FALSE)&gt;2,HLOOKUP(A96,#REF!,3,FALSE)&lt;-2),"",#REF!),"")</f>
        <v/>
      </c>
      <c r="F96" t="str">
        <f>IFERROR(IF(OR(HLOOKUP($A96,#REF!,4,FALSE)&gt;2,HLOOKUP($A96,#REF!,4,FALSE)&lt;-2),"",#REF!),"")</f>
        <v/>
      </c>
      <c r="G96" t="str">
        <f>IFERROR(IF(OR(HLOOKUP($A96,#REF!,5,FALSE)&gt;2,HLOOKUP($A96,#REF!,5,FALSE)&lt;-2),"",#REF!),"")</f>
        <v/>
      </c>
      <c r="H96" t="str">
        <f>IFERROR(IF(OR(HLOOKUP($A96,#REF!,6,FALSE)&gt;2,HLOOKUP($A96,#REF!,6,FALSE)&lt;-2),"",#REF!),"")</f>
        <v/>
      </c>
      <c r="I96" t="str">
        <f>IFERROR(IF(OR(HLOOKUP($A96,#REF!,7,FALSE)&gt;2,HLOOKUP($A96,#REF!,7,FALSE)&lt;-2),"",#REF!),"")</f>
        <v/>
      </c>
      <c r="J96" t="str">
        <f>IFERROR(IF(OR(HLOOKUP($A96,#REF!,8,FALSE)&gt;2,HLOOKUP($A96,#REF!,8,FALSE)&lt;-2),"",#REF!),"")</f>
        <v/>
      </c>
      <c r="K96" t="str">
        <f>IFERROR(IF(OR(HLOOKUP($A96,#REF!,9,FALSE)&gt;2,HLOOKUP($A96,#REF!,9,FALSE)&lt;-2),"",#REF!),"")</f>
        <v/>
      </c>
      <c r="L96" t="str">
        <f>IFERROR(IF(OR(HLOOKUP($A96,#REF!,10,FALSE)&gt;2,HLOOKUP($A96,#REF!,10,FALSE)&lt;-2),"",#REF!),"")</f>
        <v/>
      </c>
      <c r="M96" t="str">
        <f>IFERROR(IF(OR(HLOOKUP($A96,#REF!,11,FALSE)&gt;2,HLOOKUP($A96,#REF!,11,FALSE)&lt;-2),"",#REF!),"")</f>
        <v/>
      </c>
      <c r="N96" t="str">
        <f>IFERROR(IF(OR(HLOOKUP($A96,#REF!,12,FALSE)&gt;2,HLOOKUP($A96,#REF!,12,FALSE)&lt;-2),"",#REF!),"")</f>
        <v/>
      </c>
      <c r="O96" t="str">
        <f>IFERROR(IF(OR(HLOOKUP($A96,#REF!,13,FALSE)&gt;2,HLOOKUP($A96,#REF!,13,FALSE)&lt;-2),"",#REF!),"")</f>
        <v/>
      </c>
      <c r="P96" t="str">
        <f>IFERROR(IF(OR(HLOOKUP($A96,#REF!,14,FALSE)&gt;2,HLOOKUP($A96,#REF!,14,FALSE)&lt;-2),"",#REF!),"")</f>
        <v/>
      </c>
      <c r="Q96" t="str">
        <f>IFERROR(IF(OR(HLOOKUP($A96,#REF!,15,FALSE)&gt;2,HLOOKUP($A96,#REF!,15,FALSE)&lt;-2),"",#REF!),"")</f>
        <v/>
      </c>
      <c r="R96" t="str">
        <f>IFERROR(IF(OR(HLOOKUP($A96,#REF!,16,FALSE)&gt;2,HLOOKUP($A96,#REF!,16,FALSE)&lt;-2),"",#REF!),"")</f>
        <v/>
      </c>
      <c r="S96" t="str">
        <f>IFERROR(IF(OR(HLOOKUP($A96,#REF!,17,FALSE)&gt;2,HLOOKUP($A96,#REF!,17,FALSE)&lt;-2),"",#REF!),"")</f>
        <v/>
      </c>
      <c r="T96" t="str">
        <f>IFERROR(IF(OR(HLOOKUP($A96,#REF!,18,FALSE)&gt;2,HLOOKUP($A96,#REF!,18,FALSE)&lt;-2),"",#REF!),"")</f>
        <v/>
      </c>
      <c r="U96" t="str">
        <f>IFERROR(IF(OR(HLOOKUP($A96,#REF!,19,FALSE)&gt;2,HLOOKUP($A96,#REF!,19,FALSE)&lt;-2),"",#REF!),"")</f>
        <v/>
      </c>
      <c r="V96">
        <f t="shared" si="4"/>
        <v>1</v>
      </c>
      <c r="W96" t="str">
        <f t="shared" si="5"/>
        <v/>
      </c>
      <c r="X96" t="str">
        <f t="shared" si="6"/>
        <v/>
      </c>
      <c r="Y96" t="str">
        <f t="shared" si="7"/>
        <v/>
      </c>
    </row>
    <row r="97" spans="1:25" x14ac:dyDescent="0.35">
      <c r="A97">
        <v>99</v>
      </c>
      <c r="B97" t="s">
        <v>637</v>
      </c>
      <c r="C97">
        <v>85200</v>
      </c>
      <c r="D97">
        <v>612</v>
      </c>
      <c r="E97" t="str">
        <f>IFERROR(IF(OR(HLOOKUP($A97,#REF!,3,FALSE)&gt;2,HLOOKUP(A97,#REF!,3,FALSE)&lt;-2),"",#REF!),"")</f>
        <v/>
      </c>
      <c r="F97" t="str">
        <f>IFERROR(IF(OR(HLOOKUP($A97,#REF!,4,FALSE)&gt;2,HLOOKUP($A97,#REF!,4,FALSE)&lt;-2),"",#REF!),"")</f>
        <v/>
      </c>
      <c r="G97" t="str">
        <f>IFERROR(IF(OR(HLOOKUP($A97,#REF!,5,FALSE)&gt;2,HLOOKUP($A97,#REF!,5,FALSE)&lt;-2),"",#REF!),"")</f>
        <v/>
      </c>
      <c r="H97" t="str">
        <f>IFERROR(IF(OR(HLOOKUP($A97,#REF!,6,FALSE)&gt;2,HLOOKUP($A97,#REF!,6,FALSE)&lt;-2),"",#REF!),"")</f>
        <v/>
      </c>
      <c r="I97" t="str">
        <f>IFERROR(IF(OR(HLOOKUP($A97,#REF!,7,FALSE)&gt;2,HLOOKUP($A97,#REF!,7,FALSE)&lt;-2),"",#REF!),"")</f>
        <v/>
      </c>
      <c r="J97" t="str">
        <f>IFERROR(IF(OR(HLOOKUP($A97,#REF!,8,FALSE)&gt;2,HLOOKUP($A97,#REF!,8,FALSE)&lt;-2),"",#REF!),"")</f>
        <v/>
      </c>
      <c r="K97" t="str">
        <f>IFERROR(IF(OR(HLOOKUP($A97,#REF!,9,FALSE)&gt;2,HLOOKUP($A97,#REF!,9,FALSE)&lt;-2),"",#REF!),"")</f>
        <v/>
      </c>
      <c r="L97" t="str">
        <f>IFERROR(IF(OR(HLOOKUP($A97,#REF!,10,FALSE)&gt;2,HLOOKUP($A97,#REF!,10,FALSE)&lt;-2),"",#REF!),"")</f>
        <v/>
      </c>
      <c r="M97" t="str">
        <f>IFERROR(IF(OR(HLOOKUP($A97,#REF!,11,FALSE)&gt;2,HLOOKUP($A97,#REF!,11,FALSE)&lt;-2),"",#REF!),"")</f>
        <v/>
      </c>
      <c r="N97" t="str">
        <f>IFERROR(IF(OR(HLOOKUP($A97,#REF!,12,FALSE)&gt;2,HLOOKUP($A97,#REF!,12,FALSE)&lt;-2),"",#REF!),"")</f>
        <v/>
      </c>
      <c r="O97" t="str">
        <f>IFERROR(IF(OR(HLOOKUP($A97,#REF!,13,FALSE)&gt;2,HLOOKUP($A97,#REF!,13,FALSE)&lt;-2),"",#REF!),"")</f>
        <v/>
      </c>
      <c r="P97" t="str">
        <f>IFERROR(IF(OR(HLOOKUP($A97,#REF!,14,FALSE)&gt;2,HLOOKUP($A97,#REF!,14,FALSE)&lt;-2),"",#REF!),"")</f>
        <v/>
      </c>
      <c r="Q97" t="str">
        <f>IFERROR(IF(OR(HLOOKUP($A97,#REF!,15,FALSE)&gt;2,HLOOKUP($A97,#REF!,15,FALSE)&lt;-2),"",#REF!),"")</f>
        <v/>
      </c>
      <c r="R97" t="str">
        <f>IFERROR(IF(OR(HLOOKUP($A97,#REF!,16,FALSE)&gt;2,HLOOKUP($A97,#REF!,16,FALSE)&lt;-2),"",#REF!),"")</f>
        <v/>
      </c>
      <c r="S97" t="str">
        <f>IFERROR(IF(OR(HLOOKUP($A97,#REF!,17,FALSE)&gt;2,HLOOKUP($A97,#REF!,17,FALSE)&lt;-2),"",#REF!),"")</f>
        <v/>
      </c>
      <c r="T97" t="str">
        <f>IFERROR(IF(OR(HLOOKUP($A97,#REF!,18,FALSE)&gt;2,HLOOKUP($A97,#REF!,18,FALSE)&lt;-2),"",#REF!),"")</f>
        <v/>
      </c>
      <c r="U97" t="str">
        <f>IFERROR(IF(OR(HLOOKUP($A97,#REF!,19,FALSE)&gt;2,HLOOKUP($A97,#REF!,19,FALSE)&lt;-2),"",#REF!),"")</f>
        <v/>
      </c>
      <c r="V97">
        <f t="shared" si="4"/>
        <v>1</v>
      </c>
      <c r="W97" t="str">
        <f t="shared" si="5"/>
        <v/>
      </c>
      <c r="X97" t="str">
        <f t="shared" si="6"/>
        <v/>
      </c>
      <c r="Y97" t="str">
        <f t="shared" si="7"/>
        <v/>
      </c>
    </row>
    <row r="98" spans="1:25" x14ac:dyDescent="0.35">
      <c r="A98">
        <v>100</v>
      </c>
      <c r="B98" t="s">
        <v>63</v>
      </c>
      <c r="C98">
        <v>84200</v>
      </c>
      <c r="D98">
        <v>165</v>
      </c>
      <c r="E98" t="str">
        <f>IFERROR(IF(OR(HLOOKUP($A98,#REF!,3,FALSE)&gt;2,HLOOKUP(A98,#REF!,3,FALSE)&lt;-2),"",#REF!),"")</f>
        <v/>
      </c>
      <c r="F98" t="str">
        <f>IFERROR(IF(OR(HLOOKUP($A98,#REF!,4,FALSE)&gt;2,HLOOKUP($A98,#REF!,4,FALSE)&lt;-2),"",#REF!),"")</f>
        <v/>
      </c>
      <c r="G98" t="str">
        <f>IFERROR(IF(OR(HLOOKUP($A98,#REF!,5,FALSE)&gt;2,HLOOKUP($A98,#REF!,5,FALSE)&lt;-2),"",#REF!),"")</f>
        <v/>
      </c>
      <c r="H98" t="str">
        <f>IFERROR(IF(OR(HLOOKUP($A98,#REF!,6,FALSE)&gt;2,HLOOKUP($A98,#REF!,6,FALSE)&lt;-2),"",#REF!),"")</f>
        <v/>
      </c>
      <c r="I98" t="str">
        <f>IFERROR(IF(OR(HLOOKUP($A98,#REF!,7,FALSE)&gt;2,HLOOKUP($A98,#REF!,7,FALSE)&lt;-2),"",#REF!),"")</f>
        <v/>
      </c>
      <c r="J98" t="str">
        <f>IFERROR(IF(OR(HLOOKUP($A98,#REF!,8,FALSE)&gt;2,HLOOKUP($A98,#REF!,8,FALSE)&lt;-2),"",#REF!),"")</f>
        <v/>
      </c>
      <c r="K98" t="str">
        <f>IFERROR(IF(OR(HLOOKUP($A98,#REF!,9,FALSE)&gt;2,HLOOKUP($A98,#REF!,9,FALSE)&lt;-2),"",#REF!),"")</f>
        <v/>
      </c>
      <c r="L98" t="str">
        <f>IFERROR(IF(OR(HLOOKUP($A98,#REF!,10,FALSE)&gt;2,HLOOKUP($A98,#REF!,10,FALSE)&lt;-2),"",#REF!),"")</f>
        <v/>
      </c>
      <c r="M98" t="str">
        <f>IFERROR(IF(OR(HLOOKUP($A98,#REF!,11,FALSE)&gt;2,HLOOKUP($A98,#REF!,11,FALSE)&lt;-2),"",#REF!),"")</f>
        <v/>
      </c>
      <c r="N98" t="str">
        <f>IFERROR(IF(OR(HLOOKUP($A98,#REF!,12,FALSE)&gt;2,HLOOKUP($A98,#REF!,12,FALSE)&lt;-2),"",#REF!),"")</f>
        <v/>
      </c>
      <c r="O98" t="str">
        <f>IFERROR(IF(OR(HLOOKUP($A98,#REF!,13,FALSE)&gt;2,HLOOKUP($A98,#REF!,13,FALSE)&lt;-2),"",#REF!),"")</f>
        <v/>
      </c>
      <c r="P98" t="str">
        <f>IFERROR(IF(OR(HLOOKUP($A98,#REF!,14,FALSE)&gt;2,HLOOKUP($A98,#REF!,14,FALSE)&lt;-2),"",#REF!),"")</f>
        <v/>
      </c>
      <c r="Q98" t="str">
        <f>IFERROR(IF(OR(HLOOKUP($A98,#REF!,15,FALSE)&gt;2,HLOOKUP($A98,#REF!,15,FALSE)&lt;-2),"",#REF!),"")</f>
        <v/>
      </c>
      <c r="R98" t="str">
        <f>IFERROR(IF(OR(HLOOKUP($A98,#REF!,16,FALSE)&gt;2,HLOOKUP($A98,#REF!,16,FALSE)&lt;-2),"",#REF!),"")</f>
        <v/>
      </c>
      <c r="S98" t="str">
        <f>IFERROR(IF(OR(HLOOKUP($A98,#REF!,17,FALSE)&gt;2,HLOOKUP($A98,#REF!,17,FALSE)&lt;-2),"",#REF!),"")</f>
        <v/>
      </c>
      <c r="T98" t="str">
        <f>IFERROR(IF(OR(HLOOKUP($A98,#REF!,18,FALSE)&gt;2,HLOOKUP($A98,#REF!,18,FALSE)&lt;-2),"",#REF!),"")</f>
        <v/>
      </c>
      <c r="U98" t="str">
        <f>IFERROR(IF(OR(HLOOKUP($A98,#REF!,19,FALSE)&gt;2,HLOOKUP($A98,#REF!,19,FALSE)&lt;-2),"",#REF!),"")</f>
        <v/>
      </c>
      <c r="V98">
        <f t="shared" si="4"/>
        <v>1</v>
      </c>
      <c r="W98" t="str">
        <f t="shared" si="5"/>
        <v/>
      </c>
      <c r="X98" t="str">
        <f t="shared" si="6"/>
        <v/>
      </c>
      <c r="Y98" t="str">
        <f t="shared" si="7"/>
        <v/>
      </c>
    </row>
    <row r="99" spans="1:25" x14ac:dyDescent="0.35">
      <c r="A99">
        <v>101</v>
      </c>
      <c r="B99" t="s">
        <v>64</v>
      </c>
      <c r="C99">
        <v>90100</v>
      </c>
      <c r="D99">
        <v>607</v>
      </c>
      <c r="E99" t="str">
        <f>IFERROR(IF(OR(HLOOKUP($A99,#REF!,3,FALSE)&gt;2,HLOOKUP(A99,#REF!,3,FALSE)&lt;-2),"",#REF!),"")</f>
        <v/>
      </c>
      <c r="F99" t="str">
        <f>IFERROR(IF(OR(HLOOKUP($A99,#REF!,4,FALSE)&gt;2,HLOOKUP($A99,#REF!,4,FALSE)&lt;-2),"",#REF!),"")</f>
        <v/>
      </c>
      <c r="G99" t="str">
        <f>IFERROR(IF(OR(HLOOKUP($A99,#REF!,5,FALSE)&gt;2,HLOOKUP($A99,#REF!,5,FALSE)&lt;-2),"",#REF!),"")</f>
        <v/>
      </c>
      <c r="H99" t="str">
        <f>IFERROR(IF(OR(HLOOKUP($A99,#REF!,6,FALSE)&gt;2,HLOOKUP($A99,#REF!,6,FALSE)&lt;-2),"",#REF!),"")</f>
        <v/>
      </c>
      <c r="I99" t="str">
        <f>IFERROR(IF(OR(HLOOKUP($A99,#REF!,7,FALSE)&gt;2,HLOOKUP($A99,#REF!,7,FALSE)&lt;-2),"",#REF!),"")</f>
        <v/>
      </c>
      <c r="J99" t="str">
        <f>IFERROR(IF(OR(HLOOKUP($A99,#REF!,8,FALSE)&gt;2,HLOOKUP($A99,#REF!,8,FALSE)&lt;-2),"",#REF!),"")</f>
        <v/>
      </c>
      <c r="K99" t="str">
        <f>IFERROR(IF(OR(HLOOKUP($A99,#REF!,9,FALSE)&gt;2,HLOOKUP($A99,#REF!,9,FALSE)&lt;-2),"",#REF!),"")</f>
        <v/>
      </c>
      <c r="L99" t="str">
        <f>IFERROR(IF(OR(HLOOKUP($A99,#REF!,10,FALSE)&gt;2,HLOOKUP($A99,#REF!,10,FALSE)&lt;-2),"",#REF!),"")</f>
        <v/>
      </c>
      <c r="M99" t="str">
        <f>IFERROR(IF(OR(HLOOKUP($A99,#REF!,11,FALSE)&gt;2,HLOOKUP($A99,#REF!,11,FALSE)&lt;-2),"",#REF!),"")</f>
        <v/>
      </c>
      <c r="N99" t="str">
        <f>IFERROR(IF(OR(HLOOKUP($A99,#REF!,12,FALSE)&gt;2,HLOOKUP($A99,#REF!,12,FALSE)&lt;-2),"",#REF!),"")</f>
        <v/>
      </c>
      <c r="O99" t="str">
        <f>IFERROR(IF(OR(HLOOKUP($A99,#REF!,13,FALSE)&gt;2,HLOOKUP($A99,#REF!,13,FALSE)&lt;-2),"",#REF!),"")</f>
        <v/>
      </c>
      <c r="P99" t="str">
        <f>IFERROR(IF(OR(HLOOKUP($A99,#REF!,14,FALSE)&gt;2,HLOOKUP($A99,#REF!,14,FALSE)&lt;-2),"",#REF!),"")</f>
        <v/>
      </c>
      <c r="Q99" t="str">
        <f>IFERROR(IF(OR(HLOOKUP($A99,#REF!,15,FALSE)&gt;2,HLOOKUP($A99,#REF!,15,FALSE)&lt;-2),"",#REF!),"")</f>
        <v/>
      </c>
      <c r="R99" t="str">
        <f>IFERROR(IF(OR(HLOOKUP($A99,#REF!,16,FALSE)&gt;2,HLOOKUP($A99,#REF!,16,FALSE)&lt;-2),"",#REF!),"")</f>
        <v/>
      </c>
      <c r="S99" t="str">
        <f>IFERROR(IF(OR(HLOOKUP($A99,#REF!,17,FALSE)&gt;2,HLOOKUP($A99,#REF!,17,FALSE)&lt;-2),"",#REF!),"")</f>
        <v/>
      </c>
      <c r="T99" t="str">
        <f>IFERROR(IF(OR(HLOOKUP($A99,#REF!,18,FALSE)&gt;2,HLOOKUP($A99,#REF!,18,FALSE)&lt;-2),"",#REF!),"")</f>
        <v/>
      </c>
      <c r="U99" t="str">
        <f>IFERROR(IF(OR(HLOOKUP($A99,#REF!,19,FALSE)&gt;2,HLOOKUP($A99,#REF!,19,FALSE)&lt;-2),"",#REF!),"")</f>
        <v/>
      </c>
      <c r="V99">
        <f t="shared" si="4"/>
        <v>1</v>
      </c>
      <c r="W99" t="str">
        <f t="shared" si="5"/>
        <v/>
      </c>
      <c r="X99" t="str">
        <f t="shared" si="6"/>
        <v/>
      </c>
      <c r="Y99" t="str">
        <f t="shared" si="7"/>
        <v/>
      </c>
    </row>
    <row r="100" spans="1:25" x14ac:dyDescent="0.35">
      <c r="A100">
        <v>102</v>
      </c>
      <c r="B100" t="s">
        <v>638</v>
      </c>
      <c r="C100">
        <v>108800</v>
      </c>
      <c r="D100">
        <v>760</v>
      </c>
      <c r="E100" t="str">
        <f>IFERROR(IF(OR(HLOOKUP($A100,#REF!,3,FALSE)&gt;2,HLOOKUP(A100,#REF!,3,FALSE)&lt;-2),"",#REF!),"")</f>
        <v/>
      </c>
      <c r="F100" t="str">
        <f>IFERROR(IF(OR(HLOOKUP($A100,#REF!,4,FALSE)&gt;2,HLOOKUP($A100,#REF!,4,FALSE)&lt;-2),"",#REF!),"")</f>
        <v/>
      </c>
      <c r="G100" t="str">
        <f>IFERROR(IF(OR(HLOOKUP($A100,#REF!,5,FALSE)&gt;2,HLOOKUP($A100,#REF!,5,FALSE)&lt;-2),"",#REF!),"")</f>
        <v/>
      </c>
      <c r="H100" t="str">
        <f>IFERROR(IF(OR(HLOOKUP($A100,#REF!,6,FALSE)&gt;2,HLOOKUP($A100,#REF!,6,FALSE)&lt;-2),"",#REF!),"")</f>
        <v/>
      </c>
      <c r="I100" t="str">
        <f>IFERROR(IF(OR(HLOOKUP($A100,#REF!,7,FALSE)&gt;2,HLOOKUP($A100,#REF!,7,FALSE)&lt;-2),"",#REF!),"")</f>
        <v/>
      </c>
      <c r="J100" t="str">
        <f>IFERROR(IF(OR(HLOOKUP($A100,#REF!,8,FALSE)&gt;2,HLOOKUP($A100,#REF!,8,FALSE)&lt;-2),"",#REF!),"")</f>
        <v/>
      </c>
      <c r="K100" t="str">
        <f>IFERROR(IF(OR(HLOOKUP($A100,#REF!,9,FALSE)&gt;2,HLOOKUP($A100,#REF!,9,FALSE)&lt;-2),"",#REF!),"")</f>
        <v/>
      </c>
      <c r="L100" t="str">
        <f>IFERROR(IF(OR(HLOOKUP($A100,#REF!,10,FALSE)&gt;2,HLOOKUP($A100,#REF!,10,FALSE)&lt;-2),"",#REF!),"")</f>
        <v/>
      </c>
      <c r="M100" t="str">
        <f>IFERROR(IF(OR(HLOOKUP($A100,#REF!,11,FALSE)&gt;2,HLOOKUP($A100,#REF!,11,FALSE)&lt;-2),"",#REF!),"")</f>
        <v/>
      </c>
      <c r="N100" t="str">
        <f>IFERROR(IF(OR(HLOOKUP($A100,#REF!,12,FALSE)&gt;2,HLOOKUP($A100,#REF!,12,FALSE)&lt;-2),"",#REF!),"")</f>
        <v/>
      </c>
      <c r="O100" t="str">
        <f>IFERROR(IF(OR(HLOOKUP($A100,#REF!,13,FALSE)&gt;2,HLOOKUP($A100,#REF!,13,FALSE)&lt;-2),"",#REF!),"")</f>
        <v/>
      </c>
      <c r="P100" t="str">
        <f>IFERROR(IF(OR(HLOOKUP($A100,#REF!,14,FALSE)&gt;2,HLOOKUP($A100,#REF!,14,FALSE)&lt;-2),"",#REF!),"")</f>
        <v/>
      </c>
      <c r="Q100" t="str">
        <f>IFERROR(IF(OR(HLOOKUP($A100,#REF!,15,FALSE)&gt;2,HLOOKUP($A100,#REF!,15,FALSE)&lt;-2),"",#REF!),"")</f>
        <v/>
      </c>
      <c r="R100" t="str">
        <f>IFERROR(IF(OR(HLOOKUP($A100,#REF!,16,FALSE)&gt;2,HLOOKUP($A100,#REF!,16,FALSE)&lt;-2),"",#REF!),"")</f>
        <v/>
      </c>
      <c r="S100" t="str">
        <f>IFERROR(IF(OR(HLOOKUP($A100,#REF!,17,FALSE)&gt;2,HLOOKUP($A100,#REF!,17,FALSE)&lt;-2),"",#REF!),"")</f>
        <v/>
      </c>
      <c r="T100" t="str">
        <f>IFERROR(IF(OR(HLOOKUP($A100,#REF!,18,FALSE)&gt;2,HLOOKUP($A100,#REF!,18,FALSE)&lt;-2),"",#REF!),"")</f>
        <v/>
      </c>
      <c r="U100" t="str">
        <f>IFERROR(IF(OR(HLOOKUP($A100,#REF!,19,FALSE)&gt;2,HLOOKUP($A100,#REF!,19,FALSE)&lt;-2),"",#REF!),"")</f>
        <v/>
      </c>
      <c r="V100">
        <f t="shared" si="4"/>
        <v>1</v>
      </c>
      <c r="W100" t="str">
        <f t="shared" si="5"/>
        <v/>
      </c>
      <c r="X100" t="str">
        <f t="shared" si="6"/>
        <v/>
      </c>
      <c r="Y100" t="str">
        <f t="shared" si="7"/>
        <v/>
      </c>
    </row>
    <row r="101" spans="1:25" x14ac:dyDescent="0.35">
      <c r="A101">
        <v>103</v>
      </c>
      <c r="B101" t="s">
        <v>639</v>
      </c>
      <c r="C101">
        <v>70900</v>
      </c>
      <c r="D101">
        <v>71</v>
      </c>
      <c r="E101" t="str">
        <f>IFERROR(IF(OR(HLOOKUP($A101,#REF!,3,FALSE)&gt;2,HLOOKUP(A101,#REF!,3,FALSE)&lt;-2),"",#REF!),"")</f>
        <v/>
      </c>
      <c r="F101" t="str">
        <f>IFERROR(IF(OR(HLOOKUP($A101,#REF!,4,FALSE)&gt;2,HLOOKUP($A101,#REF!,4,FALSE)&lt;-2),"",#REF!),"")</f>
        <v/>
      </c>
      <c r="G101" t="str">
        <f>IFERROR(IF(OR(HLOOKUP($A101,#REF!,5,FALSE)&gt;2,HLOOKUP($A101,#REF!,5,FALSE)&lt;-2),"",#REF!),"")</f>
        <v/>
      </c>
      <c r="H101" t="str">
        <f>IFERROR(IF(OR(HLOOKUP($A101,#REF!,6,FALSE)&gt;2,HLOOKUP($A101,#REF!,6,FALSE)&lt;-2),"",#REF!),"")</f>
        <v/>
      </c>
      <c r="I101" t="str">
        <f>IFERROR(IF(OR(HLOOKUP($A101,#REF!,7,FALSE)&gt;2,HLOOKUP($A101,#REF!,7,FALSE)&lt;-2),"",#REF!),"")</f>
        <v/>
      </c>
      <c r="J101" t="str">
        <f>IFERROR(IF(OR(HLOOKUP($A101,#REF!,8,FALSE)&gt;2,HLOOKUP($A101,#REF!,8,FALSE)&lt;-2),"",#REF!),"")</f>
        <v/>
      </c>
      <c r="K101" t="str">
        <f>IFERROR(IF(OR(HLOOKUP($A101,#REF!,9,FALSE)&gt;2,HLOOKUP($A101,#REF!,9,FALSE)&lt;-2),"",#REF!),"")</f>
        <v/>
      </c>
      <c r="L101" t="str">
        <f>IFERROR(IF(OR(HLOOKUP($A101,#REF!,10,FALSE)&gt;2,HLOOKUP($A101,#REF!,10,FALSE)&lt;-2),"",#REF!),"")</f>
        <v/>
      </c>
      <c r="M101" t="str">
        <f>IFERROR(IF(OR(HLOOKUP($A101,#REF!,11,FALSE)&gt;2,HLOOKUP($A101,#REF!,11,FALSE)&lt;-2),"",#REF!),"")</f>
        <v/>
      </c>
      <c r="N101" t="str">
        <f>IFERROR(IF(OR(HLOOKUP($A101,#REF!,12,FALSE)&gt;2,HLOOKUP($A101,#REF!,12,FALSE)&lt;-2),"",#REF!),"")</f>
        <v/>
      </c>
      <c r="O101" t="str">
        <f>IFERROR(IF(OR(HLOOKUP($A101,#REF!,13,FALSE)&gt;2,HLOOKUP($A101,#REF!,13,FALSE)&lt;-2),"",#REF!),"")</f>
        <v/>
      </c>
      <c r="P101" t="str">
        <f>IFERROR(IF(OR(HLOOKUP($A101,#REF!,14,FALSE)&gt;2,HLOOKUP($A101,#REF!,14,FALSE)&lt;-2),"",#REF!),"")</f>
        <v/>
      </c>
      <c r="Q101" t="str">
        <f>IFERROR(IF(OR(HLOOKUP($A101,#REF!,15,FALSE)&gt;2,HLOOKUP($A101,#REF!,15,FALSE)&lt;-2),"",#REF!),"")</f>
        <v/>
      </c>
      <c r="R101" t="str">
        <f>IFERROR(IF(OR(HLOOKUP($A101,#REF!,16,FALSE)&gt;2,HLOOKUP($A101,#REF!,16,FALSE)&lt;-2),"",#REF!),"")</f>
        <v/>
      </c>
      <c r="S101" t="str">
        <f>IFERROR(IF(OR(HLOOKUP($A101,#REF!,17,FALSE)&gt;2,HLOOKUP($A101,#REF!,17,FALSE)&lt;-2),"",#REF!),"")</f>
        <v/>
      </c>
      <c r="T101" t="str">
        <f>IFERROR(IF(OR(HLOOKUP($A101,#REF!,18,FALSE)&gt;2,HLOOKUP($A101,#REF!,18,FALSE)&lt;-2),"",#REF!),"")</f>
        <v/>
      </c>
      <c r="U101" t="str">
        <f>IFERROR(IF(OR(HLOOKUP($A101,#REF!,19,FALSE)&gt;2,HLOOKUP($A101,#REF!,19,FALSE)&lt;-2),"",#REF!),"")</f>
        <v/>
      </c>
      <c r="V101">
        <f t="shared" si="4"/>
        <v>1</v>
      </c>
      <c r="W101" t="str">
        <f t="shared" si="5"/>
        <v/>
      </c>
      <c r="X101" t="str">
        <f t="shared" si="6"/>
        <v/>
      </c>
      <c r="Y101" t="str">
        <f t="shared" si="7"/>
        <v/>
      </c>
    </row>
    <row r="102" spans="1:25" x14ac:dyDescent="0.35">
      <c r="A102">
        <v>104</v>
      </c>
      <c r="B102" t="s">
        <v>65</v>
      </c>
      <c r="C102">
        <v>23400</v>
      </c>
      <c r="D102">
        <v>95</v>
      </c>
      <c r="E102" t="str">
        <f>IFERROR(IF(OR(HLOOKUP($A102,#REF!,3,FALSE)&gt;2,HLOOKUP(A102,#REF!,3,FALSE)&lt;-2),"",#REF!),"")</f>
        <v/>
      </c>
      <c r="F102" t="str">
        <f>IFERROR(IF(OR(HLOOKUP($A102,#REF!,4,FALSE)&gt;2,HLOOKUP($A102,#REF!,4,FALSE)&lt;-2),"",#REF!),"")</f>
        <v/>
      </c>
      <c r="G102" t="str">
        <f>IFERROR(IF(OR(HLOOKUP($A102,#REF!,5,FALSE)&gt;2,HLOOKUP($A102,#REF!,5,FALSE)&lt;-2),"",#REF!),"")</f>
        <v/>
      </c>
      <c r="H102" t="str">
        <f>IFERROR(IF(OR(HLOOKUP($A102,#REF!,6,FALSE)&gt;2,HLOOKUP($A102,#REF!,6,FALSE)&lt;-2),"",#REF!),"")</f>
        <v/>
      </c>
      <c r="I102" t="str">
        <f>IFERROR(IF(OR(HLOOKUP($A102,#REF!,7,FALSE)&gt;2,HLOOKUP($A102,#REF!,7,FALSE)&lt;-2),"",#REF!),"")</f>
        <v/>
      </c>
      <c r="J102" t="str">
        <f>IFERROR(IF(OR(HLOOKUP($A102,#REF!,8,FALSE)&gt;2,HLOOKUP($A102,#REF!,8,FALSE)&lt;-2),"",#REF!),"")</f>
        <v/>
      </c>
      <c r="K102" t="str">
        <f>IFERROR(IF(OR(HLOOKUP($A102,#REF!,9,FALSE)&gt;2,HLOOKUP($A102,#REF!,9,FALSE)&lt;-2),"",#REF!),"")</f>
        <v/>
      </c>
      <c r="L102" t="str">
        <f>IFERROR(IF(OR(HLOOKUP($A102,#REF!,10,FALSE)&gt;2,HLOOKUP($A102,#REF!,10,FALSE)&lt;-2),"",#REF!),"")</f>
        <v/>
      </c>
      <c r="M102" t="str">
        <f>IFERROR(IF(OR(HLOOKUP($A102,#REF!,11,FALSE)&gt;2,HLOOKUP($A102,#REF!,11,FALSE)&lt;-2),"",#REF!),"")</f>
        <v/>
      </c>
      <c r="N102" t="str">
        <f>IFERROR(IF(OR(HLOOKUP($A102,#REF!,12,FALSE)&gt;2,HLOOKUP($A102,#REF!,12,FALSE)&lt;-2),"",#REF!),"")</f>
        <v/>
      </c>
      <c r="O102" t="str">
        <f>IFERROR(IF(OR(HLOOKUP($A102,#REF!,13,FALSE)&gt;2,HLOOKUP($A102,#REF!,13,FALSE)&lt;-2),"",#REF!),"")</f>
        <v/>
      </c>
      <c r="P102" t="str">
        <f>IFERROR(IF(OR(HLOOKUP($A102,#REF!,14,FALSE)&gt;2,HLOOKUP($A102,#REF!,14,FALSE)&lt;-2),"",#REF!),"")</f>
        <v/>
      </c>
      <c r="Q102" t="str">
        <f>IFERROR(IF(OR(HLOOKUP($A102,#REF!,15,FALSE)&gt;2,HLOOKUP($A102,#REF!,15,FALSE)&lt;-2),"",#REF!),"")</f>
        <v/>
      </c>
      <c r="R102" t="str">
        <f>IFERROR(IF(OR(HLOOKUP($A102,#REF!,16,FALSE)&gt;2,HLOOKUP($A102,#REF!,16,FALSE)&lt;-2),"",#REF!),"")</f>
        <v/>
      </c>
      <c r="S102" t="str">
        <f>IFERROR(IF(OR(HLOOKUP($A102,#REF!,17,FALSE)&gt;2,HLOOKUP($A102,#REF!,17,FALSE)&lt;-2),"",#REF!),"")</f>
        <v/>
      </c>
      <c r="T102" t="str">
        <f>IFERROR(IF(OR(HLOOKUP($A102,#REF!,18,FALSE)&gt;2,HLOOKUP($A102,#REF!,18,FALSE)&lt;-2),"",#REF!),"")</f>
        <v/>
      </c>
      <c r="U102" t="str">
        <f>IFERROR(IF(OR(HLOOKUP($A102,#REF!,19,FALSE)&gt;2,HLOOKUP($A102,#REF!,19,FALSE)&lt;-2),"",#REF!),"")</f>
        <v/>
      </c>
      <c r="V102">
        <f t="shared" si="4"/>
        <v>1</v>
      </c>
      <c r="W102" t="str">
        <f t="shared" si="5"/>
        <v/>
      </c>
      <c r="X102" t="str">
        <f t="shared" si="6"/>
        <v/>
      </c>
      <c r="Y102" t="str">
        <f t="shared" si="7"/>
        <v/>
      </c>
    </row>
    <row r="103" spans="1:25" x14ac:dyDescent="0.35">
      <c r="A103">
        <v>105</v>
      </c>
      <c r="B103" t="s">
        <v>66</v>
      </c>
      <c r="C103">
        <v>86800</v>
      </c>
      <c r="D103">
        <v>398</v>
      </c>
      <c r="E103" t="str">
        <f>IFERROR(IF(OR(HLOOKUP($A103,#REF!,3,FALSE)&gt;2,HLOOKUP(A103,#REF!,3,FALSE)&lt;-2),"",#REF!),"")</f>
        <v/>
      </c>
      <c r="F103" t="str">
        <f>IFERROR(IF(OR(HLOOKUP($A103,#REF!,4,FALSE)&gt;2,HLOOKUP($A103,#REF!,4,FALSE)&lt;-2),"",#REF!),"")</f>
        <v/>
      </c>
      <c r="G103" t="str">
        <f>IFERROR(IF(OR(HLOOKUP($A103,#REF!,5,FALSE)&gt;2,HLOOKUP($A103,#REF!,5,FALSE)&lt;-2),"",#REF!),"")</f>
        <v/>
      </c>
      <c r="H103" t="str">
        <f>IFERROR(IF(OR(HLOOKUP($A103,#REF!,6,FALSE)&gt;2,HLOOKUP($A103,#REF!,6,FALSE)&lt;-2),"",#REF!),"")</f>
        <v/>
      </c>
      <c r="I103" t="str">
        <f>IFERROR(IF(OR(HLOOKUP($A103,#REF!,7,FALSE)&gt;2,HLOOKUP($A103,#REF!,7,FALSE)&lt;-2),"",#REF!),"")</f>
        <v/>
      </c>
      <c r="J103" t="str">
        <f>IFERROR(IF(OR(HLOOKUP($A103,#REF!,8,FALSE)&gt;2,HLOOKUP($A103,#REF!,8,FALSE)&lt;-2),"",#REF!),"")</f>
        <v/>
      </c>
      <c r="K103" t="str">
        <f>IFERROR(IF(OR(HLOOKUP($A103,#REF!,9,FALSE)&gt;2,HLOOKUP($A103,#REF!,9,FALSE)&lt;-2),"",#REF!),"")</f>
        <v/>
      </c>
      <c r="L103" t="str">
        <f>IFERROR(IF(OR(HLOOKUP($A103,#REF!,10,FALSE)&gt;2,HLOOKUP($A103,#REF!,10,FALSE)&lt;-2),"",#REF!),"")</f>
        <v/>
      </c>
      <c r="M103" t="str">
        <f>IFERROR(IF(OR(HLOOKUP($A103,#REF!,11,FALSE)&gt;2,HLOOKUP($A103,#REF!,11,FALSE)&lt;-2),"",#REF!),"")</f>
        <v/>
      </c>
      <c r="N103" t="str">
        <f>IFERROR(IF(OR(HLOOKUP($A103,#REF!,12,FALSE)&gt;2,HLOOKUP($A103,#REF!,12,FALSE)&lt;-2),"",#REF!),"")</f>
        <v/>
      </c>
      <c r="O103" t="str">
        <f>IFERROR(IF(OR(HLOOKUP($A103,#REF!,13,FALSE)&gt;2,HLOOKUP($A103,#REF!,13,FALSE)&lt;-2),"",#REF!),"")</f>
        <v/>
      </c>
      <c r="P103" t="str">
        <f>IFERROR(IF(OR(HLOOKUP($A103,#REF!,14,FALSE)&gt;2,HLOOKUP($A103,#REF!,14,FALSE)&lt;-2),"",#REF!),"")</f>
        <v/>
      </c>
      <c r="Q103" t="str">
        <f>IFERROR(IF(OR(HLOOKUP($A103,#REF!,15,FALSE)&gt;2,HLOOKUP($A103,#REF!,15,FALSE)&lt;-2),"",#REF!),"")</f>
        <v/>
      </c>
      <c r="R103" t="str">
        <f>IFERROR(IF(OR(HLOOKUP($A103,#REF!,16,FALSE)&gt;2,HLOOKUP($A103,#REF!,16,FALSE)&lt;-2),"",#REF!),"")</f>
        <v/>
      </c>
      <c r="S103" t="str">
        <f>IFERROR(IF(OR(HLOOKUP($A103,#REF!,17,FALSE)&gt;2,HLOOKUP($A103,#REF!,17,FALSE)&lt;-2),"",#REF!),"")</f>
        <v/>
      </c>
      <c r="T103" t="str">
        <f>IFERROR(IF(OR(HLOOKUP($A103,#REF!,18,FALSE)&gt;2,HLOOKUP($A103,#REF!,18,FALSE)&lt;-2),"",#REF!),"")</f>
        <v/>
      </c>
      <c r="U103" t="str">
        <f>IFERROR(IF(OR(HLOOKUP($A103,#REF!,19,FALSE)&gt;2,HLOOKUP($A103,#REF!,19,FALSE)&lt;-2),"",#REF!),"")</f>
        <v/>
      </c>
      <c r="V103">
        <f t="shared" si="4"/>
        <v>1</v>
      </c>
      <c r="W103" t="str">
        <f t="shared" si="5"/>
        <v/>
      </c>
      <c r="X103" t="str">
        <f t="shared" si="6"/>
        <v/>
      </c>
      <c r="Y103" t="str">
        <f t="shared" si="7"/>
        <v/>
      </c>
    </row>
    <row r="104" spans="1:25" x14ac:dyDescent="0.35">
      <c r="A104">
        <v>106</v>
      </c>
      <c r="B104" t="s">
        <v>67</v>
      </c>
      <c r="C104">
        <v>93700</v>
      </c>
      <c r="D104">
        <v>370</v>
      </c>
      <c r="E104" t="str">
        <f>IFERROR(IF(OR(HLOOKUP($A104,#REF!,3,FALSE)&gt;2,HLOOKUP(A104,#REF!,3,FALSE)&lt;-2),"",#REF!),"")</f>
        <v/>
      </c>
      <c r="F104" t="str">
        <f>IFERROR(IF(OR(HLOOKUP($A104,#REF!,4,FALSE)&gt;2,HLOOKUP($A104,#REF!,4,FALSE)&lt;-2),"",#REF!),"")</f>
        <v/>
      </c>
      <c r="G104" t="str">
        <f>IFERROR(IF(OR(HLOOKUP($A104,#REF!,5,FALSE)&gt;2,HLOOKUP($A104,#REF!,5,FALSE)&lt;-2),"",#REF!),"")</f>
        <v/>
      </c>
      <c r="H104" t="str">
        <f>IFERROR(IF(OR(HLOOKUP($A104,#REF!,6,FALSE)&gt;2,HLOOKUP($A104,#REF!,6,FALSE)&lt;-2),"",#REF!),"")</f>
        <v/>
      </c>
      <c r="I104" t="str">
        <f>IFERROR(IF(OR(HLOOKUP($A104,#REF!,7,FALSE)&gt;2,HLOOKUP($A104,#REF!,7,FALSE)&lt;-2),"",#REF!),"")</f>
        <v/>
      </c>
      <c r="J104" t="str">
        <f>IFERROR(IF(OR(HLOOKUP($A104,#REF!,8,FALSE)&gt;2,HLOOKUP($A104,#REF!,8,FALSE)&lt;-2),"",#REF!),"")</f>
        <v/>
      </c>
      <c r="K104" t="str">
        <f>IFERROR(IF(OR(HLOOKUP($A104,#REF!,9,FALSE)&gt;2,HLOOKUP($A104,#REF!,9,FALSE)&lt;-2),"",#REF!),"")</f>
        <v/>
      </c>
      <c r="L104" t="str">
        <f>IFERROR(IF(OR(HLOOKUP($A104,#REF!,10,FALSE)&gt;2,HLOOKUP($A104,#REF!,10,FALSE)&lt;-2),"",#REF!),"")</f>
        <v/>
      </c>
      <c r="M104" t="str">
        <f>IFERROR(IF(OR(HLOOKUP($A104,#REF!,11,FALSE)&gt;2,HLOOKUP($A104,#REF!,11,FALSE)&lt;-2),"",#REF!),"")</f>
        <v/>
      </c>
      <c r="N104" t="str">
        <f>IFERROR(IF(OR(HLOOKUP($A104,#REF!,12,FALSE)&gt;2,HLOOKUP($A104,#REF!,12,FALSE)&lt;-2),"",#REF!),"")</f>
        <v/>
      </c>
      <c r="O104" t="str">
        <f>IFERROR(IF(OR(HLOOKUP($A104,#REF!,13,FALSE)&gt;2,HLOOKUP($A104,#REF!,13,FALSE)&lt;-2),"",#REF!),"")</f>
        <v/>
      </c>
      <c r="P104" t="str">
        <f>IFERROR(IF(OR(HLOOKUP($A104,#REF!,14,FALSE)&gt;2,HLOOKUP($A104,#REF!,14,FALSE)&lt;-2),"",#REF!),"")</f>
        <v/>
      </c>
      <c r="Q104" t="str">
        <f>IFERROR(IF(OR(HLOOKUP($A104,#REF!,15,FALSE)&gt;2,HLOOKUP($A104,#REF!,15,FALSE)&lt;-2),"",#REF!),"")</f>
        <v/>
      </c>
      <c r="R104" t="str">
        <f>IFERROR(IF(OR(HLOOKUP($A104,#REF!,16,FALSE)&gt;2,HLOOKUP($A104,#REF!,16,FALSE)&lt;-2),"",#REF!),"")</f>
        <v/>
      </c>
      <c r="S104" t="str">
        <f>IFERROR(IF(OR(HLOOKUP($A104,#REF!,17,FALSE)&gt;2,HLOOKUP($A104,#REF!,17,FALSE)&lt;-2),"",#REF!),"")</f>
        <v/>
      </c>
      <c r="T104" t="str">
        <f>IFERROR(IF(OR(HLOOKUP($A104,#REF!,18,FALSE)&gt;2,HLOOKUP($A104,#REF!,18,FALSE)&lt;-2),"",#REF!),"")</f>
        <v/>
      </c>
      <c r="U104" t="str">
        <f>IFERROR(IF(OR(HLOOKUP($A104,#REF!,19,FALSE)&gt;2,HLOOKUP($A104,#REF!,19,FALSE)&lt;-2),"",#REF!),"")</f>
        <v/>
      </c>
      <c r="V104">
        <f t="shared" si="4"/>
        <v>1</v>
      </c>
      <c r="W104" t="str">
        <f t="shared" si="5"/>
        <v/>
      </c>
      <c r="X104" t="str">
        <f t="shared" si="6"/>
        <v/>
      </c>
      <c r="Y104" t="str">
        <f t="shared" si="7"/>
        <v/>
      </c>
    </row>
    <row r="105" spans="1:25" x14ac:dyDescent="0.35">
      <c r="A105">
        <v>107</v>
      </c>
      <c r="B105" t="s">
        <v>640</v>
      </c>
      <c r="C105">
        <v>1000</v>
      </c>
      <c r="D105">
        <v>500</v>
      </c>
      <c r="E105" t="str">
        <f>IFERROR(IF(OR(HLOOKUP($A105,#REF!,3,FALSE)&gt;2,HLOOKUP(A105,#REF!,3,FALSE)&lt;-2),"",#REF!),"")</f>
        <v/>
      </c>
      <c r="F105" t="str">
        <f>IFERROR(IF(OR(HLOOKUP($A105,#REF!,4,FALSE)&gt;2,HLOOKUP($A105,#REF!,4,FALSE)&lt;-2),"",#REF!),"")</f>
        <v/>
      </c>
      <c r="G105" t="str">
        <f>IFERROR(IF(OR(HLOOKUP($A105,#REF!,5,FALSE)&gt;2,HLOOKUP($A105,#REF!,5,FALSE)&lt;-2),"",#REF!),"")</f>
        <v/>
      </c>
      <c r="H105" t="str">
        <f>IFERROR(IF(OR(HLOOKUP($A105,#REF!,6,FALSE)&gt;2,HLOOKUP($A105,#REF!,6,FALSE)&lt;-2),"",#REF!),"")</f>
        <v/>
      </c>
      <c r="I105" t="str">
        <f>IFERROR(IF(OR(HLOOKUP($A105,#REF!,7,FALSE)&gt;2,HLOOKUP($A105,#REF!,7,FALSE)&lt;-2),"",#REF!),"")</f>
        <v/>
      </c>
      <c r="J105" t="str">
        <f>IFERROR(IF(OR(HLOOKUP($A105,#REF!,8,FALSE)&gt;2,HLOOKUP($A105,#REF!,8,FALSE)&lt;-2),"",#REF!),"")</f>
        <v/>
      </c>
      <c r="K105" t="str">
        <f>IFERROR(IF(OR(HLOOKUP($A105,#REF!,9,FALSE)&gt;2,HLOOKUP($A105,#REF!,9,FALSE)&lt;-2),"",#REF!),"")</f>
        <v/>
      </c>
      <c r="L105" t="str">
        <f>IFERROR(IF(OR(HLOOKUP($A105,#REF!,10,FALSE)&gt;2,HLOOKUP($A105,#REF!,10,FALSE)&lt;-2),"",#REF!),"")</f>
        <v/>
      </c>
      <c r="M105" t="str">
        <f>IFERROR(IF(OR(HLOOKUP($A105,#REF!,11,FALSE)&gt;2,HLOOKUP($A105,#REF!,11,FALSE)&lt;-2),"",#REF!),"")</f>
        <v/>
      </c>
      <c r="N105" t="str">
        <f>IFERROR(IF(OR(HLOOKUP($A105,#REF!,12,FALSE)&gt;2,HLOOKUP($A105,#REF!,12,FALSE)&lt;-2),"",#REF!),"")</f>
        <v/>
      </c>
      <c r="O105" t="str">
        <f>IFERROR(IF(OR(HLOOKUP($A105,#REF!,13,FALSE)&gt;2,HLOOKUP($A105,#REF!,13,FALSE)&lt;-2),"",#REF!),"")</f>
        <v/>
      </c>
      <c r="P105" t="str">
        <f>IFERROR(IF(OR(HLOOKUP($A105,#REF!,14,FALSE)&gt;2,HLOOKUP($A105,#REF!,14,FALSE)&lt;-2),"",#REF!),"")</f>
        <v/>
      </c>
      <c r="Q105" t="str">
        <f>IFERROR(IF(OR(HLOOKUP($A105,#REF!,15,FALSE)&gt;2,HLOOKUP($A105,#REF!,15,FALSE)&lt;-2),"",#REF!),"")</f>
        <v/>
      </c>
      <c r="R105" t="str">
        <f>IFERROR(IF(OR(HLOOKUP($A105,#REF!,16,FALSE)&gt;2,HLOOKUP($A105,#REF!,16,FALSE)&lt;-2),"",#REF!),"")</f>
        <v/>
      </c>
      <c r="S105" t="str">
        <f>IFERROR(IF(OR(HLOOKUP($A105,#REF!,17,FALSE)&gt;2,HLOOKUP($A105,#REF!,17,FALSE)&lt;-2),"",#REF!),"")</f>
        <v/>
      </c>
      <c r="T105" t="str">
        <f>IFERROR(IF(OR(HLOOKUP($A105,#REF!,18,FALSE)&gt;2,HLOOKUP($A105,#REF!,18,FALSE)&lt;-2),"",#REF!),"")</f>
        <v/>
      </c>
      <c r="U105" t="str">
        <f>IFERROR(IF(OR(HLOOKUP($A105,#REF!,19,FALSE)&gt;2,HLOOKUP($A105,#REF!,19,FALSE)&lt;-2),"",#REF!),"")</f>
        <v/>
      </c>
      <c r="V105">
        <f t="shared" si="4"/>
        <v>1</v>
      </c>
      <c r="W105" t="str">
        <f t="shared" si="5"/>
        <v/>
      </c>
      <c r="X105" t="str">
        <f t="shared" si="6"/>
        <v/>
      </c>
      <c r="Y105" t="str">
        <f t="shared" si="7"/>
        <v/>
      </c>
    </row>
    <row r="106" spans="1:25" x14ac:dyDescent="0.35">
      <c r="A106">
        <v>108</v>
      </c>
      <c r="B106" t="s">
        <v>641</v>
      </c>
      <c r="C106">
        <v>116200</v>
      </c>
      <c r="D106">
        <v>81</v>
      </c>
      <c r="E106" t="str">
        <f>IFERROR(IF(OR(HLOOKUP($A106,#REF!,3,FALSE)&gt;2,HLOOKUP(A106,#REF!,3,FALSE)&lt;-2),"",#REF!),"")</f>
        <v/>
      </c>
      <c r="F106" t="str">
        <f>IFERROR(IF(OR(HLOOKUP($A106,#REF!,4,FALSE)&gt;2,HLOOKUP($A106,#REF!,4,FALSE)&lt;-2),"",#REF!),"")</f>
        <v/>
      </c>
      <c r="G106" t="str">
        <f>IFERROR(IF(OR(HLOOKUP($A106,#REF!,5,FALSE)&gt;2,HLOOKUP($A106,#REF!,5,FALSE)&lt;-2),"",#REF!),"")</f>
        <v/>
      </c>
      <c r="H106" t="str">
        <f>IFERROR(IF(OR(HLOOKUP($A106,#REF!,6,FALSE)&gt;2,HLOOKUP($A106,#REF!,6,FALSE)&lt;-2),"",#REF!),"")</f>
        <v/>
      </c>
      <c r="I106" t="str">
        <f>IFERROR(IF(OR(HLOOKUP($A106,#REF!,7,FALSE)&gt;2,HLOOKUP($A106,#REF!,7,FALSE)&lt;-2),"",#REF!),"")</f>
        <v/>
      </c>
      <c r="J106" t="str">
        <f>IFERROR(IF(OR(HLOOKUP($A106,#REF!,8,FALSE)&gt;2,HLOOKUP($A106,#REF!,8,FALSE)&lt;-2),"",#REF!),"")</f>
        <v/>
      </c>
      <c r="K106" t="str">
        <f>IFERROR(IF(OR(HLOOKUP($A106,#REF!,9,FALSE)&gt;2,HLOOKUP($A106,#REF!,9,FALSE)&lt;-2),"",#REF!),"")</f>
        <v/>
      </c>
      <c r="L106" t="str">
        <f>IFERROR(IF(OR(HLOOKUP($A106,#REF!,10,FALSE)&gt;2,HLOOKUP($A106,#REF!,10,FALSE)&lt;-2),"",#REF!),"")</f>
        <v/>
      </c>
      <c r="M106" t="str">
        <f>IFERROR(IF(OR(HLOOKUP($A106,#REF!,11,FALSE)&gt;2,HLOOKUP($A106,#REF!,11,FALSE)&lt;-2),"",#REF!),"")</f>
        <v/>
      </c>
      <c r="N106" t="str">
        <f>IFERROR(IF(OR(HLOOKUP($A106,#REF!,12,FALSE)&gt;2,HLOOKUP($A106,#REF!,12,FALSE)&lt;-2),"",#REF!),"")</f>
        <v/>
      </c>
      <c r="O106" t="str">
        <f>IFERROR(IF(OR(HLOOKUP($A106,#REF!,13,FALSE)&gt;2,HLOOKUP($A106,#REF!,13,FALSE)&lt;-2),"",#REF!),"")</f>
        <v/>
      </c>
      <c r="P106" t="str">
        <f>IFERROR(IF(OR(HLOOKUP($A106,#REF!,14,FALSE)&gt;2,HLOOKUP($A106,#REF!,14,FALSE)&lt;-2),"",#REF!),"")</f>
        <v/>
      </c>
      <c r="Q106" t="str">
        <f>IFERROR(IF(OR(HLOOKUP($A106,#REF!,15,FALSE)&gt;2,HLOOKUP($A106,#REF!,15,FALSE)&lt;-2),"",#REF!),"")</f>
        <v/>
      </c>
      <c r="R106" t="str">
        <f>IFERROR(IF(OR(HLOOKUP($A106,#REF!,16,FALSE)&gt;2,HLOOKUP($A106,#REF!,16,FALSE)&lt;-2),"",#REF!),"")</f>
        <v/>
      </c>
      <c r="S106" t="str">
        <f>IFERROR(IF(OR(HLOOKUP($A106,#REF!,17,FALSE)&gt;2,HLOOKUP($A106,#REF!,17,FALSE)&lt;-2),"",#REF!),"")</f>
        <v/>
      </c>
      <c r="T106" t="str">
        <f>IFERROR(IF(OR(HLOOKUP($A106,#REF!,18,FALSE)&gt;2,HLOOKUP($A106,#REF!,18,FALSE)&lt;-2),"",#REF!),"")</f>
        <v/>
      </c>
      <c r="U106" t="str">
        <f>IFERROR(IF(OR(HLOOKUP($A106,#REF!,19,FALSE)&gt;2,HLOOKUP($A106,#REF!,19,FALSE)&lt;-2),"",#REF!),"")</f>
        <v/>
      </c>
      <c r="V106">
        <f t="shared" si="4"/>
        <v>1</v>
      </c>
      <c r="W106" t="str">
        <f t="shared" si="5"/>
        <v/>
      </c>
      <c r="X106" t="str">
        <f t="shared" si="6"/>
        <v/>
      </c>
      <c r="Y106" t="str">
        <f t="shared" si="7"/>
        <v/>
      </c>
    </row>
    <row r="107" spans="1:25" x14ac:dyDescent="0.35">
      <c r="A107">
        <v>109</v>
      </c>
      <c r="B107" t="s">
        <v>642</v>
      </c>
      <c r="C107">
        <v>108900</v>
      </c>
      <c r="D107">
        <v>760</v>
      </c>
      <c r="E107" t="str">
        <f>IFERROR(IF(OR(HLOOKUP($A107,#REF!,3,FALSE)&gt;2,HLOOKUP(A107,#REF!,3,FALSE)&lt;-2),"",#REF!),"")</f>
        <v/>
      </c>
      <c r="F107" t="str">
        <f>IFERROR(IF(OR(HLOOKUP($A107,#REF!,4,FALSE)&gt;2,HLOOKUP($A107,#REF!,4,FALSE)&lt;-2),"",#REF!),"")</f>
        <v/>
      </c>
      <c r="G107" t="str">
        <f>IFERROR(IF(OR(HLOOKUP($A107,#REF!,5,FALSE)&gt;2,HLOOKUP($A107,#REF!,5,FALSE)&lt;-2),"",#REF!),"")</f>
        <v/>
      </c>
      <c r="H107" t="str">
        <f>IFERROR(IF(OR(HLOOKUP($A107,#REF!,6,FALSE)&gt;2,HLOOKUP($A107,#REF!,6,FALSE)&lt;-2),"",#REF!),"")</f>
        <v/>
      </c>
      <c r="I107" t="str">
        <f>IFERROR(IF(OR(HLOOKUP($A107,#REF!,7,FALSE)&gt;2,HLOOKUP($A107,#REF!,7,FALSE)&lt;-2),"",#REF!),"")</f>
        <v/>
      </c>
      <c r="J107" t="str">
        <f>IFERROR(IF(OR(HLOOKUP($A107,#REF!,8,FALSE)&gt;2,HLOOKUP($A107,#REF!,8,FALSE)&lt;-2),"",#REF!),"")</f>
        <v/>
      </c>
      <c r="K107" t="str">
        <f>IFERROR(IF(OR(HLOOKUP($A107,#REF!,9,FALSE)&gt;2,HLOOKUP($A107,#REF!,9,FALSE)&lt;-2),"",#REF!),"")</f>
        <v/>
      </c>
      <c r="L107" t="str">
        <f>IFERROR(IF(OR(HLOOKUP($A107,#REF!,10,FALSE)&gt;2,HLOOKUP($A107,#REF!,10,FALSE)&lt;-2),"",#REF!),"")</f>
        <v/>
      </c>
      <c r="M107" t="str">
        <f>IFERROR(IF(OR(HLOOKUP($A107,#REF!,11,FALSE)&gt;2,HLOOKUP($A107,#REF!,11,FALSE)&lt;-2),"",#REF!),"")</f>
        <v/>
      </c>
      <c r="N107" t="str">
        <f>IFERROR(IF(OR(HLOOKUP($A107,#REF!,12,FALSE)&gt;2,HLOOKUP($A107,#REF!,12,FALSE)&lt;-2),"",#REF!),"")</f>
        <v/>
      </c>
      <c r="O107" t="str">
        <f>IFERROR(IF(OR(HLOOKUP($A107,#REF!,13,FALSE)&gt;2,HLOOKUP($A107,#REF!,13,FALSE)&lt;-2),"",#REF!),"")</f>
        <v/>
      </c>
      <c r="P107" t="str">
        <f>IFERROR(IF(OR(HLOOKUP($A107,#REF!,14,FALSE)&gt;2,HLOOKUP($A107,#REF!,14,FALSE)&lt;-2),"",#REF!),"")</f>
        <v/>
      </c>
      <c r="Q107" t="str">
        <f>IFERROR(IF(OR(HLOOKUP($A107,#REF!,15,FALSE)&gt;2,HLOOKUP($A107,#REF!,15,FALSE)&lt;-2),"",#REF!),"")</f>
        <v/>
      </c>
      <c r="R107" t="str">
        <f>IFERROR(IF(OR(HLOOKUP($A107,#REF!,16,FALSE)&gt;2,HLOOKUP($A107,#REF!,16,FALSE)&lt;-2),"",#REF!),"")</f>
        <v/>
      </c>
      <c r="S107" t="str">
        <f>IFERROR(IF(OR(HLOOKUP($A107,#REF!,17,FALSE)&gt;2,HLOOKUP($A107,#REF!,17,FALSE)&lt;-2),"",#REF!),"")</f>
        <v/>
      </c>
      <c r="T107" t="str">
        <f>IFERROR(IF(OR(HLOOKUP($A107,#REF!,18,FALSE)&gt;2,HLOOKUP($A107,#REF!,18,FALSE)&lt;-2),"",#REF!),"")</f>
        <v/>
      </c>
      <c r="U107" t="str">
        <f>IFERROR(IF(OR(HLOOKUP($A107,#REF!,19,FALSE)&gt;2,HLOOKUP($A107,#REF!,19,FALSE)&lt;-2),"",#REF!),"")</f>
        <v/>
      </c>
      <c r="V107">
        <f t="shared" si="4"/>
        <v>1</v>
      </c>
      <c r="W107" t="str">
        <f t="shared" si="5"/>
        <v/>
      </c>
      <c r="X107" t="str">
        <f t="shared" si="6"/>
        <v/>
      </c>
      <c r="Y107" t="str">
        <f t="shared" si="7"/>
        <v/>
      </c>
    </row>
    <row r="108" spans="1:25" x14ac:dyDescent="0.35">
      <c r="A108">
        <v>110</v>
      </c>
      <c r="B108" t="s">
        <v>643</v>
      </c>
      <c r="C108">
        <v>71500</v>
      </c>
      <c r="D108">
        <v>94</v>
      </c>
      <c r="E108" t="str">
        <f>IFERROR(IF(OR(HLOOKUP($A108,#REF!,3,FALSE)&gt;2,HLOOKUP(A108,#REF!,3,FALSE)&lt;-2),"",#REF!),"")</f>
        <v/>
      </c>
      <c r="F108" t="str">
        <f>IFERROR(IF(OR(HLOOKUP($A108,#REF!,4,FALSE)&gt;2,HLOOKUP($A108,#REF!,4,FALSE)&lt;-2),"",#REF!),"")</f>
        <v/>
      </c>
      <c r="G108" t="str">
        <f>IFERROR(IF(OR(HLOOKUP($A108,#REF!,5,FALSE)&gt;2,HLOOKUP($A108,#REF!,5,FALSE)&lt;-2),"",#REF!),"")</f>
        <v/>
      </c>
      <c r="H108" t="str">
        <f>IFERROR(IF(OR(HLOOKUP($A108,#REF!,6,FALSE)&gt;2,HLOOKUP($A108,#REF!,6,FALSE)&lt;-2),"",#REF!),"")</f>
        <v/>
      </c>
      <c r="I108" t="str">
        <f>IFERROR(IF(OR(HLOOKUP($A108,#REF!,7,FALSE)&gt;2,HLOOKUP($A108,#REF!,7,FALSE)&lt;-2),"",#REF!),"")</f>
        <v/>
      </c>
      <c r="J108" t="str">
        <f>IFERROR(IF(OR(HLOOKUP($A108,#REF!,8,FALSE)&gt;2,HLOOKUP($A108,#REF!,8,FALSE)&lt;-2),"",#REF!),"")</f>
        <v/>
      </c>
      <c r="K108" t="str">
        <f>IFERROR(IF(OR(HLOOKUP($A108,#REF!,9,FALSE)&gt;2,HLOOKUP($A108,#REF!,9,FALSE)&lt;-2),"",#REF!),"")</f>
        <v/>
      </c>
      <c r="L108" t="str">
        <f>IFERROR(IF(OR(HLOOKUP($A108,#REF!,10,FALSE)&gt;2,HLOOKUP($A108,#REF!,10,FALSE)&lt;-2),"",#REF!),"")</f>
        <v/>
      </c>
      <c r="M108" t="str">
        <f>IFERROR(IF(OR(HLOOKUP($A108,#REF!,11,FALSE)&gt;2,HLOOKUP($A108,#REF!,11,FALSE)&lt;-2),"",#REF!),"")</f>
        <v/>
      </c>
      <c r="N108" t="str">
        <f>IFERROR(IF(OR(HLOOKUP($A108,#REF!,12,FALSE)&gt;2,HLOOKUP($A108,#REF!,12,FALSE)&lt;-2),"",#REF!),"")</f>
        <v/>
      </c>
      <c r="O108" t="str">
        <f>IFERROR(IF(OR(HLOOKUP($A108,#REF!,13,FALSE)&gt;2,HLOOKUP($A108,#REF!,13,FALSE)&lt;-2),"",#REF!),"")</f>
        <v/>
      </c>
      <c r="P108" t="str">
        <f>IFERROR(IF(OR(HLOOKUP($A108,#REF!,14,FALSE)&gt;2,HLOOKUP($A108,#REF!,14,FALSE)&lt;-2),"",#REF!),"")</f>
        <v/>
      </c>
      <c r="Q108" t="str">
        <f>IFERROR(IF(OR(HLOOKUP($A108,#REF!,15,FALSE)&gt;2,HLOOKUP($A108,#REF!,15,FALSE)&lt;-2),"",#REF!),"")</f>
        <v/>
      </c>
      <c r="R108" t="str">
        <f>IFERROR(IF(OR(HLOOKUP($A108,#REF!,16,FALSE)&gt;2,HLOOKUP($A108,#REF!,16,FALSE)&lt;-2),"",#REF!),"")</f>
        <v/>
      </c>
      <c r="S108" t="str">
        <f>IFERROR(IF(OR(HLOOKUP($A108,#REF!,17,FALSE)&gt;2,HLOOKUP($A108,#REF!,17,FALSE)&lt;-2),"",#REF!),"")</f>
        <v/>
      </c>
      <c r="T108" t="str">
        <f>IFERROR(IF(OR(HLOOKUP($A108,#REF!,18,FALSE)&gt;2,HLOOKUP($A108,#REF!,18,FALSE)&lt;-2),"",#REF!),"")</f>
        <v/>
      </c>
      <c r="U108" t="str">
        <f>IFERROR(IF(OR(HLOOKUP($A108,#REF!,19,FALSE)&gt;2,HLOOKUP($A108,#REF!,19,FALSE)&lt;-2),"",#REF!),"")</f>
        <v/>
      </c>
      <c r="V108">
        <f t="shared" si="4"/>
        <v>1</v>
      </c>
      <c r="W108" t="str">
        <f t="shared" si="5"/>
        <v/>
      </c>
      <c r="X108" t="str">
        <f t="shared" si="6"/>
        <v/>
      </c>
      <c r="Y108" t="str">
        <f t="shared" si="7"/>
        <v/>
      </c>
    </row>
    <row r="109" spans="1:25" x14ac:dyDescent="0.35">
      <c r="A109">
        <v>111</v>
      </c>
      <c r="B109" t="s">
        <v>644</v>
      </c>
      <c r="C109">
        <v>24000</v>
      </c>
      <c r="D109">
        <v>95</v>
      </c>
      <c r="E109" t="str">
        <f>IFERROR(IF(OR(HLOOKUP($A109,#REF!,3,FALSE)&gt;2,HLOOKUP(A109,#REF!,3,FALSE)&lt;-2),"",#REF!),"")</f>
        <v/>
      </c>
      <c r="F109" t="str">
        <f>IFERROR(IF(OR(HLOOKUP($A109,#REF!,4,FALSE)&gt;2,HLOOKUP($A109,#REF!,4,FALSE)&lt;-2),"",#REF!),"")</f>
        <v/>
      </c>
      <c r="G109" t="str">
        <f>IFERROR(IF(OR(HLOOKUP($A109,#REF!,5,FALSE)&gt;2,HLOOKUP($A109,#REF!,5,FALSE)&lt;-2),"",#REF!),"")</f>
        <v/>
      </c>
      <c r="H109" t="str">
        <f>IFERROR(IF(OR(HLOOKUP($A109,#REF!,6,FALSE)&gt;2,HLOOKUP($A109,#REF!,6,FALSE)&lt;-2),"",#REF!),"")</f>
        <v/>
      </c>
      <c r="I109" t="str">
        <f>IFERROR(IF(OR(HLOOKUP($A109,#REF!,7,FALSE)&gt;2,HLOOKUP($A109,#REF!,7,FALSE)&lt;-2),"",#REF!),"")</f>
        <v/>
      </c>
      <c r="J109" t="str">
        <f>IFERROR(IF(OR(HLOOKUP($A109,#REF!,8,FALSE)&gt;2,HLOOKUP($A109,#REF!,8,FALSE)&lt;-2),"",#REF!),"")</f>
        <v/>
      </c>
      <c r="K109" t="str">
        <f>IFERROR(IF(OR(HLOOKUP($A109,#REF!,9,FALSE)&gt;2,HLOOKUP($A109,#REF!,9,FALSE)&lt;-2),"",#REF!),"")</f>
        <v/>
      </c>
      <c r="L109" t="str">
        <f>IFERROR(IF(OR(HLOOKUP($A109,#REF!,10,FALSE)&gt;2,HLOOKUP($A109,#REF!,10,FALSE)&lt;-2),"",#REF!),"")</f>
        <v/>
      </c>
      <c r="M109" t="str">
        <f>IFERROR(IF(OR(HLOOKUP($A109,#REF!,11,FALSE)&gt;2,HLOOKUP($A109,#REF!,11,FALSE)&lt;-2),"",#REF!),"")</f>
        <v/>
      </c>
      <c r="N109" t="str">
        <f>IFERROR(IF(OR(HLOOKUP($A109,#REF!,12,FALSE)&gt;2,HLOOKUP($A109,#REF!,12,FALSE)&lt;-2),"",#REF!),"")</f>
        <v/>
      </c>
      <c r="O109" t="str">
        <f>IFERROR(IF(OR(HLOOKUP($A109,#REF!,13,FALSE)&gt;2,HLOOKUP($A109,#REF!,13,FALSE)&lt;-2),"",#REF!),"")</f>
        <v/>
      </c>
      <c r="P109" t="str">
        <f>IFERROR(IF(OR(HLOOKUP($A109,#REF!,14,FALSE)&gt;2,HLOOKUP($A109,#REF!,14,FALSE)&lt;-2),"",#REF!),"")</f>
        <v/>
      </c>
      <c r="Q109" t="str">
        <f>IFERROR(IF(OR(HLOOKUP($A109,#REF!,15,FALSE)&gt;2,HLOOKUP($A109,#REF!,15,FALSE)&lt;-2),"",#REF!),"")</f>
        <v/>
      </c>
      <c r="R109" t="str">
        <f>IFERROR(IF(OR(HLOOKUP($A109,#REF!,16,FALSE)&gt;2,HLOOKUP($A109,#REF!,16,FALSE)&lt;-2),"",#REF!),"")</f>
        <v/>
      </c>
      <c r="S109" t="str">
        <f>IFERROR(IF(OR(HLOOKUP($A109,#REF!,17,FALSE)&gt;2,HLOOKUP($A109,#REF!,17,FALSE)&lt;-2),"",#REF!),"")</f>
        <v/>
      </c>
      <c r="T109" t="str">
        <f>IFERROR(IF(OR(HLOOKUP($A109,#REF!,18,FALSE)&gt;2,HLOOKUP($A109,#REF!,18,FALSE)&lt;-2),"",#REF!),"")</f>
        <v/>
      </c>
      <c r="U109" t="str">
        <f>IFERROR(IF(OR(HLOOKUP($A109,#REF!,19,FALSE)&gt;2,HLOOKUP($A109,#REF!,19,FALSE)&lt;-2),"",#REF!),"")</f>
        <v/>
      </c>
      <c r="V109">
        <f t="shared" si="4"/>
        <v>1</v>
      </c>
      <c r="W109" t="str">
        <f t="shared" si="5"/>
        <v/>
      </c>
      <c r="X109" t="str">
        <f t="shared" si="6"/>
        <v/>
      </c>
      <c r="Y109" t="str">
        <f t="shared" si="7"/>
        <v/>
      </c>
    </row>
    <row r="110" spans="1:25" x14ac:dyDescent="0.35">
      <c r="A110">
        <v>112</v>
      </c>
      <c r="B110" t="s">
        <v>645</v>
      </c>
      <c r="C110">
        <v>89800</v>
      </c>
      <c r="D110">
        <v>607</v>
      </c>
      <c r="E110" t="str">
        <f>IFERROR(IF(OR(HLOOKUP($A110,#REF!,3,FALSE)&gt;2,HLOOKUP(A110,#REF!,3,FALSE)&lt;-2),"",#REF!),"")</f>
        <v/>
      </c>
      <c r="F110" t="str">
        <f>IFERROR(IF(OR(HLOOKUP($A110,#REF!,4,FALSE)&gt;2,HLOOKUP($A110,#REF!,4,FALSE)&lt;-2),"",#REF!),"")</f>
        <v/>
      </c>
      <c r="G110" t="str">
        <f>IFERROR(IF(OR(HLOOKUP($A110,#REF!,5,FALSE)&gt;2,HLOOKUP($A110,#REF!,5,FALSE)&lt;-2),"",#REF!),"")</f>
        <v/>
      </c>
      <c r="H110" t="str">
        <f>IFERROR(IF(OR(HLOOKUP($A110,#REF!,6,FALSE)&gt;2,HLOOKUP($A110,#REF!,6,FALSE)&lt;-2),"",#REF!),"")</f>
        <v/>
      </c>
      <c r="I110" t="str">
        <f>IFERROR(IF(OR(HLOOKUP($A110,#REF!,7,FALSE)&gt;2,HLOOKUP($A110,#REF!,7,FALSE)&lt;-2),"",#REF!),"")</f>
        <v/>
      </c>
      <c r="J110" t="str">
        <f>IFERROR(IF(OR(HLOOKUP($A110,#REF!,8,FALSE)&gt;2,HLOOKUP($A110,#REF!,8,FALSE)&lt;-2),"",#REF!),"")</f>
        <v/>
      </c>
      <c r="K110" t="str">
        <f>IFERROR(IF(OR(HLOOKUP($A110,#REF!,9,FALSE)&gt;2,HLOOKUP($A110,#REF!,9,FALSE)&lt;-2),"",#REF!),"")</f>
        <v/>
      </c>
      <c r="L110" t="str">
        <f>IFERROR(IF(OR(HLOOKUP($A110,#REF!,10,FALSE)&gt;2,HLOOKUP($A110,#REF!,10,FALSE)&lt;-2),"",#REF!),"")</f>
        <v/>
      </c>
      <c r="M110" t="str">
        <f>IFERROR(IF(OR(HLOOKUP($A110,#REF!,11,FALSE)&gt;2,HLOOKUP($A110,#REF!,11,FALSE)&lt;-2),"",#REF!),"")</f>
        <v/>
      </c>
      <c r="N110" t="str">
        <f>IFERROR(IF(OR(HLOOKUP($A110,#REF!,12,FALSE)&gt;2,HLOOKUP($A110,#REF!,12,FALSE)&lt;-2),"",#REF!),"")</f>
        <v/>
      </c>
      <c r="O110" t="str">
        <f>IFERROR(IF(OR(HLOOKUP($A110,#REF!,13,FALSE)&gt;2,HLOOKUP($A110,#REF!,13,FALSE)&lt;-2),"",#REF!),"")</f>
        <v/>
      </c>
      <c r="P110" t="str">
        <f>IFERROR(IF(OR(HLOOKUP($A110,#REF!,14,FALSE)&gt;2,HLOOKUP($A110,#REF!,14,FALSE)&lt;-2),"",#REF!),"")</f>
        <v/>
      </c>
      <c r="Q110" t="str">
        <f>IFERROR(IF(OR(HLOOKUP($A110,#REF!,15,FALSE)&gt;2,HLOOKUP($A110,#REF!,15,FALSE)&lt;-2),"",#REF!),"")</f>
        <v/>
      </c>
      <c r="R110" t="str">
        <f>IFERROR(IF(OR(HLOOKUP($A110,#REF!,16,FALSE)&gt;2,HLOOKUP($A110,#REF!,16,FALSE)&lt;-2),"",#REF!),"")</f>
        <v/>
      </c>
      <c r="S110" t="str">
        <f>IFERROR(IF(OR(HLOOKUP($A110,#REF!,17,FALSE)&gt;2,HLOOKUP($A110,#REF!,17,FALSE)&lt;-2),"",#REF!),"")</f>
        <v/>
      </c>
      <c r="T110" t="str">
        <f>IFERROR(IF(OR(HLOOKUP($A110,#REF!,18,FALSE)&gt;2,HLOOKUP($A110,#REF!,18,FALSE)&lt;-2),"",#REF!),"")</f>
        <v/>
      </c>
      <c r="U110" t="str">
        <f>IFERROR(IF(OR(HLOOKUP($A110,#REF!,19,FALSE)&gt;2,HLOOKUP($A110,#REF!,19,FALSE)&lt;-2),"",#REF!),"")</f>
        <v/>
      </c>
      <c r="V110">
        <f t="shared" si="4"/>
        <v>1</v>
      </c>
      <c r="W110" t="str">
        <f t="shared" si="5"/>
        <v/>
      </c>
      <c r="X110" t="str">
        <f t="shared" si="6"/>
        <v/>
      </c>
      <c r="Y110" t="str">
        <f t="shared" si="7"/>
        <v/>
      </c>
    </row>
    <row r="111" spans="1:25" x14ac:dyDescent="0.35">
      <c r="A111">
        <v>113</v>
      </c>
      <c r="B111" t="s">
        <v>68</v>
      </c>
      <c r="C111">
        <v>5100</v>
      </c>
      <c r="D111">
        <v>337</v>
      </c>
      <c r="E111" t="str">
        <f>IFERROR(IF(OR(HLOOKUP($A111,#REF!,3,FALSE)&gt;2,HLOOKUP(A111,#REF!,3,FALSE)&lt;-2),"",#REF!),"")</f>
        <v/>
      </c>
      <c r="F111" t="str">
        <f>IFERROR(IF(OR(HLOOKUP($A111,#REF!,4,FALSE)&gt;2,HLOOKUP($A111,#REF!,4,FALSE)&lt;-2),"",#REF!),"")</f>
        <v/>
      </c>
      <c r="G111" t="str">
        <f>IFERROR(IF(OR(HLOOKUP($A111,#REF!,5,FALSE)&gt;2,HLOOKUP($A111,#REF!,5,FALSE)&lt;-2),"",#REF!),"")</f>
        <v/>
      </c>
      <c r="H111" t="str">
        <f>IFERROR(IF(OR(HLOOKUP($A111,#REF!,6,FALSE)&gt;2,HLOOKUP($A111,#REF!,6,FALSE)&lt;-2),"",#REF!),"")</f>
        <v/>
      </c>
      <c r="I111" t="str">
        <f>IFERROR(IF(OR(HLOOKUP($A111,#REF!,7,FALSE)&gt;2,HLOOKUP($A111,#REF!,7,FALSE)&lt;-2),"",#REF!),"")</f>
        <v/>
      </c>
      <c r="J111" t="str">
        <f>IFERROR(IF(OR(HLOOKUP($A111,#REF!,8,FALSE)&gt;2,HLOOKUP($A111,#REF!,8,FALSE)&lt;-2),"",#REF!),"")</f>
        <v/>
      </c>
      <c r="K111" t="str">
        <f>IFERROR(IF(OR(HLOOKUP($A111,#REF!,9,FALSE)&gt;2,HLOOKUP($A111,#REF!,9,FALSE)&lt;-2),"",#REF!),"")</f>
        <v/>
      </c>
      <c r="L111" t="str">
        <f>IFERROR(IF(OR(HLOOKUP($A111,#REF!,10,FALSE)&gt;2,HLOOKUP($A111,#REF!,10,FALSE)&lt;-2),"",#REF!),"")</f>
        <v/>
      </c>
      <c r="M111" t="str">
        <f>IFERROR(IF(OR(HLOOKUP($A111,#REF!,11,FALSE)&gt;2,HLOOKUP($A111,#REF!,11,FALSE)&lt;-2),"",#REF!),"")</f>
        <v/>
      </c>
      <c r="N111" t="str">
        <f>IFERROR(IF(OR(HLOOKUP($A111,#REF!,12,FALSE)&gt;2,HLOOKUP($A111,#REF!,12,FALSE)&lt;-2),"",#REF!),"")</f>
        <v/>
      </c>
      <c r="O111" t="str">
        <f>IFERROR(IF(OR(HLOOKUP($A111,#REF!,13,FALSE)&gt;2,HLOOKUP($A111,#REF!,13,FALSE)&lt;-2),"",#REF!),"")</f>
        <v/>
      </c>
      <c r="P111" t="str">
        <f>IFERROR(IF(OR(HLOOKUP($A111,#REF!,14,FALSE)&gt;2,HLOOKUP($A111,#REF!,14,FALSE)&lt;-2),"",#REF!),"")</f>
        <v/>
      </c>
      <c r="Q111" t="str">
        <f>IFERROR(IF(OR(HLOOKUP($A111,#REF!,15,FALSE)&gt;2,HLOOKUP($A111,#REF!,15,FALSE)&lt;-2),"",#REF!),"")</f>
        <v/>
      </c>
      <c r="R111" t="str">
        <f>IFERROR(IF(OR(HLOOKUP($A111,#REF!,16,FALSE)&gt;2,HLOOKUP($A111,#REF!,16,FALSE)&lt;-2),"",#REF!),"")</f>
        <v/>
      </c>
      <c r="S111" t="str">
        <f>IFERROR(IF(OR(HLOOKUP($A111,#REF!,17,FALSE)&gt;2,HLOOKUP($A111,#REF!,17,FALSE)&lt;-2),"",#REF!),"")</f>
        <v/>
      </c>
      <c r="T111" t="str">
        <f>IFERROR(IF(OR(HLOOKUP($A111,#REF!,18,FALSE)&gt;2,HLOOKUP($A111,#REF!,18,FALSE)&lt;-2),"",#REF!),"")</f>
        <v/>
      </c>
      <c r="U111" t="str">
        <f>IFERROR(IF(OR(HLOOKUP($A111,#REF!,19,FALSE)&gt;2,HLOOKUP($A111,#REF!,19,FALSE)&lt;-2),"",#REF!),"")</f>
        <v/>
      </c>
      <c r="V111">
        <f t="shared" si="4"/>
        <v>1</v>
      </c>
      <c r="W111" t="str">
        <f t="shared" si="5"/>
        <v/>
      </c>
      <c r="X111" t="str">
        <f t="shared" si="6"/>
        <v/>
      </c>
      <c r="Y111" t="str">
        <f t="shared" si="7"/>
        <v/>
      </c>
    </row>
    <row r="112" spans="1:25" x14ac:dyDescent="0.35">
      <c r="A112">
        <v>114</v>
      </c>
      <c r="B112" t="s">
        <v>69</v>
      </c>
      <c r="C112">
        <v>86900</v>
      </c>
      <c r="D112">
        <v>398</v>
      </c>
      <c r="E112" t="str">
        <f>IFERROR(IF(OR(HLOOKUP($A112,#REF!,3,FALSE)&gt;2,HLOOKUP(A112,#REF!,3,FALSE)&lt;-2),"",#REF!),"")</f>
        <v/>
      </c>
      <c r="F112" t="str">
        <f>IFERROR(IF(OR(HLOOKUP($A112,#REF!,4,FALSE)&gt;2,HLOOKUP($A112,#REF!,4,FALSE)&lt;-2),"",#REF!),"")</f>
        <v/>
      </c>
      <c r="G112" t="str">
        <f>IFERROR(IF(OR(HLOOKUP($A112,#REF!,5,FALSE)&gt;2,HLOOKUP($A112,#REF!,5,FALSE)&lt;-2),"",#REF!),"")</f>
        <v/>
      </c>
      <c r="H112" t="str">
        <f>IFERROR(IF(OR(HLOOKUP($A112,#REF!,6,FALSE)&gt;2,HLOOKUP($A112,#REF!,6,FALSE)&lt;-2),"",#REF!),"")</f>
        <v/>
      </c>
      <c r="I112" t="str">
        <f>IFERROR(IF(OR(HLOOKUP($A112,#REF!,7,FALSE)&gt;2,HLOOKUP($A112,#REF!,7,FALSE)&lt;-2),"",#REF!),"")</f>
        <v/>
      </c>
      <c r="J112" t="str">
        <f>IFERROR(IF(OR(HLOOKUP($A112,#REF!,8,FALSE)&gt;2,HLOOKUP($A112,#REF!,8,FALSE)&lt;-2),"",#REF!),"")</f>
        <v/>
      </c>
      <c r="K112" t="str">
        <f>IFERROR(IF(OR(HLOOKUP($A112,#REF!,9,FALSE)&gt;2,HLOOKUP($A112,#REF!,9,FALSE)&lt;-2),"",#REF!),"")</f>
        <v/>
      </c>
      <c r="L112" t="str">
        <f>IFERROR(IF(OR(HLOOKUP($A112,#REF!,10,FALSE)&gt;2,HLOOKUP($A112,#REF!,10,FALSE)&lt;-2),"",#REF!),"")</f>
        <v/>
      </c>
      <c r="M112" t="str">
        <f>IFERROR(IF(OR(HLOOKUP($A112,#REF!,11,FALSE)&gt;2,HLOOKUP($A112,#REF!,11,FALSE)&lt;-2),"",#REF!),"")</f>
        <v/>
      </c>
      <c r="N112" t="str">
        <f>IFERROR(IF(OR(HLOOKUP($A112,#REF!,12,FALSE)&gt;2,HLOOKUP($A112,#REF!,12,FALSE)&lt;-2),"",#REF!),"")</f>
        <v/>
      </c>
      <c r="O112" t="str">
        <f>IFERROR(IF(OR(HLOOKUP($A112,#REF!,13,FALSE)&gt;2,HLOOKUP($A112,#REF!,13,FALSE)&lt;-2),"",#REF!),"")</f>
        <v/>
      </c>
      <c r="P112" t="str">
        <f>IFERROR(IF(OR(HLOOKUP($A112,#REF!,14,FALSE)&gt;2,HLOOKUP($A112,#REF!,14,FALSE)&lt;-2),"",#REF!),"")</f>
        <v/>
      </c>
      <c r="Q112" t="str">
        <f>IFERROR(IF(OR(HLOOKUP($A112,#REF!,15,FALSE)&gt;2,HLOOKUP($A112,#REF!,15,FALSE)&lt;-2),"",#REF!),"")</f>
        <v/>
      </c>
      <c r="R112" t="str">
        <f>IFERROR(IF(OR(HLOOKUP($A112,#REF!,16,FALSE)&gt;2,HLOOKUP($A112,#REF!,16,FALSE)&lt;-2),"",#REF!),"")</f>
        <v/>
      </c>
      <c r="S112" t="str">
        <f>IFERROR(IF(OR(HLOOKUP($A112,#REF!,17,FALSE)&gt;2,HLOOKUP($A112,#REF!,17,FALSE)&lt;-2),"",#REF!),"")</f>
        <v/>
      </c>
      <c r="T112" t="str">
        <f>IFERROR(IF(OR(HLOOKUP($A112,#REF!,18,FALSE)&gt;2,HLOOKUP($A112,#REF!,18,FALSE)&lt;-2),"",#REF!),"")</f>
        <v/>
      </c>
      <c r="U112" t="str">
        <f>IFERROR(IF(OR(HLOOKUP($A112,#REF!,19,FALSE)&gt;2,HLOOKUP($A112,#REF!,19,FALSE)&lt;-2),"",#REF!),"")</f>
        <v/>
      </c>
      <c r="V112">
        <f t="shared" si="4"/>
        <v>1</v>
      </c>
      <c r="W112" t="str">
        <f t="shared" si="5"/>
        <v/>
      </c>
      <c r="X112" t="str">
        <f t="shared" si="6"/>
        <v/>
      </c>
      <c r="Y112" t="str">
        <f t="shared" si="7"/>
        <v/>
      </c>
    </row>
    <row r="113" spans="1:25" x14ac:dyDescent="0.35">
      <c r="A113">
        <v>115</v>
      </c>
      <c r="B113" t="s">
        <v>70</v>
      </c>
      <c r="C113">
        <v>83000</v>
      </c>
      <c r="D113">
        <v>323</v>
      </c>
      <c r="E113" t="str">
        <f>IFERROR(IF(OR(HLOOKUP($A113,#REF!,3,FALSE)&gt;2,HLOOKUP(A113,#REF!,3,FALSE)&lt;-2),"",#REF!),"")</f>
        <v/>
      </c>
      <c r="F113" t="str">
        <f>IFERROR(IF(OR(HLOOKUP($A113,#REF!,4,FALSE)&gt;2,HLOOKUP($A113,#REF!,4,FALSE)&lt;-2),"",#REF!),"")</f>
        <v/>
      </c>
      <c r="G113" t="str">
        <f>IFERROR(IF(OR(HLOOKUP($A113,#REF!,5,FALSE)&gt;2,HLOOKUP($A113,#REF!,5,FALSE)&lt;-2),"",#REF!),"")</f>
        <v/>
      </c>
      <c r="H113" t="str">
        <f>IFERROR(IF(OR(HLOOKUP($A113,#REF!,6,FALSE)&gt;2,HLOOKUP($A113,#REF!,6,FALSE)&lt;-2),"",#REF!),"")</f>
        <v/>
      </c>
      <c r="I113" t="str">
        <f>IFERROR(IF(OR(HLOOKUP($A113,#REF!,7,FALSE)&gt;2,HLOOKUP($A113,#REF!,7,FALSE)&lt;-2),"",#REF!),"")</f>
        <v/>
      </c>
      <c r="J113" t="str">
        <f>IFERROR(IF(OR(HLOOKUP($A113,#REF!,8,FALSE)&gt;2,HLOOKUP($A113,#REF!,8,FALSE)&lt;-2),"",#REF!),"")</f>
        <v/>
      </c>
      <c r="K113" t="str">
        <f>IFERROR(IF(OR(HLOOKUP($A113,#REF!,9,FALSE)&gt;2,HLOOKUP($A113,#REF!,9,FALSE)&lt;-2),"",#REF!),"")</f>
        <v/>
      </c>
      <c r="L113" t="str">
        <f>IFERROR(IF(OR(HLOOKUP($A113,#REF!,10,FALSE)&gt;2,HLOOKUP($A113,#REF!,10,FALSE)&lt;-2),"",#REF!),"")</f>
        <v/>
      </c>
      <c r="M113" t="str">
        <f>IFERROR(IF(OR(HLOOKUP($A113,#REF!,11,FALSE)&gt;2,HLOOKUP($A113,#REF!,11,FALSE)&lt;-2),"",#REF!),"")</f>
        <v/>
      </c>
      <c r="N113" t="str">
        <f>IFERROR(IF(OR(HLOOKUP($A113,#REF!,12,FALSE)&gt;2,HLOOKUP($A113,#REF!,12,FALSE)&lt;-2),"",#REF!),"")</f>
        <v/>
      </c>
      <c r="O113" t="str">
        <f>IFERROR(IF(OR(HLOOKUP($A113,#REF!,13,FALSE)&gt;2,HLOOKUP($A113,#REF!,13,FALSE)&lt;-2),"",#REF!),"")</f>
        <v/>
      </c>
      <c r="P113" t="str">
        <f>IFERROR(IF(OR(HLOOKUP($A113,#REF!,14,FALSE)&gt;2,HLOOKUP($A113,#REF!,14,FALSE)&lt;-2),"",#REF!),"")</f>
        <v/>
      </c>
      <c r="Q113" t="str">
        <f>IFERROR(IF(OR(HLOOKUP($A113,#REF!,15,FALSE)&gt;2,HLOOKUP($A113,#REF!,15,FALSE)&lt;-2),"",#REF!),"")</f>
        <v/>
      </c>
      <c r="R113" t="str">
        <f>IFERROR(IF(OR(HLOOKUP($A113,#REF!,16,FALSE)&gt;2,HLOOKUP($A113,#REF!,16,FALSE)&lt;-2),"",#REF!),"")</f>
        <v/>
      </c>
      <c r="S113" t="str">
        <f>IFERROR(IF(OR(HLOOKUP($A113,#REF!,17,FALSE)&gt;2,HLOOKUP($A113,#REF!,17,FALSE)&lt;-2),"",#REF!),"")</f>
        <v/>
      </c>
      <c r="T113" t="str">
        <f>IFERROR(IF(OR(HLOOKUP($A113,#REF!,18,FALSE)&gt;2,HLOOKUP($A113,#REF!,18,FALSE)&lt;-2),"",#REF!),"")</f>
        <v/>
      </c>
      <c r="U113" t="str">
        <f>IFERROR(IF(OR(HLOOKUP($A113,#REF!,19,FALSE)&gt;2,HLOOKUP($A113,#REF!,19,FALSE)&lt;-2),"",#REF!),"")</f>
        <v/>
      </c>
      <c r="V113">
        <f t="shared" si="4"/>
        <v>1</v>
      </c>
      <c r="W113" t="str">
        <f t="shared" si="5"/>
        <v/>
      </c>
      <c r="X113" t="str">
        <f t="shared" si="6"/>
        <v/>
      </c>
      <c r="Y113" t="str">
        <f t="shared" si="7"/>
        <v/>
      </c>
    </row>
    <row r="114" spans="1:25" x14ac:dyDescent="0.35">
      <c r="A114">
        <v>116</v>
      </c>
      <c r="B114" t="s">
        <v>646</v>
      </c>
      <c r="C114">
        <v>116300</v>
      </c>
      <c r="D114">
        <v>81</v>
      </c>
      <c r="E114" t="str">
        <f>IFERROR(IF(OR(HLOOKUP($A114,#REF!,3,FALSE)&gt;2,HLOOKUP(A114,#REF!,3,FALSE)&lt;-2),"",#REF!),"")</f>
        <v/>
      </c>
      <c r="F114" t="str">
        <f>IFERROR(IF(OR(HLOOKUP($A114,#REF!,4,FALSE)&gt;2,HLOOKUP($A114,#REF!,4,FALSE)&lt;-2),"",#REF!),"")</f>
        <v/>
      </c>
      <c r="G114" t="str">
        <f>IFERROR(IF(OR(HLOOKUP($A114,#REF!,5,FALSE)&gt;2,HLOOKUP($A114,#REF!,5,FALSE)&lt;-2),"",#REF!),"")</f>
        <v/>
      </c>
      <c r="H114" t="str">
        <f>IFERROR(IF(OR(HLOOKUP($A114,#REF!,6,FALSE)&gt;2,HLOOKUP($A114,#REF!,6,FALSE)&lt;-2),"",#REF!),"")</f>
        <v/>
      </c>
      <c r="I114" t="str">
        <f>IFERROR(IF(OR(HLOOKUP($A114,#REF!,7,FALSE)&gt;2,HLOOKUP($A114,#REF!,7,FALSE)&lt;-2),"",#REF!),"")</f>
        <v/>
      </c>
      <c r="J114" t="str">
        <f>IFERROR(IF(OR(HLOOKUP($A114,#REF!,8,FALSE)&gt;2,HLOOKUP($A114,#REF!,8,FALSE)&lt;-2),"",#REF!),"")</f>
        <v/>
      </c>
      <c r="K114" t="str">
        <f>IFERROR(IF(OR(HLOOKUP($A114,#REF!,9,FALSE)&gt;2,HLOOKUP($A114,#REF!,9,FALSE)&lt;-2),"",#REF!),"")</f>
        <v/>
      </c>
      <c r="L114" t="str">
        <f>IFERROR(IF(OR(HLOOKUP($A114,#REF!,10,FALSE)&gt;2,HLOOKUP($A114,#REF!,10,FALSE)&lt;-2),"",#REF!),"")</f>
        <v/>
      </c>
      <c r="M114" t="str">
        <f>IFERROR(IF(OR(HLOOKUP($A114,#REF!,11,FALSE)&gt;2,HLOOKUP($A114,#REF!,11,FALSE)&lt;-2),"",#REF!),"")</f>
        <v/>
      </c>
      <c r="N114" t="str">
        <f>IFERROR(IF(OR(HLOOKUP($A114,#REF!,12,FALSE)&gt;2,HLOOKUP($A114,#REF!,12,FALSE)&lt;-2),"",#REF!),"")</f>
        <v/>
      </c>
      <c r="O114" t="str">
        <f>IFERROR(IF(OR(HLOOKUP($A114,#REF!,13,FALSE)&gt;2,HLOOKUP($A114,#REF!,13,FALSE)&lt;-2),"",#REF!),"")</f>
        <v/>
      </c>
      <c r="P114" t="str">
        <f>IFERROR(IF(OR(HLOOKUP($A114,#REF!,14,FALSE)&gt;2,HLOOKUP($A114,#REF!,14,FALSE)&lt;-2),"",#REF!),"")</f>
        <v/>
      </c>
      <c r="Q114" t="str">
        <f>IFERROR(IF(OR(HLOOKUP($A114,#REF!,15,FALSE)&gt;2,HLOOKUP($A114,#REF!,15,FALSE)&lt;-2),"",#REF!),"")</f>
        <v/>
      </c>
      <c r="R114" t="str">
        <f>IFERROR(IF(OR(HLOOKUP($A114,#REF!,16,FALSE)&gt;2,HLOOKUP($A114,#REF!,16,FALSE)&lt;-2),"",#REF!),"")</f>
        <v/>
      </c>
      <c r="S114" t="str">
        <f>IFERROR(IF(OR(HLOOKUP($A114,#REF!,17,FALSE)&gt;2,HLOOKUP($A114,#REF!,17,FALSE)&lt;-2),"",#REF!),"")</f>
        <v/>
      </c>
      <c r="T114" t="str">
        <f>IFERROR(IF(OR(HLOOKUP($A114,#REF!,18,FALSE)&gt;2,HLOOKUP($A114,#REF!,18,FALSE)&lt;-2),"",#REF!),"")</f>
        <v/>
      </c>
      <c r="U114" t="str">
        <f>IFERROR(IF(OR(HLOOKUP($A114,#REF!,19,FALSE)&gt;2,HLOOKUP($A114,#REF!,19,FALSE)&lt;-2),"",#REF!),"")</f>
        <v/>
      </c>
      <c r="V114">
        <f t="shared" si="4"/>
        <v>1</v>
      </c>
      <c r="W114" t="str">
        <f t="shared" si="5"/>
        <v/>
      </c>
      <c r="X114" t="str">
        <f t="shared" si="6"/>
        <v/>
      </c>
      <c r="Y114" t="str">
        <f t="shared" si="7"/>
        <v/>
      </c>
    </row>
    <row r="115" spans="1:25" x14ac:dyDescent="0.35">
      <c r="A115">
        <v>117</v>
      </c>
      <c r="B115" t="s">
        <v>71</v>
      </c>
      <c r="C115">
        <v>98700</v>
      </c>
      <c r="D115">
        <v>848</v>
      </c>
      <c r="E115" t="str">
        <f>IFERROR(IF(OR(HLOOKUP($A115,#REF!,3,FALSE)&gt;2,HLOOKUP(A115,#REF!,3,FALSE)&lt;-2),"",#REF!),"")</f>
        <v/>
      </c>
      <c r="F115" t="str">
        <f>IFERROR(IF(OR(HLOOKUP($A115,#REF!,4,FALSE)&gt;2,HLOOKUP($A115,#REF!,4,FALSE)&lt;-2),"",#REF!),"")</f>
        <v/>
      </c>
      <c r="G115" t="str">
        <f>IFERROR(IF(OR(HLOOKUP($A115,#REF!,5,FALSE)&gt;2,HLOOKUP($A115,#REF!,5,FALSE)&lt;-2),"",#REF!),"")</f>
        <v/>
      </c>
      <c r="H115" t="str">
        <f>IFERROR(IF(OR(HLOOKUP($A115,#REF!,6,FALSE)&gt;2,HLOOKUP($A115,#REF!,6,FALSE)&lt;-2),"",#REF!),"")</f>
        <v/>
      </c>
      <c r="I115" t="str">
        <f>IFERROR(IF(OR(HLOOKUP($A115,#REF!,7,FALSE)&gt;2,HLOOKUP($A115,#REF!,7,FALSE)&lt;-2),"",#REF!),"")</f>
        <v/>
      </c>
      <c r="J115" t="str">
        <f>IFERROR(IF(OR(HLOOKUP($A115,#REF!,8,FALSE)&gt;2,HLOOKUP($A115,#REF!,8,FALSE)&lt;-2),"",#REF!),"")</f>
        <v/>
      </c>
      <c r="K115" t="str">
        <f>IFERROR(IF(OR(HLOOKUP($A115,#REF!,9,FALSE)&gt;2,HLOOKUP($A115,#REF!,9,FALSE)&lt;-2),"",#REF!),"")</f>
        <v/>
      </c>
      <c r="L115" t="str">
        <f>IFERROR(IF(OR(HLOOKUP($A115,#REF!,10,FALSE)&gt;2,HLOOKUP($A115,#REF!,10,FALSE)&lt;-2),"",#REF!),"")</f>
        <v/>
      </c>
      <c r="M115" t="str">
        <f>IFERROR(IF(OR(HLOOKUP($A115,#REF!,11,FALSE)&gt;2,HLOOKUP($A115,#REF!,11,FALSE)&lt;-2),"",#REF!),"")</f>
        <v/>
      </c>
      <c r="N115" t="str">
        <f>IFERROR(IF(OR(HLOOKUP($A115,#REF!,12,FALSE)&gt;2,HLOOKUP($A115,#REF!,12,FALSE)&lt;-2),"",#REF!),"")</f>
        <v/>
      </c>
      <c r="O115" t="str">
        <f>IFERROR(IF(OR(HLOOKUP($A115,#REF!,13,FALSE)&gt;2,HLOOKUP($A115,#REF!,13,FALSE)&lt;-2),"",#REF!),"")</f>
        <v/>
      </c>
      <c r="P115" t="str">
        <f>IFERROR(IF(OR(HLOOKUP($A115,#REF!,14,FALSE)&gt;2,HLOOKUP($A115,#REF!,14,FALSE)&lt;-2),"",#REF!),"")</f>
        <v/>
      </c>
      <c r="Q115" t="str">
        <f>IFERROR(IF(OR(HLOOKUP($A115,#REF!,15,FALSE)&gt;2,HLOOKUP($A115,#REF!,15,FALSE)&lt;-2),"",#REF!),"")</f>
        <v/>
      </c>
      <c r="R115" t="str">
        <f>IFERROR(IF(OR(HLOOKUP($A115,#REF!,16,FALSE)&gt;2,HLOOKUP($A115,#REF!,16,FALSE)&lt;-2),"",#REF!),"")</f>
        <v/>
      </c>
      <c r="S115" t="str">
        <f>IFERROR(IF(OR(HLOOKUP($A115,#REF!,17,FALSE)&gt;2,HLOOKUP($A115,#REF!,17,FALSE)&lt;-2),"",#REF!),"")</f>
        <v/>
      </c>
      <c r="T115" t="str">
        <f>IFERROR(IF(OR(HLOOKUP($A115,#REF!,18,FALSE)&gt;2,HLOOKUP($A115,#REF!,18,FALSE)&lt;-2),"",#REF!),"")</f>
        <v/>
      </c>
      <c r="U115" t="str">
        <f>IFERROR(IF(OR(HLOOKUP($A115,#REF!,19,FALSE)&gt;2,HLOOKUP($A115,#REF!,19,FALSE)&lt;-2),"",#REF!),"")</f>
        <v/>
      </c>
      <c r="V115">
        <f t="shared" si="4"/>
        <v>1</v>
      </c>
      <c r="W115" t="str">
        <f t="shared" si="5"/>
        <v/>
      </c>
      <c r="X115" t="str">
        <f t="shared" si="6"/>
        <v/>
      </c>
      <c r="Y115" t="str">
        <f t="shared" si="7"/>
        <v/>
      </c>
    </row>
    <row r="116" spans="1:25" x14ac:dyDescent="0.35">
      <c r="A116">
        <v>118</v>
      </c>
      <c r="B116" t="s">
        <v>72</v>
      </c>
      <c r="C116">
        <v>71700</v>
      </c>
      <c r="D116">
        <v>157</v>
      </c>
      <c r="E116" t="str">
        <f>IFERROR(IF(OR(HLOOKUP($A116,#REF!,3,FALSE)&gt;2,HLOOKUP(A116,#REF!,3,FALSE)&lt;-2),"",#REF!),"")</f>
        <v/>
      </c>
      <c r="F116" t="str">
        <f>IFERROR(IF(OR(HLOOKUP($A116,#REF!,4,FALSE)&gt;2,HLOOKUP($A116,#REF!,4,FALSE)&lt;-2),"",#REF!),"")</f>
        <v/>
      </c>
      <c r="G116" t="str">
        <f>IFERROR(IF(OR(HLOOKUP($A116,#REF!,5,FALSE)&gt;2,HLOOKUP($A116,#REF!,5,FALSE)&lt;-2),"",#REF!),"")</f>
        <v/>
      </c>
      <c r="H116" t="str">
        <f>IFERROR(IF(OR(HLOOKUP($A116,#REF!,6,FALSE)&gt;2,HLOOKUP($A116,#REF!,6,FALSE)&lt;-2),"",#REF!),"")</f>
        <v/>
      </c>
      <c r="I116" t="str">
        <f>IFERROR(IF(OR(HLOOKUP($A116,#REF!,7,FALSE)&gt;2,HLOOKUP($A116,#REF!,7,FALSE)&lt;-2),"",#REF!),"")</f>
        <v/>
      </c>
      <c r="J116" t="str">
        <f>IFERROR(IF(OR(HLOOKUP($A116,#REF!,8,FALSE)&gt;2,HLOOKUP($A116,#REF!,8,FALSE)&lt;-2),"",#REF!),"")</f>
        <v/>
      </c>
      <c r="K116" t="str">
        <f>IFERROR(IF(OR(HLOOKUP($A116,#REF!,9,FALSE)&gt;2,HLOOKUP($A116,#REF!,9,FALSE)&lt;-2),"",#REF!),"")</f>
        <v/>
      </c>
      <c r="L116" t="str">
        <f>IFERROR(IF(OR(HLOOKUP($A116,#REF!,10,FALSE)&gt;2,HLOOKUP($A116,#REF!,10,FALSE)&lt;-2),"",#REF!),"")</f>
        <v/>
      </c>
      <c r="M116" t="str">
        <f>IFERROR(IF(OR(HLOOKUP($A116,#REF!,11,FALSE)&gt;2,HLOOKUP($A116,#REF!,11,FALSE)&lt;-2),"",#REF!),"")</f>
        <v/>
      </c>
      <c r="N116" t="str">
        <f>IFERROR(IF(OR(HLOOKUP($A116,#REF!,12,FALSE)&gt;2,HLOOKUP($A116,#REF!,12,FALSE)&lt;-2),"",#REF!),"")</f>
        <v/>
      </c>
      <c r="O116" t="str">
        <f>IFERROR(IF(OR(HLOOKUP($A116,#REF!,13,FALSE)&gt;2,HLOOKUP($A116,#REF!,13,FALSE)&lt;-2),"",#REF!),"")</f>
        <v/>
      </c>
      <c r="P116" t="str">
        <f>IFERROR(IF(OR(HLOOKUP($A116,#REF!,14,FALSE)&gt;2,HLOOKUP($A116,#REF!,14,FALSE)&lt;-2),"",#REF!),"")</f>
        <v/>
      </c>
      <c r="Q116" t="str">
        <f>IFERROR(IF(OR(HLOOKUP($A116,#REF!,15,FALSE)&gt;2,HLOOKUP($A116,#REF!,15,FALSE)&lt;-2),"",#REF!),"")</f>
        <v/>
      </c>
      <c r="R116" t="str">
        <f>IFERROR(IF(OR(HLOOKUP($A116,#REF!,16,FALSE)&gt;2,HLOOKUP($A116,#REF!,16,FALSE)&lt;-2),"",#REF!),"")</f>
        <v/>
      </c>
      <c r="S116" t="str">
        <f>IFERROR(IF(OR(HLOOKUP($A116,#REF!,17,FALSE)&gt;2,HLOOKUP($A116,#REF!,17,FALSE)&lt;-2),"",#REF!),"")</f>
        <v/>
      </c>
      <c r="T116" t="str">
        <f>IFERROR(IF(OR(HLOOKUP($A116,#REF!,18,FALSE)&gt;2,HLOOKUP($A116,#REF!,18,FALSE)&lt;-2),"",#REF!),"")</f>
        <v/>
      </c>
      <c r="U116" t="str">
        <f>IFERROR(IF(OR(HLOOKUP($A116,#REF!,19,FALSE)&gt;2,HLOOKUP($A116,#REF!,19,FALSE)&lt;-2),"",#REF!),"")</f>
        <v/>
      </c>
      <c r="V116">
        <f t="shared" si="4"/>
        <v>1</v>
      </c>
      <c r="W116" t="str">
        <f t="shared" si="5"/>
        <v/>
      </c>
      <c r="X116" t="str">
        <f t="shared" si="6"/>
        <v/>
      </c>
      <c r="Y116" t="str">
        <f t="shared" si="7"/>
        <v/>
      </c>
    </row>
    <row r="117" spans="1:25" x14ac:dyDescent="0.35">
      <c r="A117">
        <v>119</v>
      </c>
      <c r="B117" t="s">
        <v>647</v>
      </c>
      <c r="C117">
        <v>24600</v>
      </c>
      <c r="D117">
        <v>95</v>
      </c>
      <c r="E117" t="str">
        <f>IFERROR(IF(OR(HLOOKUP($A117,#REF!,3,FALSE)&gt;2,HLOOKUP(A117,#REF!,3,FALSE)&lt;-2),"",#REF!),"")</f>
        <v/>
      </c>
      <c r="F117" t="str">
        <f>IFERROR(IF(OR(HLOOKUP($A117,#REF!,4,FALSE)&gt;2,HLOOKUP($A117,#REF!,4,FALSE)&lt;-2),"",#REF!),"")</f>
        <v/>
      </c>
      <c r="G117" t="str">
        <f>IFERROR(IF(OR(HLOOKUP($A117,#REF!,5,FALSE)&gt;2,HLOOKUP($A117,#REF!,5,FALSE)&lt;-2),"",#REF!),"")</f>
        <v/>
      </c>
      <c r="H117" t="str">
        <f>IFERROR(IF(OR(HLOOKUP($A117,#REF!,6,FALSE)&gt;2,HLOOKUP($A117,#REF!,6,FALSE)&lt;-2),"",#REF!),"")</f>
        <v/>
      </c>
      <c r="I117" t="str">
        <f>IFERROR(IF(OR(HLOOKUP($A117,#REF!,7,FALSE)&gt;2,HLOOKUP($A117,#REF!,7,FALSE)&lt;-2),"",#REF!),"")</f>
        <v/>
      </c>
      <c r="J117" t="str">
        <f>IFERROR(IF(OR(HLOOKUP($A117,#REF!,8,FALSE)&gt;2,HLOOKUP($A117,#REF!,8,FALSE)&lt;-2),"",#REF!),"")</f>
        <v/>
      </c>
      <c r="K117" t="str">
        <f>IFERROR(IF(OR(HLOOKUP($A117,#REF!,9,FALSE)&gt;2,HLOOKUP($A117,#REF!,9,FALSE)&lt;-2),"",#REF!),"")</f>
        <v/>
      </c>
      <c r="L117" t="str">
        <f>IFERROR(IF(OR(HLOOKUP($A117,#REF!,10,FALSE)&gt;2,HLOOKUP($A117,#REF!,10,FALSE)&lt;-2),"",#REF!),"")</f>
        <v/>
      </c>
      <c r="M117" t="str">
        <f>IFERROR(IF(OR(HLOOKUP($A117,#REF!,11,FALSE)&gt;2,HLOOKUP($A117,#REF!,11,FALSE)&lt;-2),"",#REF!),"")</f>
        <v/>
      </c>
      <c r="N117" t="str">
        <f>IFERROR(IF(OR(HLOOKUP($A117,#REF!,12,FALSE)&gt;2,HLOOKUP($A117,#REF!,12,FALSE)&lt;-2),"",#REF!),"")</f>
        <v/>
      </c>
      <c r="O117" t="str">
        <f>IFERROR(IF(OR(HLOOKUP($A117,#REF!,13,FALSE)&gt;2,HLOOKUP($A117,#REF!,13,FALSE)&lt;-2),"",#REF!),"")</f>
        <v/>
      </c>
      <c r="P117" t="str">
        <f>IFERROR(IF(OR(HLOOKUP($A117,#REF!,14,FALSE)&gt;2,HLOOKUP($A117,#REF!,14,FALSE)&lt;-2),"",#REF!),"")</f>
        <v/>
      </c>
      <c r="Q117" t="str">
        <f>IFERROR(IF(OR(HLOOKUP($A117,#REF!,15,FALSE)&gt;2,HLOOKUP($A117,#REF!,15,FALSE)&lt;-2),"",#REF!),"")</f>
        <v/>
      </c>
      <c r="R117" t="str">
        <f>IFERROR(IF(OR(HLOOKUP($A117,#REF!,16,FALSE)&gt;2,HLOOKUP($A117,#REF!,16,FALSE)&lt;-2),"",#REF!),"")</f>
        <v/>
      </c>
      <c r="S117" t="str">
        <f>IFERROR(IF(OR(HLOOKUP($A117,#REF!,17,FALSE)&gt;2,HLOOKUP($A117,#REF!,17,FALSE)&lt;-2),"",#REF!),"")</f>
        <v/>
      </c>
      <c r="T117" t="str">
        <f>IFERROR(IF(OR(HLOOKUP($A117,#REF!,18,FALSE)&gt;2,HLOOKUP($A117,#REF!,18,FALSE)&lt;-2),"",#REF!),"")</f>
        <v/>
      </c>
      <c r="U117" t="str">
        <f>IFERROR(IF(OR(HLOOKUP($A117,#REF!,19,FALSE)&gt;2,HLOOKUP($A117,#REF!,19,FALSE)&lt;-2),"",#REF!),"")</f>
        <v/>
      </c>
      <c r="V117">
        <f t="shared" si="4"/>
        <v>1</v>
      </c>
      <c r="W117" t="str">
        <f t="shared" si="5"/>
        <v/>
      </c>
      <c r="X117" t="str">
        <f t="shared" si="6"/>
        <v/>
      </c>
      <c r="Y117" t="str">
        <f t="shared" si="7"/>
        <v/>
      </c>
    </row>
    <row r="118" spans="1:25" x14ac:dyDescent="0.35">
      <c r="A118">
        <v>120</v>
      </c>
      <c r="B118" t="s">
        <v>73</v>
      </c>
      <c r="C118">
        <v>24100</v>
      </c>
      <c r="D118">
        <v>111</v>
      </c>
      <c r="E118" t="str">
        <f>IFERROR(IF(OR(HLOOKUP($A118,#REF!,3,FALSE)&gt;2,HLOOKUP(A118,#REF!,3,FALSE)&lt;-2),"",#REF!),"")</f>
        <v/>
      </c>
      <c r="F118" t="str">
        <f>IFERROR(IF(OR(HLOOKUP($A118,#REF!,4,FALSE)&gt;2,HLOOKUP($A118,#REF!,4,FALSE)&lt;-2),"",#REF!),"")</f>
        <v/>
      </c>
      <c r="G118" t="str">
        <f>IFERROR(IF(OR(HLOOKUP($A118,#REF!,5,FALSE)&gt;2,HLOOKUP($A118,#REF!,5,FALSE)&lt;-2),"",#REF!),"")</f>
        <v/>
      </c>
      <c r="H118" t="str">
        <f>IFERROR(IF(OR(HLOOKUP($A118,#REF!,6,FALSE)&gt;2,HLOOKUP($A118,#REF!,6,FALSE)&lt;-2),"",#REF!),"")</f>
        <v/>
      </c>
      <c r="I118" t="str">
        <f>IFERROR(IF(OR(HLOOKUP($A118,#REF!,7,FALSE)&gt;2,HLOOKUP($A118,#REF!,7,FALSE)&lt;-2),"",#REF!),"")</f>
        <v/>
      </c>
      <c r="J118" t="str">
        <f>IFERROR(IF(OR(HLOOKUP($A118,#REF!,8,FALSE)&gt;2,HLOOKUP($A118,#REF!,8,FALSE)&lt;-2),"",#REF!),"")</f>
        <v/>
      </c>
      <c r="K118" t="str">
        <f>IFERROR(IF(OR(HLOOKUP($A118,#REF!,9,FALSE)&gt;2,HLOOKUP($A118,#REF!,9,FALSE)&lt;-2),"",#REF!),"")</f>
        <v/>
      </c>
      <c r="L118" t="str">
        <f>IFERROR(IF(OR(HLOOKUP($A118,#REF!,10,FALSE)&gt;2,HLOOKUP($A118,#REF!,10,FALSE)&lt;-2),"",#REF!),"")</f>
        <v/>
      </c>
      <c r="M118" t="str">
        <f>IFERROR(IF(OR(HLOOKUP($A118,#REF!,11,FALSE)&gt;2,HLOOKUP($A118,#REF!,11,FALSE)&lt;-2),"",#REF!),"")</f>
        <v/>
      </c>
      <c r="N118" t="str">
        <f>IFERROR(IF(OR(HLOOKUP($A118,#REF!,12,FALSE)&gt;2,HLOOKUP($A118,#REF!,12,FALSE)&lt;-2),"",#REF!),"")</f>
        <v/>
      </c>
      <c r="O118" t="str">
        <f>IFERROR(IF(OR(HLOOKUP($A118,#REF!,13,FALSE)&gt;2,HLOOKUP($A118,#REF!,13,FALSE)&lt;-2),"",#REF!),"")</f>
        <v/>
      </c>
      <c r="P118" t="str">
        <f>IFERROR(IF(OR(HLOOKUP($A118,#REF!,14,FALSE)&gt;2,HLOOKUP($A118,#REF!,14,FALSE)&lt;-2),"",#REF!),"")</f>
        <v/>
      </c>
      <c r="Q118" t="str">
        <f>IFERROR(IF(OR(HLOOKUP($A118,#REF!,15,FALSE)&gt;2,HLOOKUP($A118,#REF!,15,FALSE)&lt;-2),"",#REF!),"")</f>
        <v/>
      </c>
      <c r="R118" t="str">
        <f>IFERROR(IF(OR(HLOOKUP($A118,#REF!,16,FALSE)&gt;2,HLOOKUP($A118,#REF!,16,FALSE)&lt;-2),"",#REF!),"")</f>
        <v/>
      </c>
      <c r="S118" t="str">
        <f>IFERROR(IF(OR(HLOOKUP($A118,#REF!,17,FALSE)&gt;2,HLOOKUP($A118,#REF!,17,FALSE)&lt;-2),"",#REF!),"")</f>
        <v/>
      </c>
      <c r="T118" t="str">
        <f>IFERROR(IF(OR(HLOOKUP($A118,#REF!,18,FALSE)&gt;2,HLOOKUP($A118,#REF!,18,FALSE)&lt;-2),"",#REF!),"")</f>
        <v/>
      </c>
      <c r="U118" t="str">
        <f>IFERROR(IF(OR(HLOOKUP($A118,#REF!,19,FALSE)&gt;2,HLOOKUP($A118,#REF!,19,FALSE)&lt;-2),"",#REF!),"")</f>
        <v/>
      </c>
      <c r="V118">
        <f t="shared" si="4"/>
        <v>1</v>
      </c>
      <c r="W118" t="str">
        <f t="shared" si="5"/>
        <v/>
      </c>
      <c r="X118" t="str">
        <f t="shared" si="6"/>
        <v/>
      </c>
      <c r="Y118" t="str">
        <f t="shared" si="7"/>
        <v/>
      </c>
    </row>
    <row r="119" spans="1:25" x14ac:dyDescent="0.35">
      <c r="A119">
        <v>121</v>
      </c>
      <c r="B119" t="s">
        <v>74</v>
      </c>
      <c r="C119">
        <v>16100</v>
      </c>
      <c r="D119">
        <v>409</v>
      </c>
      <c r="E119" t="str">
        <f>IFERROR(IF(OR(HLOOKUP($A119,#REF!,3,FALSE)&gt;2,HLOOKUP(A119,#REF!,3,FALSE)&lt;-2),"",#REF!),"")</f>
        <v/>
      </c>
      <c r="F119" t="str">
        <f>IFERROR(IF(OR(HLOOKUP($A119,#REF!,4,FALSE)&gt;2,HLOOKUP($A119,#REF!,4,FALSE)&lt;-2),"",#REF!),"")</f>
        <v/>
      </c>
      <c r="G119" t="str">
        <f>IFERROR(IF(OR(HLOOKUP($A119,#REF!,5,FALSE)&gt;2,HLOOKUP($A119,#REF!,5,FALSE)&lt;-2),"",#REF!),"")</f>
        <v/>
      </c>
      <c r="H119" t="str">
        <f>IFERROR(IF(OR(HLOOKUP($A119,#REF!,6,FALSE)&gt;2,HLOOKUP($A119,#REF!,6,FALSE)&lt;-2),"",#REF!),"")</f>
        <v/>
      </c>
      <c r="I119" t="str">
        <f>IFERROR(IF(OR(HLOOKUP($A119,#REF!,7,FALSE)&gt;2,HLOOKUP($A119,#REF!,7,FALSE)&lt;-2),"",#REF!),"")</f>
        <v/>
      </c>
      <c r="J119" t="str">
        <f>IFERROR(IF(OR(HLOOKUP($A119,#REF!,8,FALSE)&gt;2,HLOOKUP($A119,#REF!,8,FALSE)&lt;-2),"",#REF!),"")</f>
        <v/>
      </c>
      <c r="K119" t="str">
        <f>IFERROR(IF(OR(HLOOKUP($A119,#REF!,9,FALSE)&gt;2,HLOOKUP($A119,#REF!,9,FALSE)&lt;-2),"",#REF!),"")</f>
        <v/>
      </c>
      <c r="L119" t="str">
        <f>IFERROR(IF(OR(HLOOKUP($A119,#REF!,10,FALSE)&gt;2,HLOOKUP($A119,#REF!,10,FALSE)&lt;-2),"",#REF!),"")</f>
        <v/>
      </c>
      <c r="M119" t="str">
        <f>IFERROR(IF(OR(HLOOKUP($A119,#REF!,11,FALSE)&gt;2,HLOOKUP($A119,#REF!,11,FALSE)&lt;-2),"",#REF!),"")</f>
        <v/>
      </c>
      <c r="N119" t="str">
        <f>IFERROR(IF(OR(HLOOKUP($A119,#REF!,12,FALSE)&gt;2,HLOOKUP($A119,#REF!,12,FALSE)&lt;-2),"",#REF!),"")</f>
        <v/>
      </c>
      <c r="O119" t="str">
        <f>IFERROR(IF(OR(HLOOKUP($A119,#REF!,13,FALSE)&gt;2,HLOOKUP($A119,#REF!,13,FALSE)&lt;-2),"",#REF!),"")</f>
        <v/>
      </c>
      <c r="P119" t="str">
        <f>IFERROR(IF(OR(HLOOKUP($A119,#REF!,14,FALSE)&gt;2,HLOOKUP($A119,#REF!,14,FALSE)&lt;-2),"",#REF!),"")</f>
        <v/>
      </c>
      <c r="Q119" t="str">
        <f>IFERROR(IF(OR(HLOOKUP($A119,#REF!,15,FALSE)&gt;2,HLOOKUP($A119,#REF!,15,FALSE)&lt;-2),"",#REF!),"")</f>
        <v/>
      </c>
      <c r="R119" t="str">
        <f>IFERROR(IF(OR(HLOOKUP($A119,#REF!,16,FALSE)&gt;2,HLOOKUP($A119,#REF!,16,FALSE)&lt;-2),"",#REF!),"")</f>
        <v/>
      </c>
      <c r="S119" t="str">
        <f>IFERROR(IF(OR(HLOOKUP($A119,#REF!,17,FALSE)&gt;2,HLOOKUP($A119,#REF!,17,FALSE)&lt;-2),"",#REF!),"")</f>
        <v/>
      </c>
      <c r="T119" t="str">
        <f>IFERROR(IF(OR(HLOOKUP($A119,#REF!,18,FALSE)&gt;2,HLOOKUP($A119,#REF!,18,FALSE)&lt;-2),"",#REF!),"")</f>
        <v/>
      </c>
      <c r="U119" t="str">
        <f>IFERROR(IF(OR(HLOOKUP($A119,#REF!,19,FALSE)&gt;2,HLOOKUP($A119,#REF!,19,FALSE)&lt;-2),"",#REF!),"")</f>
        <v/>
      </c>
      <c r="V119">
        <f t="shared" si="4"/>
        <v>1</v>
      </c>
      <c r="W119" t="str">
        <f t="shared" si="5"/>
        <v/>
      </c>
      <c r="X119" t="str">
        <f t="shared" si="6"/>
        <v/>
      </c>
      <c r="Y119" t="str">
        <f t="shared" si="7"/>
        <v/>
      </c>
    </row>
    <row r="120" spans="1:25" x14ac:dyDescent="0.35">
      <c r="A120">
        <v>122</v>
      </c>
      <c r="B120" t="s">
        <v>75</v>
      </c>
      <c r="C120">
        <v>86700</v>
      </c>
      <c r="D120">
        <v>398</v>
      </c>
      <c r="E120" t="str">
        <f>IFERROR(IF(OR(HLOOKUP($A120,#REF!,3,FALSE)&gt;2,HLOOKUP(A120,#REF!,3,FALSE)&lt;-2),"",#REF!),"")</f>
        <v/>
      </c>
      <c r="F120" t="str">
        <f>IFERROR(IF(OR(HLOOKUP($A120,#REF!,4,FALSE)&gt;2,HLOOKUP($A120,#REF!,4,FALSE)&lt;-2),"",#REF!),"")</f>
        <v/>
      </c>
      <c r="G120" t="str">
        <f>IFERROR(IF(OR(HLOOKUP($A120,#REF!,5,FALSE)&gt;2,HLOOKUP($A120,#REF!,5,FALSE)&lt;-2),"",#REF!),"")</f>
        <v/>
      </c>
      <c r="H120" t="str">
        <f>IFERROR(IF(OR(HLOOKUP($A120,#REF!,6,FALSE)&gt;2,HLOOKUP($A120,#REF!,6,FALSE)&lt;-2),"",#REF!),"")</f>
        <v/>
      </c>
      <c r="I120" t="str">
        <f>IFERROR(IF(OR(HLOOKUP($A120,#REF!,7,FALSE)&gt;2,HLOOKUP($A120,#REF!,7,FALSE)&lt;-2),"",#REF!),"")</f>
        <v/>
      </c>
      <c r="J120" t="str">
        <f>IFERROR(IF(OR(HLOOKUP($A120,#REF!,8,FALSE)&gt;2,HLOOKUP($A120,#REF!,8,FALSE)&lt;-2),"",#REF!),"")</f>
        <v/>
      </c>
      <c r="K120" t="str">
        <f>IFERROR(IF(OR(HLOOKUP($A120,#REF!,9,FALSE)&gt;2,HLOOKUP($A120,#REF!,9,FALSE)&lt;-2),"",#REF!),"")</f>
        <v/>
      </c>
      <c r="L120" t="str">
        <f>IFERROR(IF(OR(HLOOKUP($A120,#REF!,10,FALSE)&gt;2,HLOOKUP($A120,#REF!,10,FALSE)&lt;-2),"",#REF!),"")</f>
        <v/>
      </c>
      <c r="M120" t="str">
        <f>IFERROR(IF(OR(HLOOKUP($A120,#REF!,11,FALSE)&gt;2,HLOOKUP($A120,#REF!,11,FALSE)&lt;-2),"",#REF!),"")</f>
        <v/>
      </c>
      <c r="N120" t="str">
        <f>IFERROR(IF(OR(HLOOKUP($A120,#REF!,12,FALSE)&gt;2,HLOOKUP($A120,#REF!,12,FALSE)&lt;-2),"",#REF!),"")</f>
        <v/>
      </c>
      <c r="O120" t="str">
        <f>IFERROR(IF(OR(HLOOKUP($A120,#REF!,13,FALSE)&gt;2,HLOOKUP($A120,#REF!,13,FALSE)&lt;-2),"",#REF!),"")</f>
        <v/>
      </c>
      <c r="P120" t="str">
        <f>IFERROR(IF(OR(HLOOKUP($A120,#REF!,14,FALSE)&gt;2,HLOOKUP($A120,#REF!,14,FALSE)&lt;-2),"",#REF!),"")</f>
        <v/>
      </c>
      <c r="Q120" t="str">
        <f>IFERROR(IF(OR(HLOOKUP($A120,#REF!,15,FALSE)&gt;2,HLOOKUP($A120,#REF!,15,FALSE)&lt;-2),"",#REF!),"")</f>
        <v/>
      </c>
      <c r="R120" t="str">
        <f>IFERROR(IF(OR(HLOOKUP($A120,#REF!,16,FALSE)&gt;2,HLOOKUP($A120,#REF!,16,FALSE)&lt;-2),"",#REF!),"")</f>
        <v/>
      </c>
      <c r="S120" t="str">
        <f>IFERROR(IF(OR(HLOOKUP($A120,#REF!,17,FALSE)&gt;2,HLOOKUP($A120,#REF!,17,FALSE)&lt;-2),"",#REF!),"")</f>
        <v/>
      </c>
      <c r="T120" t="str">
        <f>IFERROR(IF(OR(HLOOKUP($A120,#REF!,18,FALSE)&gt;2,HLOOKUP($A120,#REF!,18,FALSE)&lt;-2),"",#REF!),"")</f>
        <v/>
      </c>
      <c r="U120" t="str">
        <f>IFERROR(IF(OR(HLOOKUP($A120,#REF!,19,FALSE)&gt;2,HLOOKUP($A120,#REF!,19,FALSE)&lt;-2),"",#REF!),"")</f>
        <v/>
      </c>
      <c r="V120">
        <f t="shared" si="4"/>
        <v>1</v>
      </c>
      <c r="W120" t="str">
        <f t="shared" si="5"/>
        <v/>
      </c>
      <c r="X120" t="str">
        <f t="shared" si="6"/>
        <v/>
      </c>
      <c r="Y120" t="str">
        <f t="shared" si="7"/>
        <v/>
      </c>
    </row>
    <row r="121" spans="1:25" x14ac:dyDescent="0.35">
      <c r="A121">
        <v>123</v>
      </c>
      <c r="B121" t="s">
        <v>648</v>
      </c>
      <c r="C121">
        <v>85500</v>
      </c>
      <c r="D121">
        <v>867</v>
      </c>
      <c r="E121" t="str">
        <f>IFERROR(IF(OR(HLOOKUP($A121,#REF!,3,FALSE)&gt;2,HLOOKUP(A121,#REF!,3,FALSE)&lt;-2),"",#REF!),"")</f>
        <v/>
      </c>
      <c r="F121" t="str">
        <f>IFERROR(IF(OR(HLOOKUP($A121,#REF!,4,FALSE)&gt;2,HLOOKUP($A121,#REF!,4,FALSE)&lt;-2),"",#REF!),"")</f>
        <v/>
      </c>
      <c r="G121" t="str">
        <f>IFERROR(IF(OR(HLOOKUP($A121,#REF!,5,FALSE)&gt;2,HLOOKUP($A121,#REF!,5,FALSE)&lt;-2),"",#REF!),"")</f>
        <v/>
      </c>
      <c r="H121" t="str">
        <f>IFERROR(IF(OR(HLOOKUP($A121,#REF!,6,FALSE)&gt;2,HLOOKUP($A121,#REF!,6,FALSE)&lt;-2),"",#REF!),"")</f>
        <v/>
      </c>
      <c r="I121" t="str">
        <f>IFERROR(IF(OR(HLOOKUP($A121,#REF!,7,FALSE)&gt;2,HLOOKUP($A121,#REF!,7,FALSE)&lt;-2),"",#REF!),"")</f>
        <v/>
      </c>
      <c r="J121" t="str">
        <f>IFERROR(IF(OR(HLOOKUP($A121,#REF!,8,FALSE)&gt;2,HLOOKUP($A121,#REF!,8,FALSE)&lt;-2),"",#REF!),"")</f>
        <v/>
      </c>
      <c r="K121" t="str">
        <f>IFERROR(IF(OR(HLOOKUP($A121,#REF!,9,FALSE)&gt;2,HLOOKUP($A121,#REF!,9,FALSE)&lt;-2),"",#REF!),"")</f>
        <v/>
      </c>
      <c r="L121" t="str">
        <f>IFERROR(IF(OR(HLOOKUP($A121,#REF!,10,FALSE)&gt;2,HLOOKUP($A121,#REF!,10,FALSE)&lt;-2),"",#REF!),"")</f>
        <v/>
      </c>
      <c r="M121" t="str">
        <f>IFERROR(IF(OR(HLOOKUP($A121,#REF!,11,FALSE)&gt;2,HLOOKUP($A121,#REF!,11,FALSE)&lt;-2),"",#REF!),"")</f>
        <v/>
      </c>
      <c r="N121" t="str">
        <f>IFERROR(IF(OR(HLOOKUP($A121,#REF!,12,FALSE)&gt;2,HLOOKUP($A121,#REF!,12,FALSE)&lt;-2),"",#REF!),"")</f>
        <v/>
      </c>
      <c r="O121" t="str">
        <f>IFERROR(IF(OR(HLOOKUP($A121,#REF!,13,FALSE)&gt;2,HLOOKUP($A121,#REF!,13,FALSE)&lt;-2),"",#REF!),"")</f>
        <v/>
      </c>
      <c r="P121" t="str">
        <f>IFERROR(IF(OR(HLOOKUP($A121,#REF!,14,FALSE)&gt;2,HLOOKUP($A121,#REF!,14,FALSE)&lt;-2),"",#REF!),"")</f>
        <v/>
      </c>
      <c r="Q121" t="str">
        <f>IFERROR(IF(OR(HLOOKUP($A121,#REF!,15,FALSE)&gt;2,HLOOKUP($A121,#REF!,15,FALSE)&lt;-2),"",#REF!),"")</f>
        <v/>
      </c>
      <c r="R121" t="str">
        <f>IFERROR(IF(OR(HLOOKUP($A121,#REF!,16,FALSE)&gt;2,HLOOKUP($A121,#REF!,16,FALSE)&lt;-2),"",#REF!),"")</f>
        <v/>
      </c>
      <c r="S121" t="str">
        <f>IFERROR(IF(OR(HLOOKUP($A121,#REF!,17,FALSE)&gt;2,HLOOKUP($A121,#REF!,17,FALSE)&lt;-2),"",#REF!),"")</f>
        <v/>
      </c>
      <c r="T121" t="str">
        <f>IFERROR(IF(OR(HLOOKUP($A121,#REF!,18,FALSE)&gt;2,HLOOKUP($A121,#REF!,18,FALSE)&lt;-2),"",#REF!),"")</f>
        <v/>
      </c>
      <c r="U121" t="str">
        <f>IFERROR(IF(OR(HLOOKUP($A121,#REF!,19,FALSE)&gt;2,HLOOKUP($A121,#REF!,19,FALSE)&lt;-2),"",#REF!),"")</f>
        <v/>
      </c>
      <c r="V121">
        <f t="shared" si="4"/>
        <v>1</v>
      </c>
      <c r="W121" t="str">
        <f t="shared" si="5"/>
        <v/>
      </c>
      <c r="X121" t="str">
        <f t="shared" si="6"/>
        <v/>
      </c>
      <c r="Y121" t="str">
        <f t="shared" si="7"/>
        <v/>
      </c>
    </row>
    <row r="122" spans="1:25" x14ac:dyDescent="0.35">
      <c r="A122">
        <v>124</v>
      </c>
      <c r="B122" t="s">
        <v>649</v>
      </c>
      <c r="C122">
        <v>116400</v>
      </c>
      <c r="D122">
        <v>73</v>
      </c>
      <c r="E122" t="str">
        <f>IFERROR(IF(OR(HLOOKUP($A122,#REF!,3,FALSE)&gt;2,HLOOKUP(A122,#REF!,3,FALSE)&lt;-2),"",#REF!),"")</f>
        <v/>
      </c>
      <c r="F122" t="str">
        <f>IFERROR(IF(OR(HLOOKUP($A122,#REF!,4,FALSE)&gt;2,HLOOKUP($A122,#REF!,4,FALSE)&lt;-2),"",#REF!),"")</f>
        <v/>
      </c>
      <c r="G122" t="str">
        <f>IFERROR(IF(OR(HLOOKUP($A122,#REF!,5,FALSE)&gt;2,HLOOKUP($A122,#REF!,5,FALSE)&lt;-2),"",#REF!),"")</f>
        <v/>
      </c>
      <c r="H122" t="str">
        <f>IFERROR(IF(OR(HLOOKUP($A122,#REF!,6,FALSE)&gt;2,HLOOKUP($A122,#REF!,6,FALSE)&lt;-2),"",#REF!),"")</f>
        <v/>
      </c>
      <c r="I122" t="str">
        <f>IFERROR(IF(OR(HLOOKUP($A122,#REF!,7,FALSE)&gt;2,HLOOKUP($A122,#REF!,7,FALSE)&lt;-2),"",#REF!),"")</f>
        <v/>
      </c>
      <c r="J122" t="str">
        <f>IFERROR(IF(OR(HLOOKUP($A122,#REF!,8,FALSE)&gt;2,HLOOKUP($A122,#REF!,8,FALSE)&lt;-2),"",#REF!),"")</f>
        <v/>
      </c>
      <c r="K122" t="str">
        <f>IFERROR(IF(OR(HLOOKUP($A122,#REF!,9,FALSE)&gt;2,HLOOKUP($A122,#REF!,9,FALSE)&lt;-2),"",#REF!),"")</f>
        <v/>
      </c>
      <c r="L122" t="str">
        <f>IFERROR(IF(OR(HLOOKUP($A122,#REF!,10,FALSE)&gt;2,HLOOKUP($A122,#REF!,10,FALSE)&lt;-2),"",#REF!),"")</f>
        <v/>
      </c>
      <c r="M122" t="str">
        <f>IFERROR(IF(OR(HLOOKUP($A122,#REF!,11,FALSE)&gt;2,HLOOKUP($A122,#REF!,11,FALSE)&lt;-2),"",#REF!),"")</f>
        <v/>
      </c>
      <c r="N122" t="str">
        <f>IFERROR(IF(OR(HLOOKUP($A122,#REF!,12,FALSE)&gt;2,HLOOKUP($A122,#REF!,12,FALSE)&lt;-2),"",#REF!),"")</f>
        <v/>
      </c>
      <c r="O122" t="str">
        <f>IFERROR(IF(OR(HLOOKUP($A122,#REF!,13,FALSE)&gt;2,HLOOKUP($A122,#REF!,13,FALSE)&lt;-2),"",#REF!),"")</f>
        <v/>
      </c>
      <c r="P122" t="str">
        <f>IFERROR(IF(OR(HLOOKUP($A122,#REF!,14,FALSE)&gt;2,HLOOKUP($A122,#REF!,14,FALSE)&lt;-2),"",#REF!),"")</f>
        <v/>
      </c>
      <c r="Q122" t="str">
        <f>IFERROR(IF(OR(HLOOKUP($A122,#REF!,15,FALSE)&gt;2,HLOOKUP($A122,#REF!,15,FALSE)&lt;-2),"",#REF!),"")</f>
        <v/>
      </c>
      <c r="R122" t="str">
        <f>IFERROR(IF(OR(HLOOKUP($A122,#REF!,16,FALSE)&gt;2,HLOOKUP($A122,#REF!,16,FALSE)&lt;-2),"",#REF!),"")</f>
        <v/>
      </c>
      <c r="S122" t="str">
        <f>IFERROR(IF(OR(HLOOKUP($A122,#REF!,17,FALSE)&gt;2,HLOOKUP($A122,#REF!,17,FALSE)&lt;-2),"",#REF!),"")</f>
        <v/>
      </c>
      <c r="T122" t="str">
        <f>IFERROR(IF(OR(HLOOKUP($A122,#REF!,18,FALSE)&gt;2,HLOOKUP($A122,#REF!,18,FALSE)&lt;-2),"",#REF!),"")</f>
        <v/>
      </c>
      <c r="U122" t="str">
        <f>IFERROR(IF(OR(HLOOKUP($A122,#REF!,19,FALSE)&gt;2,HLOOKUP($A122,#REF!,19,FALSE)&lt;-2),"",#REF!),"")</f>
        <v/>
      </c>
      <c r="V122">
        <f t="shared" si="4"/>
        <v>1</v>
      </c>
      <c r="W122" t="str">
        <f t="shared" si="5"/>
        <v/>
      </c>
      <c r="X122" t="str">
        <f t="shared" si="6"/>
        <v/>
      </c>
      <c r="Y122" t="str">
        <f t="shared" si="7"/>
        <v/>
      </c>
    </row>
    <row r="123" spans="1:25" x14ac:dyDescent="0.35">
      <c r="A123">
        <v>125</v>
      </c>
      <c r="B123" t="s">
        <v>76</v>
      </c>
      <c r="C123">
        <v>98800</v>
      </c>
      <c r="D123">
        <v>848</v>
      </c>
      <c r="E123" t="str">
        <f>IFERROR(IF(OR(HLOOKUP($A123,#REF!,3,FALSE)&gt;2,HLOOKUP(A123,#REF!,3,FALSE)&lt;-2),"",#REF!),"")</f>
        <v/>
      </c>
      <c r="F123" t="str">
        <f>IFERROR(IF(OR(HLOOKUP($A123,#REF!,4,FALSE)&gt;2,HLOOKUP($A123,#REF!,4,FALSE)&lt;-2),"",#REF!),"")</f>
        <v/>
      </c>
      <c r="G123" t="str">
        <f>IFERROR(IF(OR(HLOOKUP($A123,#REF!,5,FALSE)&gt;2,HLOOKUP($A123,#REF!,5,FALSE)&lt;-2),"",#REF!),"")</f>
        <v/>
      </c>
      <c r="H123" t="str">
        <f>IFERROR(IF(OR(HLOOKUP($A123,#REF!,6,FALSE)&gt;2,HLOOKUP($A123,#REF!,6,FALSE)&lt;-2),"",#REF!),"")</f>
        <v/>
      </c>
      <c r="I123" t="str">
        <f>IFERROR(IF(OR(HLOOKUP($A123,#REF!,7,FALSE)&gt;2,HLOOKUP($A123,#REF!,7,FALSE)&lt;-2),"",#REF!),"")</f>
        <v/>
      </c>
      <c r="J123" t="str">
        <f>IFERROR(IF(OR(HLOOKUP($A123,#REF!,8,FALSE)&gt;2,HLOOKUP($A123,#REF!,8,FALSE)&lt;-2),"",#REF!),"")</f>
        <v/>
      </c>
      <c r="K123" t="str">
        <f>IFERROR(IF(OR(HLOOKUP($A123,#REF!,9,FALSE)&gt;2,HLOOKUP($A123,#REF!,9,FALSE)&lt;-2),"",#REF!),"")</f>
        <v/>
      </c>
      <c r="L123" t="str">
        <f>IFERROR(IF(OR(HLOOKUP($A123,#REF!,10,FALSE)&gt;2,HLOOKUP($A123,#REF!,10,FALSE)&lt;-2),"",#REF!),"")</f>
        <v/>
      </c>
      <c r="M123" t="str">
        <f>IFERROR(IF(OR(HLOOKUP($A123,#REF!,11,FALSE)&gt;2,HLOOKUP($A123,#REF!,11,FALSE)&lt;-2),"",#REF!),"")</f>
        <v/>
      </c>
      <c r="N123" t="str">
        <f>IFERROR(IF(OR(HLOOKUP($A123,#REF!,12,FALSE)&gt;2,HLOOKUP($A123,#REF!,12,FALSE)&lt;-2),"",#REF!),"")</f>
        <v/>
      </c>
      <c r="O123" t="str">
        <f>IFERROR(IF(OR(HLOOKUP($A123,#REF!,13,FALSE)&gt;2,HLOOKUP($A123,#REF!,13,FALSE)&lt;-2),"",#REF!),"")</f>
        <v/>
      </c>
      <c r="P123" t="str">
        <f>IFERROR(IF(OR(HLOOKUP($A123,#REF!,14,FALSE)&gt;2,HLOOKUP($A123,#REF!,14,FALSE)&lt;-2),"",#REF!),"")</f>
        <v/>
      </c>
      <c r="Q123" t="str">
        <f>IFERROR(IF(OR(HLOOKUP($A123,#REF!,15,FALSE)&gt;2,HLOOKUP($A123,#REF!,15,FALSE)&lt;-2),"",#REF!),"")</f>
        <v/>
      </c>
      <c r="R123" t="str">
        <f>IFERROR(IF(OR(HLOOKUP($A123,#REF!,16,FALSE)&gt;2,HLOOKUP($A123,#REF!,16,FALSE)&lt;-2),"",#REF!),"")</f>
        <v/>
      </c>
      <c r="S123" t="str">
        <f>IFERROR(IF(OR(HLOOKUP($A123,#REF!,17,FALSE)&gt;2,HLOOKUP($A123,#REF!,17,FALSE)&lt;-2),"",#REF!),"")</f>
        <v/>
      </c>
      <c r="T123" t="str">
        <f>IFERROR(IF(OR(HLOOKUP($A123,#REF!,18,FALSE)&gt;2,HLOOKUP($A123,#REF!,18,FALSE)&lt;-2),"",#REF!),"")</f>
        <v/>
      </c>
      <c r="U123" t="str">
        <f>IFERROR(IF(OR(HLOOKUP($A123,#REF!,19,FALSE)&gt;2,HLOOKUP($A123,#REF!,19,FALSE)&lt;-2),"",#REF!),"")</f>
        <v/>
      </c>
      <c r="V123">
        <f t="shared" si="4"/>
        <v>1</v>
      </c>
      <c r="W123" t="str">
        <f t="shared" si="5"/>
        <v/>
      </c>
      <c r="X123" t="str">
        <f t="shared" si="6"/>
        <v/>
      </c>
      <c r="Y123" t="str">
        <f t="shared" si="7"/>
        <v/>
      </c>
    </row>
    <row r="124" spans="1:25" x14ac:dyDescent="0.35">
      <c r="A124">
        <v>126</v>
      </c>
      <c r="B124" t="s">
        <v>77</v>
      </c>
      <c r="C124">
        <v>73400</v>
      </c>
      <c r="D124">
        <v>141</v>
      </c>
      <c r="E124" t="str">
        <f>IFERROR(IF(OR(HLOOKUP($A124,#REF!,3,FALSE)&gt;2,HLOOKUP(A124,#REF!,3,FALSE)&lt;-2),"",#REF!),"")</f>
        <v/>
      </c>
      <c r="F124" t="str">
        <f>IFERROR(IF(OR(HLOOKUP($A124,#REF!,4,FALSE)&gt;2,HLOOKUP($A124,#REF!,4,FALSE)&lt;-2),"",#REF!),"")</f>
        <v/>
      </c>
      <c r="G124" t="str">
        <f>IFERROR(IF(OR(HLOOKUP($A124,#REF!,5,FALSE)&gt;2,HLOOKUP($A124,#REF!,5,FALSE)&lt;-2),"",#REF!),"")</f>
        <v/>
      </c>
      <c r="H124" t="str">
        <f>IFERROR(IF(OR(HLOOKUP($A124,#REF!,6,FALSE)&gt;2,HLOOKUP($A124,#REF!,6,FALSE)&lt;-2),"",#REF!),"")</f>
        <v/>
      </c>
      <c r="I124" t="str">
        <f>IFERROR(IF(OR(HLOOKUP($A124,#REF!,7,FALSE)&gt;2,HLOOKUP($A124,#REF!,7,FALSE)&lt;-2),"",#REF!),"")</f>
        <v/>
      </c>
      <c r="J124" t="str">
        <f>IFERROR(IF(OR(HLOOKUP($A124,#REF!,8,FALSE)&gt;2,HLOOKUP($A124,#REF!,8,FALSE)&lt;-2),"",#REF!),"")</f>
        <v/>
      </c>
      <c r="K124" t="str">
        <f>IFERROR(IF(OR(HLOOKUP($A124,#REF!,9,FALSE)&gt;2,HLOOKUP($A124,#REF!,9,FALSE)&lt;-2),"",#REF!),"")</f>
        <v/>
      </c>
      <c r="L124" t="str">
        <f>IFERROR(IF(OR(HLOOKUP($A124,#REF!,10,FALSE)&gt;2,HLOOKUP($A124,#REF!,10,FALSE)&lt;-2),"",#REF!),"")</f>
        <v/>
      </c>
      <c r="M124" t="str">
        <f>IFERROR(IF(OR(HLOOKUP($A124,#REF!,11,FALSE)&gt;2,HLOOKUP($A124,#REF!,11,FALSE)&lt;-2),"",#REF!),"")</f>
        <v/>
      </c>
      <c r="N124" t="str">
        <f>IFERROR(IF(OR(HLOOKUP($A124,#REF!,12,FALSE)&gt;2,HLOOKUP($A124,#REF!,12,FALSE)&lt;-2),"",#REF!),"")</f>
        <v/>
      </c>
      <c r="O124" t="str">
        <f>IFERROR(IF(OR(HLOOKUP($A124,#REF!,13,FALSE)&gt;2,HLOOKUP($A124,#REF!,13,FALSE)&lt;-2),"",#REF!),"")</f>
        <v/>
      </c>
      <c r="P124" t="str">
        <f>IFERROR(IF(OR(HLOOKUP($A124,#REF!,14,FALSE)&gt;2,HLOOKUP($A124,#REF!,14,FALSE)&lt;-2),"",#REF!),"")</f>
        <v/>
      </c>
      <c r="Q124" t="str">
        <f>IFERROR(IF(OR(HLOOKUP($A124,#REF!,15,FALSE)&gt;2,HLOOKUP($A124,#REF!,15,FALSE)&lt;-2),"",#REF!),"")</f>
        <v/>
      </c>
      <c r="R124" t="str">
        <f>IFERROR(IF(OR(HLOOKUP($A124,#REF!,16,FALSE)&gt;2,HLOOKUP($A124,#REF!,16,FALSE)&lt;-2),"",#REF!),"")</f>
        <v/>
      </c>
      <c r="S124" t="str">
        <f>IFERROR(IF(OR(HLOOKUP($A124,#REF!,17,FALSE)&gt;2,HLOOKUP($A124,#REF!,17,FALSE)&lt;-2),"",#REF!),"")</f>
        <v/>
      </c>
      <c r="T124" t="str">
        <f>IFERROR(IF(OR(HLOOKUP($A124,#REF!,18,FALSE)&gt;2,HLOOKUP($A124,#REF!,18,FALSE)&lt;-2),"",#REF!),"")</f>
        <v/>
      </c>
      <c r="U124" t="str">
        <f>IFERROR(IF(OR(HLOOKUP($A124,#REF!,19,FALSE)&gt;2,HLOOKUP($A124,#REF!,19,FALSE)&lt;-2),"",#REF!),"")</f>
        <v/>
      </c>
      <c r="V124">
        <f t="shared" si="4"/>
        <v>1</v>
      </c>
      <c r="W124" t="str">
        <f t="shared" si="5"/>
        <v/>
      </c>
      <c r="X124" t="str">
        <f t="shared" si="6"/>
        <v/>
      </c>
      <c r="Y124" t="str">
        <f t="shared" si="7"/>
        <v/>
      </c>
    </row>
    <row r="125" spans="1:25" x14ac:dyDescent="0.35">
      <c r="A125">
        <v>127</v>
      </c>
      <c r="B125" t="s">
        <v>78</v>
      </c>
      <c r="C125">
        <v>66400</v>
      </c>
      <c r="D125">
        <v>239</v>
      </c>
      <c r="E125" t="str">
        <f>IFERROR(IF(OR(HLOOKUP($A125,#REF!,3,FALSE)&gt;2,HLOOKUP(A125,#REF!,3,FALSE)&lt;-2),"",#REF!),"")</f>
        <v/>
      </c>
      <c r="F125" t="str">
        <f>IFERROR(IF(OR(HLOOKUP($A125,#REF!,4,FALSE)&gt;2,HLOOKUP($A125,#REF!,4,FALSE)&lt;-2),"",#REF!),"")</f>
        <v/>
      </c>
      <c r="G125" t="str">
        <f>IFERROR(IF(OR(HLOOKUP($A125,#REF!,5,FALSE)&gt;2,HLOOKUP($A125,#REF!,5,FALSE)&lt;-2),"",#REF!),"")</f>
        <v/>
      </c>
      <c r="H125" t="str">
        <f>IFERROR(IF(OR(HLOOKUP($A125,#REF!,6,FALSE)&gt;2,HLOOKUP($A125,#REF!,6,FALSE)&lt;-2),"",#REF!),"")</f>
        <v/>
      </c>
      <c r="I125" t="str">
        <f>IFERROR(IF(OR(HLOOKUP($A125,#REF!,7,FALSE)&gt;2,HLOOKUP($A125,#REF!,7,FALSE)&lt;-2),"",#REF!),"")</f>
        <v/>
      </c>
      <c r="J125" t="str">
        <f>IFERROR(IF(OR(HLOOKUP($A125,#REF!,8,FALSE)&gt;2,HLOOKUP($A125,#REF!,8,FALSE)&lt;-2),"",#REF!),"")</f>
        <v/>
      </c>
      <c r="K125" t="str">
        <f>IFERROR(IF(OR(HLOOKUP($A125,#REF!,9,FALSE)&gt;2,HLOOKUP($A125,#REF!,9,FALSE)&lt;-2),"",#REF!),"")</f>
        <v/>
      </c>
      <c r="L125" t="str">
        <f>IFERROR(IF(OR(HLOOKUP($A125,#REF!,10,FALSE)&gt;2,HLOOKUP($A125,#REF!,10,FALSE)&lt;-2),"",#REF!),"")</f>
        <v/>
      </c>
      <c r="M125" t="str">
        <f>IFERROR(IF(OR(HLOOKUP($A125,#REF!,11,FALSE)&gt;2,HLOOKUP($A125,#REF!,11,FALSE)&lt;-2),"",#REF!),"")</f>
        <v/>
      </c>
      <c r="N125" t="str">
        <f>IFERROR(IF(OR(HLOOKUP($A125,#REF!,12,FALSE)&gt;2,HLOOKUP($A125,#REF!,12,FALSE)&lt;-2),"",#REF!),"")</f>
        <v/>
      </c>
      <c r="O125" t="str">
        <f>IFERROR(IF(OR(HLOOKUP($A125,#REF!,13,FALSE)&gt;2,HLOOKUP($A125,#REF!,13,FALSE)&lt;-2),"",#REF!),"")</f>
        <v/>
      </c>
      <c r="P125" t="str">
        <f>IFERROR(IF(OR(HLOOKUP($A125,#REF!,14,FALSE)&gt;2,HLOOKUP($A125,#REF!,14,FALSE)&lt;-2),"",#REF!),"")</f>
        <v/>
      </c>
      <c r="Q125" t="str">
        <f>IFERROR(IF(OR(HLOOKUP($A125,#REF!,15,FALSE)&gt;2,HLOOKUP($A125,#REF!,15,FALSE)&lt;-2),"",#REF!),"")</f>
        <v/>
      </c>
      <c r="R125" t="str">
        <f>IFERROR(IF(OR(HLOOKUP($A125,#REF!,16,FALSE)&gt;2,HLOOKUP($A125,#REF!,16,FALSE)&lt;-2),"",#REF!),"")</f>
        <v/>
      </c>
      <c r="S125" t="str">
        <f>IFERROR(IF(OR(HLOOKUP($A125,#REF!,17,FALSE)&gt;2,HLOOKUP($A125,#REF!,17,FALSE)&lt;-2),"",#REF!),"")</f>
        <v/>
      </c>
      <c r="T125" t="str">
        <f>IFERROR(IF(OR(HLOOKUP($A125,#REF!,18,FALSE)&gt;2,HLOOKUP($A125,#REF!,18,FALSE)&lt;-2),"",#REF!),"")</f>
        <v/>
      </c>
      <c r="U125" t="str">
        <f>IFERROR(IF(OR(HLOOKUP($A125,#REF!,19,FALSE)&gt;2,HLOOKUP($A125,#REF!,19,FALSE)&lt;-2),"",#REF!),"")</f>
        <v/>
      </c>
      <c r="V125">
        <f t="shared" si="4"/>
        <v>1</v>
      </c>
      <c r="W125" t="str">
        <f t="shared" si="5"/>
        <v/>
      </c>
      <c r="X125" t="str">
        <f t="shared" si="6"/>
        <v/>
      </c>
      <c r="Y125" t="str">
        <f t="shared" si="7"/>
        <v/>
      </c>
    </row>
    <row r="126" spans="1:25" x14ac:dyDescent="0.35">
      <c r="A126">
        <v>128</v>
      </c>
      <c r="B126" t="s">
        <v>79</v>
      </c>
      <c r="C126">
        <v>80300</v>
      </c>
      <c r="D126">
        <v>323</v>
      </c>
      <c r="E126" t="str">
        <f>IFERROR(IF(OR(HLOOKUP($A126,#REF!,3,FALSE)&gt;2,HLOOKUP(A126,#REF!,3,FALSE)&lt;-2),"",#REF!),"")</f>
        <v/>
      </c>
      <c r="F126" t="str">
        <f>IFERROR(IF(OR(HLOOKUP($A126,#REF!,4,FALSE)&gt;2,HLOOKUP($A126,#REF!,4,FALSE)&lt;-2),"",#REF!),"")</f>
        <v/>
      </c>
      <c r="G126" t="str">
        <f>IFERROR(IF(OR(HLOOKUP($A126,#REF!,5,FALSE)&gt;2,HLOOKUP($A126,#REF!,5,FALSE)&lt;-2),"",#REF!),"")</f>
        <v/>
      </c>
      <c r="H126" t="str">
        <f>IFERROR(IF(OR(HLOOKUP($A126,#REF!,6,FALSE)&gt;2,HLOOKUP($A126,#REF!,6,FALSE)&lt;-2),"",#REF!),"")</f>
        <v/>
      </c>
      <c r="I126" t="str">
        <f>IFERROR(IF(OR(HLOOKUP($A126,#REF!,7,FALSE)&gt;2,HLOOKUP($A126,#REF!,7,FALSE)&lt;-2),"",#REF!),"")</f>
        <v/>
      </c>
      <c r="J126" t="str">
        <f>IFERROR(IF(OR(HLOOKUP($A126,#REF!,8,FALSE)&gt;2,HLOOKUP($A126,#REF!,8,FALSE)&lt;-2),"",#REF!),"")</f>
        <v/>
      </c>
      <c r="K126" t="str">
        <f>IFERROR(IF(OR(HLOOKUP($A126,#REF!,9,FALSE)&gt;2,HLOOKUP($A126,#REF!,9,FALSE)&lt;-2),"",#REF!),"")</f>
        <v/>
      </c>
      <c r="L126" t="str">
        <f>IFERROR(IF(OR(HLOOKUP($A126,#REF!,10,FALSE)&gt;2,HLOOKUP($A126,#REF!,10,FALSE)&lt;-2),"",#REF!),"")</f>
        <v/>
      </c>
      <c r="M126" t="str">
        <f>IFERROR(IF(OR(HLOOKUP($A126,#REF!,11,FALSE)&gt;2,HLOOKUP($A126,#REF!,11,FALSE)&lt;-2),"",#REF!),"")</f>
        <v/>
      </c>
      <c r="N126" t="str">
        <f>IFERROR(IF(OR(HLOOKUP($A126,#REF!,12,FALSE)&gt;2,HLOOKUP($A126,#REF!,12,FALSE)&lt;-2),"",#REF!),"")</f>
        <v/>
      </c>
      <c r="O126" t="str">
        <f>IFERROR(IF(OR(HLOOKUP($A126,#REF!,13,FALSE)&gt;2,HLOOKUP($A126,#REF!,13,FALSE)&lt;-2),"",#REF!),"")</f>
        <v/>
      </c>
      <c r="P126" t="str">
        <f>IFERROR(IF(OR(HLOOKUP($A126,#REF!,14,FALSE)&gt;2,HLOOKUP($A126,#REF!,14,FALSE)&lt;-2),"",#REF!),"")</f>
        <v/>
      </c>
      <c r="Q126" t="str">
        <f>IFERROR(IF(OR(HLOOKUP($A126,#REF!,15,FALSE)&gt;2,HLOOKUP($A126,#REF!,15,FALSE)&lt;-2),"",#REF!),"")</f>
        <v/>
      </c>
      <c r="R126" t="str">
        <f>IFERROR(IF(OR(HLOOKUP($A126,#REF!,16,FALSE)&gt;2,HLOOKUP($A126,#REF!,16,FALSE)&lt;-2),"",#REF!),"")</f>
        <v/>
      </c>
      <c r="S126" t="str">
        <f>IFERROR(IF(OR(HLOOKUP($A126,#REF!,17,FALSE)&gt;2,HLOOKUP($A126,#REF!,17,FALSE)&lt;-2),"",#REF!),"")</f>
        <v/>
      </c>
      <c r="T126" t="str">
        <f>IFERROR(IF(OR(HLOOKUP($A126,#REF!,18,FALSE)&gt;2,HLOOKUP($A126,#REF!,18,FALSE)&lt;-2),"",#REF!),"")</f>
        <v/>
      </c>
      <c r="U126" t="str">
        <f>IFERROR(IF(OR(HLOOKUP($A126,#REF!,19,FALSE)&gt;2,HLOOKUP($A126,#REF!,19,FALSE)&lt;-2),"",#REF!),"")</f>
        <v/>
      </c>
      <c r="V126">
        <f t="shared" si="4"/>
        <v>1</v>
      </c>
      <c r="W126" t="str">
        <f t="shared" si="5"/>
        <v/>
      </c>
      <c r="X126" t="str">
        <f t="shared" si="6"/>
        <v/>
      </c>
      <c r="Y126" t="str">
        <f t="shared" si="7"/>
        <v/>
      </c>
    </row>
    <row r="127" spans="1:25" x14ac:dyDescent="0.35">
      <c r="A127">
        <v>129</v>
      </c>
      <c r="B127" t="s">
        <v>80</v>
      </c>
      <c r="C127">
        <v>116500</v>
      </c>
      <c r="D127">
        <v>73</v>
      </c>
      <c r="E127" t="str">
        <f>IFERROR(IF(OR(HLOOKUP($A127,#REF!,3,FALSE)&gt;2,HLOOKUP(A127,#REF!,3,FALSE)&lt;-2),"",#REF!),"")</f>
        <v/>
      </c>
      <c r="F127" t="str">
        <f>IFERROR(IF(OR(HLOOKUP($A127,#REF!,4,FALSE)&gt;2,HLOOKUP($A127,#REF!,4,FALSE)&lt;-2),"",#REF!),"")</f>
        <v/>
      </c>
      <c r="G127" t="str">
        <f>IFERROR(IF(OR(HLOOKUP($A127,#REF!,5,FALSE)&gt;2,HLOOKUP($A127,#REF!,5,FALSE)&lt;-2),"",#REF!),"")</f>
        <v/>
      </c>
      <c r="H127" t="str">
        <f>IFERROR(IF(OR(HLOOKUP($A127,#REF!,6,FALSE)&gt;2,HLOOKUP($A127,#REF!,6,FALSE)&lt;-2),"",#REF!),"")</f>
        <v/>
      </c>
      <c r="I127" t="str">
        <f>IFERROR(IF(OR(HLOOKUP($A127,#REF!,7,FALSE)&gt;2,HLOOKUP($A127,#REF!,7,FALSE)&lt;-2),"",#REF!),"")</f>
        <v/>
      </c>
      <c r="J127" t="str">
        <f>IFERROR(IF(OR(HLOOKUP($A127,#REF!,8,FALSE)&gt;2,HLOOKUP($A127,#REF!,8,FALSE)&lt;-2),"",#REF!),"")</f>
        <v/>
      </c>
      <c r="K127" t="str">
        <f>IFERROR(IF(OR(HLOOKUP($A127,#REF!,9,FALSE)&gt;2,HLOOKUP($A127,#REF!,9,FALSE)&lt;-2),"",#REF!),"")</f>
        <v/>
      </c>
      <c r="L127" t="str">
        <f>IFERROR(IF(OR(HLOOKUP($A127,#REF!,10,FALSE)&gt;2,HLOOKUP($A127,#REF!,10,FALSE)&lt;-2),"",#REF!),"")</f>
        <v/>
      </c>
      <c r="M127" t="str">
        <f>IFERROR(IF(OR(HLOOKUP($A127,#REF!,11,FALSE)&gt;2,HLOOKUP($A127,#REF!,11,FALSE)&lt;-2),"",#REF!),"")</f>
        <v/>
      </c>
      <c r="N127" t="str">
        <f>IFERROR(IF(OR(HLOOKUP($A127,#REF!,12,FALSE)&gt;2,HLOOKUP($A127,#REF!,12,FALSE)&lt;-2),"",#REF!),"")</f>
        <v/>
      </c>
      <c r="O127" t="str">
        <f>IFERROR(IF(OR(HLOOKUP($A127,#REF!,13,FALSE)&gt;2,HLOOKUP($A127,#REF!,13,FALSE)&lt;-2),"",#REF!),"")</f>
        <v/>
      </c>
      <c r="P127" t="str">
        <f>IFERROR(IF(OR(HLOOKUP($A127,#REF!,14,FALSE)&gt;2,HLOOKUP($A127,#REF!,14,FALSE)&lt;-2),"",#REF!),"")</f>
        <v/>
      </c>
      <c r="Q127" t="str">
        <f>IFERROR(IF(OR(HLOOKUP($A127,#REF!,15,FALSE)&gt;2,HLOOKUP($A127,#REF!,15,FALSE)&lt;-2),"",#REF!),"")</f>
        <v/>
      </c>
      <c r="R127" t="str">
        <f>IFERROR(IF(OR(HLOOKUP($A127,#REF!,16,FALSE)&gt;2,HLOOKUP($A127,#REF!,16,FALSE)&lt;-2),"",#REF!),"")</f>
        <v/>
      </c>
      <c r="S127" t="str">
        <f>IFERROR(IF(OR(HLOOKUP($A127,#REF!,17,FALSE)&gt;2,HLOOKUP($A127,#REF!,17,FALSE)&lt;-2),"",#REF!),"")</f>
        <v/>
      </c>
      <c r="T127" t="str">
        <f>IFERROR(IF(OR(HLOOKUP($A127,#REF!,18,FALSE)&gt;2,HLOOKUP($A127,#REF!,18,FALSE)&lt;-2),"",#REF!),"")</f>
        <v/>
      </c>
      <c r="U127" t="str">
        <f>IFERROR(IF(OR(HLOOKUP($A127,#REF!,19,FALSE)&gt;2,HLOOKUP($A127,#REF!,19,FALSE)&lt;-2),"",#REF!),"")</f>
        <v/>
      </c>
      <c r="V127">
        <f t="shared" si="4"/>
        <v>1</v>
      </c>
      <c r="W127" t="str">
        <f t="shared" si="5"/>
        <v/>
      </c>
      <c r="X127" t="str">
        <f t="shared" si="6"/>
        <v/>
      </c>
      <c r="Y127" t="str">
        <f t="shared" si="7"/>
        <v/>
      </c>
    </row>
    <row r="128" spans="1:25" x14ac:dyDescent="0.35">
      <c r="A128">
        <v>130</v>
      </c>
      <c r="B128" t="s">
        <v>650</v>
      </c>
      <c r="C128">
        <v>88600</v>
      </c>
      <c r="D128">
        <v>679</v>
      </c>
      <c r="E128" t="str">
        <f>IFERROR(IF(OR(HLOOKUP($A128,#REF!,3,FALSE)&gt;2,HLOOKUP(A128,#REF!,3,FALSE)&lt;-2),"",#REF!),"")</f>
        <v/>
      </c>
      <c r="F128" t="str">
        <f>IFERROR(IF(OR(HLOOKUP($A128,#REF!,4,FALSE)&gt;2,HLOOKUP($A128,#REF!,4,FALSE)&lt;-2),"",#REF!),"")</f>
        <v/>
      </c>
      <c r="G128" t="str">
        <f>IFERROR(IF(OR(HLOOKUP($A128,#REF!,5,FALSE)&gt;2,HLOOKUP($A128,#REF!,5,FALSE)&lt;-2),"",#REF!),"")</f>
        <v/>
      </c>
      <c r="H128" t="str">
        <f>IFERROR(IF(OR(HLOOKUP($A128,#REF!,6,FALSE)&gt;2,HLOOKUP($A128,#REF!,6,FALSE)&lt;-2),"",#REF!),"")</f>
        <v/>
      </c>
      <c r="I128" t="str">
        <f>IFERROR(IF(OR(HLOOKUP($A128,#REF!,7,FALSE)&gt;2,HLOOKUP($A128,#REF!,7,FALSE)&lt;-2),"",#REF!),"")</f>
        <v/>
      </c>
      <c r="J128" t="str">
        <f>IFERROR(IF(OR(HLOOKUP($A128,#REF!,8,FALSE)&gt;2,HLOOKUP($A128,#REF!,8,FALSE)&lt;-2),"",#REF!),"")</f>
        <v/>
      </c>
      <c r="K128" t="str">
        <f>IFERROR(IF(OR(HLOOKUP($A128,#REF!,9,FALSE)&gt;2,HLOOKUP($A128,#REF!,9,FALSE)&lt;-2),"",#REF!),"")</f>
        <v/>
      </c>
      <c r="L128" t="str">
        <f>IFERROR(IF(OR(HLOOKUP($A128,#REF!,10,FALSE)&gt;2,HLOOKUP($A128,#REF!,10,FALSE)&lt;-2),"",#REF!),"")</f>
        <v/>
      </c>
      <c r="M128" t="str">
        <f>IFERROR(IF(OR(HLOOKUP($A128,#REF!,11,FALSE)&gt;2,HLOOKUP($A128,#REF!,11,FALSE)&lt;-2),"",#REF!),"")</f>
        <v/>
      </c>
      <c r="N128" t="str">
        <f>IFERROR(IF(OR(HLOOKUP($A128,#REF!,12,FALSE)&gt;2,HLOOKUP($A128,#REF!,12,FALSE)&lt;-2),"",#REF!),"")</f>
        <v/>
      </c>
      <c r="O128" t="str">
        <f>IFERROR(IF(OR(HLOOKUP($A128,#REF!,13,FALSE)&gt;2,HLOOKUP($A128,#REF!,13,FALSE)&lt;-2),"",#REF!),"")</f>
        <v/>
      </c>
      <c r="P128" t="str">
        <f>IFERROR(IF(OR(HLOOKUP($A128,#REF!,14,FALSE)&gt;2,HLOOKUP($A128,#REF!,14,FALSE)&lt;-2),"",#REF!),"")</f>
        <v/>
      </c>
      <c r="Q128" t="str">
        <f>IFERROR(IF(OR(HLOOKUP($A128,#REF!,15,FALSE)&gt;2,HLOOKUP($A128,#REF!,15,FALSE)&lt;-2),"",#REF!),"")</f>
        <v/>
      </c>
      <c r="R128" t="str">
        <f>IFERROR(IF(OR(HLOOKUP($A128,#REF!,16,FALSE)&gt;2,HLOOKUP($A128,#REF!,16,FALSE)&lt;-2),"",#REF!),"")</f>
        <v/>
      </c>
      <c r="S128" t="str">
        <f>IFERROR(IF(OR(HLOOKUP($A128,#REF!,17,FALSE)&gt;2,HLOOKUP($A128,#REF!,17,FALSE)&lt;-2),"",#REF!),"")</f>
        <v/>
      </c>
      <c r="T128" t="str">
        <f>IFERROR(IF(OR(HLOOKUP($A128,#REF!,18,FALSE)&gt;2,HLOOKUP($A128,#REF!,18,FALSE)&lt;-2),"",#REF!),"")</f>
        <v/>
      </c>
      <c r="U128" t="str">
        <f>IFERROR(IF(OR(HLOOKUP($A128,#REF!,19,FALSE)&gt;2,HLOOKUP($A128,#REF!,19,FALSE)&lt;-2),"",#REF!),"")</f>
        <v/>
      </c>
      <c r="V128">
        <f t="shared" si="4"/>
        <v>1</v>
      </c>
      <c r="W128" t="str">
        <f t="shared" si="5"/>
        <v/>
      </c>
      <c r="X128" t="str">
        <f t="shared" si="6"/>
        <v/>
      </c>
      <c r="Y128" t="str">
        <f t="shared" si="7"/>
        <v/>
      </c>
    </row>
    <row r="129" spans="1:25" x14ac:dyDescent="0.35">
      <c r="A129">
        <v>131</v>
      </c>
      <c r="B129" t="s">
        <v>81</v>
      </c>
      <c r="C129">
        <v>47000</v>
      </c>
      <c r="D129">
        <v>703</v>
      </c>
      <c r="E129" t="str">
        <f>IFERROR(IF(OR(HLOOKUP($A129,#REF!,3,FALSE)&gt;2,HLOOKUP(A129,#REF!,3,FALSE)&lt;-2),"",#REF!),"")</f>
        <v/>
      </c>
      <c r="F129" t="str">
        <f>IFERROR(IF(OR(HLOOKUP($A129,#REF!,4,FALSE)&gt;2,HLOOKUP($A129,#REF!,4,FALSE)&lt;-2),"",#REF!),"")</f>
        <v/>
      </c>
      <c r="G129" t="str">
        <f>IFERROR(IF(OR(HLOOKUP($A129,#REF!,5,FALSE)&gt;2,HLOOKUP($A129,#REF!,5,FALSE)&lt;-2),"",#REF!),"")</f>
        <v/>
      </c>
      <c r="H129" t="str">
        <f>IFERROR(IF(OR(HLOOKUP($A129,#REF!,6,FALSE)&gt;2,HLOOKUP($A129,#REF!,6,FALSE)&lt;-2),"",#REF!),"")</f>
        <v/>
      </c>
      <c r="I129" t="str">
        <f>IFERROR(IF(OR(HLOOKUP($A129,#REF!,7,FALSE)&gt;2,HLOOKUP($A129,#REF!,7,FALSE)&lt;-2),"",#REF!),"")</f>
        <v/>
      </c>
      <c r="J129" t="str">
        <f>IFERROR(IF(OR(HLOOKUP($A129,#REF!,8,FALSE)&gt;2,HLOOKUP($A129,#REF!,8,FALSE)&lt;-2),"",#REF!),"")</f>
        <v/>
      </c>
      <c r="K129" t="str">
        <f>IFERROR(IF(OR(HLOOKUP($A129,#REF!,9,FALSE)&gt;2,HLOOKUP($A129,#REF!,9,FALSE)&lt;-2),"",#REF!),"")</f>
        <v/>
      </c>
      <c r="L129" t="str">
        <f>IFERROR(IF(OR(HLOOKUP($A129,#REF!,10,FALSE)&gt;2,HLOOKUP($A129,#REF!,10,FALSE)&lt;-2),"",#REF!),"")</f>
        <v/>
      </c>
      <c r="M129" t="str">
        <f>IFERROR(IF(OR(HLOOKUP($A129,#REF!,11,FALSE)&gt;2,HLOOKUP($A129,#REF!,11,FALSE)&lt;-2),"",#REF!),"")</f>
        <v/>
      </c>
      <c r="N129" t="str">
        <f>IFERROR(IF(OR(HLOOKUP($A129,#REF!,12,FALSE)&gt;2,HLOOKUP($A129,#REF!,12,FALSE)&lt;-2),"",#REF!),"")</f>
        <v/>
      </c>
      <c r="O129" t="str">
        <f>IFERROR(IF(OR(HLOOKUP($A129,#REF!,13,FALSE)&gt;2,HLOOKUP($A129,#REF!,13,FALSE)&lt;-2),"",#REF!),"")</f>
        <v/>
      </c>
      <c r="P129" t="str">
        <f>IFERROR(IF(OR(HLOOKUP($A129,#REF!,14,FALSE)&gt;2,HLOOKUP($A129,#REF!,14,FALSE)&lt;-2),"",#REF!),"")</f>
        <v/>
      </c>
      <c r="Q129" t="str">
        <f>IFERROR(IF(OR(HLOOKUP($A129,#REF!,15,FALSE)&gt;2,HLOOKUP($A129,#REF!,15,FALSE)&lt;-2),"",#REF!),"")</f>
        <v/>
      </c>
      <c r="R129" t="str">
        <f>IFERROR(IF(OR(HLOOKUP($A129,#REF!,16,FALSE)&gt;2,HLOOKUP($A129,#REF!,16,FALSE)&lt;-2),"",#REF!),"")</f>
        <v/>
      </c>
      <c r="S129" t="str">
        <f>IFERROR(IF(OR(HLOOKUP($A129,#REF!,17,FALSE)&gt;2,HLOOKUP($A129,#REF!,17,FALSE)&lt;-2),"",#REF!),"")</f>
        <v/>
      </c>
      <c r="T129" t="str">
        <f>IFERROR(IF(OR(HLOOKUP($A129,#REF!,18,FALSE)&gt;2,HLOOKUP($A129,#REF!,18,FALSE)&lt;-2),"",#REF!),"")</f>
        <v/>
      </c>
      <c r="U129" t="str">
        <f>IFERROR(IF(OR(HLOOKUP($A129,#REF!,19,FALSE)&gt;2,HLOOKUP($A129,#REF!,19,FALSE)&lt;-2),"",#REF!),"")</f>
        <v/>
      </c>
      <c r="V129">
        <f t="shared" si="4"/>
        <v>1</v>
      </c>
      <c r="W129" t="str">
        <f t="shared" si="5"/>
        <v/>
      </c>
      <c r="X129" t="str">
        <f t="shared" si="6"/>
        <v/>
      </c>
      <c r="Y129" t="str">
        <f t="shared" si="7"/>
        <v/>
      </c>
    </row>
    <row r="130" spans="1:25" x14ac:dyDescent="0.35">
      <c r="A130">
        <v>132</v>
      </c>
      <c r="B130" t="s">
        <v>82</v>
      </c>
      <c r="C130">
        <v>20700</v>
      </c>
      <c r="D130">
        <v>972</v>
      </c>
      <c r="E130" t="str">
        <f>IFERROR(IF(OR(HLOOKUP($A130,#REF!,3,FALSE)&gt;2,HLOOKUP(A130,#REF!,3,FALSE)&lt;-2),"",#REF!),"")</f>
        <v/>
      </c>
      <c r="F130" t="str">
        <f>IFERROR(IF(OR(HLOOKUP($A130,#REF!,4,FALSE)&gt;2,HLOOKUP($A130,#REF!,4,FALSE)&lt;-2),"",#REF!),"")</f>
        <v/>
      </c>
      <c r="G130" t="str">
        <f>IFERROR(IF(OR(HLOOKUP($A130,#REF!,5,FALSE)&gt;2,HLOOKUP($A130,#REF!,5,FALSE)&lt;-2),"",#REF!),"")</f>
        <v/>
      </c>
      <c r="H130" t="str">
        <f>IFERROR(IF(OR(HLOOKUP($A130,#REF!,6,FALSE)&gt;2,HLOOKUP($A130,#REF!,6,FALSE)&lt;-2),"",#REF!),"")</f>
        <v/>
      </c>
      <c r="I130" t="str">
        <f>IFERROR(IF(OR(HLOOKUP($A130,#REF!,7,FALSE)&gt;2,HLOOKUP($A130,#REF!,7,FALSE)&lt;-2),"",#REF!),"")</f>
        <v/>
      </c>
      <c r="J130" t="str">
        <f>IFERROR(IF(OR(HLOOKUP($A130,#REF!,8,FALSE)&gt;2,HLOOKUP($A130,#REF!,8,FALSE)&lt;-2),"",#REF!),"")</f>
        <v/>
      </c>
      <c r="K130" t="str">
        <f>IFERROR(IF(OR(HLOOKUP($A130,#REF!,9,FALSE)&gt;2,HLOOKUP($A130,#REF!,9,FALSE)&lt;-2),"",#REF!),"")</f>
        <v/>
      </c>
      <c r="L130" t="str">
        <f>IFERROR(IF(OR(HLOOKUP($A130,#REF!,10,FALSE)&gt;2,HLOOKUP($A130,#REF!,10,FALSE)&lt;-2),"",#REF!),"")</f>
        <v/>
      </c>
      <c r="M130" t="str">
        <f>IFERROR(IF(OR(HLOOKUP($A130,#REF!,11,FALSE)&gt;2,HLOOKUP($A130,#REF!,11,FALSE)&lt;-2),"",#REF!),"")</f>
        <v/>
      </c>
      <c r="N130" t="str">
        <f>IFERROR(IF(OR(HLOOKUP($A130,#REF!,12,FALSE)&gt;2,HLOOKUP($A130,#REF!,12,FALSE)&lt;-2),"",#REF!),"")</f>
        <v/>
      </c>
      <c r="O130" t="str">
        <f>IFERROR(IF(OR(HLOOKUP($A130,#REF!,13,FALSE)&gt;2,HLOOKUP($A130,#REF!,13,FALSE)&lt;-2),"",#REF!),"")</f>
        <v/>
      </c>
      <c r="P130" t="str">
        <f>IFERROR(IF(OR(HLOOKUP($A130,#REF!,14,FALSE)&gt;2,HLOOKUP($A130,#REF!,14,FALSE)&lt;-2),"",#REF!),"")</f>
        <v/>
      </c>
      <c r="Q130" t="str">
        <f>IFERROR(IF(OR(HLOOKUP($A130,#REF!,15,FALSE)&gt;2,HLOOKUP($A130,#REF!,15,FALSE)&lt;-2),"",#REF!),"")</f>
        <v/>
      </c>
      <c r="R130" t="str">
        <f>IFERROR(IF(OR(HLOOKUP($A130,#REF!,16,FALSE)&gt;2,HLOOKUP($A130,#REF!,16,FALSE)&lt;-2),"",#REF!),"")</f>
        <v/>
      </c>
      <c r="S130" t="str">
        <f>IFERROR(IF(OR(HLOOKUP($A130,#REF!,17,FALSE)&gt;2,HLOOKUP($A130,#REF!,17,FALSE)&lt;-2),"",#REF!),"")</f>
        <v/>
      </c>
      <c r="T130" t="str">
        <f>IFERROR(IF(OR(HLOOKUP($A130,#REF!,18,FALSE)&gt;2,HLOOKUP($A130,#REF!,18,FALSE)&lt;-2),"",#REF!),"")</f>
        <v/>
      </c>
      <c r="U130" t="str">
        <f>IFERROR(IF(OR(HLOOKUP($A130,#REF!,19,FALSE)&gt;2,HLOOKUP($A130,#REF!,19,FALSE)&lt;-2),"",#REF!),"")</f>
        <v/>
      </c>
      <c r="V130">
        <f t="shared" si="4"/>
        <v>1</v>
      </c>
      <c r="W130" t="str">
        <f t="shared" si="5"/>
        <v/>
      </c>
      <c r="X130" t="str">
        <f t="shared" si="6"/>
        <v/>
      </c>
      <c r="Y130" t="str">
        <f t="shared" si="7"/>
        <v/>
      </c>
    </row>
    <row r="131" spans="1:25" x14ac:dyDescent="0.35">
      <c r="A131">
        <v>133</v>
      </c>
      <c r="B131" t="s">
        <v>83</v>
      </c>
      <c r="C131">
        <v>73500</v>
      </c>
      <c r="D131">
        <v>141</v>
      </c>
      <c r="E131" t="str">
        <f>IFERROR(IF(OR(HLOOKUP($A131,#REF!,3,FALSE)&gt;2,HLOOKUP(A131,#REF!,3,FALSE)&lt;-2),"",#REF!),"")</f>
        <v/>
      </c>
      <c r="F131" t="str">
        <f>IFERROR(IF(OR(HLOOKUP($A131,#REF!,4,FALSE)&gt;2,HLOOKUP($A131,#REF!,4,FALSE)&lt;-2),"",#REF!),"")</f>
        <v/>
      </c>
      <c r="G131" t="str">
        <f>IFERROR(IF(OR(HLOOKUP($A131,#REF!,5,FALSE)&gt;2,HLOOKUP($A131,#REF!,5,FALSE)&lt;-2),"",#REF!),"")</f>
        <v/>
      </c>
      <c r="H131" t="str">
        <f>IFERROR(IF(OR(HLOOKUP($A131,#REF!,6,FALSE)&gt;2,HLOOKUP($A131,#REF!,6,FALSE)&lt;-2),"",#REF!),"")</f>
        <v/>
      </c>
      <c r="I131" t="str">
        <f>IFERROR(IF(OR(HLOOKUP($A131,#REF!,7,FALSE)&gt;2,HLOOKUP($A131,#REF!,7,FALSE)&lt;-2),"",#REF!),"")</f>
        <v/>
      </c>
      <c r="J131" t="str">
        <f>IFERROR(IF(OR(HLOOKUP($A131,#REF!,8,FALSE)&gt;2,HLOOKUP($A131,#REF!,8,FALSE)&lt;-2),"",#REF!),"")</f>
        <v/>
      </c>
      <c r="K131" t="str">
        <f>IFERROR(IF(OR(HLOOKUP($A131,#REF!,9,FALSE)&gt;2,HLOOKUP($A131,#REF!,9,FALSE)&lt;-2),"",#REF!),"")</f>
        <v/>
      </c>
      <c r="L131" t="str">
        <f>IFERROR(IF(OR(HLOOKUP($A131,#REF!,10,FALSE)&gt;2,HLOOKUP($A131,#REF!,10,FALSE)&lt;-2),"",#REF!),"")</f>
        <v/>
      </c>
      <c r="M131" t="str">
        <f>IFERROR(IF(OR(HLOOKUP($A131,#REF!,11,FALSE)&gt;2,HLOOKUP($A131,#REF!,11,FALSE)&lt;-2),"",#REF!),"")</f>
        <v/>
      </c>
      <c r="N131" t="str">
        <f>IFERROR(IF(OR(HLOOKUP($A131,#REF!,12,FALSE)&gt;2,HLOOKUP($A131,#REF!,12,FALSE)&lt;-2),"",#REF!),"")</f>
        <v/>
      </c>
      <c r="O131" t="str">
        <f>IFERROR(IF(OR(HLOOKUP($A131,#REF!,13,FALSE)&gt;2,HLOOKUP($A131,#REF!,13,FALSE)&lt;-2),"",#REF!),"")</f>
        <v/>
      </c>
      <c r="P131" t="str">
        <f>IFERROR(IF(OR(HLOOKUP($A131,#REF!,14,FALSE)&gt;2,HLOOKUP($A131,#REF!,14,FALSE)&lt;-2),"",#REF!),"")</f>
        <v/>
      </c>
      <c r="Q131" t="str">
        <f>IFERROR(IF(OR(HLOOKUP($A131,#REF!,15,FALSE)&gt;2,HLOOKUP($A131,#REF!,15,FALSE)&lt;-2),"",#REF!),"")</f>
        <v/>
      </c>
      <c r="R131" t="str">
        <f>IFERROR(IF(OR(HLOOKUP($A131,#REF!,16,FALSE)&gt;2,HLOOKUP($A131,#REF!,16,FALSE)&lt;-2),"",#REF!),"")</f>
        <v/>
      </c>
      <c r="S131" t="str">
        <f>IFERROR(IF(OR(HLOOKUP($A131,#REF!,17,FALSE)&gt;2,HLOOKUP($A131,#REF!,17,FALSE)&lt;-2),"",#REF!),"")</f>
        <v/>
      </c>
      <c r="T131" t="str">
        <f>IFERROR(IF(OR(HLOOKUP($A131,#REF!,18,FALSE)&gt;2,HLOOKUP($A131,#REF!,18,FALSE)&lt;-2),"",#REF!),"")</f>
        <v/>
      </c>
      <c r="U131" t="str">
        <f>IFERROR(IF(OR(HLOOKUP($A131,#REF!,19,FALSE)&gt;2,HLOOKUP($A131,#REF!,19,FALSE)&lt;-2),"",#REF!),"")</f>
        <v/>
      </c>
      <c r="V131">
        <f t="shared" si="4"/>
        <v>1</v>
      </c>
      <c r="W131" t="str">
        <f t="shared" si="5"/>
        <v/>
      </c>
      <c r="X131" t="str">
        <f t="shared" si="6"/>
        <v/>
      </c>
      <c r="Y131" t="str">
        <f t="shared" si="7"/>
        <v/>
      </c>
    </row>
    <row r="132" spans="1:25" x14ac:dyDescent="0.35">
      <c r="A132">
        <v>134</v>
      </c>
      <c r="B132" t="s">
        <v>651</v>
      </c>
      <c r="C132">
        <v>109000</v>
      </c>
      <c r="D132">
        <v>760</v>
      </c>
      <c r="E132" t="str">
        <f>IFERROR(IF(OR(HLOOKUP($A132,#REF!,3,FALSE)&gt;2,HLOOKUP(A132,#REF!,3,FALSE)&lt;-2),"",#REF!),"")</f>
        <v/>
      </c>
      <c r="F132" t="str">
        <f>IFERROR(IF(OR(HLOOKUP($A132,#REF!,4,FALSE)&gt;2,HLOOKUP($A132,#REF!,4,FALSE)&lt;-2),"",#REF!),"")</f>
        <v/>
      </c>
      <c r="G132" t="str">
        <f>IFERROR(IF(OR(HLOOKUP($A132,#REF!,5,FALSE)&gt;2,HLOOKUP($A132,#REF!,5,FALSE)&lt;-2),"",#REF!),"")</f>
        <v/>
      </c>
      <c r="H132" t="str">
        <f>IFERROR(IF(OR(HLOOKUP($A132,#REF!,6,FALSE)&gt;2,HLOOKUP($A132,#REF!,6,FALSE)&lt;-2),"",#REF!),"")</f>
        <v/>
      </c>
      <c r="I132" t="str">
        <f>IFERROR(IF(OR(HLOOKUP($A132,#REF!,7,FALSE)&gt;2,HLOOKUP($A132,#REF!,7,FALSE)&lt;-2),"",#REF!),"")</f>
        <v/>
      </c>
      <c r="J132" t="str">
        <f>IFERROR(IF(OR(HLOOKUP($A132,#REF!,8,FALSE)&gt;2,HLOOKUP($A132,#REF!,8,FALSE)&lt;-2),"",#REF!),"")</f>
        <v/>
      </c>
      <c r="K132" t="str">
        <f>IFERROR(IF(OR(HLOOKUP($A132,#REF!,9,FALSE)&gt;2,HLOOKUP($A132,#REF!,9,FALSE)&lt;-2),"",#REF!),"")</f>
        <v/>
      </c>
      <c r="L132" t="str">
        <f>IFERROR(IF(OR(HLOOKUP($A132,#REF!,10,FALSE)&gt;2,HLOOKUP($A132,#REF!,10,FALSE)&lt;-2),"",#REF!),"")</f>
        <v/>
      </c>
      <c r="M132" t="str">
        <f>IFERROR(IF(OR(HLOOKUP($A132,#REF!,11,FALSE)&gt;2,HLOOKUP($A132,#REF!,11,FALSE)&lt;-2),"",#REF!),"")</f>
        <v/>
      </c>
      <c r="N132" t="str">
        <f>IFERROR(IF(OR(HLOOKUP($A132,#REF!,12,FALSE)&gt;2,HLOOKUP($A132,#REF!,12,FALSE)&lt;-2),"",#REF!),"")</f>
        <v/>
      </c>
      <c r="O132" t="str">
        <f>IFERROR(IF(OR(HLOOKUP($A132,#REF!,13,FALSE)&gt;2,HLOOKUP($A132,#REF!,13,FALSE)&lt;-2),"",#REF!),"")</f>
        <v/>
      </c>
      <c r="P132" t="str">
        <f>IFERROR(IF(OR(HLOOKUP($A132,#REF!,14,FALSE)&gt;2,HLOOKUP($A132,#REF!,14,FALSE)&lt;-2),"",#REF!),"")</f>
        <v/>
      </c>
      <c r="Q132" t="str">
        <f>IFERROR(IF(OR(HLOOKUP($A132,#REF!,15,FALSE)&gt;2,HLOOKUP($A132,#REF!,15,FALSE)&lt;-2),"",#REF!),"")</f>
        <v/>
      </c>
      <c r="R132" t="str">
        <f>IFERROR(IF(OR(HLOOKUP($A132,#REF!,16,FALSE)&gt;2,HLOOKUP($A132,#REF!,16,FALSE)&lt;-2),"",#REF!),"")</f>
        <v/>
      </c>
      <c r="S132" t="str">
        <f>IFERROR(IF(OR(HLOOKUP($A132,#REF!,17,FALSE)&gt;2,HLOOKUP($A132,#REF!,17,FALSE)&lt;-2),"",#REF!),"")</f>
        <v/>
      </c>
      <c r="T132" t="str">
        <f>IFERROR(IF(OR(HLOOKUP($A132,#REF!,18,FALSE)&gt;2,HLOOKUP($A132,#REF!,18,FALSE)&lt;-2),"",#REF!),"")</f>
        <v/>
      </c>
      <c r="U132" t="str">
        <f>IFERROR(IF(OR(HLOOKUP($A132,#REF!,19,FALSE)&gt;2,HLOOKUP($A132,#REF!,19,FALSE)&lt;-2),"",#REF!),"")</f>
        <v/>
      </c>
      <c r="V132">
        <f t="shared" ref="V132:V195" si="8">IFERROR(IF(AND(X132=0,Y132=0),0,1),0)</f>
        <v>1</v>
      </c>
      <c r="W132" t="str">
        <f t="shared" ref="W132:W195" si="9">IFERROR(_xlfn.T.TEST(E132:M132,N132:U132,2,2),"")</f>
        <v/>
      </c>
      <c r="X132" t="str">
        <f t="shared" ref="X132:X195" si="10">IFERROR(AVERAGE(E132:M132),"")</f>
        <v/>
      </c>
      <c r="Y132" t="str">
        <f t="shared" ref="Y132:Y195" si="11">IFERROR(AVERAGE(N132:U132),"")</f>
        <v/>
      </c>
    </row>
    <row r="133" spans="1:25" x14ac:dyDescent="0.35">
      <c r="A133">
        <v>135</v>
      </c>
      <c r="B133" t="s">
        <v>652</v>
      </c>
      <c r="C133">
        <v>92800</v>
      </c>
      <c r="D133">
        <v>370</v>
      </c>
      <c r="E133" t="str">
        <f>IFERROR(IF(OR(HLOOKUP($A133,#REF!,3,FALSE)&gt;2,HLOOKUP(A133,#REF!,3,FALSE)&lt;-2),"",#REF!),"")</f>
        <v/>
      </c>
      <c r="F133" t="str">
        <f>IFERROR(IF(OR(HLOOKUP($A133,#REF!,4,FALSE)&gt;2,HLOOKUP($A133,#REF!,4,FALSE)&lt;-2),"",#REF!),"")</f>
        <v/>
      </c>
      <c r="G133" t="str">
        <f>IFERROR(IF(OR(HLOOKUP($A133,#REF!,5,FALSE)&gt;2,HLOOKUP($A133,#REF!,5,FALSE)&lt;-2),"",#REF!),"")</f>
        <v/>
      </c>
      <c r="H133" t="str">
        <f>IFERROR(IF(OR(HLOOKUP($A133,#REF!,6,FALSE)&gt;2,HLOOKUP($A133,#REF!,6,FALSE)&lt;-2),"",#REF!),"")</f>
        <v/>
      </c>
      <c r="I133" t="str">
        <f>IFERROR(IF(OR(HLOOKUP($A133,#REF!,7,FALSE)&gt;2,HLOOKUP($A133,#REF!,7,FALSE)&lt;-2),"",#REF!),"")</f>
        <v/>
      </c>
      <c r="J133" t="str">
        <f>IFERROR(IF(OR(HLOOKUP($A133,#REF!,8,FALSE)&gt;2,HLOOKUP($A133,#REF!,8,FALSE)&lt;-2),"",#REF!),"")</f>
        <v/>
      </c>
      <c r="K133" t="str">
        <f>IFERROR(IF(OR(HLOOKUP($A133,#REF!,9,FALSE)&gt;2,HLOOKUP($A133,#REF!,9,FALSE)&lt;-2),"",#REF!),"")</f>
        <v/>
      </c>
      <c r="L133" t="str">
        <f>IFERROR(IF(OR(HLOOKUP($A133,#REF!,10,FALSE)&gt;2,HLOOKUP($A133,#REF!,10,FALSE)&lt;-2),"",#REF!),"")</f>
        <v/>
      </c>
      <c r="M133" t="str">
        <f>IFERROR(IF(OR(HLOOKUP($A133,#REF!,11,FALSE)&gt;2,HLOOKUP($A133,#REF!,11,FALSE)&lt;-2),"",#REF!),"")</f>
        <v/>
      </c>
      <c r="N133" t="str">
        <f>IFERROR(IF(OR(HLOOKUP($A133,#REF!,12,FALSE)&gt;2,HLOOKUP($A133,#REF!,12,FALSE)&lt;-2),"",#REF!),"")</f>
        <v/>
      </c>
      <c r="O133" t="str">
        <f>IFERROR(IF(OR(HLOOKUP($A133,#REF!,13,FALSE)&gt;2,HLOOKUP($A133,#REF!,13,FALSE)&lt;-2),"",#REF!),"")</f>
        <v/>
      </c>
      <c r="P133" t="str">
        <f>IFERROR(IF(OR(HLOOKUP($A133,#REF!,14,FALSE)&gt;2,HLOOKUP($A133,#REF!,14,FALSE)&lt;-2),"",#REF!),"")</f>
        <v/>
      </c>
      <c r="Q133" t="str">
        <f>IFERROR(IF(OR(HLOOKUP($A133,#REF!,15,FALSE)&gt;2,HLOOKUP($A133,#REF!,15,FALSE)&lt;-2),"",#REF!),"")</f>
        <v/>
      </c>
      <c r="R133" t="str">
        <f>IFERROR(IF(OR(HLOOKUP($A133,#REF!,16,FALSE)&gt;2,HLOOKUP($A133,#REF!,16,FALSE)&lt;-2),"",#REF!),"")</f>
        <v/>
      </c>
      <c r="S133" t="str">
        <f>IFERROR(IF(OR(HLOOKUP($A133,#REF!,17,FALSE)&gt;2,HLOOKUP($A133,#REF!,17,FALSE)&lt;-2),"",#REF!),"")</f>
        <v/>
      </c>
      <c r="T133" t="str">
        <f>IFERROR(IF(OR(HLOOKUP($A133,#REF!,18,FALSE)&gt;2,HLOOKUP($A133,#REF!,18,FALSE)&lt;-2),"",#REF!),"")</f>
        <v/>
      </c>
      <c r="U133" t="str">
        <f>IFERROR(IF(OR(HLOOKUP($A133,#REF!,19,FALSE)&gt;2,HLOOKUP($A133,#REF!,19,FALSE)&lt;-2),"",#REF!),"")</f>
        <v/>
      </c>
      <c r="V133">
        <f t="shared" si="8"/>
        <v>1</v>
      </c>
      <c r="W133" t="str">
        <f t="shared" si="9"/>
        <v/>
      </c>
      <c r="X133" t="str">
        <f t="shared" si="10"/>
        <v/>
      </c>
      <c r="Y133" t="str">
        <f t="shared" si="11"/>
        <v/>
      </c>
    </row>
    <row r="134" spans="1:25" x14ac:dyDescent="0.35">
      <c r="A134">
        <v>136</v>
      </c>
      <c r="B134" t="s">
        <v>84</v>
      </c>
      <c r="C134">
        <v>93600</v>
      </c>
      <c r="D134">
        <v>370</v>
      </c>
      <c r="E134" t="str">
        <f>IFERROR(IF(OR(HLOOKUP($A134,#REF!,3,FALSE)&gt;2,HLOOKUP(A134,#REF!,3,FALSE)&lt;-2),"",#REF!),"")</f>
        <v/>
      </c>
      <c r="F134" t="str">
        <f>IFERROR(IF(OR(HLOOKUP($A134,#REF!,4,FALSE)&gt;2,HLOOKUP($A134,#REF!,4,FALSE)&lt;-2),"",#REF!),"")</f>
        <v/>
      </c>
      <c r="G134" t="str">
        <f>IFERROR(IF(OR(HLOOKUP($A134,#REF!,5,FALSE)&gt;2,HLOOKUP($A134,#REF!,5,FALSE)&lt;-2),"",#REF!),"")</f>
        <v/>
      </c>
      <c r="H134" t="str">
        <f>IFERROR(IF(OR(HLOOKUP($A134,#REF!,6,FALSE)&gt;2,HLOOKUP($A134,#REF!,6,FALSE)&lt;-2),"",#REF!),"")</f>
        <v/>
      </c>
      <c r="I134" t="str">
        <f>IFERROR(IF(OR(HLOOKUP($A134,#REF!,7,FALSE)&gt;2,HLOOKUP($A134,#REF!,7,FALSE)&lt;-2),"",#REF!),"")</f>
        <v/>
      </c>
      <c r="J134" t="str">
        <f>IFERROR(IF(OR(HLOOKUP($A134,#REF!,8,FALSE)&gt;2,HLOOKUP($A134,#REF!,8,FALSE)&lt;-2),"",#REF!),"")</f>
        <v/>
      </c>
      <c r="K134" t="str">
        <f>IFERROR(IF(OR(HLOOKUP($A134,#REF!,9,FALSE)&gt;2,HLOOKUP($A134,#REF!,9,FALSE)&lt;-2),"",#REF!),"")</f>
        <v/>
      </c>
      <c r="L134" t="str">
        <f>IFERROR(IF(OR(HLOOKUP($A134,#REF!,10,FALSE)&gt;2,HLOOKUP($A134,#REF!,10,FALSE)&lt;-2),"",#REF!),"")</f>
        <v/>
      </c>
      <c r="M134" t="str">
        <f>IFERROR(IF(OR(HLOOKUP($A134,#REF!,11,FALSE)&gt;2,HLOOKUP($A134,#REF!,11,FALSE)&lt;-2),"",#REF!),"")</f>
        <v/>
      </c>
      <c r="N134" t="str">
        <f>IFERROR(IF(OR(HLOOKUP($A134,#REF!,12,FALSE)&gt;2,HLOOKUP($A134,#REF!,12,FALSE)&lt;-2),"",#REF!),"")</f>
        <v/>
      </c>
      <c r="O134" t="str">
        <f>IFERROR(IF(OR(HLOOKUP($A134,#REF!,13,FALSE)&gt;2,HLOOKUP($A134,#REF!,13,FALSE)&lt;-2),"",#REF!),"")</f>
        <v/>
      </c>
      <c r="P134" t="str">
        <f>IFERROR(IF(OR(HLOOKUP($A134,#REF!,14,FALSE)&gt;2,HLOOKUP($A134,#REF!,14,FALSE)&lt;-2),"",#REF!),"")</f>
        <v/>
      </c>
      <c r="Q134" t="str">
        <f>IFERROR(IF(OR(HLOOKUP($A134,#REF!,15,FALSE)&gt;2,HLOOKUP($A134,#REF!,15,FALSE)&lt;-2),"",#REF!),"")</f>
        <v/>
      </c>
      <c r="R134" t="str">
        <f>IFERROR(IF(OR(HLOOKUP($A134,#REF!,16,FALSE)&gt;2,HLOOKUP($A134,#REF!,16,FALSE)&lt;-2),"",#REF!),"")</f>
        <v/>
      </c>
      <c r="S134" t="str">
        <f>IFERROR(IF(OR(HLOOKUP($A134,#REF!,17,FALSE)&gt;2,HLOOKUP($A134,#REF!,17,FALSE)&lt;-2),"",#REF!),"")</f>
        <v/>
      </c>
      <c r="T134" t="str">
        <f>IFERROR(IF(OR(HLOOKUP($A134,#REF!,18,FALSE)&gt;2,HLOOKUP($A134,#REF!,18,FALSE)&lt;-2),"",#REF!),"")</f>
        <v/>
      </c>
      <c r="U134" t="str">
        <f>IFERROR(IF(OR(HLOOKUP($A134,#REF!,19,FALSE)&gt;2,HLOOKUP($A134,#REF!,19,FALSE)&lt;-2),"",#REF!),"")</f>
        <v/>
      </c>
      <c r="V134">
        <f t="shared" si="8"/>
        <v>1</v>
      </c>
      <c r="W134" t="str">
        <f t="shared" si="9"/>
        <v/>
      </c>
      <c r="X134" t="str">
        <f t="shared" si="10"/>
        <v/>
      </c>
      <c r="Y134" t="str">
        <f t="shared" si="11"/>
        <v/>
      </c>
    </row>
    <row r="135" spans="1:25" x14ac:dyDescent="0.35">
      <c r="A135">
        <v>137</v>
      </c>
      <c r="B135" t="s">
        <v>653</v>
      </c>
      <c r="C135">
        <v>88500</v>
      </c>
      <c r="D135">
        <v>679</v>
      </c>
      <c r="E135" t="str">
        <f>IFERROR(IF(OR(HLOOKUP($A135,#REF!,3,FALSE)&gt;2,HLOOKUP(A135,#REF!,3,FALSE)&lt;-2),"",#REF!),"")</f>
        <v/>
      </c>
      <c r="F135" t="str">
        <f>IFERROR(IF(OR(HLOOKUP($A135,#REF!,4,FALSE)&gt;2,HLOOKUP($A135,#REF!,4,FALSE)&lt;-2),"",#REF!),"")</f>
        <v/>
      </c>
      <c r="G135" t="str">
        <f>IFERROR(IF(OR(HLOOKUP($A135,#REF!,5,FALSE)&gt;2,HLOOKUP($A135,#REF!,5,FALSE)&lt;-2),"",#REF!),"")</f>
        <v/>
      </c>
      <c r="H135" t="str">
        <f>IFERROR(IF(OR(HLOOKUP($A135,#REF!,6,FALSE)&gt;2,HLOOKUP($A135,#REF!,6,FALSE)&lt;-2),"",#REF!),"")</f>
        <v/>
      </c>
      <c r="I135" t="str">
        <f>IFERROR(IF(OR(HLOOKUP($A135,#REF!,7,FALSE)&gt;2,HLOOKUP($A135,#REF!,7,FALSE)&lt;-2),"",#REF!),"")</f>
        <v/>
      </c>
      <c r="J135" t="str">
        <f>IFERROR(IF(OR(HLOOKUP($A135,#REF!,8,FALSE)&gt;2,HLOOKUP($A135,#REF!,8,FALSE)&lt;-2),"",#REF!),"")</f>
        <v/>
      </c>
      <c r="K135" t="str">
        <f>IFERROR(IF(OR(HLOOKUP($A135,#REF!,9,FALSE)&gt;2,HLOOKUP($A135,#REF!,9,FALSE)&lt;-2),"",#REF!),"")</f>
        <v/>
      </c>
      <c r="L135" t="str">
        <f>IFERROR(IF(OR(HLOOKUP($A135,#REF!,10,FALSE)&gt;2,HLOOKUP($A135,#REF!,10,FALSE)&lt;-2),"",#REF!),"")</f>
        <v/>
      </c>
      <c r="M135" t="str">
        <f>IFERROR(IF(OR(HLOOKUP($A135,#REF!,11,FALSE)&gt;2,HLOOKUP($A135,#REF!,11,FALSE)&lt;-2),"",#REF!),"")</f>
        <v/>
      </c>
      <c r="N135" t="str">
        <f>IFERROR(IF(OR(HLOOKUP($A135,#REF!,12,FALSE)&gt;2,HLOOKUP($A135,#REF!,12,FALSE)&lt;-2),"",#REF!),"")</f>
        <v/>
      </c>
      <c r="O135" t="str">
        <f>IFERROR(IF(OR(HLOOKUP($A135,#REF!,13,FALSE)&gt;2,HLOOKUP($A135,#REF!,13,FALSE)&lt;-2),"",#REF!),"")</f>
        <v/>
      </c>
      <c r="P135" t="str">
        <f>IFERROR(IF(OR(HLOOKUP($A135,#REF!,14,FALSE)&gt;2,HLOOKUP($A135,#REF!,14,FALSE)&lt;-2),"",#REF!),"")</f>
        <v/>
      </c>
      <c r="Q135" t="str">
        <f>IFERROR(IF(OR(HLOOKUP($A135,#REF!,15,FALSE)&gt;2,HLOOKUP($A135,#REF!,15,FALSE)&lt;-2),"",#REF!),"")</f>
        <v/>
      </c>
      <c r="R135" t="str">
        <f>IFERROR(IF(OR(HLOOKUP($A135,#REF!,16,FALSE)&gt;2,HLOOKUP($A135,#REF!,16,FALSE)&lt;-2),"",#REF!),"")</f>
        <v/>
      </c>
      <c r="S135" t="str">
        <f>IFERROR(IF(OR(HLOOKUP($A135,#REF!,17,FALSE)&gt;2,HLOOKUP($A135,#REF!,17,FALSE)&lt;-2),"",#REF!),"")</f>
        <v/>
      </c>
      <c r="T135" t="str">
        <f>IFERROR(IF(OR(HLOOKUP($A135,#REF!,18,FALSE)&gt;2,HLOOKUP($A135,#REF!,18,FALSE)&lt;-2),"",#REF!),"")</f>
        <v/>
      </c>
      <c r="U135" t="str">
        <f>IFERROR(IF(OR(HLOOKUP($A135,#REF!,19,FALSE)&gt;2,HLOOKUP($A135,#REF!,19,FALSE)&lt;-2),"",#REF!),"")</f>
        <v/>
      </c>
      <c r="V135">
        <f t="shared" si="8"/>
        <v>1</v>
      </c>
      <c r="W135" t="str">
        <f t="shared" si="9"/>
        <v/>
      </c>
      <c r="X135" t="str">
        <f t="shared" si="10"/>
        <v/>
      </c>
      <c r="Y135" t="str">
        <f t="shared" si="11"/>
        <v/>
      </c>
    </row>
    <row r="136" spans="1:25" x14ac:dyDescent="0.35">
      <c r="A136">
        <v>138</v>
      </c>
      <c r="B136" t="s">
        <v>654</v>
      </c>
      <c r="C136">
        <v>65700</v>
      </c>
      <c r="D136">
        <v>856</v>
      </c>
      <c r="E136" t="str">
        <f>IFERROR(IF(OR(HLOOKUP($A136,#REF!,3,FALSE)&gt;2,HLOOKUP(A136,#REF!,3,FALSE)&lt;-2),"",#REF!),"")</f>
        <v/>
      </c>
      <c r="F136" t="str">
        <f>IFERROR(IF(OR(HLOOKUP($A136,#REF!,4,FALSE)&gt;2,HLOOKUP($A136,#REF!,4,FALSE)&lt;-2),"",#REF!),"")</f>
        <v/>
      </c>
      <c r="G136" t="str">
        <f>IFERROR(IF(OR(HLOOKUP($A136,#REF!,5,FALSE)&gt;2,HLOOKUP($A136,#REF!,5,FALSE)&lt;-2),"",#REF!),"")</f>
        <v/>
      </c>
      <c r="H136" t="str">
        <f>IFERROR(IF(OR(HLOOKUP($A136,#REF!,6,FALSE)&gt;2,HLOOKUP($A136,#REF!,6,FALSE)&lt;-2),"",#REF!),"")</f>
        <v/>
      </c>
      <c r="I136" t="str">
        <f>IFERROR(IF(OR(HLOOKUP($A136,#REF!,7,FALSE)&gt;2,HLOOKUP($A136,#REF!,7,FALSE)&lt;-2),"",#REF!),"")</f>
        <v/>
      </c>
      <c r="J136" t="str">
        <f>IFERROR(IF(OR(HLOOKUP($A136,#REF!,8,FALSE)&gt;2,HLOOKUP($A136,#REF!,8,FALSE)&lt;-2),"",#REF!),"")</f>
        <v/>
      </c>
      <c r="K136" t="str">
        <f>IFERROR(IF(OR(HLOOKUP($A136,#REF!,9,FALSE)&gt;2,HLOOKUP($A136,#REF!,9,FALSE)&lt;-2),"",#REF!),"")</f>
        <v/>
      </c>
      <c r="L136" t="str">
        <f>IFERROR(IF(OR(HLOOKUP($A136,#REF!,10,FALSE)&gt;2,HLOOKUP($A136,#REF!,10,FALSE)&lt;-2),"",#REF!),"")</f>
        <v/>
      </c>
      <c r="M136" t="str">
        <f>IFERROR(IF(OR(HLOOKUP($A136,#REF!,11,FALSE)&gt;2,HLOOKUP($A136,#REF!,11,FALSE)&lt;-2),"",#REF!),"")</f>
        <v/>
      </c>
      <c r="N136" t="str">
        <f>IFERROR(IF(OR(HLOOKUP($A136,#REF!,12,FALSE)&gt;2,HLOOKUP($A136,#REF!,12,FALSE)&lt;-2),"",#REF!),"")</f>
        <v/>
      </c>
      <c r="O136" t="str">
        <f>IFERROR(IF(OR(HLOOKUP($A136,#REF!,13,FALSE)&gt;2,HLOOKUP($A136,#REF!,13,FALSE)&lt;-2),"",#REF!),"")</f>
        <v/>
      </c>
      <c r="P136" t="str">
        <f>IFERROR(IF(OR(HLOOKUP($A136,#REF!,14,FALSE)&gt;2,HLOOKUP($A136,#REF!,14,FALSE)&lt;-2),"",#REF!),"")</f>
        <v/>
      </c>
      <c r="Q136" t="str">
        <f>IFERROR(IF(OR(HLOOKUP($A136,#REF!,15,FALSE)&gt;2,HLOOKUP($A136,#REF!,15,FALSE)&lt;-2),"",#REF!),"")</f>
        <v/>
      </c>
      <c r="R136" t="str">
        <f>IFERROR(IF(OR(HLOOKUP($A136,#REF!,16,FALSE)&gt;2,HLOOKUP($A136,#REF!,16,FALSE)&lt;-2),"",#REF!),"")</f>
        <v/>
      </c>
      <c r="S136" t="str">
        <f>IFERROR(IF(OR(HLOOKUP($A136,#REF!,17,FALSE)&gt;2,HLOOKUP($A136,#REF!,17,FALSE)&lt;-2),"",#REF!),"")</f>
        <v/>
      </c>
      <c r="T136" t="str">
        <f>IFERROR(IF(OR(HLOOKUP($A136,#REF!,18,FALSE)&gt;2,HLOOKUP($A136,#REF!,18,FALSE)&lt;-2),"",#REF!),"")</f>
        <v/>
      </c>
      <c r="U136" t="str">
        <f>IFERROR(IF(OR(HLOOKUP($A136,#REF!,19,FALSE)&gt;2,HLOOKUP($A136,#REF!,19,FALSE)&lt;-2),"",#REF!),"")</f>
        <v/>
      </c>
      <c r="V136">
        <f t="shared" si="8"/>
        <v>1</v>
      </c>
      <c r="W136" t="str">
        <f t="shared" si="9"/>
        <v/>
      </c>
      <c r="X136" t="str">
        <f t="shared" si="10"/>
        <v/>
      </c>
      <c r="Y136" t="str">
        <f t="shared" si="11"/>
        <v/>
      </c>
    </row>
    <row r="137" spans="1:25" x14ac:dyDescent="0.35">
      <c r="A137">
        <v>139</v>
      </c>
      <c r="B137" t="s">
        <v>655</v>
      </c>
      <c r="C137">
        <v>42200</v>
      </c>
      <c r="D137">
        <v>918</v>
      </c>
      <c r="E137" t="str">
        <f>IFERROR(IF(OR(HLOOKUP($A137,#REF!,3,FALSE)&gt;2,HLOOKUP(A137,#REF!,3,FALSE)&lt;-2),"",#REF!),"")</f>
        <v/>
      </c>
      <c r="F137" t="str">
        <f>IFERROR(IF(OR(HLOOKUP($A137,#REF!,4,FALSE)&gt;2,HLOOKUP($A137,#REF!,4,FALSE)&lt;-2),"",#REF!),"")</f>
        <v/>
      </c>
      <c r="G137" t="str">
        <f>IFERROR(IF(OR(HLOOKUP($A137,#REF!,5,FALSE)&gt;2,HLOOKUP($A137,#REF!,5,FALSE)&lt;-2),"",#REF!),"")</f>
        <v/>
      </c>
      <c r="H137" t="str">
        <f>IFERROR(IF(OR(HLOOKUP($A137,#REF!,6,FALSE)&gt;2,HLOOKUP($A137,#REF!,6,FALSE)&lt;-2),"",#REF!),"")</f>
        <v/>
      </c>
      <c r="I137" t="str">
        <f>IFERROR(IF(OR(HLOOKUP($A137,#REF!,7,FALSE)&gt;2,HLOOKUP($A137,#REF!,7,FALSE)&lt;-2),"",#REF!),"")</f>
        <v/>
      </c>
      <c r="J137" t="str">
        <f>IFERROR(IF(OR(HLOOKUP($A137,#REF!,8,FALSE)&gt;2,HLOOKUP($A137,#REF!,8,FALSE)&lt;-2),"",#REF!),"")</f>
        <v/>
      </c>
      <c r="K137" t="str">
        <f>IFERROR(IF(OR(HLOOKUP($A137,#REF!,9,FALSE)&gt;2,HLOOKUP($A137,#REF!,9,FALSE)&lt;-2),"",#REF!),"")</f>
        <v/>
      </c>
      <c r="L137" t="str">
        <f>IFERROR(IF(OR(HLOOKUP($A137,#REF!,10,FALSE)&gt;2,HLOOKUP($A137,#REF!,10,FALSE)&lt;-2),"",#REF!),"")</f>
        <v/>
      </c>
      <c r="M137" t="str">
        <f>IFERROR(IF(OR(HLOOKUP($A137,#REF!,11,FALSE)&gt;2,HLOOKUP($A137,#REF!,11,FALSE)&lt;-2),"",#REF!),"")</f>
        <v/>
      </c>
      <c r="N137" t="str">
        <f>IFERROR(IF(OR(HLOOKUP($A137,#REF!,12,FALSE)&gt;2,HLOOKUP($A137,#REF!,12,FALSE)&lt;-2),"",#REF!),"")</f>
        <v/>
      </c>
      <c r="O137" t="str">
        <f>IFERROR(IF(OR(HLOOKUP($A137,#REF!,13,FALSE)&gt;2,HLOOKUP($A137,#REF!,13,FALSE)&lt;-2),"",#REF!),"")</f>
        <v/>
      </c>
      <c r="P137" t="str">
        <f>IFERROR(IF(OR(HLOOKUP($A137,#REF!,14,FALSE)&gt;2,HLOOKUP($A137,#REF!,14,FALSE)&lt;-2),"",#REF!),"")</f>
        <v/>
      </c>
      <c r="Q137" t="str">
        <f>IFERROR(IF(OR(HLOOKUP($A137,#REF!,15,FALSE)&gt;2,HLOOKUP($A137,#REF!,15,FALSE)&lt;-2),"",#REF!),"")</f>
        <v/>
      </c>
      <c r="R137" t="str">
        <f>IFERROR(IF(OR(HLOOKUP($A137,#REF!,16,FALSE)&gt;2,HLOOKUP($A137,#REF!,16,FALSE)&lt;-2),"",#REF!),"")</f>
        <v/>
      </c>
      <c r="S137" t="str">
        <f>IFERROR(IF(OR(HLOOKUP($A137,#REF!,17,FALSE)&gt;2,HLOOKUP($A137,#REF!,17,FALSE)&lt;-2),"",#REF!),"")</f>
        <v/>
      </c>
      <c r="T137" t="str">
        <f>IFERROR(IF(OR(HLOOKUP($A137,#REF!,18,FALSE)&gt;2,HLOOKUP($A137,#REF!,18,FALSE)&lt;-2),"",#REF!),"")</f>
        <v/>
      </c>
      <c r="U137" t="str">
        <f>IFERROR(IF(OR(HLOOKUP($A137,#REF!,19,FALSE)&gt;2,HLOOKUP($A137,#REF!,19,FALSE)&lt;-2),"",#REF!),"")</f>
        <v/>
      </c>
      <c r="V137">
        <f t="shared" si="8"/>
        <v>1</v>
      </c>
      <c r="W137" t="str">
        <f t="shared" si="9"/>
        <v/>
      </c>
      <c r="X137" t="str">
        <f t="shared" si="10"/>
        <v/>
      </c>
      <c r="Y137" t="str">
        <f t="shared" si="11"/>
        <v/>
      </c>
    </row>
    <row r="138" spans="1:25" x14ac:dyDescent="0.35">
      <c r="A138">
        <v>140</v>
      </c>
      <c r="B138" t="s">
        <v>85</v>
      </c>
      <c r="C138">
        <v>116600</v>
      </c>
      <c r="D138">
        <v>73</v>
      </c>
      <c r="E138" t="str">
        <f>IFERROR(IF(OR(HLOOKUP($A138,#REF!,3,FALSE)&gt;2,HLOOKUP(A138,#REF!,3,FALSE)&lt;-2),"",#REF!),"")</f>
        <v/>
      </c>
      <c r="F138" t="str">
        <f>IFERROR(IF(OR(HLOOKUP($A138,#REF!,4,FALSE)&gt;2,HLOOKUP($A138,#REF!,4,FALSE)&lt;-2),"",#REF!),"")</f>
        <v/>
      </c>
      <c r="G138" t="str">
        <f>IFERROR(IF(OR(HLOOKUP($A138,#REF!,5,FALSE)&gt;2,HLOOKUP($A138,#REF!,5,FALSE)&lt;-2),"",#REF!),"")</f>
        <v/>
      </c>
      <c r="H138" t="str">
        <f>IFERROR(IF(OR(HLOOKUP($A138,#REF!,6,FALSE)&gt;2,HLOOKUP($A138,#REF!,6,FALSE)&lt;-2),"",#REF!),"")</f>
        <v/>
      </c>
      <c r="I138" t="str">
        <f>IFERROR(IF(OR(HLOOKUP($A138,#REF!,7,FALSE)&gt;2,HLOOKUP($A138,#REF!,7,FALSE)&lt;-2),"",#REF!),"")</f>
        <v/>
      </c>
      <c r="J138" t="str">
        <f>IFERROR(IF(OR(HLOOKUP($A138,#REF!,8,FALSE)&gt;2,HLOOKUP($A138,#REF!,8,FALSE)&lt;-2),"",#REF!),"")</f>
        <v/>
      </c>
      <c r="K138" t="str">
        <f>IFERROR(IF(OR(HLOOKUP($A138,#REF!,9,FALSE)&gt;2,HLOOKUP($A138,#REF!,9,FALSE)&lt;-2),"",#REF!),"")</f>
        <v/>
      </c>
      <c r="L138" t="str">
        <f>IFERROR(IF(OR(HLOOKUP($A138,#REF!,10,FALSE)&gt;2,HLOOKUP($A138,#REF!,10,FALSE)&lt;-2),"",#REF!),"")</f>
        <v/>
      </c>
      <c r="M138" t="str">
        <f>IFERROR(IF(OR(HLOOKUP($A138,#REF!,11,FALSE)&gt;2,HLOOKUP($A138,#REF!,11,FALSE)&lt;-2),"",#REF!),"")</f>
        <v/>
      </c>
      <c r="N138" t="str">
        <f>IFERROR(IF(OR(HLOOKUP($A138,#REF!,12,FALSE)&gt;2,HLOOKUP($A138,#REF!,12,FALSE)&lt;-2),"",#REF!),"")</f>
        <v/>
      </c>
      <c r="O138" t="str">
        <f>IFERROR(IF(OR(HLOOKUP($A138,#REF!,13,FALSE)&gt;2,HLOOKUP($A138,#REF!,13,FALSE)&lt;-2),"",#REF!),"")</f>
        <v/>
      </c>
      <c r="P138" t="str">
        <f>IFERROR(IF(OR(HLOOKUP($A138,#REF!,14,FALSE)&gt;2,HLOOKUP($A138,#REF!,14,FALSE)&lt;-2),"",#REF!),"")</f>
        <v/>
      </c>
      <c r="Q138" t="str">
        <f>IFERROR(IF(OR(HLOOKUP($A138,#REF!,15,FALSE)&gt;2,HLOOKUP($A138,#REF!,15,FALSE)&lt;-2),"",#REF!),"")</f>
        <v/>
      </c>
      <c r="R138" t="str">
        <f>IFERROR(IF(OR(HLOOKUP($A138,#REF!,16,FALSE)&gt;2,HLOOKUP($A138,#REF!,16,FALSE)&lt;-2),"",#REF!),"")</f>
        <v/>
      </c>
      <c r="S138" t="str">
        <f>IFERROR(IF(OR(HLOOKUP($A138,#REF!,17,FALSE)&gt;2,HLOOKUP($A138,#REF!,17,FALSE)&lt;-2),"",#REF!),"")</f>
        <v/>
      </c>
      <c r="T138" t="str">
        <f>IFERROR(IF(OR(HLOOKUP($A138,#REF!,18,FALSE)&gt;2,HLOOKUP($A138,#REF!,18,FALSE)&lt;-2),"",#REF!),"")</f>
        <v/>
      </c>
      <c r="U138" t="str">
        <f>IFERROR(IF(OR(HLOOKUP($A138,#REF!,19,FALSE)&gt;2,HLOOKUP($A138,#REF!,19,FALSE)&lt;-2),"",#REF!),"")</f>
        <v/>
      </c>
      <c r="V138">
        <f t="shared" si="8"/>
        <v>1</v>
      </c>
      <c r="W138" t="str">
        <f t="shared" si="9"/>
        <v/>
      </c>
      <c r="X138" t="str">
        <f t="shared" si="10"/>
        <v/>
      </c>
      <c r="Y138" t="str">
        <f t="shared" si="11"/>
        <v/>
      </c>
    </row>
    <row r="139" spans="1:25" x14ac:dyDescent="0.35">
      <c r="A139">
        <v>141</v>
      </c>
      <c r="B139" t="s">
        <v>656</v>
      </c>
      <c r="C139">
        <v>71900</v>
      </c>
      <c r="D139">
        <v>1097</v>
      </c>
      <c r="E139" t="str">
        <f>IFERROR(IF(OR(HLOOKUP($A139,#REF!,3,FALSE)&gt;2,HLOOKUP(A139,#REF!,3,FALSE)&lt;-2),"",#REF!),"")</f>
        <v/>
      </c>
      <c r="F139" t="str">
        <f>IFERROR(IF(OR(HLOOKUP($A139,#REF!,4,FALSE)&gt;2,HLOOKUP($A139,#REF!,4,FALSE)&lt;-2),"",#REF!),"")</f>
        <v/>
      </c>
      <c r="G139" t="str">
        <f>IFERROR(IF(OR(HLOOKUP($A139,#REF!,5,FALSE)&gt;2,HLOOKUP($A139,#REF!,5,FALSE)&lt;-2),"",#REF!),"")</f>
        <v/>
      </c>
      <c r="H139" t="str">
        <f>IFERROR(IF(OR(HLOOKUP($A139,#REF!,6,FALSE)&gt;2,HLOOKUP($A139,#REF!,6,FALSE)&lt;-2),"",#REF!),"")</f>
        <v/>
      </c>
      <c r="I139" t="str">
        <f>IFERROR(IF(OR(HLOOKUP($A139,#REF!,7,FALSE)&gt;2,HLOOKUP($A139,#REF!,7,FALSE)&lt;-2),"",#REF!),"")</f>
        <v/>
      </c>
      <c r="J139" t="str">
        <f>IFERROR(IF(OR(HLOOKUP($A139,#REF!,8,FALSE)&gt;2,HLOOKUP($A139,#REF!,8,FALSE)&lt;-2),"",#REF!),"")</f>
        <v/>
      </c>
      <c r="K139" t="str">
        <f>IFERROR(IF(OR(HLOOKUP($A139,#REF!,9,FALSE)&gt;2,HLOOKUP($A139,#REF!,9,FALSE)&lt;-2),"",#REF!),"")</f>
        <v/>
      </c>
      <c r="L139" t="str">
        <f>IFERROR(IF(OR(HLOOKUP($A139,#REF!,10,FALSE)&gt;2,HLOOKUP($A139,#REF!,10,FALSE)&lt;-2),"",#REF!),"")</f>
        <v/>
      </c>
      <c r="M139" t="str">
        <f>IFERROR(IF(OR(HLOOKUP($A139,#REF!,11,FALSE)&gt;2,HLOOKUP($A139,#REF!,11,FALSE)&lt;-2),"",#REF!),"")</f>
        <v/>
      </c>
      <c r="N139" t="str">
        <f>IFERROR(IF(OR(HLOOKUP($A139,#REF!,12,FALSE)&gt;2,HLOOKUP($A139,#REF!,12,FALSE)&lt;-2),"",#REF!),"")</f>
        <v/>
      </c>
      <c r="O139" t="str">
        <f>IFERROR(IF(OR(HLOOKUP($A139,#REF!,13,FALSE)&gt;2,HLOOKUP($A139,#REF!,13,FALSE)&lt;-2),"",#REF!),"")</f>
        <v/>
      </c>
      <c r="P139" t="str">
        <f>IFERROR(IF(OR(HLOOKUP($A139,#REF!,14,FALSE)&gt;2,HLOOKUP($A139,#REF!,14,FALSE)&lt;-2),"",#REF!),"")</f>
        <v/>
      </c>
      <c r="Q139" t="str">
        <f>IFERROR(IF(OR(HLOOKUP($A139,#REF!,15,FALSE)&gt;2,HLOOKUP($A139,#REF!,15,FALSE)&lt;-2),"",#REF!),"")</f>
        <v/>
      </c>
      <c r="R139" t="str">
        <f>IFERROR(IF(OR(HLOOKUP($A139,#REF!,16,FALSE)&gt;2,HLOOKUP($A139,#REF!,16,FALSE)&lt;-2),"",#REF!),"")</f>
        <v/>
      </c>
      <c r="S139" t="str">
        <f>IFERROR(IF(OR(HLOOKUP($A139,#REF!,17,FALSE)&gt;2,HLOOKUP($A139,#REF!,17,FALSE)&lt;-2),"",#REF!),"")</f>
        <v/>
      </c>
      <c r="T139" t="str">
        <f>IFERROR(IF(OR(HLOOKUP($A139,#REF!,18,FALSE)&gt;2,HLOOKUP($A139,#REF!,18,FALSE)&lt;-2),"",#REF!),"")</f>
        <v/>
      </c>
      <c r="U139" t="str">
        <f>IFERROR(IF(OR(HLOOKUP($A139,#REF!,19,FALSE)&gt;2,HLOOKUP($A139,#REF!,19,FALSE)&lt;-2),"",#REF!),"")</f>
        <v/>
      </c>
      <c r="V139">
        <f t="shared" si="8"/>
        <v>1</v>
      </c>
      <c r="W139" t="str">
        <f t="shared" si="9"/>
        <v/>
      </c>
      <c r="X139" t="str">
        <f t="shared" si="10"/>
        <v/>
      </c>
      <c r="Y139" t="str">
        <f t="shared" si="11"/>
        <v/>
      </c>
    </row>
    <row r="140" spans="1:25" x14ac:dyDescent="0.35">
      <c r="A140">
        <v>142</v>
      </c>
      <c r="B140" t="s">
        <v>657</v>
      </c>
      <c r="C140">
        <v>108700</v>
      </c>
      <c r="D140">
        <v>760</v>
      </c>
      <c r="E140" t="str">
        <f>IFERROR(IF(OR(HLOOKUP($A140,#REF!,3,FALSE)&gt;2,HLOOKUP(A140,#REF!,3,FALSE)&lt;-2),"",#REF!),"")</f>
        <v/>
      </c>
      <c r="F140" t="str">
        <f>IFERROR(IF(OR(HLOOKUP($A140,#REF!,4,FALSE)&gt;2,HLOOKUP($A140,#REF!,4,FALSE)&lt;-2),"",#REF!),"")</f>
        <v/>
      </c>
      <c r="G140" t="str">
        <f>IFERROR(IF(OR(HLOOKUP($A140,#REF!,5,FALSE)&gt;2,HLOOKUP($A140,#REF!,5,FALSE)&lt;-2),"",#REF!),"")</f>
        <v/>
      </c>
      <c r="H140" t="str">
        <f>IFERROR(IF(OR(HLOOKUP($A140,#REF!,6,FALSE)&gt;2,HLOOKUP($A140,#REF!,6,FALSE)&lt;-2),"",#REF!),"")</f>
        <v/>
      </c>
      <c r="I140" t="str">
        <f>IFERROR(IF(OR(HLOOKUP($A140,#REF!,7,FALSE)&gt;2,HLOOKUP($A140,#REF!,7,FALSE)&lt;-2),"",#REF!),"")</f>
        <v/>
      </c>
      <c r="J140" t="str">
        <f>IFERROR(IF(OR(HLOOKUP($A140,#REF!,8,FALSE)&gt;2,HLOOKUP($A140,#REF!,8,FALSE)&lt;-2),"",#REF!),"")</f>
        <v/>
      </c>
      <c r="K140" t="str">
        <f>IFERROR(IF(OR(HLOOKUP($A140,#REF!,9,FALSE)&gt;2,HLOOKUP($A140,#REF!,9,FALSE)&lt;-2),"",#REF!),"")</f>
        <v/>
      </c>
      <c r="L140" t="str">
        <f>IFERROR(IF(OR(HLOOKUP($A140,#REF!,10,FALSE)&gt;2,HLOOKUP($A140,#REF!,10,FALSE)&lt;-2),"",#REF!),"")</f>
        <v/>
      </c>
      <c r="M140" t="str">
        <f>IFERROR(IF(OR(HLOOKUP($A140,#REF!,11,FALSE)&gt;2,HLOOKUP($A140,#REF!,11,FALSE)&lt;-2),"",#REF!),"")</f>
        <v/>
      </c>
      <c r="N140" t="str">
        <f>IFERROR(IF(OR(HLOOKUP($A140,#REF!,12,FALSE)&gt;2,HLOOKUP($A140,#REF!,12,FALSE)&lt;-2),"",#REF!),"")</f>
        <v/>
      </c>
      <c r="O140" t="str">
        <f>IFERROR(IF(OR(HLOOKUP($A140,#REF!,13,FALSE)&gt;2,HLOOKUP($A140,#REF!,13,FALSE)&lt;-2),"",#REF!),"")</f>
        <v/>
      </c>
      <c r="P140" t="str">
        <f>IFERROR(IF(OR(HLOOKUP($A140,#REF!,14,FALSE)&gt;2,HLOOKUP($A140,#REF!,14,FALSE)&lt;-2),"",#REF!),"")</f>
        <v/>
      </c>
      <c r="Q140" t="str">
        <f>IFERROR(IF(OR(HLOOKUP($A140,#REF!,15,FALSE)&gt;2,HLOOKUP($A140,#REF!,15,FALSE)&lt;-2),"",#REF!),"")</f>
        <v/>
      </c>
      <c r="R140" t="str">
        <f>IFERROR(IF(OR(HLOOKUP($A140,#REF!,16,FALSE)&gt;2,HLOOKUP($A140,#REF!,16,FALSE)&lt;-2),"",#REF!),"")</f>
        <v/>
      </c>
      <c r="S140" t="str">
        <f>IFERROR(IF(OR(HLOOKUP($A140,#REF!,17,FALSE)&gt;2,HLOOKUP($A140,#REF!,17,FALSE)&lt;-2),"",#REF!),"")</f>
        <v/>
      </c>
      <c r="T140" t="str">
        <f>IFERROR(IF(OR(HLOOKUP($A140,#REF!,18,FALSE)&gt;2,HLOOKUP($A140,#REF!,18,FALSE)&lt;-2),"",#REF!),"")</f>
        <v/>
      </c>
      <c r="U140" t="str">
        <f>IFERROR(IF(OR(HLOOKUP($A140,#REF!,19,FALSE)&gt;2,HLOOKUP($A140,#REF!,19,FALSE)&lt;-2),"",#REF!),"")</f>
        <v/>
      </c>
      <c r="V140">
        <f t="shared" si="8"/>
        <v>1</v>
      </c>
      <c r="W140" t="str">
        <f t="shared" si="9"/>
        <v/>
      </c>
      <c r="X140" t="str">
        <f t="shared" si="10"/>
        <v/>
      </c>
      <c r="Y140" t="str">
        <f t="shared" si="11"/>
        <v/>
      </c>
    </row>
    <row r="141" spans="1:25" x14ac:dyDescent="0.35">
      <c r="A141">
        <v>143</v>
      </c>
      <c r="B141" t="s">
        <v>86</v>
      </c>
      <c r="C141">
        <v>93000</v>
      </c>
      <c r="D141">
        <v>135</v>
      </c>
      <c r="E141" t="str">
        <f>IFERROR(IF(OR(HLOOKUP($A141,#REF!,3,FALSE)&gt;2,HLOOKUP(A141,#REF!,3,FALSE)&lt;-2),"",#REF!),"")</f>
        <v/>
      </c>
      <c r="F141" t="str">
        <f>IFERROR(IF(OR(HLOOKUP($A141,#REF!,4,FALSE)&gt;2,HLOOKUP($A141,#REF!,4,FALSE)&lt;-2),"",#REF!),"")</f>
        <v/>
      </c>
      <c r="G141" t="str">
        <f>IFERROR(IF(OR(HLOOKUP($A141,#REF!,5,FALSE)&gt;2,HLOOKUP($A141,#REF!,5,FALSE)&lt;-2),"",#REF!),"")</f>
        <v/>
      </c>
      <c r="H141" t="str">
        <f>IFERROR(IF(OR(HLOOKUP($A141,#REF!,6,FALSE)&gt;2,HLOOKUP($A141,#REF!,6,FALSE)&lt;-2),"",#REF!),"")</f>
        <v/>
      </c>
      <c r="I141" t="str">
        <f>IFERROR(IF(OR(HLOOKUP($A141,#REF!,7,FALSE)&gt;2,HLOOKUP($A141,#REF!,7,FALSE)&lt;-2),"",#REF!),"")</f>
        <v/>
      </c>
      <c r="J141" t="str">
        <f>IFERROR(IF(OR(HLOOKUP($A141,#REF!,8,FALSE)&gt;2,HLOOKUP($A141,#REF!,8,FALSE)&lt;-2),"",#REF!),"")</f>
        <v/>
      </c>
      <c r="K141" t="str">
        <f>IFERROR(IF(OR(HLOOKUP($A141,#REF!,9,FALSE)&gt;2,HLOOKUP($A141,#REF!,9,FALSE)&lt;-2),"",#REF!),"")</f>
        <v/>
      </c>
      <c r="L141" t="str">
        <f>IFERROR(IF(OR(HLOOKUP($A141,#REF!,10,FALSE)&gt;2,HLOOKUP($A141,#REF!,10,FALSE)&lt;-2),"",#REF!),"")</f>
        <v/>
      </c>
      <c r="M141" t="str">
        <f>IFERROR(IF(OR(HLOOKUP($A141,#REF!,11,FALSE)&gt;2,HLOOKUP($A141,#REF!,11,FALSE)&lt;-2),"",#REF!),"")</f>
        <v/>
      </c>
      <c r="N141" t="str">
        <f>IFERROR(IF(OR(HLOOKUP($A141,#REF!,12,FALSE)&gt;2,HLOOKUP($A141,#REF!,12,FALSE)&lt;-2),"",#REF!),"")</f>
        <v/>
      </c>
      <c r="O141" t="str">
        <f>IFERROR(IF(OR(HLOOKUP($A141,#REF!,13,FALSE)&gt;2,HLOOKUP($A141,#REF!,13,FALSE)&lt;-2),"",#REF!),"")</f>
        <v/>
      </c>
      <c r="P141" t="str">
        <f>IFERROR(IF(OR(HLOOKUP($A141,#REF!,14,FALSE)&gt;2,HLOOKUP($A141,#REF!,14,FALSE)&lt;-2),"",#REF!),"")</f>
        <v/>
      </c>
      <c r="Q141" t="str">
        <f>IFERROR(IF(OR(HLOOKUP($A141,#REF!,15,FALSE)&gt;2,HLOOKUP($A141,#REF!,15,FALSE)&lt;-2),"",#REF!),"")</f>
        <v/>
      </c>
      <c r="R141" t="str">
        <f>IFERROR(IF(OR(HLOOKUP($A141,#REF!,16,FALSE)&gt;2,HLOOKUP($A141,#REF!,16,FALSE)&lt;-2),"",#REF!),"")</f>
        <v/>
      </c>
      <c r="S141" t="str">
        <f>IFERROR(IF(OR(HLOOKUP($A141,#REF!,17,FALSE)&gt;2,HLOOKUP($A141,#REF!,17,FALSE)&lt;-2),"",#REF!),"")</f>
        <v/>
      </c>
      <c r="T141" t="str">
        <f>IFERROR(IF(OR(HLOOKUP($A141,#REF!,18,FALSE)&gt;2,HLOOKUP($A141,#REF!,18,FALSE)&lt;-2),"",#REF!),"")</f>
        <v/>
      </c>
      <c r="U141" t="str">
        <f>IFERROR(IF(OR(HLOOKUP($A141,#REF!,19,FALSE)&gt;2,HLOOKUP($A141,#REF!,19,FALSE)&lt;-2),"",#REF!),"")</f>
        <v/>
      </c>
      <c r="V141">
        <f t="shared" si="8"/>
        <v>1</v>
      </c>
      <c r="W141" t="str">
        <f t="shared" si="9"/>
        <v/>
      </c>
      <c r="X141" t="str">
        <f t="shared" si="10"/>
        <v/>
      </c>
      <c r="Y141" t="str">
        <f t="shared" si="11"/>
        <v/>
      </c>
    </row>
    <row r="142" spans="1:25" x14ac:dyDescent="0.35">
      <c r="A142">
        <v>144</v>
      </c>
      <c r="B142" t="s">
        <v>658</v>
      </c>
      <c r="C142">
        <v>48900</v>
      </c>
      <c r="D142">
        <v>754</v>
      </c>
      <c r="E142" t="str">
        <f>IFERROR(IF(OR(HLOOKUP($A142,#REF!,3,FALSE)&gt;2,HLOOKUP(A142,#REF!,3,FALSE)&lt;-2),"",#REF!),"")</f>
        <v/>
      </c>
      <c r="F142" t="str">
        <f>IFERROR(IF(OR(HLOOKUP($A142,#REF!,4,FALSE)&gt;2,HLOOKUP($A142,#REF!,4,FALSE)&lt;-2),"",#REF!),"")</f>
        <v/>
      </c>
      <c r="G142" t="str">
        <f>IFERROR(IF(OR(HLOOKUP($A142,#REF!,5,FALSE)&gt;2,HLOOKUP($A142,#REF!,5,FALSE)&lt;-2),"",#REF!),"")</f>
        <v/>
      </c>
      <c r="H142" t="str">
        <f>IFERROR(IF(OR(HLOOKUP($A142,#REF!,6,FALSE)&gt;2,HLOOKUP($A142,#REF!,6,FALSE)&lt;-2),"",#REF!),"")</f>
        <v/>
      </c>
      <c r="I142" t="str">
        <f>IFERROR(IF(OR(HLOOKUP($A142,#REF!,7,FALSE)&gt;2,HLOOKUP($A142,#REF!,7,FALSE)&lt;-2),"",#REF!),"")</f>
        <v/>
      </c>
      <c r="J142" t="str">
        <f>IFERROR(IF(OR(HLOOKUP($A142,#REF!,8,FALSE)&gt;2,HLOOKUP($A142,#REF!,8,FALSE)&lt;-2),"",#REF!),"")</f>
        <v/>
      </c>
      <c r="K142" t="str">
        <f>IFERROR(IF(OR(HLOOKUP($A142,#REF!,9,FALSE)&gt;2,HLOOKUP($A142,#REF!,9,FALSE)&lt;-2),"",#REF!),"")</f>
        <v/>
      </c>
      <c r="L142" t="str">
        <f>IFERROR(IF(OR(HLOOKUP($A142,#REF!,10,FALSE)&gt;2,HLOOKUP($A142,#REF!,10,FALSE)&lt;-2),"",#REF!),"")</f>
        <v/>
      </c>
      <c r="M142" t="str">
        <f>IFERROR(IF(OR(HLOOKUP($A142,#REF!,11,FALSE)&gt;2,HLOOKUP($A142,#REF!,11,FALSE)&lt;-2),"",#REF!),"")</f>
        <v/>
      </c>
      <c r="N142" t="str">
        <f>IFERROR(IF(OR(HLOOKUP($A142,#REF!,12,FALSE)&gt;2,HLOOKUP($A142,#REF!,12,FALSE)&lt;-2),"",#REF!),"")</f>
        <v/>
      </c>
      <c r="O142" t="str">
        <f>IFERROR(IF(OR(HLOOKUP($A142,#REF!,13,FALSE)&gt;2,HLOOKUP($A142,#REF!,13,FALSE)&lt;-2),"",#REF!),"")</f>
        <v/>
      </c>
      <c r="P142" t="str">
        <f>IFERROR(IF(OR(HLOOKUP($A142,#REF!,14,FALSE)&gt;2,HLOOKUP($A142,#REF!,14,FALSE)&lt;-2),"",#REF!),"")</f>
        <v/>
      </c>
      <c r="Q142" t="str">
        <f>IFERROR(IF(OR(HLOOKUP($A142,#REF!,15,FALSE)&gt;2,HLOOKUP($A142,#REF!,15,FALSE)&lt;-2),"",#REF!),"")</f>
        <v/>
      </c>
      <c r="R142" t="str">
        <f>IFERROR(IF(OR(HLOOKUP($A142,#REF!,16,FALSE)&gt;2,HLOOKUP($A142,#REF!,16,FALSE)&lt;-2),"",#REF!),"")</f>
        <v/>
      </c>
      <c r="S142" t="str">
        <f>IFERROR(IF(OR(HLOOKUP($A142,#REF!,17,FALSE)&gt;2,HLOOKUP($A142,#REF!,17,FALSE)&lt;-2),"",#REF!),"")</f>
        <v/>
      </c>
      <c r="T142" t="str">
        <f>IFERROR(IF(OR(HLOOKUP($A142,#REF!,18,FALSE)&gt;2,HLOOKUP($A142,#REF!,18,FALSE)&lt;-2),"",#REF!),"")</f>
        <v/>
      </c>
      <c r="U142" t="str">
        <f>IFERROR(IF(OR(HLOOKUP($A142,#REF!,19,FALSE)&gt;2,HLOOKUP($A142,#REF!,19,FALSE)&lt;-2),"",#REF!),"")</f>
        <v/>
      </c>
      <c r="V142">
        <f t="shared" si="8"/>
        <v>1</v>
      </c>
      <c r="W142" t="str">
        <f t="shared" si="9"/>
        <v/>
      </c>
      <c r="X142" t="str">
        <f t="shared" si="10"/>
        <v/>
      </c>
      <c r="Y142" t="str">
        <f t="shared" si="11"/>
        <v/>
      </c>
    </row>
    <row r="143" spans="1:25" x14ac:dyDescent="0.35">
      <c r="A143">
        <v>145</v>
      </c>
      <c r="B143" t="s">
        <v>87</v>
      </c>
      <c r="C143">
        <v>116700</v>
      </c>
      <c r="D143">
        <v>73</v>
      </c>
      <c r="E143" t="str">
        <f>IFERROR(IF(OR(HLOOKUP($A143,#REF!,3,FALSE)&gt;2,HLOOKUP(A143,#REF!,3,FALSE)&lt;-2),"",#REF!),"")</f>
        <v/>
      </c>
      <c r="F143" t="str">
        <f>IFERROR(IF(OR(HLOOKUP($A143,#REF!,4,FALSE)&gt;2,HLOOKUP($A143,#REF!,4,FALSE)&lt;-2),"",#REF!),"")</f>
        <v/>
      </c>
      <c r="G143" t="str">
        <f>IFERROR(IF(OR(HLOOKUP($A143,#REF!,5,FALSE)&gt;2,HLOOKUP($A143,#REF!,5,FALSE)&lt;-2),"",#REF!),"")</f>
        <v/>
      </c>
      <c r="H143" t="str">
        <f>IFERROR(IF(OR(HLOOKUP($A143,#REF!,6,FALSE)&gt;2,HLOOKUP($A143,#REF!,6,FALSE)&lt;-2),"",#REF!),"")</f>
        <v/>
      </c>
      <c r="I143" t="str">
        <f>IFERROR(IF(OR(HLOOKUP($A143,#REF!,7,FALSE)&gt;2,HLOOKUP($A143,#REF!,7,FALSE)&lt;-2),"",#REF!),"")</f>
        <v/>
      </c>
      <c r="J143" t="str">
        <f>IFERROR(IF(OR(HLOOKUP($A143,#REF!,8,FALSE)&gt;2,HLOOKUP($A143,#REF!,8,FALSE)&lt;-2),"",#REF!),"")</f>
        <v/>
      </c>
      <c r="K143" t="str">
        <f>IFERROR(IF(OR(HLOOKUP($A143,#REF!,9,FALSE)&gt;2,HLOOKUP($A143,#REF!,9,FALSE)&lt;-2),"",#REF!),"")</f>
        <v/>
      </c>
      <c r="L143" t="str">
        <f>IFERROR(IF(OR(HLOOKUP($A143,#REF!,10,FALSE)&gt;2,HLOOKUP($A143,#REF!,10,FALSE)&lt;-2),"",#REF!),"")</f>
        <v/>
      </c>
      <c r="M143" t="str">
        <f>IFERROR(IF(OR(HLOOKUP($A143,#REF!,11,FALSE)&gt;2,HLOOKUP($A143,#REF!,11,FALSE)&lt;-2),"",#REF!),"")</f>
        <v/>
      </c>
      <c r="N143" t="str">
        <f>IFERROR(IF(OR(HLOOKUP($A143,#REF!,12,FALSE)&gt;2,HLOOKUP($A143,#REF!,12,FALSE)&lt;-2),"",#REF!),"")</f>
        <v/>
      </c>
      <c r="O143" t="str">
        <f>IFERROR(IF(OR(HLOOKUP($A143,#REF!,13,FALSE)&gt;2,HLOOKUP($A143,#REF!,13,FALSE)&lt;-2),"",#REF!),"")</f>
        <v/>
      </c>
      <c r="P143" t="str">
        <f>IFERROR(IF(OR(HLOOKUP($A143,#REF!,14,FALSE)&gt;2,HLOOKUP($A143,#REF!,14,FALSE)&lt;-2),"",#REF!),"")</f>
        <v/>
      </c>
      <c r="Q143" t="str">
        <f>IFERROR(IF(OR(HLOOKUP($A143,#REF!,15,FALSE)&gt;2,HLOOKUP($A143,#REF!,15,FALSE)&lt;-2),"",#REF!),"")</f>
        <v/>
      </c>
      <c r="R143" t="str">
        <f>IFERROR(IF(OR(HLOOKUP($A143,#REF!,16,FALSE)&gt;2,HLOOKUP($A143,#REF!,16,FALSE)&lt;-2),"",#REF!),"")</f>
        <v/>
      </c>
      <c r="S143" t="str">
        <f>IFERROR(IF(OR(HLOOKUP($A143,#REF!,17,FALSE)&gt;2,HLOOKUP($A143,#REF!,17,FALSE)&lt;-2),"",#REF!),"")</f>
        <v/>
      </c>
      <c r="T143" t="str">
        <f>IFERROR(IF(OR(HLOOKUP($A143,#REF!,18,FALSE)&gt;2,HLOOKUP($A143,#REF!,18,FALSE)&lt;-2),"",#REF!),"")</f>
        <v/>
      </c>
      <c r="U143" t="str">
        <f>IFERROR(IF(OR(HLOOKUP($A143,#REF!,19,FALSE)&gt;2,HLOOKUP($A143,#REF!,19,FALSE)&lt;-2),"",#REF!),"")</f>
        <v/>
      </c>
      <c r="V143">
        <f t="shared" si="8"/>
        <v>1</v>
      </c>
      <c r="W143" t="str">
        <f t="shared" si="9"/>
        <v/>
      </c>
      <c r="X143" t="str">
        <f t="shared" si="10"/>
        <v/>
      </c>
      <c r="Y143" t="str">
        <f t="shared" si="11"/>
        <v/>
      </c>
    </row>
    <row r="144" spans="1:25" x14ac:dyDescent="0.35">
      <c r="A144">
        <v>146</v>
      </c>
      <c r="B144" t="s">
        <v>88</v>
      </c>
      <c r="C144">
        <v>89000</v>
      </c>
      <c r="D144">
        <v>1117</v>
      </c>
      <c r="E144" t="str">
        <f>IFERROR(IF(OR(HLOOKUP($A144,#REF!,3,FALSE)&gt;2,HLOOKUP(A144,#REF!,3,FALSE)&lt;-2),"",#REF!),"")</f>
        <v/>
      </c>
      <c r="F144" t="str">
        <f>IFERROR(IF(OR(HLOOKUP($A144,#REF!,4,FALSE)&gt;2,HLOOKUP($A144,#REF!,4,FALSE)&lt;-2),"",#REF!),"")</f>
        <v/>
      </c>
      <c r="G144" t="str">
        <f>IFERROR(IF(OR(HLOOKUP($A144,#REF!,5,FALSE)&gt;2,HLOOKUP($A144,#REF!,5,FALSE)&lt;-2),"",#REF!),"")</f>
        <v/>
      </c>
      <c r="H144" t="str">
        <f>IFERROR(IF(OR(HLOOKUP($A144,#REF!,6,FALSE)&gt;2,HLOOKUP($A144,#REF!,6,FALSE)&lt;-2),"",#REF!),"")</f>
        <v/>
      </c>
      <c r="I144" t="str">
        <f>IFERROR(IF(OR(HLOOKUP($A144,#REF!,7,FALSE)&gt;2,HLOOKUP($A144,#REF!,7,FALSE)&lt;-2),"",#REF!),"")</f>
        <v/>
      </c>
      <c r="J144" t="str">
        <f>IFERROR(IF(OR(HLOOKUP($A144,#REF!,8,FALSE)&gt;2,HLOOKUP($A144,#REF!,8,FALSE)&lt;-2),"",#REF!),"")</f>
        <v/>
      </c>
      <c r="K144" t="str">
        <f>IFERROR(IF(OR(HLOOKUP($A144,#REF!,9,FALSE)&gt;2,HLOOKUP($A144,#REF!,9,FALSE)&lt;-2),"",#REF!),"")</f>
        <v/>
      </c>
      <c r="L144" t="str">
        <f>IFERROR(IF(OR(HLOOKUP($A144,#REF!,10,FALSE)&gt;2,HLOOKUP($A144,#REF!,10,FALSE)&lt;-2),"",#REF!),"")</f>
        <v/>
      </c>
      <c r="M144" t="str">
        <f>IFERROR(IF(OR(HLOOKUP($A144,#REF!,11,FALSE)&gt;2,HLOOKUP($A144,#REF!,11,FALSE)&lt;-2),"",#REF!),"")</f>
        <v/>
      </c>
      <c r="N144" t="str">
        <f>IFERROR(IF(OR(HLOOKUP($A144,#REF!,12,FALSE)&gt;2,HLOOKUP($A144,#REF!,12,FALSE)&lt;-2),"",#REF!),"")</f>
        <v/>
      </c>
      <c r="O144" t="str">
        <f>IFERROR(IF(OR(HLOOKUP($A144,#REF!,13,FALSE)&gt;2,HLOOKUP($A144,#REF!,13,FALSE)&lt;-2),"",#REF!),"")</f>
        <v/>
      </c>
      <c r="P144" t="str">
        <f>IFERROR(IF(OR(HLOOKUP($A144,#REF!,14,FALSE)&gt;2,HLOOKUP($A144,#REF!,14,FALSE)&lt;-2),"",#REF!),"")</f>
        <v/>
      </c>
      <c r="Q144" t="str">
        <f>IFERROR(IF(OR(HLOOKUP($A144,#REF!,15,FALSE)&gt;2,HLOOKUP($A144,#REF!,15,FALSE)&lt;-2),"",#REF!),"")</f>
        <v/>
      </c>
      <c r="R144" t="str">
        <f>IFERROR(IF(OR(HLOOKUP($A144,#REF!,16,FALSE)&gt;2,HLOOKUP($A144,#REF!,16,FALSE)&lt;-2),"",#REF!),"")</f>
        <v/>
      </c>
      <c r="S144" t="str">
        <f>IFERROR(IF(OR(HLOOKUP($A144,#REF!,17,FALSE)&gt;2,HLOOKUP($A144,#REF!,17,FALSE)&lt;-2),"",#REF!),"")</f>
        <v/>
      </c>
      <c r="T144" t="str">
        <f>IFERROR(IF(OR(HLOOKUP($A144,#REF!,18,FALSE)&gt;2,HLOOKUP($A144,#REF!,18,FALSE)&lt;-2),"",#REF!),"")</f>
        <v/>
      </c>
      <c r="U144" t="str">
        <f>IFERROR(IF(OR(HLOOKUP($A144,#REF!,19,FALSE)&gt;2,HLOOKUP($A144,#REF!,19,FALSE)&lt;-2),"",#REF!),"")</f>
        <v/>
      </c>
      <c r="V144">
        <f t="shared" si="8"/>
        <v>1</v>
      </c>
      <c r="W144" t="str">
        <f t="shared" si="9"/>
        <v/>
      </c>
      <c r="X144" t="str">
        <f t="shared" si="10"/>
        <v/>
      </c>
      <c r="Y144" t="str">
        <f t="shared" si="11"/>
        <v/>
      </c>
    </row>
    <row r="145" spans="1:25" x14ac:dyDescent="0.35">
      <c r="A145">
        <v>147</v>
      </c>
      <c r="B145" t="s">
        <v>89</v>
      </c>
      <c r="C145">
        <v>88700</v>
      </c>
      <c r="D145">
        <v>1117</v>
      </c>
      <c r="E145" t="str">
        <f>IFERROR(IF(OR(HLOOKUP($A145,#REF!,3,FALSE)&gt;2,HLOOKUP(A145,#REF!,3,FALSE)&lt;-2),"",#REF!),"")</f>
        <v/>
      </c>
      <c r="F145" t="str">
        <f>IFERROR(IF(OR(HLOOKUP($A145,#REF!,4,FALSE)&gt;2,HLOOKUP($A145,#REF!,4,FALSE)&lt;-2),"",#REF!),"")</f>
        <v/>
      </c>
      <c r="G145" t="str">
        <f>IFERROR(IF(OR(HLOOKUP($A145,#REF!,5,FALSE)&gt;2,HLOOKUP($A145,#REF!,5,FALSE)&lt;-2),"",#REF!),"")</f>
        <v/>
      </c>
      <c r="H145" t="str">
        <f>IFERROR(IF(OR(HLOOKUP($A145,#REF!,6,FALSE)&gt;2,HLOOKUP($A145,#REF!,6,FALSE)&lt;-2),"",#REF!),"")</f>
        <v/>
      </c>
      <c r="I145" t="str">
        <f>IFERROR(IF(OR(HLOOKUP($A145,#REF!,7,FALSE)&gt;2,HLOOKUP($A145,#REF!,7,FALSE)&lt;-2),"",#REF!),"")</f>
        <v/>
      </c>
      <c r="J145" t="str">
        <f>IFERROR(IF(OR(HLOOKUP($A145,#REF!,8,FALSE)&gt;2,HLOOKUP($A145,#REF!,8,FALSE)&lt;-2),"",#REF!),"")</f>
        <v/>
      </c>
      <c r="K145" t="str">
        <f>IFERROR(IF(OR(HLOOKUP($A145,#REF!,9,FALSE)&gt;2,HLOOKUP($A145,#REF!,9,FALSE)&lt;-2),"",#REF!),"")</f>
        <v/>
      </c>
      <c r="L145" t="str">
        <f>IFERROR(IF(OR(HLOOKUP($A145,#REF!,10,FALSE)&gt;2,HLOOKUP($A145,#REF!,10,FALSE)&lt;-2),"",#REF!),"")</f>
        <v/>
      </c>
      <c r="M145" t="str">
        <f>IFERROR(IF(OR(HLOOKUP($A145,#REF!,11,FALSE)&gt;2,HLOOKUP($A145,#REF!,11,FALSE)&lt;-2),"",#REF!),"")</f>
        <v/>
      </c>
      <c r="N145" t="str">
        <f>IFERROR(IF(OR(HLOOKUP($A145,#REF!,12,FALSE)&gt;2,HLOOKUP($A145,#REF!,12,FALSE)&lt;-2),"",#REF!),"")</f>
        <v/>
      </c>
      <c r="O145" t="str">
        <f>IFERROR(IF(OR(HLOOKUP($A145,#REF!,13,FALSE)&gt;2,HLOOKUP($A145,#REF!,13,FALSE)&lt;-2),"",#REF!),"")</f>
        <v/>
      </c>
      <c r="P145" t="str">
        <f>IFERROR(IF(OR(HLOOKUP($A145,#REF!,14,FALSE)&gt;2,HLOOKUP($A145,#REF!,14,FALSE)&lt;-2),"",#REF!),"")</f>
        <v/>
      </c>
      <c r="Q145" t="str">
        <f>IFERROR(IF(OR(HLOOKUP($A145,#REF!,15,FALSE)&gt;2,HLOOKUP($A145,#REF!,15,FALSE)&lt;-2),"",#REF!),"")</f>
        <v/>
      </c>
      <c r="R145" t="str">
        <f>IFERROR(IF(OR(HLOOKUP($A145,#REF!,16,FALSE)&gt;2,HLOOKUP($A145,#REF!,16,FALSE)&lt;-2),"",#REF!),"")</f>
        <v/>
      </c>
      <c r="S145" t="str">
        <f>IFERROR(IF(OR(HLOOKUP($A145,#REF!,17,FALSE)&gt;2,HLOOKUP($A145,#REF!,17,FALSE)&lt;-2),"",#REF!),"")</f>
        <v/>
      </c>
      <c r="T145" t="str">
        <f>IFERROR(IF(OR(HLOOKUP($A145,#REF!,18,FALSE)&gt;2,HLOOKUP($A145,#REF!,18,FALSE)&lt;-2),"",#REF!),"")</f>
        <v/>
      </c>
      <c r="U145" t="str">
        <f>IFERROR(IF(OR(HLOOKUP($A145,#REF!,19,FALSE)&gt;2,HLOOKUP($A145,#REF!,19,FALSE)&lt;-2),"",#REF!),"")</f>
        <v/>
      </c>
      <c r="V145">
        <f t="shared" si="8"/>
        <v>1</v>
      </c>
      <c r="W145" t="str">
        <f t="shared" si="9"/>
        <v/>
      </c>
      <c r="X145" t="str">
        <f t="shared" si="10"/>
        <v/>
      </c>
      <c r="Y145" t="str">
        <f t="shared" si="11"/>
        <v/>
      </c>
    </row>
    <row r="146" spans="1:25" x14ac:dyDescent="0.35">
      <c r="A146">
        <v>148</v>
      </c>
      <c r="B146" t="s">
        <v>90</v>
      </c>
      <c r="C146">
        <v>9400</v>
      </c>
      <c r="D146">
        <v>1057</v>
      </c>
      <c r="E146" t="str">
        <f>IFERROR(IF(OR(HLOOKUP($A146,#REF!,3,FALSE)&gt;2,HLOOKUP(A146,#REF!,3,FALSE)&lt;-2),"",#REF!),"")</f>
        <v/>
      </c>
      <c r="F146" t="str">
        <f>IFERROR(IF(OR(HLOOKUP($A146,#REF!,4,FALSE)&gt;2,HLOOKUP($A146,#REF!,4,FALSE)&lt;-2),"",#REF!),"")</f>
        <v/>
      </c>
      <c r="G146" t="str">
        <f>IFERROR(IF(OR(HLOOKUP($A146,#REF!,5,FALSE)&gt;2,HLOOKUP($A146,#REF!,5,FALSE)&lt;-2),"",#REF!),"")</f>
        <v/>
      </c>
      <c r="H146" t="str">
        <f>IFERROR(IF(OR(HLOOKUP($A146,#REF!,6,FALSE)&gt;2,HLOOKUP($A146,#REF!,6,FALSE)&lt;-2),"",#REF!),"")</f>
        <v/>
      </c>
      <c r="I146" t="str">
        <f>IFERROR(IF(OR(HLOOKUP($A146,#REF!,7,FALSE)&gt;2,HLOOKUP($A146,#REF!,7,FALSE)&lt;-2),"",#REF!),"")</f>
        <v/>
      </c>
      <c r="J146" t="str">
        <f>IFERROR(IF(OR(HLOOKUP($A146,#REF!,8,FALSE)&gt;2,HLOOKUP($A146,#REF!,8,FALSE)&lt;-2),"",#REF!),"")</f>
        <v/>
      </c>
      <c r="K146" t="str">
        <f>IFERROR(IF(OR(HLOOKUP($A146,#REF!,9,FALSE)&gt;2,HLOOKUP($A146,#REF!,9,FALSE)&lt;-2),"",#REF!),"")</f>
        <v/>
      </c>
      <c r="L146" t="str">
        <f>IFERROR(IF(OR(HLOOKUP($A146,#REF!,10,FALSE)&gt;2,HLOOKUP($A146,#REF!,10,FALSE)&lt;-2),"",#REF!),"")</f>
        <v/>
      </c>
      <c r="M146" t="str">
        <f>IFERROR(IF(OR(HLOOKUP($A146,#REF!,11,FALSE)&gt;2,HLOOKUP($A146,#REF!,11,FALSE)&lt;-2),"",#REF!),"")</f>
        <v/>
      </c>
      <c r="N146" t="str">
        <f>IFERROR(IF(OR(HLOOKUP($A146,#REF!,12,FALSE)&gt;2,HLOOKUP($A146,#REF!,12,FALSE)&lt;-2),"",#REF!),"")</f>
        <v/>
      </c>
      <c r="O146" t="str">
        <f>IFERROR(IF(OR(HLOOKUP($A146,#REF!,13,FALSE)&gt;2,HLOOKUP($A146,#REF!,13,FALSE)&lt;-2),"",#REF!),"")</f>
        <v/>
      </c>
      <c r="P146" t="str">
        <f>IFERROR(IF(OR(HLOOKUP($A146,#REF!,14,FALSE)&gt;2,HLOOKUP($A146,#REF!,14,FALSE)&lt;-2),"",#REF!),"")</f>
        <v/>
      </c>
      <c r="Q146" t="str">
        <f>IFERROR(IF(OR(HLOOKUP($A146,#REF!,15,FALSE)&gt;2,HLOOKUP($A146,#REF!,15,FALSE)&lt;-2),"",#REF!),"")</f>
        <v/>
      </c>
      <c r="R146" t="str">
        <f>IFERROR(IF(OR(HLOOKUP($A146,#REF!,16,FALSE)&gt;2,HLOOKUP($A146,#REF!,16,FALSE)&lt;-2),"",#REF!),"")</f>
        <v/>
      </c>
      <c r="S146" t="str">
        <f>IFERROR(IF(OR(HLOOKUP($A146,#REF!,17,FALSE)&gt;2,HLOOKUP($A146,#REF!,17,FALSE)&lt;-2),"",#REF!),"")</f>
        <v/>
      </c>
      <c r="T146" t="str">
        <f>IFERROR(IF(OR(HLOOKUP($A146,#REF!,18,FALSE)&gt;2,HLOOKUP($A146,#REF!,18,FALSE)&lt;-2),"",#REF!),"")</f>
        <v/>
      </c>
      <c r="U146" t="str">
        <f>IFERROR(IF(OR(HLOOKUP($A146,#REF!,19,FALSE)&gt;2,HLOOKUP($A146,#REF!,19,FALSE)&lt;-2),"",#REF!),"")</f>
        <v/>
      </c>
      <c r="V146">
        <f t="shared" si="8"/>
        <v>1</v>
      </c>
      <c r="W146" t="str">
        <f t="shared" si="9"/>
        <v/>
      </c>
      <c r="X146" t="str">
        <f t="shared" si="10"/>
        <v/>
      </c>
      <c r="Y146" t="str">
        <f t="shared" si="11"/>
        <v/>
      </c>
    </row>
    <row r="147" spans="1:25" x14ac:dyDescent="0.35">
      <c r="A147">
        <v>149</v>
      </c>
      <c r="B147" t="s">
        <v>659</v>
      </c>
      <c r="C147">
        <v>68000</v>
      </c>
      <c r="D147">
        <v>571</v>
      </c>
      <c r="E147" t="str">
        <f>IFERROR(IF(OR(HLOOKUP($A147,#REF!,3,FALSE)&gt;2,HLOOKUP(A147,#REF!,3,FALSE)&lt;-2),"",#REF!),"")</f>
        <v/>
      </c>
      <c r="F147" t="str">
        <f>IFERROR(IF(OR(HLOOKUP($A147,#REF!,4,FALSE)&gt;2,HLOOKUP($A147,#REF!,4,FALSE)&lt;-2),"",#REF!),"")</f>
        <v/>
      </c>
      <c r="G147" t="str">
        <f>IFERROR(IF(OR(HLOOKUP($A147,#REF!,5,FALSE)&gt;2,HLOOKUP($A147,#REF!,5,FALSE)&lt;-2),"",#REF!),"")</f>
        <v/>
      </c>
      <c r="H147" t="str">
        <f>IFERROR(IF(OR(HLOOKUP($A147,#REF!,6,FALSE)&gt;2,HLOOKUP($A147,#REF!,6,FALSE)&lt;-2),"",#REF!),"")</f>
        <v/>
      </c>
      <c r="I147" t="str">
        <f>IFERROR(IF(OR(HLOOKUP($A147,#REF!,7,FALSE)&gt;2,HLOOKUP($A147,#REF!,7,FALSE)&lt;-2),"",#REF!),"")</f>
        <v/>
      </c>
      <c r="J147" t="str">
        <f>IFERROR(IF(OR(HLOOKUP($A147,#REF!,8,FALSE)&gt;2,HLOOKUP($A147,#REF!,8,FALSE)&lt;-2),"",#REF!),"")</f>
        <v/>
      </c>
      <c r="K147" t="str">
        <f>IFERROR(IF(OR(HLOOKUP($A147,#REF!,9,FALSE)&gt;2,HLOOKUP($A147,#REF!,9,FALSE)&lt;-2),"",#REF!),"")</f>
        <v/>
      </c>
      <c r="L147" t="str">
        <f>IFERROR(IF(OR(HLOOKUP($A147,#REF!,10,FALSE)&gt;2,HLOOKUP($A147,#REF!,10,FALSE)&lt;-2),"",#REF!),"")</f>
        <v/>
      </c>
      <c r="M147" t="str">
        <f>IFERROR(IF(OR(HLOOKUP($A147,#REF!,11,FALSE)&gt;2,HLOOKUP($A147,#REF!,11,FALSE)&lt;-2),"",#REF!),"")</f>
        <v/>
      </c>
      <c r="N147" t="str">
        <f>IFERROR(IF(OR(HLOOKUP($A147,#REF!,12,FALSE)&gt;2,HLOOKUP($A147,#REF!,12,FALSE)&lt;-2),"",#REF!),"")</f>
        <v/>
      </c>
      <c r="O147" t="str">
        <f>IFERROR(IF(OR(HLOOKUP($A147,#REF!,13,FALSE)&gt;2,HLOOKUP($A147,#REF!,13,FALSE)&lt;-2),"",#REF!),"")</f>
        <v/>
      </c>
      <c r="P147" t="str">
        <f>IFERROR(IF(OR(HLOOKUP($A147,#REF!,14,FALSE)&gt;2,HLOOKUP($A147,#REF!,14,FALSE)&lt;-2),"",#REF!),"")</f>
        <v/>
      </c>
      <c r="Q147" t="str">
        <f>IFERROR(IF(OR(HLOOKUP($A147,#REF!,15,FALSE)&gt;2,HLOOKUP($A147,#REF!,15,FALSE)&lt;-2),"",#REF!),"")</f>
        <v/>
      </c>
      <c r="R147" t="str">
        <f>IFERROR(IF(OR(HLOOKUP($A147,#REF!,16,FALSE)&gt;2,HLOOKUP($A147,#REF!,16,FALSE)&lt;-2),"",#REF!),"")</f>
        <v/>
      </c>
      <c r="S147" t="str">
        <f>IFERROR(IF(OR(HLOOKUP($A147,#REF!,17,FALSE)&gt;2,HLOOKUP($A147,#REF!,17,FALSE)&lt;-2),"",#REF!),"")</f>
        <v/>
      </c>
      <c r="T147" t="str">
        <f>IFERROR(IF(OR(HLOOKUP($A147,#REF!,18,FALSE)&gt;2,HLOOKUP($A147,#REF!,18,FALSE)&lt;-2),"",#REF!),"")</f>
        <v/>
      </c>
      <c r="U147" t="str">
        <f>IFERROR(IF(OR(HLOOKUP($A147,#REF!,19,FALSE)&gt;2,HLOOKUP($A147,#REF!,19,FALSE)&lt;-2),"",#REF!),"")</f>
        <v/>
      </c>
      <c r="V147">
        <f t="shared" si="8"/>
        <v>1</v>
      </c>
      <c r="W147" t="str">
        <f t="shared" si="9"/>
        <v/>
      </c>
      <c r="X147" t="str">
        <f t="shared" si="10"/>
        <v/>
      </c>
      <c r="Y147" t="str">
        <f t="shared" si="11"/>
        <v/>
      </c>
    </row>
    <row r="148" spans="1:25" x14ac:dyDescent="0.35">
      <c r="A148">
        <v>150</v>
      </c>
      <c r="B148" t="s">
        <v>660</v>
      </c>
      <c r="C148">
        <v>114200</v>
      </c>
      <c r="D148">
        <v>824</v>
      </c>
      <c r="E148" t="str">
        <f>IFERROR(IF(OR(HLOOKUP($A148,#REF!,3,FALSE)&gt;2,HLOOKUP(A148,#REF!,3,FALSE)&lt;-2),"",#REF!),"")</f>
        <v/>
      </c>
      <c r="F148" t="str">
        <f>IFERROR(IF(OR(HLOOKUP($A148,#REF!,4,FALSE)&gt;2,HLOOKUP($A148,#REF!,4,FALSE)&lt;-2),"",#REF!),"")</f>
        <v/>
      </c>
      <c r="G148" t="str">
        <f>IFERROR(IF(OR(HLOOKUP($A148,#REF!,5,FALSE)&gt;2,HLOOKUP($A148,#REF!,5,FALSE)&lt;-2),"",#REF!),"")</f>
        <v/>
      </c>
      <c r="H148" t="str">
        <f>IFERROR(IF(OR(HLOOKUP($A148,#REF!,6,FALSE)&gt;2,HLOOKUP($A148,#REF!,6,FALSE)&lt;-2),"",#REF!),"")</f>
        <v/>
      </c>
      <c r="I148" t="str">
        <f>IFERROR(IF(OR(HLOOKUP($A148,#REF!,7,FALSE)&gt;2,HLOOKUP($A148,#REF!,7,FALSE)&lt;-2),"",#REF!),"")</f>
        <v/>
      </c>
      <c r="J148" t="str">
        <f>IFERROR(IF(OR(HLOOKUP($A148,#REF!,8,FALSE)&gt;2,HLOOKUP($A148,#REF!,8,FALSE)&lt;-2),"",#REF!),"")</f>
        <v/>
      </c>
      <c r="K148" t="str">
        <f>IFERROR(IF(OR(HLOOKUP($A148,#REF!,9,FALSE)&gt;2,HLOOKUP($A148,#REF!,9,FALSE)&lt;-2),"",#REF!),"")</f>
        <v/>
      </c>
      <c r="L148" t="str">
        <f>IFERROR(IF(OR(HLOOKUP($A148,#REF!,10,FALSE)&gt;2,HLOOKUP($A148,#REF!,10,FALSE)&lt;-2),"",#REF!),"")</f>
        <v/>
      </c>
      <c r="M148" t="str">
        <f>IFERROR(IF(OR(HLOOKUP($A148,#REF!,11,FALSE)&gt;2,HLOOKUP($A148,#REF!,11,FALSE)&lt;-2),"",#REF!),"")</f>
        <v/>
      </c>
      <c r="N148" t="str">
        <f>IFERROR(IF(OR(HLOOKUP($A148,#REF!,12,FALSE)&gt;2,HLOOKUP($A148,#REF!,12,FALSE)&lt;-2),"",#REF!),"")</f>
        <v/>
      </c>
      <c r="O148" t="str">
        <f>IFERROR(IF(OR(HLOOKUP($A148,#REF!,13,FALSE)&gt;2,HLOOKUP($A148,#REF!,13,FALSE)&lt;-2),"",#REF!),"")</f>
        <v/>
      </c>
      <c r="P148" t="str">
        <f>IFERROR(IF(OR(HLOOKUP($A148,#REF!,14,FALSE)&gt;2,HLOOKUP($A148,#REF!,14,FALSE)&lt;-2),"",#REF!),"")</f>
        <v/>
      </c>
      <c r="Q148" t="str">
        <f>IFERROR(IF(OR(HLOOKUP($A148,#REF!,15,FALSE)&gt;2,HLOOKUP($A148,#REF!,15,FALSE)&lt;-2),"",#REF!),"")</f>
        <v/>
      </c>
      <c r="R148" t="str">
        <f>IFERROR(IF(OR(HLOOKUP($A148,#REF!,16,FALSE)&gt;2,HLOOKUP($A148,#REF!,16,FALSE)&lt;-2),"",#REF!),"")</f>
        <v/>
      </c>
      <c r="S148" t="str">
        <f>IFERROR(IF(OR(HLOOKUP($A148,#REF!,17,FALSE)&gt;2,HLOOKUP($A148,#REF!,17,FALSE)&lt;-2),"",#REF!),"")</f>
        <v/>
      </c>
      <c r="T148" t="str">
        <f>IFERROR(IF(OR(HLOOKUP($A148,#REF!,18,FALSE)&gt;2,HLOOKUP($A148,#REF!,18,FALSE)&lt;-2),"",#REF!),"")</f>
        <v/>
      </c>
      <c r="U148" t="str">
        <f>IFERROR(IF(OR(HLOOKUP($A148,#REF!,19,FALSE)&gt;2,HLOOKUP($A148,#REF!,19,FALSE)&lt;-2),"",#REF!),"")</f>
        <v/>
      </c>
      <c r="V148">
        <f t="shared" si="8"/>
        <v>1</v>
      </c>
      <c r="W148" t="str">
        <f t="shared" si="9"/>
        <v/>
      </c>
      <c r="X148" t="str">
        <f t="shared" si="10"/>
        <v/>
      </c>
      <c r="Y148" t="str">
        <f t="shared" si="11"/>
        <v/>
      </c>
    </row>
    <row r="149" spans="1:25" x14ac:dyDescent="0.35">
      <c r="A149">
        <v>151</v>
      </c>
      <c r="B149" t="s">
        <v>661</v>
      </c>
      <c r="C149">
        <v>30600</v>
      </c>
      <c r="D149">
        <v>698</v>
      </c>
      <c r="E149" t="str">
        <f>IFERROR(IF(OR(HLOOKUP($A149,#REF!,3,FALSE)&gt;2,HLOOKUP(A149,#REF!,3,FALSE)&lt;-2),"",#REF!),"")</f>
        <v/>
      </c>
      <c r="F149" t="str">
        <f>IFERROR(IF(OR(HLOOKUP($A149,#REF!,4,FALSE)&gt;2,HLOOKUP($A149,#REF!,4,FALSE)&lt;-2),"",#REF!),"")</f>
        <v/>
      </c>
      <c r="G149" t="str">
        <f>IFERROR(IF(OR(HLOOKUP($A149,#REF!,5,FALSE)&gt;2,HLOOKUP($A149,#REF!,5,FALSE)&lt;-2),"",#REF!),"")</f>
        <v/>
      </c>
      <c r="H149" t="str">
        <f>IFERROR(IF(OR(HLOOKUP($A149,#REF!,6,FALSE)&gt;2,HLOOKUP($A149,#REF!,6,FALSE)&lt;-2),"",#REF!),"")</f>
        <v/>
      </c>
      <c r="I149" t="str">
        <f>IFERROR(IF(OR(HLOOKUP($A149,#REF!,7,FALSE)&gt;2,HLOOKUP($A149,#REF!,7,FALSE)&lt;-2),"",#REF!),"")</f>
        <v/>
      </c>
      <c r="J149" t="str">
        <f>IFERROR(IF(OR(HLOOKUP($A149,#REF!,8,FALSE)&gt;2,HLOOKUP($A149,#REF!,8,FALSE)&lt;-2),"",#REF!),"")</f>
        <v/>
      </c>
      <c r="K149" t="str">
        <f>IFERROR(IF(OR(HLOOKUP($A149,#REF!,9,FALSE)&gt;2,HLOOKUP($A149,#REF!,9,FALSE)&lt;-2),"",#REF!),"")</f>
        <v/>
      </c>
      <c r="L149" t="str">
        <f>IFERROR(IF(OR(HLOOKUP($A149,#REF!,10,FALSE)&gt;2,HLOOKUP($A149,#REF!,10,FALSE)&lt;-2),"",#REF!),"")</f>
        <v/>
      </c>
      <c r="M149" t="str">
        <f>IFERROR(IF(OR(HLOOKUP($A149,#REF!,11,FALSE)&gt;2,HLOOKUP($A149,#REF!,11,FALSE)&lt;-2),"",#REF!),"")</f>
        <v/>
      </c>
      <c r="N149" t="str">
        <f>IFERROR(IF(OR(HLOOKUP($A149,#REF!,12,FALSE)&gt;2,HLOOKUP($A149,#REF!,12,FALSE)&lt;-2),"",#REF!),"")</f>
        <v/>
      </c>
      <c r="O149" t="str">
        <f>IFERROR(IF(OR(HLOOKUP($A149,#REF!,13,FALSE)&gt;2,HLOOKUP($A149,#REF!,13,FALSE)&lt;-2),"",#REF!),"")</f>
        <v/>
      </c>
      <c r="P149" t="str">
        <f>IFERROR(IF(OR(HLOOKUP($A149,#REF!,14,FALSE)&gt;2,HLOOKUP($A149,#REF!,14,FALSE)&lt;-2),"",#REF!),"")</f>
        <v/>
      </c>
      <c r="Q149" t="str">
        <f>IFERROR(IF(OR(HLOOKUP($A149,#REF!,15,FALSE)&gt;2,HLOOKUP($A149,#REF!,15,FALSE)&lt;-2),"",#REF!),"")</f>
        <v/>
      </c>
      <c r="R149" t="str">
        <f>IFERROR(IF(OR(HLOOKUP($A149,#REF!,16,FALSE)&gt;2,HLOOKUP($A149,#REF!,16,FALSE)&lt;-2),"",#REF!),"")</f>
        <v/>
      </c>
      <c r="S149" t="str">
        <f>IFERROR(IF(OR(HLOOKUP($A149,#REF!,17,FALSE)&gt;2,HLOOKUP($A149,#REF!,17,FALSE)&lt;-2),"",#REF!),"")</f>
        <v/>
      </c>
      <c r="T149" t="str">
        <f>IFERROR(IF(OR(HLOOKUP($A149,#REF!,18,FALSE)&gt;2,HLOOKUP($A149,#REF!,18,FALSE)&lt;-2),"",#REF!),"")</f>
        <v/>
      </c>
      <c r="U149" t="str">
        <f>IFERROR(IF(OR(HLOOKUP($A149,#REF!,19,FALSE)&gt;2,HLOOKUP($A149,#REF!,19,FALSE)&lt;-2),"",#REF!),"")</f>
        <v/>
      </c>
      <c r="V149">
        <f t="shared" si="8"/>
        <v>1</v>
      </c>
      <c r="W149" t="str">
        <f t="shared" si="9"/>
        <v/>
      </c>
      <c r="X149" t="str">
        <f t="shared" si="10"/>
        <v/>
      </c>
      <c r="Y149" t="str">
        <f t="shared" si="11"/>
        <v/>
      </c>
    </row>
    <row r="150" spans="1:25" x14ac:dyDescent="0.35">
      <c r="A150">
        <v>152</v>
      </c>
      <c r="B150" t="s">
        <v>662</v>
      </c>
      <c r="C150">
        <v>33700</v>
      </c>
      <c r="D150">
        <v>961</v>
      </c>
      <c r="E150" t="str">
        <f>IFERROR(IF(OR(HLOOKUP($A150,#REF!,3,FALSE)&gt;2,HLOOKUP(A150,#REF!,3,FALSE)&lt;-2),"",#REF!),"")</f>
        <v/>
      </c>
      <c r="F150" t="str">
        <f>IFERROR(IF(OR(HLOOKUP($A150,#REF!,4,FALSE)&gt;2,HLOOKUP($A150,#REF!,4,FALSE)&lt;-2),"",#REF!),"")</f>
        <v/>
      </c>
      <c r="G150" t="str">
        <f>IFERROR(IF(OR(HLOOKUP($A150,#REF!,5,FALSE)&gt;2,HLOOKUP($A150,#REF!,5,FALSE)&lt;-2),"",#REF!),"")</f>
        <v/>
      </c>
      <c r="H150" t="str">
        <f>IFERROR(IF(OR(HLOOKUP($A150,#REF!,6,FALSE)&gt;2,HLOOKUP($A150,#REF!,6,FALSE)&lt;-2),"",#REF!),"")</f>
        <v/>
      </c>
      <c r="I150" t="str">
        <f>IFERROR(IF(OR(HLOOKUP($A150,#REF!,7,FALSE)&gt;2,HLOOKUP($A150,#REF!,7,FALSE)&lt;-2),"",#REF!),"")</f>
        <v/>
      </c>
      <c r="J150" t="str">
        <f>IFERROR(IF(OR(HLOOKUP($A150,#REF!,8,FALSE)&gt;2,HLOOKUP($A150,#REF!,8,FALSE)&lt;-2),"",#REF!),"")</f>
        <v/>
      </c>
      <c r="K150" t="str">
        <f>IFERROR(IF(OR(HLOOKUP($A150,#REF!,9,FALSE)&gt;2,HLOOKUP($A150,#REF!,9,FALSE)&lt;-2),"",#REF!),"")</f>
        <v/>
      </c>
      <c r="L150" t="str">
        <f>IFERROR(IF(OR(HLOOKUP($A150,#REF!,10,FALSE)&gt;2,HLOOKUP($A150,#REF!,10,FALSE)&lt;-2),"",#REF!),"")</f>
        <v/>
      </c>
      <c r="M150" t="str">
        <f>IFERROR(IF(OR(HLOOKUP($A150,#REF!,11,FALSE)&gt;2,HLOOKUP($A150,#REF!,11,FALSE)&lt;-2),"",#REF!),"")</f>
        <v/>
      </c>
      <c r="N150" t="str">
        <f>IFERROR(IF(OR(HLOOKUP($A150,#REF!,12,FALSE)&gt;2,HLOOKUP($A150,#REF!,12,FALSE)&lt;-2),"",#REF!),"")</f>
        <v/>
      </c>
      <c r="O150" t="str">
        <f>IFERROR(IF(OR(HLOOKUP($A150,#REF!,13,FALSE)&gt;2,HLOOKUP($A150,#REF!,13,FALSE)&lt;-2),"",#REF!),"")</f>
        <v/>
      </c>
      <c r="P150" t="str">
        <f>IFERROR(IF(OR(HLOOKUP($A150,#REF!,14,FALSE)&gt;2,HLOOKUP($A150,#REF!,14,FALSE)&lt;-2),"",#REF!),"")</f>
        <v/>
      </c>
      <c r="Q150" t="str">
        <f>IFERROR(IF(OR(HLOOKUP($A150,#REF!,15,FALSE)&gt;2,HLOOKUP($A150,#REF!,15,FALSE)&lt;-2),"",#REF!),"")</f>
        <v/>
      </c>
      <c r="R150" t="str">
        <f>IFERROR(IF(OR(HLOOKUP($A150,#REF!,16,FALSE)&gt;2,HLOOKUP($A150,#REF!,16,FALSE)&lt;-2),"",#REF!),"")</f>
        <v/>
      </c>
      <c r="S150" t="str">
        <f>IFERROR(IF(OR(HLOOKUP($A150,#REF!,17,FALSE)&gt;2,HLOOKUP($A150,#REF!,17,FALSE)&lt;-2),"",#REF!),"")</f>
        <v/>
      </c>
      <c r="T150" t="str">
        <f>IFERROR(IF(OR(HLOOKUP($A150,#REF!,18,FALSE)&gt;2,HLOOKUP($A150,#REF!,18,FALSE)&lt;-2),"",#REF!),"")</f>
        <v/>
      </c>
      <c r="U150" t="str">
        <f>IFERROR(IF(OR(HLOOKUP($A150,#REF!,19,FALSE)&gt;2,HLOOKUP($A150,#REF!,19,FALSE)&lt;-2),"",#REF!),"")</f>
        <v/>
      </c>
      <c r="V150">
        <f t="shared" si="8"/>
        <v>1</v>
      </c>
      <c r="W150" t="str">
        <f t="shared" si="9"/>
        <v/>
      </c>
      <c r="X150" t="str">
        <f t="shared" si="10"/>
        <v/>
      </c>
      <c r="Y150" t="str">
        <f t="shared" si="11"/>
        <v/>
      </c>
    </row>
    <row r="151" spans="1:25" x14ac:dyDescent="0.35">
      <c r="A151">
        <v>153</v>
      </c>
      <c r="B151" t="s">
        <v>91</v>
      </c>
      <c r="C151">
        <v>116800</v>
      </c>
      <c r="D151">
        <v>145</v>
      </c>
      <c r="E151" t="str">
        <f>IFERROR(IF(OR(HLOOKUP($A151,#REF!,3,FALSE)&gt;2,HLOOKUP(A151,#REF!,3,FALSE)&lt;-2),"",#REF!),"")</f>
        <v/>
      </c>
      <c r="F151" t="str">
        <f>IFERROR(IF(OR(HLOOKUP($A151,#REF!,4,FALSE)&gt;2,HLOOKUP($A151,#REF!,4,FALSE)&lt;-2),"",#REF!),"")</f>
        <v/>
      </c>
      <c r="G151" t="str">
        <f>IFERROR(IF(OR(HLOOKUP($A151,#REF!,5,FALSE)&gt;2,HLOOKUP($A151,#REF!,5,FALSE)&lt;-2),"",#REF!),"")</f>
        <v/>
      </c>
      <c r="H151" t="str">
        <f>IFERROR(IF(OR(HLOOKUP($A151,#REF!,6,FALSE)&gt;2,HLOOKUP($A151,#REF!,6,FALSE)&lt;-2),"",#REF!),"")</f>
        <v/>
      </c>
      <c r="I151" t="str">
        <f>IFERROR(IF(OR(HLOOKUP($A151,#REF!,7,FALSE)&gt;2,HLOOKUP($A151,#REF!,7,FALSE)&lt;-2),"",#REF!),"")</f>
        <v/>
      </c>
      <c r="J151" t="str">
        <f>IFERROR(IF(OR(HLOOKUP($A151,#REF!,8,FALSE)&gt;2,HLOOKUP($A151,#REF!,8,FALSE)&lt;-2),"",#REF!),"")</f>
        <v/>
      </c>
      <c r="K151" t="str">
        <f>IFERROR(IF(OR(HLOOKUP($A151,#REF!,9,FALSE)&gt;2,HLOOKUP($A151,#REF!,9,FALSE)&lt;-2),"",#REF!),"")</f>
        <v/>
      </c>
      <c r="L151" t="str">
        <f>IFERROR(IF(OR(HLOOKUP($A151,#REF!,10,FALSE)&gt;2,HLOOKUP($A151,#REF!,10,FALSE)&lt;-2),"",#REF!),"")</f>
        <v/>
      </c>
      <c r="M151" t="str">
        <f>IFERROR(IF(OR(HLOOKUP($A151,#REF!,11,FALSE)&gt;2,HLOOKUP($A151,#REF!,11,FALSE)&lt;-2),"",#REF!),"")</f>
        <v/>
      </c>
      <c r="N151" t="str">
        <f>IFERROR(IF(OR(HLOOKUP($A151,#REF!,12,FALSE)&gt;2,HLOOKUP($A151,#REF!,12,FALSE)&lt;-2),"",#REF!),"")</f>
        <v/>
      </c>
      <c r="O151" t="str">
        <f>IFERROR(IF(OR(HLOOKUP($A151,#REF!,13,FALSE)&gt;2,HLOOKUP($A151,#REF!,13,FALSE)&lt;-2),"",#REF!),"")</f>
        <v/>
      </c>
      <c r="P151" t="str">
        <f>IFERROR(IF(OR(HLOOKUP($A151,#REF!,14,FALSE)&gt;2,HLOOKUP($A151,#REF!,14,FALSE)&lt;-2),"",#REF!),"")</f>
        <v/>
      </c>
      <c r="Q151" t="str">
        <f>IFERROR(IF(OR(HLOOKUP($A151,#REF!,15,FALSE)&gt;2,HLOOKUP($A151,#REF!,15,FALSE)&lt;-2),"",#REF!),"")</f>
        <v/>
      </c>
      <c r="R151" t="str">
        <f>IFERROR(IF(OR(HLOOKUP($A151,#REF!,16,FALSE)&gt;2,HLOOKUP($A151,#REF!,16,FALSE)&lt;-2),"",#REF!),"")</f>
        <v/>
      </c>
      <c r="S151" t="str">
        <f>IFERROR(IF(OR(HLOOKUP($A151,#REF!,17,FALSE)&gt;2,HLOOKUP($A151,#REF!,17,FALSE)&lt;-2),"",#REF!),"")</f>
        <v/>
      </c>
      <c r="T151" t="str">
        <f>IFERROR(IF(OR(HLOOKUP($A151,#REF!,18,FALSE)&gt;2,HLOOKUP($A151,#REF!,18,FALSE)&lt;-2),"",#REF!),"")</f>
        <v/>
      </c>
      <c r="U151" t="str">
        <f>IFERROR(IF(OR(HLOOKUP($A151,#REF!,19,FALSE)&gt;2,HLOOKUP($A151,#REF!,19,FALSE)&lt;-2),"",#REF!),"")</f>
        <v/>
      </c>
      <c r="V151">
        <f t="shared" si="8"/>
        <v>1</v>
      </c>
      <c r="W151" t="str">
        <f t="shared" si="9"/>
        <v/>
      </c>
      <c r="X151" t="str">
        <f t="shared" si="10"/>
        <v/>
      </c>
      <c r="Y151" t="str">
        <f t="shared" si="11"/>
        <v/>
      </c>
    </row>
    <row r="152" spans="1:25" x14ac:dyDescent="0.35">
      <c r="A152">
        <v>154</v>
      </c>
      <c r="B152" t="s">
        <v>663</v>
      </c>
      <c r="C152">
        <v>95100</v>
      </c>
      <c r="D152">
        <v>370</v>
      </c>
      <c r="E152" t="str">
        <f>IFERROR(IF(OR(HLOOKUP($A152,#REF!,3,FALSE)&gt;2,HLOOKUP(A152,#REF!,3,FALSE)&lt;-2),"",#REF!),"")</f>
        <v/>
      </c>
      <c r="F152" t="str">
        <f>IFERROR(IF(OR(HLOOKUP($A152,#REF!,4,FALSE)&gt;2,HLOOKUP($A152,#REF!,4,FALSE)&lt;-2),"",#REF!),"")</f>
        <v/>
      </c>
      <c r="G152" t="str">
        <f>IFERROR(IF(OR(HLOOKUP($A152,#REF!,5,FALSE)&gt;2,HLOOKUP($A152,#REF!,5,FALSE)&lt;-2),"",#REF!),"")</f>
        <v/>
      </c>
      <c r="H152" t="str">
        <f>IFERROR(IF(OR(HLOOKUP($A152,#REF!,6,FALSE)&gt;2,HLOOKUP($A152,#REF!,6,FALSE)&lt;-2),"",#REF!),"")</f>
        <v/>
      </c>
      <c r="I152" t="str">
        <f>IFERROR(IF(OR(HLOOKUP($A152,#REF!,7,FALSE)&gt;2,HLOOKUP($A152,#REF!,7,FALSE)&lt;-2),"",#REF!),"")</f>
        <v/>
      </c>
      <c r="J152" t="str">
        <f>IFERROR(IF(OR(HLOOKUP($A152,#REF!,8,FALSE)&gt;2,HLOOKUP($A152,#REF!,8,FALSE)&lt;-2),"",#REF!),"")</f>
        <v/>
      </c>
      <c r="K152" t="str">
        <f>IFERROR(IF(OR(HLOOKUP($A152,#REF!,9,FALSE)&gt;2,HLOOKUP($A152,#REF!,9,FALSE)&lt;-2),"",#REF!),"")</f>
        <v/>
      </c>
      <c r="L152" t="str">
        <f>IFERROR(IF(OR(HLOOKUP($A152,#REF!,10,FALSE)&gt;2,HLOOKUP($A152,#REF!,10,FALSE)&lt;-2),"",#REF!),"")</f>
        <v/>
      </c>
      <c r="M152" t="str">
        <f>IFERROR(IF(OR(HLOOKUP($A152,#REF!,11,FALSE)&gt;2,HLOOKUP($A152,#REF!,11,FALSE)&lt;-2),"",#REF!),"")</f>
        <v/>
      </c>
      <c r="N152" t="str">
        <f>IFERROR(IF(OR(HLOOKUP($A152,#REF!,12,FALSE)&gt;2,HLOOKUP($A152,#REF!,12,FALSE)&lt;-2),"",#REF!),"")</f>
        <v/>
      </c>
      <c r="O152" t="str">
        <f>IFERROR(IF(OR(HLOOKUP($A152,#REF!,13,FALSE)&gt;2,HLOOKUP($A152,#REF!,13,FALSE)&lt;-2),"",#REF!),"")</f>
        <v/>
      </c>
      <c r="P152" t="str">
        <f>IFERROR(IF(OR(HLOOKUP($A152,#REF!,14,FALSE)&gt;2,HLOOKUP($A152,#REF!,14,FALSE)&lt;-2),"",#REF!),"")</f>
        <v/>
      </c>
      <c r="Q152" t="str">
        <f>IFERROR(IF(OR(HLOOKUP($A152,#REF!,15,FALSE)&gt;2,HLOOKUP($A152,#REF!,15,FALSE)&lt;-2),"",#REF!),"")</f>
        <v/>
      </c>
      <c r="R152" t="str">
        <f>IFERROR(IF(OR(HLOOKUP($A152,#REF!,16,FALSE)&gt;2,HLOOKUP($A152,#REF!,16,FALSE)&lt;-2),"",#REF!),"")</f>
        <v/>
      </c>
      <c r="S152" t="str">
        <f>IFERROR(IF(OR(HLOOKUP($A152,#REF!,17,FALSE)&gt;2,HLOOKUP($A152,#REF!,17,FALSE)&lt;-2),"",#REF!),"")</f>
        <v/>
      </c>
      <c r="T152" t="str">
        <f>IFERROR(IF(OR(HLOOKUP($A152,#REF!,18,FALSE)&gt;2,HLOOKUP($A152,#REF!,18,FALSE)&lt;-2),"",#REF!),"")</f>
        <v/>
      </c>
      <c r="U152" t="str">
        <f>IFERROR(IF(OR(HLOOKUP($A152,#REF!,19,FALSE)&gt;2,HLOOKUP($A152,#REF!,19,FALSE)&lt;-2),"",#REF!),"")</f>
        <v/>
      </c>
      <c r="V152">
        <f t="shared" si="8"/>
        <v>1</v>
      </c>
      <c r="W152" t="str">
        <f t="shared" si="9"/>
        <v/>
      </c>
      <c r="X152" t="str">
        <f t="shared" si="10"/>
        <v/>
      </c>
      <c r="Y152" t="str">
        <f t="shared" si="11"/>
        <v/>
      </c>
    </row>
    <row r="153" spans="1:25" x14ac:dyDescent="0.35">
      <c r="A153">
        <v>155</v>
      </c>
      <c r="B153" t="s">
        <v>92</v>
      </c>
      <c r="C153">
        <v>67000</v>
      </c>
      <c r="D153">
        <v>239</v>
      </c>
      <c r="E153" t="str">
        <f>IFERROR(IF(OR(HLOOKUP($A153,#REF!,3,FALSE)&gt;2,HLOOKUP(A153,#REF!,3,FALSE)&lt;-2),"",#REF!),"")</f>
        <v/>
      </c>
      <c r="F153" t="str">
        <f>IFERROR(IF(OR(HLOOKUP($A153,#REF!,4,FALSE)&gt;2,HLOOKUP($A153,#REF!,4,FALSE)&lt;-2),"",#REF!),"")</f>
        <v/>
      </c>
      <c r="G153" t="str">
        <f>IFERROR(IF(OR(HLOOKUP($A153,#REF!,5,FALSE)&gt;2,HLOOKUP($A153,#REF!,5,FALSE)&lt;-2),"",#REF!),"")</f>
        <v/>
      </c>
      <c r="H153" t="str">
        <f>IFERROR(IF(OR(HLOOKUP($A153,#REF!,6,FALSE)&gt;2,HLOOKUP($A153,#REF!,6,FALSE)&lt;-2),"",#REF!),"")</f>
        <v/>
      </c>
      <c r="I153" t="str">
        <f>IFERROR(IF(OR(HLOOKUP($A153,#REF!,7,FALSE)&gt;2,HLOOKUP($A153,#REF!,7,FALSE)&lt;-2),"",#REF!),"")</f>
        <v/>
      </c>
      <c r="J153" t="str">
        <f>IFERROR(IF(OR(HLOOKUP($A153,#REF!,8,FALSE)&gt;2,HLOOKUP($A153,#REF!,8,FALSE)&lt;-2),"",#REF!),"")</f>
        <v/>
      </c>
      <c r="K153" t="str">
        <f>IFERROR(IF(OR(HLOOKUP($A153,#REF!,9,FALSE)&gt;2,HLOOKUP($A153,#REF!,9,FALSE)&lt;-2),"",#REF!),"")</f>
        <v/>
      </c>
      <c r="L153" t="str">
        <f>IFERROR(IF(OR(HLOOKUP($A153,#REF!,10,FALSE)&gt;2,HLOOKUP($A153,#REF!,10,FALSE)&lt;-2),"",#REF!),"")</f>
        <v/>
      </c>
      <c r="M153" t="str">
        <f>IFERROR(IF(OR(HLOOKUP($A153,#REF!,11,FALSE)&gt;2,HLOOKUP($A153,#REF!,11,FALSE)&lt;-2),"",#REF!),"")</f>
        <v/>
      </c>
      <c r="N153" t="str">
        <f>IFERROR(IF(OR(HLOOKUP($A153,#REF!,12,FALSE)&gt;2,HLOOKUP($A153,#REF!,12,FALSE)&lt;-2),"",#REF!),"")</f>
        <v/>
      </c>
      <c r="O153" t="str">
        <f>IFERROR(IF(OR(HLOOKUP($A153,#REF!,13,FALSE)&gt;2,HLOOKUP($A153,#REF!,13,FALSE)&lt;-2),"",#REF!),"")</f>
        <v/>
      </c>
      <c r="P153" t="str">
        <f>IFERROR(IF(OR(HLOOKUP($A153,#REF!,14,FALSE)&gt;2,HLOOKUP($A153,#REF!,14,FALSE)&lt;-2),"",#REF!),"")</f>
        <v/>
      </c>
      <c r="Q153" t="str">
        <f>IFERROR(IF(OR(HLOOKUP($A153,#REF!,15,FALSE)&gt;2,HLOOKUP($A153,#REF!,15,FALSE)&lt;-2),"",#REF!),"")</f>
        <v/>
      </c>
      <c r="R153" t="str">
        <f>IFERROR(IF(OR(HLOOKUP($A153,#REF!,16,FALSE)&gt;2,HLOOKUP($A153,#REF!,16,FALSE)&lt;-2),"",#REF!),"")</f>
        <v/>
      </c>
      <c r="S153" t="str">
        <f>IFERROR(IF(OR(HLOOKUP($A153,#REF!,17,FALSE)&gt;2,HLOOKUP($A153,#REF!,17,FALSE)&lt;-2),"",#REF!),"")</f>
        <v/>
      </c>
      <c r="T153" t="str">
        <f>IFERROR(IF(OR(HLOOKUP($A153,#REF!,18,FALSE)&gt;2,HLOOKUP($A153,#REF!,18,FALSE)&lt;-2),"",#REF!),"")</f>
        <v/>
      </c>
      <c r="U153" t="str">
        <f>IFERROR(IF(OR(HLOOKUP($A153,#REF!,19,FALSE)&gt;2,HLOOKUP($A153,#REF!,19,FALSE)&lt;-2),"",#REF!),"")</f>
        <v/>
      </c>
      <c r="V153">
        <f t="shared" si="8"/>
        <v>1</v>
      </c>
      <c r="W153" t="str">
        <f t="shared" si="9"/>
        <v/>
      </c>
      <c r="X153" t="str">
        <f t="shared" si="10"/>
        <v/>
      </c>
      <c r="Y153" t="str">
        <f t="shared" si="11"/>
        <v/>
      </c>
    </row>
    <row r="154" spans="1:25" x14ac:dyDescent="0.35">
      <c r="A154">
        <v>156</v>
      </c>
      <c r="B154" t="s">
        <v>93</v>
      </c>
      <c r="C154">
        <v>11100</v>
      </c>
      <c r="D154">
        <v>1011</v>
      </c>
      <c r="E154" t="str">
        <f>IFERROR(IF(OR(HLOOKUP($A154,#REF!,3,FALSE)&gt;2,HLOOKUP(A154,#REF!,3,FALSE)&lt;-2),"",#REF!),"")</f>
        <v/>
      </c>
      <c r="F154" t="str">
        <f>IFERROR(IF(OR(HLOOKUP($A154,#REF!,4,FALSE)&gt;2,HLOOKUP($A154,#REF!,4,FALSE)&lt;-2),"",#REF!),"")</f>
        <v/>
      </c>
      <c r="G154" t="str">
        <f>IFERROR(IF(OR(HLOOKUP($A154,#REF!,5,FALSE)&gt;2,HLOOKUP($A154,#REF!,5,FALSE)&lt;-2),"",#REF!),"")</f>
        <v/>
      </c>
      <c r="H154" t="str">
        <f>IFERROR(IF(OR(HLOOKUP($A154,#REF!,6,FALSE)&gt;2,HLOOKUP($A154,#REF!,6,FALSE)&lt;-2),"",#REF!),"")</f>
        <v/>
      </c>
      <c r="I154" t="str">
        <f>IFERROR(IF(OR(HLOOKUP($A154,#REF!,7,FALSE)&gt;2,HLOOKUP($A154,#REF!,7,FALSE)&lt;-2),"",#REF!),"")</f>
        <v/>
      </c>
      <c r="J154" t="str">
        <f>IFERROR(IF(OR(HLOOKUP($A154,#REF!,8,FALSE)&gt;2,HLOOKUP($A154,#REF!,8,FALSE)&lt;-2),"",#REF!),"")</f>
        <v/>
      </c>
      <c r="K154" t="str">
        <f>IFERROR(IF(OR(HLOOKUP($A154,#REF!,9,FALSE)&gt;2,HLOOKUP($A154,#REF!,9,FALSE)&lt;-2),"",#REF!),"")</f>
        <v/>
      </c>
      <c r="L154" t="str">
        <f>IFERROR(IF(OR(HLOOKUP($A154,#REF!,10,FALSE)&gt;2,HLOOKUP($A154,#REF!,10,FALSE)&lt;-2),"",#REF!),"")</f>
        <v/>
      </c>
      <c r="M154" t="str">
        <f>IFERROR(IF(OR(HLOOKUP($A154,#REF!,11,FALSE)&gt;2,HLOOKUP($A154,#REF!,11,FALSE)&lt;-2),"",#REF!),"")</f>
        <v/>
      </c>
      <c r="N154" t="str">
        <f>IFERROR(IF(OR(HLOOKUP($A154,#REF!,12,FALSE)&gt;2,HLOOKUP($A154,#REF!,12,FALSE)&lt;-2),"",#REF!),"")</f>
        <v/>
      </c>
      <c r="O154" t="str">
        <f>IFERROR(IF(OR(HLOOKUP($A154,#REF!,13,FALSE)&gt;2,HLOOKUP($A154,#REF!,13,FALSE)&lt;-2),"",#REF!),"")</f>
        <v/>
      </c>
      <c r="P154" t="str">
        <f>IFERROR(IF(OR(HLOOKUP($A154,#REF!,14,FALSE)&gt;2,HLOOKUP($A154,#REF!,14,FALSE)&lt;-2),"",#REF!),"")</f>
        <v/>
      </c>
      <c r="Q154" t="str">
        <f>IFERROR(IF(OR(HLOOKUP($A154,#REF!,15,FALSE)&gt;2,HLOOKUP($A154,#REF!,15,FALSE)&lt;-2),"",#REF!),"")</f>
        <v/>
      </c>
      <c r="R154" t="str">
        <f>IFERROR(IF(OR(HLOOKUP($A154,#REF!,16,FALSE)&gt;2,HLOOKUP($A154,#REF!,16,FALSE)&lt;-2),"",#REF!),"")</f>
        <v/>
      </c>
      <c r="S154" t="str">
        <f>IFERROR(IF(OR(HLOOKUP($A154,#REF!,17,FALSE)&gt;2,HLOOKUP($A154,#REF!,17,FALSE)&lt;-2),"",#REF!),"")</f>
        <v/>
      </c>
      <c r="T154" t="str">
        <f>IFERROR(IF(OR(HLOOKUP($A154,#REF!,18,FALSE)&gt;2,HLOOKUP($A154,#REF!,18,FALSE)&lt;-2),"",#REF!),"")</f>
        <v/>
      </c>
      <c r="U154" t="str">
        <f>IFERROR(IF(OR(HLOOKUP($A154,#REF!,19,FALSE)&gt;2,HLOOKUP($A154,#REF!,19,FALSE)&lt;-2),"",#REF!),"")</f>
        <v/>
      </c>
      <c r="V154">
        <f t="shared" si="8"/>
        <v>1</v>
      </c>
      <c r="W154" t="str">
        <f t="shared" si="9"/>
        <v/>
      </c>
      <c r="X154" t="str">
        <f t="shared" si="10"/>
        <v/>
      </c>
      <c r="Y154" t="str">
        <f t="shared" si="11"/>
        <v/>
      </c>
    </row>
    <row r="155" spans="1:25" x14ac:dyDescent="0.35">
      <c r="A155">
        <v>157</v>
      </c>
      <c r="B155" t="s">
        <v>664</v>
      </c>
      <c r="C155">
        <v>70100</v>
      </c>
      <c r="D155">
        <v>1097</v>
      </c>
      <c r="E155" t="str">
        <f>IFERROR(IF(OR(HLOOKUP($A155,#REF!,3,FALSE)&gt;2,HLOOKUP(A155,#REF!,3,FALSE)&lt;-2),"",#REF!),"")</f>
        <v/>
      </c>
      <c r="F155" t="str">
        <f>IFERROR(IF(OR(HLOOKUP($A155,#REF!,4,FALSE)&gt;2,HLOOKUP($A155,#REF!,4,FALSE)&lt;-2),"",#REF!),"")</f>
        <v/>
      </c>
      <c r="G155" t="str">
        <f>IFERROR(IF(OR(HLOOKUP($A155,#REF!,5,FALSE)&gt;2,HLOOKUP($A155,#REF!,5,FALSE)&lt;-2),"",#REF!),"")</f>
        <v/>
      </c>
      <c r="H155" t="str">
        <f>IFERROR(IF(OR(HLOOKUP($A155,#REF!,6,FALSE)&gt;2,HLOOKUP($A155,#REF!,6,FALSE)&lt;-2),"",#REF!),"")</f>
        <v/>
      </c>
      <c r="I155" t="str">
        <f>IFERROR(IF(OR(HLOOKUP($A155,#REF!,7,FALSE)&gt;2,HLOOKUP($A155,#REF!,7,FALSE)&lt;-2),"",#REF!),"")</f>
        <v/>
      </c>
      <c r="J155" t="str">
        <f>IFERROR(IF(OR(HLOOKUP($A155,#REF!,8,FALSE)&gt;2,HLOOKUP($A155,#REF!,8,FALSE)&lt;-2),"",#REF!),"")</f>
        <v/>
      </c>
      <c r="K155" t="str">
        <f>IFERROR(IF(OR(HLOOKUP($A155,#REF!,9,FALSE)&gt;2,HLOOKUP($A155,#REF!,9,FALSE)&lt;-2),"",#REF!),"")</f>
        <v/>
      </c>
      <c r="L155" t="str">
        <f>IFERROR(IF(OR(HLOOKUP($A155,#REF!,10,FALSE)&gt;2,HLOOKUP($A155,#REF!,10,FALSE)&lt;-2),"",#REF!),"")</f>
        <v/>
      </c>
      <c r="M155" t="str">
        <f>IFERROR(IF(OR(HLOOKUP($A155,#REF!,11,FALSE)&gt;2,HLOOKUP($A155,#REF!,11,FALSE)&lt;-2),"",#REF!),"")</f>
        <v/>
      </c>
      <c r="N155" t="str">
        <f>IFERROR(IF(OR(HLOOKUP($A155,#REF!,12,FALSE)&gt;2,HLOOKUP($A155,#REF!,12,FALSE)&lt;-2),"",#REF!),"")</f>
        <v/>
      </c>
      <c r="O155" t="str">
        <f>IFERROR(IF(OR(HLOOKUP($A155,#REF!,13,FALSE)&gt;2,HLOOKUP($A155,#REF!,13,FALSE)&lt;-2),"",#REF!),"")</f>
        <v/>
      </c>
      <c r="P155" t="str">
        <f>IFERROR(IF(OR(HLOOKUP($A155,#REF!,14,FALSE)&gt;2,HLOOKUP($A155,#REF!,14,FALSE)&lt;-2),"",#REF!),"")</f>
        <v/>
      </c>
      <c r="Q155" t="str">
        <f>IFERROR(IF(OR(HLOOKUP($A155,#REF!,15,FALSE)&gt;2,HLOOKUP($A155,#REF!,15,FALSE)&lt;-2),"",#REF!),"")</f>
        <v/>
      </c>
      <c r="R155" t="str">
        <f>IFERROR(IF(OR(HLOOKUP($A155,#REF!,16,FALSE)&gt;2,HLOOKUP($A155,#REF!,16,FALSE)&lt;-2),"",#REF!),"")</f>
        <v/>
      </c>
      <c r="S155" t="str">
        <f>IFERROR(IF(OR(HLOOKUP($A155,#REF!,17,FALSE)&gt;2,HLOOKUP($A155,#REF!,17,FALSE)&lt;-2),"",#REF!),"")</f>
        <v/>
      </c>
      <c r="T155" t="str">
        <f>IFERROR(IF(OR(HLOOKUP($A155,#REF!,18,FALSE)&gt;2,HLOOKUP($A155,#REF!,18,FALSE)&lt;-2),"",#REF!),"")</f>
        <v/>
      </c>
      <c r="U155" t="str">
        <f>IFERROR(IF(OR(HLOOKUP($A155,#REF!,19,FALSE)&gt;2,HLOOKUP($A155,#REF!,19,FALSE)&lt;-2),"",#REF!),"")</f>
        <v/>
      </c>
      <c r="V155">
        <f t="shared" si="8"/>
        <v>1</v>
      </c>
      <c r="W155" t="str">
        <f t="shared" si="9"/>
        <v/>
      </c>
      <c r="X155" t="str">
        <f t="shared" si="10"/>
        <v/>
      </c>
      <c r="Y155" t="str">
        <f t="shared" si="11"/>
        <v/>
      </c>
    </row>
    <row r="156" spans="1:25" x14ac:dyDescent="0.35">
      <c r="A156">
        <v>158</v>
      </c>
      <c r="B156" t="s">
        <v>94</v>
      </c>
      <c r="C156">
        <v>99200</v>
      </c>
      <c r="D156">
        <v>832</v>
      </c>
      <c r="E156" t="str">
        <f>IFERROR(IF(OR(HLOOKUP($A156,#REF!,3,FALSE)&gt;2,HLOOKUP(A156,#REF!,3,FALSE)&lt;-2),"",#REF!),"")</f>
        <v/>
      </c>
      <c r="F156" t="str">
        <f>IFERROR(IF(OR(HLOOKUP($A156,#REF!,4,FALSE)&gt;2,HLOOKUP($A156,#REF!,4,FALSE)&lt;-2),"",#REF!),"")</f>
        <v/>
      </c>
      <c r="G156" t="str">
        <f>IFERROR(IF(OR(HLOOKUP($A156,#REF!,5,FALSE)&gt;2,HLOOKUP($A156,#REF!,5,FALSE)&lt;-2),"",#REF!),"")</f>
        <v/>
      </c>
      <c r="H156" t="str">
        <f>IFERROR(IF(OR(HLOOKUP($A156,#REF!,6,FALSE)&gt;2,HLOOKUP($A156,#REF!,6,FALSE)&lt;-2),"",#REF!),"")</f>
        <v/>
      </c>
      <c r="I156" t="str">
        <f>IFERROR(IF(OR(HLOOKUP($A156,#REF!,7,FALSE)&gt;2,HLOOKUP($A156,#REF!,7,FALSE)&lt;-2),"",#REF!),"")</f>
        <v/>
      </c>
      <c r="J156" t="str">
        <f>IFERROR(IF(OR(HLOOKUP($A156,#REF!,8,FALSE)&gt;2,HLOOKUP($A156,#REF!,8,FALSE)&lt;-2),"",#REF!),"")</f>
        <v/>
      </c>
      <c r="K156" t="str">
        <f>IFERROR(IF(OR(HLOOKUP($A156,#REF!,9,FALSE)&gt;2,HLOOKUP($A156,#REF!,9,FALSE)&lt;-2),"",#REF!),"")</f>
        <v/>
      </c>
      <c r="L156" t="str">
        <f>IFERROR(IF(OR(HLOOKUP($A156,#REF!,10,FALSE)&gt;2,HLOOKUP($A156,#REF!,10,FALSE)&lt;-2),"",#REF!),"")</f>
        <v/>
      </c>
      <c r="M156" t="str">
        <f>IFERROR(IF(OR(HLOOKUP($A156,#REF!,11,FALSE)&gt;2,HLOOKUP($A156,#REF!,11,FALSE)&lt;-2),"",#REF!),"")</f>
        <v/>
      </c>
      <c r="N156" t="str">
        <f>IFERROR(IF(OR(HLOOKUP($A156,#REF!,12,FALSE)&gt;2,HLOOKUP($A156,#REF!,12,FALSE)&lt;-2),"",#REF!),"")</f>
        <v/>
      </c>
      <c r="O156" t="str">
        <f>IFERROR(IF(OR(HLOOKUP($A156,#REF!,13,FALSE)&gt;2,HLOOKUP($A156,#REF!,13,FALSE)&lt;-2),"",#REF!),"")</f>
        <v/>
      </c>
      <c r="P156" t="str">
        <f>IFERROR(IF(OR(HLOOKUP($A156,#REF!,14,FALSE)&gt;2,HLOOKUP($A156,#REF!,14,FALSE)&lt;-2),"",#REF!),"")</f>
        <v/>
      </c>
      <c r="Q156" t="str">
        <f>IFERROR(IF(OR(HLOOKUP($A156,#REF!,15,FALSE)&gt;2,HLOOKUP($A156,#REF!,15,FALSE)&lt;-2),"",#REF!),"")</f>
        <v/>
      </c>
      <c r="R156" t="str">
        <f>IFERROR(IF(OR(HLOOKUP($A156,#REF!,16,FALSE)&gt;2,HLOOKUP($A156,#REF!,16,FALSE)&lt;-2),"",#REF!),"")</f>
        <v/>
      </c>
      <c r="S156" t="str">
        <f>IFERROR(IF(OR(HLOOKUP($A156,#REF!,17,FALSE)&gt;2,HLOOKUP($A156,#REF!,17,FALSE)&lt;-2),"",#REF!),"")</f>
        <v/>
      </c>
      <c r="T156" t="str">
        <f>IFERROR(IF(OR(HLOOKUP($A156,#REF!,18,FALSE)&gt;2,HLOOKUP($A156,#REF!,18,FALSE)&lt;-2),"",#REF!),"")</f>
        <v/>
      </c>
      <c r="U156" t="str">
        <f>IFERROR(IF(OR(HLOOKUP($A156,#REF!,19,FALSE)&gt;2,HLOOKUP($A156,#REF!,19,FALSE)&lt;-2),"",#REF!),"")</f>
        <v/>
      </c>
      <c r="V156">
        <f t="shared" si="8"/>
        <v>1</v>
      </c>
      <c r="W156" t="str">
        <f t="shared" si="9"/>
        <v/>
      </c>
      <c r="X156" t="str">
        <f t="shared" si="10"/>
        <v/>
      </c>
      <c r="Y156" t="str">
        <f t="shared" si="11"/>
        <v/>
      </c>
    </row>
    <row r="157" spans="1:25" x14ac:dyDescent="0.35">
      <c r="A157">
        <v>159</v>
      </c>
      <c r="B157" t="s">
        <v>95</v>
      </c>
      <c r="C157">
        <v>31000</v>
      </c>
      <c r="D157">
        <v>698</v>
      </c>
      <c r="E157" t="str">
        <f>IFERROR(IF(OR(HLOOKUP($A157,#REF!,3,FALSE)&gt;2,HLOOKUP(A157,#REF!,3,FALSE)&lt;-2),"",#REF!),"")</f>
        <v/>
      </c>
      <c r="F157" t="str">
        <f>IFERROR(IF(OR(HLOOKUP($A157,#REF!,4,FALSE)&gt;2,HLOOKUP($A157,#REF!,4,FALSE)&lt;-2),"",#REF!),"")</f>
        <v/>
      </c>
      <c r="G157" t="str">
        <f>IFERROR(IF(OR(HLOOKUP($A157,#REF!,5,FALSE)&gt;2,HLOOKUP($A157,#REF!,5,FALSE)&lt;-2),"",#REF!),"")</f>
        <v/>
      </c>
      <c r="H157" t="str">
        <f>IFERROR(IF(OR(HLOOKUP($A157,#REF!,6,FALSE)&gt;2,HLOOKUP($A157,#REF!,6,FALSE)&lt;-2),"",#REF!),"")</f>
        <v/>
      </c>
      <c r="I157" t="str">
        <f>IFERROR(IF(OR(HLOOKUP($A157,#REF!,7,FALSE)&gt;2,HLOOKUP($A157,#REF!,7,FALSE)&lt;-2),"",#REF!),"")</f>
        <v/>
      </c>
      <c r="J157" t="str">
        <f>IFERROR(IF(OR(HLOOKUP($A157,#REF!,8,FALSE)&gt;2,HLOOKUP($A157,#REF!,8,FALSE)&lt;-2),"",#REF!),"")</f>
        <v/>
      </c>
      <c r="K157" t="str">
        <f>IFERROR(IF(OR(HLOOKUP($A157,#REF!,9,FALSE)&gt;2,HLOOKUP($A157,#REF!,9,FALSE)&lt;-2),"",#REF!),"")</f>
        <v/>
      </c>
      <c r="L157" t="str">
        <f>IFERROR(IF(OR(HLOOKUP($A157,#REF!,10,FALSE)&gt;2,HLOOKUP($A157,#REF!,10,FALSE)&lt;-2),"",#REF!),"")</f>
        <v/>
      </c>
      <c r="M157" t="str">
        <f>IFERROR(IF(OR(HLOOKUP($A157,#REF!,11,FALSE)&gt;2,HLOOKUP($A157,#REF!,11,FALSE)&lt;-2),"",#REF!),"")</f>
        <v/>
      </c>
      <c r="N157" t="str">
        <f>IFERROR(IF(OR(HLOOKUP($A157,#REF!,12,FALSE)&gt;2,HLOOKUP($A157,#REF!,12,FALSE)&lt;-2),"",#REF!),"")</f>
        <v/>
      </c>
      <c r="O157" t="str">
        <f>IFERROR(IF(OR(HLOOKUP($A157,#REF!,13,FALSE)&gt;2,HLOOKUP($A157,#REF!,13,FALSE)&lt;-2),"",#REF!),"")</f>
        <v/>
      </c>
      <c r="P157" t="str">
        <f>IFERROR(IF(OR(HLOOKUP($A157,#REF!,14,FALSE)&gt;2,HLOOKUP($A157,#REF!,14,FALSE)&lt;-2),"",#REF!),"")</f>
        <v/>
      </c>
      <c r="Q157" t="str">
        <f>IFERROR(IF(OR(HLOOKUP($A157,#REF!,15,FALSE)&gt;2,HLOOKUP($A157,#REF!,15,FALSE)&lt;-2),"",#REF!),"")</f>
        <v/>
      </c>
      <c r="R157" t="str">
        <f>IFERROR(IF(OR(HLOOKUP($A157,#REF!,16,FALSE)&gt;2,HLOOKUP($A157,#REF!,16,FALSE)&lt;-2),"",#REF!),"")</f>
        <v/>
      </c>
      <c r="S157" t="str">
        <f>IFERROR(IF(OR(HLOOKUP($A157,#REF!,17,FALSE)&gt;2,HLOOKUP($A157,#REF!,17,FALSE)&lt;-2),"",#REF!),"")</f>
        <v/>
      </c>
      <c r="T157" t="str">
        <f>IFERROR(IF(OR(HLOOKUP($A157,#REF!,18,FALSE)&gt;2,HLOOKUP($A157,#REF!,18,FALSE)&lt;-2),"",#REF!),"")</f>
        <v/>
      </c>
      <c r="U157" t="str">
        <f>IFERROR(IF(OR(HLOOKUP($A157,#REF!,19,FALSE)&gt;2,HLOOKUP($A157,#REF!,19,FALSE)&lt;-2),"",#REF!),"")</f>
        <v/>
      </c>
      <c r="V157">
        <f t="shared" si="8"/>
        <v>1</v>
      </c>
      <c r="W157" t="str">
        <f t="shared" si="9"/>
        <v/>
      </c>
      <c r="X157" t="str">
        <f t="shared" si="10"/>
        <v/>
      </c>
      <c r="Y157" t="str">
        <f t="shared" si="11"/>
        <v/>
      </c>
    </row>
    <row r="158" spans="1:25" x14ac:dyDescent="0.35">
      <c r="A158">
        <v>160</v>
      </c>
      <c r="B158" t="s">
        <v>665</v>
      </c>
      <c r="C158">
        <v>31600</v>
      </c>
      <c r="D158">
        <v>159</v>
      </c>
      <c r="E158" t="str">
        <f>IFERROR(IF(OR(HLOOKUP($A158,#REF!,3,FALSE)&gt;2,HLOOKUP(A158,#REF!,3,FALSE)&lt;-2),"",#REF!),"")</f>
        <v/>
      </c>
      <c r="F158" t="str">
        <f>IFERROR(IF(OR(HLOOKUP($A158,#REF!,4,FALSE)&gt;2,HLOOKUP($A158,#REF!,4,FALSE)&lt;-2),"",#REF!),"")</f>
        <v/>
      </c>
      <c r="G158" t="str">
        <f>IFERROR(IF(OR(HLOOKUP($A158,#REF!,5,FALSE)&gt;2,HLOOKUP($A158,#REF!,5,FALSE)&lt;-2),"",#REF!),"")</f>
        <v/>
      </c>
      <c r="H158" t="str">
        <f>IFERROR(IF(OR(HLOOKUP($A158,#REF!,6,FALSE)&gt;2,HLOOKUP($A158,#REF!,6,FALSE)&lt;-2),"",#REF!),"")</f>
        <v/>
      </c>
      <c r="I158" t="str">
        <f>IFERROR(IF(OR(HLOOKUP($A158,#REF!,7,FALSE)&gt;2,HLOOKUP($A158,#REF!,7,FALSE)&lt;-2),"",#REF!),"")</f>
        <v/>
      </c>
      <c r="J158" t="str">
        <f>IFERROR(IF(OR(HLOOKUP($A158,#REF!,8,FALSE)&gt;2,HLOOKUP($A158,#REF!,8,FALSE)&lt;-2),"",#REF!),"")</f>
        <v/>
      </c>
      <c r="K158" t="str">
        <f>IFERROR(IF(OR(HLOOKUP($A158,#REF!,9,FALSE)&gt;2,HLOOKUP($A158,#REF!,9,FALSE)&lt;-2),"",#REF!),"")</f>
        <v/>
      </c>
      <c r="L158" t="str">
        <f>IFERROR(IF(OR(HLOOKUP($A158,#REF!,10,FALSE)&gt;2,HLOOKUP($A158,#REF!,10,FALSE)&lt;-2),"",#REF!),"")</f>
        <v/>
      </c>
      <c r="M158" t="str">
        <f>IFERROR(IF(OR(HLOOKUP($A158,#REF!,11,FALSE)&gt;2,HLOOKUP($A158,#REF!,11,FALSE)&lt;-2),"",#REF!),"")</f>
        <v/>
      </c>
      <c r="N158" t="str">
        <f>IFERROR(IF(OR(HLOOKUP($A158,#REF!,12,FALSE)&gt;2,HLOOKUP($A158,#REF!,12,FALSE)&lt;-2),"",#REF!),"")</f>
        <v/>
      </c>
      <c r="O158" t="str">
        <f>IFERROR(IF(OR(HLOOKUP($A158,#REF!,13,FALSE)&gt;2,HLOOKUP($A158,#REF!,13,FALSE)&lt;-2),"",#REF!),"")</f>
        <v/>
      </c>
      <c r="P158" t="str">
        <f>IFERROR(IF(OR(HLOOKUP($A158,#REF!,14,FALSE)&gt;2,HLOOKUP($A158,#REF!,14,FALSE)&lt;-2),"",#REF!),"")</f>
        <v/>
      </c>
      <c r="Q158" t="str">
        <f>IFERROR(IF(OR(HLOOKUP($A158,#REF!,15,FALSE)&gt;2,HLOOKUP($A158,#REF!,15,FALSE)&lt;-2),"",#REF!),"")</f>
        <v/>
      </c>
      <c r="R158" t="str">
        <f>IFERROR(IF(OR(HLOOKUP($A158,#REF!,16,FALSE)&gt;2,HLOOKUP($A158,#REF!,16,FALSE)&lt;-2),"",#REF!),"")</f>
        <v/>
      </c>
      <c r="S158" t="str">
        <f>IFERROR(IF(OR(HLOOKUP($A158,#REF!,17,FALSE)&gt;2,HLOOKUP($A158,#REF!,17,FALSE)&lt;-2),"",#REF!),"")</f>
        <v/>
      </c>
      <c r="T158" t="str">
        <f>IFERROR(IF(OR(HLOOKUP($A158,#REF!,18,FALSE)&gt;2,HLOOKUP($A158,#REF!,18,FALSE)&lt;-2),"",#REF!),"")</f>
        <v/>
      </c>
      <c r="U158" t="str">
        <f>IFERROR(IF(OR(HLOOKUP($A158,#REF!,19,FALSE)&gt;2,HLOOKUP($A158,#REF!,19,FALSE)&lt;-2),"",#REF!),"")</f>
        <v/>
      </c>
      <c r="V158">
        <f t="shared" si="8"/>
        <v>1</v>
      </c>
      <c r="W158" t="str">
        <f t="shared" si="9"/>
        <v/>
      </c>
      <c r="X158" t="str">
        <f t="shared" si="10"/>
        <v/>
      </c>
      <c r="Y158" t="str">
        <f t="shared" si="11"/>
        <v/>
      </c>
    </row>
    <row r="159" spans="1:25" x14ac:dyDescent="0.35">
      <c r="A159">
        <v>161</v>
      </c>
      <c r="B159" t="s">
        <v>666</v>
      </c>
      <c r="C159">
        <v>95200</v>
      </c>
      <c r="D159">
        <v>154</v>
      </c>
      <c r="E159" t="str">
        <f>IFERROR(IF(OR(HLOOKUP($A159,#REF!,3,FALSE)&gt;2,HLOOKUP(A159,#REF!,3,FALSE)&lt;-2),"",#REF!),"")</f>
        <v/>
      </c>
      <c r="F159" t="str">
        <f>IFERROR(IF(OR(HLOOKUP($A159,#REF!,4,FALSE)&gt;2,HLOOKUP($A159,#REF!,4,FALSE)&lt;-2),"",#REF!),"")</f>
        <v/>
      </c>
      <c r="G159" t="str">
        <f>IFERROR(IF(OR(HLOOKUP($A159,#REF!,5,FALSE)&gt;2,HLOOKUP($A159,#REF!,5,FALSE)&lt;-2),"",#REF!),"")</f>
        <v/>
      </c>
      <c r="H159" t="str">
        <f>IFERROR(IF(OR(HLOOKUP($A159,#REF!,6,FALSE)&gt;2,HLOOKUP($A159,#REF!,6,FALSE)&lt;-2),"",#REF!),"")</f>
        <v/>
      </c>
      <c r="I159" t="str">
        <f>IFERROR(IF(OR(HLOOKUP($A159,#REF!,7,FALSE)&gt;2,HLOOKUP($A159,#REF!,7,FALSE)&lt;-2),"",#REF!),"")</f>
        <v/>
      </c>
      <c r="J159" t="str">
        <f>IFERROR(IF(OR(HLOOKUP($A159,#REF!,8,FALSE)&gt;2,HLOOKUP($A159,#REF!,8,FALSE)&lt;-2),"",#REF!),"")</f>
        <v/>
      </c>
      <c r="K159" t="str">
        <f>IFERROR(IF(OR(HLOOKUP($A159,#REF!,9,FALSE)&gt;2,HLOOKUP($A159,#REF!,9,FALSE)&lt;-2),"",#REF!),"")</f>
        <v/>
      </c>
      <c r="L159" t="str">
        <f>IFERROR(IF(OR(HLOOKUP($A159,#REF!,10,FALSE)&gt;2,HLOOKUP($A159,#REF!,10,FALSE)&lt;-2),"",#REF!),"")</f>
        <v/>
      </c>
      <c r="M159" t="str">
        <f>IFERROR(IF(OR(HLOOKUP($A159,#REF!,11,FALSE)&gt;2,HLOOKUP($A159,#REF!,11,FALSE)&lt;-2),"",#REF!),"")</f>
        <v/>
      </c>
      <c r="N159" t="str">
        <f>IFERROR(IF(OR(HLOOKUP($A159,#REF!,12,FALSE)&gt;2,HLOOKUP($A159,#REF!,12,FALSE)&lt;-2),"",#REF!),"")</f>
        <v/>
      </c>
      <c r="O159" t="str">
        <f>IFERROR(IF(OR(HLOOKUP($A159,#REF!,13,FALSE)&gt;2,HLOOKUP($A159,#REF!,13,FALSE)&lt;-2),"",#REF!),"")</f>
        <v/>
      </c>
      <c r="P159" t="str">
        <f>IFERROR(IF(OR(HLOOKUP($A159,#REF!,14,FALSE)&gt;2,HLOOKUP($A159,#REF!,14,FALSE)&lt;-2),"",#REF!),"")</f>
        <v/>
      </c>
      <c r="Q159" t="str">
        <f>IFERROR(IF(OR(HLOOKUP($A159,#REF!,15,FALSE)&gt;2,HLOOKUP($A159,#REF!,15,FALSE)&lt;-2),"",#REF!),"")</f>
        <v/>
      </c>
      <c r="R159" t="str">
        <f>IFERROR(IF(OR(HLOOKUP($A159,#REF!,16,FALSE)&gt;2,HLOOKUP($A159,#REF!,16,FALSE)&lt;-2),"",#REF!),"")</f>
        <v/>
      </c>
      <c r="S159" t="str">
        <f>IFERROR(IF(OR(HLOOKUP($A159,#REF!,17,FALSE)&gt;2,HLOOKUP($A159,#REF!,17,FALSE)&lt;-2),"",#REF!),"")</f>
        <v/>
      </c>
      <c r="T159" t="str">
        <f>IFERROR(IF(OR(HLOOKUP($A159,#REF!,18,FALSE)&gt;2,HLOOKUP($A159,#REF!,18,FALSE)&lt;-2),"",#REF!),"")</f>
        <v/>
      </c>
      <c r="U159" t="str">
        <f>IFERROR(IF(OR(HLOOKUP($A159,#REF!,19,FALSE)&gt;2,HLOOKUP($A159,#REF!,19,FALSE)&lt;-2),"",#REF!),"")</f>
        <v/>
      </c>
      <c r="V159">
        <f t="shared" si="8"/>
        <v>1</v>
      </c>
      <c r="W159" t="str">
        <f t="shared" si="9"/>
        <v/>
      </c>
      <c r="X159" t="str">
        <f t="shared" si="10"/>
        <v/>
      </c>
      <c r="Y159" t="str">
        <f t="shared" si="11"/>
        <v/>
      </c>
    </row>
    <row r="160" spans="1:25" x14ac:dyDescent="0.35">
      <c r="A160">
        <v>162</v>
      </c>
      <c r="B160" t="s">
        <v>96</v>
      </c>
      <c r="C160">
        <v>88800</v>
      </c>
      <c r="D160">
        <v>1117</v>
      </c>
      <c r="E160" t="str">
        <f>IFERROR(IF(OR(HLOOKUP($A160,#REF!,3,FALSE)&gt;2,HLOOKUP(A160,#REF!,3,FALSE)&lt;-2),"",#REF!),"")</f>
        <v/>
      </c>
      <c r="F160" t="str">
        <f>IFERROR(IF(OR(HLOOKUP($A160,#REF!,4,FALSE)&gt;2,HLOOKUP($A160,#REF!,4,FALSE)&lt;-2),"",#REF!),"")</f>
        <v/>
      </c>
      <c r="G160" t="str">
        <f>IFERROR(IF(OR(HLOOKUP($A160,#REF!,5,FALSE)&gt;2,HLOOKUP($A160,#REF!,5,FALSE)&lt;-2),"",#REF!),"")</f>
        <v/>
      </c>
      <c r="H160" t="str">
        <f>IFERROR(IF(OR(HLOOKUP($A160,#REF!,6,FALSE)&gt;2,HLOOKUP($A160,#REF!,6,FALSE)&lt;-2),"",#REF!),"")</f>
        <v/>
      </c>
      <c r="I160" t="str">
        <f>IFERROR(IF(OR(HLOOKUP($A160,#REF!,7,FALSE)&gt;2,HLOOKUP($A160,#REF!,7,FALSE)&lt;-2),"",#REF!),"")</f>
        <v/>
      </c>
      <c r="J160" t="str">
        <f>IFERROR(IF(OR(HLOOKUP($A160,#REF!,8,FALSE)&gt;2,HLOOKUP($A160,#REF!,8,FALSE)&lt;-2),"",#REF!),"")</f>
        <v/>
      </c>
      <c r="K160" t="str">
        <f>IFERROR(IF(OR(HLOOKUP($A160,#REF!,9,FALSE)&gt;2,HLOOKUP($A160,#REF!,9,FALSE)&lt;-2),"",#REF!),"")</f>
        <v/>
      </c>
      <c r="L160" t="str">
        <f>IFERROR(IF(OR(HLOOKUP($A160,#REF!,10,FALSE)&gt;2,HLOOKUP($A160,#REF!,10,FALSE)&lt;-2),"",#REF!),"")</f>
        <v/>
      </c>
      <c r="M160" t="str">
        <f>IFERROR(IF(OR(HLOOKUP($A160,#REF!,11,FALSE)&gt;2,HLOOKUP($A160,#REF!,11,FALSE)&lt;-2),"",#REF!),"")</f>
        <v/>
      </c>
      <c r="N160" t="str">
        <f>IFERROR(IF(OR(HLOOKUP($A160,#REF!,12,FALSE)&gt;2,HLOOKUP($A160,#REF!,12,FALSE)&lt;-2),"",#REF!),"")</f>
        <v/>
      </c>
      <c r="O160" t="str">
        <f>IFERROR(IF(OR(HLOOKUP($A160,#REF!,13,FALSE)&gt;2,HLOOKUP($A160,#REF!,13,FALSE)&lt;-2),"",#REF!),"")</f>
        <v/>
      </c>
      <c r="P160" t="str">
        <f>IFERROR(IF(OR(HLOOKUP($A160,#REF!,14,FALSE)&gt;2,HLOOKUP($A160,#REF!,14,FALSE)&lt;-2),"",#REF!),"")</f>
        <v/>
      </c>
      <c r="Q160" t="str">
        <f>IFERROR(IF(OR(HLOOKUP($A160,#REF!,15,FALSE)&gt;2,HLOOKUP($A160,#REF!,15,FALSE)&lt;-2),"",#REF!),"")</f>
        <v/>
      </c>
      <c r="R160" t="str">
        <f>IFERROR(IF(OR(HLOOKUP($A160,#REF!,16,FALSE)&gt;2,HLOOKUP($A160,#REF!,16,FALSE)&lt;-2),"",#REF!),"")</f>
        <v/>
      </c>
      <c r="S160" t="str">
        <f>IFERROR(IF(OR(HLOOKUP($A160,#REF!,17,FALSE)&gt;2,HLOOKUP($A160,#REF!,17,FALSE)&lt;-2),"",#REF!),"")</f>
        <v/>
      </c>
      <c r="T160" t="str">
        <f>IFERROR(IF(OR(HLOOKUP($A160,#REF!,18,FALSE)&gt;2,HLOOKUP($A160,#REF!,18,FALSE)&lt;-2),"",#REF!),"")</f>
        <v/>
      </c>
      <c r="U160" t="str">
        <f>IFERROR(IF(OR(HLOOKUP($A160,#REF!,19,FALSE)&gt;2,HLOOKUP($A160,#REF!,19,FALSE)&lt;-2),"",#REF!),"")</f>
        <v/>
      </c>
      <c r="V160">
        <f t="shared" si="8"/>
        <v>1</v>
      </c>
      <c r="W160" t="str">
        <f t="shared" si="9"/>
        <v/>
      </c>
      <c r="X160" t="str">
        <f t="shared" si="10"/>
        <v/>
      </c>
      <c r="Y160" t="str">
        <f t="shared" si="11"/>
        <v/>
      </c>
    </row>
    <row r="161" spans="1:25" x14ac:dyDescent="0.35">
      <c r="A161">
        <v>163</v>
      </c>
      <c r="B161" t="s">
        <v>97</v>
      </c>
      <c r="C161">
        <v>24200</v>
      </c>
      <c r="D161">
        <v>111</v>
      </c>
      <c r="E161" t="str">
        <f>IFERROR(IF(OR(HLOOKUP($A161,#REF!,3,FALSE)&gt;2,HLOOKUP(A161,#REF!,3,FALSE)&lt;-2),"",#REF!),"")</f>
        <v/>
      </c>
      <c r="F161" t="str">
        <f>IFERROR(IF(OR(HLOOKUP($A161,#REF!,4,FALSE)&gt;2,HLOOKUP($A161,#REF!,4,FALSE)&lt;-2),"",#REF!),"")</f>
        <v/>
      </c>
      <c r="G161" t="str">
        <f>IFERROR(IF(OR(HLOOKUP($A161,#REF!,5,FALSE)&gt;2,HLOOKUP($A161,#REF!,5,FALSE)&lt;-2),"",#REF!),"")</f>
        <v/>
      </c>
      <c r="H161" t="str">
        <f>IFERROR(IF(OR(HLOOKUP($A161,#REF!,6,FALSE)&gt;2,HLOOKUP($A161,#REF!,6,FALSE)&lt;-2),"",#REF!),"")</f>
        <v/>
      </c>
      <c r="I161" t="str">
        <f>IFERROR(IF(OR(HLOOKUP($A161,#REF!,7,FALSE)&gt;2,HLOOKUP($A161,#REF!,7,FALSE)&lt;-2),"",#REF!),"")</f>
        <v/>
      </c>
      <c r="J161" t="str">
        <f>IFERROR(IF(OR(HLOOKUP($A161,#REF!,8,FALSE)&gt;2,HLOOKUP($A161,#REF!,8,FALSE)&lt;-2),"",#REF!),"")</f>
        <v/>
      </c>
      <c r="K161" t="str">
        <f>IFERROR(IF(OR(HLOOKUP($A161,#REF!,9,FALSE)&gt;2,HLOOKUP($A161,#REF!,9,FALSE)&lt;-2),"",#REF!),"")</f>
        <v/>
      </c>
      <c r="L161" t="str">
        <f>IFERROR(IF(OR(HLOOKUP($A161,#REF!,10,FALSE)&gt;2,HLOOKUP($A161,#REF!,10,FALSE)&lt;-2),"",#REF!),"")</f>
        <v/>
      </c>
      <c r="M161" t="str">
        <f>IFERROR(IF(OR(HLOOKUP($A161,#REF!,11,FALSE)&gt;2,HLOOKUP($A161,#REF!,11,FALSE)&lt;-2),"",#REF!),"")</f>
        <v/>
      </c>
      <c r="N161" t="str">
        <f>IFERROR(IF(OR(HLOOKUP($A161,#REF!,12,FALSE)&gt;2,HLOOKUP($A161,#REF!,12,FALSE)&lt;-2),"",#REF!),"")</f>
        <v/>
      </c>
      <c r="O161" t="str">
        <f>IFERROR(IF(OR(HLOOKUP($A161,#REF!,13,FALSE)&gt;2,HLOOKUP($A161,#REF!,13,FALSE)&lt;-2),"",#REF!),"")</f>
        <v/>
      </c>
      <c r="P161" t="str">
        <f>IFERROR(IF(OR(HLOOKUP($A161,#REF!,14,FALSE)&gt;2,HLOOKUP($A161,#REF!,14,FALSE)&lt;-2),"",#REF!),"")</f>
        <v/>
      </c>
      <c r="Q161" t="str">
        <f>IFERROR(IF(OR(HLOOKUP($A161,#REF!,15,FALSE)&gt;2,HLOOKUP($A161,#REF!,15,FALSE)&lt;-2),"",#REF!),"")</f>
        <v/>
      </c>
      <c r="R161" t="str">
        <f>IFERROR(IF(OR(HLOOKUP($A161,#REF!,16,FALSE)&gt;2,HLOOKUP($A161,#REF!,16,FALSE)&lt;-2),"",#REF!),"")</f>
        <v/>
      </c>
      <c r="S161" t="str">
        <f>IFERROR(IF(OR(HLOOKUP($A161,#REF!,17,FALSE)&gt;2,HLOOKUP($A161,#REF!,17,FALSE)&lt;-2),"",#REF!),"")</f>
        <v/>
      </c>
      <c r="T161" t="str">
        <f>IFERROR(IF(OR(HLOOKUP($A161,#REF!,18,FALSE)&gt;2,HLOOKUP($A161,#REF!,18,FALSE)&lt;-2),"",#REF!),"")</f>
        <v/>
      </c>
      <c r="U161" t="str">
        <f>IFERROR(IF(OR(HLOOKUP($A161,#REF!,19,FALSE)&gt;2,HLOOKUP($A161,#REF!,19,FALSE)&lt;-2),"",#REF!),"")</f>
        <v/>
      </c>
      <c r="V161">
        <f t="shared" si="8"/>
        <v>1</v>
      </c>
      <c r="W161" t="str">
        <f t="shared" si="9"/>
        <v/>
      </c>
      <c r="X161" t="str">
        <f t="shared" si="10"/>
        <v/>
      </c>
      <c r="Y161" t="str">
        <f t="shared" si="11"/>
        <v/>
      </c>
    </row>
    <row r="162" spans="1:25" x14ac:dyDescent="0.35">
      <c r="A162">
        <v>164</v>
      </c>
      <c r="B162" t="s">
        <v>98</v>
      </c>
      <c r="C162">
        <v>116900</v>
      </c>
      <c r="D162">
        <v>73</v>
      </c>
      <c r="E162" t="str">
        <f>IFERROR(IF(OR(HLOOKUP($A162,#REF!,3,FALSE)&gt;2,HLOOKUP(A162,#REF!,3,FALSE)&lt;-2),"",#REF!),"")</f>
        <v/>
      </c>
      <c r="F162" t="str">
        <f>IFERROR(IF(OR(HLOOKUP($A162,#REF!,4,FALSE)&gt;2,HLOOKUP($A162,#REF!,4,FALSE)&lt;-2),"",#REF!),"")</f>
        <v/>
      </c>
      <c r="G162" t="str">
        <f>IFERROR(IF(OR(HLOOKUP($A162,#REF!,5,FALSE)&gt;2,HLOOKUP($A162,#REF!,5,FALSE)&lt;-2),"",#REF!),"")</f>
        <v/>
      </c>
      <c r="H162" t="str">
        <f>IFERROR(IF(OR(HLOOKUP($A162,#REF!,6,FALSE)&gt;2,HLOOKUP($A162,#REF!,6,FALSE)&lt;-2),"",#REF!),"")</f>
        <v/>
      </c>
      <c r="I162" t="str">
        <f>IFERROR(IF(OR(HLOOKUP($A162,#REF!,7,FALSE)&gt;2,HLOOKUP($A162,#REF!,7,FALSE)&lt;-2),"",#REF!),"")</f>
        <v/>
      </c>
      <c r="J162" t="str">
        <f>IFERROR(IF(OR(HLOOKUP($A162,#REF!,8,FALSE)&gt;2,HLOOKUP($A162,#REF!,8,FALSE)&lt;-2),"",#REF!),"")</f>
        <v/>
      </c>
      <c r="K162" t="str">
        <f>IFERROR(IF(OR(HLOOKUP($A162,#REF!,9,FALSE)&gt;2,HLOOKUP($A162,#REF!,9,FALSE)&lt;-2),"",#REF!),"")</f>
        <v/>
      </c>
      <c r="L162" t="str">
        <f>IFERROR(IF(OR(HLOOKUP($A162,#REF!,10,FALSE)&gt;2,HLOOKUP($A162,#REF!,10,FALSE)&lt;-2),"",#REF!),"")</f>
        <v/>
      </c>
      <c r="M162" t="str">
        <f>IFERROR(IF(OR(HLOOKUP($A162,#REF!,11,FALSE)&gt;2,HLOOKUP($A162,#REF!,11,FALSE)&lt;-2),"",#REF!),"")</f>
        <v/>
      </c>
      <c r="N162" t="str">
        <f>IFERROR(IF(OR(HLOOKUP($A162,#REF!,12,FALSE)&gt;2,HLOOKUP($A162,#REF!,12,FALSE)&lt;-2),"",#REF!),"")</f>
        <v/>
      </c>
      <c r="O162" t="str">
        <f>IFERROR(IF(OR(HLOOKUP($A162,#REF!,13,FALSE)&gt;2,HLOOKUP($A162,#REF!,13,FALSE)&lt;-2),"",#REF!),"")</f>
        <v/>
      </c>
      <c r="P162" t="str">
        <f>IFERROR(IF(OR(HLOOKUP($A162,#REF!,14,FALSE)&gt;2,HLOOKUP($A162,#REF!,14,FALSE)&lt;-2),"",#REF!),"")</f>
        <v/>
      </c>
      <c r="Q162" t="str">
        <f>IFERROR(IF(OR(HLOOKUP($A162,#REF!,15,FALSE)&gt;2,HLOOKUP($A162,#REF!,15,FALSE)&lt;-2),"",#REF!),"")</f>
        <v/>
      </c>
      <c r="R162" t="str">
        <f>IFERROR(IF(OR(HLOOKUP($A162,#REF!,16,FALSE)&gt;2,HLOOKUP($A162,#REF!,16,FALSE)&lt;-2),"",#REF!),"")</f>
        <v/>
      </c>
      <c r="S162" t="str">
        <f>IFERROR(IF(OR(HLOOKUP($A162,#REF!,17,FALSE)&gt;2,HLOOKUP($A162,#REF!,17,FALSE)&lt;-2),"",#REF!),"")</f>
        <v/>
      </c>
      <c r="T162" t="str">
        <f>IFERROR(IF(OR(HLOOKUP($A162,#REF!,18,FALSE)&gt;2,HLOOKUP($A162,#REF!,18,FALSE)&lt;-2),"",#REF!),"")</f>
        <v/>
      </c>
      <c r="U162" t="str">
        <f>IFERROR(IF(OR(HLOOKUP($A162,#REF!,19,FALSE)&gt;2,HLOOKUP($A162,#REF!,19,FALSE)&lt;-2),"",#REF!),"")</f>
        <v/>
      </c>
      <c r="V162">
        <f t="shared" si="8"/>
        <v>1</v>
      </c>
      <c r="W162" t="str">
        <f t="shared" si="9"/>
        <v/>
      </c>
      <c r="X162" t="str">
        <f t="shared" si="10"/>
        <v/>
      </c>
      <c r="Y162" t="str">
        <f t="shared" si="11"/>
        <v/>
      </c>
    </row>
    <row r="163" spans="1:25" x14ac:dyDescent="0.35">
      <c r="A163">
        <v>165</v>
      </c>
      <c r="B163" t="s">
        <v>667</v>
      </c>
      <c r="C163">
        <v>84000</v>
      </c>
      <c r="D163">
        <v>348</v>
      </c>
      <c r="E163" t="str">
        <f>IFERROR(IF(OR(HLOOKUP($A163,#REF!,3,FALSE)&gt;2,HLOOKUP(A163,#REF!,3,FALSE)&lt;-2),"",#REF!),"")</f>
        <v/>
      </c>
      <c r="F163" t="str">
        <f>IFERROR(IF(OR(HLOOKUP($A163,#REF!,4,FALSE)&gt;2,HLOOKUP($A163,#REF!,4,FALSE)&lt;-2),"",#REF!),"")</f>
        <v/>
      </c>
      <c r="G163" t="str">
        <f>IFERROR(IF(OR(HLOOKUP($A163,#REF!,5,FALSE)&gt;2,HLOOKUP($A163,#REF!,5,FALSE)&lt;-2),"",#REF!),"")</f>
        <v/>
      </c>
      <c r="H163" t="str">
        <f>IFERROR(IF(OR(HLOOKUP($A163,#REF!,6,FALSE)&gt;2,HLOOKUP($A163,#REF!,6,FALSE)&lt;-2),"",#REF!),"")</f>
        <v/>
      </c>
      <c r="I163" t="str">
        <f>IFERROR(IF(OR(HLOOKUP($A163,#REF!,7,FALSE)&gt;2,HLOOKUP($A163,#REF!,7,FALSE)&lt;-2),"",#REF!),"")</f>
        <v/>
      </c>
      <c r="J163" t="str">
        <f>IFERROR(IF(OR(HLOOKUP($A163,#REF!,8,FALSE)&gt;2,HLOOKUP($A163,#REF!,8,FALSE)&lt;-2),"",#REF!),"")</f>
        <v/>
      </c>
      <c r="K163" t="str">
        <f>IFERROR(IF(OR(HLOOKUP($A163,#REF!,9,FALSE)&gt;2,HLOOKUP($A163,#REF!,9,FALSE)&lt;-2),"",#REF!),"")</f>
        <v/>
      </c>
      <c r="L163" t="str">
        <f>IFERROR(IF(OR(HLOOKUP($A163,#REF!,10,FALSE)&gt;2,HLOOKUP($A163,#REF!,10,FALSE)&lt;-2),"",#REF!),"")</f>
        <v/>
      </c>
      <c r="M163" t="str">
        <f>IFERROR(IF(OR(HLOOKUP($A163,#REF!,11,FALSE)&gt;2,HLOOKUP($A163,#REF!,11,FALSE)&lt;-2),"",#REF!),"")</f>
        <v/>
      </c>
      <c r="N163" t="str">
        <f>IFERROR(IF(OR(HLOOKUP($A163,#REF!,12,FALSE)&gt;2,HLOOKUP($A163,#REF!,12,FALSE)&lt;-2),"",#REF!),"")</f>
        <v/>
      </c>
      <c r="O163" t="str">
        <f>IFERROR(IF(OR(HLOOKUP($A163,#REF!,13,FALSE)&gt;2,HLOOKUP($A163,#REF!,13,FALSE)&lt;-2),"",#REF!),"")</f>
        <v/>
      </c>
      <c r="P163" t="str">
        <f>IFERROR(IF(OR(HLOOKUP($A163,#REF!,14,FALSE)&gt;2,HLOOKUP($A163,#REF!,14,FALSE)&lt;-2),"",#REF!),"")</f>
        <v/>
      </c>
      <c r="Q163" t="str">
        <f>IFERROR(IF(OR(HLOOKUP($A163,#REF!,15,FALSE)&gt;2,HLOOKUP($A163,#REF!,15,FALSE)&lt;-2),"",#REF!),"")</f>
        <v/>
      </c>
      <c r="R163" t="str">
        <f>IFERROR(IF(OR(HLOOKUP($A163,#REF!,16,FALSE)&gt;2,HLOOKUP($A163,#REF!,16,FALSE)&lt;-2),"",#REF!),"")</f>
        <v/>
      </c>
      <c r="S163" t="str">
        <f>IFERROR(IF(OR(HLOOKUP($A163,#REF!,17,FALSE)&gt;2,HLOOKUP($A163,#REF!,17,FALSE)&lt;-2),"",#REF!),"")</f>
        <v/>
      </c>
      <c r="T163" t="str">
        <f>IFERROR(IF(OR(HLOOKUP($A163,#REF!,18,FALSE)&gt;2,HLOOKUP($A163,#REF!,18,FALSE)&lt;-2),"",#REF!),"")</f>
        <v/>
      </c>
      <c r="U163" t="str">
        <f>IFERROR(IF(OR(HLOOKUP($A163,#REF!,19,FALSE)&gt;2,HLOOKUP($A163,#REF!,19,FALSE)&lt;-2),"",#REF!),"")</f>
        <v/>
      </c>
      <c r="V163">
        <f t="shared" si="8"/>
        <v>1</v>
      </c>
      <c r="W163" t="str">
        <f t="shared" si="9"/>
        <v/>
      </c>
      <c r="X163" t="str">
        <f t="shared" si="10"/>
        <v/>
      </c>
      <c r="Y163" t="str">
        <f t="shared" si="11"/>
        <v/>
      </c>
    </row>
    <row r="164" spans="1:25" x14ac:dyDescent="0.35">
      <c r="A164">
        <v>166</v>
      </c>
      <c r="B164" t="s">
        <v>668</v>
      </c>
      <c r="C164">
        <v>113500</v>
      </c>
      <c r="D164">
        <v>824</v>
      </c>
      <c r="E164" t="str">
        <f>IFERROR(IF(OR(HLOOKUP($A164,#REF!,3,FALSE)&gt;2,HLOOKUP(A164,#REF!,3,FALSE)&lt;-2),"",#REF!),"")</f>
        <v/>
      </c>
      <c r="F164" t="str">
        <f>IFERROR(IF(OR(HLOOKUP($A164,#REF!,4,FALSE)&gt;2,HLOOKUP($A164,#REF!,4,FALSE)&lt;-2),"",#REF!),"")</f>
        <v/>
      </c>
      <c r="G164" t="str">
        <f>IFERROR(IF(OR(HLOOKUP($A164,#REF!,5,FALSE)&gt;2,HLOOKUP($A164,#REF!,5,FALSE)&lt;-2),"",#REF!),"")</f>
        <v/>
      </c>
      <c r="H164" t="str">
        <f>IFERROR(IF(OR(HLOOKUP($A164,#REF!,6,FALSE)&gt;2,HLOOKUP($A164,#REF!,6,FALSE)&lt;-2),"",#REF!),"")</f>
        <v/>
      </c>
      <c r="I164" t="str">
        <f>IFERROR(IF(OR(HLOOKUP($A164,#REF!,7,FALSE)&gt;2,HLOOKUP($A164,#REF!,7,FALSE)&lt;-2),"",#REF!),"")</f>
        <v/>
      </c>
      <c r="J164" t="str">
        <f>IFERROR(IF(OR(HLOOKUP($A164,#REF!,8,FALSE)&gt;2,HLOOKUP($A164,#REF!,8,FALSE)&lt;-2),"",#REF!),"")</f>
        <v/>
      </c>
      <c r="K164" t="str">
        <f>IFERROR(IF(OR(HLOOKUP($A164,#REF!,9,FALSE)&gt;2,HLOOKUP($A164,#REF!,9,FALSE)&lt;-2),"",#REF!),"")</f>
        <v/>
      </c>
      <c r="L164" t="str">
        <f>IFERROR(IF(OR(HLOOKUP($A164,#REF!,10,FALSE)&gt;2,HLOOKUP($A164,#REF!,10,FALSE)&lt;-2),"",#REF!),"")</f>
        <v/>
      </c>
      <c r="M164" t="str">
        <f>IFERROR(IF(OR(HLOOKUP($A164,#REF!,11,FALSE)&gt;2,HLOOKUP($A164,#REF!,11,FALSE)&lt;-2),"",#REF!),"")</f>
        <v/>
      </c>
      <c r="N164" t="str">
        <f>IFERROR(IF(OR(HLOOKUP($A164,#REF!,12,FALSE)&gt;2,HLOOKUP($A164,#REF!,12,FALSE)&lt;-2),"",#REF!),"")</f>
        <v/>
      </c>
      <c r="O164" t="str">
        <f>IFERROR(IF(OR(HLOOKUP($A164,#REF!,13,FALSE)&gt;2,HLOOKUP($A164,#REF!,13,FALSE)&lt;-2),"",#REF!),"")</f>
        <v/>
      </c>
      <c r="P164" t="str">
        <f>IFERROR(IF(OR(HLOOKUP($A164,#REF!,14,FALSE)&gt;2,HLOOKUP($A164,#REF!,14,FALSE)&lt;-2),"",#REF!),"")</f>
        <v/>
      </c>
      <c r="Q164" t="str">
        <f>IFERROR(IF(OR(HLOOKUP($A164,#REF!,15,FALSE)&gt;2,HLOOKUP($A164,#REF!,15,FALSE)&lt;-2),"",#REF!),"")</f>
        <v/>
      </c>
      <c r="R164" t="str">
        <f>IFERROR(IF(OR(HLOOKUP($A164,#REF!,16,FALSE)&gt;2,HLOOKUP($A164,#REF!,16,FALSE)&lt;-2),"",#REF!),"")</f>
        <v/>
      </c>
      <c r="S164" t="str">
        <f>IFERROR(IF(OR(HLOOKUP($A164,#REF!,17,FALSE)&gt;2,HLOOKUP($A164,#REF!,17,FALSE)&lt;-2),"",#REF!),"")</f>
        <v/>
      </c>
      <c r="T164" t="str">
        <f>IFERROR(IF(OR(HLOOKUP($A164,#REF!,18,FALSE)&gt;2,HLOOKUP($A164,#REF!,18,FALSE)&lt;-2),"",#REF!),"")</f>
        <v/>
      </c>
      <c r="U164" t="str">
        <f>IFERROR(IF(OR(HLOOKUP($A164,#REF!,19,FALSE)&gt;2,HLOOKUP($A164,#REF!,19,FALSE)&lt;-2),"",#REF!),"")</f>
        <v/>
      </c>
      <c r="V164">
        <f t="shared" si="8"/>
        <v>1</v>
      </c>
      <c r="W164" t="str">
        <f t="shared" si="9"/>
        <v/>
      </c>
      <c r="X164" t="str">
        <f t="shared" si="10"/>
        <v/>
      </c>
      <c r="Y164" t="str">
        <f t="shared" si="11"/>
        <v/>
      </c>
    </row>
    <row r="165" spans="1:25" x14ac:dyDescent="0.35">
      <c r="A165">
        <v>167</v>
      </c>
      <c r="B165" t="s">
        <v>669</v>
      </c>
      <c r="C165">
        <v>31100</v>
      </c>
      <c r="D165">
        <v>159</v>
      </c>
      <c r="E165" t="str">
        <f>IFERROR(IF(OR(HLOOKUP($A165,#REF!,3,FALSE)&gt;2,HLOOKUP(A165,#REF!,3,FALSE)&lt;-2),"",#REF!),"")</f>
        <v/>
      </c>
      <c r="F165" t="str">
        <f>IFERROR(IF(OR(HLOOKUP($A165,#REF!,4,FALSE)&gt;2,HLOOKUP($A165,#REF!,4,FALSE)&lt;-2),"",#REF!),"")</f>
        <v/>
      </c>
      <c r="G165" t="str">
        <f>IFERROR(IF(OR(HLOOKUP($A165,#REF!,5,FALSE)&gt;2,HLOOKUP($A165,#REF!,5,FALSE)&lt;-2),"",#REF!),"")</f>
        <v/>
      </c>
      <c r="H165" t="str">
        <f>IFERROR(IF(OR(HLOOKUP($A165,#REF!,6,FALSE)&gt;2,HLOOKUP($A165,#REF!,6,FALSE)&lt;-2),"",#REF!),"")</f>
        <v/>
      </c>
      <c r="I165" t="str">
        <f>IFERROR(IF(OR(HLOOKUP($A165,#REF!,7,FALSE)&gt;2,HLOOKUP($A165,#REF!,7,FALSE)&lt;-2),"",#REF!),"")</f>
        <v/>
      </c>
      <c r="J165" t="str">
        <f>IFERROR(IF(OR(HLOOKUP($A165,#REF!,8,FALSE)&gt;2,HLOOKUP($A165,#REF!,8,FALSE)&lt;-2),"",#REF!),"")</f>
        <v/>
      </c>
      <c r="K165" t="str">
        <f>IFERROR(IF(OR(HLOOKUP($A165,#REF!,9,FALSE)&gt;2,HLOOKUP($A165,#REF!,9,FALSE)&lt;-2),"",#REF!),"")</f>
        <v/>
      </c>
      <c r="L165" t="str">
        <f>IFERROR(IF(OR(HLOOKUP($A165,#REF!,10,FALSE)&gt;2,HLOOKUP($A165,#REF!,10,FALSE)&lt;-2),"",#REF!),"")</f>
        <v/>
      </c>
      <c r="M165" t="str">
        <f>IFERROR(IF(OR(HLOOKUP($A165,#REF!,11,FALSE)&gt;2,HLOOKUP($A165,#REF!,11,FALSE)&lt;-2),"",#REF!),"")</f>
        <v/>
      </c>
      <c r="N165" t="str">
        <f>IFERROR(IF(OR(HLOOKUP($A165,#REF!,12,FALSE)&gt;2,HLOOKUP($A165,#REF!,12,FALSE)&lt;-2),"",#REF!),"")</f>
        <v/>
      </c>
      <c r="O165" t="str">
        <f>IFERROR(IF(OR(HLOOKUP($A165,#REF!,13,FALSE)&gt;2,HLOOKUP($A165,#REF!,13,FALSE)&lt;-2),"",#REF!),"")</f>
        <v/>
      </c>
      <c r="P165" t="str">
        <f>IFERROR(IF(OR(HLOOKUP($A165,#REF!,14,FALSE)&gt;2,HLOOKUP($A165,#REF!,14,FALSE)&lt;-2),"",#REF!),"")</f>
        <v/>
      </c>
      <c r="Q165" t="str">
        <f>IFERROR(IF(OR(HLOOKUP($A165,#REF!,15,FALSE)&gt;2,HLOOKUP($A165,#REF!,15,FALSE)&lt;-2),"",#REF!),"")</f>
        <v/>
      </c>
      <c r="R165" t="str">
        <f>IFERROR(IF(OR(HLOOKUP($A165,#REF!,16,FALSE)&gt;2,HLOOKUP($A165,#REF!,16,FALSE)&lt;-2),"",#REF!),"")</f>
        <v/>
      </c>
      <c r="S165" t="str">
        <f>IFERROR(IF(OR(HLOOKUP($A165,#REF!,17,FALSE)&gt;2,HLOOKUP($A165,#REF!,17,FALSE)&lt;-2),"",#REF!),"")</f>
        <v/>
      </c>
      <c r="T165" t="str">
        <f>IFERROR(IF(OR(HLOOKUP($A165,#REF!,18,FALSE)&gt;2,HLOOKUP($A165,#REF!,18,FALSE)&lt;-2),"",#REF!),"")</f>
        <v/>
      </c>
      <c r="U165" t="str">
        <f>IFERROR(IF(OR(HLOOKUP($A165,#REF!,19,FALSE)&gt;2,HLOOKUP($A165,#REF!,19,FALSE)&lt;-2),"",#REF!),"")</f>
        <v/>
      </c>
      <c r="V165">
        <f t="shared" si="8"/>
        <v>1</v>
      </c>
      <c r="W165" t="str">
        <f t="shared" si="9"/>
        <v/>
      </c>
      <c r="X165" t="str">
        <f t="shared" si="10"/>
        <v/>
      </c>
      <c r="Y165" t="str">
        <f t="shared" si="11"/>
        <v/>
      </c>
    </row>
    <row r="166" spans="1:25" x14ac:dyDescent="0.35">
      <c r="A166">
        <v>168</v>
      </c>
      <c r="B166" t="s">
        <v>670</v>
      </c>
      <c r="C166">
        <v>31700</v>
      </c>
      <c r="D166">
        <v>159</v>
      </c>
      <c r="E166" t="str">
        <f>IFERROR(IF(OR(HLOOKUP($A166,#REF!,3,FALSE)&gt;2,HLOOKUP(A166,#REF!,3,FALSE)&lt;-2),"",#REF!),"")</f>
        <v/>
      </c>
      <c r="F166" t="str">
        <f>IFERROR(IF(OR(HLOOKUP($A166,#REF!,4,FALSE)&gt;2,HLOOKUP($A166,#REF!,4,FALSE)&lt;-2),"",#REF!),"")</f>
        <v/>
      </c>
      <c r="G166" t="str">
        <f>IFERROR(IF(OR(HLOOKUP($A166,#REF!,5,FALSE)&gt;2,HLOOKUP($A166,#REF!,5,FALSE)&lt;-2),"",#REF!),"")</f>
        <v/>
      </c>
      <c r="H166" t="str">
        <f>IFERROR(IF(OR(HLOOKUP($A166,#REF!,6,FALSE)&gt;2,HLOOKUP($A166,#REF!,6,FALSE)&lt;-2),"",#REF!),"")</f>
        <v/>
      </c>
      <c r="I166" t="str">
        <f>IFERROR(IF(OR(HLOOKUP($A166,#REF!,7,FALSE)&gt;2,HLOOKUP($A166,#REF!,7,FALSE)&lt;-2),"",#REF!),"")</f>
        <v/>
      </c>
      <c r="J166" t="str">
        <f>IFERROR(IF(OR(HLOOKUP($A166,#REF!,8,FALSE)&gt;2,HLOOKUP($A166,#REF!,8,FALSE)&lt;-2),"",#REF!),"")</f>
        <v/>
      </c>
      <c r="K166" t="str">
        <f>IFERROR(IF(OR(HLOOKUP($A166,#REF!,9,FALSE)&gt;2,HLOOKUP($A166,#REF!,9,FALSE)&lt;-2),"",#REF!),"")</f>
        <v/>
      </c>
      <c r="L166" t="str">
        <f>IFERROR(IF(OR(HLOOKUP($A166,#REF!,10,FALSE)&gt;2,HLOOKUP($A166,#REF!,10,FALSE)&lt;-2),"",#REF!),"")</f>
        <v/>
      </c>
      <c r="M166" t="str">
        <f>IFERROR(IF(OR(HLOOKUP($A166,#REF!,11,FALSE)&gt;2,HLOOKUP($A166,#REF!,11,FALSE)&lt;-2),"",#REF!),"")</f>
        <v/>
      </c>
      <c r="N166" t="str">
        <f>IFERROR(IF(OR(HLOOKUP($A166,#REF!,12,FALSE)&gt;2,HLOOKUP($A166,#REF!,12,FALSE)&lt;-2),"",#REF!),"")</f>
        <v/>
      </c>
      <c r="O166" t="str">
        <f>IFERROR(IF(OR(HLOOKUP($A166,#REF!,13,FALSE)&gt;2,HLOOKUP($A166,#REF!,13,FALSE)&lt;-2),"",#REF!),"")</f>
        <v/>
      </c>
      <c r="P166" t="str">
        <f>IFERROR(IF(OR(HLOOKUP($A166,#REF!,14,FALSE)&gt;2,HLOOKUP($A166,#REF!,14,FALSE)&lt;-2),"",#REF!),"")</f>
        <v/>
      </c>
      <c r="Q166" t="str">
        <f>IFERROR(IF(OR(HLOOKUP($A166,#REF!,15,FALSE)&gt;2,HLOOKUP($A166,#REF!,15,FALSE)&lt;-2),"",#REF!),"")</f>
        <v/>
      </c>
      <c r="R166" t="str">
        <f>IFERROR(IF(OR(HLOOKUP($A166,#REF!,16,FALSE)&gt;2,HLOOKUP($A166,#REF!,16,FALSE)&lt;-2),"",#REF!),"")</f>
        <v/>
      </c>
      <c r="S166" t="str">
        <f>IFERROR(IF(OR(HLOOKUP($A166,#REF!,17,FALSE)&gt;2,HLOOKUP($A166,#REF!,17,FALSE)&lt;-2),"",#REF!),"")</f>
        <v/>
      </c>
      <c r="T166" t="str">
        <f>IFERROR(IF(OR(HLOOKUP($A166,#REF!,18,FALSE)&gt;2,HLOOKUP($A166,#REF!,18,FALSE)&lt;-2),"",#REF!),"")</f>
        <v/>
      </c>
      <c r="U166" t="str">
        <f>IFERROR(IF(OR(HLOOKUP($A166,#REF!,19,FALSE)&gt;2,HLOOKUP($A166,#REF!,19,FALSE)&lt;-2),"",#REF!),"")</f>
        <v/>
      </c>
      <c r="V166">
        <f t="shared" si="8"/>
        <v>1</v>
      </c>
      <c r="W166" t="str">
        <f t="shared" si="9"/>
        <v/>
      </c>
      <c r="X166" t="str">
        <f t="shared" si="10"/>
        <v/>
      </c>
      <c r="Y166" t="str">
        <f t="shared" si="11"/>
        <v/>
      </c>
    </row>
    <row r="167" spans="1:25" x14ac:dyDescent="0.35">
      <c r="A167">
        <v>169</v>
      </c>
      <c r="B167" t="s">
        <v>99</v>
      </c>
      <c r="C167">
        <v>95400</v>
      </c>
      <c r="D167">
        <v>154</v>
      </c>
      <c r="E167" t="str">
        <f>IFERROR(IF(OR(HLOOKUP($A167,#REF!,3,FALSE)&gt;2,HLOOKUP(A167,#REF!,3,FALSE)&lt;-2),"",#REF!),"")</f>
        <v/>
      </c>
      <c r="F167" t="str">
        <f>IFERROR(IF(OR(HLOOKUP($A167,#REF!,4,FALSE)&gt;2,HLOOKUP($A167,#REF!,4,FALSE)&lt;-2),"",#REF!),"")</f>
        <v/>
      </c>
      <c r="G167" t="str">
        <f>IFERROR(IF(OR(HLOOKUP($A167,#REF!,5,FALSE)&gt;2,HLOOKUP($A167,#REF!,5,FALSE)&lt;-2),"",#REF!),"")</f>
        <v/>
      </c>
      <c r="H167" t="str">
        <f>IFERROR(IF(OR(HLOOKUP($A167,#REF!,6,FALSE)&gt;2,HLOOKUP($A167,#REF!,6,FALSE)&lt;-2),"",#REF!),"")</f>
        <v/>
      </c>
      <c r="I167" t="str">
        <f>IFERROR(IF(OR(HLOOKUP($A167,#REF!,7,FALSE)&gt;2,HLOOKUP($A167,#REF!,7,FALSE)&lt;-2),"",#REF!),"")</f>
        <v/>
      </c>
      <c r="J167" t="str">
        <f>IFERROR(IF(OR(HLOOKUP($A167,#REF!,8,FALSE)&gt;2,HLOOKUP($A167,#REF!,8,FALSE)&lt;-2),"",#REF!),"")</f>
        <v/>
      </c>
      <c r="K167" t="str">
        <f>IFERROR(IF(OR(HLOOKUP($A167,#REF!,9,FALSE)&gt;2,HLOOKUP($A167,#REF!,9,FALSE)&lt;-2),"",#REF!),"")</f>
        <v/>
      </c>
      <c r="L167" t="str">
        <f>IFERROR(IF(OR(HLOOKUP($A167,#REF!,10,FALSE)&gt;2,HLOOKUP($A167,#REF!,10,FALSE)&lt;-2),"",#REF!),"")</f>
        <v/>
      </c>
      <c r="M167" t="str">
        <f>IFERROR(IF(OR(HLOOKUP($A167,#REF!,11,FALSE)&gt;2,HLOOKUP($A167,#REF!,11,FALSE)&lt;-2),"",#REF!),"")</f>
        <v/>
      </c>
      <c r="N167" t="str">
        <f>IFERROR(IF(OR(HLOOKUP($A167,#REF!,12,FALSE)&gt;2,HLOOKUP($A167,#REF!,12,FALSE)&lt;-2),"",#REF!),"")</f>
        <v/>
      </c>
      <c r="O167" t="str">
        <f>IFERROR(IF(OR(HLOOKUP($A167,#REF!,13,FALSE)&gt;2,HLOOKUP($A167,#REF!,13,FALSE)&lt;-2),"",#REF!),"")</f>
        <v/>
      </c>
      <c r="P167" t="str">
        <f>IFERROR(IF(OR(HLOOKUP($A167,#REF!,14,FALSE)&gt;2,HLOOKUP($A167,#REF!,14,FALSE)&lt;-2),"",#REF!),"")</f>
        <v/>
      </c>
      <c r="Q167" t="str">
        <f>IFERROR(IF(OR(HLOOKUP($A167,#REF!,15,FALSE)&gt;2,HLOOKUP($A167,#REF!,15,FALSE)&lt;-2),"",#REF!),"")</f>
        <v/>
      </c>
      <c r="R167" t="str">
        <f>IFERROR(IF(OR(HLOOKUP($A167,#REF!,16,FALSE)&gt;2,HLOOKUP($A167,#REF!,16,FALSE)&lt;-2),"",#REF!),"")</f>
        <v/>
      </c>
      <c r="S167" t="str">
        <f>IFERROR(IF(OR(HLOOKUP($A167,#REF!,17,FALSE)&gt;2,HLOOKUP($A167,#REF!,17,FALSE)&lt;-2),"",#REF!),"")</f>
        <v/>
      </c>
      <c r="T167" t="str">
        <f>IFERROR(IF(OR(HLOOKUP($A167,#REF!,18,FALSE)&gt;2,HLOOKUP($A167,#REF!,18,FALSE)&lt;-2),"",#REF!),"")</f>
        <v/>
      </c>
      <c r="U167" t="str">
        <f>IFERROR(IF(OR(HLOOKUP($A167,#REF!,19,FALSE)&gt;2,HLOOKUP($A167,#REF!,19,FALSE)&lt;-2),"",#REF!),"")</f>
        <v/>
      </c>
      <c r="V167">
        <f t="shared" si="8"/>
        <v>1</v>
      </c>
      <c r="W167" t="str">
        <f t="shared" si="9"/>
        <v/>
      </c>
      <c r="X167" t="str">
        <f t="shared" si="10"/>
        <v/>
      </c>
      <c r="Y167" t="str">
        <f t="shared" si="11"/>
        <v/>
      </c>
    </row>
    <row r="168" spans="1:25" x14ac:dyDescent="0.35">
      <c r="A168">
        <v>170</v>
      </c>
      <c r="B168" t="s">
        <v>100</v>
      </c>
      <c r="C168">
        <v>65500</v>
      </c>
      <c r="D168">
        <v>1008</v>
      </c>
      <c r="E168" t="str">
        <f>IFERROR(IF(OR(HLOOKUP($A168,#REF!,3,FALSE)&gt;2,HLOOKUP(A168,#REF!,3,FALSE)&lt;-2),"",#REF!),"")</f>
        <v/>
      </c>
      <c r="F168" t="str">
        <f>IFERROR(IF(OR(HLOOKUP($A168,#REF!,4,FALSE)&gt;2,HLOOKUP($A168,#REF!,4,FALSE)&lt;-2),"",#REF!),"")</f>
        <v/>
      </c>
      <c r="G168" t="str">
        <f>IFERROR(IF(OR(HLOOKUP($A168,#REF!,5,FALSE)&gt;2,HLOOKUP($A168,#REF!,5,FALSE)&lt;-2),"",#REF!),"")</f>
        <v/>
      </c>
      <c r="H168" t="str">
        <f>IFERROR(IF(OR(HLOOKUP($A168,#REF!,6,FALSE)&gt;2,HLOOKUP($A168,#REF!,6,FALSE)&lt;-2),"",#REF!),"")</f>
        <v/>
      </c>
      <c r="I168" t="str">
        <f>IFERROR(IF(OR(HLOOKUP($A168,#REF!,7,FALSE)&gt;2,HLOOKUP($A168,#REF!,7,FALSE)&lt;-2),"",#REF!),"")</f>
        <v/>
      </c>
      <c r="J168" t="str">
        <f>IFERROR(IF(OR(HLOOKUP($A168,#REF!,8,FALSE)&gt;2,HLOOKUP($A168,#REF!,8,FALSE)&lt;-2),"",#REF!),"")</f>
        <v/>
      </c>
      <c r="K168" t="str">
        <f>IFERROR(IF(OR(HLOOKUP($A168,#REF!,9,FALSE)&gt;2,HLOOKUP($A168,#REF!,9,FALSE)&lt;-2),"",#REF!),"")</f>
        <v/>
      </c>
      <c r="L168" t="str">
        <f>IFERROR(IF(OR(HLOOKUP($A168,#REF!,10,FALSE)&gt;2,HLOOKUP($A168,#REF!,10,FALSE)&lt;-2),"",#REF!),"")</f>
        <v/>
      </c>
      <c r="M168" t="str">
        <f>IFERROR(IF(OR(HLOOKUP($A168,#REF!,11,FALSE)&gt;2,HLOOKUP($A168,#REF!,11,FALSE)&lt;-2),"",#REF!),"")</f>
        <v/>
      </c>
      <c r="N168" t="str">
        <f>IFERROR(IF(OR(HLOOKUP($A168,#REF!,12,FALSE)&gt;2,HLOOKUP($A168,#REF!,12,FALSE)&lt;-2),"",#REF!),"")</f>
        <v/>
      </c>
      <c r="O168" t="str">
        <f>IFERROR(IF(OR(HLOOKUP($A168,#REF!,13,FALSE)&gt;2,HLOOKUP($A168,#REF!,13,FALSE)&lt;-2),"",#REF!),"")</f>
        <v/>
      </c>
      <c r="P168" t="str">
        <f>IFERROR(IF(OR(HLOOKUP($A168,#REF!,14,FALSE)&gt;2,HLOOKUP($A168,#REF!,14,FALSE)&lt;-2),"",#REF!),"")</f>
        <v/>
      </c>
      <c r="Q168" t="str">
        <f>IFERROR(IF(OR(HLOOKUP($A168,#REF!,15,FALSE)&gt;2,HLOOKUP($A168,#REF!,15,FALSE)&lt;-2),"",#REF!),"")</f>
        <v/>
      </c>
      <c r="R168" t="str">
        <f>IFERROR(IF(OR(HLOOKUP($A168,#REF!,16,FALSE)&gt;2,HLOOKUP($A168,#REF!,16,FALSE)&lt;-2),"",#REF!),"")</f>
        <v/>
      </c>
      <c r="S168" t="str">
        <f>IFERROR(IF(OR(HLOOKUP($A168,#REF!,17,FALSE)&gt;2,HLOOKUP($A168,#REF!,17,FALSE)&lt;-2),"",#REF!),"")</f>
        <v/>
      </c>
      <c r="T168" t="str">
        <f>IFERROR(IF(OR(HLOOKUP($A168,#REF!,18,FALSE)&gt;2,HLOOKUP($A168,#REF!,18,FALSE)&lt;-2),"",#REF!),"")</f>
        <v/>
      </c>
      <c r="U168" t="str">
        <f>IFERROR(IF(OR(HLOOKUP($A168,#REF!,19,FALSE)&gt;2,HLOOKUP($A168,#REF!,19,FALSE)&lt;-2),"",#REF!),"")</f>
        <v/>
      </c>
      <c r="V168">
        <f t="shared" si="8"/>
        <v>1</v>
      </c>
      <c r="W168" t="str">
        <f t="shared" si="9"/>
        <v/>
      </c>
      <c r="X168" t="str">
        <f t="shared" si="10"/>
        <v/>
      </c>
      <c r="Y168" t="str">
        <f t="shared" si="11"/>
        <v/>
      </c>
    </row>
    <row r="169" spans="1:25" x14ac:dyDescent="0.35">
      <c r="A169">
        <v>171</v>
      </c>
      <c r="B169" t="s">
        <v>101</v>
      </c>
      <c r="C169">
        <v>20200</v>
      </c>
      <c r="D169">
        <v>972</v>
      </c>
      <c r="E169" t="str">
        <f>IFERROR(IF(OR(HLOOKUP($A169,#REF!,3,FALSE)&gt;2,HLOOKUP(A169,#REF!,3,FALSE)&lt;-2),"",#REF!),"")</f>
        <v/>
      </c>
      <c r="F169" t="str">
        <f>IFERROR(IF(OR(HLOOKUP($A169,#REF!,4,FALSE)&gt;2,HLOOKUP($A169,#REF!,4,FALSE)&lt;-2),"",#REF!),"")</f>
        <v/>
      </c>
      <c r="G169" t="str">
        <f>IFERROR(IF(OR(HLOOKUP($A169,#REF!,5,FALSE)&gt;2,HLOOKUP($A169,#REF!,5,FALSE)&lt;-2),"",#REF!),"")</f>
        <v/>
      </c>
      <c r="H169" t="str">
        <f>IFERROR(IF(OR(HLOOKUP($A169,#REF!,6,FALSE)&gt;2,HLOOKUP($A169,#REF!,6,FALSE)&lt;-2),"",#REF!),"")</f>
        <v/>
      </c>
      <c r="I169" t="str">
        <f>IFERROR(IF(OR(HLOOKUP($A169,#REF!,7,FALSE)&gt;2,HLOOKUP($A169,#REF!,7,FALSE)&lt;-2),"",#REF!),"")</f>
        <v/>
      </c>
      <c r="J169" t="str">
        <f>IFERROR(IF(OR(HLOOKUP($A169,#REF!,8,FALSE)&gt;2,HLOOKUP($A169,#REF!,8,FALSE)&lt;-2),"",#REF!),"")</f>
        <v/>
      </c>
      <c r="K169" t="str">
        <f>IFERROR(IF(OR(HLOOKUP($A169,#REF!,9,FALSE)&gt;2,HLOOKUP($A169,#REF!,9,FALSE)&lt;-2),"",#REF!),"")</f>
        <v/>
      </c>
      <c r="L169" t="str">
        <f>IFERROR(IF(OR(HLOOKUP($A169,#REF!,10,FALSE)&gt;2,HLOOKUP($A169,#REF!,10,FALSE)&lt;-2),"",#REF!),"")</f>
        <v/>
      </c>
      <c r="M169" t="str">
        <f>IFERROR(IF(OR(HLOOKUP($A169,#REF!,11,FALSE)&gt;2,HLOOKUP($A169,#REF!,11,FALSE)&lt;-2),"",#REF!),"")</f>
        <v/>
      </c>
      <c r="N169" t="str">
        <f>IFERROR(IF(OR(HLOOKUP($A169,#REF!,12,FALSE)&gt;2,HLOOKUP($A169,#REF!,12,FALSE)&lt;-2),"",#REF!),"")</f>
        <v/>
      </c>
      <c r="O169" t="str">
        <f>IFERROR(IF(OR(HLOOKUP($A169,#REF!,13,FALSE)&gt;2,HLOOKUP($A169,#REF!,13,FALSE)&lt;-2),"",#REF!),"")</f>
        <v/>
      </c>
      <c r="P169" t="str">
        <f>IFERROR(IF(OR(HLOOKUP($A169,#REF!,14,FALSE)&gt;2,HLOOKUP($A169,#REF!,14,FALSE)&lt;-2),"",#REF!),"")</f>
        <v/>
      </c>
      <c r="Q169" t="str">
        <f>IFERROR(IF(OR(HLOOKUP($A169,#REF!,15,FALSE)&gt;2,HLOOKUP($A169,#REF!,15,FALSE)&lt;-2),"",#REF!),"")</f>
        <v/>
      </c>
      <c r="R169" t="str">
        <f>IFERROR(IF(OR(HLOOKUP($A169,#REF!,16,FALSE)&gt;2,HLOOKUP($A169,#REF!,16,FALSE)&lt;-2),"",#REF!),"")</f>
        <v/>
      </c>
      <c r="S169" t="str">
        <f>IFERROR(IF(OR(HLOOKUP($A169,#REF!,17,FALSE)&gt;2,HLOOKUP($A169,#REF!,17,FALSE)&lt;-2),"",#REF!),"")</f>
        <v/>
      </c>
      <c r="T169" t="str">
        <f>IFERROR(IF(OR(HLOOKUP($A169,#REF!,18,FALSE)&gt;2,HLOOKUP($A169,#REF!,18,FALSE)&lt;-2),"",#REF!),"")</f>
        <v/>
      </c>
      <c r="U169" t="str">
        <f>IFERROR(IF(OR(HLOOKUP($A169,#REF!,19,FALSE)&gt;2,HLOOKUP($A169,#REF!,19,FALSE)&lt;-2),"",#REF!),"")</f>
        <v/>
      </c>
      <c r="V169">
        <f t="shared" si="8"/>
        <v>1</v>
      </c>
      <c r="W169" t="str">
        <f t="shared" si="9"/>
        <v/>
      </c>
      <c r="X169" t="str">
        <f t="shared" si="10"/>
        <v/>
      </c>
      <c r="Y169" t="str">
        <f t="shared" si="11"/>
        <v/>
      </c>
    </row>
    <row r="170" spans="1:25" x14ac:dyDescent="0.35">
      <c r="A170">
        <v>173</v>
      </c>
      <c r="B170" t="s">
        <v>102</v>
      </c>
      <c r="C170">
        <v>77800</v>
      </c>
      <c r="D170">
        <v>290</v>
      </c>
      <c r="E170" t="str">
        <f>IFERROR(IF(OR(HLOOKUP($A170,#REF!,3,FALSE)&gt;2,HLOOKUP(A170,#REF!,3,FALSE)&lt;-2),"",#REF!),"")</f>
        <v/>
      </c>
      <c r="F170" t="str">
        <f>IFERROR(IF(OR(HLOOKUP($A170,#REF!,4,FALSE)&gt;2,HLOOKUP($A170,#REF!,4,FALSE)&lt;-2),"",#REF!),"")</f>
        <v/>
      </c>
      <c r="G170" t="str">
        <f>IFERROR(IF(OR(HLOOKUP($A170,#REF!,5,FALSE)&gt;2,HLOOKUP($A170,#REF!,5,FALSE)&lt;-2),"",#REF!),"")</f>
        <v/>
      </c>
      <c r="H170" t="str">
        <f>IFERROR(IF(OR(HLOOKUP($A170,#REF!,6,FALSE)&gt;2,HLOOKUP($A170,#REF!,6,FALSE)&lt;-2),"",#REF!),"")</f>
        <v/>
      </c>
      <c r="I170" t="str">
        <f>IFERROR(IF(OR(HLOOKUP($A170,#REF!,7,FALSE)&gt;2,HLOOKUP($A170,#REF!,7,FALSE)&lt;-2),"",#REF!),"")</f>
        <v/>
      </c>
      <c r="J170" t="str">
        <f>IFERROR(IF(OR(HLOOKUP($A170,#REF!,8,FALSE)&gt;2,HLOOKUP($A170,#REF!,8,FALSE)&lt;-2),"",#REF!),"")</f>
        <v/>
      </c>
      <c r="K170" t="str">
        <f>IFERROR(IF(OR(HLOOKUP($A170,#REF!,9,FALSE)&gt;2,HLOOKUP($A170,#REF!,9,FALSE)&lt;-2),"",#REF!),"")</f>
        <v/>
      </c>
      <c r="L170" t="str">
        <f>IFERROR(IF(OR(HLOOKUP($A170,#REF!,10,FALSE)&gt;2,HLOOKUP($A170,#REF!,10,FALSE)&lt;-2),"",#REF!),"")</f>
        <v/>
      </c>
      <c r="M170" t="str">
        <f>IFERROR(IF(OR(HLOOKUP($A170,#REF!,11,FALSE)&gt;2,HLOOKUP($A170,#REF!,11,FALSE)&lt;-2),"",#REF!),"")</f>
        <v/>
      </c>
      <c r="N170" t="str">
        <f>IFERROR(IF(OR(HLOOKUP($A170,#REF!,12,FALSE)&gt;2,HLOOKUP($A170,#REF!,12,FALSE)&lt;-2),"",#REF!),"")</f>
        <v/>
      </c>
      <c r="O170" t="str">
        <f>IFERROR(IF(OR(HLOOKUP($A170,#REF!,13,FALSE)&gt;2,HLOOKUP($A170,#REF!,13,FALSE)&lt;-2),"",#REF!),"")</f>
        <v/>
      </c>
      <c r="P170" t="str">
        <f>IFERROR(IF(OR(HLOOKUP($A170,#REF!,14,FALSE)&gt;2,HLOOKUP($A170,#REF!,14,FALSE)&lt;-2),"",#REF!),"")</f>
        <v/>
      </c>
      <c r="Q170" t="str">
        <f>IFERROR(IF(OR(HLOOKUP($A170,#REF!,15,FALSE)&gt;2,HLOOKUP($A170,#REF!,15,FALSE)&lt;-2),"",#REF!),"")</f>
        <v/>
      </c>
      <c r="R170" t="str">
        <f>IFERROR(IF(OR(HLOOKUP($A170,#REF!,16,FALSE)&gt;2,HLOOKUP($A170,#REF!,16,FALSE)&lt;-2),"",#REF!),"")</f>
        <v/>
      </c>
      <c r="S170" t="str">
        <f>IFERROR(IF(OR(HLOOKUP($A170,#REF!,17,FALSE)&gt;2,HLOOKUP($A170,#REF!,17,FALSE)&lt;-2),"",#REF!),"")</f>
        <v/>
      </c>
      <c r="T170" t="str">
        <f>IFERROR(IF(OR(HLOOKUP($A170,#REF!,18,FALSE)&gt;2,HLOOKUP($A170,#REF!,18,FALSE)&lt;-2),"",#REF!),"")</f>
        <v/>
      </c>
      <c r="U170" t="str">
        <f>IFERROR(IF(OR(HLOOKUP($A170,#REF!,19,FALSE)&gt;2,HLOOKUP($A170,#REF!,19,FALSE)&lt;-2),"",#REF!),"")</f>
        <v/>
      </c>
      <c r="V170">
        <f t="shared" si="8"/>
        <v>1</v>
      </c>
      <c r="W170" t="str">
        <f t="shared" si="9"/>
        <v/>
      </c>
      <c r="X170" t="str">
        <f t="shared" si="10"/>
        <v/>
      </c>
      <c r="Y170" t="str">
        <f t="shared" si="11"/>
        <v/>
      </c>
    </row>
    <row r="171" spans="1:25" x14ac:dyDescent="0.35">
      <c r="A171">
        <v>174</v>
      </c>
      <c r="B171" t="s">
        <v>671</v>
      </c>
      <c r="C171">
        <v>113000</v>
      </c>
      <c r="D171">
        <v>824</v>
      </c>
      <c r="E171" t="str">
        <f>IFERROR(IF(OR(HLOOKUP($A171,#REF!,3,FALSE)&gt;2,HLOOKUP(A171,#REF!,3,FALSE)&lt;-2),"",#REF!),"")</f>
        <v/>
      </c>
      <c r="F171" t="str">
        <f>IFERROR(IF(OR(HLOOKUP($A171,#REF!,4,FALSE)&gt;2,HLOOKUP($A171,#REF!,4,FALSE)&lt;-2),"",#REF!),"")</f>
        <v/>
      </c>
      <c r="G171" t="str">
        <f>IFERROR(IF(OR(HLOOKUP($A171,#REF!,5,FALSE)&gt;2,HLOOKUP($A171,#REF!,5,FALSE)&lt;-2),"",#REF!),"")</f>
        <v/>
      </c>
      <c r="H171" t="str">
        <f>IFERROR(IF(OR(HLOOKUP($A171,#REF!,6,FALSE)&gt;2,HLOOKUP($A171,#REF!,6,FALSE)&lt;-2),"",#REF!),"")</f>
        <v/>
      </c>
      <c r="I171" t="str">
        <f>IFERROR(IF(OR(HLOOKUP($A171,#REF!,7,FALSE)&gt;2,HLOOKUP($A171,#REF!,7,FALSE)&lt;-2),"",#REF!),"")</f>
        <v/>
      </c>
      <c r="J171" t="str">
        <f>IFERROR(IF(OR(HLOOKUP($A171,#REF!,8,FALSE)&gt;2,HLOOKUP($A171,#REF!,8,FALSE)&lt;-2),"",#REF!),"")</f>
        <v/>
      </c>
      <c r="K171" t="str">
        <f>IFERROR(IF(OR(HLOOKUP($A171,#REF!,9,FALSE)&gt;2,HLOOKUP($A171,#REF!,9,FALSE)&lt;-2),"",#REF!),"")</f>
        <v/>
      </c>
      <c r="L171" t="str">
        <f>IFERROR(IF(OR(HLOOKUP($A171,#REF!,10,FALSE)&gt;2,HLOOKUP($A171,#REF!,10,FALSE)&lt;-2),"",#REF!),"")</f>
        <v/>
      </c>
      <c r="M171" t="str">
        <f>IFERROR(IF(OR(HLOOKUP($A171,#REF!,11,FALSE)&gt;2,HLOOKUP($A171,#REF!,11,FALSE)&lt;-2),"",#REF!),"")</f>
        <v/>
      </c>
      <c r="N171" t="str">
        <f>IFERROR(IF(OR(HLOOKUP($A171,#REF!,12,FALSE)&gt;2,HLOOKUP($A171,#REF!,12,FALSE)&lt;-2),"",#REF!),"")</f>
        <v/>
      </c>
      <c r="O171" t="str">
        <f>IFERROR(IF(OR(HLOOKUP($A171,#REF!,13,FALSE)&gt;2,HLOOKUP($A171,#REF!,13,FALSE)&lt;-2),"",#REF!),"")</f>
        <v/>
      </c>
      <c r="P171" t="str">
        <f>IFERROR(IF(OR(HLOOKUP($A171,#REF!,14,FALSE)&gt;2,HLOOKUP($A171,#REF!,14,FALSE)&lt;-2),"",#REF!),"")</f>
        <v/>
      </c>
      <c r="Q171" t="str">
        <f>IFERROR(IF(OR(HLOOKUP($A171,#REF!,15,FALSE)&gt;2,HLOOKUP($A171,#REF!,15,FALSE)&lt;-2),"",#REF!),"")</f>
        <v/>
      </c>
      <c r="R171" t="str">
        <f>IFERROR(IF(OR(HLOOKUP($A171,#REF!,16,FALSE)&gt;2,HLOOKUP($A171,#REF!,16,FALSE)&lt;-2),"",#REF!),"")</f>
        <v/>
      </c>
      <c r="S171" t="str">
        <f>IFERROR(IF(OR(HLOOKUP($A171,#REF!,17,FALSE)&gt;2,HLOOKUP($A171,#REF!,17,FALSE)&lt;-2),"",#REF!),"")</f>
        <v/>
      </c>
      <c r="T171" t="str">
        <f>IFERROR(IF(OR(HLOOKUP($A171,#REF!,18,FALSE)&gt;2,HLOOKUP($A171,#REF!,18,FALSE)&lt;-2),"",#REF!),"")</f>
        <v/>
      </c>
      <c r="U171" t="str">
        <f>IFERROR(IF(OR(HLOOKUP($A171,#REF!,19,FALSE)&gt;2,HLOOKUP($A171,#REF!,19,FALSE)&lt;-2),"",#REF!),"")</f>
        <v/>
      </c>
      <c r="V171">
        <f t="shared" si="8"/>
        <v>1</v>
      </c>
      <c r="W171" t="str">
        <f t="shared" si="9"/>
        <v/>
      </c>
      <c r="X171" t="str">
        <f t="shared" si="10"/>
        <v/>
      </c>
      <c r="Y171" t="str">
        <f t="shared" si="11"/>
        <v/>
      </c>
    </row>
    <row r="172" spans="1:25" x14ac:dyDescent="0.35">
      <c r="A172">
        <v>175</v>
      </c>
      <c r="B172" t="s">
        <v>672</v>
      </c>
      <c r="C172">
        <v>31200</v>
      </c>
      <c r="D172">
        <v>159</v>
      </c>
      <c r="E172" t="str">
        <f>IFERROR(IF(OR(HLOOKUP($A172,#REF!,3,FALSE)&gt;2,HLOOKUP(A172,#REF!,3,FALSE)&lt;-2),"",#REF!),"")</f>
        <v/>
      </c>
      <c r="F172" t="str">
        <f>IFERROR(IF(OR(HLOOKUP($A172,#REF!,4,FALSE)&gt;2,HLOOKUP($A172,#REF!,4,FALSE)&lt;-2),"",#REF!),"")</f>
        <v/>
      </c>
      <c r="G172" t="str">
        <f>IFERROR(IF(OR(HLOOKUP($A172,#REF!,5,FALSE)&gt;2,HLOOKUP($A172,#REF!,5,FALSE)&lt;-2),"",#REF!),"")</f>
        <v/>
      </c>
      <c r="H172" t="str">
        <f>IFERROR(IF(OR(HLOOKUP($A172,#REF!,6,FALSE)&gt;2,HLOOKUP($A172,#REF!,6,FALSE)&lt;-2),"",#REF!),"")</f>
        <v/>
      </c>
      <c r="I172" t="str">
        <f>IFERROR(IF(OR(HLOOKUP($A172,#REF!,7,FALSE)&gt;2,HLOOKUP($A172,#REF!,7,FALSE)&lt;-2),"",#REF!),"")</f>
        <v/>
      </c>
      <c r="J172" t="str">
        <f>IFERROR(IF(OR(HLOOKUP($A172,#REF!,8,FALSE)&gt;2,HLOOKUP($A172,#REF!,8,FALSE)&lt;-2),"",#REF!),"")</f>
        <v/>
      </c>
      <c r="K172" t="str">
        <f>IFERROR(IF(OR(HLOOKUP($A172,#REF!,9,FALSE)&gt;2,HLOOKUP($A172,#REF!,9,FALSE)&lt;-2),"",#REF!),"")</f>
        <v/>
      </c>
      <c r="L172" t="str">
        <f>IFERROR(IF(OR(HLOOKUP($A172,#REF!,10,FALSE)&gt;2,HLOOKUP($A172,#REF!,10,FALSE)&lt;-2),"",#REF!),"")</f>
        <v/>
      </c>
      <c r="M172" t="str">
        <f>IFERROR(IF(OR(HLOOKUP($A172,#REF!,11,FALSE)&gt;2,HLOOKUP($A172,#REF!,11,FALSE)&lt;-2),"",#REF!),"")</f>
        <v/>
      </c>
      <c r="N172" t="str">
        <f>IFERROR(IF(OR(HLOOKUP($A172,#REF!,12,FALSE)&gt;2,HLOOKUP($A172,#REF!,12,FALSE)&lt;-2),"",#REF!),"")</f>
        <v/>
      </c>
      <c r="O172" t="str">
        <f>IFERROR(IF(OR(HLOOKUP($A172,#REF!,13,FALSE)&gt;2,HLOOKUP($A172,#REF!,13,FALSE)&lt;-2),"",#REF!),"")</f>
        <v/>
      </c>
      <c r="P172" t="str">
        <f>IFERROR(IF(OR(HLOOKUP($A172,#REF!,14,FALSE)&gt;2,HLOOKUP($A172,#REF!,14,FALSE)&lt;-2),"",#REF!),"")</f>
        <v/>
      </c>
      <c r="Q172" t="str">
        <f>IFERROR(IF(OR(HLOOKUP($A172,#REF!,15,FALSE)&gt;2,HLOOKUP($A172,#REF!,15,FALSE)&lt;-2),"",#REF!),"")</f>
        <v/>
      </c>
      <c r="R172" t="str">
        <f>IFERROR(IF(OR(HLOOKUP($A172,#REF!,16,FALSE)&gt;2,HLOOKUP($A172,#REF!,16,FALSE)&lt;-2),"",#REF!),"")</f>
        <v/>
      </c>
      <c r="S172" t="str">
        <f>IFERROR(IF(OR(HLOOKUP($A172,#REF!,17,FALSE)&gt;2,HLOOKUP($A172,#REF!,17,FALSE)&lt;-2),"",#REF!),"")</f>
        <v/>
      </c>
      <c r="T172" t="str">
        <f>IFERROR(IF(OR(HLOOKUP($A172,#REF!,18,FALSE)&gt;2,HLOOKUP($A172,#REF!,18,FALSE)&lt;-2),"",#REF!),"")</f>
        <v/>
      </c>
      <c r="U172" t="str">
        <f>IFERROR(IF(OR(HLOOKUP($A172,#REF!,19,FALSE)&gt;2,HLOOKUP($A172,#REF!,19,FALSE)&lt;-2),"",#REF!),"")</f>
        <v/>
      </c>
      <c r="V172">
        <f t="shared" si="8"/>
        <v>1</v>
      </c>
      <c r="W172" t="str">
        <f t="shared" si="9"/>
        <v/>
      </c>
      <c r="X172" t="str">
        <f t="shared" si="10"/>
        <v/>
      </c>
      <c r="Y172" t="str">
        <f t="shared" si="11"/>
        <v/>
      </c>
    </row>
    <row r="173" spans="1:25" x14ac:dyDescent="0.35">
      <c r="A173">
        <v>177</v>
      </c>
      <c r="B173" t="s">
        <v>103</v>
      </c>
      <c r="C173">
        <v>95300</v>
      </c>
      <c r="D173">
        <v>154</v>
      </c>
      <c r="E173" t="str">
        <f>IFERROR(IF(OR(HLOOKUP($A173,#REF!,3,FALSE)&gt;2,HLOOKUP(A173,#REF!,3,FALSE)&lt;-2),"",#REF!),"")</f>
        <v/>
      </c>
      <c r="F173" t="str">
        <f>IFERROR(IF(OR(HLOOKUP($A173,#REF!,4,FALSE)&gt;2,HLOOKUP($A173,#REF!,4,FALSE)&lt;-2),"",#REF!),"")</f>
        <v/>
      </c>
      <c r="G173" t="str">
        <f>IFERROR(IF(OR(HLOOKUP($A173,#REF!,5,FALSE)&gt;2,HLOOKUP($A173,#REF!,5,FALSE)&lt;-2),"",#REF!),"")</f>
        <v/>
      </c>
      <c r="H173" t="str">
        <f>IFERROR(IF(OR(HLOOKUP($A173,#REF!,6,FALSE)&gt;2,HLOOKUP($A173,#REF!,6,FALSE)&lt;-2),"",#REF!),"")</f>
        <v/>
      </c>
      <c r="I173" t="str">
        <f>IFERROR(IF(OR(HLOOKUP($A173,#REF!,7,FALSE)&gt;2,HLOOKUP($A173,#REF!,7,FALSE)&lt;-2),"",#REF!),"")</f>
        <v/>
      </c>
      <c r="J173" t="str">
        <f>IFERROR(IF(OR(HLOOKUP($A173,#REF!,8,FALSE)&gt;2,HLOOKUP($A173,#REF!,8,FALSE)&lt;-2),"",#REF!),"")</f>
        <v/>
      </c>
      <c r="K173" t="str">
        <f>IFERROR(IF(OR(HLOOKUP($A173,#REF!,9,FALSE)&gt;2,HLOOKUP($A173,#REF!,9,FALSE)&lt;-2),"",#REF!),"")</f>
        <v/>
      </c>
      <c r="L173" t="str">
        <f>IFERROR(IF(OR(HLOOKUP($A173,#REF!,10,FALSE)&gt;2,HLOOKUP($A173,#REF!,10,FALSE)&lt;-2),"",#REF!),"")</f>
        <v/>
      </c>
      <c r="M173" t="str">
        <f>IFERROR(IF(OR(HLOOKUP($A173,#REF!,11,FALSE)&gt;2,HLOOKUP($A173,#REF!,11,FALSE)&lt;-2),"",#REF!),"")</f>
        <v/>
      </c>
      <c r="N173" t="str">
        <f>IFERROR(IF(OR(HLOOKUP($A173,#REF!,12,FALSE)&gt;2,HLOOKUP($A173,#REF!,12,FALSE)&lt;-2),"",#REF!),"")</f>
        <v/>
      </c>
      <c r="O173" t="str">
        <f>IFERROR(IF(OR(HLOOKUP($A173,#REF!,13,FALSE)&gt;2,HLOOKUP($A173,#REF!,13,FALSE)&lt;-2),"",#REF!),"")</f>
        <v/>
      </c>
      <c r="P173" t="str">
        <f>IFERROR(IF(OR(HLOOKUP($A173,#REF!,14,FALSE)&gt;2,HLOOKUP($A173,#REF!,14,FALSE)&lt;-2),"",#REF!),"")</f>
        <v/>
      </c>
      <c r="Q173" t="str">
        <f>IFERROR(IF(OR(HLOOKUP($A173,#REF!,15,FALSE)&gt;2,HLOOKUP($A173,#REF!,15,FALSE)&lt;-2),"",#REF!),"")</f>
        <v/>
      </c>
      <c r="R173" t="str">
        <f>IFERROR(IF(OR(HLOOKUP($A173,#REF!,16,FALSE)&gt;2,HLOOKUP($A173,#REF!,16,FALSE)&lt;-2),"",#REF!),"")</f>
        <v/>
      </c>
      <c r="S173" t="str">
        <f>IFERROR(IF(OR(HLOOKUP($A173,#REF!,17,FALSE)&gt;2,HLOOKUP($A173,#REF!,17,FALSE)&lt;-2),"",#REF!),"")</f>
        <v/>
      </c>
      <c r="T173" t="str">
        <f>IFERROR(IF(OR(HLOOKUP($A173,#REF!,18,FALSE)&gt;2,HLOOKUP($A173,#REF!,18,FALSE)&lt;-2),"",#REF!),"")</f>
        <v/>
      </c>
      <c r="U173" t="str">
        <f>IFERROR(IF(OR(HLOOKUP($A173,#REF!,19,FALSE)&gt;2,HLOOKUP($A173,#REF!,19,FALSE)&lt;-2),"",#REF!),"")</f>
        <v/>
      </c>
      <c r="V173">
        <f t="shared" si="8"/>
        <v>1</v>
      </c>
      <c r="W173" t="str">
        <f t="shared" si="9"/>
        <v/>
      </c>
      <c r="X173" t="str">
        <f t="shared" si="10"/>
        <v/>
      </c>
      <c r="Y173" t="str">
        <f t="shared" si="11"/>
        <v/>
      </c>
    </row>
    <row r="174" spans="1:25" x14ac:dyDescent="0.35">
      <c r="A174">
        <v>178</v>
      </c>
      <c r="B174" t="s">
        <v>104</v>
      </c>
      <c r="C174">
        <v>69200</v>
      </c>
      <c r="D174">
        <v>1014</v>
      </c>
      <c r="E174" t="str">
        <f>IFERROR(IF(OR(HLOOKUP($A174,#REF!,3,FALSE)&gt;2,HLOOKUP(A174,#REF!,3,FALSE)&lt;-2),"",#REF!),"")</f>
        <v/>
      </c>
      <c r="F174" t="str">
        <f>IFERROR(IF(OR(HLOOKUP($A174,#REF!,4,FALSE)&gt;2,HLOOKUP($A174,#REF!,4,FALSE)&lt;-2),"",#REF!),"")</f>
        <v/>
      </c>
      <c r="G174" t="str">
        <f>IFERROR(IF(OR(HLOOKUP($A174,#REF!,5,FALSE)&gt;2,HLOOKUP($A174,#REF!,5,FALSE)&lt;-2),"",#REF!),"")</f>
        <v/>
      </c>
      <c r="H174" t="str">
        <f>IFERROR(IF(OR(HLOOKUP($A174,#REF!,6,FALSE)&gt;2,HLOOKUP($A174,#REF!,6,FALSE)&lt;-2),"",#REF!),"")</f>
        <v/>
      </c>
      <c r="I174" t="str">
        <f>IFERROR(IF(OR(HLOOKUP($A174,#REF!,7,FALSE)&gt;2,HLOOKUP($A174,#REF!,7,FALSE)&lt;-2),"",#REF!),"")</f>
        <v/>
      </c>
      <c r="J174" t="str">
        <f>IFERROR(IF(OR(HLOOKUP($A174,#REF!,8,FALSE)&gt;2,HLOOKUP($A174,#REF!,8,FALSE)&lt;-2),"",#REF!),"")</f>
        <v/>
      </c>
      <c r="K174" t="str">
        <f>IFERROR(IF(OR(HLOOKUP($A174,#REF!,9,FALSE)&gt;2,HLOOKUP($A174,#REF!,9,FALSE)&lt;-2),"",#REF!),"")</f>
        <v/>
      </c>
      <c r="L174" t="str">
        <f>IFERROR(IF(OR(HLOOKUP($A174,#REF!,10,FALSE)&gt;2,HLOOKUP($A174,#REF!,10,FALSE)&lt;-2),"",#REF!),"")</f>
        <v/>
      </c>
      <c r="M174" t="str">
        <f>IFERROR(IF(OR(HLOOKUP($A174,#REF!,11,FALSE)&gt;2,HLOOKUP($A174,#REF!,11,FALSE)&lt;-2),"",#REF!),"")</f>
        <v/>
      </c>
      <c r="N174" t="str">
        <f>IFERROR(IF(OR(HLOOKUP($A174,#REF!,12,FALSE)&gt;2,HLOOKUP($A174,#REF!,12,FALSE)&lt;-2),"",#REF!),"")</f>
        <v/>
      </c>
      <c r="O174" t="str">
        <f>IFERROR(IF(OR(HLOOKUP($A174,#REF!,13,FALSE)&gt;2,HLOOKUP($A174,#REF!,13,FALSE)&lt;-2),"",#REF!),"")</f>
        <v/>
      </c>
      <c r="P174" t="str">
        <f>IFERROR(IF(OR(HLOOKUP($A174,#REF!,14,FALSE)&gt;2,HLOOKUP($A174,#REF!,14,FALSE)&lt;-2),"",#REF!),"")</f>
        <v/>
      </c>
      <c r="Q174" t="str">
        <f>IFERROR(IF(OR(HLOOKUP($A174,#REF!,15,FALSE)&gt;2,HLOOKUP($A174,#REF!,15,FALSE)&lt;-2),"",#REF!),"")</f>
        <v/>
      </c>
      <c r="R174" t="str">
        <f>IFERROR(IF(OR(HLOOKUP($A174,#REF!,16,FALSE)&gt;2,HLOOKUP($A174,#REF!,16,FALSE)&lt;-2),"",#REF!),"")</f>
        <v/>
      </c>
      <c r="S174" t="str">
        <f>IFERROR(IF(OR(HLOOKUP($A174,#REF!,17,FALSE)&gt;2,HLOOKUP($A174,#REF!,17,FALSE)&lt;-2),"",#REF!),"")</f>
        <v/>
      </c>
      <c r="T174" t="str">
        <f>IFERROR(IF(OR(HLOOKUP($A174,#REF!,18,FALSE)&gt;2,HLOOKUP($A174,#REF!,18,FALSE)&lt;-2),"",#REF!),"")</f>
        <v/>
      </c>
      <c r="U174" t="str">
        <f>IFERROR(IF(OR(HLOOKUP($A174,#REF!,19,FALSE)&gt;2,HLOOKUP($A174,#REF!,19,FALSE)&lt;-2),"",#REF!),"")</f>
        <v/>
      </c>
      <c r="V174">
        <f t="shared" si="8"/>
        <v>1</v>
      </c>
      <c r="W174" t="str">
        <f t="shared" si="9"/>
        <v/>
      </c>
      <c r="X174" t="str">
        <f t="shared" si="10"/>
        <v/>
      </c>
      <c r="Y174" t="str">
        <f t="shared" si="11"/>
        <v/>
      </c>
    </row>
    <row r="175" spans="1:25" x14ac:dyDescent="0.35">
      <c r="A175">
        <v>179</v>
      </c>
      <c r="B175" t="s">
        <v>673</v>
      </c>
      <c r="C175">
        <v>18700</v>
      </c>
      <c r="D175">
        <v>31</v>
      </c>
      <c r="E175" t="str">
        <f>IFERROR(IF(OR(HLOOKUP($A175,#REF!,3,FALSE)&gt;2,HLOOKUP(A175,#REF!,3,FALSE)&lt;-2),"",#REF!),"")</f>
        <v/>
      </c>
      <c r="F175" t="str">
        <f>IFERROR(IF(OR(HLOOKUP($A175,#REF!,4,FALSE)&gt;2,HLOOKUP($A175,#REF!,4,FALSE)&lt;-2),"",#REF!),"")</f>
        <v/>
      </c>
      <c r="G175" t="str">
        <f>IFERROR(IF(OR(HLOOKUP($A175,#REF!,5,FALSE)&gt;2,HLOOKUP($A175,#REF!,5,FALSE)&lt;-2),"",#REF!),"")</f>
        <v/>
      </c>
      <c r="H175" t="str">
        <f>IFERROR(IF(OR(HLOOKUP($A175,#REF!,6,FALSE)&gt;2,HLOOKUP($A175,#REF!,6,FALSE)&lt;-2),"",#REF!),"")</f>
        <v/>
      </c>
      <c r="I175" t="str">
        <f>IFERROR(IF(OR(HLOOKUP($A175,#REF!,7,FALSE)&gt;2,HLOOKUP($A175,#REF!,7,FALSE)&lt;-2),"",#REF!),"")</f>
        <v/>
      </c>
      <c r="J175" t="str">
        <f>IFERROR(IF(OR(HLOOKUP($A175,#REF!,8,FALSE)&gt;2,HLOOKUP($A175,#REF!,8,FALSE)&lt;-2),"",#REF!),"")</f>
        <v/>
      </c>
      <c r="K175" t="str">
        <f>IFERROR(IF(OR(HLOOKUP($A175,#REF!,9,FALSE)&gt;2,HLOOKUP($A175,#REF!,9,FALSE)&lt;-2),"",#REF!),"")</f>
        <v/>
      </c>
      <c r="L175" t="str">
        <f>IFERROR(IF(OR(HLOOKUP($A175,#REF!,10,FALSE)&gt;2,HLOOKUP($A175,#REF!,10,FALSE)&lt;-2),"",#REF!),"")</f>
        <v/>
      </c>
      <c r="M175" t="str">
        <f>IFERROR(IF(OR(HLOOKUP($A175,#REF!,11,FALSE)&gt;2,HLOOKUP($A175,#REF!,11,FALSE)&lt;-2),"",#REF!),"")</f>
        <v/>
      </c>
      <c r="N175" t="str">
        <f>IFERROR(IF(OR(HLOOKUP($A175,#REF!,12,FALSE)&gt;2,HLOOKUP($A175,#REF!,12,FALSE)&lt;-2),"",#REF!),"")</f>
        <v/>
      </c>
      <c r="O175" t="str">
        <f>IFERROR(IF(OR(HLOOKUP($A175,#REF!,13,FALSE)&gt;2,HLOOKUP($A175,#REF!,13,FALSE)&lt;-2),"",#REF!),"")</f>
        <v/>
      </c>
      <c r="P175" t="str">
        <f>IFERROR(IF(OR(HLOOKUP($A175,#REF!,14,FALSE)&gt;2,HLOOKUP($A175,#REF!,14,FALSE)&lt;-2),"",#REF!),"")</f>
        <v/>
      </c>
      <c r="Q175" t="str">
        <f>IFERROR(IF(OR(HLOOKUP($A175,#REF!,15,FALSE)&gt;2,HLOOKUP($A175,#REF!,15,FALSE)&lt;-2),"",#REF!),"")</f>
        <v/>
      </c>
      <c r="R175" t="str">
        <f>IFERROR(IF(OR(HLOOKUP($A175,#REF!,16,FALSE)&gt;2,HLOOKUP($A175,#REF!,16,FALSE)&lt;-2),"",#REF!),"")</f>
        <v/>
      </c>
      <c r="S175" t="str">
        <f>IFERROR(IF(OR(HLOOKUP($A175,#REF!,17,FALSE)&gt;2,HLOOKUP($A175,#REF!,17,FALSE)&lt;-2),"",#REF!),"")</f>
        <v/>
      </c>
      <c r="T175" t="str">
        <f>IFERROR(IF(OR(HLOOKUP($A175,#REF!,18,FALSE)&gt;2,HLOOKUP($A175,#REF!,18,FALSE)&lt;-2),"",#REF!),"")</f>
        <v/>
      </c>
      <c r="U175" t="str">
        <f>IFERROR(IF(OR(HLOOKUP($A175,#REF!,19,FALSE)&gt;2,HLOOKUP($A175,#REF!,19,FALSE)&lt;-2),"",#REF!),"")</f>
        <v/>
      </c>
      <c r="V175">
        <f t="shared" si="8"/>
        <v>1</v>
      </c>
      <c r="W175" t="str">
        <f t="shared" si="9"/>
        <v/>
      </c>
      <c r="X175" t="str">
        <f t="shared" si="10"/>
        <v/>
      </c>
      <c r="Y175" t="str">
        <f t="shared" si="11"/>
        <v/>
      </c>
    </row>
    <row r="176" spans="1:25" x14ac:dyDescent="0.35">
      <c r="A176">
        <v>180</v>
      </c>
      <c r="B176" t="s">
        <v>105</v>
      </c>
      <c r="C176">
        <v>9300</v>
      </c>
      <c r="D176">
        <v>1057</v>
      </c>
      <c r="E176" t="str">
        <f>IFERROR(IF(OR(HLOOKUP($A176,#REF!,3,FALSE)&gt;2,HLOOKUP(A176,#REF!,3,FALSE)&lt;-2),"",#REF!),"")</f>
        <v/>
      </c>
      <c r="F176" t="str">
        <f>IFERROR(IF(OR(HLOOKUP($A176,#REF!,4,FALSE)&gt;2,HLOOKUP($A176,#REF!,4,FALSE)&lt;-2),"",#REF!),"")</f>
        <v/>
      </c>
      <c r="G176" t="str">
        <f>IFERROR(IF(OR(HLOOKUP($A176,#REF!,5,FALSE)&gt;2,HLOOKUP($A176,#REF!,5,FALSE)&lt;-2),"",#REF!),"")</f>
        <v/>
      </c>
      <c r="H176" t="str">
        <f>IFERROR(IF(OR(HLOOKUP($A176,#REF!,6,FALSE)&gt;2,HLOOKUP($A176,#REF!,6,FALSE)&lt;-2),"",#REF!),"")</f>
        <v/>
      </c>
      <c r="I176" t="str">
        <f>IFERROR(IF(OR(HLOOKUP($A176,#REF!,7,FALSE)&gt;2,HLOOKUP($A176,#REF!,7,FALSE)&lt;-2),"",#REF!),"")</f>
        <v/>
      </c>
      <c r="J176" t="str">
        <f>IFERROR(IF(OR(HLOOKUP($A176,#REF!,8,FALSE)&gt;2,HLOOKUP($A176,#REF!,8,FALSE)&lt;-2),"",#REF!),"")</f>
        <v/>
      </c>
      <c r="K176" t="str">
        <f>IFERROR(IF(OR(HLOOKUP($A176,#REF!,9,FALSE)&gt;2,HLOOKUP($A176,#REF!,9,FALSE)&lt;-2),"",#REF!),"")</f>
        <v/>
      </c>
      <c r="L176" t="str">
        <f>IFERROR(IF(OR(HLOOKUP($A176,#REF!,10,FALSE)&gt;2,HLOOKUP($A176,#REF!,10,FALSE)&lt;-2),"",#REF!),"")</f>
        <v/>
      </c>
      <c r="M176" t="str">
        <f>IFERROR(IF(OR(HLOOKUP($A176,#REF!,11,FALSE)&gt;2,HLOOKUP($A176,#REF!,11,FALSE)&lt;-2),"",#REF!),"")</f>
        <v/>
      </c>
      <c r="N176" t="str">
        <f>IFERROR(IF(OR(HLOOKUP($A176,#REF!,12,FALSE)&gt;2,HLOOKUP($A176,#REF!,12,FALSE)&lt;-2),"",#REF!),"")</f>
        <v/>
      </c>
      <c r="O176" t="str">
        <f>IFERROR(IF(OR(HLOOKUP($A176,#REF!,13,FALSE)&gt;2,HLOOKUP($A176,#REF!,13,FALSE)&lt;-2),"",#REF!),"")</f>
        <v/>
      </c>
      <c r="P176" t="str">
        <f>IFERROR(IF(OR(HLOOKUP($A176,#REF!,14,FALSE)&gt;2,HLOOKUP($A176,#REF!,14,FALSE)&lt;-2),"",#REF!),"")</f>
        <v/>
      </c>
      <c r="Q176" t="str">
        <f>IFERROR(IF(OR(HLOOKUP($A176,#REF!,15,FALSE)&gt;2,HLOOKUP($A176,#REF!,15,FALSE)&lt;-2),"",#REF!),"")</f>
        <v/>
      </c>
      <c r="R176" t="str">
        <f>IFERROR(IF(OR(HLOOKUP($A176,#REF!,16,FALSE)&gt;2,HLOOKUP($A176,#REF!,16,FALSE)&lt;-2),"",#REF!),"")</f>
        <v/>
      </c>
      <c r="S176" t="str">
        <f>IFERROR(IF(OR(HLOOKUP($A176,#REF!,17,FALSE)&gt;2,HLOOKUP($A176,#REF!,17,FALSE)&lt;-2),"",#REF!),"")</f>
        <v/>
      </c>
      <c r="T176" t="str">
        <f>IFERROR(IF(OR(HLOOKUP($A176,#REF!,18,FALSE)&gt;2,HLOOKUP($A176,#REF!,18,FALSE)&lt;-2),"",#REF!),"")</f>
        <v/>
      </c>
      <c r="U176" t="str">
        <f>IFERROR(IF(OR(HLOOKUP($A176,#REF!,19,FALSE)&gt;2,HLOOKUP($A176,#REF!,19,FALSE)&lt;-2),"",#REF!),"")</f>
        <v/>
      </c>
      <c r="V176">
        <f t="shared" si="8"/>
        <v>1</v>
      </c>
      <c r="W176" t="str">
        <f t="shared" si="9"/>
        <v/>
      </c>
      <c r="X176" t="str">
        <f t="shared" si="10"/>
        <v/>
      </c>
      <c r="Y176" t="str">
        <f t="shared" si="11"/>
        <v/>
      </c>
    </row>
    <row r="177" spans="1:25" x14ac:dyDescent="0.35">
      <c r="A177">
        <v>181</v>
      </c>
      <c r="B177" t="s">
        <v>106</v>
      </c>
      <c r="C177">
        <v>68200</v>
      </c>
      <c r="D177">
        <v>571</v>
      </c>
      <c r="E177" t="str">
        <f>IFERROR(IF(OR(HLOOKUP($A177,#REF!,3,FALSE)&gt;2,HLOOKUP(A177,#REF!,3,FALSE)&lt;-2),"",#REF!),"")</f>
        <v/>
      </c>
      <c r="F177" t="str">
        <f>IFERROR(IF(OR(HLOOKUP($A177,#REF!,4,FALSE)&gt;2,HLOOKUP($A177,#REF!,4,FALSE)&lt;-2),"",#REF!),"")</f>
        <v/>
      </c>
      <c r="G177" t="str">
        <f>IFERROR(IF(OR(HLOOKUP($A177,#REF!,5,FALSE)&gt;2,HLOOKUP($A177,#REF!,5,FALSE)&lt;-2),"",#REF!),"")</f>
        <v/>
      </c>
      <c r="H177" t="str">
        <f>IFERROR(IF(OR(HLOOKUP($A177,#REF!,6,FALSE)&gt;2,HLOOKUP($A177,#REF!,6,FALSE)&lt;-2),"",#REF!),"")</f>
        <v/>
      </c>
      <c r="I177" t="str">
        <f>IFERROR(IF(OR(HLOOKUP($A177,#REF!,7,FALSE)&gt;2,HLOOKUP($A177,#REF!,7,FALSE)&lt;-2),"",#REF!),"")</f>
        <v/>
      </c>
      <c r="J177" t="str">
        <f>IFERROR(IF(OR(HLOOKUP($A177,#REF!,8,FALSE)&gt;2,HLOOKUP($A177,#REF!,8,FALSE)&lt;-2),"",#REF!),"")</f>
        <v/>
      </c>
      <c r="K177" t="str">
        <f>IFERROR(IF(OR(HLOOKUP($A177,#REF!,9,FALSE)&gt;2,HLOOKUP($A177,#REF!,9,FALSE)&lt;-2),"",#REF!),"")</f>
        <v/>
      </c>
      <c r="L177" t="str">
        <f>IFERROR(IF(OR(HLOOKUP($A177,#REF!,10,FALSE)&gt;2,HLOOKUP($A177,#REF!,10,FALSE)&lt;-2),"",#REF!),"")</f>
        <v/>
      </c>
      <c r="M177" t="str">
        <f>IFERROR(IF(OR(HLOOKUP($A177,#REF!,11,FALSE)&gt;2,HLOOKUP($A177,#REF!,11,FALSE)&lt;-2),"",#REF!),"")</f>
        <v/>
      </c>
      <c r="N177" t="str">
        <f>IFERROR(IF(OR(HLOOKUP($A177,#REF!,12,FALSE)&gt;2,HLOOKUP($A177,#REF!,12,FALSE)&lt;-2),"",#REF!),"")</f>
        <v/>
      </c>
      <c r="O177" t="str">
        <f>IFERROR(IF(OR(HLOOKUP($A177,#REF!,13,FALSE)&gt;2,HLOOKUP($A177,#REF!,13,FALSE)&lt;-2),"",#REF!),"")</f>
        <v/>
      </c>
      <c r="P177" t="str">
        <f>IFERROR(IF(OR(HLOOKUP($A177,#REF!,14,FALSE)&gt;2,HLOOKUP($A177,#REF!,14,FALSE)&lt;-2),"",#REF!),"")</f>
        <v/>
      </c>
      <c r="Q177" t="str">
        <f>IFERROR(IF(OR(HLOOKUP($A177,#REF!,15,FALSE)&gt;2,HLOOKUP($A177,#REF!,15,FALSE)&lt;-2),"",#REF!),"")</f>
        <v/>
      </c>
      <c r="R177" t="str">
        <f>IFERROR(IF(OR(HLOOKUP($A177,#REF!,16,FALSE)&gt;2,HLOOKUP($A177,#REF!,16,FALSE)&lt;-2),"",#REF!),"")</f>
        <v/>
      </c>
      <c r="S177" t="str">
        <f>IFERROR(IF(OR(HLOOKUP($A177,#REF!,17,FALSE)&gt;2,HLOOKUP($A177,#REF!,17,FALSE)&lt;-2),"",#REF!),"")</f>
        <v/>
      </c>
      <c r="T177" t="str">
        <f>IFERROR(IF(OR(HLOOKUP($A177,#REF!,18,FALSE)&gt;2,HLOOKUP($A177,#REF!,18,FALSE)&lt;-2),"",#REF!),"")</f>
        <v/>
      </c>
      <c r="U177" t="str">
        <f>IFERROR(IF(OR(HLOOKUP($A177,#REF!,19,FALSE)&gt;2,HLOOKUP($A177,#REF!,19,FALSE)&lt;-2),"",#REF!),"")</f>
        <v/>
      </c>
      <c r="V177">
        <f t="shared" si="8"/>
        <v>1</v>
      </c>
      <c r="W177" t="str">
        <f t="shared" si="9"/>
        <v/>
      </c>
      <c r="X177" t="str">
        <f t="shared" si="10"/>
        <v/>
      </c>
      <c r="Y177" t="str">
        <f t="shared" si="11"/>
        <v/>
      </c>
    </row>
    <row r="178" spans="1:25" x14ac:dyDescent="0.35">
      <c r="A178">
        <v>182</v>
      </c>
      <c r="B178" t="s">
        <v>674</v>
      </c>
      <c r="C178">
        <v>113700</v>
      </c>
      <c r="D178">
        <v>824</v>
      </c>
      <c r="E178" t="str">
        <f>IFERROR(IF(OR(HLOOKUP($A178,#REF!,3,FALSE)&gt;2,HLOOKUP(A178,#REF!,3,FALSE)&lt;-2),"",#REF!),"")</f>
        <v/>
      </c>
      <c r="F178" t="str">
        <f>IFERROR(IF(OR(HLOOKUP($A178,#REF!,4,FALSE)&gt;2,HLOOKUP($A178,#REF!,4,FALSE)&lt;-2),"",#REF!),"")</f>
        <v/>
      </c>
      <c r="G178" t="str">
        <f>IFERROR(IF(OR(HLOOKUP($A178,#REF!,5,FALSE)&gt;2,HLOOKUP($A178,#REF!,5,FALSE)&lt;-2),"",#REF!),"")</f>
        <v/>
      </c>
      <c r="H178" t="str">
        <f>IFERROR(IF(OR(HLOOKUP($A178,#REF!,6,FALSE)&gt;2,HLOOKUP($A178,#REF!,6,FALSE)&lt;-2),"",#REF!),"")</f>
        <v/>
      </c>
      <c r="I178" t="str">
        <f>IFERROR(IF(OR(HLOOKUP($A178,#REF!,7,FALSE)&gt;2,HLOOKUP($A178,#REF!,7,FALSE)&lt;-2),"",#REF!),"")</f>
        <v/>
      </c>
      <c r="J178" t="str">
        <f>IFERROR(IF(OR(HLOOKUP($A178,#REF!,8,FALSE)&gt;2,HLOOKUP($A178,#REF!,8,FALSE)&lt;-2),"",#REF!),"")</f>
        <v/>
      </c>
      <c r="K178" t="str">
        <f>IFERROR(IF(OR(HLOOKUP($A178,#REF!,9,FALSE)&gt;2,HLOOKUP($A178,#REF!,9,FALSE)&lt;-2),"",#REF!),"")</f>
        <v/>
      </c>
      <c r="L178" t="str">
        <f>IFERROR(IF(OR(HLOOKUP($A178,#REF!,10,FALSE)&gt;2,HLOOKUP($A178,#REF!,10,FALSE)&lt;-2),"",#REF!),"")</f>
        <v/>
      </c>
      <c r="M178" t="str">
        <f>IFERROR(IF(OR(HLOOKUP($A178,#REF!,11,FALSE)&gt;2,HLOOKUP($A178,#REF!,11,FALSE)&lt;-2),"",#REF!),"")</f>
        <v/>
      </c>
      <c r="N178" t="str">
        <f>IFERROR(IF(OR(HLOOKUP($A178,#REF!,12,FALSE)&gt;2,HLOOKUP($A178,#REF!,12,FALSE)&lt;-2),"",#REF!),"")</f>
        <v/>
      </c>
      <c r="O178" t="str">
        <f>IFERROR(IF(OR(HLOOKUP($A178,#REF!,13,FALSE)&gt;2,HLOOKUP($A178,#REF!,13,FALSE)&lt;-2),"",#REF!),"")</f>
        <v/>
      </c>
      <c r="P178" t="str">
        <f>IFERROR(IF(OR(HLOOKUP($A178,#REF!,14,FALSE)&gt;2,HLOOKUP($A178,#REF!,14,FALSE)&lt;-2),"",#REF!),"")</f>
        <v/>
      </c>
      <c r="Q178" t="str">
        <f>IFERROR(IF(OR(HLOOKUP($A178,#REF!,15,FALSE)&gt;2,HLOOKUP($A178,#REF!,15,FALSE)&lt;-2),"",#REF!),"")</f>
        <v/>
      </c>
      <c r="R178" t="str">
        <f>IFERROR(IF(OR(HLOOKUP($A178,#REF!,16,FALSE)&gt;2,HLOOKUP($A178,#REF!,16,FALSE)&lt;-2),"",#REF!),"")</f>
        <v/>
      </c>
      <c r="S178" t="str">
        <f>IFERROR(IF(OR(HLOOKUP($A178,#REF!,17,FALSE)&gt;2,HLOOKUP($A178,#REF!,17,FALSE)&lt;-2),"",#REF!),"")</f>
        <v/>
      </c>
      <c r="T178" t="str">
        <f>IFERROR(IF(OR(HLOOKUP($A178,#REF!,18,FALSE)&gt;2,HLOOKUP($A178,#REF!,18,FALSE)&lt;-2),"",#REF!),"")</f>
        <v/>
      </c>
      <c r="U178" t="str">
        <f>IFERROR(IF(OR(HLOOKUP($A178,#REF!,19,FALSE)&gt;2,HLOOKUP($A178,#REF!,19,FALSE)&lt;-2),"",#REF!),"")</f>
        <v/>
      </c>
      <c r="V178">
        <f t="shared" si="8"/>
        <v>1</v>
      </c>
      <c r="W178" t="str">
        <f t="shared" si="9"/>
        <v/>
      </c>
      <c r="X178" t="str">
        <f t="shared" si="10"/>
        <v/>
      </c>
      <c r="Y178" t="str">
        <f t="shared" si="11"/>
        <v/>
      </c>
    </row>
    <row r="179" spans="1:25" x14ac:dyDescent="0.35">
      <c r="A179">
        <v>183</v>
      </c>
      <c r="B179" t="s">
        <v>675</v>
      </c>
      <c r="C179">
        <v>31300</v>
      </c>
      <c r="D179">
        <v>159</v>
      </c>
      <c r="E179" t="str">
        <f>IFERROR(IF(OR(HLOOKUP($A179,#REF!,3,FALSE)&gt;2,HLOOKUP(A179,#REF!,3,FALSE)&lt;-2),"",#REF!),"")</f>
        <v/>
      </c>
      <c r="F179" t="str">
        <f>IFERROR(IF(OR(HLOOKUP($A179,#REF!,4,FALSE)&gt;2,HLOOKUP($A179,#REF!,4,FALSE)&lt;-2),"",#REF!),"")</f>
        <v/>
      </c>
      <c r="G179" t="str">
        <f>IFERROR(IF(OR(HLOOKUP($A179,#REF!,5,FALSE)&gt;2,HLOOKUP($A179,#REF!,5,FALSE)&lt;-2),"",#REF!),"")</f>
        <v/>
      </c>
      <c r="H179" t="str">
        <f>IFERROR(IF(OR(HLOOKUP($A179,#REF!,6,FALSE)&gt;2,HLOOKUP($A179,#REF!,6,FALSE)&lt;-2),"",#REF!),"")</f>
        <v/>
      </c>
      <c r="I179" t="str">
        <f>IFERROR(IF(OR(HLOOKUP($A179,#REF!,7,FALSE)&gt;2,HLOOKUP($A179,#REF!,7,FALSE)&lt;-2),"",#REF!),"")</f>
        <v/>
      </c>
      <c r="J179" t="str">
        <f>IFERROR(IF(OR(HLOOKUP($A179,#REF!,8,FALSE)&gt;2,HLOOKUP($A179,#REF!,8,FALSE)&lt;-2),"",#REF!),"")</f>
        <v/>
      </c>
      <c r="K179" t="str">
        <f>IFERROR(IF(OR(HLOOKUP($A179,#REF!,9,FALSE)&gt;2,HLOOKUP($A179,#REF!,9,FALSE)&lt;-2),"",#REF!),"")</f>
        <v/>
      </c>
      <c r="L179" t="str">
        <f>IFERROR(IF(OR(HLOOKUP($A179,#REF!,10,FALSE)&gt;2,HLOOKUP($A179,#REF!,10,FALSE)&lt;-2),"",#REF!),"")</f>
        <v/>
      </c>
      <c r="M179" t="str">
        <f>IFERROR(IF(OR(HLOOKUP($A179,#REF!,11,FALSE)&gt;2,HLOOKUP($A179,#REF!,11,FALSE)&lt;-2),"",#REF!),"")</f>
        <v/>
      </c>
      <c r="N179" t="str">
        <f>IFERROR(IF(OR(HLOOKUP($A179,#REF!,12,FALSE)&gt;2,HLOOKUP($A179,#REF!,12,FALSE)&lt;-2),"",#REF!),"")</f>
        <v/>
      </c>
      <c r="O179" t="str">
        <f>IFERROR(IF(OR(HLOOKUP($A179,#REF!,13,FALSE)&gt;2,HLOOKUP($A179,#REF!,13,FALSE)&lt;-2),"",#REF!),"")</f>
        <v/>
      </c>
      <c r="P179" t="str">
        <f>IFERROR(IF(OR(HLOOKUP($A179,#REF!,14,FALSE)&gt;2,HLOOKUP($A179,#REF!,14,FALSE)&lt;-2),"",#REF!),"")</f>
        <v/>
      </c>
      <c r="Q179" t="str">
        <f>IFERROR(IF(OR(HLOOKUP($A179,#REF!,15,FALSE)&gt;2,HLOOKUP($A179,#REF!,15,FALSE)&lt;-2),"",#REF!),"")</f>
        <v/>
      </c>
      <c r="R179" t="str">
        <f>IFERROR(IF(OR(HLOOKUP($A179,#REF!,16,FALSE)&gt;2,HLOOKUP($A179,#REF!,16,FALSE)&lt;-2),"",#REF!),"")</f>
        <v/>
      </c>
      <c r="S179" t="str">
        <f>IFERROR(IF(OR(HLOOKUP($A179,#REF!,17,FALSE)&gt;2,HLOOKUP($A179,#REF!,17,FALSE)&lt;-2),"",#REF!),"")</f>
        <v/>
      </c>
      <c r="T179" t="str">
        <f>IFERROR(IF(OR(HLOOKUP($A179,#REF!,18,FALSE)&gt;2,HLOOKUP($A179,#REF!,18,FALSE)&lt;-2),"",#REF!),"")</f>
        <v/>
      </c>
      <c r="U179" t="str">
        <f>IFERROR(IF(OR(HLOOKUP($A179,#REF!,19,FALSE)&gt;2,HLOOKUP($A179,#REF!,19,FALSE)&lt;-2),"",#REF!),"")</f>
        <v/>
      </c>
      <c r="V179">
        <f t="shared" si="8"/>
        <v>1</v>
      </c>
      <c r="W179" t="str">
        <f t="shared" si="9"/>
        <v/>
      </c>
      <c r="X179" t="str">
        <f t="shared" si="10"/>
        <v/>
      </c>
      <c r="Y179" t="str">
        <f t="shared" si="11"/>
        <v/>
      </c>
    </row>
    <row r="180" spans="1:25" x14ac:dyDescent="0.35">
      <c r="A180">
        <v>184</v>
      </c>
      <c r="B180" t="s">
        <v>676</v>
      </c>
      <c r="C180">
        <v>600</v>
      </c>
      <c r="D180">
        <v>315</v>
      </c>
      <c r="E180" t="str">
        <f>IFERROR(IF(OR(HLOOKUP($A180,#REF!,3,FALSE)&gt;2,HLOOKUP(A180,#REF!,3,FALSE)&lt;-2),"",#REF!),"")</f>
        <v/>
      </c>
      <c r="F180" t="str">
        <f>IFERROR(IF(OR(HLOOKUP($A180,#REF!,4,FALSE)&gt;2,HLOOKUP($A180,#REF!,4,FALSE)&lt;-2),"",#REF!),"")</f>
        <v/>
      </c>
      <c r="G180" t="str">
        <f>IFERROR(IF(OR(HLOOKUP($A180,#REF!,5,FALSE)&gt;2,HLOOKUP($A180,#REF!,5,FALSE)&lt;-2),"",#REF!),"")</f>
        <v/>
      </c>
      <c r="H180" t="str">
        <f>IFERROR(IF(OR(HLOOKUP($A180,#REF!,6,FALSE)&gt;2,HLOOKUP($A180,#REF!,6,FALSE)&lt;-2),"",#REF!),"")</f>
        <v/>
      </c>
      <c r="I180" t="str">
        <f>IFERROR(IF(OR(HLOOKUP($A180,#REF!,7,FALSE)&gt;2,HLOOKUP($A180,#REF!,7,FALSE)&lt;-2),"",#REF!),"")</f>
        <v/>
      </c>
      <c r="J180" t="str">
        <f>IFERROR(IF(OR(HLOOKUP($A180,#REF!,8,FALSE)&gt;2,HLOOKUP($A180,#REF!,8,FALSE)&lt;-2),"",#REF!),"")</f>
        <v/>
      </c>
      <c r="K180" t="str">
        <f>IFERROR(IF(OR(HLOOKUP($A180,#REF!,9,FALSE)&gt;2,HLOOKUP($A180,#REF!,9,FALSE)&lt;-2),"",#REF!),"")</f>
        <v/>
      </c>
      <c r="L180" t="str">
        <f>IFERROR(IF(OR(HLOOKUP($A180,#REF!,10,FALSE)&gt;2,HLOOKUP($A180,#REF!,10,FALSE)&lt;-2),"",#REF!),"")</f>
        <v/>
      </c>
      <c r="M180" t="str">
        <f>IFERROR(IF(OR(HLOOKUP($A180,#REF!,11,FALSE)&gt;2,HLOOKUP($A180,#REF!,11,FALSE)&lt;-2),"",#REF!),"")</f>
        <v/>
      </c>
      <c r="N180" t="str">
        <f>IFERROR(IF(OR(HLOOKUP($A180,#REF!,12,FALSE)&gt;2,HLOOKUP($A180,#REF!,12,FALSE)&lt;-2),"",#REF!),"")</f>
        <v/>
      </c>
      <c r="O180" t="str">
        <f>IFERROR(IF(OR(HLOOKUP($A180,#REF!,13,FALSE)&gt;2,HLOOKUP($A180,#REF!,13,FALSE)&lt;-2),"",#REF!),"")</f>
        <v/>
      </c>
      <c r="P180" t="str">
        <f>IFERROR(IF(OR(HLOOKUP($A180,#REF!,14,FALSE)&gt;2,HLOOKUP($A180,#REF!,14,FALSE)&lt;-2),"",#REF!),"")</f>
        <v/>
      </c>
      <c r="Q180" t="str">
        <f>IFERROR(IF(OR(HLOOKUP($A180,#REF!,15,FALSE)&gt;2,HLOOKUP($A180,#REF!,15,FALSE)&lt;-2),"",#REF!),"")</f>
        <v/>
      </c>
      <c r="R180" t="str">
        <f>IFERROR(IF(OR(HLOOKUP($A180,#REF!,16,FALSE)&gt;2,HLOOKUP($A180,#REF!,16,FALSE)&lt;-2),"",#REF!),"")</f>
        <v/>
      </c>
      <c r="S180" t="str">
        <f>IFERROR(IF(OR(HLOOKUP($A180,#REF!,17,FALSE)&gt;2,HLOOKUP($A180,#REF!,17,FALSE)&lt;-2),"",#REF!),"")</f>
        <v/>
      </c>
      <c r="T180" t="str">
        <f>IFERROR(IF(OR(HLOOKUP($A180,#REF!,18,FALSE)&gt;2,HLOOKUP($A180,#REF!,18,FALSE)&lt;-2),"",#REF!),"")</f>
        <v/>
      </c>
      <c r="U180" t="str">
        <f>IFERROR(IF(OR(HLOOKUP($A180,#REF!,19,FALSE)&gt;2,HLOOKUP($A180,#REF!,19,FALSE)&lt;-2),"",#REF!),"")</f>
        <v/>
      </c>
      <c r="V180">
        <f t="shared" si="8"/>
        <v>1</v>
      </c>
      <c r="W180" t="str">
        <f t="shared" si="9"/>
        <v/>
      </c>
      <c r="X180" t="str">
        <f t="shared" si="10"/>
        <v/>
      </c>
      <c r="Y180" t="str">
        <f t="shared" si="11"/>
        <v/>
      </c>
    </row>
    <row r="181" spans="1:25" x14ac:dyDescent="0.35">
      <c r="A181">
        <v>185</v>
      </c>
      <c r="B181" t="s">
        <v>677</v>
      </c>
      <c r="C181">
        <v>95700</v>
      </c>
      <c r="D181">
        <v>1069</v>
      </c>
      <c r="E181" t="str">
        <f>IFERROR(IF(OR(HLOOKUP($A181,#REF!,3,FALSE)&gt;2,HLOOKUP(A181,#REF!,3,FALSE)&lt;-2),"",#REF!),"")</f>
        <v/>
      </c>
      <c r="F181" t="str">
        <f>IFERROR(IF(OR(HLOOKUP($A181,#REF!,4,FALSE)&gt;2,HLOOKUP($A181,#REF!,4,FALSE)&lt;-2),"",#REF!),"")</f>
        <v/>
      </c>
      <c r="G181" t="str">
        <f>IFERROR(IF(OR(HLOOKUP($A181,#REF!,5,FALSE)&gt;2,HLOOKUP($A181,#REF!,5,FALSE)&lt;-2),"",#REF!),"")</f>
        <v/>
      </c>
      <c r="H181" t="str">
        <f>IFERROR(IF(OR(HLOOKUP($A181,#REF!,6,FALSE)&gt;2,HLOOKUP($A181,#REF!,6,FALSE)&lt;-2),"",#REF!),"")</f>
        <v/>
      </c>
      <c r="I181" t="str">
        <f>IFERROR(IF(OR(HLOOKUP($A181,#REF!,7,FALSE)&gt;2,HLOOKUP($A181,#REF!,7,FALSE)&lt;-2),"",#REF!),"")</f>
        <v/>
      </c>
      <c r="J181" t="str">
        <f>IFERROR(IF(OR(HLOOKUP($A181,#REF!,8,FALSE)&gt;2,HLOOKUP($A181,#REF!,8,FALSE)&lt;-2),"",#REF!),"")</f>
        <v/>
      </c>
      <c r="K181" t="str">
        <f>IFERROR(IF(OR(HLOOKUP($A181,#REF!,9,FALSE)&gt;2,HLOOKUP($A181,#REF!,9,FALSE)&lt;-2),"",#REF!),"")</f>
        <v/>
      </c>
      <c r="L181" t="str">
        <f>IFERROR(IF(OR(HLOOKUP($A181,#REF!,10,FALSE)&gt;2,HLOOKUP($A181,#REF!,10,FALSE)&lt;-2),"",#REF!),"")</f>
        <v/>
      </c>
      <c r="M181" t="str">
        <f>IFERROR(IF(OR(HLOOKUP($A181,#REF!,11,FALSE)&gt;2,HLOOKUP($A181,#REF!,11,FALSE)&lt;-2),"",#REF!),"")</f>
        <v/>
      </c>
      <c r="N181" t="str">
        <f>IFERROR(IF(OR(HLOOKUP($A181,#REF!,12,FALSE)&gt;2,HLOOKUP($A181,#REF!,12,FALSE)&lt;-2),"",#REF!),"")</f>
        <v/>
      </c>
      <c r="O181" t="str">
        <f>IFERROR(IF(OR(HLOOKUP($A181,#REF!,13,FALSE)&gt;2,HLOOKUP($A181,#REF!,13,FALSE)&lt;-2),"",#REF!),"")</f>
        <v/>
      </c>
      <c r="P181" t="str">
        <f>IFERROR(IF(OR(HLOOKUP($A181,#REF!,14,FALSE)&gt;2,HLOOKUP($A181,#REF!,14,FALSE)&lt;-2),"",#REF!),"")</f>
        <v/>
      </c>
      <c r="Q181" t="str">
        <f>IFERROR(IF(OR(HLOOKUP($A181,#REF!,15,FALSE)&gt;2,HLOOKUP($A181,#REF!,15,FALSE)&lt;-2),"",#REF!),"")</f>
        <v/>
      </c>
      <c r="R181" t="str">
        <f>IFERROR(IF(OR(HLOOKUP($A181,#REF!,16,FALSE)&gt;2,HLOOKUP($A181,#REF!,16,FALSE)&lt;-2),"",#REF!),"")</f>
        <v/>
      </c>
      <c r="S181" t="str">
        <f>IFERROR(IF(OR(HLOOKUP($A181,#REF!,17,FALSE)&gt;2,HLOOKUP($A181,#REF!,17,FALSE)&lt;-2),"",#REF!),"")</f>
        <v/>
      </c>
      <c r="T181" t="str">
        <f>IFERROR(IF(OR(HLOOKUP($A181,#REF!,18,FALSE)&gt;2,HLOOKUP($A181,#REF!,18,FALSE)&lt;-2),"",#REF!),"")</f>
        <v/>
      </c>
      <c r="U181" t="str">
        <f>IFERROR(IF(OR(HLOOKUP($A181,#REF!,19,FALSE)&gt;2,HLOOKUP($A181,#REF!,19,FALSE)&lt;-2),"",#REF!),"")</f>
        <v/>
      </c>
      <c r="V181">
        <f t="shared" si="8"/>
        <v>1</v>
      </c>
      <c r="W181" t="str">
        <f t="shared" si="9"/>
        <v/>
      </c>
      <c r="X181" t="str">
        <f t="shared" si="10"/>
        <v/>
      </c>
      <c r="Y181" t="str">
        <f t="shared" si="11"/>
        <v/>
      </c>
    </row>
    <row r="182" spans="1:25" x14ac:dyDescent="0.35">
      <c r="A182">
        <v>186</v>
      </c>
      <c r="B182" t="s">
        <v>107</v>
      </c>
      <c r="C182">
        <v>69800</v>
      </c>
      <c r="D182">
        <v>958</v>
      </c>
      <c r="E182" t="str">
        <f>IFERROR(IF(OR(HLOOKUP($A182,#REF!,3,FALSE)&gt;2,HLOOKUP(A182,#REF!,3,FALSE)&lt;-2),"",#REF!),"")</f>
        <v/>
      </c>
      <c r="F182" t="str">
        <f>IFERROR(IF(OR(HLOOKUP($A182,#REF!,4,FALSE)&gt;2,HLOOKUP($A182,#REF!,4,FALSE)&lt;-2),"",#REF!),"")</f>
        <v/>
      </c>
      <c r="G182" t="str">
        <f>IFERROR(IF(OR(HLOOKUP($A182,#REF!,5,FALSE)&gt;2,HLOOKUP($A182,#REF!,5,FALSE)&lt;-2),"",#REF!),"")</f>
        <v/>
      </c>
      <c r="H182" t="str">
        <f>IFERROR(IF(OR(HLOOKUP($A182,#REF!,6,FALSE)&gt;2,HLOOKUP($A182,#REF!,6,FALSE)&lt;-2),"",#REF!),"")</f>
        <v/>
      </c>
      <c r="I182" t="str">
        <f>IFERROR(IF(OR(HLOOKUP($A182,#REF!,7,FALSE)&gt;2,HLOOKUP($A182,#REF!,7,FALSE)&lt;-2),"",#REF!),"")</f>
        <v/>
      </c>
      <c r="J182" t="str">
        <f>IFERROR(IF(OR(HLOOKUP($A182,#REF!,8,FALSE)&gt;2,HLOOKUP($A182,#REF!,8,FALSE)&lt;-2),"",#REF!),"")</f>
        <v/>
      </c>
      <c r="K182" t="str">
        <f>IFERROR(IF(OR(HLOOKUP($A182,#REF!,9,FALSE)&gt;2,HLOOKUP($A182,#REF!,9,FALSE)&lt;-2),"",#REF!),"")</f>
        <v/>
      </c>
      <c r="L182" t="str">
        <f>IFERROR(IF(OR(HLOOKUP($A182,#REF!,10,FALSE)&gt;2,HLOOKUP($A182,#REF!,10,FALSE)&lt;-2),"",#REF!),"")</f>
        <v/>
      </c>
      <c r="M182" t="str">
        <f>IFERROR(IF(OR(HLOOKUP($A182,#REF!,11,FALSE)&gt;2,HLOOKUP($A182,#REF!,11,FALSE)&lt;-2),"",#REF!),"")</f>
        <v/>
      </c>
      <c r="N182" t="str">
        <f>IFERROR(IF(OR(HLOOKUP($A182,#REF!,12,FALSE)&gt;2,HLOOKUP($A182,#REF!,12,FALSE)&lt;-2),"",#REF!),"")</f>
        <v/>
      </c>
      <c r="O182" t="str">
        <f>IFERROR(IF(OR(HLOOKUP($A182,#REF!,13,FALSE)&gt;2,HLOOKUP($A182,#REF!,13,FALSE)&lt;-2),"",#REF!),"")</f>
        <v/>
      </c>
      <c r="P182" t="str">
        <f>IFERROR(IF(OR(HLOOKUP($A182,#REF!,14,FALSE)&gt;2,HLOOKUP($A182,#REF!,14,FALSE)&lt;-2),"",#REF!),"")</f>
        <v/>
      </c>
      <c r="Q182" t="str">
        <f>IFERROR(IF(OR(HLOOKUP($A182,#REF!,15,FALSE)&gt;2,HLOOKUP($A182,#REF!,15,FALSE)&lt;-2),"",#REF!),"")</f>
        <v/>
      </c>
      <c r="R182" t="str">
        <f>IFERROR(IF(OR(HLOOKUP($A182,#REF!,16,FALSE)&gt;2,HLOOKUP($A182,#REF!,16,FALSE)&lt;-2),"",#REF!),"")</f>
        <v/>
      </c>
      <c r="S182" t="str">
        <f>IFERROR(IF(OR(HLOOKUP($A182,#REF!,17,FALSE)&gt;2,HLOOKUP($A182,#REF!,17,FALSE)&lt;-2),"",#REF!),"")</f>
        <v/>
      </c>
      <c r="T182" t="str">
        <f>IFERROR(IF(OR(HLOOKUP($A182,#REF!,18,FALSE)&gt;2,HLOOKUP($A182,#REF!,18,FALSE)&lt;-2),"",#REF!),"")</f>
        <v/>
      </c>
      <c r="U182" t="str">
        <f>IFERROR(IF(OR(HLOOKUP($A182,#REF!,19,FALSE)&gt;2,HLOOKUP($A182,#REF!,19,FALSE)&lt;-2),"",#REF!),"")</f>
        <v/>
      </c>
      <c r="V182">
        <f t="shared" si="8"/>
        <v>1</v>
      </c>
      <c r="W182" t="str">
        <f t="shared" si="9"/>
        <v/>
      </c>
      <c r="X182" t="str">
        <f t="shared" si="10"/>
        <v/>
      </c>
      <c r="Y182" t="str">
        <f t="shared" si="11"/>
        <v/>
      </c>
    </row>
    <row r="183" spans="1:25" x14ac:dyDescent="0.35">
      <c r="A183">
        <v>187</v>
      </c>
      <c r="B183" t="s">
        <v>108</v>
      </c>
      <c r="C183">
        <v>9500</v>
      </c>
      <c r="D183">
        <v>1057</v>
      </c>
      <c r="E183" t="str">
        <f>IFERROR(IF(OR(HLOOKUP($A183,#REF!,3,FALSE)&gt;2,HLOOKUP(A183,#REF!,3,FALSE)&lt;-2),"",#REF!),"")</f>
        <v/>
      </c>
      <c r="F183" t="str">
        <f>IFERROR(IF(OR(HLOOKUP($A183,#REF!,4,FALSE)&gt;2,HLOOKUP($A183,#REF!,4,FALSE)&lt;-2),"",#REF!),"")</f>
        <v/>
      </c>
      <c r="G183" t="str">
        <f>IFERROR(IF(OR(HLOOKUP($A183,#REF!,5,FALSE)&gt;2,HLOOKUP($A183,#REF!,5,FALSE)&lt;-2),"",#REF!),"")</f>
        <v/>
      </c>
      <c r="H183" t="str">
        <f>IFERROR(IF(OR(HLOOKUP($A183,#REF!,6,FALSE)&gt;2,HLOOKUP($A183,#REF!,6,FALSE)&lt;-2),"",#REF!),"")</f>
        <v/>
      </c>
      <c r="I183" t="str">
        <f>IFERROR(IF(OR(HLOOKUP($A183,#REF!,7,FALSE)&gt;2,HLOOKUP($A183,#REF!,7,FALSE)&lt;-2),"",#REF!),"")</f>
        <v/>
      </c>
      <c r="J183" t="str">
        <f>IFERROR(IF(OR(HLOOKUP($A183,#REF!,8,FALSE)&gt;2,HLOOKUP($A183,#REF!,8,FALSE)&lt;-2),"",#REF!),"")</f>
        <v/>
      </c>
      <c r="K183" t="str">
        <f>IFERROR(IF(OR(HLOOKUP($A183,#REF!,9,FALSE)&gt;2,HLOOKUP($A183,#REF!,9,FALSE)&lt;-2),"",#REF!),"")</f>
        <v/>
      </c>
      <c r="L183" t="str">
        <f>IFERROR(IF(OR(HLOOKUP($A183,#REF!,10,FALSE)&gt;2,HLOOKUP($A183,#REF!,10,FALSE)&lt;-2),"",#REF!),"")</f>
        <v/>
      </c>
      <c r="M183" t="str">
        <f>IFERROR(IF(OR(HLOOKUP($A183,#REF!,11,FALSE)&gt;2,HLOOKUP($A183,#REF!,11,FALSE)&lt;-2),"",#REF!),"")</f>
        <v/>
      </c>
      <c r="N183" t="str">
        <f>IFERROR(IF(OR(HLOOKUP($A183,#REF!,12,FALSE)&gt;2,HLOOKUP($A183,#REF!,12,FALSE)&lt;-2),"",#REF!),"")</f>
        <v/>
      </c>
      <c r="O183" t="str">
        <f>IFERROR(IF(OR(HLOOKUP($A183,#REF!,13,FALSE)&gt;2,HLOOKUP($A183,#REF!,13,FALSE)&lt;-2),"",#REF!),"")</f>
        <v/>
      </c>
      <c r="P183" t="str">
        <f>IFERROR(IF(OR(HLOOKUP($A183,#REF!,14,FALSE)&gt;2,HLOOKUP($A183,#REF!,14,FALSE)&lt;-2),"",#REF!),"")</f>
        <v/>
      </c>
      <c r="Q183" t="str">
        <f>IFERROR(IF(OR(HLOOKUP($A183,#REF!,15,FALSE)&gt;2,HLOOKUP($A183,#REF!,15,FALSE)&lt;-2),"",#REF!),"")</f>
        <v/>
      </c>
      <c r="R183" t="str">
        <f>IFERROR(IF(OR(HLOOKUP($A183,#REF!,16,FALSE)&gt;2,HLOOKUP($A183,#REF!,16,FALSE)&lt;-2),"",#REF!),"")</f>
        <v/>
      </c>
      <c r="S183" t="str">
        <f>IFERROR(IF(OR(HLOOKUP($A183,#REF!,17,FALSE)&gt;2,HLOOKUP($A183,#REF!,17,FALSE)&lt;-2),"",#REF!),"")</f>
        <v/>
      </c>
      <c r="T183" t="str">
        <f>IFERROR(IF(OR(HLOOKUP($A183,#REF!,18,FALSE)&gt;2,HLOOKUP($A183,#REF!,18,FALSE)&lt;-2),"",#REF!),"")</f>
        <v/>
      </c>
      <c r="U183" t="str">
        <f>IFERROR(IF(OR(HLOOKUP($A183,#REF!,19,FALSE)&gt;2,HLOOKUP($A183,#REF!,19,FALSE)&lt;-2),"",#REF!),"")</f>
        <v/>
      </c>
      <c r="V183">
        <f t="shared" si="8"/>
        <v>1</v>
      </c>
      <c r="W183" t="str">
        <f t="shared" si="9"/>
        <v/>
      </c>
      <c r="X183" t="str">
        <f t="shared" si="10"/>
        <v/>
      </c>
      <c r="Y183" t="str">
        <f t="shared" si="11"/>
        <v/>
      </c>
    </row>
    <row r="184" spans="1:25" x14ac:dyDescent="0.35">
      <c r="A184">
        <v>188</v>
      </c>
      <c r="B184" t="s">
        <v>109</v>
      </c>
      <c r="C184">
        <v>30700</v>
      </c>
      <c r="D184">
        <v>151</v>
      </c>
      <c r="E184" t="str">
        <f>IFERROR(IF(OR(HLOOKUP($A184,#REF!,3,FALSE)&gt;2,HLOOKUP(A184,#REF!,3,FALSE)&lt;-2),"",#REF!),"")</f>
        <v/>
      </c>
      <c r="F184" t="str">
        <f>IFERROR(IF(OR(HLOOKUP($A184,#REF!,4,FALSE)&gt;2,HLOOKUP($A184,#REF!,4,FALSE)&lt;-2),"",#REF!),"")</f>
        <v/>
      </c>
      <c r="G184" t="str">
        <f>IFERROR(IF(OR(HLOOKUP($A184,#REF!,5,FALSE)&gt;2,HLOOKUP($A184,#REF!,5,FALSE)&lt;-2),"",#REF!),"")</f>
        <v/>
      </c>
      <c r="H184" t="str">
        <f>IFERROR(IF(OR(HLOOKUP($A184,#REF!,6,FALSE)&gt;2,HLOOKUP($A184,#REF!,6,FALSE)&lt;-2),"",#REF!),"")</f>
        <v/>
      </c>
      <c r="I184" t="str">
        <f>IFERROR(IF(OR(HLOOKUP($A184,#REF!,7,FALSE)&gt;2,HLOOKUP($A184,#REF!,7,FALSE)&lt;-2),"",#REF!),"")</f>
        <v/>
      </c>
      <c r="J184" t="str">
        <f>IFERROR(IF(OR(HLOOKUP($A184,#REF!,8,FALSE)&gt;2,HLOOKUP($A184,#REF!,8,FALSE)&lt;-2),"",#REF!),"")</f>
        <v/>
      </c>
      <c r="K184" t="str">
        <f>IFERROR(IF(OR(HLOOKUP($A184,#REF!,9,FALSE)&gt;2,HLOOKUP($A184,#REF!,9,FALSE)&lt;-2),"",#REF!),"")</f>
        <v/>
      </c>
      <c r="L184" t="str">
        <f>IFERROR(IF(OR(HLOOKUP($A184,#REF!,10,FALSE)&gt;2,HLOOKUP($A184,#REF!,10,FALSE)&lt;-2),"",#REF!),"")</f>
        <v/>
      </c>
      <c r="M184" t="str">
        <f>IFERROR(IF(OR(HLOOKUP($A184,#REF!,11,FALSE)&gt;2,HLOOKUP($A184,#REF!,11,FALSE)&lt;-2),"",#REF!),"")</f>
        <v/>
      </c>
      <c r="N184" t="str">
        <f>IFERROR(IF(OR(HLOOKUP($A184,#REF!,12,FALSE)&gt;2,HLOOKUP($A184,#REF!,12,FALSE)&lt;-2),"",#REF!),"")</f>
        <v/>
      </c>
      <c r="O184" t="str">
        <f>IFERROR(IF(OR(HLOOKUP($A184,#REF!,13,FALSE)&gt;2,HLOOKUP($A184,#REF!,13,FALSE)&lt;-2),"",#REF!),"")</f>
        <v/>
      </c>
      <c r="P184" t="str">
        <f>IFERROR(IF(OR(HLOOKUP($A184,#REF!,14,FALSE)&gt;2,HLOOKUP($A184,#REF!,14,FALSE)&lt;-2),"",#REF!),"")</f>
        <v/>
      </c>
      <c r="Q184" t="str">
        <f>IFERROR(IF(OR(HLOOKUP($A184,#REF!,15,FALSE)&gt;2,HLOOKUP($A184,#REF!,15,FALSE)&lt;-2),"",#REF!),"")</f>
        <v/>
      </c>
      <c r="R184" t="str">
        <f>IFERROR(IF(OR(HLOOKUP($A184,#REF!,16,FALSE)&gt;2,HLOOKUP($A184,#REF!,16,FALSE)&lt;-2),"",#REF!),"")</f>
        <v/>
      </c>
      <c r="S184" t="str">
        <f>IFERROR(IF(OR(HLOOKUP($A184,#REF!,17,FALSE)&gt;2,HLOOKUP($A184,#REF!,17,FALSE)&lt;-2),"",#REF!),"")</f>
        <v/>
      </c>
      <c r="T184" t="str">
        <f>IFERROR(IF(OR(HLOOKUP($A184,#REF!,18,FALSE)&gt;2,HLOOKUP($A184,#REF!,18,FALSE)&lt;-2),"",#REF!),"")</f>
        <v/>
      </c>
      <c r="U184" t="str">
        <f>IFERROR(IF(OR(HLOOKUP($A184,#REF!,19,FALSE)&gt;2,HLOOKUP($A184,#REF!,19,FALSE)&lt;-2),"",#REF!),"")</f>
        <v/>
      </c>
      <c r="V184">
        <f t="shared" si="8"/>
        <v>1</v>
      </c>
      <c r="W184" t="str">
        <f t="shared" si="9"/>
        <v/>
      </c>
      <c r="X184" t="str">
        <f t="shared" si="10"/>
        <v/>
      </c>
      <c r="Y184" t="str">
        <f t="shared" si="11"/>
        <v/>
      </c>
    </row>
    <row r="185" spans="1:25" x14ac:dyDescent="0.35">
      <c r="A185">
        <v>189</v>
      </c>
      <c r="B185" t="s">
        <v>110</v>
      </c>
      <c r="C185">
        <v>68400</v>
      </c>
      <c r="D185">
        <v>51</v>
      </c>
      <c r="E185" t="str">
        <f>IFERROR(IF(OR(HLOOKUP($A185,#REF!,3,FALSE)&gt;2,HLOOKUP(A185,#REF!,3,FALSE)&lt;-2),"",#REF!),"")</f>
        <v/>
      </c>
      <c r="F185" t="str">
        <f>IFERROR(IF(OR(HLOOKUP($A185,#REF!,4,FALSE)&gt;2,HLOOKUP($A185,#REF!,4,FALSE)&lt;-2),"",#REF!),"")</f>
        <v/>
      </c>
      <c r="G185" t="str">
        <f>IFERROR(IF(OR(HLOOKUP($A185,#REF!,5,FALSE)&gt;2,HLOOKUP($A185,#REF!,5,FALSE)&lt;-2),"",#REF!),"")</f>
        <v/>
      </c>
      <c r="H185" t="str">
        <f>IFERROR(IF(OR(HLOOKUP($A185,#REF!,6,FALSE)&gt;2,HLOOKUP($A185,#REF!,6,FALSE)&lt;-2),"",#REF!),"")</f>
        <v/>
      </c>
      <c r="I185" t="str">
        <f>IFERROR(IF(OR(HLOOKUP($A185,#REF!,7,FALSE)&gt;2,HLOOKUP($A185,#REF!,7,FALSE)&lt;-2),"",#REF!),"")</f>
        <v/>
      </c>
      <c r="J185" t="str">
        <f>IFERROR(IF(OR(HLOOKUP($A185,#REF!,8,FALSE)&gt;2,HLOOKUP($A185,#REF!,8,FALSE)&lt;-2),"",#REF!),"")</f>
        <v/>
      </c>
      <c r="K185" t="str">
        <f>IFERROR(IF(OR(HLOOKUP($A185,#REF!,9,FALSE)&gt;2,HLOOKUP($A185,#REF!,9,FALSE)&lt;-2),"",#REF!),"")</f>
        <v/>
      </c>
      <c r="L185" t="str">
        <f>IFERROR(IF(OR(HLOOKUP($A185,#REF!,10,FALSE)&gt;2,HLOOKUP($A185,#REF!,10,FALSE)&lt;-2),"",#REF!),"")</f>
        <v/>
      </c>
      <c r="M185" t="str">
        <f>IFERROR(IF(OR(HLOOKUP($A185,#REF!,11,FALSE)&gt;2,HLOOKUP($A185,#REF!,11,FALSE)&lt;-2),"",#REF!),"")</f>
        <v/>
      </c>
      <c r="N185" t="str">
        <f>IFERROR(IF(OR(HLOOKUP($A185,#REF!,12,FALSE)&gt;2,HLOOKUP($A185,#REF!,12,FALSE)&lt;-2),"",#REF!),"")</f>
        <v/>
      </c>
      <c r="O185" t="str">
        <f>IFERROR(IF(OR(HLOOKUP($A185,#REF!,13,FALSE)&gt;2,HLOOKUP($A185,#REF!,13,FALSE)&lt;-2),"",#REF!),"")</f>
        <v/>
      </c>
      <c r="P185" t="str">
        <f>IFERROR(IF(OR(HLOOKUP($A185,#REF!,14,FALSE)&gt;2,HLOOKUP($A185,#REF!,14,FALSE)&lt;-2),"",#REF!),"")</f>
        <v/>
      </c>
      <c r="Q185" t="str">
        <f>IFERROR(IF(OR(HLOOKUP($A185,#REF!,15,FALSE)&gt;2,HLOOKUP($A185,#REF!,15,FALSE)&lt;-2),"",#REF!),"")</f>
        <v/>
      </c>
      <c r="R185" t="str">
        <f>IFERROR(IF(OR(HLOOKUP($A185,#REF!,16,FALSE)&gt;2,HLOOKUP($A185,#REF!,16,FALSE)&lt;-2),"",#REF!),"")</f>
        <v/>
      </c>
      <c r="S185" t="str">
        <f>IFERROR(IF(OR(HLOOKUP($A185,#REF!,17,FALSE)&gt;2,HLOOKUP($A185,#REF!,17,FALSE)&lt;-2),"",#REF!),"")</f>
        <v/>
      </c>
      <c r="T185" t="str">
        <f>IFERROR(IF(OR(HLOOKUP($A185,#REF!,18,FALSE)&gt;2,HLOOKUP($A185,#REF!,18,FALSE)&lt;-2),"",#REF!),"")</f>
        <v/>
      </c>
      <c r="U185" t="str">
        <f>IFERROR(IF(OR(HLOOKUP($A185,#REF!,19,FALSE)&gt;2,HLOOKUP($A185,#REF!,19,FALSE)&lt;-2),"",#REF!),"")</f>
        <v/>
      </c>
      <c r="V185">
        <f t="shared" si="8"/>
        <v>1</v>
      </c>
      <c r="W185" t="str">
        <f t="shared" si="9"/>
        <v/>
      </c>
      <c r="X185" t="str">
        <f t="shared" si="10"/>
        <v/>
      </c>
      <c r="Y185" t="str">
        <f t="shared" si="11"/>
        <v/>
      </c>
    </row>
    <row r="186" spans="1:25" x14ac:dyDescent="0.35">
      <c r="A186">
        <v>190</v>
      </c>
      <c r="B186" t="s">
        <v>111</v>
      </c>
      <c r="C186">
        <v>107600</v>
      </c>
      <c r="D186">
        <v>784</v>
      </c>
      <c r="E186" t="str">
        <f>IFERROR(IF(OR(HLOOKUP($A186,#REF!,3,FALSE)&gt;2,HLOOKUP(A186,#REF!,3,FALSE)&lt;-2),"",#REF!),"")</f>
        <v/>
      </c>
      <c r="F186" t="str">
        <f>IFERROR(IF(OR(HLOOKUP($A186,#REF!,4,FALSE)&gt;2,HLOOKUP($A186,#REF!,4,FALSE)&lt;-2),"",#REF!),"")</f>
        <v/>
      </c>
      <c r="G186" t="str">
        <f>IFERROR(IF(OR(HLOOKUP($A186,#REF!,5,FALSE)&gt;2,HLOOKUP($A186,#REF!,5,FALSE)&lt;-2),"",#REF!),"")</f>
        <v/>
      </c>
      <c r="H186" t="str">
        <f>IFERROR(IF(OR(HLOOKUP($A186,#REF!,6,FALSE)&gt;2,HLOOKUP($A186,#REF!,6,FALSE)&lt;-2),"",#REF!),"")</f>
        <v/>
      </c>
      <c r="I186" t="str">
        <f>IFERROR(IF(OR(HLOOKUP($A186,#REF!,7,FALSE)&gt;2,HLOOKUP($A186,#REF!,7,FALSE)&lt;-2),"",#REF!),"")</f>
        <v/>
      </c>
      <c r="J186" t="str">
        <f>IFERROR(IF(OR(HLOOKUP($A186,#REF!,8,FALSE)&gt;2,HLOOKUP($A186,#REF!,8,FALSE)&lt;-2),"",#REF!),"")</f>
        <v/>
      </c>
      <c r="K186" t="str">
        <f>IFERROR(IF(OR(HLOOKUP($A186,#REF!,9,FALSE)&gt;2,HLOOKUP($A186,#REF!,9,FALSE)&lt;-2),"",#REF!),"")</f>
        <v/>
      </c>
      <c r="L186" t="str">
        <f>IFERROR(IF(OR(HLOOKUP($A186,#REF!,10,FALSE)&gt;2,HLOOKUP($A186,#REF!,10,FALSE)&lt;-2),"",#REF!),"")</f>
        <v/>
      </c>
      <c r="M186" t="str">
        <f>IFERROR(IF(OR(HLOOKUP($A186,#REF!,11,FALSE)&gt;2,HLOOKUP($A186,#REF!,11,FALSE)&lt;-2),"",#REF!),"")</f>
        <v/>
      </c>
      <c r="N186" t="str">
        <f>IFERROR(IF(OR(HLOOKUP($A186,#REF!,12,FALSE)&gt;2,HLOOKUP($A186,#REF!,12,FALSE)&lt;-2),"",#REF!),"")</f>
        <v/>
      </c>
      <c r="O186" t="str">
        <f>IFERROR(IF(OR(HLOOKUP($A186,#REF!,13,FALSE)&gt;2,HLOOKUP($A186,#REF!,13,FALSE)&lt;-2),"",#REF!),"")</f>
        <v/>
      </c>
      <c r="P186" t="str">
        <f>IFERROR(IF(OR(HLOOKUP($A186,#REF!,14,FALSE)&gt;2,HLOOKUP($A186,#REF!,14,FALSE)&lt;-2),"",#REF!),"")</f>
        <v/>
      </c>
      <c r="Q186" t="str">
        <f>IFERROR(IF(OR(HLOOKUP($A186,#REF!,15,FALSE)&gt;2,HLOOKUP($A186,#REF!,15,FALSE)&lt;-2),"",#REF!),"")</f>
        <v/>
      </c>
      <c r="R186" t="str">
        <f>IFERROR(IF(OR(HLOOKUP($A186,#REF!,16,FALSE)&gt;2,HLOOKUP($A186,#REF!,16,FALSE)&lt;-2),"",#REF!),"")</f>
        <v/>
      </c>
      <c r="S186" t="str">
        <f>IFERROR(IF(OR(HLOOKUP($A186,#REF!,17,FALSE)&gt;2,HLOOKUP($A186,#REF!,17,FALSE)&lt;-2),"",#REF!),"")</f>
        <v/>
      </c>
      <c r="T186" t="str">
        <f>IFERROR(IF(OR(HLOOKUP($A186,#REF!,18,FALSE)&gt;2,HLOOKUP($A186,#REF!,18,FALSE)&lt;-2),"",#REF!),"")</f>
        <v/>
      </c>
      <c r="U186" t="str">
        <f>IFERROR(IF(OR(HLOOKUP($A186,#REF!,19,FALSE)&gt;2,HLOOKUP($A186,#REF!,19,FALSE)&lt;-2),"",#REF!),"")</f>
        <v/>
      </c>
      <c r="V186">
        <f t="shared" si="8"/>
        <v>1</v>
      </c>
      <c r="W186" t="str">
        <f t="shared" si="9"/>
        <v/>
      </c>
      <c r="X186" t="str">
        <f t="shared" si="10"/>
        <v/>
      </c>
      <c r="Y186" t="str">
        <f t="shared" si="11"/>
        <v/>
      </c>
    </row>
    <row r="187" spans="1:25" x14ac:dyDescent="0.35">
      <c r="A187">
        <v>191</v>
      </c>
      <c r="B187" t="s">
        <v>678</v>
      </c>
      <c r="C187">
        <v>31400</v>
      </c>
      <c r="D187">
        <v>159</v>
      </c>
      <c r="E187" t="str">
        <f>IFERROR(IF(OR(HLOOKUP($A187,#REF!,3,FALSE)&gt;2,HLOOKUP(A187,#REF!,3,FALSE)&lt;-2),"",#REF!),"")</f>
        <v/>
      </c>
      <c r="F187" t="str">
        <f>IFERROR(IF(OR(HLOOKUP($A187,#REF!,4,FALSE)&gt;2,HLOOKUP($A187,#REF!,4,FALSE)&lt;-2),"",#REF!),"")</f>
        <v/>
      </c>
      <c r="G187" t="str">
        <f>IFERROR(IF(OR(HLOOKUP($A187,#REF!,5,FALSE)&gt;2,HLOOKUP($A187,#REF!,5,FALSE)&lt;-2),"",#REF!),"")</f>
        <v/>
      </c>
      <c r="H187" t="str">
        <f>IFERROR(IF(OR(HLOOKUP($A187,#REF!,6,FALSE)&gt;2,HLOOKUP($A187,#REF!,6,FALSE)&lt;-2),"",#REF!),"")</f>
        <v/>
      </c>
      <c r="I187" t="str">
        <f>IFERROR(IF(OR(HLOOKUP($A187,#REF!,7,FALSE)&gt;2,HLOOKUP($A187,#REF!,7,FALSE)&lt;-2),"",#REF!),"")</f>
        <v/>
      </c>
      <c r="J187" t="str">
        <f>IFERROR(IF(OR(HLOOKUP($A187,#REF!,8,FALSE)&gt;2,HLOOKUP($A187,#REF!,8,FALSE)&lt;-2),"",#REF!),"")</f>
        <v/>
      </c>
      <c r="K187" t="str">
        <f>IFERROR(IF(OR(HLOOKUP($A187,#REF!,9,FALSE)&gt;2,HLOOKUP($A187,#REF!,9,FALSE)&lt;-2),"",#REF!),"")</f>
        <v/>
      </c>
      <c r="L187" t="str">
        <f>IFERROR(IF(OR(HLOOKUP($A187,#REF!,10,FALSE)&gt;2,HLOOKUP($A187,#REF!,10,FALSE)&lt;-2),"",#REF!),"")</f>
        <v/>
      </c>
      <c r="M187" t="str">
        <f>IFERROR(IF(OR(HLOOKUP($A187,#REF!,11,FALSE)&gt;2,HLOOKUP($A187,#REF!,11,FALSE)&lt;-2),"",#REF!),"")</f>
        <v/>
      </c>
      <c r="N187" t="str">
        <f>IFERROR(IF(OR(HLOOKUP($A187,#REF!,12,FALSE)&gt;2,HLOOKUP($A187,#REF!,12,FALSE)&lt;-2),"",#REF!),"")</f>
        <v/>
      </c>
      <c r="O187" t="str">
        <f>IFERROR(IF(OR(HLOOKUP($A187,#REF!,13,FALSE)&gt;2,HLOOKUP($A187,#REF!,13,FALSE)&lt;-2),"",#REF!),"")</f>
        <v/>
      </c>
      <c r="P187" t="str">
        <f>IFERROR(IF(OR(HLOOKUP($A187,#REF!,14,FALSE)&gt;2,HLOOKUP($A187,#REF!,14,FALSE)&lt;-2),"",#REF!),"")</f>
        <v/>
      </c>
      <c r="Q187" t="str">
        <f>IFERROR(IF(OR(HLOOKUP($A187,#REF!,15,FALSE)&gt;2,HLOOKUP($A187,#REF!,15,FALSE)&lt;-2),"",#REF!),"")</f>
        <v/>
      </c>
      <c r="R187" t="str">
        <f>IFERROR(IF(OR(HLOOKUP($A187,#REF!,16,FALSE)&gt;2,HLOOKUP($A187,#REF!,16,FALSE)&lt;-2),"",#REF!),"")</f>
        <v/>
      </c>
      <c r="S187" t="str">
        <f>IFERROR(IF(OR(HLOOKUP($A187,#REF!,17,FALSE)&gt;2,HLOOKUP($A187,#REF!,17,FALSE)&lt;-2),"",#REF!),"")</f>
        <v/>
      </c>
      <c r="T187" t="str">
        <f>IFERROR(IF(OR(HLOOKUP($A187,#REF!,18,FALSE)&gt;2,HLOOKUP($A187,#REF!,18,FALSE)&lt;-2),"",#REF!),"")</f>
        <v/>
      </c>
      <c r="U187" t="str">
        <f>IFERROR(IF(OR(HLOOKUP($A187,#REF!,19,FALSE)&gt;2,HLOOKUP($A187,#REF!,19,FALSE)&lt;-2),"",#REF!),"")</f>
        <v/>
      </c>
      <c r="V187">
        <f t="shared" si="8"/>
        <v>1</v>
      </c>
      <c r="W187" t="str">
        <f t="shared" si="9"/>
        <v/>
      </c>
      <c r="X187" t="str">
        <f t="shared" si="10"/>
        <v/>
      </c>
      <c r="Y187" t="str">
        <f t="shared" si="11"/>
        <v/>
      </c>
    </row>
    <row r="188" spans="1:25" x14ac:dyDescent="0.35">
      <c r="A188">
        <v>192</v>
      </c>
      <c r="B188" t="s">
        <v>679</v>
      </c>
      <c r="C188">
        <v>34800</v>
      </c>
      <c r="D188">
        <v>639</v>
      </c>
      <c r="E188" t="str">
        <f>IFERROR(IF(OR(HLOOKUP($A188,#REF!,3,FALSE)&gt;2,HLOOKUP(A188,#REF!,3,FALSE)&lt;-2),"",#REF!),"")</f>
        <v/>
      </c>
      <c r="F188" t="str">
        <f>IFERROR(IF(OR(HLOOKUP($A188,#REF!,4,FALSE)&gt;2,HLOOKUP($A188,#REF!,4,FALSE)&lt;-2),"",#REF!),"")</f>
        <v/>
      </c>
      <c r="G188" t="str">
        <f>IFERROR(IF(OR(HLOOKUP($A188,#REF!,5,FALSE)&gt;2,HLOOKUP($A188,#REF!,5,FALSE)&lt;-2),"",#REF!),"")</f>
        <v/>
      </c>
      <c r="H188" t="str">
        <f>IFERROR(IF(OR(HLOOKUP($A188,#REF!,6,FALSE)&gt;2,HLOOKUP($A188,#REF!,6,FALSE)&lt;-2),"",#REF!),"")</f>
        <v/>
      </c>
      <c r="I188" t="str">
        <f>IFERROR(IF(OR(HLOOKUP($A188,#REF!,7,FALSE)&gt;2,HLOOKUP($A188,#REF!,7,FALSE)&lt;-2),"",#REF!),"")</f>
        <v/>
      </c>
      <c r="J188" t="str">
        <f>IFERROR(IF(OR(HLOOKUP($A188,#REF!,8,FALSE)&gt;2,HLOOKUP($A188,#REF!,8,FALSE)&lt;-2),"",#REF!),"")</f>
        <v/>
      </c>
      <c r="K188" t="str">
        <f>IFERROR(IF(OR(HLOOKUP($A188,#REF!,9,FALSE)&gt;2,HLOOKUP($A188,#REF!,9,FALSE)&lt;-2),"",#REF!),"")</f>
        <v/>
      </c>
      <c r="L188" t="str">
        <f>IFERROR(IF(OR(HLOOKUP($A188,#REF!,10,FALSE)&gt;2,HLOOKUP($A188,#REF!,10,FALSE)&lt;-2),"",#REF!),"")</f>
        <v/>
      </c>
      <c r="M188" t="str">
        <f>IFERROR(IF(OR(HLOOKUP($A188,#REF!,11,FALSE)&gt;2,HLOOKUP($A188,#REF!,11,FALSE)&lt;-2),"",#REF!),"")</f>
        <v/>
      </c>
      <c r="N188" t="str">
        <f>IFERROR(IF(OR(HLOOKUP($A188,#REF!,12,FALSE)&gt;2,HLOOKUP($A188,#REF!,12,FALSE)&lt;-2),"",#REF!),"")</f>
        <v/>
      </c>
      <c r="O188" t="str">
        <f>IFERROR(IF(OR(HLOOKUP($A188,#REF!,13,FALSE)&gt;2,HLOOKUP($A188,#REF!,13,FALSE)&lt;-2),"",#REF!),"")</f>
        <v/>
      </c>
      <c r="P188" t="str">
        <f>IFERROR(IF(OR(HLOOKUP($A188,#REF!,14,FALSE)&gt;2,HLOOKUP($A188,#REF!,14,FALSE)&lt;-2),"",#REF!),"")</f>
        <v/>
      </c>
      <c r="Q188" t="str">
        <f>IFERROR(IF(OR(HLOOKUP($A188,#REF!,15,FALSE)&gt;2,HLOOKUP($A188,#REF!,15,FALSE)&lt;-2),"",#REF!),"")</f>
        <v/>
      </c>
      <c r="R188" t="str">
        <f>IFERROR(IF(OR(HLOOKUP($A188,#REF!,16,FALSE)&gt;2,HLOOKUP($A188,#REF!,16,FALSE)&lt;-2),"",#REF!),"")</f>
        <v/>
      </c>
      <c r="S188" t="str">
        <f>IFERROR(IF(OR(HLOOKUP($A188,#REF!,17,FALSE)&gt;2,HLOOKUP($A188,#REF!,17,FALSE)&lt;-2),"",#REF!),"")</f>
        <v/>
      </c>
      <c r="T188" t="str">
        <f>IFERROR(IF(OR(HLOOKUP($A188,#REF!,18,FALSE)&gt;2,HLOOKUP($A188,#REF!,18,FALSE)&lt;-2),"",#REF!),"")</f>
        <v/>
      </c>
      <c r="U188" t="str">
        <f>IFERROR(IF(OR(HLOOKUP($A188,#REF!,19,FALSE)&gt;2,HLOOKUP($A188,#REF!,19,FALSE)&lt;-2),"",#REF!),"")</f>
        <v/>
      </c>
      <c r="V188">
        <f t="shared" si="8"/>
        <v>1</v>
      </c>
      <c r="W188" t="str">
        <f t="shared" si="9"/>
        <v/>
      </c>
      <c r="X188" t="str">
        <f t="shared" si="10"/>
        <v/>
      </c>
      <c r="Y188" t="str">
        <f t="shared" si="11"/>
        <v/>
      </c>
    </row>
    <row r="189" spans="1:25" x14ac:dyDescent="0.35">
      <c r="A189">
        <v>193</v>
      </c>
      <c r="B189" t="s">
        <v>680</v>
      </c>
      <c r="C189">
        <v>95800</v>
      </c>
      <c r="D189">
        <v>1069</v>
      </c>
      <c r="E189" t="str">
        <f>IFERROR(IF(OR(HLOOKUP($A189,#REF!,3,FALSE)&gt;2,HLOOKUP(A189,#REF!,3,FALSE)&lt;-2),"",#REF!),"")</f>
        <v/>
      </c>
      <c r="F189" t="str">
        <f>IFERROR(IF(OR(HLOOKUP($A189,#REF!,4,FALSE)&gt;2,HLOOKUP($A189,#REF!,4,FALSE)&lt;-2),"",#REF!),"")</f>
        <v/>
      </c>
      <c r="G189" t="str">
        <f>IFERROR(IF(OR(HLOOKUP($A189,#REF!,5,FALSE)&gt;2,HLOOKUP($A189,#REF!,5,FALSE)&lt;-2),"",#REF!),"")</f>
        <v/>
      </c>
      <c r="H189" t="str">
        <f>IFERROR(IF(OR(HLOOKUP($A189,#REF!,6,FALSE)&gt;2,HLOOKUP($A189,#REF!,6,FALSE)&lt;-2),"",#REF!),"")</f>
        <v/>
      </c>
      <c r="I189" t="str">
        <f>IFERROR(IF(OR(HLOOKUP($A189,#REF!,7,FALSE)&gt;2,HLOOKUP($A189,#REF!,7,FALSE)&lt;-2),"",#REF!),"")</f>
        <v/>
      </c>
      <c r="J189" t="str">
        <f>IFERROR(IF(OR(HLOOKUP($A189,#REF!,8,FALSE)&gt;2,HLOOKUP($A189,#REF!,8,FALSE)&lt;-2),"",#REF!),"")</f>
        <v/>
      </c>
      <c r="K189" t="str">
        <f>IFERROR(IF(OR(HLOOKUP($A189,#REF!,9,FALSE)&gt;2,HLOOKUP($A189,#REF!,9,FALSE)&lt;-2),"",#REF!),"")</f>
        <v/>
      </c>
      <c r="L189" t="str">
        <f>IFERROR(IF(OR(HLOOKUP($A189,#REF!,10,FALSE)&gt;2,HLOOKUP($A189,#REF!,10,FALSE)&lt;-2),"",#REF!),"")</f>
        <v/>
      </c>
      <c r="M189" t="str">
        <f>IFERROR(IF(OR(HLOOKUP($A189,#REF!,11,FALSE)&gt;2,HLOOKUP($A189,#REF!,11,FALSE)&lt;-2),"",#REF!),"")</f>
        <v/>
      </c>
      <c r="N189" t="str">
        <f>IFERROR(IF(OR(HLOOKUP($A189,#REF!,12,FALSE)&gt;2,HLOOKUP($A189,#REF!,12,FALSE)&lt;-2),"",#REF!),"")</f>
        <v/>
      </c>
      <c r="O189" t="str">
        <f>IFERROR(IF(OR(HLOOKUP($A189,#REF!,13,FALSE)&gt;2,HLOOKUP($A189,#REF!,13,FALSE)&lt;-2),"",#REF!),"")</f>
        <v/>
      </c>
      <c r="P189" t="str">
        <f>IFERROR(IF(OR(HLOOKUP($A189,#REF!,14,FALSE)&gt;2,HLOOKUP($A189,#REF!,14,FALSE)&lt;-2),"",#REF!),"")</f>
        <v/>
      </c>
      <c r="Q189" t="str">
        <f>IFERROR(IF(OR(HLOOKUP($A189,#REF!,15,FALSE)&gt;2,HLOOKUP($A189,#REF!,15,FALSE)&lt;-2),"",#REF!),"")</f>
        <v/>
      </c>
      <c r="R189" t="str">
        <f>IFERROR(IF(OR(HLOOKUP($A189,#REF!,16,FALSE)&gt;2,HLOOKUP($A189,#REF!,16,FALSE)&lt;-2),"",#REF!),"")</f>
        <v/>
      </c>
      <c r="S189" t="str">
        <f>IFERROR(IF(OR(HLOOKUP($A189,#REF!,17,FALSE)&gt;2,HLOOKUP($A189,#REF!,17,FALSE)&lt;-2),"",#REF!),"")</f>
        <v/>
      </c>
      <c r="T189" t="str">
        <f>IFERROR(IF(OR(HLOOKUP($A189,#REF!,18,FALSE)&gt;2,HLOOKUP($A189,#REF!,18,FALSE)&lt;-2),"",#REF!),"")</f>
        <v/>
      </c>
      <c r="U189" t="str">
        <f>IFERROR(IF(OR(HLOOKUP($A189,#REF!,19,FALSE)&gt;2,HLOOKUP($A189,#REF!,19,FALSE)&lt;-2),"",#REF!),"")</f>
        <v/>
      </c>
      <c r="V189">
        <f t="shared" si="8"/>
        <v>1</v>
      </c>
      <c r="W189" t="str">
        <f t="shared" si="9"/>
        <v/>
      </c>
      <c r="X189" t="str">
        <f t="shared" si="10"/>
        <v/>
      </c>
      <c r="Y189" t="str">
        <f t="shared" si="11"/>
        <v/>
      </c>
    </row>
    <row r="190" spans="1:25" x14ac:dyDescent="0.35">
      <c r="A190">
        <v>194</v>
      </c>
      <c r="B190" t="s">
        <v>112</v>
      </c>
      <c r="C190">
        <v>77300</v>
      </c>
      <c r="D190">
        <v>290</v>
      </c>
      <c r="E190" t="str">
        <f>IFERROR(IF(OR(HLOOKUP($A190,#REF!,3,FALSE)&gt;2,HLOOKUP(A190,#REF!,3,FALSE)&lt;-2),"",#REF!),"")</f>
        <v/>
      </c>
      <c r="F190" t="str">
        <f>IFERROR(IF(OR(HLOOKUP($A190,#REF!,4,FALSE)&gt;2,HLOOKUP($A190,#REF!,4,FALSE)&lt;-2),"",#REF!),"")</f>
        <v/>
      </c>
      <c r="G190" t="str">
        <f>IFERROR(IF(OR(HLOOKUP($A190,#REF!,5,FALSE)&gt;2,HLOOKUP($A190,#REF!,5,FALSE)&lt;-2),"",#REF!),"")</f>
        <v/>
      </c>
      <c r="H190" t="str">
        <f>IFERROR(IF(OR(HLOOKUP($A190,#REF!,6,FALSE)&gt;2,HLOOKUP($A190,#REF!,6,FALSE)&lt;-2),"",#REF!),"")</f>
        <v/>
      </c>
      <c r="I190" t="str">
        <f>IFERROR(IF(OR(HLOOKUP($A190,#REF!,7,FALSE)&gt;2,HLOOKUP($A190,#REF!,7,FALSE)&lt;-2),"",#REF!),"")</f>
        <v/>
      </c>
      <c r="J190" t="str">
        <f>IFERROR(IF(OR(HLOOKUP($A190,#REF!,8,FALSE)&gt;2,HLOOKUP($A190,#REF!,8,FALSE)&lt;-2),"",#REF!),"")</f>
        <v/>
      </c>
      <c r="K190" t="str">
        <f>IFERROR(IF(OR(HLOOKUP($A190,#REF!,9,FALSE)&gt;2,HLOOKUP($A190,#REF!,9,FALSE)&lt;-2),"",#REF!),"")</f>
        <v/>
      </c>
      <c r="L190" t="str">
        <f>IFERROR(IF(OR(HLOOKUP($A190,#REF!,10,FALSE)&gt;2,HLOOKUP($A190,#REF!,10,FALSE)&lt;-2),"",#REF!),"")</f>
        <v/>
      </c>
      <c r="M190" t="str">
        <f>IFERROR(IF(OR(HLOOKUP($A190,#REF!,11,FALSE)&gt;2,HLOOKUP($A190,#REF!,11,FALSE)&lt;-2),"",#REF!),"")</f>
        <v/>
      </c>
      <c r="N190" t="str">
        <f>IFERROR(IF(OR(HLOOKUP($A190,#REF!,12,FALSE)&gt;2,HLOOKUP($A190,#REF!,12,FALSE)&lt;-2),"",#REF!),"")</f>
        <v/>
      </c>
      <c r="O190" t="str">
        <f>IFERROR(IF(OR(HLOOKUP($A190,#REF!,13,FALSE)&gt;2,HLOOKUP($A190,#REF!,13,FALSE)&lt;-2),"",#REF!),"")</f>
        <v/>
      </c>
      <c r="P190" t="str">
        <f>IFERROR(IF(OR(HLOOKUP($A190,#REF!,14,FALSE)&gt;2,HLOOKUP($A190,#REF!,14,FALSE)&lt;-2),"",#REF!),"")</f>
        <v/>
      </c>
      <c r="Q190" t="str">
        <f>IFERROR(IF(OR(HLOOKUP($A190,#REF!,15,FALSE)&gt;2,HLOOKUP($A190,#REF!,15,FALSE)&lt;-2),"",#REF!),"")</f>
        <v/>
      </c>
      <c r="R190" t="str">
        <f>IFERROR(IF(OR(HLOOKUP($A190,#REF!,16,FALSE)&gt;2,HLOOKUP($A190,#REF!,16,FALSE)&lt;-2),"",#REF!),"")</f>
        <v/>
      </c>
      <c r="S190" t="str">
        <f>IFERROR(IF(OR(HLOOKUP($A190,#REF!,17,FALSE)&gt;2,HLOOKUP($A190,#REF!,17,FALSE)&lt;-2),"",#REF!),"")</f>
        <v/>
      </c>
      <c r="T190" t="str">
        <f>IFERROR(IF(OR(HLOOKUP($A190,#REF!,18,FALSE)&gt;2,HLOOKUP($A190,#REF!,18,FALSE)&lt;-2),"",#REF!),"")</f>
        <v/>
      </c>
      <c r="U190" t="str">
        <f>IFERROR(IF(OR(HLOOKUP($A190,#REF!,19,FALSE)&gt;2,HLOOKUP($A190,#REF!,19,FALSE)&lt;-2),"",#REF!),"")</f>
        <v/>
      </c>
      <c r="V190">
        <f t="shared" si="8"/>
        <v>1</v>
      </c>
      <c r="W190" t="str">
        <f t="shared" si="9"/>
        <v/>
      </c>
      <c r="X190" t="str">
        <f t="shared" si="10"/>
        <v/>
      </c>
      <c r="Y190" t="str">
        <f t="shared" si="11"/>
        <v/>
      </c>
    </row>
    <row r="191" spans="1:25" x14ac:dyDescent="0.35">
      <c r="A191">
        <v>195</v>
      </c>
      <c r="B191" t="s">
        <v>681</v>
      </c>
      <c r="C191">
        <v>20300</v>
      </c>
      <c r="D191">
        <v>972</v>
      </c>
      <c r="E191" t="str">
        <f>IFERROR(IF(OR(HLOOKUP($A191,#REF!,3,FALSE)&gt;2,HLOOKUP(A191,#REF!,3,FALSE)&lt;-2),"",#REF!),"")</f>
        <v/>
      </c>
      <c r="F191" t="str">
        <f>IFERROR(IF(OR(HLOOKUP($A191,#REF!,4,FALSE)&gt;2,HLOOKUP($A191,#REF!,4,FALSE)&lt;-2),"",#REF!),"")</f>
        <v/>
      </c>
      <c r="G191" t="str">
        <f>IFERROR(IF(OR(HLOOKUP($A191,#REF!,5,FALSE)&gt;2,HLOOKUP($A191,#REF!,5,FALSE)&lt;-2),"",#REF!),"")</f>
        <v/>
      </c>
      <c r="H191" t="str">
        <f>IFERROR(IF(OR(HLOOKUP($A191,#REF!,6,FALSE)&gt;2,HLOOKUP($A191,#REF!,6,FALSE)&lt;-2),"",#REF!),"")</f>
        <v/>
      </c>
      <c r="I191" t="str">
        <f>IFERROR(IF(OR(HLOOKUP($A191,#REF!,7,FALSE)&gt;2,HLOOKUP($A191,#REF!,7,FALSE)&lt;-2),"",#REF!),"")</f>
        <v/>
      </c>
      <c r="J191" t="str">
        <f>IFERROR(IF(OR(HLOOKUP($A191,#REF!,8,FALSE)&gt;2,HLOOKUP($A191,#REF!,8,FALSE)&lt;-2),"",#REF!),"")</f>
        <v/>
      </c>
      <c r="K191" t="str">
        <f>IFERROR(IF(OR(HLOOKUP($A191,#REF!,9,FALSE)&gt;2,HLOOKUP($A191,#REF!,9,FALSE)&lt;-2),"",#REF!),"")</f>
        <v/>
      </c>
      <c r="L191" t="str">
        <f>IFERROR(IF(OR(HLOOKUP($A191,#REF!,10,FALSE)&gt;2,HLOOKUP($A191,#REF!,10,FALSE)&lt;-2),"",#REF!),"")</f>
        <v/>
      </c>
      <c r="M191" t="str">
        <f>IFERROR(IF(OR(HLOOKUP($A191,#REF!,11,FALSE)&gt;2,HLOOKUP($A191,#REF!,11,FALSE)&lt;-2),"",#REF!),"")</f>
        <v/>
      </c>
      <c r="N191" t="str">
        <f>IFERROR(IF(OR(HLOOKUP($A191,#REF!,12,FALSE)&gt;2,HLOOKUP($A191,#REF!,12,FALSE)&lt;-2),"",#REF!),"")</f>
        <v/>
      </c>
      <c r="O191" t="str">
        <f>IFERROR(IF(OR(HLOOKUP($A191,#REF!,13,FALSE)&gt;2,HLOOKUP($A191,#REF!,13,FALSE)&lt;-2),"",#REF!),"")</f>
        <v/>
      </c>
      <c r="P191" t="str">
        <f>IFERROR(IF(OR(HLOOKUP($A191,#REF!,14,FALSE)&gt;2,HLOOKUP($A191,#REF!,14,FALSE)&lt;-2),"",#REF!),"")</f>
        <v/>
      </c>
      <c r="Q191" t="str">
        <f>IFERROR(IF(OR(HLOOKUP($A191,#REF!,15,FALSE)&gt;2,HLOOKUP($A191,#REF!,15,FALSE)&lt;-2),"",#REF!),"")</f>
        <v/>
      </c>
      <c r="R191" t="str">
        <f>IFERROR(IF(OR(HLOOKUP($A191,#REF!,16,FALSE)&gt;2,HLOOKUP($A191,#REF!,16,FALSE)&lt;-2),"",#REF!),"")</f>
        <v/>
      </c>
      <c r="S191" t="str">
        <f>IFERROR(IF(OR(HLOOKUP($A191,#REF!,17,FALSE)&gt;2,HLOOKUP($A191,#REF!,17,FALSE)&lt;-2),"",#REF!),"")</f>
        <v/>
      </c>
      <c r="T191" t="str">
        <f>IFERROR(IF(OR(HLOOKUP($A191,#REF!,18,FALSE)&gt;2,HLOOKUP($A191,#REF!,18,FALSE)&lt;-2),"",#REF!),"")</f>
        <v/>
      </c>
      <c r="U191" t="str">
        <f>IFERROR(IF(OR(HLOOKUP($A191,#REF!,19,FALSE)&gt;2,HLOOKUP($A191,#REF!,19,FALSE)&lt;-2),"",#REF!),"")</f>
        <v/>
      </c>
      <c r="V191">
        <f t="shared" si="8"/>
        <v>1</v>
      </c>
      <c r="W191" t="str">
        <f t="shared" si="9"/>
        <v/>
      </c>
      <c r="X191" t="str">
        <f t="shared" si="10"/>
        <v/>
      </c>
      <c r="Y191" t="str">
        <f t="shared" si="11"/>
        <v/>
      </c>
    </row>
    <row r="192" spans="1:25" x14ac:dyDescent="0.35">
      <c r="A192">
        <v>196</v>
      </c>
      <c r="B192" t="s">
        <v>113</v>
      </c>
      <c r="C192">
        <v>30800</v>
      </c>
      <c r="D192">
        <v>151</v>
      </c>
      <c r="E192" t="str">
        <f>IFERROR(IF(OR(HLOOKUP($A192,#REF!,3,FALSE)&gt;2,HLOOKUP(A192,#REF!,3,FALSE)&lt;-2),"",#REF!),"")</f>
        <v/>
      </c>
      <c r="F192" t="str">
        <f>IFERROR(IF(OR(HLOOKUP($A192,#REF!,4,FALSE)&gt;2,HLOOKUP($A192,#REF!,4,FALSE)&lt;-2),"",#REF!),"")</f>
        <v/>
      </c>
      <c r="G192" t="str">
        <f>IFERROR(IF(OR(HLOOKUP($A192,#REF!,5,FALSE)&gt;2,HLOOKUP($A192,#REF!,5,FALSE)&lt;-2),"",#REF!),"")</f>
        <v/>
      </c>
      <c r="H192" t="str">
        <f>IFERROR(IF(OR(HLOOKUP($A192,#REF!,6,FALSE)&gt;2,HLOOKUP($A192,#REF!,6,FALSE)&lt;-2),"",#REF!),"")</f>
        <v/>
      </c>
      <c r="I192" t="str">
        <f>IFERROR(IF(OR(HLOOKUP($A192,#REF!,7,FALSE)&gt;2,HLOOKUP($A192,#REF!,7,FALSE)&lt;-2),"",#REF!),"")</f>
        <v/>
      </c>
      <c r="J192" t="str">
        <f>IFERROR(IF(OR(HLOOKUP($A192,#REF!,8,FALSE)&gt;2,HLOOKUP($A192,#REF!,8,FALSE)&lt;-2),"",#REF!),"")</f>
        <v/>
      </c>
      <c r="K192" t="str">
        <f>IFERROR(IF(OR(HLOOKUP($A192,#REF!,9,FALSE)&gt;2,HLOOKUP($A192,#REF!,9,FALSE)&lt;-2),"",#REF!),"")</f>
        <v/>
      </c>
      <c r="L192" t="str">
        <f>IFERROR(IF(OR(HLOOKUP($A192,#REF!,10,FALSE)&gt;2,HLOOKUP($A192,#REF!,10,FALSE)&lt;-2),"",#REF!),"")</f>
        <v/>
      </c>
      <c r="M192" t="str">
        <f>IFERROR(IF(OR(HLOOKUP($A192,#REF!,11,FALSE)&gt;2,HLOOKUP($A192,#REF!,11,FALSE)&lt;-2),"",#REF!),"")</f>
        <v/>
      </c>
      <c r="N192" t="str">
        <f>IFERROR(IF(OR(HLOOKUP($A192,#REF!,12,FALSE)&gt;2,HLOOKUP($A192,#REF!,12,FALSE)&lt;-2),"",#REF!),"")</f>
        <v/>
      </c>
      <c r="O192" t="str">
        <f>IFERROR(IF(OR(HLOOKUP($A192,#REF!,13,FALSE)&gt;2,HLOOKUP($A192,#REF!,13,FALSE)&lt;-2),"",#REF!),"")</f>
        <v/>
      </c>
      <c r="P192" t="str">
        <f>IFERROR(IF(OR(HLOOKUP($A192,#REF!,14,FALSE)&gt;2,HLOOKUP($A192,#REF!,14,FALSE)&lt;-2),"",#REF!),"")</f>
        <v/>
      </c>
      <c r="Q192" t="str">
        <f>IFERROR(IF(OR(HLOOKUP($A192,#REF!,15,FALSE)&gt;2,HLOOKUP($A192,#REF!,15,FALSE)&lt;-2),"",#REF!),"")</f>
        <v/>
      </c>
      <c r="R192" t="str">
        <f>IFERROR(IF(OR(HLOOKUP($A192,#REF!,16,FALSE)&gt;2,HLOOKUP($A192,#REF!,16,FALSE)&lt;-2),"",#REF!),"")</f>
        <v/>
      </c>
      <c r="S192" t="str">
        <f>IFERROR(IF(OR(HLOOKUP($A192,#REF!,17,FALSE)&gt;2,HLOOKUP($A192,#REF!,17,FALSE)&lt;-2),"",#REF!),"")</f>
        <v/>
      </c>
      <c r="T192" t="str">
        <f>IFERROR(IF(OR(HLOOKUP($A192,#REF!,18,FALSE)&gt;2,HLOOKUP($A192,#REF!,18,FALSE)&lt;-2),"",#REF!),"")</f>
        <v/>
      </c>
      <c r="U192" t="str">
        <f>IFERROR(IF(OR(HLOOKUP($A192,#REF!,19,FALSE)&gt;2,HLOOKUP($A192,#REF!,19,FALSE)&lt;-2),"",#REF!),"")</f>
        <v/>
      </c>
      <c r="V192">
        <f t="shared" si="8"/>
        <v>1</v>
      </c>
      <c r="W192" t="str">
        <f t="shared" si="9"/>
        <v/>
      </c>
      <c r="X192" t="str">
        <f t="shared" si="10"/>
        <v/>
      </c>
      <c r="Y192" t="str">
        <f t="shared" si="11"/>
        <v/>
      </c>
    </row>
    <row r="193" spans="1:25" x14ac:dyDescent="0.35">
      <c r="A193">
        <v>197</v>
      </c>
      <c r="B193" t="s">
        <v>682</v>
      </c>
      <c r="C193">
        <v>84300</v>
      </c>
      <c r="D193">
        <v>165</v>
      </c>
      <c r="E193" t="str">
        <f>IFERROR(IF(OR(HLOOKUP($A193,#REF!,3,FALSE)&gt;2,HLOOKUP(A193,#REF!,3,FALSE)&lt;-2),"",#REF!),"")</f>
        <v/>
      </c>
      <c r="F193" t="str">
        <f>IFERROR(IF(OR(HLOOKUP($A193,#REF!,4,FALSE)&gt;2,HLOOKUP($A193,#REF!,4,FALSE)&lt;-2),"",#REF!),"")</f>
        <v/>
      </c>
      <c r="G193" t="str">
        <f>IFERROR(IF(OR(HLOOKUP($A193,#REF!,5,FALSE)&gt;2,HLOOKUP($A193,#REF!,5,FALSE)&lt;-2),"",#REF!),"")</f>
        <v/>
      </c>
      <c r="H193" t="str">
        <f>IFERROR(IF(OR(HLOOKUP($A193,#REF!,6,FALSE)&gt;2,HLOOKUP($A193,#REF!,6,FALSE)&lt;-2),"",#REF!),"")</f>
        <v/>
      </c>
      <c r="I193" t="str">
        <f>IFERROR(IF(OR(HLOOKUP($A193,#REF!,7,FALSE)&gt;2,HLOOKUP($A193,#REF!,7,FALSE)&lt;-2),"",#REF!),"")</f>
        <v/>
      </c>
      <c r="J193" t="str">
        <f>IFERROR(IF(OR(HLOOKUP($A193,#REF!,8,FALSE)&gt;2,HLOOKUP($A193,#REF!,8,FALSE)&lt;-2),"",#REF!),"")</f>
        <v/>
      </c>
      <c r="K193" t="str">
        <f>IFERROR(IF(OR(HLOOKUP($A193,#REF!,9,FALSE)&gt;2,HLOOKUP($A193,#REF!,9,FALSE)&lt;-2),"",#REF!),"")</f>
        <v/>
      </c>
      <c r="L193" t="str">
        <f>IFERROR(IF(OR(HLOOKUP($A193,#REF!,10,FALSE)&gt;2,HLOOKUP($A193,#REF!,10,FALSE)&lt;-2),"",#REF!),"")</f>
        <v/>
      </c>
      <c r="M193" t="str">
        <f>IFERROR(IF(OR(HLOOKUP($A193,#REF!,11,FALSE)&gt;2,HLOOKUP($A193,#REF!,11,FALSE)&lt;-2),"",#REF!),"")</f>
        <v/>
      </c>
      <c r="N193" t="str">
        <f>IFERROR(IF(OR(HLOOKUP($A193,#REF!,12,FALSE)&gt;2,HLOOKUP($A193,#REF!,12,FALSE)&lt;-2),"",#REF!),"")</f>
        <v/>
      </c>
      <c r="O193" t="str">
        <f>IFERROR(IF(OR(HLOOKUP($A193,#REF!,13,FALSE)&gt;2,HLOOKUP($A193,#REF!,13,FALSE)&lt;-2),"",#REF!),"")</f>
        <v/>
      </c>
      <c r="P193" t="str">
        <f>IFERROR(IF(OR(HLOOKUP($A193,#REF!,14,FALSE)&gt;2,HLOOKUP($A193,#REF!,14,FALSE)&lt;-2),"",#REF!),"")</f>
        <v/>
      </c>
      <c r="Q193" t="str">
        <f>IFERROR(IF(OR(HLOOKUP($A193,#REF!,15,FALSE)&gt;2,HLOOKUP($A193,#REF!,15,FALSE)&lt;-2),"",#REF!),"")</f>
        <v/>
      </c>
      <c r="R193" t="str">
        <f>IFERROR(IF(OR(HLOOKUP($A193,#REF!,16,FALSE)&gt;2,HLOOKUP($A193,#REF!,16,FALSE)&lt;-2),"",#REF!),"")</f>
        <v/>
      </c>
      <c r="S193" t="str">
        <f>IFERROR(IF(OR(HLOOKUP($A193,#REF!,17,FALSE)&gt;2,HLOOKUP($A193,#REF!,17,FALSE)&lt;-2),"",#REF!),"")</f>
        <v/>
      </c>
      <c r="T193" t="str">
        <f>IFERROR(IF(OR(HLOOKUP($A193,#REF!,18,FALSE)&gt;2,HLOOKUP($A193,#REF!,18,FALSE)&lt;-2),"",#REF!),"")</f>
        <v/>
      </c>
      <c r="U193" t="str">
        <f>IFERROR(IF(OR(HLOOKUP($A193,#REF!,19,FALSE)&gt;2,HLOOKUP($A193,#REF!,19,FALSE)&lt;-2),"",#REF!),"")</f>
        <v/>
      </c>
      <c r="V193">
        <f t="shared" si="8"/>
        <v>1</v>
      </c>
      <c r="W193" t="str">
        <f t="shared" si="9"/>
        <v/>
      </c>
      <c r="X193" t="str">
        <f t="shared" si="10"/>
        <v/>
      </c>
      <c r="Y193" t="str">
        <f t="shared" si="11"/>
        <v/>
      </c>
    </row>
    <row r="194" spans="1:25" x14ac:dyDescent="0.35">
      <c r="A194">
        <v>198</v>
      </c>
      <c r="B194" t="s">
        <v>683</v>
      </c>
      <c r="C194">
        <v>107700</v>
      </c>
      <c r="D194">
        <v>784</v>
      </c>
      <c r="E194" t="str">
        <f>IFERROR(IF(OR(HLOOKUP($A194,#REF!,3,FALSE)&gt;2,HLOOKUP(A194,#REF!,3,FALSE)&lt;-2),"",#REF!),"")</f>
        <v/>
      </c>
      <c r="F194" t="str">
        <f>IFERROR(IF(OR(HLOOKUP($A194,#REF!,4,FALSE)&gt;2,HLOOKUP($A194,#REF!,4,FALSE)&lt;-2),"",#REF!),"")</f>
        <v/>
      </c>
      <c r="G194" t="str">
        <f>IFERROR(IF(OR(HLOOKUP($A194,#REF!,5,FALSE)&gt;2,HLOOKUP($A194,#REF!,5,FALSE)&lt;-2),"",#REF!),"")</f>
        <v/>
      </c>
      <c r="H194" t="str">
        <f>IFERROR(IF(OR(HLOOKUP($A194,#REF!,6,FALSE)&gt;2,HLOOKUP($A194,#REF!,6,FALSE)&lt;-2),"",#REF!),"")</f>
        <v/>
      </c>
      <c r="I194" t="str">
        <f>IFERROR(IF(OR(HLOOKUP($A194,#REF!,7,FALSE)&gt;2,HLOOKUP($A194,#REF!,7,FALSE)&lt;-2),"",#REF!),"")</f>
        <v/>
      </c>
      <c r="J194" t="str">
        <f>IFERROR(IF(OR(HLOOKUP($A194,#REF!,8,FALSE)&gt;2,HLOOKUP($A194,#REF!,8,FALSE)&lt;-2),"",#REF!),"")</f>
        <v/>
      </c>
      <c r="K194" t="str">
        <f>IFERROR(IF(OR(HLOOKUP($A194,#REF!,9,FALSE)&gt;2,HLOOKUP($A194,#REF!,9,FALSE)&lt;-2),"",#REF!),"")</f>
        <v/>
      </c>
      <c r="L194" t="str">
        <f>IFERROR(IF(OR(HLOOKUP($A194,#REF!,10,FALSE)&gt;2,HLOOKUP($A194,#REF!,10,FALSE)&lt;-2),"",#REF!),"")</f>
        <v/>
      </c>
      <c r="M194" t="str">
        <f>IFERROR(IF(OR(HLOOKUP($A194,#REF!,11,FALSE)&gt;2,HLOOKUP($A194,#REF!,11,FALSE)&lt;-2),"",#REF!),"")</f>
        <v/>
      </c>
      <c r="N194" t="str">
        <f>IFERROR(IF(OR(HLOOKUP($A194,#REF!,12,FALSE)&gt;2,HLOOKUP($A194,#REF!,12,FALSE)&lt;-2),"",#REF!),"")</f>
        <v/>
      </c>
      <c r="O194" t="str">
        <f>IFERROR(IF(OR(HLOOKUP($A194,#REF!,13,FALSE)&gt;2,HLOOKUP($A194,#REF!,13,FALSE)&lt;-2),"",#REF!),"")</f>
        <v/>
      </c>
      <c r="P194" t="str">
        <f>IFERROR(IF(OR(HLOOKUP($A194,#REF!,14,FALSE)&gt;2,HLOOKUP($A194,#REF!,14,FALSE)&lt;-2),"",#REF!),"")</f>
        <v/>
      </c>
      <c r="Q194" t="str">
        <f>IFERROR(IF(OR(HLOOKUP($A194,#REF!,15,FALSE)&gt;2,HLOOKUP($A194,#REF!,15,FALSE)&lt;-2),"",#REF!),"")</f>
        <v/>
      </c>
      <c r="R194" t="str">
        <f>IFERROR(IF(OR(HLOOKUP($A194,#REF!,16,FALSE)&gt;2,HLOOKUP($A194,#REF!,16,FALSE)&lt;-2),"",#REF!),"")</f>
        <v/>
      </c>
      <c r="S194" t="str">
        <f>IFERROR(IF(OR(HLOOKUP($A194,#REF!,17,FALSE)&gt;2,HLOOKUP($A194,#REF!,17,FALSE)&lt;-2),"",#REF!),"")</f>
        <v/>
      </c>
      <c r="T194" t="str">
        <f>IFERROR(IF(OR(HLOOKUP($A194,#REF!,18,FALSE)&gt;2,HLOOKUP($A194,#REF!,18,FALSE)&lt;-2),"",#REF!),"")</f>
        <v/>
      </c>
      <c r="U194" t="str">
        <f>IFERROR(IF(OR(HLOOKUP($A194,#REF!,19,FALSE)&gt;2,HLOOKUP($A194,#REF!,19,FALSE)&lt;-2),"",#REF!),"")</f>
        <v/>
      </c>
      <c r="V194">
        <f t="shared" si="8"/>
        <v>1</v>
      </c>
      <c r="W194" t="str">
        <f t="shared" si="9"/>
        <v/>
      </c>
      <c r="X194" t="str">
        <f t="shared" si="10"/>
        <v/>
      </c>
      <c r="Y194" t="str">
        <f t="shared" si="11"/>
        <v/>
      </c>
    </row>
    <row r="195" spans="1:25" x14ac:dyDescent="0.35">
      <c r="A195">
        <v>199</v>
      </c>
      <c r="B195" t="s">
        <v>684</v>
      </c>
      <c r="C195">
        <v>31500</v>
      </c>
      <c r="D195">
        <v>159</v>
      </c>
      <c r="E195" t="str">
        <f>IFERROR(IF(OR(HLOOKUP($A195,#REF!,3,FALSE)&gt;2,HLOOKUP(A195,#REF!,3,FALSE)&lt;-2),"",#REF!),"")</f>
        <v/>
      </c>
      <c r="F195" t="str">
        <f>IFERROR(IF(OR(HLOOKUP($A195,#REF!,4,FALSE)&gt;2,HLOOKUP($A195,#REF!,4,FALSE)&lt;-2),"",#REF!),"")</f>
        <v/>
      </c>
      <c r="G195" t="str">
        <f>IFERROR(IF(OR(HLOOKUP($A195,#REF!,5,FALSE)&gt;2,HLOOKUP($A195,#REF!,5,FALSE)&lt;-2),"",#REF!),"")</f>
        <v/>
      </c>
      <c r="H195" t="str">
        <f>IFERROR(IF(OR(HLOOKUP($A195,#REF!,6,FALSE)&gt;2,HLOOKUP($A195,#REF!,6,FALSE)&lt;-2),"",#REF!),"")</f>
        <v/>
      </c>
      <c r="I195" t="str">
        <f>IFERROR(IF(OR(HLOOKUP($A195,#REF!,7,FALSE)&gt;2,HLOOKUP($A195,#REF!,7,FALSE)&lt;-2),"",#REF!),"")</f>
        <v/>
      </c>
      <c r="J195" t="str">
        <f>IFERROR(IF(OR(HLOOKUP($A195,#REF!,8,FALSE)&gt;2,HLOOKUP($A195,#REF!,8,FALSE)&lt;-2),"",#REF!),"")</f>
        <v/>
      </c>
      <c r="K195" t="str">
        <f>IFERROR(IF(OR(HLOOKUP($A195,#REF!,9,FALSE)&gt;2,HLOOKUP($A195,#REF!,9,FALSE)&lt;-2),"",#REF!),"")</f>
        <v/>
      </c>
      <c r="L195" t="str">
        <f>IFERROR(IF(OR(HLOOKUP($A195,#REF!,10,FALSE)&gt;2,HLOOKUP($A195,#REF!,10,FALSE)&lt;-2),"",#REF!),"")</f>
        <v/>
      </c>
      <c r="M195" t="str">
        <f>IFERROR(IF(OR(HLOOKUP($A195,#REF!,11,FALSE)&gt;2,HLOOKUP($A195,#REF!,11,FALSE)&lt;-2),"",#REF!),"")</f>
        <v/>
      </c>
      <c r="N195" t="str">
        <f>IFERROR(IF(OR(HLOOKUP($A195,#REF!,12,FALSE)&gt;2,HLOOKUP($A195,#REF!,12,FALSE)&lt;-2),"",#REF!),"")</f>
        <v/>
      </c>
      <c r="O195" t="str">
        <f>IFERROR(IF(OR(HLOOKUP($A195,#REF!,13,FALSE)&gt;2,HLOOKUP($A195,#REF!,13,FALSE)&lt;-2),"",#REF!),"")</f>
        <v/>
      </c>
      <c r="P195" t="str">
        <f>IFERROR(IF(OR(HLOOKUP($A195,#REF!,14,FALSE)&gt;2,HLOOKUP($A195,#REF!,14,FALSE)&lt;-2),"",#REF!),"")</f>
        <v/>
      </c>
      <c r="Q195" t="str">
        <f>IFERROR(IF(OR(HLOOKUP($A195,#REF!,15,FALSE)&gt;2,HLOOKUP($A195,#REF!,15,FALSE)&lt;-2),"",#REF!),"")</f>
        <v/>
      </c>
      <c r="R195" t="str">
        <f>IFERROR(IF(OR(HLOOKUP($A195,#REF!,16,FALSE)&gt;2,HLOOKUP($A195,#REF!,16,FALSE)&lt;-2),"",#REF!),"")</f>
        <v/>
      </c>
      <c r="S195" t="str">
        <f>IFERROR(IF(OR(HLOOKUP($A195,#REF!,17,FALSE)&gt;2,HLOOKUP($A195,#REF!,17,FALSE)&lt;-2),"",#REF!),"")</f>
        <v/>
      </c>
      <c r="T195" t="str">
        <f>IFERROR(IF(OR(HLOOKUP($A195,#REF!,18,FALSE)&gt;2,HLOOKUP($A195,#REF!,18,FALSE)&lt;-2),"",#REF!),"")</f>
        <v/>
      </c>
      <c r="U195" t="str">
        <f>IFERROR(IF(OR(HLOOKUP($A195,#REF!,19,FALSE)&gt;2,HLOOKUP($A195,#REF!,19,FALSE)&lt;-2),"",#REF!),"")</f>
        <v/>
      </c>
      <c r="V195">
        <f t="shared" si="8"/>
        <v>1</v>
      </c>
      <c r="W195" t="str">
        <f t="shared" si="9"/>
        <v/>
      </c>
      <c r="X195" t="str">
        <f t="shared" si="10"/>
        <v/>
      </c>
      <c r="Y195" t="str">
        <f t="shared" si="11"/>
        <v/>
      </c>
    </row>
    <row r="196" spans="1:25" x14ac:dyDescent="0.35">
      <c r="A196">
        <v>200</v>
      </c>
      <c r="B196" t="s">
        <v>685</v>
      </c>
      <c r="C196">
        <v>34900</v>
      </c>
      <c r="D196">
        <v>639</v>
      </c>
      <c r="E196" t="str">
        <f>IFERROR(IF(OR(HLOOKUP($A196,#REF!,3,FALSE)&gt;2,HLOOKUP(A196,#REF!,3,FALSE)&lt;-2),"",#REF!),"")</f>
        <v/>
      </c>
      <c r="F196" t="str">
        <f>IFERROR(IF(OR(HLOOKUP($A196,#REF!,4,FALSE)&gt;2,HLOOKUP($A196,#REF!,4,FALSE)&lt;-2),"",#REF!),"")</f>
        <v/>
      </c>
      <c r="G196" t="str">
        <f>IFERROR(IF(OR(HLOOKUP($A196,#REF!,5,FALSE)&gt;2,HLOOKUP($A196,#REF!,5,FALSE)&lt;-2),"",#REF!),"")</f>
        <v/>
      </c>
      <c r="H196" t="str">
        <f>IFERROR(IF(OR(HLOOKUP($A196,#REF!,6,FALSE)&gt;2,HLOOKUP($A196,#REF!,6,FALSE)&lt;-2),"",#REF!),"")</f>
        <v/>
      </c>
      <c r="I196" t="str">
        <f>IFERROR(IF(OR(HLOOKUP($A196,#REF!,7,FALSE)&gt;2,HLOOKUP($A196,#REF!,7,FALSE)&lt;-2),"",#REF!),"")</f>
        <v/>
      </c>
      <c r="J196" t="str">
        <f>IFERROR(IF(OR(HLOOKUP($A196,#REF!,8,FALSE)&gt;2,HLOOKUP($A196,#REF!,8,FALSE)&lt;-2),"",#REF!),"")</f>
        <v/>
      </c>
      <c r="K196" t="str">
        <f>IFERROR(IF(OR(HLOOKUP($A196,#REF!,9,FALSE)&gt;2,HLOOKUP($A196,#REF!,9,FALSE)&lt;-2),"",#REF!),"")</f>
        <v/>
      </c>
      <c r="L196" t="str">
        <f>IFERROR(IF(OR(HLOOKUP($A196,#REF!,10,FALSE)&gt;2,HLOOKUP($A196,#REF!,10,FALSE)&lt;-2),"",#REF!),"")</f>
        <v/>
      </c>
      <c r="M196" t="str">
        <f>IFERROR(IF(OR(HLOOKUP($A196,#REF!,11,FALSE)&gt;2,HLOOKUP($A196,#REF!,11,FALSE)&lt;-2),"",#REF!),"")</f>
        <v/>
      </c>
      <c r="N196" t="str">
        <f>IFERROR(IF(OR(HLOOKUP($A196,#REF!,12,FALSE)&gt;2,HLOOKUP($A196,#REF!,12,FALSE)&lt;-2),"",#REF!),"")</f>
        <v/>
      </c>
      <c r="O196" t="str">
        <f>IFERROR(IF(OR(HLOOKUP($A196,#REF!,13,FALSE)&gt;2,HLOOKUP($A196,#REF!,13,FALSE)&lt;-2),"",#REF!),"")</f>
        <v/>
      </c>
      <c r="P196" t="str">
        <f>IFERROR(IF(OR(HLOOKUP($A196,#REF!,14,FALSE)&gt;2,HLOOKUP($A196,#REF!,14,FALSE)&lt;-2),"",#REF!),"")</f>
        <v/>
      </c>
      <c r="Q196" t="str">
        <f>IFERROR(IF(OR(HLOOKUP($A196,#REF!,15,FALSE)&gt;2,HLOOKUP($A196,#REF!,15,FALSE)&lt;-2),"",#REF!),"")</f>
        <v/>
      </c>
      <c r="R196" t="str">
        <f>IFERROR(IF(OR(HLOOKUP($A196,#REF!,16,FALSE)&gt;2,HLOOKUP($A196,#REF!,16,FALSE)&lt;-2),"",#REF!),"")</f>
        <v/>
      </c>
      <c r="S196" t="str">
        <f>IFERROR(IF(OR(HLOOKUP($A196,#REF!,17,FALSE)&gt;2,HLOOKUP($A196,#REF!,17,FALSE)&lt;-2),"",#REF!),"")</f>
        <v/>
      </c>
      <c r="T196" t="str">
        <f>IFERROR(IF(OR(HLOOKUP($A196,#REF!,18,FALSE)&gt;2,HLOOKUP($A196,#REF!,18,FALSE)&lt;-2),"",#REF!),"")</f>
        <v/>
      </c>
      <c r="U196" t="str">
        <f>IFERROR(IF(OR(HLOOKUP($A196,#REF!,19,FALSE)&gt;2,HLOOKUP($A196,#REF!,19,FALSE)&lt;-2),"",#REF!),"")</f>
        <v/>
      </c>
      <c r="V196">
        <f t="shared" ref="V196:V259" si="12">IFERROR(IF(AND(X196=0,Y196=0),0,1),0)</f>
        <v>1</v>
      </c>
      <c r="W196" t="str">
        <f t="shared" ref="W196:W259" si="13">IFERROR(_xlfn.T.TEST(E196:M196,N196:U196,2,2),"")</f>
        <v/>
      </c>
      <c r="X196" t="str">
        <f t="shared" ref="X196:X259" si="14">IFERROR(AVERAGE(E196:M196),"")</f>
        <v/>
      </c>
      <c r="Y196" t="str">
        <f t="shared" ref="Y196:Y259" si="15">IFERROR(AVERAGE(N196:U196),"")</f>
        <v/>
      </c>
    </row>
    <row r="197" spans="1:25" x14ac:dyDescent="0.35">
      <c r="A197">
        <v>201</v>
      </c>
      <c r="B197" t="s">
        <v>114</v>
      </c>
      <c r="C197">
        <v>4400</v>
      </c>
      <c r="D197">
        <v>329</v>
      </c>
      <c r="E197" t="str">
        <f>IFERROR(IF(OR(HLOOKUP($A197,#REF!,3,FALSE)&gt;2,HLOOKUP(A197,#REF!,3,FALSE)&lt;-2),"",#REF!),"")</f>
        <v/>
      </c>
      <c r="F197" t="str">
        <f>IFERROR(IF(OR(HLOOKUP($A197,#REF!,4,FALSE)&gt;2,HLOOKUP($A197,#REF!,4,FALSE)&lt;-2),"",#REF!),"")</f>
        <v/>
      </c>
      <c r="G197" t="str">
        <f>IFERROR(IF(OR(HLOOKUP($A197,#REF!,5,FALSE)&gt;2,HLOOKUP($A197,#REF!,5,FALSE)&lt;-2),"",#REF!),"")</f>
        <v/>
      </c>
      <c r="H197" t="str">
        <f>IFERROR(IF(OR(HLOOKUP($A197,#REF!,6,FALSE)&gt;2,HLOOKUP($A197,#REF!,6,FALSE)&lt;-2),"",#REF!),"")</f>
        <v/>
      </c>
      <c r="I197" t="str">
        <f>IFERROR(IF(OR(HLOOKUP($A197,#REF!,7,FALSE)&gt;2,HLOOKUP($A197,#REF!,7,FALSE)&lt;-2),"",#REF!),"")</f>
        <v/>
      </c>
      <c r="J197" t="str">
        <f>IFERROR(IF(OR(HLOOKUP($A197,#REF!,8,FALSE)&gt;2,HLOOKUP($A197,#REF!,8,FALSE)&lt;-2),"",#REF!),"")</f>
        <v/>
      </c>
      <c r="K197" t="str">
        <f>IFERROR(IF(OR(HLOOKUP($A197,#REF!,9,FALSE)&gt;2,HLOOKUP($A197,#REF!,9,FALSE)&lt;-2),"",#REF!),"")</f>
        <v/>
      </c>
      <c r="L197" t="str">
        <f>IFERROR(IF(OR(HLOOKUP($A197,#REF!,10,FALSE)&gt;2,HLOOKUP($A197,#REF!,10,FALSE)&lt;-2),"",#REF!),"")</f>
        <v/>
      </c>
      <c r="M197" t="str">
        <f>IFERROR(IF(OR(HLOOKUP($A197,#REF!,11,FALSE)&gt;2,HLOOKUP($A197,#REF!,11,FALSE)&lt;-2),"",#REF!),"")</f>
        <v/>
      </c>
      <c r="N197" t="str">
        <f>IFERROR(IF(OR(HLOOKUP($A197,#REF!,12,FALSE)&gt;2,HLOOKUP($A197,#REF!,12,FALSE)&lt;-2),"",#REF!),"")</f>
        <v/>
      </c>
      <c r="O197" t="str">
        <f>IFERROR(IF(OR(HLOOKUP($A197,#REF!,13,FALSE)&gt;2,HLOOKUP($A197,#REF!,13,FALSE)&lt;-2),"",#REF!),"")</f>
        <v/>
      </c>
      <c r="P197" t="str">
        <f>IFERROR(IF(OR(HLOOKUP($A197,#REF!,14,FALSE)&gt;2,HLOOKUP($A197,#REF!,14,FALSE)&lt;-2),"",#REF!),"")</f>
        <v/>
      </c>
      <c r="Q197" t="str">
        <f>IFERROR(IF(OR(HLOOKUP($A197,#REF!,15,FALSE)&gt;2,HLOOKUP($A197,#REF!,15,FALSE)&lt;-2),"",#REF!),"")</f>
        <v/>
      </c>
      <c r="R197" t="str">
        <f>IFERROR(IF(OR(HLOOKUP($A197,#REF!,16,FALSE)&gt;2,HLOOKUP($A197,#REF!,16,FALSE)&lt;-2),"",#REF!),"")</f>
        <v/>
      </c>
      <c r="S197" t="str">
        <f>IFERROR(IF(OR(HLOOKUP($A197,#REF!,17,FALSE)&gt;2,HLOOKUP($A197,#REF!,17,FALSE)&lt;-2),"",#REF!),"")</f>
        <v/>
      </c>
      <c r="T197" t="str">
        <f>IFERROR(IF(OR(HLOOKUP($A197,#REF!,18,FALSE)&gt;2,HLOOKUP($A197,#REF!,18,FALSE)&lt;-2),"",#REF!),"")</f>
        <v/>
      </c>
      <c r="U197" t="str">
        <f>IFERROR(IF(OR(HLOOKUP($A197,#REF!,19,FALSE)&gt;2,HLOOKUP($A197,#REF!,19,FALSE)&lt;-2),"",#REF!),"")</f>
        <v/>
      </c>
      <c r="V197">
        <f t="shared" si="12"/>
        <v>1</v>
      </c>
      <c r="W197" t="str">
        <f t="shared" si="13"/>
        <v/>
      </c>
      <c r="X197" t="str">
        <f t="shared" si="14"/>
        <v/>
      </c>
      <c r="Y197" t="str">
        <f t="shared" si="15"/>
        <v/>
      </c>
    </row>
    <row r="198" spans="1:25" x14ac:dyDescent="0.35">
      <c r="A198">
        <v>202</v>
      </c>
      <c r="B198" t="s">
        <v>115</v>
      </c>
      <c r="C198">
        <v>96100</v>
      </c>
      <c r="D198">
        <v>701</v>
      </c>
      <c r="E198" t="str">
        <f>IFERROR(IF(OR(HLOOKUP($A198,#REF!,3,FALSE)&gt;2,HLOOKUP(A198,#REF!,3,FALSE)&lt;-2),"",#REF!),"")</f>
        <v/>
      </c>
      <c r="F198" t="str">
        <f>IFERROR(IF(OR(HLOOKUP($A198,#REF!,4,FALSE)&gt;2,HLOOKUP($A198,#REF!,4,FALSE)&lt;-2),"",#REF!),"")</f>
        <v/>
      </c>
      <c r="G198" t="str">
        <f>IFERROR(IF(OR(HLOOKUP($A198,#REF!,5,FALSE)&gt;2,HLOOKUP($A198,#REF!,5,FALSE)&lt;-2),"",#REF!),"")</f>
        <v/>
      </c>
      <c r="H198" t="str">
        <f>IFERROR(IF(OR(HLOOKUP($A198,#REF!,6,FALSE)&gt;2,HLOOKUP($A198,#REF!,6,FALSE)&lt;-2),"",#REF!),"")</f>
        <v/>
      </c>
      <c r="I198" t="str">
        <f>IFERROR(IF(OR(HLOOKUP($A198,#REF!,7,FALSE)&gt;2,HLOOKUP($A198,#REF!,7,FALSE)&lt;-2),"",#REF!),"")</f>
        <v/>
      </c>
      <c r="J198" t="str">
        <f>IFERROR(IF(OR(HLOOKUP($A198,#REF!,8,FALSE)&gt;2,HLOOKUP($A198,#REF!,8,FALSE)&lt;-2),"",#REF!),"")</f>
        <v/>
      </c>
      <c r="K198" t="str">
        <f>IFERROR(IF(OR(HLOOKUP($A198,#REF!,9,FALSE)&gt;2,HLOOKUP($A198,#REF!,9,FALSE)&lt;-2),"",#REF!),"")</f>
        <v/>
      </c>
      <c r="L198" t="str">
        <f>IFERROR(IF(OR(HLOOKUP($A198,#REF!,10,FALSE)&gt;2,HLOOKUP($A198,#REF!,10,FALSE)&lt;-2),"",#REF!),"")</f>
        <v/>
      </c>
      <c r="M198" t="str">
        <f>IFERROR(IF(OR(HLOOKUP($A198,#REF!,11,FALSE)&gt;2,HLOOKUP($A198,#REF!,11,FALSE)&lt;-2),"",#REF!),"")</f>
        <v/>
      </c>
      <c r="N198" t="str">
        <f>IFERROR(IF(OR(HLOOKUP($A198,#REF!,12,FALSE)&gt;2,HLOOKUP($A198,#REF!,12,FALSE)&lt;-2),"",#REF!),"")</f>
        <v/>
      </c>
      <c r="O198" t="str">
        <f>IFERROR(IF(OR(HLOOKUP($A198,#REF!,13,FALSE)&gt;2,HLOOKUP($A198,#REF!,13,FALSE)&lt;-2),"",#REF!),"")</f>
        <v/>
      </c>
      <c r="P198" t="str">
        <f>IFERROR(IF(OR(HLOOKUP($A198,#REF!,14,FALSE)&gt;2,HLOOKUP($A198,#REF!,14,FALSE)&lt;-2),"",#REF!),"")</f>
        <v/>
      </c>
      <c r="Q198" t="str">
        <f>IFERROR(IF(OR(HLOOKUP($A198,#REF!,15,FALSE)&gt;2,HLOOKUP($A198,#REF!,15,FALSE)&lt;-2),"",#REF!),"")</f>
        <v/>
      </c>
      <c r="R198" t="str">
        <f>IFERROR(IF(OR(HLOOKUP($A198,#REF!,16,FALSE)&gt;2,HLOOKUP($A198,#REF!,16,FALSE)&lt;-2),"",#REF!),"")</f>
        <v/>
      </c>
      <c r="S198" t="str">
        <f>IFERROR(IF(OR(HLOOKUP($A198,#REF!,17,FALSE)&gt;2,HLOOKUP($A198,#REF!,17,FALSE)&lt;-2),"",#REF!),"")</f>
        <v/>
      </c>
      <c r="T198" t="str">
        <f>IFERROR(IF(OR(HLOOKUP($A198,#REF!,18,FALSE)&gt;2,HLOOKUP($A198,#REF!,18,FALSE)&lt;-2),"",#REF!),"")</f>
        <v/>
      </c>
      <c r="U198" t="str">
        <f>IFERROR(IF(OR(HLOOKUP($A198,#REF!,19,FALSE)&gt;2,HLOOKUP($A198,#REF!,19,FALSE)&lt;-2),"",#REF!),"")</f>
        <v/>
      </c>
      <c r="V198">
        <f t="shared" si="12"/>
        <v>1</v>
      </c>
      <c r="W198" t="str">
        <f t="shared" si="13"/>
        <v/>
      </c>
      <c r="X198" t="str">
        <f t="shared" si="14"/>
        <v/>
      </c>
      <c r="Y198" t="str">
        <f t="shared" si="15"/>
        <v/>
      </c>
    </row>
    <row r="199" spans="1:25" x14ac:dyDescent="0.35">
      <c r="A199">
        <v>203</v>
      </c>
      <c r="B199" t="s">
        <v>116</v>
      </c>
      <c r="C199">
        <v>93800</v>
      </c>
      <c r="D199">
        <v>370</v>
      </c>
      <c r="E199" t="str">
        <f>IFERROR(IF(OR(HLOOKUP($A199,#REF!,3,FALSE)&gt;2,HLOOKUP(A199,#REF!,3,FALSE)&lt;-2),"",#REF!),"")</f>
        <v/>
      </c>
      <c r="F199" t="str">
        <f>IFERROR(IF(OR(HLOOKUP($A199,#REF!,4,FALSE)&gt;2,HLOOKUP($A199,#REF!,4,FALSE)&lt;-2),"",#REF!),"")</f>
        <v/>
      </c>
      <c r="G199" t="str">
        <f>IFERROR(IF(OR(HLOOKUP($A199,#REF!,5,FALSE)&gt;2,HLOOKUP($A199,#REF!,5,FALSE)&lt;-2),"",#REF!),"")</f>
        <v/>
      </c>
      <c r="H199" t="str">
        <f>IFERROR(IF(OR(HLOOKUP($A199,#REF!,6,FALSE)&gt;2,HLOOKUP($A199,#REF!,6,FALSE)&lt;-2),"",#REF!),"")</f>
        <v/>
      </c>
      <c r="I199" t="str">
        <f>IFERROR(IF(OR(HLOOKUP($A199,#REF!,7,FALSE)&gt;2,HLOOKUP($A199,#REF!,7,FALSE)&lt;-2),"",#REF!),"")</f>
        <v/>
      </c>
      <c r="J199" t="str">
        <f>IFERROR(IF(OR(HLOOKUP($A199,#REF!,8,FALSE)&gt;2,HLOOKUP($A199,#REF!,8,FALSE)&lt;-2),"",#REF!),"")</f>
        <v/>
      </c>
      <c r="K199" t="str">
        <f>IFERROR(IF(OR(HLOOKUP($A199,#REF!,9,FALSE)&gt;2,HLOOKUP($A199,#REF!,9,FALSE)&lt;-2),"",#REF!),"")</f>
        <v/>
      </c>
      <c r="L199" t="str">
        <f>IFERROR(IF(OR(HLOOKUP($A199,#REF!,10,FALSE)&gt;2,HLOOKUP($A199,#REF!,10,FALSE)&lt;-2),"",#REF!),"")</f>
        <v/>
      </c>
      <c r="M199" t="str">
        <f>IFERROR(IF(OR(HLOOKUP($A199,#REF!,11,FALSE)&gt;2,HLOOKUP($A199,#REF!,11,FALSE)&lt;-2),"",#REF!),"")</f>
        <v/>
      </c>
      <c r="N199" t="str">
        <f>IFERROR(IF(OR(HLOOKUP($A199,#REF!,12,FALSE)&gt;2,HLOOKUP($A199,#REF!,12,FALSE)&lt;-2),"",#REF!),"")</f>
        <v/>
      </c>
      <c r="O199" t="str">
        <f>IFERROR(IF(OR(HLOOKUP($A199,#REF!,13,FALSE)&gt;2,HLOOKUP($A199,#REF!,13,FALSE)&lt;-2),"",#REF!),"")</f>
        <v/>
      </c>
      <c r="P199" t="str">
        <f>IFERROR(IF(OR(HLOOKUP($A199,#REF!,14,FALSE)&gt;2,HLOOKUP($A199,#REF!,14,FALSE)&lt;-2),"",#REF!),"")</f>
        <v/>
      </c>
      <c r="Q199" t="str">
        <f>IFERROR(IF(OR(HLOOKUP($A199,#REF!,15,FALSE)&gt;2,HLOOKUP($A199,#REF!,15,FALSE)&lt;-2),"",#REF!),"")</f>
        <v/>
      </c>
      <c r="R199" t="str">
        <f>IFERROR(IF(OR(HLOOKUP($A199,#REF!,16,FALSE)&gt;2,HLOOKUP($A199,#REF!,16,FALSE)&lt;-2),"",#REF!),"")</f>
        <v/>
      </c>
      <c r="S199" t="str">
        <f>IFERROR(IF(OR(HLOOKUP($A199,#REF!,17,FALSE)&gt;2,HLOOKUP($A199,#REF!,17,FALSE)&lt;-2),"",#REF!),"")</f>
        <v/>
      </c>
      <c r="T199" t="str">
        <f>IFERROR(IF(OR(HLOOKUP($A199,#REF!,18,FALSE)&gt;2,HLOOKUP($A199,#REF!,18,FALSE)&lt;-2),"",#REF!),"")</f>
        <v/>
      </c>
      <c r="U199" t="str">
        <f>IFERROR(IF(OR(HLOOKUP($A199,#REF!,19,FALSE)&gt;2,HLOOKUP($A199,#REF!,19,FALSE)&lt;-2),"",#REF!),"")</f>
        <v/>
      </c>
      <c r="V199">
        <f t="shared" si="12"/>
        <v>1</v>
      </c>
      <c r="W199" t="str">
        <f t="shared" si="13"/>
        <v/>
      </c>
      <c r="X199" t="str">
        <f t="shared" si="14"/>
        <v/>
      </c>
      <c r="Y199" t="str">
        <f t="shared" si="15"/>
        <v/>
      </c>
    </row>
    <row r="200" spans="1:25" x14ac:dyDescent="0.35">
      <c r="A200">
        <v>204</v>
      </c>
      <c r="B200" t="s">
        <v>117</v>
      </c>
      <c r="C200">
        <v>30900</v>
      </c>
      <c r="D200">
        <v>151</v>
      </c>
      <c r="E200" t="str">
        <f>IFERROR(IF(OR(HLOOKUP($A200,#REF!,3,FALSE)&gt;2,HLOOKUP(A200,#REF!,3,FALSE)&lt;-2),"",#REF!),"")</f>
        <v/>
      </c>
      <c r="F200" t="str">
        <f>IFERROR(IF(OR(HLOOKUP($A200,#REF!,4,FALSE)&gt;2,HLOOKUP($A200,#REF!,4,FALSE)&lt;-2),"",#REF!),"")</f>
        <v/>
      </c>
      <c r="G200" t="str">
        <f>IFERROR(IF(OR(HLOOKUP($A200,#REF!,5,FALSE)&gt;2,HLOOKUP($A200,#REF!,5,FALSE)&lt;-2),"",#REF!),"")</f>
        <v/>
      </c>
      <c r="H200" t="str">
        <f>IFERROR(IF(OR(HLOOKUP($A200,#REF!,6,FALSE)&gt;2,HLOOKUP($A200,#REF!,6,FALSE)&lt;-2),"",#REF!),"")</f>
        <v/>
      </c>
      <c r="I200" t="str">
        <f>IFERROR(IF(OR(HLOOKUP($A200,#REF!,7,FALSE)&gt;2,HLOOKUP($A200,#REF!,7,FALSE)&lt;-2),"",#REF!),"")</f>
        <v/>
      </c>
      <c r="J200" t="str">
        <f>IFERROR(IF(OR(HLOOKUP($A200,#REF!,8,FALSE)&gt;2,HLOOKUP($A200,#REF!,8,FALSE)&lt;-2),"",#REF!),"")</f>
        <v/>
      </c>
      <c r="K200" t="str">
        <f>IFERROR(IF(OR(HLOOKUP($A200,#REF!,9,FALSE)&gt;2,HLOOKUP($A200,#REF!,9,FALSE)&lt;-2),"",#REF!),"")</f>
        <v/>
      </c>
      <c r="L200" t="str">
        <f>IFERROR(IF(OR(HLOOKUP($A200,#REF!,10,FALSE)&gt;2,HLOOKUP($A200,#REF!,10,FALSE)&lt;-2),"",#REF!),"")</f>
        <v/>
      </c>
      <c r="M200" t="str">
        <f>IFERROR(IF(OR(HLOOKUP($A200,#REF!,11,FALSE)&gt;2,HLOOKUP($A200,#REF!,11,FALSE)&lt;-2),"",#REF!),"")</f>
        <v/>
      </c>
      <c r="N200" t="str">
        <f>IFERROR(IF(OR(HLOOKUP($A200,#REF!,12,FALSE)&gt;2,HLOOKUP($A200,#REF!,12,FALSE)&lt;-2),"",#REF!),"")</f>
        <v/>
      </c>
      <c r="O200" t="str">
        <f>IFERROR(IF(OR(HLOOKUP($A200,#REF!,13,FALSE)&gt;2,HLOOKUP($A200,#REF!,13,FALSE)&lt;-2),"",#REF!),"")</f>
        <v/>
      </c>
      <c r="P200" t="str">
        <f>IFERROR(IF(OR(HLOOKUP($A200,#REF!,14,FALSE)&gt;2,HLOOKUP($A200,#REF!,14,FALSE)&lt;-2),"",#REF!),"")</f>
        <v/>
      </c>
      <c r="Q200" t="str">
        <f>IFERROR(IF(OR(HLOOKUP($A200,#REF!,15,FALSE)&gt;2,HLOOKUP($A200,#REF!,15,FALSE)&lt;-2),"",#REF!),"")</f>
        <v/>
      </c>
      <c r="R200" t="str">
        <f>IFERROR(IF(OR(HLOOKUP($A200,#REF!,16,FALSE)&gt;2,HLOOKUP($A200,#REF!,16,FALSE)&lt;-2),"",#REF!),"")</f>
        <v/>
      </c>
      <c r="S200" t="str">
        <f>IFERROR(IF(OR(HLOOKUP($A200,#REF!,17,FALSE)&gt;2,HLOOKUP($A200,#REF!,17,FALSE)&lt;-2),"",#REF!),"")</f>
        <v/>
      </c>
      <c r="T200" t="str">
        <f>IFERROR(IF(OR(HLOOKUP($A200,#REF!,18,FALSE)&gt;2,HLOOKUP($A200,#REF!,18,FALSE)&lt;-2),"",#REF!),"")</f>
        <v/>
      </c>
      <c r="U200" t="str">
        <f>IFERROR(IF(OR(HLOOKUP($A200,#REF!,19,FALSE)&gt;2,HLOOKUP($A200,#REF!,19,FALSE)&lt;-2),"",#REF!),"")</f>
        <v/>
      </c>
      <c r="V200">
        <f t="shared" si="12"/>
        <v>1</v>
      </c>
      <c r="W200" t="str">
        <f t="shared" si="13"/>
        <v/>
      </c>
      <c r="X200" t="str">
        <f t="shared" si="14"/>
        <v/>
      </c>
      <c r="Y200" t="str">
        <f t="shared" si="15"/>
        <v/>
      </c>
    </row>
    <row r="201" spans="1:25" x14ac:dyDescent="0.35">
      <c r="A201">
        <v>205</v>
      </c>
      <c r="B201" t="s">
        <v>686</v>
      </c>
      <c r="C201">
        <v>110200</v>
      </c>
      <c r="D201">
        <v>855</v>
      </c>
      <c r="E201" t="str">
        <f>IFERROR(IF(OR(HLOOKUP($A201,#REF!,3,FALSE)&gt;2,HLOOKUP(A201,#REF!,3,FALSE)&lt;-2),"",#REF!),"")</f>
        <v/>
      </c>
      <c r="F201" t="str">
        <f>IFERROR(IF(OR(HLOOKUP($A201,#REF!,4,FALSE)&gt;2,HLOOKUP($A201,#REF!,4,FALSE)&lt;-2),"",#REF!),"")</f>
        <v/>
      </c>
      <c r="G201" t="str">
        <f>IFERROR(IF(OR(HLOOKUP($A201,#REF!,5,FALSE)&gt;2,HLOOKUP($A201,#REF!,5,FALSE)&lt;-2),"",#REF!),"")</f>
        <v/>
      </c>
      <c r="H201" t="str">
        <f>IFERROR(IF(OR(HLOOKUP($A201,#REF!,6,FALSE)&gt;2,HLOOKUP($A201,#REF!,6,FALSE)&lt;-2),"",#REF!),"")</f>
        <v/>
      </c>
      <c r="I201" t="str">
        <f>IFERROR(IF(OR(HLOOKUP($A201,#REF!,7,FALSE)&gt;2,HLOOKUP($A201,#REF!,7,FALSE)&lt;-2),"",#REF!),"")</f>
        <v/>
      </c>
      <c r="J201" t="str">
        <f>IFERROR(IF(OR(HLOOKUP($A201,#REF!,8,FALSE)&gt;2,HLOOKUP($A201,#REF!,8,FALSE)&lt;-2),"",#REF!),"")</f>
        <v/>
      </c>
      <c r="K201" t="str">
        <f>IFERROR(IF(OR(HLOOKUP($A201,#REF!,9,FALSE)&gt;2,HLOOKUP($A201,#REF!,9,FALSE)&lt;-2),"",#REF!),"")</f>
        <v/>
      </c>
      <c r="L201" t="str">
        <f>IFERROR(IF(OR(HLOOKUP($A201,#REF!,10,FALSE)&gt;2,HLOOKUP($A201,#REF!,10,FALSE)&lt;-2),"",#REF!),"")</f>
        <v/>
      </c>
      <c r="M201" t="str">
        <f>IFERROR(IF(OR(HLOOKUP($A201,#REF!,11,FALSE)&gt;2,HLOOKUP($A201,#REF!,11,FALSE)&lt;-2),"",#REF!),"")</f>
        <v/>
      </c>
      <c r="N201" t="str">
        <f>IFERROR(IF(OR(HLOOKUP($A201,#REF!,12,FALSE)&gt;2,HLOOKUP($A201,#REF!,12,FALSE)&lt;-2),"",#REF!),"")</f>
        <v/>
      </c>
      <c r="O201" t="str">
        <f>IFERROR(IF(OR(HLOOKUP($A201,#REF!,13,FALSE)&gt;2,HLOOKUP($A201,#REF!,13,FALSE)&lt;-2),"",#REF!),"")</f>
        <v/>
      </c>
      <c r="P201" t="str">
        <f>IFERROR(IF(OR(HLOOKUP($A201,#REF!,14,FALSE)&gt;2,HLOOKUP($A201,#REF!,14,FALSE)&lt;-2),"",#REF!),"")</f>
        <v/>
      </c>
      <c r="Q201" t="str">
        <f>IFERROR(IF(OR(HLOOKUP($A201,#REF!,15,FALSE)&gt;2,HLOOKUP($A201,#REF!,15,FALSE)&lt;-2),"",#REF!),"")</f>
        <v/>
      </c>
      <c r="R201" t="str">
        <f>IFERROR(IF(OR(HLOOKUP($A201,#REF!,16,FALSE)&gt;2,HLOOKUP($A201,#REF!,16,FALSE)&lt;-2),"",#REF!),"")</f>
        <v/>
      </c>
      <c r="S201" t="str">
        <f>IFERROR(IF(OR(HLOOKUP($A201,#REF!,17,FALSE)&gt;2,HLOOKUP($A201,#REF!,17,FALSE)&lt;-2),"",#REF!),"")</f>
        <v/>
      </c>
      <c r="T201" t="str">
        <f>IFERROR(IF(OR(HLOOKUP($A201,#REF!,18,FALSE)&gt;2,HLOOKUP($A201,#REF!,18,FALSE)&lt;-2),"",#REF!),"")</f>
        <v/>
      </c>
      <c r="U201" t="str">
        <f>IFERROR(IF(OR(HLOOKUP($A201,#REF!,19,FALSE)&gt;2,HLOOKUP($A201,#REF!,19,FALSE)&lt;-2),"",#REF!),"")</f>
        <v/>
      </c>
      <c r="V201">
        <f t="shared" si="12"/>
        <v>1</v>
      </c>
      <c r="W201" t="str">
        <f t="shared" si="13"/>
        <v/>
      </c>
      <c r="X201" t="str">
        <f t="shared" si="14"/>
        <v/>
      </c>
      <c r="Y201" t="str">
        <f t="shared" si="15"/>
        <v/>
      </c>
    </row>
    <row r="202" spans="1:25" x14ac:dyDescent="0.35">
      <c r="A202">
        <v>206</v>
      </c>
      <c r="B202" t="s">
        <v>687</v>
      </c>
      <c r="C202">
        <v>96900</v>
      </c>
      <c r="D202">
        <v>379</v>
      </c>
      <c r="E202" t="str">
        <f>IFERROR(IF(OR(HLOOKUP($A202,#REF!,3,FALSE)&gt;2,HLOOKUP(A202,#REF!,3,FALSE)&lt;-2),"",#REF!),"")</f>
        <v/>
      </c>
      <c r="F202" t="str">
        <f>IFERROR(IF(OR(HLOOKUP($A202,#REF!,4,FALSE)&gt;2,HLOOKUP($A202,#REF!,4,FALSE)&lt;-2),"",#REF!),"")</f>
        <v/>
      </c>
      <c r="G202" t="str">
        <f>IFERROR(IF(OR(HLOOKUP($A202,#REF!,5,FALSE)&gt;2,HLOOKUP($A202,#REF!,5,FALSE)&lt;-2),"",#REF!),"")</f>
        <v/>
      </c>
      <c r="H202" t="str">
        <f>IFERROR(IF(OR(HLOOKUP($A202,#REF!,6,FALSE)&gt;2,HLOOKUP($A202,#REF!,6,FALSE)&lt;-2),"",#REF!),"")</f>
        <v/>
      </c>
      <c r="I202" t="str">
        <f>IFERROR(IF(OR(HLOOKUP($A202,#REF!,7,FALSE)&gt;2,HLOOKUP($A202,#REF!,7,FALSE)&lt;-2),"",#REF!),"")</f>
        <v/>
      </c>
      <c r="J202" t="str">
        <f>IFERROR(IF(OR(HLOOKUP($A202,#REF!,8,FALSE)&gt;2,HLOOKUP($A202,#REF!,8,FALSE)&lt;-2),"",#REF!),"")</f>
        <v/>
      </c>
      <c r="K202" t="str">
        <f>IFERROR(IF(OR(HLOOKUP($A202,#REF!,9,FALSE)&gt;2,HLOOKUP($A202,#REF!,9,FALSE)&lt;-2),"",#REF!),"")</f>
        <v/>
      </c>
      <c r="L202" t="str">
        <f>IFERROR(IF(OR(HLOOKUP($A202,#REF!,10,FALSE)&gt;2,HLOOKUP($A202,#REF!,10,FALSE)&lt;-2),"",#REF!),"")</f>
        <v/>
      </c>
      <c r="M202" t="str">
        <f>IFERROR(IF(OR(HLOOKUP($A202,#REF!,11,FALSE)&gt;2,HLOOKUP($A202,#REF!,11,FALSE)&lt;-2),"",#REF!),"")</f>
        <v/>
      </c>
      <c r="N202" t="str">
        <f>IFERROR(IF(OR(HLOOKUP($A202,#REF!,12,FALSE)&gt;2,HLOOKUP($A202,#REF!,12,FALSE)&lt;-2),"",#REF!),"")</f>
        <v/>
      </c>
      <c r="O202" t="str">
        <f>IFERROR(IF(OR(HLOOKUP($A202,#REF!,13,FALSE)&gt;2,HLOOKUP($A202,#REF!,13,FALSE)&lt;-2),"",#REF!),"")</f>
        <v/>
      </c>
      <c r="P202" t="str">
        <f>IFERROR(IF(OR(HLOOKUP($A202,#REF!,14,FALSE)&gt;2,HLOOKUP($A202,#REF!,14,FALSE)&lt;-2),"",#REF!),"")</f>
        <v/>
      </c>
      <c r="Q202" t="str">
        <f>IFERROR(IF(OR(HLOOKUP($A202,#REF!,15,FALSE)&gt;2,HLOOKUP($A202,#REF!,15,FALSE)&lt;-2),"",#REF!),"")</f>
        <v/>
      </c>
      <c r="R202" t="str">
        <f>IFERROR(IF(OR(HLOOKUP($A202,#REF!,16,FALSE)&gt;2,HLOOKUP($A202,#REF!,16,FALSE)&lt;-2),"",#REF!),"")</f>
        <v/>
      </c>
      <c r="S202" t="str">
        <f>IFERROR(IF(OR(HLOOKUP($A202,#REF!,17,FALSE)&gt;2,HLOOKUP($A202,#REF!,17,FALSE)&lt;-2),"",#REF!),"")</f>
        <v/>
      </c>
      <c r="T202" t="str">
        <f>IFERROR(IF(OR(HLOOKUP($A202,#REF!,18,FALSE)&gt;2,HLOOKUP($A202,#REF!,18,FALSE)&lt;-2),"",#REF!),"")</f>
        <v/>
      </c>
      <c r="U202" t="str">
        <f>IFERROR(IF(OR(HLOOKUP($A202,#REF!,19,FALSE)&gt;2,HLOOKUP($A202,#REF!,19,FALSE)&lt;-2),"",#REF!),"")</f>
        <v/>
      </c>
      <c r="V202">
        <f t="shared" si="12"/>
        <v>1</v>
      </c>
      <c r="W202" t="str">
        <f t="shared" si="13"/>
        <v/>
      </c>
      <c r="X202" t="str">
        <f t="shared" si="14"/>
        <v/>
      </c>
      <c r="Y202" t="str">
        <f t="shared" si="15"/>
        <v/>
      </c>
    </row>
    <row r="203" spans="1:25" x14ac:dyDescent="0.35">
      <c r="A203">
        <v>207</v>
      </c>
      <c r="B203" t="s">
        <v>118</v>
      </c>
      <c r="C203">
        <v>89600</v>
      </c>
      <c r="D203">
        <v>386</v>
      </c>
      <c r="E203" t="str">
        <f>IFERROR(IF(OR(HLOOKUP($A203,#REF!,3,FALSE)&gt;2,HLOOKUP(A203,#REF!,3,FALSE)&lt;-2),"",#REF!),"")</f>
        <v/>
      </c>
      <c r="F203" t="str">
        <f>IFERROR(IF(OR(HLOOKUP($A203,#REF!,4,FALSE)&gt;2,HLOOKUP($A203,#REF!,4,FALSE)&lt;-2),"",#REF!),"")</f>
        <v/>
      </c>
      <c r="G203" t="str">
        <f>IFERROR(IF(OR(HLOOKUP($A203,#REF!,5,FALSE)&gt;2,HLOOKUP($A203,#REF!,5,FALSE)&lt;-2),"",#REF!),"")</f>
        <v/>
      </c>
      <c r="H203" t="str">
        <f>IFERROR(IF(OR(HLOOKUP($A203,#REF!,6,FALSE)&gt;2,HLOOKUP($A203,#REF!,6,FALSE)&lt;-2),"",#REF!),"")</f>
        <v/>
      </c>
      <c r="I203" t="str">
        <f>IFERROR(IF(OR(HLOOKUP($A203,#REF!,7,FALSE)&gt;2,HLOOKUP($A203,#REF!,7,FALSE)&lt;-2),"",#REF!),"")</f>
        <v/>
      </c>
      <c r="J203" t="str">
        <f>IFERROR(IF(OR(HLOOKUP($A203,#REF!,8,FALSE)&gt;2,HLOOKUP($A203,#REF!,8,FALSE)&lt;-2),"",#REF!),"")</f>
        <v/>
      </c>
      <c r="K203" t="str">
        <f>IFERROR(IF(OR(HLOOKUP($A203,#REF!,9,FALSE)&gt;2,HLOOKUP($A203,#REF!,9,FALSE)&lt;-2),"",#REF!),"")</f>
        <v/>
      </c>
      <c r="L203" t="str">
        <f>IFERROR(IF(OR(HLOOKUP($A203,#REF!,10,FALSE)&gt;2,HLOOKUP($A203,#REF!,10,FALSE)&lt;-2),"",#REF!),"")</f>
        <v/>
      </c>
      <c r="M203" t="str">
        <f>IFERROR(IF(OR(HLOOKUP($A203,#REF!,11,FALSE)&gt;2,HLOOKUP($A203,#REF!,11,FALSE)&lt;-2),"",#REF!),"")</f>
        <v/>
      </c>
      <c r="N203" t="str">
        <f>IFERROR(IF(OR(HLOOKUP($A203,#REF!,12,FALSE)&gt;2,HLOOKUP($A203,#REF!,12,FALSE)&lt;-2),"",#REF!),"")</f>
        <v/>
      </c>
      <c r="O203" t="str">
        <f>IFERROR(IF(OR(HLOOKUP($A203,#REF!,13,FALSE)&gt;2,HLOOKUP($A203,#REF!,13,FALSE)&lt;-2),"",#REF!),"")</f>
        <v/>
      </c>
      <c r="P203" t="str">
        <f>IFERROR(IF(OR(HLOOKUP($A203,#REF!,14,FALSE)&gt;2,HLOOKUP($A203,#REF!,14,FALSE)&lt;-2),"",#REF!),"")</f>
        <v/>
      </c>
      <c r="Q203" t="str">
        <f>IFERROR(IF(OR(HLOOKUP($A203,#REF!,15,FALSE)&gt;2,HLOOKUP($A203,#REF!,15,FALSE)&lt;-2),"",#REF!),"")</f>
        <v/>
      </c>
      <c r="R203" t="str">
        <f>IFERROR(IF(OR(HLOOKUP($A203,#REF!,16,FALSE)&gt;2,HLOOKUP($A203,#REF!,16,FALSE)&lt;-2),"",#REF!),"")</f>
        <v/>
      </c>
      <c r="S203" t="str">
        <f>IFERROR(IF(OR(HLOOKUP($A203,#REF!,17,FALSE)&gt;2,HLOOKUP($A203,#REF!,17,FALSE)&lt;-2),"",#REF!),"")</f>
        <v/>
      </c>
      <c r="T203" t="str">
        <f>IFERROR(IF(OR(HLOOKUP($A203,#REF!,18,FALSE)&gt;2,HLOOKUP($A203,#REF!,18,FALSE)&lt;-2),"",#REF!),"")</f>
        <v/>
      </c>
      <c r="U203" t="str">
        <f>IFERROR(IF(OR(HLOOKUP($A203,#REF!,19,FALSE)&gt;2,HLOOKUP($A203,#REF!,19,FALSE)&lt;-2),"",#REF!),"")</f>
        <v/>
      </c>
      <c r="V203">
        <f t="shared" si="12"/>
        <v>1</v>
      </c>
      <c r="W203" t="str">
        <f t="shared" si="13"/>
        <v/>
      </c>
      <c r="X203" t="str">
        <f t="shared" si="14"/>
        <v/>
      </c>
      <c r="Y203" t="str">
        <f t="shared" si="15"/>
        <v/>
      </c>
    </row>
    <row r="204" spans="1:25" x14ac:dyDescent="0.35">
      <c r="A204">
        <v>208</v>
      </c>
      <c r="B204" t="s">
        <v>688</v>
      </c>
      <c r="C204">
        <v>35000</v>
      </c>
      <c r="D204">
        <v>639</v>
      </c>
      <c r="E204" t="str">
        <f>IFERROR(IF(OR(HLOOKUP($A204,#REF!,3,FALSE)&gt;2,HLOOKUP(A204,#REF!,3,FALSE)&lt;-2),"",#REF!),"")</f>
        <v/>
      </c>
      <c r="F204" t="str">
        <f>IFERROR(IF(OR(HLOOKUP($A204,#REF!,4,FALSE)&gt;2,HLOOKUP($A204,#REF!,4,FALSE)&lt;-2),"",#REF!),"")</f>
        <v/>
      </c>
      <c r="G204" t="str">
        <f>IFERROR(IF(OR(HLOOKUP($A204,#REF!,5,FALSE)&gt;2,HLOOKUP($A204,#REF!,5,FALSE)&lt;-2),"",#REF!),"")</f>
        <v/>
      </c>
      <c r="H204" t="str">
        <f>IFERROR(IF(OR(HLOOKUP($A204,#REF!,6,FALSE)&gt;2,HLOOKUP($A204,#REF!,6,FALSE)&lt;-2),"",#REF!),"")</f>
        <v/>
      </c>
      <c r="I204" t="str">
        <f>IFERROR(IF(OR(HLOOKUP($A204,#REF!,7,FALSE)&gt;2,HLOOKUP($A204,#REF!,7,FALSE)&lt;-2),"",#REF!),"")</f>
        <v/>
      </c>
      <c r="J204" t="str">
        <f>IFERROR(IF(OR(HLOOKUP($A204,#REF!,8,FALSE)&gt;2,HLOOKUP($A204,#REF!,8,FALSE)&lt;-2),"",#REF!),"")</f>
        <v/>
      </c>
      <c r="K204" t="str">
        <f>IFERROR(IF(OR(HLOOKUP($A204,#REF!,9,FALSE)&gt;2,HLOOKUP($A204,#REF!,9,FALSE)&lt;-2),"",#REF!),"")</f>
        <v/>
      </c>
      <c r="L204" t="str">
        <f>IFERROR(IF(OR(HLOOKUP($A204,#REF!,10,FALSE)&gt;2,HLOOKUP($A204,#REF!,10,FALSE)&lt;-2),"",#REF!),"")</f>
        <v/>
      </c>
      <c r="M204" t="str">
        <f>IFERROR(IF(OR(HLOOKUP($A204,#REF!,11,FALSE)&gt;2,HLOOKUP($A204,#REF!,11,FALSE)&lt;-2),"",#REF!),"")</f>
        <v/>
      </c>
      <c r="N204" t="str">
        <f>IFERROR(IF(OR(HLOOKUP($A204,#REF!,12,FALSE)&gt;2,HLOOKUP($A204,#REF!,12,FALSE)&lt;-2),"",#REF!),"")</f>
        <v/>
      </c>
      <c r="O204" t="str">
        <f>IFERROR(IF(OR(HLOOKUP($A204,#REF!,13,FALSE)&gt;2,HLOOKUP($A204,#REF!,13,FALSE)&lt;-2),"",#REF!),"")</f>
        <v/>
      </c>
      <c r="P204" t="str">
        <f>IFERROR(IF(OR(HLOOKUP($A204,#REF!,14,FALSE)&gt;2,HLOOKUP($A204,#REF!,14,FALSE)&lt;-2),"",#REF!),"")</f>
        <v/>
      </c>
      <c r="Q204" t="str">
        <f>IFERROR(IF(OR(HLOOKUP($A204,#REF!,15,FALSE)&gt;2,HLOOKUP($A204,#REF!,15,FALSE)&lt;-2),"",#REF!),"")</f>
        <v/>
      </c>
      <c r="R204" t="str">
        <f>IFERROR(IF(OR(HLOOKUP($A204,#REF!,16,FALSE)&gt;2,HLOOKUP($A204,#REF!,16,FALSE)&lt;-2),"",#REF!),"")</f>
        <v/>
      </c>
      <c r="S204" t="str">
        <f>IFERROR(IF(OR(HLOOKUP($A204,#REF!,17,FALSE)&gt;2,HLOOKUP($A204,#REF!,17,FALSE)&lt;-2),"",#REF!),"")</f>
        <v/>
      </c>
      <c r="T204" t="str">
        <f>IFERROR(IF(OR(HLOOKUP($A204,#REF!,18,FALSE)&gt;2,HLOOKUP($A204,#REF!,18,FALSE)&lt;-2),"",#REF!),"")</f>
        <v/>
      </c>
      <c r="U204" t="str">
        <f>IFERROR(IF(OR(HLOOKUP($A204,#REF!,19,FALSE)&gt;2,HLOOKUP($A204,#REF!,19,FALSE)&lt;-2),"",#REF!),"")</f>
        <v/>
      </c>
      <c r="V204">
        <f t="shared" si="12"/>
        <v>1</v>
      </c>
      <c r="W204" t="str">
        <f t="shared" si="13"/>
        <v/>
      </c>
      <c r="X204" t="str">
        <f t="shared" si="14"/>
        <v/>
      </c>
      <c r="Y204" t="str">
        <f t="shared" si="15"/>
        <v/>
      </c>
    </row>
    <row r="205" spans="1:25" x14ac:dyDescent="0.35">
      <c r="A205">
        <v>209</v>
      </c>
      <c r="B205" t="s">
        <v>119</v>
      </c>
      <c r="C205">
        <v>96000</v>
      </c>
      <c r="D205">
        <v>701</v>
      </c>
      <c r="E205" t="str">
        <f>IFERROR(IF(OR(HLOOKUP($A205,#REF!,3,FALSE)&gt;2,HLOOKUP(A205,#REF!,3,FALSE)&lt;-2),"",#REF!),"")</f>
        <v/>
      </c>
      <c r="F205" t="str">
        <f>IFERROR(IF(OR(HLOOKUP($A205,#REF!,4,FALSE)&gt;2,HLOOKUP($A205,#REF!,4,FALSE)&lt;-2),"",#REF!),"")</f>
        <v/>
      </c>
      <c r="G205" t="str">
        <f>IFERROR(IF(OR(HLOOKUP($A205,#REF!,5,FALSE)&gt;2,HLOOKUP($A205,#REF!,5,FALSE)&lt;-2),"",#REF!),"")</f>
        <v/>
      </c>
      <c r="H205" t="str">
        <f>IFERROR(IF(OR(HLOOKUP($A205,#REF!,6,FALSE)&gt;2,HLOOKUP($A205,#REF!,6,FALSE)&lt;-2),"",#REF!),"")</f>
        <v/>
      </c>
      <c r="I205" t="str">
        <f>IFERROR(IF(OR(HLOOKUP($A205,#REF!,7,FALSE)&gt;2,HLOOKUP($A205,#REF!,7,FALSE)&lt;-2),"",#REF!),"")</f>
        <v/>
      </c>
      <c r="J205" t="str">
        <f>IFERROR(IF(OR(HLOOKUP($A205,#REF!,8,FALSE)&gt;2,HLOOKUP($A205,#REF!,8,FALSE)&lt;-2),"",#REF!),"")</f>
        <v/>
      </c>
      <c r="K205" t="str">
        <f>IFERROR(IF(OR(HLOOKUP($A205,#REF!,9,FALSE)&gt;2,HLOOKUP($A205,#REF!,9,FALSE)&lt;-2),"",#REF!),"")</f>
        <v/>
      </c>
      <c r="L205" t="str">
        <f>IFERROR(IF(OR(HLOOKUP($A205,#REF!,10,FALSE)&gt;2,HLOOKUP($A205,#REF!,10,FALSE)&lt;-2),"",#REF!),"")</f>
        <v/>
      </c>
      <c r="M205" t="str">
        <f>IFERROR(IF(OR(HLOOKUP($A205,#REF!,11,FALSE)&gt;2,HLOOKUP($A205,#REF!,11,FALSE)&lt;-2),"",#REF!),"")</f>
        <v/>
      </c>
      <c r="N205" t="str">
        <f>IFERROR(IF(OR(HLOOKUP($A205,#REF!,12,FALSE)&gt;2,HLOOKUP($A205,#REF!,12,FALSE)&lt;-2),"",#REF!),"")</f>
        <v/>
      </c>
      <c r="O205" t="str">
        <f>IFERROR(IF(OR(HLOOKUP($A205,#REF!,13,FALSE)&gt;2,HLOOKUP($A205,#REF!,13,FALSE)&lt;-2),"",#REF!),"")</f>
        <v/>
      </c>
      <c r="P205" t="str">
        <f>IFERROR(IF(OR(HLOOKUP($A205,#REF!,14,FALSE)&gt;2,HLOOKUP($A205,#REF!,14,FALSE)&lt;-2),"",#REF!),"")</f>
        <v/>
      </c>
      <c r="Q205" t="str">
        <f>IFERROR(IF(OR(HLOOKUP($A205,#REF!,15,FALSE)&gt;2,HLOOKUP($A205,#REF!,15,FALSE)&lt;-2),"",#REF!),"")</f>
        <v/>
      </c>
      <c r="R205" t="str">
        <f>IFERROR(IF(OR(HLOOKUP($A205,#REF!,16,FALSE)&gt;2,HLOOKUP($A205,#REF!,16,FALSE)&lt;-2),"",#REF!),"")</f>
        <v/>
      </c>
      <c r="S205" t="str">
        <f>IFERROR(IF(OR(HLOOKUP($A205,#REF!,17,FALSE)&gt;2,HLOOKUP($A205,#REF!,17,FALSE)&lt;-2),"",#REF!),"")</f>
        <v/>
      </c>
      <c r="T205" t="str">
        <f>IFERROR(IF(OR(HLOOKUP($A205,#REF!,18,FALSE)&gt;2,HLOOKUP($A205,#REF!,18,FALSE)&lt;-2),"",#REF!),"")</f>
        <v/>
      </c>
      <c r="U205" t="str">
        <f>IFERROR(IF(OR(HLOOKUP($A205,#REF!,19,FALSE)&gt;2,HLOOKUP($A205,#REF!,19,FALSE)&lt;-2),"",#REF!),"")</f>
        <v/>
      </c>
      <c r="V205">
        <f t="shared" si="12"/>
        <v>1</v>
      </c>
      <c r="W205" t="str">
        <f t="shared" si="13"/>
        <v/>
      </c>
      <c r="X205" t="str">
        <f t="shared" si="14"/>
        <v/>
      </c>
      <c r="Y205" t="str">
        <f t="shared" si="15"/>
        <v/>
      </c>
    </row>
    <row r="206" spans="1:25" x14ac:dyDescent="0.35">
      <c r="A206">
        <v>210</v>
      </c>
      <c r="B206" t="s">
        <v>120</v>
      </c>
      <c r="C206">
        <v>74700</v>
      </c>
      <c r="D206">
        <v>331</v>
      </c>
      <c r="E206" t="str">
        <f>IFERROR(IF(OR(HLOOKUP($A206,#REF!,3,FALSE)&gt;2,HLOOKUP(A206,#REF!,3,FALSE)&lt;-2),"",#REF!),"")</f>
        <v/>
      </c>
      <c r="F206" t="str">
        <f>IFERROR(IF(OR(HLOOKUP($A206,#REF!,4,FALSE)&gt;2,HLOOKUP($A206,#REF!,4,FALSE)&lt;-2),"",#REF!),"")</f>
        <v/>
      </c>
      <c r="G206" t="str">
        <f>IFERROR(IF(OR(HLOOKUP($A206,#REF!,5,FALSE)&gt;2,HLOOKUP($A206,#REF!,5,FALSE)&lt;-2),"",#REF!),"")</f>
        <v/>
      </c>
      <c r="H206" t="str">
        <f>IFERROR(IF(OR(HLOOKUP($A206,#REF!,6,FALSE)&gt;2,HLOOKUP($A206,#REF!,6,FALSE)&lt;-2),"",#REF!),"")</f>
        <v/>
      </c>
      <c r="I206" t="str">
        <f>IFERROR(IF(OR(HLOOKUP($A206,#REF!,7,FALSE)&gt;2,HLOOKUP($A206,#REF!,7,FALSE)&lt;-2),"",#REF!),"")</f>
        <v/>
      </c>
      <c r="J206" t="str">
        <f>IFERROR(IF(OR(HLOOKUP($A206,#REF!,8,FALSE)&gt;2,HLOOKUP($A206,#REF!,8,FALSE)&lt;-2),"",#REF!),"")</f>
        <v/>
      </c>
      <c r="K206" t="str">
        <f>IFERROR(IF(OR(HLOOKUP($A206,#REF!,9,FALSE)&gt;2,HLOOKUP($A206,#REF!,9,FALSE)&lt;-2),"",#REF!),"")</f>
        <v/>
      </c>
      <c r="L206" t="str">
        <f>IFERROR(IF(OR(HLOOKUP($A206,#REF!,10,FALSE)&gt;2,HLOOKUP($A206,#REF!,10,FALSE)&lt;-2),"",#REF!),"")</f>
        <v/>
      </c>
      <c r="M206" t="str">
        <f>IFERROR(IF(OR(HLOOKUP($A206,#REF!,11,FALSE)&gt;2,HLOOKUP($A206,#REF!,11,FALSE)&lt;-2),"",#REF!),"")</f>
        <v/>
      </c>
      <c r="N206" t="str">
        <f>IFERROR(IF(OR(HLOOKUP($A206,#REF!,12,FALSE)&gt;2,HLOOKUP($A206,#REF!,12,FALSE)&lt;-2),"",#REF!),"")</f>
        <v/>
      </c>
      <c r="O206" t="str">
        <f>IFERROR(IF(OR(HLOOKUP($A206,#REF!,13,FALSE)&gt;2,HLOOKUP($A206,#REF!,13,FALSE)&lt;-2),"",#REF!),"")</f>
        <v/>
      </c>
      <c r="P206" t="str">
        <f>IFERROR(IF(OR(HLOOKUP($A206,#REF!,14,FALSE)&gt;2,HLOOKUP($A206,#REF!,14,FALSE)&lt;-2),"",#REF!),"")</f>
        <v/>
      </c>
      <c r="Q206" t="str">
        <f>IFERROR(IF(OR(HLOOKUP($A206,#REF!,15,FALSE)&gt;2,HLOOKUP($A206,#REF!,15,FALSE)&lt;-2),"",#REF!),"")</f>
        <v/>
      </c>
      <c r="R206" t="str">
        <f>IFERROR(IF(OR(HLOOKUP($A206,#REF!,16,FALSE)&gt;2,HLOOKUP($A206,#REF!,16,FALSE)&lt;-2),"",#REF!),"")</f>
        <v/>
      </c>
      <c r="S206" t="str">
        <f>IFERROR(IF(OR(HLOOKUP($A206,#REF!,17,FALSE)&gt;2,HLOOKUP($A206,#REF!,17,FALSE)&lt;-2),"",#REF!),"")</f>
        <v/>
      </c>
      <c r="T206" t="str">
        <f>IFERROR(IF(OR(HLOOKUP($A206,#REF!,18,FALSE)&gt;2,HLOOKUP($A206,#REF!,18,FALSE)&lt;-2),"",#REF!),"")</f>
        <v/>
      </c>
      <c r="U206" t="str">
        <f>IFERROR(IF(OR(HLOOKUP($A206,#REF!,19,FALSE)&gt;2,HLOOKUP($A206,#REF!,19,FALSE)&lt;-2),"",#REF!),"")</f>
        <v/>
      </c>
      <c r="V206">
        <f t="shared" si="12"/>
        <v>1</v>
      </c>
      <c r="W206" t="str">
        <f t="shared" si="13"/>
        <v/>
      </c>
      <c r="X206" t="str">
        <f t="shared" si="14"/>
        <v/>
      </c>
      <c r="Y206" t="str">
        <f t="shared" si="15"/>
        <v/>
      </c>
    </row>
    <row r="207" spans="1:25" x14ac:dyDescent="0.35">
      <c r="A207">
        <v>211</v>
      </c>
      <c r="B207" t="s">
        <v>121</v>
      </c>
      <c r="C207">
        <v>19100</v>
      </c>
      <c r="D207">
        <v>39</v>
      </c>
      <c r="E207" t="str">
        <f>IFERROR(IF(OR(HLOOKUP($A207,#REF!,3,FALSE)&gt;2,HLOOKUP(A207,#REF!,3,FALSE)&lt;-2),"",#REF!),"")</f>
        <v/>
      </c>
      <c r="F207" t="str">
        <f>IFERROR(IF(OR(HLOOKUP($A207,#REF!,4,FALSE)&gt;2,HLOOKUP($A207,#REF!,4,FALSE)&lt;-2),"",#REF!),"")</f>
        <v/>
      </c>
      <c r="G207" t="str">
        <f>IFERROR(IF(OR(HLOOKUP($A207,#REF!,5,FALSE)&gt;2,HLOOKUP($A207,#REF!,5,FALSE)&lt;-2),"",#REF!),"")</f>
        <v/>
      </c>
      <c r="H207" t="str">
        <f>IFERROR(IF(OR(HLOOKUP($A207,#REF!,6,FALSE)&gt;2,HLOOKUP($A207,#REF!,6,FALSE)&lt;-2),"",#REF!),"")</f>
        <v/>
      </c>
      <c r="I207" t="str">
        <f>IFERROR(IF(OR(HLOOKUP($A207,#REF!,7,FALSE)&gt;2,HLOOKUP($A207,#REF!,7,FALSE)&lt;-2),"",#REF!),"")</f>
        <v/>
      </c>
      <c r="J207" t="str">
        <f>IFERROR(IF(OR(HLOOKUP($A207,#REF!,8,FALSE)&gt;2,HLOOKUP($A207,#REF!,8,FALSE)&lt;-2),"",#REF!),"")</f>
        <v/>
      </c>
      <c r="K207" t="str">
        <f>IFERROR(IF(OR(HLOOKUP($A207,#REF!,9,FALSE)&gt;2,HLOOKUP($A207,#REF!,9,FALSE)&lt;-2),"",#REF!),"")</f>
        <v/>
      </c>
      <c r="L207" t="str">
        <f>IFERROR(IF(OR(HLOOKUP($A207,#REF!,10,FALSE)&gt;2,HLOOKUP($A207,#REF!,10,FALSE)&lt;-2),"",#REF!),"")</f>
        <v/>
      </c>
      <c r="M207" t="str">
        <f>IFERROR(IF(OR(HLOOKUP($A207,#REF!,11,FALSE)&gt;2,HLOOKUP($A207,#REF!,11,FALSE)&lt;-2),"",#REF!),"")</f>
        <v/>
      </c>
      <c r="N207" t="str">
        <f>IFERROR(IF(OR(HLOOKUP($A207,#REF!,12,FALSE)&gt;2,HLOOKUP($A207,#REF!,12,FALSE)&lt;-2),"",#REF!),"")</f>
        <v/>
      </c>
      <c r="O207" t="str">
        <f>IFERROR(IF(OR(HLOOKUP($A207,#REF!,13,FALSE)&gt;2,HLOOKUP($A207,#REF!,13,FALSE)&lt;-2),"",#REF!),"")</f>
        <v/>
      </c>
      <c r="P207" t="str">
        <f>IFERROR(IF(OR(HLOOKUP($A207,#REF!,14,FALSE)&gt;2,HLOOKUP($A207,#REF!,14,FALSE)&lt;-2),"",#REF!),"")</f>
        <v/>
      </c>
      <c r="Q207" t="str">
        <f>IFERROR(IF(OR(HLOOKUP($A207,#REF!,15,FALSE)&gt;2,HLOOKUP($A207,#REF!,15,FALSE)&lt;-2),"",#REF!),"")</f>
        <v/>
      </c>
      <c r="R207" t="str">
        <f>IFERROR(IF(OR(HLOOKUP($A207,#REF!,16,FALSE)&gt;2,HLOOKUP($A207,#REF!,16,FALSE)&lt;-2),"",#REF!),"")</f>
        <v/>
      </c>
      <c r="S207" t="str">
        <f>IFERROR(IF(OR(HLOOKUP($A207,#REF!,17,FALSE)&gt;2,HLOOKUP($A207,#REF!,17,FALSE)&lt;-2),"",#REF!),"")</f>
        <v/>
      </c>
      <c r="T207" t="str">
        <f>IFERROR(IF(OR(HLOOKUP($A207,#REF!,18,FALSE)&gt;2,HLOOKUP($A207,#REF!,18,FALSE)&lt;-2),"",#REF!),"")</f>
        <v/>
      </c>
      <c r="U207" t="str">
        <f>IFERROR(IF(OR(HLOOKUP($A207,#REF!,19,FALSE)&gt;2,HLOOKUP($A207,#REF!,19,FALSE)&lt;-2),"",#REF!),"")</f>
        <v/>
      </c>
      <c r="V207">
        <f t="shared" si="12"/>
        <v>1</v>
      </c>
      <c r="W207" t="str">
        <f t="shared" si="13"/>
        <v/>
      </c>
      <c r="X207" t="str">
        <f t="shared" si="14"/>
        <v/>
      </c>
      <c r="Y207" t="str">
        <f t="shared" si="15"/>
        <v/>
      </c>
    </row>
    <row r="208" spans="1:25" x14ac:dyDescent="0.35">
      <c r="A208">
        <v>212</v>
      </c>
      <c r="B208" t="s">
        <v>689</v>
      </c>
      <c r="C208">
        <v>30100</v>
      </c>
      <c r="D208">
        <v>507</v>
      </c>
      <c r="E208" t="str">
        <f>IFERROR(IF(OR(HLOOKUP($A208,#REF!,3,FALSE)&gt;2,HLOOKUP(A208,#REF!,3,FALSE)&lt;-2),"",#REF!),"")</f>
        <v/>
      </c>
      <c r="F208" t="str">
        <f>IFERROR(IF(OR(HLOOKUP($A208,#REF!,4,FALSE)&gt;2,HLOOKUP($A208,#REF!,4,FALSE)&lt;-2),"",#REF!),"")</f>
        <v/>
      </c>
      <c r="G208" t="str">
        <f>IFERROR(IF(OR(HLOOKUP($A208,#REF!,5,FALSE)&gt;2,HLOOKUP($A208,#REF!,5,FALSE)&lt;-2),"",#REF!),"")</f>
        <v/>
      </c>
      <c r="H208" t="str">
        <f>IFERROR(IF(OR(HLOOKUP($A208,#REF!,6,FALSE)&gt;2,HLOOKUP($A208,#REF!,6,FALSE)&lt;-2),"",#REF!),"")</f>
        <v/>
      </c>
      <c r="I208" t="str">
        <f>IFERROR(IF(OR(HLOOKUP($A208,#REF!,7,FALSE)&gt;2,HLOOKUP($A208,#REF!,7,FALSE)&lt;-2),"",#REF!),"")</f>
        <v/>
      </c>
      <c r="J208" t="str">
        <f>IFERROR(IF(OR(HLOOKUP($A208,#REF!,8,FALSE)&gt;2,HLOOKUP($A208,#REF!,8,FALSE)&lt;-2),"",#REF!),"")</f>
        <v/>
      </c>
      <c r="K208" t="str">
        <f>IFERROR(IF(OR(HLOOKUP($A208,#REF!,9,FALSE)&gt;2,HLOOKUP($A208,#REF!,9,FALSE)&lt;-2),"",#REF!),"")</f>
        <v/>
      </c>
      <c r="L208" t="str">
        <f>IFERROR(IF(OR(HLOOKUP($A208,#REF!,10,FALSE)&gt;2,HLOOKUP($A208,#REF!,10,FALSE)&lt;-2),"",#REF!),"")</f>
        <v/>
      </c>
      <c r="M208" t="str">
        <f>IFERROR(IF(OR(HLOOKUP($A208,#REF!,11,FALSE)&gt;2,HLOOKUP($A208,#REF!,11,FALSE)&lt;-2),"",#REF!),"")</f>
        <v/>
      </c>
      <c r="N208" t="str">
        <f>IFERROR(IF(OR(HLOOKUP($A208,#REF!,12,FALSE)&gt;2,HLOOKUP($A208,#REF!,12,FALSE)&lt;-2),"",#REF!),"")</f>
        <v/>
      </c>
      <c r="O208" t="str">
        <f>IFERROR(IF(OR(HLOOKUP($A208,#REF!,13,FALSE)&gt;2,HLOOKUP($A208,#REF!,13,FALSE)&lt;-2),"",#REF!),"")</f>
        <v/>
      </c>
      <c r="P208" t="str">
        <f>IFERROR(IF(OR(HLOOKUP($A208,#REF!,14,FALSE)&gt;2,HLOOKUP($A208,#REF!,14,FALSE)&lt;-2),"",#REF!),"")</f>
        <v/>
      </c>
      <c r="Q208" t="str">
        <f>IFERROR(IF(OR(HLOOKUP($A208,#REF!,15,FALSE)&gt;2,HLOOKUP($A208,#REF!,15,FALSE)&lt;-2),"",#REF!),"")</f>
        <v/>
      </c>
      <c r="R208" t="str">
        <f>IFERROR(IF(OR(HLOOKUP($A208,#REF!,16,FALSE)&gt;2,HLOOKUP($A208,#REF!,16,FALSE)&lt;-2),"",#REF!),"")</f>
        <v/>
      </c>
      <c r="S208" t="str">
        <f>IFERROR(IF(OR(HLOOKUP($A208,#REF!,17,FALSE)&gt;2,HLOOKUP($A208,#REF!,17,FALSE)&lt;-2),"",#REF!),"")</f>
        <v/>
      </c>
      <c r="T208" t="str">
        <f>IFERROR(IF(OR(HLOOKUP($A208,#REF!,18,FALSE)&gt;2,HLOOKUP($A208,#REF!,18,FALSE)&lt;-2),"",#REF!),"")</f>
        <v/>
      </c>
      <c r="U208" t="str">
        <f>IFERROR(IF(OR(HLOOKUP($A208,#REF!,19,FALSE)&gt;2,HLOOKUP($A208,#REF!,19,FALSE)&lt;-2),"",#REF!),"")</f>
        <v/>
      </c>
      <c r="V208">
        <f t="shared" si="12"/>
        <v>1</v>
      </c>
      <c r="W208" t="str">
        <f t="shared" si="13"/>
        <v/>
      </c>
      <c r="X208" t="str">
        <f t="shared" si="14"/>
        <v/>
      </c>
      <c r="Y208" t="str">
        <f t="shared" si="15"/>
        <v/>
      </c>
    </row>
    <row r="209" spans="1:25" x14ac:dyDescent="0.35">
      <c r="A209">
        <v>213</v>
      </c>
      <c r="B209" t="s">
        <v>690</v>
      </c>
      <c r="C209">
        <v>110300</v>
      </c>
      <c r="D209">
        <v>855</v>
      </c>
      <c r="E209" t="str">
        <f>IFERROR(IF(OR(HLOOKUP($A209,#REF!,3,FALSE)&gt;2,HLOOKUP(A209,#REF!,3,FALSE)&lt;-2),"",#REF!),"")</f>
        <v/>
      </c>
      <c r="F209" t="str">
        <f>IFERROR(IF(OR(HLOOKUP($A209,#REF!,4,FALSE)&gt;2,HLOOKUP($A209,#REF!,4,FALSE)&lt;-2),"",#REF!),"")</f>
        <v/>
      </c>
      <c r="G209" t="str">
        <f>IFERROR(IF(OR(HLOOKUP($A209,#REF!,5,FALSE)&gt;2,HLOOKUP($A209,#REF!,5,FALSE)&lt;-2),"",#REF!),"")</f>
        <v/>
      </c>
      <c r="H209" t="str">
        <f>IFERROR(IF(OR(HLOOKUP($A209,#REF!,6,FALSE)&gt;2,HLOOKUP($A209,#REF!,6,FALSE)&lt;-2),"",#REF!),"")</f>
        <v/>
      </c>
      <c r="I209" t="str">
        <f>IFERROR(IF(OR(HLOOKUP($A209,#REF!,7,FALSE)&gt;2,HLOOKUP($A209,#REF!,7,FALSE)&lt;-2),"",#REF!),"")</f>
        <v/>
      </c>
      <c r="J209" t="str">
        <f>IFERROR(IF(OR(HLOOKUP($A209,#REF!,8,FALSE)&gt;2,HLOOKUP($A209,#REF!,8,FALSE)&lt;-2),"",#REF!),"")</f>
        <v/>
      </c>
      <c r="K209" t="str">
        <f>IFERROR(IF(OR(HLOOKUP($A209,#REF!,9,FALSE)&gt;2,HLOOKUP($A209,#REF!,9,FALSE)&lt;-2),"",#REF!),"")</f>
        <v/>
      </c>
      <c r="L209" t="str">
        <f>IFERROR(IF(OR(HLOOKUP($A209,#REF!,10,FALSE)&gt;2,HLOOKUP($A209,#REF!,10,FALSE)&lt;-2),"",#REF!),"")</f>
        <v/>
      </c>
      <c r="M209" t="str">
        <f>IFERROR(IF(OR(HLOOKUP($A209,#REF!,11,FALSE)&gt;2,HLOOKUP($A209,#REF!,11,FALSE)&lt;-2),"",#REF!),"")</f>
        <v/>
      </c>
      <c r="N209" t="str">
        <f>IFERROR(IF(OR(HLOOKUP($A209,#REF!,12,FALSE)&gt;2,HLOOKUP($A209,#REF!,12,FALSE)&lt;-2),"",#REF!),"")</f>
        <v/>
      </c>
      <c r="O209" t="str">
        <f>IFERROR(IF(OR(HLOOKUP($A209,#REF!,13,FALSE)&gt;2,HLOOKUP($A209,#REF!,13,FALSE)&lt;-2),"",#REF!),"")</f>
        <v/>
      </c>
      <c r="P209" t="str">
        <f>IFERROR(IF(OR(HLOOKUP($A209,#REF!,14,FALSE)&gt;2,HLOOKUP($A209,#REF!,14,FALSE)&lt;-2),"",#REF!),"")</f>
        <v/>
      </c>
      <c r="Q209" t="str">
        <f>IFERROR(IF(OR(HLOOKUP($A209,#REF!,15,FALSE)&gt;2,HLOOKUP($A209,#REF!,15,FALSE)&lt;-2),"",#REF!),"")</f>
        <v/>
      </c>
      <c r="R209" t="str">
        <f>IFERROR(IF(OR(HLOOKUP($A209,#REF!,16,FALSE)&gt;2,HLOOKUP($A209,#REF!,16,FALSE)&lt;-2),"",#REF!),"")</f>
        <v/>
      </c>
      <c r="S209" t="str">
        <f>IFERROR(IF(OR(HLOOKUP($A209,#REF!,17,FALSE)&gt;2,HLOOKUP($A209,#REF!,17,FALSE)&lt;-2),"",#REF!),"")</f>
        <v/>
      </c>
      <c r="T209" t="str">
        <f>IFERROR(IF(OR(HLOOKUP($A209,#REF!,18,FALSE)&gt;2,HLOOKUP($A209,#REF!,18,FALSE)&lt;-2),"",#REF!),"")</f>
        <v/>
      </c>
      <c r="U209" t="str">
        <f>IFERROR(IF(OR(HLOOKUP($A209,#REF!,19,FALSE)&gt;2,HLOOKUP($A209,#REF!,19,FALSE)&lt;-2),"",#REF!),"")</f>
        <v/>
      </c>
      <c r="V209">
        <f t="shared" si="12"/>
        <v>1</v>
      </c>
      <c r="W209" t="str">
        <f t="shared" si="13"/>
        <v/>
      </c>
      <c r="X209" t="str">
        <f t="shared" si="14"/>
        <v/>
      </c>
      <c r="Y209" t="str">
        <f t="shared" si="15"/>
        <v/>
      </c>
    </row>
    <row r="210" spans="1:25" x14ac:dyDescent="0.35">
      <c r="A210">
        <v>214</v>
      </c>
      <c r="B210" t="s">
        <v>122</v>
      </c>
      <c r="C210">
        <v>82700</v>
      </c>
      <c r="D210">
        <v>323</v>
      </c>
      <c r="E210" t="str">
        <f>IFERROR(IF(OR(HLOOKUP($A210,#REF!,3,FALSE)&gt;2,HLOOKUP(A210,#REF!,3,FALSE)&lt;-2),"",#REF!),"")</f>
        <v/>
      </c>
      <c r="F210" t="str">
        <f>IFERROR(IF(OR(HLOOKUP($A210,#REF!,4,FALSE)&gt;2,HLOOKUP($A210,#REF!,4,FALSE)&lt;-2),"",#REF!),"")</f>
        <v/>
      </c>
      <c r="G210" t="str">
        <f>IFERROR(IF(OR(HLOOKUP($A210,#REF!,5,FALSE)&gt;2,HLOOKUP($A210,#REF!,5,FALSE)&lt;-2),"",#REF!),"")</f>
        <v/>
      </c>
      <c r="H210" t="str">
        <f>IFERROR(IF(OR(HLOOKUP($A210,#REF!,6,FALSE)&gt;2,HLOOKUP($A210,#REF!,6,FALSE)&lt;-2),"",#REF!),"")</f>
        <v/>
      </c>
      <c r="I210" t="str">
        <f>IFERROR(IF(OR(HLOOKUP($A210,#REF!,7,FALSE)&gt;2,HLOOKUP($A210,#REF!,7,FALSE)&lt;-2),"",#REF!),"")</f>
        <v/>
      </c>
      <c r="J210" t="str">
        <f>IFERROR(IF(OR(HLOOKUP($A210,#REF!,8,FALSE)&gt;2,HLOOKUP($A210,#REF!,8,FALSE)&lt;-2),"",#REF!),"")</f>
        <v/>
      </c>
      <c r="K210" t="str">
        <f>IFERROR(IF(OR(HLOOKUP($A210,#REF!,9,FALSE)&gt;2,HLOOKUP($A210,#REF!,9,FALSE)&lt;-2),"",#REF!),"")</f>
        <v/>
      </c>
      <c r="L210" t="str">
        <f>IFERROR(IF(OR(HLOOKUP($A210,#REF!,10,FALSE)&gt;2,HLOOKUP($A210,#REF!,10,FALSE)&lt;-2),"",#REF!),"")</f>
        <v/>
      </c>
      <c r="M210" t="str">
        <f>IFERROR(IF(OR(HLOOKUP($A210,#REF!,11,FALSE)&gt;2,HLOOKUP($A210,#REF!,11,FALSE)&lt;-2),"",#REF!),"")</f>
        <v/>
      </c>
      <c r="N210" t="str">
        <f>IFERROR(IF(OR(HLOOKUP($A210,#REF!,12,FALSE)&gt;2,HLOOKUP($A210,#REF!,12,FALSE)&lt;-2),"",#REF!),"")</f>
        <v/>
      </c>
      <c r="O210" t="str">
        <f>IFERROR(IF(OR(HLOOKUP($A210,#REF!,13,FALSE)&gt;2,HLOOKUP($A210,#REF!,13,FALSE)&lt;-2),"",#REF!),"")</f>
        <v/>
      </c>
      <c r="P210" t="str">
        <f>IFERROR(IF(OR(HLOOKUP($A210,#REF!,14,FALSE)&gt;2,HLOOKUP($A210,#REF!,14,FALSE)&lt;-2),"",#REF!),"")</f>
        <v/>
      </c>
      <c r="Q210" t="str">
        <f>IFERROR(IF(OR(HLOOKUP($A210,#REF!,15,FALSE)&gt;2,HLOOKUP($A210,#REF!,15,FALSE)&lt;-2),"",#REF!),"")</f>
        <v/>
      </c>
      <c r="R210" t="str">
        <f>IFERROR(IF(OR(HLOOKUP($A210,#REF!,16,FALSE)&gt;2,HLOOKUP($A210,#REF!,16,FALSE)&lt;-2),"",#REF!),"")</f>
        <v/>
      </c>
      <c r="S210" t="str">
        <f>IFERROR(IF(OR(HLOOKUP($A210,#REF!,17,FALSE)&gt;2,HLOOKUP($A210,#REF!,17,FALSE)&lt;-2),"",#REF!),"")</f>
        <v/>
      </c>
      <c r="T210" t="str">
        <f>IFERROR(IF(OR(HLOOKUP($A210,#REF!,18,FALSE)&gt;2,HLOOKUP($A210,#REF!,18,FALSE)&lt;-2),"",#REF!),"")</f>
        <v/>
      </c>
      <c r="U210" t="str">
        <f>IFERROR(IF(OR(HLOOKUP($A210,#REF!,19,FALSE)&gt;2,HLOOKUP($A210,#REF!,19,FALSE)&lt;-2),"",#REF!),"")</f>
        <v/>
      </c>
      <c r="V210">
        <f t="shared" si="12"/>
        <v>1</v>
      </c>
      <c r="W210" t="str">
        <f t="shared" si="13"/>
        <v/>
      </c>
      <c r="X210" t="str">
        <f t="shared" si="14"/>
        <v/>
      </c>
      <c r="Y210" t="str">
        <f t="shared" si="15"/>
        <v/>
      </c>
    </row>
    <row r="211" spans="1:25" x14ac:dyDescent="0.35">
      <c r="A211">
        <v>215</v>
      </c>
      <c r="B211" t="s">
        <v>123</v>
      </c>
      <c r="C211">
        <v>82000</v>
      </c>
      <c r="D211">
        <v>1100</v>
      </c>
      <c r="E211" t="str">
        <f>IFERROR(IF(OR(HLOOKUP($A211,#REF!,3,FALSE)&gt;2,HLOOKUP(A211,#REF!,3,FALSE)&lt;-2),"",#REF!),"")</f>
        <v/>
      </c>
      <c r="F211" t="str">
        <f>IFERROR(IF(OR(HLOOKUP($A211,#REF!,4,FALSE)&gt;2,HLOOKUP($A211,#REF!,4,FALSE)&lt;-2),"",#REF!),"")</f>
        <v/>
      </c>
      <c r="G211" t="str">
        <f>IFERROR(IF(OR(HLOOKUP($A211,#REF!,5,FALSE)&gt;2,HLOOKUP($A211,#REF!,5,FALSE)&lt;-2),"",#REF!),"")</f>
        <v/>
      </c>
      <c r="H211" t="str">
        <f>IFERROR(IF(OR(HLOOKUP($A211,#REF!,6,FALSE)&gt;2,HLOOKUP($A211,#REF!,6,FALSE)&lt;-2),"",#REF!),"")</f>
        <v/>
      </c>
      <c r="I211" t="str">
        <f>IFERROR(IF(OR(HLOOKUP($A211,#REF!,7,FALSE)&gt;2,HLOOKUP($A211,#REF!,7,FALSE)&lt;-2),"",#REF!),"")</f>
        <v/>
      </c>
      <c r="J211" t="str">
        <f>IFERROR(IF(OR(HLOOKUP($A211,#REF!,8,FALSE)&gt;2,HLOOKUP($A211,#REF!,8,FALSE)&lt;-2),"",#REF!),"")</f>
        <v/>
      </c>
      <c r="K211" t="str">
        <f>IFERROR(IF(OR(HLOOKUP($A211,#REF!,9,FALSE)&gt;2,HLOOKUP($A211,#REF!,9,FALSE)&lt;-2),"",#REF!),"")</f>
        <v/>
      </c>
      <c r="L211" t="str">
        <f>IFERROR(IF(OR(HLOOKUP($A211,#REF!,10,FALSE)&gt;2,HLOOKUP($A211,#REF!,10,FALSE)&lt;-2),"",#REF!),"")</f>
        <v/>
      </c>
      <c r="M211" t="str">
        <f>IFERROR(IF(OR(HLOOKUP($A211,#REF!,11,FALSE)&gt;2,HLOOKUP($A211,#REF!,11,FALSE)&lt;-2),"",#REF!),"")</f>
        <v/>
      </c>
      <c r="N211" t="str">
        <f>IFERROR(IF(OR(HLOOKUP($A211,#REF!,12,FALSE)&gt;2,HLOOKUP($A211,#REF!,12,FALSE)&lt;-2),"",#REF!),"")</f>
        <v/>
      </c>
      <c r="O211" t="str">
        <f>IFERROR(IF(OR(HLOOKUP($A211,#REF!,13,FALSE)&gt;2,HLOOKUP($A211,#REF!,13,FALSE)&lt;-2),"",#REF!),"")</f>
        <v/>
      </c>
      <c r="P211" t="str">
        <f>IFERROR(IF(OR(HLOOKUP($A211,#REF!,14,FALSE)&gt;2,HLOOKUP($A211,#REF!,14,FALSE)&lt;-2),"",#REF!),"")</f>
        <v/>
      </c>
      <c r="Q211" t="str">
        <f>IFERROR(IF(OR(HLOOKUP($A211,#REF!,15,FALSE)&gt;2,HLOOKUP($A211,#REF!,15,FALSE)&lt;-2),"",#REF!),"")</f>
        <v/>
      </c>
      <c r="R211" t="str">
        <f>IFERROR(IF(OR(HLOOKUP($A211,#REF!,16,FALSE)&gt;2,HLOOKUP($A211,#REF!,16,FALSE)&lt;-2),"",#REF!),"")</f>
        <v/>
      </c>
      <c r="S211" t="str">
        <f>IFERROR(IF(OR(HLOOKUP($A211,#REF!,17,FALSE)&gt;2,HLOOKUP($A211,#REF!,17,FALSE)&lt;-2),"",#REF!),"")</f>
        <v/>
      </c>
      <c r="T211" t="str">
        <f>IFERROR(IF(OR(HLOOKUP($A211,#REF!,18,FALSE)&gt;2,HLOOKUP($A211,#REF!,18,FALSE)&lt;-2),"",#REF!),"")</f>
        <v/>
      </c>
      <c r="U211" t="str">
        <f>IFERROR(IF(OR(HLOOKUP($A211,#REF!,19,FALSE)&gt;2,HLOOKUP($A211,#REF!,19,FALSE)&lt;-2),"",#REF!),"")</f>
        <v/>
      </c>
      <c r="V211">
        <f t="shared" si="12"/>
        <v>1</v>
      </c>
      <c r="W211" t="str">
        <f t="shared" si="13"/>
        <v/>
      </c>
      <c r="X211" t="str">
        <f t="shared" si="14"/>
        <v/>
      </c>
      <c r="Y211" t="str">
        <f t="shared" si="15"/>
        <v/>
      </c>
    </row>
    <row r="212" spans="1:25" x14ac:dyDescent="0.35">
      <c r="A212">
        <v>216</v>
      </c>
      <c r="B212" t="s">
        <v>691</v>
      </c>
      <c r="C212">
        <v>35500</v>
      </c>
      <c r="D212">
        <v>655</v>
      </c>
      <c r="E212" t="str">
        <f>IFERROR(IF(OR(HLOOKUP($A212,#REF!,3,FALSE)&gt;2,HLOOKUP(A212,#REF!,3,FALSE)&lt;-2),"",#REF!),"")</f>
        <v/>
      </c>
      <c r="F212" t="str">
        <f>IFERROR(IF(OR(HLOOKUP($A212,#REF!,4,FALSE)&gt;2,HLOOKUP($A212,#REF!,4,FALSE)&lt;-2),"",#REF!),"")</f>
        <v/>
      </c>
      <c r="G212" t="str">
        <f>IFERROR(IF(OR(HLOOKUP($A212,#REF!,5,FALSE)&gt;2,HLOOKUP($A212,#REF!,5,FALSE)&lt;-2),"",#REF!),"")</f>
        <v/>
      </c>
      <c r="H212" t="str">
        <f>IFERROR(IF(OR(HLOOKUP($A212,#REF!,6,FALSE)&gt;2,HLOOKUP($A212,#REF!,6,FALSE)&lt;-2),"",#REF!),"")</f>
        <v/>
      </c>
      <c r="I212" t="str">
        <f>IFERROR(IF(OR(HLOOKUP($A212,#REF!,7,FALSE)&gt;2,HLOOKUP($A212,#REF!,7,FALSE)&lt;-2),"",#REF!),"")</f>
        <v/>
      </c>
      <c r="J212" t="str">
        <f>IFERROR(IF(OR(HLOOKUP($A212,#REF!,8,FALSE)&gt;2,HLOOKUP($A212,#REF!,8,FALSE)&lt;-2),"",#REF!),"")</f>
        <v/>
      </c>
      <c r="K212" t="str">
        <f>IFERROR(IF(OR(HLOOKUP($A212,#REF!,9,FALSE)&gt;2,HLOOKUP($A212,#REF!,9,FALSE)&lt;-2),"",#REF!),"")</f>
        <v/>
      </c>
      <c r="L212" t="str">
        <f>IFERROR(IF(OR(HLOOKUP($A212,#REF!,10,FALSE)&gt;2,HLOOKUP($A212,#REF!,10,FALSE)&lt;-2),"",#REF!),"")</f>
        <v/>
      </c>
      <c r="M212" t="str">
        <f>IFERROR(IF(OR(HLOOKUP($A212,#REF!,11,FALSE)&gt;2,HLOOKUP($A212,#REF!,11,FALSE)&lt;-2),"",#REF!),"")</f>
        <v/>
      </c>
      <c r="N212" t="str">
        <f>IFERROR(IF(OR(HLOOKUP($A212,#REF!,12,FALSE)&gt;2,HLOOKUP($A212,#REF!,12,FALSE)&lt;-2),"",#REF!),"")</f>
        <v/>
      </c>
      <c r="O212" t="str">
        <f>IFERROR(IF(OR(HLOOKUP($A212,#REF!,13,FALSE)&gt;2,HLOOKUP($A212,#REF!,13,FALSE)&lt;-2),"",#REF!),"")</f>
        <v/>
      </c>
      <c r="P212" t="str">
        <f>IFERROR(IF(OR(HLOOKUP($A212,#REF!,14,FALSE)&gt;2,HLOOKUP($A212,#REF!,14,FALSE)&lt;-2),"",#REF!),"")</f>
        <v/>
      </c>
      <c r="Q212" t="str">
        <f>IFERROR(IF(OR(HLOOKUP($A212,#REF!,15,FALSE)&gt;2,HLOOKUP($A212,#REF!,15,FALSE)&lt;-2),"",#REF!),"")</f>
        <v/>
      </c>
      <c r="R212" t="str">
        <f>IFERROR(IF(OR(HLOOKUP($A212,#REF!,16,FALSE)&gt;2,HLOOKUP($A212,#REF!,16,FALSE)&lt;-2),"",#REF!),"")</f>
        <v/>
      </c>
      <c r="S212" t="str">
        <f>IFERROR(IF(OR(HLOOKUP($A212,#REF!,17,FALSE)&gt;2,HLOOKUP($A212,#REF!,17,FALSE)&lt;-2),"",#REF!),"")</f>
        <v/>
      </c>
      <c r="T212" t="str">
        <f>IFERROR(IF(OR(HLOOKUP($A212,#REF!,18,FALSE)&gt;2,HLOOKUP($A212,#REF!,18,FALSE)&lt;-2),"",#REF!),"")</f>
        <v/>
      </c>
      <c r="U212" t="str">
        <f>IFERROR(IF(OR(HLOOKUP($A212,#REF!,19,FALSE)&gt;2,HLOOKUP($A212,#REF!,19,FALSE)&lt;-2),"",#REF!),"")</f>
        <v/>
      </c>
      <c r="V212">
        <f t="shared" si="12"/>
        <v>1</v>
      </c>
      <c r="W212" t="str">
        <f t="shared" si="13"/>
        <v/>
      </c>
      <c r="X212" t="str">
        <f t="shared" si="14"/>
        <v/>
      </c>
      <c r="Y212" t="str">
        <f t="shared" si="15"/>
        <v/>
      </c>
    </row>
    <row r="213" spans="1:25" x14ac:dyDescent="0.35">
      <c r="A213">
        <v>217</v>
      </c>
      <c r="B213" t="s">
        <v>124</v>
      </c>
      <c r="C213">
        <v>96300</v>
      </c>
      <c r="D213">
        <v>701</v>
      </c>
      <c r="E213" t="str">
        <f>IFERROR(IF(OR(HLOOKUP($A213,#REF!,3,FALSE)&gt;2,HLOOKUP(A213,#REF!,3,FALSE)&lt;-2),"",#REF!),"")</f>
        <v/>
      </c>
      <c r="F213" t="str">
        <f>IFERROR(IF(OR(HLOOKUP($A213,#REF!,4,FALSE)&gt;2,HLOOKUP($A213,#REF!,4,FALSE)&lt;-2),"",#REF!),"")</f>
        <v/>
      </c>
      <c r="G213" t="str">
        <f>IFERROR(IF(OR(HLOOKUP($A213,#REF!,5,FALSE)&gt;2,HLOOKUP($A213,#REF!,5,FALSE)&lt;-2),"",#REF!),"")</f>
        <v/>
      </c>
      <c r="H213" t="str">
        <f>IFERROR(IF(OR(HLOOKUP($A213,#REF!,6,FALSE)&gt;2,HLOOKUP($A213,#REF!,6,FALSE)&lt;-2),"",#REF!),"")</f>
        <v/>
      </c>
      <c r="I213" t="str">
        <f>IFERROR(IF(OR(HLOOKUP($A213,#REF!,7,FALSE)&gt;2,HLOOKUP($A213,#REF!,7,FALSE)&lt;-2),"",#REF!),"")</f>
        <v/>
      </c>
      <c r="J213" t="str">
        <f>IFERROR(IF(OR(HLOOKUP($A213,#REF!,8,FALSE)&gt;2,HLOOKUP($A213,#REF!,8,FALSE)&lt;-2),"",#REF!),"")</f>
        <v/>
      </c>
      <c r="K213" t="str">
        <f>IFERROR(IF(OR(HLOOKUP($A213,#REF!,9,FALSE)&gt;2,HLOOKUP($A213,#REF!,9,FALSE)&lt;-2),"",#REF!),"")</f>
        <v/>
      </c>
      <c r="L213" t="str">
        <f>IFERROR(IF(OR(HLOOKUP($A213,#REF!,10,FALSE)&gt;2,HLOOKUP($A213,#REF!,10,FALSE)&lt;-2),"",#REF!),"")</f>
        <v/>
      </c>
      <c r="M213" t="str">
        <f>IFERROR(IF(OR(HLOOKUP($A213,#REF!,11,FALSE)&gt;2,HLOOKUP($A213,#REF!,11,FALSE)&lt;-2),"",#REF!),"")</f>
        <v/>
      </c>
      <c r="N213" t="str">
        <f>IFERROR(IF(OR(HLOOKUP($A213,#REF!,12,FALSE)&gt;2,HLOOKUP($A213,#REF!,12,FALSE)&lt;-2),"",#REF!),"")</f>
        <v/>
      </c>
      <c r="O213" t="str">
        <f>IFERROR(IF(OR(HLOOKUP($A213,#REF!,13,FALSE)&gt;2,HLOOKUP($A213,#REF!,13,FALSE)&lt;-2),"",#REF!),"")</f>
        <v/>
      </c>
      <c r="P213" t="str">
        <f>IFERROR(IF(OR(HLOOKUP($A213,#REF!,14,FALSE)&gt;2,HLOOKUP($A213,#REF!,14,FALSE)&lt;-2),"",#REF!),"")</f>
        <v/>
      </c>
      <c r="Q213" t="str">
        <f>IFERROR(IF(OR(HLOOKUP($A213,#REF!,15,FALSE)&gt;2,HLOOKUP($A213,#REF!,15,FALSE)&lt;-2),"",#REF!),"")</f>
        <v/>
      </c>
      <c r="R213" t="str">
        <f>IFERROR(IF(OR(HLOOKUP($A213,#REF!,16,FALSE)&gt;2,HLOOKUP($A213,#REF!,16,FALSE)&lt;-2),"",#REF!),"")</f>
        <v/>
      </c>
      <c r="S213" t="str">
        <f>IFERROR(IF(OR(HLOOKUP($A213,#REF!,17,FALSE)&gt;2,HLOOKUP($A213,#REF!,17,FALSE)&lt;-2),"",#REF!),"")</f>
        <v/>
      </c>
      <c r="T213" t="str">
        <f>IFERROR(IF(OR(HLOOKUP($A213,#REF!,18,FALSE)&gt;2,HLOOKUP($A213,#REF!,18,FALSE)&lt;-2),"",#REF!),"")</f>
        <v/>
      </c>
      <c r="U213" t="str">
        <f>IFERROR(IF(OR(HLOOKUP($A213,#REF!,19,FALSE)&gt;2,HLOOKUP($A213,#REF!,19,FALSE)&lt;-2),"",#REF!),"")</f>
        <v/>
      </c>
      <c r="V213">
        <f t="shared" si="12"/>
        <v>1</v>
      </c>
      <c r="W213" t="str">
        <f t="shared" si="13"/>
        <v/>
      </c>
      <c r="X213" t="str">
        <f t="shared" si="14"/>
        <v/>
      </c>
      <c r="Y213" t="str">
        <f t="shared" si="15"/>
        <v/>
      </c>
    </row>
    <row r="214" spans="1:25" x14ac:dyDescent="0.35">
      <c r="A214">
        <v>218</v>
      </c>
      <c r="B214" t="s">
        <v>125</v>
      </c>
      <c r="C214">
        <v>65800</v>
      </c>
      <c r="D214">
        <v>138</v>
      </c>
      <c r="E214" t="str">
        <f>IFERROR(IF(OR(HLOOKUP($A214,#REF!,3,FALSE)&gt;2,HLOOKUP(A214,#REF!,3,FALSE)&lt;-2),"",#REF!),"")</f>
        <v/>
      </c>
      <c r="F214" t="str">
        <f>IFERROR(IF(OR(HLOOKUP($A214,#REF!,4,FALSE)&gt;2,HLOOKUP($A214,#REF!,4,FALSE)&lt;-2),"",#REF!),"")</f>
        <v/>
      </c>
      <c r="G214" t="str">
        <f>IFERROR(IF(OR(HLOOKUP($A214,#REF!,5,FALSE)&gt;2,HLOOKUP($A214,#REF!,5,FALSE)&lt;-2),"",#REF!),"")</f>
        <v/>
      </c>
      <c r="H214" t="str">
        <f>IFERROR(IF(OR(HLOOKUP($A214,#REF!,6,FALSE)&gt;2,HLOOKUP($A214,#REF!,6,FALSE)&lt;-2),"",#REF!),"")</f>
        <v/>
      </c>
      <c r="I214" t="str">
        <f>IFERROR(IF(OR(HLOOKUP($A214,#REF!,7,FALSE)&gt;2,HLOOKUP($A214,#REF!,7,FALSE)&lt;-2),"",#REF!),"")</f>
        <v/>
      </c>
      <c r="J214" t="str">
        <f>IFERROR(IF(OR(HLOOKUP($A214,#REF!,8,FALSE)&gt;2,HLOOKUP($A214,#REF!,8,FALSE)&lt;-2),"",#REF!),"")</f>
        <v/>
      </c>
      <c r="K214" t="str">
        <f>IFERROR(IF(OR(HLOOKUP($A214,#REF!,9,FALSE)&gt;2,HLOOKUP($A214,#REF!,9,FALSE)&lt;-2),"",#REF!),"")</f>
        <v/>
      </c>
      <c r="L214" t="str">
        <f>IFERROR(IF(OR(HLOOKUP($A214,#REF!,10,FALSE)&gt;2,HLOOKUP($A214,#REF!,10,FALSE)&lt;-2),"",#REF!),"")</f>
        <v/>
      </c>
      <c r="M214" t="str">
        <f>IFERROR(IF(OR(HLOOKUP($A214,#REF!,11,FALSE)&gt;2,HLOOKUP($A214,#REF!,11,FALSE)&lt;-2),"",#REF!),"")</f>
        <v/>
      </c>
      <c r="N214" t="str">
        <f>IFERROR(IF(OR(HLOOKUP($A214,#REF!,12,FALSE)&gt;2,HLOOKUP($A214,#REF!,12,FALSE)&lt;-2),"",#REF!),"")</f>
        <v/>
      </c>
      <c r="O214" t="str">
        <f>IFERROR(IF(OR(HLOOKUP($A214,#REF!,13,FALSE)&gt;2,HLOOKUP($A214,#REF!,13,FALSE)&lt;-2),"",#REF!),"")</f>
        <v/>
      </c>
      <c r="P214" t="str">
        <f>IFERROR(IF(OR(HLOOKUP($A214,#REF!,14,FALSE)&gt;2,HLOOKUP($A214,#REF!,14,FALSE)&lt;-2),"",#REF!),"")</f>
        <v/>
      </c>
      <c r="Q214" t="str">
        <f>IFERROR(IF(OR(HLOOKUP($A214,#REF!,15,FALSE)&gt;2,HLOOKUP($A214,#REF!,15,FALSE)&lt;-2),"",#REF!),"")</f>
        <v/>
      </c>
      <c r="R214" t="str">
        <f>IFERROR(IF(OR(HLOOKUP($A214,#REF!,16,FALSE)&gt;2,HLOOKUP($A214,#REF!,16,FALSE)&lt;-2),"",#REF!),"")</f>
        <v/>
      </c>
      <c r="S214" t="str">
        <f>IFERROR(IF(OR(HLOOKUP($A214,#REF!,17,FALSE)&gt;2,HLOOKUP($A214,#REF!,17,FALSE)&lt;-2),"",#REF!),"")</f>
        <v/>
      </c>
      <c r="T214" t="str">
        <f>IFERROR(IF(OR(HLOOKUP($A214,#REF!,18,FALSE)&gt;2,HLOOKUP($A214,#REF!,18,FALSE)&lt;-2),"",#REF!),"")</f>
        <v/>
      </c>
      <c r="U214" t="str">
        <f>IFERROR(IF(OR(HLOOKUP($A214,#REF!,19,FALSE)&gt;2,HLOOKUP($A214,#REF!,19,FALSE)&lt;-2),"",#REF!),"")</f>
        <v/>
      </c>
      <c r="V214">
        <f t="shared" si="12"/>
        <v>1</v>
      </c>
      <c r="W214" t="str">
        <f t="shared" si="13"/>
        <v/>
      </c>
      <c r="X214" t="str">
        <f t="shared" si="14"/>
        <v/>
      </c>
      <c r="Y214" t="str">
        <f t="shared" si="15"/>
        <v/>
      </c>
    </row>
    <row r="215" spans="1:25" x14ac:dyDescent="0.35">
      <c r="A215">
        <v>219</v>
      </c>
      <c r="B215" t="s">
        <v>692</v>
      </c>
      <c r="C215">
        <v>1100</v>
      </c>
      <c r="D215">
        <v>500</v>
      </c>
      <c r="E215" t="str">
        <f>IFERROR(IF(OR(HLOOKUP($A215,#REF!,3,FALSE)&gt;2,HLOOKUP(A215,#REF!,3,FALSE)&lt;-2),"",#REF!),"")</f>
        <v/>
      </c>
      <c r="F215" t="str">
        <f>IFERROR(IF(OR(HLOOKUP($A215,#REF!,4,FALSE)&gt;2,HLOOKUP($A215,#REF!,4,FALSE)&lt;-2),"",#REF!),"")</f>
        <v/>
      </c>
      <c r="G215" t="str">
        <f>IFERROR(IF(OR(HLOOKUP($A215,#REF!,5,FALSE)&gt;2,HLOOKUP($A215,#REF!,5,FALSE)&lt;-2),"",#REF!),"")</f>
        <v/>
      </c>
      <c r="H215" t="str">
        <f>IFERROR(IF(OR(HLOOKUP($A215,#REF!,6,FALSE)&gt;2,HLOOKUP($A215,#REF!,6,FALSE)&lt;-2),"",#REF!),"")</f>
        <v/>
      </c>
      <c r="I215" t="str">
        <f>IFERROR(IF(OR(HLOOKUP($A215,#REF!,7,FALSE)&gt;2,HLOOKUP($A215,#REF!,7,FALSE)&lt;-2),"",#REF!),"")</f>
        <v/>
      </c>
      <c r="J215" t="str">
        <f>IFERROR(IF(OR(HLOOKUP($A215,#REF!,8,FALSE)&gt;2,HLOOKUP($A215,#REF!,8,FALSE)&lt;-2),"",#REF!),"")</f>
        <v/>
      </c>
      <c r="K215" t="str">
        <f>IFERROR(IF(OR(HLOOKUP($A215,#REF!,9,FALSE)&gt;2,HLOOKUP($A215,#REF!,9,FALSE)&lt;-2),"",#REF!),"")</f>
        <v/>
      </c>
      <c r="L215" t="str">
        <f>IFERROR(IF(OR(HLOOKUP($A215,#REF!,10,FALSE)&gt;2,HLOOKUP($A215,#REF!,10,FALSE)&lt;-2),"",#REF!),"")</f>
        <v/>
      </c>
      <c r="M215" t="str">
        <f>IFERROR(IF(OR(HLOOKUP($A215,#REF!,11,FALSE)&gt;2,HLOOKUP($A215,#REF!,11,FALSE)&lt;-2),"",#REF!),"")</f>
        <v/>
      </c>
      <c r="N215" t="str">
        <f>IFERROR(IF(OR(HLOOKUP($A215,#REF!,12,FALSE)&gt;2,HLOOKUP($A215,#REF!,12,FALSE)&lt;-2),"",#REF!),"")</f>
        <v/>
      </c>
      <c r="O215" t="str">
        <f>IFERROR(IF(OR(HLOOKUP($A215,#REF!,13,FALSE)&gt;2,HLOOKUP($A215,#REF!,13,FALSE)&lt;-2),"",#REF!),"")</f>
        <v/>
      </c>
      <c r="P215" t="str">
        <f>IFERROR(IF(OR(HLOOKUP($A215,#REF!,14,FALSE)&gt;2,HLOOKUP($A215,#REF!,14,FALSE)&lt;-2),"",#REF!),"")</f>
        <v/>
      </c>
      <c r="Q215" t="str">
        <f>IFERROR(IF(OR(HLOOKUP($A215,#REF!,15,FALSE)&gt;2,HLOOKUP($A215,#REF!,15,FALSE)&lt;-2),"",#REF!),"")</f>
        <v/>
      </c>
      <c r="R215" t="str">
        <f>IFERROR(IF(OR(HLOOKUP($A215,#REF!,16,FALSE)&gt;2,HLOOKUP($A215,#REF!,16,FALSE)&lt;-2),"",#REF!),"")</f>
        <v/>
      </c>
      <c r="S215" t="str">
        <f>IFERROR(IF(OR(HLOOKUP($A215,#REF!,17,FALSE)&gt;2,HLOOKUP($A215,#REF!,17,FALSE)&lt;-2),"",#REF!),"")</f>
        <v/>
      </c>
      <c r="T215" t="str">
        <f>IFERROR(IF(OR(HLOOKUP($A215,#REF!,18,FALSE)&gt;2,HLOOKUP($A215,#REF!,18,FALSE)&lt;-2),"",#REF!),"")</f>
        <v/>
      </c>
      <c r="U215" t="str">
        <f>IFERROR(IF(OR(HLOOKUP($A215,#REF!,19,FALSE)&gt;2,HLOOKUP($A215,#REF!,19,FALSE)&lt;-2),"",#REF!),"")</f>
        <v/>
      </c>
      <c r="V215">
        <f t="shared" si="12"/>
        <v>1</v>
      </c>
      <c r="W215" t="str">
        <f t="shared" si="13"/>
        <v/>
      </c>
      <c r="X215" t="str">
        <f t="shared" si="14"/>
        <v/>
      </c>
      <c r="Y215" t="str">
        <f t="shared" si="15"/>
        <v/>
      </c>
    </row>
    <row r="216" spans="1:25" x14ac:dyDescent="0.35">
      <c r="A216">
        <v>220</v>
      </c>
      <c r="B216" t="s">
        <v>693</v>
      </c>
      <c r="C216">
        <v>30200</v>
      </c>
      <c r="D216">
        <v>507</v>
      </c>
      <c r="E216" t="str">
        <f>IFERROR(IF(OR(HLOOKUP($A216,#REF!,3,FALSE)&gt;2,HLOOKUP(A216,#REF!,3,FALSE)&lt;-2),"",#REF!),"")</f>
        <v/>
      </c>
      <c r="F216" t="str">
        <f>IFERROR(IF(OR(HLOOKUP($A216,#REF!,4,FALSE)&gt;2,HLOOKUP($A216,#REF!,4,FALSE)&lt;-2),"",#REF!),"")</f>
        <v/>
      </c>
      <c r="G216" t="str">
        <f>IFERROR(IF(OR(HLOOKUP($A216,#REF!,5,FALSE)&gt;2,HLOOKUP($A216,#REF!,5,FALSE)&lt;-2),"",#REF!),"")</f>
        <v/>
      </c>
      <c r="H216" t="str">
        <f>IFERROR(IF(OR(HLOOKUP($A216,#REF!,6,FALSE)&gt;2,HLOOKUP($A216,#REF!,6,FALSE)&lt;-2),"",#REF!),"")</f>
        <v/>
      </c>
      <c r="I216" t="str">
        <f>IFERROR(IF(OR(HLOOKUP($A216,#REF!,7,FALSE)&gt;2,HLOOKUP($A216,#REF!,7,FALSE)&lt;-2),"",#REF!),"")</f>
        <v/>
      </c>
      <c r="J216" t="str">
        <f>IFERROR(IF(OR(HLOOKUP($A216,#REF!,8,FALSE)&gt;2,HLOOKUP($A216,#REF!,8,FALSE)&lt;-2),"",#REF!),"")</f>
        <v/>
      </c>
      <c r="K216" t="str">
        <f>IFERROR(IF(OR(HLOOKUP($A216,#REF!,9,FALSE)&gt;2,HLOOKUP($A216,#REF!,9,FALSE)&lt;-2),"",#REF!),"")</f>
        <v/>
      </c>
      <c r="L216" t="str">
        <f>IFERROR(IF(OR(HLOOKUP($A216,#REF!,10,FALSE)&gt;2,HLOOKUP($A216,#REF!,10,FALSE)&lt;-2),"",#REF!),"")</f>
        <v/>
      </c>
      <c r="M216" t="str">
        <f>IFERROR(IF(OR(HLOOKUP($A216,#REF!,11,FALSE)&gt;2,HLOOKUP($A216,#REF!,11,FALSE)&lt;-2),"",#REF!),"")</f>
        <v/>
      </c>
      <c r="N216" t="str">
        <f>IFERROR(IF(OR(HLOOKUP($A216,#REF!,12,FALSE)&gt;2,HLOOKUP($A216,#REF!,12,FALSE)&lt;-2),"",#REF!),"")</f>
        <v/>
      </c>
      <c r="O216" t="str">
        <f>IFERROR(IF(OR(HLOOKUP($A216,#REF!,13,FALSE)&gt;2,HLOOKUP($A216,#REF!,13,FALSE)&lt;-2),"",#REF!),"")</f>
        <v/>
      </c>
      <c r="P216" t="str">
        <f>IFERROR(IF(OR(HLOOKUP($A216,#REF!,14,FALSE)&gt;2,HLOOKUP($A216,#REF!,14,FALSE)&lt;-2),"",#REF!),"")</f>
        <v/>
      </c>
      <c r="Q216" t="str">
        <f>IFERROR(IF(OR(HLOOKUP($A216,#REF!,15,FALSE)&gt;2,HLOOKUP($A216,#REF!,15,FALSE)&lt;-2),"",#REF!),"")</f>
        <v/>
      </c>
      <c r="R216" t="str">
        <f>IFERROR(IF(OR(HLOOKUP($A216,#REF!,16,FALSE)&gt;2,HLOOKUP($A216,#REF!,16,FALSE)&lt;-2),"",#REF!),"")</f>
        <v/>
      </c>
      <c r="S216" t="str">
        <f>IFERROR(IF(OR(HLOOKUP($A216,#REF!,17,FALSE)&gt;2,HLOOKUP($A216,#REF!,17,FALSE)&lt;-2),"",#REF!),"")</f>
        <v/>
      </c>
      <c r="T216" t="str">
        <f>IFERROR(IF(OR(HLOOKUP($A216,#REF!,18,FALSE)&gt;2,HLOOKUP($A216,#REF!,18,FALSE)&lt;-2),"",#REF!),"")</f>
        <v/>
      </c>
      <c r="U216" t="str">
        <f>IFERROR(IF(OR(HLOOKUP($A216,#REF!,19,FALSE)&gt;2,HLOOKUP($A216,#REF!,19,FALSE)&lt;-2),"",#REF!),"")</f>
        <v/>
      </c>
      <c r="V216">
        <f t="shared" si="12"/>
        <v>1</v>
      </c>
      <c r="W216" t="str">
        <f t="shared" si="13"/>
        <v/>
      </c>
      <c r="X216" t="str">
        <f t="shared" si="14"/>
        <v/>
      </c>
      <c r="Y216" t="str">
        <f t="shared" si="15"/>
        <v/>
      </c>
    </row>
    <row r="217" spans="1:25" x14ac:dyDescent="0.35">
      <c r="A217">
        <v>221</v>
      </c>
      <c r="B217" t="s">
        <v>694</v>
      </c>
      <c r="C217">
        <v>109900</v>
      </c>
      <c r="D217">
        <v>863</v>
      </c>
      <c r="E217" t="str">
        <f>IFERROR(IF(OR(HLOOKUP($A217,#REF!,3,FALSE)&gt;2,HLOOKUP(A217,#REF!,3,FALSE)&lt;-2),"",#REF!),"")</f>
        <v/>
      </c>
      <c r="F217" t="str">
        <f>IFERROR(IF(OR(HLOOKUP($A217,#REF!,4,FALSE)&gt;2,HLOOKUP($A217,#REF!,4,FALSE)&lt;-2),"",#REF!),"")</f>
        <v/>
      </c>
      <c r="G217" t="str">
        <f>IFERROR(IF(OR(HLOOKUP($A217,#REF!,5,FALSE)&gt;2,HLOOKUP($A217,#REF!,5,FALSE)&lt;-2),"",#REF!),"")</f>
        <v/>
      </c>
      <c r="H217" t="str">
        <f>IFERROR(IF(OR(HLOOKUP($A217,#REF!,6,FALSE)&gt;2,HLOOKUP($A217,#REF!,6,FALSE)&lt;-2),"",#REF!),"")</f>
        <v/>
      </c>
      <c r="I217" t="str">
        <f>IFERROR(IF(OR(HLOOKUP($A217,#REF!,7,FALSE)&gt;2,HLOOKUP($A217,#REF!,7,FALSE)&lt;-2),"",#REF!),"")</f>
        <v/>
      </c>
      <c r="J217" t="str">
        <f>IFERROR(IF(OR(HLOOKUP($A217,#REF!,8,FALSE)&gt;2,HLOOKUP($A217,#REF!,8,FALSE)&lt;-2),"",#REF!),"")</f>
        <v/>
      </c>
      <c r="K217" t="str">
        <f>IFERROR(IF(OR(HLOOKUP($A217,#REF!,9,FALSE)&gt;2,HLOOKUP($A217,#REF!,9,FALSE)&lt;-2),"",#REF!),"")</f>
        <v/>
      </c>
      <c r="L217" t="str">
        <f>IFERROR(IF(OR(HLOOKUP($A217,#REF!,10,FALSE)&gt;2,HLOOKUP($A217,#REF!,10,FALSE)&lt;-2),"",#REF!),"")</f>
        <v/>
      </c>
      <c r="M217" t="str">
        <f>IFERROR(IF(OR(HLOOKUP($A217,#REF!,11,FALSE)&gt;2,HLOOKUP($A217,#REF!,11,FALSE)&lt;-2),"",#REF!),"")</f>
        <v/>
      </c>
      <c r="N217" t="str">
        <f>IFERROR(IF(OR(HLOOKUP($A217,#REF!,12,FALSE)&gt;2,HLOOKUP($A217,#REF!,12,FALSE)&lt;-2),"",#REF!),"")</f>
        <v/>
      </c>
      <c r="O217" t="str">
        <f>IFERROR(IF(OR(HLOOKUP($A217,#REF!,13,FALSE)&gt;2,HLOOKUP($A217,#REF!,13,FALSE)&lt;-2),"",#REF!),"")</f>
        <v/>
      </c>
      <c r="P217" t="str">
        <f>IFERROR(IF(OR(HLOOKUP($A217,#REF!,14,FALSE)&gt;2,HLOOKUP($A217,#REF!,14,FALSE)&lt;-2),"",#REF!),"")</f>
        <v/>
      </c>
      <c r="Q217" t="str">
        <f>IFERROR(IF(OR(HLOOKUP($A217,#REF!,15,FALSE)&gt;2,HLOOKUP($A217,#REF!,15,FALSE)&lt;-2),"",#REF!),"")</f>
        <v/>
      </c>
      <c r="R217" t="str">
        <f>IFERROR(IF(OR(HLOOKUP($A217,#REF!,16,FALSE)&gt;2,HLOOKUP($A217,#REF!,16,FALSE)&lt;-2),"",#REF!),"")</f>
        <v/>
      </c>
      <c r="S217" t="str">
        <f>IFERROR(IF(OR(HLOOKUP($A217,#REF!,17,FALSE)&gt;2,HLOOKUP($A217,#REF!,17,FALSE)&lt;-2),"",#REF!),"")</f>
        <v/>
      </c>
      <c r="T217" t="str">
        <f>IFERROR(IF(OR(HLOOKUP($A217,#REF!,18,FALSE)&gt;2,HLOOKUP($A217,#REF!,18,FALSE)&lt;-2),"",#REF!),"")</f>
        <v/>
      </c>
      <c r="U217" t="str">
        <f>IFERROR(IF(OR(HLOOKUP($A217,#REF!,19,FALSE)&gt;2,HLOOKUP($A217,#REF!,19,FALSE)&lt;-2),"",#REF!),"")</f>
        <v/>
      </c>
      <c r="V217">
        <f t="shared" si="12"/>
        <v>1</v>
      </c>
      <c r="W217" t="str">
        <f t="shared" si="13"/>
        <v/>
      </c>
      <c r="X217" t="str">
        <f t="shared" si="14"/>
        <v/>
      </c>
      <c r="Y217" t="str">
        <f t="shared" si="15"/>
        <v/>
      </c>
    </row>
    <row r="218" spans="1:25" x14ac:dyDescent="0.35">
      <c r="A218">
        <v>222</v>
      </c>
      <c r="B218" t="s">
        <v>695</v>
      </c>
      <c r="C218">
        <v>97100</v>
      </c>
      <c r="D218">
        <v>379</v>
      </c>
      <c r="E218" t="str">
        <f>IFERROR(IF(OR(HLOOKUP($A218,#REF!,3,FALSE)&gt;2,HLOOKUP(A218,#REF!,3,FALSE)&lt;-2),"",#REF!),"")</f>
        <v/>
      </c>
      <c r="F218" t="str">
        <f>IFERROR(IF(OR(HLOOKUP($A218,#REF!,4,FALSE)&gt;2,HLOOKUP($A218,#REF!,4,FALSE)&lt;-2),"",#REF!),"")</f>
        <v/>
      </c>
      <c r="G218" t="str">
        <f>IFERROR(IF(OR(HLOOKUP($A218,#REF!,5,FALSE)&gt;2,HLOOKUP($A218,#REF!,5,FALSE)&lt;-2),"",#REF!),"")</f>
        <v/>
      </c>
      <c r="H218" t="str">
        <f>IFERROR(IF(OR(HLOOKUP($A218,#REF!,6,FALSE)&gt;2,HLOOKUP($A218,#REF!,6,FALSE)&lt;-2),"",#REF!),"")</f>
        <v/>
      </c>
      <c r="I218" t="str">
        <f>IFERROR(IF(OR(HLOOKUP($A218,#REF!,7,FALSE)&gt;2,HLOOKUP($A218,#REF!,7,FALSE)&lt;-2),"",#REF!),"")</f>
        <v/>
      </c>
      <c r="J218" t="str">
        <f>IFERROR(IF(OR(HLOOKUP($A218,#REF!,8,FALSE)&gt;2,HLOOKUP($A218,#REF!,8,FALSE)&lt;-2),"",#REF!),"")</f>
        <v/>
      </c>
      <c r="K218" t="str">
        <f>IFERROR(IF(OR(HLOOKUP($A218,#REF!,9,FALSE)&gt;2,HLOOKUP($A218,#REF!,9,FALSE)&lt;-2),"",#REF!),"")</f>
        <v/>
      </c>
      <c r="L218" t="str">
        <f>IFERROR(IF(OR(HLOOKUP($A218,#REF!,10,FALSE)&gt;2,HLOOKUP($A218,#REF!,10,FALSE)&lt;-2),"",#REF!),"")</f>
        <v/>
      </c>
      <c r="M218" t="str">
        <f>IFERROR(IF(OR(HLOOKUP($A218,#REF!,11,FALSE)&gt;2,HLOOKUP($A218,#REF!,11,FALSE)&lt;-2),"",#REF!),"")</f>
        <v/>
      </c>
      <c r="N218" t="str">
        <f>IFERROR(IF(OR(HLOOKUP($A218,#REF!,12,FALSE)&gt;2,HLOOKUP($A218,#REF!,12,FALSE)&lt;-2),"",#REF!),"")</f>
        <v/>
      </c>
      <c r="O218" t="str">
        <f>IFERROR(IF(OR(HLOOKUP($A218,#REF!,13,FALSE)&gt;2,HLOOKUP($A218,#REF!,13,FALSE)&lt;-2),"",#REF!),"")</f>
        <v/>
      </c>
      <c r="P218" t="str">
        <f>IFERROR(IF(OR(HLOOKUP($A218,#REF!,14,FALSE)&gt;2,HLOOKUP($A218,#REF!,14,FALSE)&lt;-2),"",#REF!),"")</f>
        <v/>
      </c>
      <c r="Q218" t="str">
        <f>IFERROR(IF(OR(HLOOKUP($A218,#REF!,15,FALSE)&gt;2,HLOOKUP($A218,#REF!,15,FALSE)&lt;-2),"",#REF!),"")</f>
        <v/>
      </c>
      <c r="R218" t="str">
        <f>IFERROR(IF(OR(HLOOKUP($A218,#REF!,16,FALSE)&gt;2,HLOOKUP($A218,#REF!,16,FALSE)&lt;-2),"",#REF!),"")</f>
        <v/>
      </c>
      <c r="S218" t="str">
        <f>IFERROR(IF(OR(HLOOKUP($A218,#REF!,17,FALSE)&gt;2,HLOOKUP($A218,#REF!,17,FALSE)&lt;-2),"",#REF!),"")</f>
        <v/>
      </c>
      <c r="T218" t="str">
        <f>IFERROR(IF(OR(HLOOKUP($A218,#REF!,18,FALSE)&gt;2,HLOOKUP($A218,#REF!,18,FALSE)&lt;-2),"",#REF!),"")</f>
        <v/>
      </c>
      <c r="U218" t="str">
        <f>IFERROR(IF(OR(HLOOKUP($A218,#REF!,19,FALSE)&gt;2,HLOOKUP($A218,#REF!,19,FALSE)&lt;-2),"",#REF!),"")</f>
        <v/>
      </c>
      <c r="V218">
        <f t="shared" si="12"/>
        <v>1</v>
      </c>
      <c r="W218" t="str">
        <f t="shared" si="13"/>
        <v/>
      </c>
      <c r="X218" t="str">
        <f t="shared" si="14"/>
        <v/>
      </c>
      <c r="Y218" t="str">
        <f t="shared" si="15"/>
        <v/>
      </c>
    </row>
    <row r="219" spans="1:25" x14ac:dyDescent="0.35">
      <c r="A219">
        <v>223</v>
      </c>
      <c r="B219" t="s">
        <v>126</v>
      </c>
      <c r="C219">
        <v>71800</v>
      </c>
      <c r="D219">
        <v>157</v>
      </c>
      <c r="E219" t="str">
        <f>IFERROR(IF(OR(HLOOKUP($A219,#REF!,3,FALSE)&gt;2,HLOOKUP(A219,#REF!,3,FALSE)&lt;-2),"",#REF!),"")</f>
        <v/>
      </c>
      <c r="F219" t="str">
        <f>IFERROR(IF(OR(HLOOKUP($A219,#REF!,4,FALSE)&gt;2,HLOOKUP($A219,#REF!,4,FALSE)&lt;-2),"",#REF!),"")</f>
        <v/>
      </c>
      <c r="G219" t="str">
        <f>IFERROR(IF(OR(HLOOKUP($A219,#REF!,5,FALSE)&gt;2,HLOOKUP($A219,#REF!,5,FALSE)&lt;-2),"",#REF!),"")</f>
        <v/>
      </c>
      <c r="H219" t="str">
        <f>IFERROR(IF(OR(HLOOKUP($A219,#REF!,6,FALSE)&gt;2,HLOOKUP($A219,#REF!,6,FALSE)&lt;-2),"",#REF!),"")</f>
        <v/>
      </c>
      <c r="I219" t="str">
        <f>IFERROR(IF(OR(HLOOKUP($A219,#REF!,7,FALSE)&gt;2,HLOOKUP($A219,#REF!,7,FALSE)&lt;-2),"",#REF!),"")</f>
        <v/>
      </c>
      <c r="J219" t="str">
        <f>IFERROR(IF(OR(HLOOKUP($A219,#REF!,8,FALSE)&gt;2,HLOOKUP($A219,#REF!,8,FALSE)&lt;-2),"",#REF!),"")</f>
        <v/>
      </c>
      <c r="K219" t="str">
        <f>IFERROR(IF(OR(HLOOKUP($A219,#REF!,9,FALSE)&gt;2,HLOOKUP($A219,#REF!,9,FALSE)&lt;-2),"",#REF!),"")</f>
        <v/>
      </c>
      <c r="L219" t="str">
        <f>IFERROR(IF(OR(HLOOKUP($A219,#REF!,10,FALSE)&gt;2,HLOOKUP($A219,#REF!,10,FALSE)&lt;-2),"",#REF!),"")</f>
        <v/>
      </c>
      <c r="M219" t="str">
        <f>IFERROR(IF(OR(HLOOKUP($A219,#REF!,11,FALSE)&gt;2,HLOOKUP($A219,#REF!,11,FALSE)&lt;-2),"",#REF!),"")</f>
        <v/>
      </c>
      <c r="N219" t="str">
        <f>IFERROR(IF(OR(HLOOKUP($A219,#REF!,12,FALSE)&gt;2,HLOOKUP($A219,#REF!,12,FALSE)&lt;-2),"",#REF!),"")</f>
        <v/>
      </c>
      <c r="O219" t="str">
        <f>IFERROR(IF(OR(HLOOKUP($A219,#REF!,13,FALSE)&gt;2,HLOOKUP($A219,#REF!,13,FALSE)&lt;-2),"",#REF!),"")</f>
        <v/>
      </c>
      <c r="P219" t="str">
        <f>IFERROR(IF(OR(HLOOKUP($A219,#REF!,14,FALSE)&gt;2,HLOOKUP($A219,#REF!,14,FALSE)&lt;-2),"",#REF!),"")</f>
        <v/>
      </c>
      <c r="Q219" t="str">
        <f>IFERROR(IF(OR(HLOOKUP($A219,#REF!,15,FALSE)&gt;2,HLOOKUP($A219,#REF!,15,FALSE)&lt;-2),"",#REF!),"")</f>
        <v/>
      </c>
      <c r="R219" t="str">
        <f>IFERROR(IF(OR(HLOOKUP($A219,#REF!,16,FALSE)&gt;2,HLOOKUP($A219,#REF!,16,FALSE)&lt;-2),"",#REF!),"")</f>
        <v/>
      </c>
      <c r="S219" t="str">
        <f>IFERROR(IF(OR(HLOOKUP($A219,#REF!,17,FALSE)&gt;2,HLOOKUP($A219,#REF!,17,FALSE)&lt;-2),"",#REF!),"")</f>
        <v/>
      </c>
      <c r="T219" t="str">
        <f>IFERROR(IF(OR(HLOOKUP($A219,#REF!,18,FALSE)&gt;2,HLOOKUP($A219,#REF!,18,FALSE)&lt;-2),"",#REF!),"")</f>
        <v/>
      </c>
      <c r="U219" t="str">
        <f>IFERROR(IF(OR(HLOOKUP($A219,#REF!,19,FALSE)&gt;2,HLOOKUP($A219,#REF!,19,FALSE)&lt;-2),"",#REF!),"")</f>
        <v/>
      </c>
      <c r="V219">
        <f t="shared" si="12"/>
        <v>1</v>
      </c>
      <c r="W219" t="str">
        <f t="shared" si="13"/>
        <v/>
      </c>
      <c r="X219" t="str">
        <f t="shared" si="14"/>
        <v/>
      </c>
      <c r="Y219" t="str">
        <f t="shared" si="15"/>
        <v/>
      </c>
    </row>
    <row r="220" spans="1:25" x14ac:dyDescent="0.35">
      <c r="A220">
        <v>224</v>
      </c>
      <c r="B220" t="s">
        <v>696</v>
      </c>
      <c r="C220">
        <v>35600</v>
      </c>
      <c r="D220">
        <v>655</v>
      </c>
      <c r="E220" t="str">
        <f>IFERROR(IF(OR(HLOOKUP($A220,#REF!,3,FALSE)&gt;2,HLOOKUP(A220,#REF!,3,FALSE)&lt;-2),"",#REF!),"")</f>
        <v/>
      </c>
      <c r="F220" t="str">
        <f>IFERROR(IF(OR(HLOOKUP($A220,#REF!,4,FALSE)&gt;2,HLOOKUP($A220,#REF!,4,FALSE)&lt;-2),"",#REF!),"")</f>
        <v/>
      </c>
      <c r="G220" t="str">
        <f>IFERROR(IF(OR(HLOOKUP($A220,#REF!,5,FALSE)&gt;2,HLOOKUP($A220,#REF!,5,FALSE)&lt;-2),"",#REF!),"")</f>
        <v/>
      </c>
      <c r="H220" t="str">
        <f>IFERROR(IF(OR(HLOOKUP($A220,#REF!,6,FALSE)&gt;2,HLOOKUP($A220,#REF!,6,FALSE)&lt;-2),"",#REF!),"")</f>
        <v/>
      </c>
      <c r="I220" t="str">
        <f>IFERROR(IF(OR(HLOOKUP($A220,#REF!,7,FALSE)&gt;2,HLOOKUP($A220,#REF!,7,FALSE)&lt;-2),"",#REF!),"")</f>
        <v/>
      </c>
      <c r="J220" t="str">
        <f>IFERROR(IF(OR(HLOOKUP($A220,#REF!,8,FALSE)&gt;2,HLOOKUP($A220,#REF!,8,FALSE)&lt;-2),"",#REF!),"")</f>
        <v/>
      </c>
      <c r="K220" t="str">
        <f>IFERROR(IF(OR(HLOOKUP($A220,#REF!,9,FALSE)&gt;2,HLOOKUP($A220,#REF!,9,FALSE)&lt;-2),"",#REF!),"")</f>
        <v/>
      </c>
      <c r="L220" t="str">
        <f>IFERROR(IF(OR(HLOOKUP($A220,#REF!,10,FALSE)&gt;2,HLOOKUP($A220,#REF!,10,FALSE)&lt;-2),"",#REF!),"")</f>
        <v/>
      </c>
      <c r="M220" t="str">
        <f>IFERROR(IF(OR(HLOOKUP($A220,#REF!,11,FALSE)&gt;2,HLOOKUP($A220,#REF!,11,FALSE)&lt;-2),"",#REF!),"")</f>
        <v/>
      </c>
      <c r="N220" t="str">
        <f>IFERROR(IF(OR(HLOOKUP($A220,#REF!,12,FALSE)&gt;2,HLOOKUP($A220,#REF!,12,FALSE)&lt;-2),"",#REF!),"")</f>
        <v/>
      </c>
      <c r="O220" t="str">
        <f>IFERROR(IF(OR(HLOOKUP($A220,#REF!,13,FALSE)&gt;2,HLOOKUP($A220,#REF!,13,FALSE)&lt;-2),"",#REF!),"")</f>
        <v/>
      </c>
      <c r="P220" t="str">
        <f>IFERROR(IF(OR(HLOOKUP($A220,#REF!,14,FALSE)&gt;2,HLOOKUP($A220,#REF!,14,FALSE)&lt;-2),"",#REF!),"")</f>
        <v/>
      </c>
      <c r="Q220" t="str">
        <f>IFERROR(IF(OR(HLOOKUP($A220,#REF!,15,FALSE)&gt;2,HLOOKUP($A220,#REF!,15,FALSE)&lt;-2),"",#REF!),"")</f>
        <v/>
      </c>
      <c r="R220" t="str">
        <f>IFERROR(IF(OR(HLOOKUP($A220,#REF!,16,FALSE)&gt;2,HLOOKUP($A220,#REF!,16,FALSE)&lt;-2),"",#REF!),"")</f>
        <v/>
      </c>
      <c r="S220" t="str">
        <f>IFERROR(IF(OR(HLOOKUP($A220,#REF!,17,FALSE)&gt;2,HLOOKUP($A220,#REF!,17,FALSE)&lt;-2),"",#REF!),"")</f>
        <v/>
      </c>
      <c r="T220" t="str">
        <f>IFERROR(IF(OR(HLOOKUP($A220,#REF!,18,FALSE)&gt;2,HLOOKUP($A220,#REF!,18,FALSE)&lt;-2),"",#REF!),"")</f>
        <v/>
      </c>
      <c r="U220" t="str">
        <f>IFERROR(IF(OR(HLOOKUP($A220,#REF!,19,FALSE)&gt;2,HLOOKUP($A220,#REF!,19,FALSE)&lt;-2),"",#REF!),"")</f>
        <v/>
      </c>
      <c r="V220">
        <f t="shared" si="12"/>
        <v>1</v>
      </c>
      <c r="W220" t="str">
        <f t="shared" si="13"/>
        <v/>
      </c>
      <c r="X220" t="str">
        <f t="shared" si="14"/>
        <v/>
      </c>
      <c r="Y220" t="str">
        <f t="shared" si="15"/>
        <v/>
      </c>
    </row>
    <row r="221" spans="1:25" x14ac:dyDescent="0.35">
      <c r="A221">
        <v>225</v>
      </c>
      <c r="B221" t="s">
        <v>127</v>
      </c>
      <c r="C221">
        <v>96200</v>
      </c>
      <c r="D221">
        <v>701</v>
      </c>
      <c r="E221" t="str">
        <f>IFERROR(IF(OR(HLOOKUP($A221,#REF!,3,FALSE)&gt;2,HLOOKUP(A221,#REF!,3,FALSE)&lt;-2),"",#REF!),"")</f>
        <v/>
      </c>
      <c r="F221" t="str">
        <f>IFERROR(IF(OR(HLOOKUP($A221,#REF!,4,FALSE)&gt;2,HLOOKUP($A221,#REF!,4,FALSE)&lt;-2),"",#REF!),"")</f>
        <v/>
      </c>
      <c r="G221" t="str">
        <f>IFERROR(IF(OR(HLOOKUP($A221,#REF!,5,FALSE)&gt;2,HLOOKUP($A221,#REF!,5,FALSE)&lt;-2),"",#REF!),"")</f>
        <v/>
      </c>
      <c r="H221" t="str">
        <f>IFERROR(IF(OR(HLOOKUP($A221,#REF!,6,FALSE)&gt;2,HLOOKUP($A221,#REF!,6,FALSE)&lt;-2),"",#REF!),"")</f>
        <v/>
      </c>
      <c r="I221" t="str">
        <f>IFERROR(IF(OR(HLOOKUP($A221,#REF!,7,FALSE)&gt;2,HLOOKUP($A221,#REF!,7,FALSE)&lt;-2),"",#REF!),"")</f>
        <v/>
      </c>
      <c r="J221" t="str">
        <f>IFERROR(IF(OR(HLOOKUP($A221,#REF!,8,FALSE)&gt;2,HLOOKUP($A221,#REF!,8,FALSE)&lt;-2),"",#REF!),"")</f>
        <v/>
      </c>
      <c r="K221" t="str">
        <f>IFERROR(IF(OR(HLOOKUP($A221,#REF!,9,FALSE)&gt;2,HLOOKUP($A221,#REF!,9,FALSE)&lt;-2),"",#REF!),"")</f>
        <v/>
      </c>
      <c r="L221" t="str">
        <f>IFERROR(IF(OR(HLOOKUP($A221,#REF!,10,FALSE)&gt;2,HLOOKUP($A221,#REF!,10,FALSE)&lt;-2),"",#REF!),"")</f>
        <v/>
      </c>
      <c r="M221" t="str">
        <f>IFERROR(IF(OR(HLOOKUP($A221,#REF!,11,FALSE)&gt;2,HLOOKUP($A221,#REF!,11,FALSE)&lt;-2),"",#REF!),"")</f>
        <v/>
      </c>
      <c r="N221" t="str">
        <f>IFERROR(IF(OR(HLOOKUP($A221,#REF!,12,FALSE)&gt;2,HLOOKUP($A221,#REF!,12,FALSE)&lt;-2),"",#REF!),"")</f>
        <v/>
      </c>
      <c r="O221" t="str">
        <f>IFERROR(IF(OR(HLOOKUP($A221,#REF!,13,FALSE)&gt;2,HLOOKUP($A221,#REF!,13,FALSE)&lt;-2),"",#REF!),"")</f>
        <v/>
      </c>
      <c r="P221" t="str">
        <f>IFERROR(IF(OR(HLOOKUP($A221,#REF!,14,FALSE)&gt;2,HLOOKUP($A221,#REF!,14,FALSE)&lt;-2),"",#REF!),"")</f>
        <v/>
      </c>
      <c r="Q221" t="str">
        <f>IFERROR(IF(OR(HLOOKUP($A221,#REF!,15,FALSE)&gt;2,HLOOKUP($A221,#REF!,15,FALSE)&lt;-2),"",#REF!),"")</f>
        <v/>
      </c>
      <c r="R221" t="str">
        <f>IFERROR(IF(OR(HLOOKUP($A221,#REF!,16,FALSE)&gt;2,HLOOKUP($A221,#REF!,16,FALSE)&lt;-2),"",#REF!),"")</f>
        <v/>
      </c>
      <c r="S221" t="str">
        <f>IFERROR(IF(OR(HLOOKUP($A221,#REF!,17,FALSE)&gt;2,HLOOKUP($A221,#REF!,17,FALSE)&lt;-2),"",#REF!),"")</f>
        <v/>
      </c>
      <c r="T221" t="str">
        <f>IFERROR(IF(OR(HLOOKUP($A221,#REF!,18,FALSE)&gt;2,HLOOKUP($A221,#REF!,18,FALSE)&lt;-2),"",#REF!),"")</f>
        <v/>
      </c>
      <c r="U221" t="str">
        <f>IFERROR(IF(OR(HLOOKUP($A221,#REF!,19,FALSE)&gt;2,HLOOKUP($A221,#REF!,19,FALSE)&lt;-2),"",#REF!),"")</f>
        <v/>
      </c>
      <c r="V221">
        <f t="shared" si="12"/>
        <v>1</v>
      </c>
      <c r="W221" t="str">
        <f t="shared" si="13"/>
        <v/>
      </c>
      <c r="X221" t="str">
        <f t="shared" si="14"/>
        <v/>
      </c>
      <c r="Y221" t="str">
        <f t="shared" si="15"/>
        <v/>
      </c>
    </row>
    <row r="222" spans="1:25" x14ac:dyDescent="0.35">
      <c r="A222">
        <v>226</v>
      </c>
      <c r="B222" t="s">
        <v>128</v>
      </c>
      <c r="C222">
        <v>77400</v>
      </c>
      <c r="D222">
        <v>290</v>
      </c>
      <c r="E222" t="str">
        <f>IFERROR(IF(OR(HLOOKUP($A222,#REF!,3,FALSE)&gt;2,HLOOKUP(A222,#REF!,3,FALSE)&lt;-2),"",#REF!),"")</f>
        <v/>
      </c>
      <c r="F222" t="str">
        <f>IFERROR(IF(OR(HLOOKUP($A222,#REF!,4,FALSE)&gt;2,HLOOKUP($A222,#REF!,4,FALSE)&lt;-2),"",#REF!),"")</f>
        <v/>
      </c>
      <c r="G222" t="str">
        <f>IFERROR(IF(OR(HLOOKUP($A222,#REF!,5,FALSE)&gt;2,HLOOKUP($A222,#REF!,5,FALSE)&lt;-2),"",#REF!),"")</f>
        <v/>
      </c>
      <c r="H222" t="str">
        <f>IFERROR(IF(OR(HLOOKUP($A222,#REF!,6,FALSE)&gt;2,HLOOKUP($A222,#REF!,6,FALSE)&lt;-2),"",#REF!),"")</f>
        <v/>
      </c>
      <c r="I222" t="str">
        <f>IFERROR(IF(OR(HLOOKUP($A222,#REF!,7,FALSE)&gt;2,HLOOKUP($A222,#REF!,7,FALSE)&lt;-2),"",#REF!),"")</f>
        <v/>
      </c>
      <c r="J222" t="str">
        <f>IFERROR(IF(OR(HLOOKUP($A222,#REF!,8,FALSE)&gt;2,HLOOKUP($A222,#REF!,8,FALSE)&lt;-2),"",#REF!),"")</f>
        <v/>
      </c>
      <c r="K222" t="str">
        <f>IFERROR(IF(OR(HLOOKUP($A222,#REF!,9,FALSE)&gt;2,HLOOKUP($A222,#REF!,9,FALSE)&lt;-2),"",#REF!),"")</f>
        <v/>
      </c>
      <c r="L222" t="str">
        <f>IFERROR(IF(OR(HLOOKUP($A222,#REF!,10,FALSE)&gt;2,HLOOKUP($A222,#REF!,10,FALSE)&lt;-2),"",#REF!),"")</f>
        <v/>
      </c>
      <c r="M222" t="str">
        <f>IFERROR(IF(OR(HLOOKUP($A222,#REF!,11,FALSE)&gt;2,HLOOKUP($A222,#REF!,11,FALSE)&lt;-2),"",#REF!),"")</f>
        <v/>
      </c>
      <c r="N222" t="str">
        <f>IFERROR(IF(OR(HLOOKUP($A222,#REF!,12,FALSE)&gt;2,HLOOKUP($A222,#REF!,12,FALSE)&lt;-2),"",#REF!),"")</f>
        <v/>
      </c>
      <c r="O222" t="str">
        <f>IFERROR(IF(OR(HLOOKUP($A222,#REF!,13,FALSE)&gt;2,HLOOKUP($A222,#REF!,13,FALSE)&lt;-2),"",#REF!),"")</f>
        <v/>
      </c>
      <c r="P222" t="str">
        <f>IFERROR(IF(OR(HLOOKUP($A222,#REF!,14,FALSE)&gt;2,HLOOKUP($A222,#REF!,14,FALSE)&lt;-2),"",#REF!),"")</f>
        <v/>
      </c>
      <c r="Q222" t="str">
        <f>IFERROR(IF(OR(HLOOKUP($A222,#REF!,15,FALSE)&gt;2,HLOOKUP($A222,#REF!,15,FALSE)&lt;-2),"",#REF!),"")</f>
        <v/>
      </c>
      <c r="R222" t="str">
        <f>IFERROR(IF(OR(HLOOKUP($A222,#REF!,16,FALSE)&gt;2,HLOOKUP($A222,#REF!,16,FALSE)&lt;-2),"",#REF!),"")</f>
        <v/>
      </c>
      <c r="S222" t="str">
        <f>IFERROR(IF(OR(HLOOKUP($A222,#REF!,17,FALSE)&gt;2,HLOOKUP($A222,#REF!,17,FALSE)&lt;-2),"",#REF!),"")</f>
        <v/>
      </c>
      <c r="T222" t="str">
        <f>IFERROR(IF(OR(HLOOKUP($A222,#REF!,18,FALSE)&gt;2,HLOOKUP($A222,#REF!,18,FALSE)&lt;-2),"",#REF!),"")</f>
        <v/>
      </c>
      <c r="U222" t="str">
        <f>IFERROR(IF(OR(HLOOKUP($A222,#REF!,19,FALSE)&gt;2,HLOOKUP($A222,#REF!,19,FALSE)&lt;-2),"",#REF!),"")</f>
        <v/>
      </c>
      <c r="V222">
        <f t="shared" si="12"/>
        <v>1</v>
      </c>
      <c r="W222" t="str">
        <f t="shared" si="13"/>
        <v/>
      </c>
      <c r="X222" t="str">
        <f t="shared" si="14"/>
        <v/>
      </c>
      <c r="Y222" t="str">
        <f t="shared" si="15"/>
        <v/>
      </c>
    </row>
    <row r="223" spans="1:25" x14ac:dyDescent="0.35">
      <c r="A223">
        <v>227</v>
      </c>
      <c r="B223" t="s">
        <v>697</v>
      </c>
      <c r="C223">
        <v>18800</v>
      </c>
      <c r="D223">
        <v>31</v>
      </c>
      <c r="E223" t="str">
        <f>IFERROR(IF(OR(HLOOKUP($A223,#REF!,3,FALSE)&gt;2,HLOOKUP(A223,#REF!,3,FALSE)&lt;-2),"",#REF!),"")</f>
        <v/>
      </c>
      <c r="F223" t="str">
        <f>IFERROR(IF(OR(HLOOKUP($A223,#REF!,4,FALSE)&gt;2,HLOOKUP($A223,#REF!,4,FALSE)&lt;-2),"",#REF!),"")</f>
        <v/>
      </c>
      <c r="G223" t="str">
        <f>IFERROR(IF(OR(HLOOKUP($A223,#REF!,5,FALSE)&gt;2,HLOOKUP($A223,#REF!,5,FALSE)&lt;-2),"",#REF!),"")</f>
        <v/>
      </c>
      <c r="H223" t="str">
        <f>IFERROR(IF(OR(HLOOKUP($A223,#REF!,6,FALSE)&gt;2,HLOOKUP($A223,#REF!,6,FALSE)&lt;-2),"",#REF!),"")</f>
        <v/>
      </c>
      <c r="I223" t="str">
        <f>IFERROR(IF(OR(HLOOKUP($A223,#REF!,7,FALSE)&gt;2,HLOOKUP($A223,#REF!,7,FALSE)&lt;-2),"",#REF!),"")</f>
        <v/>
      </c>
      <c r="J223" t="str">
        <f>IFERROR(IF(OR(HLOOKUP($A223,#REF!,8,FALSE)&gt;2,HLOOKUP($A223,#REF!,8,FALSE)&lt;-2),"",#REF!),"")</f>
        <v/>
      </c>
      <c r="K223" t="str">
        <f>IFERROR(IF(OR(HLOOKUP($A223,#REF!,9,FALSE)&gt;2,HLOOKUP($A223,#REF!,9,FALSE)&lt;-2),"",#REF!),"")</f>
        <v/>
      </c>
      <c r="L223" t="str">
        <f>IFERROR(IF(OR(HLOOKUP($A223,#REF!,10,FALSE)&gt;2,HLOOKUP($A223,#REF!,10,FALSE)&lt;-2),"",#REF!),"")</f>
        <v/>
      </c>
      <c r="M223" t="str">
        <f>IFERROR(IF(OR(HLOOKUP($A223,#REF!,11,FALSE)&gt;2,HLOOKUP($A223,#REF!,11,FALSE)&lt;-2),"",#REF!),"")</f>
        <v/>
      </c>
      <c r="N223" t="str">
        <f>IFERROR(IF(OR(HLOOKUP($A223,#REF!,12,FALSE)&gt;2,HLOOKUP($A223,#REF!,12,FALSE)&lt;-2),"",#REF!),"")</f>
        <v/>
      </c>
      <c r="O223" t="str">
        <f>IFERROR(IF(OR(HLOOKUP($A223,#REF!,13,FALSE)&gt;2,HLOOKUP($A223,#REF!,13,FALSE)&lt;-2),"",#REF!),"")</f>
        <v/>
      </c>
      <c r="P223" t="str">
        <f>IFERROR(IF(OR(HLOOKUP($A223,#REF!,14,FALSE)&gt;2,HLOOKUP($A223,#REF!,14,FALSE)&lt;-2),"",#REF!),"")</f>
        <v/>
      </c>
      <c r="Q223" t="str">
        <f>IFERROR(IF(OR(HLOOKUP($A223,#REF!,15,FALSE)&gt;2,HLOOKUP($A223,#REF!,15,FALSE)&lt;-2),"",#REF!),"")</f>
        <v/>
      </c>
      <c r="R223" t="str">
        <f>IFERROR(IF(OR(HLOOKUP($A223,#REF!,16,FALSE)&gt;2,HLOOKUP($A223,#REF!,16,FALSE)&lt;-2),"",#REF!),"")</f>
        <v/>
      </c>
      <c r="S223" t="str">
        <f>IFERROR(IF(OR(HLOOKUP($A223,#REF!,17,FALSE)&gt;2,HLOOKUP($A223,#REF!,17,FALSE)&lt;-2),"",#REF!),"")</f>
        <v/>
      </c>
      <c r="T223" t="str">
        <f>IFERROR(IF(OR(HLOOKUP($A223,#REF!,18,FALSE)&gt;2,HLOOKUP($A223,#REF!,18,FALSE)&lt;-2),"",#REF!),"")</f>
        <v/>
      </c>
      <c r="U223" t="str">
        <f>IFERROR(IF(OR(HLOOKUP($A223,#REF!,19,FALSE)&gt;2,HLOOKUP($A223,#REF!,19,FALSE)&lt;-2),"",#REF!),"")</f>
        <v/>
      </c>
      <c r="V223">
        <f t="shared" si="12"/>
        <v>1</v>
      </c>
      <c r="W223" t="str">
        <f t="shared" si="13"/>
        <v/>
      </c>
      <c r="X223" t="str">
        <f t="shared" si="14"/>
        <v/>
      </c>
      <c r="Y223" t="str">
        <f t="shared" si="15"/>
        <v/>
      </c>
    </row>
    <row r="224" spans="1:25" x14ac:dyDescent="0.35">
      <c r="A224">
        <v>228</v>
      </c>
      <c r="B224" t="s">
        <v>698</v>
      </c>
      <c r="C224">
        <v>30300</v>
      </c>
      <c r="D224">
        <v>507</v>
      </c>
      <c r="E224" t="str">
        <f>IFERROR(IF(OR(HLOOKUP($A224,#REF!,3,FALSE)&gt;2,HLOOKUP(A224,#REF!,3,FALSE)&lt;-2),"",#REF!),"")</f>
        <v/>
      </c>
      <c r="F224" t="str">
        <f>IFERROR(IF(OR(HLOOKUP($A224,#REF!,4,FALSE)&gt;2,HLOOKUP($A224,#REF!,4,FALSE)&lt;-2),"",#REF!),"")</f>
        <v/>
      </c>
      <c r="G224" t="str">
        <f>IFERROR(IF(OR(HLOOKUP($A224,#REF!,5,FALSE)&gt;2,HLOOKUP($A224,#REF!,5,FALSE)&lt;-2),"",#REF!),"")</f>
        <v/>
      </c>
      <c r="H224" t="str">
        <f>IFERROR(IF(OR(HLOOKUP($A224,#REF!,6,FALSE)&gt;2,HLOOKUP($A224,#REF!,6,FALSE)&lt;-2),"",#REF!),"")</f>
        <v/>
      </c>
      <c r="I224" t="str">
        <f>IFERROR(IF(OR(HLOOKUP($A224,#REF!,7,FALSE)&gt;2,HLOOKUP($A224,#REF!,7,FALSE)&lt;-2),"",#REF!),"")</f>
        <v/>
      </c>
      <c r="J224" t="str">
        <f>IFERROR(IF(OR(HLOOKUP($A224,#REF!,8,FALSE)&gt;2,HLOOKUP($A224,#REF!,8,FALSE)&lt;-2),"",#REF!),"")</f>
        <v/>
      </c>
      <c r="K224" t="str">
        <f>IFERROR(IF(OR(HLOOKUP($A224,#REF!,9,FALSE)&gt;2,HLOOKUP($A224,#REF!,9,FALSE)&lt;-2),"",#REF!),"")</f>
        <v/>
      </c>
      <c r="L224" t="str">
        <f>IFERROR(IF(OR(HLOOKUP($A224,#REF!,10,FALSE)&gt;2,HLOOKUP($A224,#REF!,10,FALSE)&lt;-2),"",#REF!),"")</f>
        <v/>
      </c>
      <c r="M224" t="str">
        <f>IFERROR(IF(OR(HLOOKUP($A224,#REF!,11,FALSE)&gt;2,HLOOKUP($A224,#REF!,11,FALSE)&lt;-2),"",#REF!),"")</f>
        <v/>
      </c>
      <c r="N224" t="str">
        <f>IFERROR(IF(OR(HLOOKUP($A224,#REF!,12,FALSE)&gt;2,HLOOKUP($A224,#REF!,12,FALSE)&lt;-2),"",#REF!),"")</f>
        <v/>
      </c>
      <c r="O224" t="str">
        <f>IFERROR(IF(OR(HLOOKUP($A224,#REF!,13,FALSE)&gt;2,HLOOKUP($A224,#REF!,13,FALSE)&lt;-2),"",#REF!),"")</f>
        <v/>
      </c>
      <c r="P224" t="str">
        <f>IFERROR(IF(OR(HLOOKUP($A224,#REF!,14,FALSE)&gt;2,HLOOKUP($A224,#REF!,14,FALSE)&lt;-2),"",#REF!),"")</f>
        <v/>
      </c>
      <c r="Q224" t="str">
        <f>IFERROR(IF(OR(HLOOKUP($A224,#REF!,15,FALSE)&gt;2,HLOOKUP($A224,#REF!,15,FALSE)&lt;-2),"",#REF!),"")</f>
        <v/>
      </c>
      <c r="R224" t="str">
        <f>IFERROR(IF(OR(HLOOKUP($A224,#REF!,16,FALSE)&gt;2,HLOOKUP($A224,#REF!,16,FALSE)&lt;-2),"",#REF!),"")</f>
        <v/>
      </c>
      <c r="S224" t="str">
        <f>IFERROR(IF(OR(HLOOKUP($A224,#REF!,17,FALSE)&gt;2,HLOOKUP($A224,#REF!,17,FALSE)&lt;-2),"",#REF!),"")</f>
        <v/>
      </c>
      <c r="T224" t="str">
        <f>IFERROR(IF(OR(HLOOKUP($A224,#REF!,18,FALSE)&gt;2,HLOOKUP($A224,#REF!,18,FALSE)&lt;-2),"",#REF!),"")</f>
        <v/>
      </c>
      <c r="U224" t="str">
        <f>IFERROR(IF(OR(HLOOKUP($A224,#REF!,19,FALSE)&gt;2,HLOOKUP($A224,#REF!,19,FALSE)&lt;-2),"",#REF!),"")</f>
        <v/>
      </c>
      <c r="V224">
        <f t="shared" si="12"/>
        <v>1</v>
      </c>
      <c r="W224" t="str">
        <f t="shared" si="13"/>
        <v/>
      </c>
      <c r="X224" t="str">
        <f t="shared" si="14"/>
        <v/>
      </c>
      <c r="Y224" t="str">
        <f t="shared" si="15"/>
        <v/>
      </c>
    </row>
    <row r="225" spans="1:25" x14ac:dyDescent="0.35">
      <c r="A225">
        <v>229</v>
      </c>
      <c r="B225" t="s">
        <v>699</v>
      </c>
      <c r="C225">
        <v>99800</v>
      </c>
      <c r="D225">
        <v>901</v>
      </c>
      <c r="E225" t="str">
        <f>IFERROR(IF(OR(HLOOKUP($A225,#REF!,3,FALSE)&gt;2,HLOOKUP(A225,#REF!,3,FALSE)&lt;-2),"",#REF!),"")</f>
        <v/>
      </c>
      <c r="F225" t="str">
        <f>IFERROR(IF(OR(HLOOKUP($A225,#REF!,4,FALSE)&gt;2,HLOOKUP($A225,#REF!,4,FALSE)&lt;-2),"",#REF!),"")</f>
        <v/>
      </c>
      <c r="G225" t="str">
        <f>IFERROR(IF(OR(HLOOKUP($A225,#REF!,5,FALSE)&gt;2,HLOOKUP($A225,#REF!,5,FALSE)&lt;-2),"",#REF!),"")</f>
        <v/>
      </c>
      <c r="H225" t="str">
        <f>IFERROR(IF(OR(HLOOKUP($A225,#REF!,6,FALSE)&gt;2,HLOOKUP($A225,#REF!,6,FALSE)&lt;-2),"",#REF!),"")</f>
        <v/>
      </c>
      <c r="I225" t="str">
        <f>IFERROR(IF(OR(HLOOKUP($A225,#REF!,7,FALSE)&gt;2,HLOOKUP($A225,#REF!,7,FALSE)&lt;-2),"",#REF!),"")</f>
        <v/>
      </c>
      <c r="J225" t="str">
        <f>IFERROR(IF(OR(HLOOKUP($A225,#REF!,8,FALSE)&gt;2,HLOOKUP($A225,#REF!,8,FALSE)&lt;-2),"",#REF!),"")</f>
        <v/>
      </c>
      <c r="K225" t="str">
        <f>IFERROR(IF(OR(HLOOKUP($A225,#REF!,9,FALSE)&gt;2,HLOOKUP($A225,#REF!,9,FALSE)&lt;-2),"",#REF!),"")</f>
        <v/>
      </c>
      <c r="L225" t="str">
        <f>IFERROR(IF(OR(HLOOKUP($A225,#REF!,10,FALSE)&gt;2,HLOOKUP($A225,#REF!,10,FALSE)&lt;-2),"",#REF!),"")</f>
        <v/>
      </c>
      <c r="M225" t="str">
        <f>IFERROR(IF(OR(HLOOKUP($A225,#REF!,11,FALSE)&gt;2,HLOOKUP($A225,#REF!,11,FALSE)&lt;-2),"",#REF!),"")</f>
        <v/>
      </c>
      <c r="N225" t="str">
        <f>IFERROR(IF(OR(HLOOKUP($A225,#REF!,12,FALSE)&gt;2,HLOOKUP($A225,#REF!,12,FALSE)&lt;-2),"",#REF!),"")</f>
        <v/>
      </c>
      <c r="O225" t="str">
        <f>IFERROR(IF(OR(HLOOKUP($A225,#REF!,13,FALSE)&gt;2,HLOOKUP($A225,#REF!,13,FALSE)&lt;-2),"",#REF!),"")</f>
        <v/>
      </c>
      <c r="P225" t="str">
        <f>IFERROR(IF(OR(HLOOKUP($A225,#REF!,14,FALSE)&gt;2,HLOOKUP($A225,#REF!,14,FALSE)&lt;-2),"",#REF!),"")</f>
        <v/>
      </c>
      <c r="Q225" t="str">
        <f>IFERROR(IF(OR(HLOOKUP($A225,#REF!,15,FALSE)&gt;2,HLOOKUP($A225,#REF!,15,FALSE)&lt;-2),"",#REF!),"")</f>
        <v/>
      </c>
      <c r="R225" t="str">
        <f>IFERROR(IF(OR(HLOOKUP($A225,#REF!,16,FALSE)&gt;2,HLOOKUP($A225,#REF!,16,FALSE)&lt;-2),"",#REF!),"")</f>
        <v/>
      </c>
      <c r="S225" t="str">
        <f>IFERROR(IF(OR(HLOOKUP($A225,#REF!,17,FALSE)&gt;2,HLOOKUP($A225,#REF!,17,FALSE)&lt;-2),"",#REF!),"")</f>
        <v/>
      </c>
      <c r="T225" t="str">
        <f>IFERROR(IF(OR(HLOOKUP($A225,#REF!,18,FALSE)&gt;2,HLOOKUP($A225,#REF!,18,FALSE)&lt;-2),"",#REF!),"")</f>
        <v/>
      </c>
      <c r="U225" t="str">
        <f>IFERROR(IF(OR(HLOOKUP($A225,#REF!,19,FALSE)&gt;2,HLOOKUP($A225,#REF!,19,FALSE)&lt;-2),"",#REF!),"")</f>
        <v/>
      </c>
      <c r="V225">
        <f t="shared" si="12"/>
        <v>1</v>
      </c>
      <c r="W225" t="str">
        <f t="shared" si="13"/>
        <v/>
      </c>
      <c r="X225" t="str">
        <f t="shared" si="14"/>
        <v/>
      </c>
      <c r="Y225" t="str">
        <f t="shared" si="15"/>
        <v/>
      </c>
    </row>
    <row r="226" spans="1:25" x14ac:dyDescent="0.35">
      <c r="A226">
        <v>230</v>
      </c>
      <c r="B226" t="s">
        <v>700</v>
      </c>
      <c r="C226">
        <v>97000</v>
      </c>
      <c r="D226">
        <v>379</v>
      </c>
      <c r="E226" t="str">
        <f>IFERROR(IF(OR(HLOOKUP($A226,#REF!,3,FALSE)&gt;2,HLOOKUP(A226,#REF!,3,FALSE)&lt;-2),"",#REF!),"")</f>
        <v/>
      </c>
      <c r="F226" t="str">
        <f>IFERROR(IF(OR(HLOOKUP($A226,#REF!,4,FALSE)&gt;2,HLOOKUP($A226,#REF!,4,FALSE)&lt;-2),"",#REF!),"")</f>
        <v/>
      </c>
      <c r="G226" t="str">
        <f>IFERROR(IF(OR(HLOOKUP($A226,#REF!,5,FALSE)&gt;2,HLOOKUP($A226,#REF!,5,FALSE)&lt;-2),"",#REF!),"")</f>
        <v/>
      </c>
      <c r="H226" t="str">
        <f>IFERROR(IF(OR(HLOOKUP($A226,#REF!,6,FALSE)&gt;2,HLOOKUP($A226,#REF!,6,FALSE)&lt;-2),"",#REF!),"")</f>
        <v/>
      </c>
      <c r="I226" t="str">
        <f>IFERROR(IF(OR(HLOOKUP($A226,#REF!,7,FALSE)&gt;2,HLOOKUP($A226,#REF!,7,FALSE)&lt;-2),"",#REF!),"")</f>
        <v/>
      </c>
      <c r="J226" t="str">
        <f>IFERROR(IF(OR(HLOOKUP($A226,#REF!,8,FALSE)&gt;2,HLOOKUP($A226,#REF!,8,FALSE)&lt;-2),"",#REF!),"")</f>
        <v/>
      </c>
      <c r="K226" t="str">
        <f>IFERROR(IF(OR(HLOOKUP($A226,#REF!,9,FALSE)&gt;2,HLOOKUP($A226,#REF!,9,FALSE)&lt;-2),"",#REF!),"")</f>
        <v/>
      </c>
      <c r="L226" t="str">
        <f>IFERROR(IF(OR(HLOOKUP($A226,#REF!,10,FALSE)&gt;2,HLOOKUP($A226,#REF!,10,FALSE)&lt;-2),"",#REF!),"")</f>
        <v/>
      </c>
      <c r="M226" t="str">
        <f>IFERROR(IF(OR(HLOOKUP($A226,#REF!,11,FALSE)&gt;2,HLOOKUP($A226,#REF!,11,FALSE)&lt;-2),"",#REF!),"")</f>
        <v/>
      </c>
      <c r="N226" t="str">
        <f>IFERROR(IF(OR(HLOOKUP($A226,#REF!,12,FALSE)&gt;2,HLOOKUP($A226,#REF!,12,FALSE)&lt;-2),"",#REF!),"")</f>
        <v/>
      </c>
      <c r="O226" t="str">
        <f>IFERROR(IF(OR(HLOOKUP($A226,#REF!,13,FALSE)&gt;2,HLOOKUP($A226,#REF!,13,FALSE)&lt;-2),"",#REF!),"")</f>
        <v/>
      </c>
      <c r="P226" t="str">
        <f>IFERROR(IF(OR(HLOOKUP($A226,#REF!,14,FALSE)&gt;2,HLOOKUP($A226,#REF!,14,FALSE)&lt;-2),"",#REF!),"")</f>
        <v/>
      </c>
      <c r="Q226" t="str">
        <f>IFERROR(IF(OR(HLOOKUP($A226,#REF!,15,FALSE)&gt;2,HLOOKUP($A226,#REF!,15,FALSE)&lt;-2),"",#REF!),"")</f>
        <v/>
      </c>
      <c r="R226" t="str">
        <f>IFERROR(IF(OR(HLOOKUP($A226,#REF!,16,FALSE)&gt;2,HLOOKUP($A226,#REF!,16,FALSE)&lt;-2),"",#REF!),"")</f>
        <v/>
      </c>
      <c r="S226" t="str">
        <f>IFERROR(IF(OR(HLOOKUP($A226,#REF!,17,FALSE)&gt;2,HLOOKUP($A226,#REF!,17,FALSE)&lt;-2),"",#REF!),"")</f>
        <v/>
      </c>
      <c r="T226" t="str">
        <f>IFERROR(IF(OR(HLOOKUP($A226,#REF!,18,FALSE)&gt;2,HLOOKUP($A226,#REF!,18,FALSE)&lt;-2),"",#REF!),"")</f>
        <v/>
      </c>
      <c r="U226" t="str">
        <f>IFERROR(IF(OR(HLOOKUP($A226,#REF!,19,FALSE)&gt;2,HLOOKUP($A226,#REF!,19,FALSE)&lt;-2),"",#REF!),"")</f>
        <v/>
      </c>
      <c r="V226">
        <f t="shared" si="12"/>
        <v>1</v>
      </c>
      <c r="W226" t="str">
        <f t="shared" si="13"/>
        <v/>
      </c>
      <c r="X226" t="str">
        <f t="shared" si="14"/>
        <v/>
      </c>
      <c r="Y226" t="str">
        <f t="shared" si="15"/>
        <v/>
      </c>
    </row>
    <row r="227" spans="1:25" x14ac:dyDescent="0.35">
      <c r="A227">
        <v>231</v>
      </c>
      <c r="B227" t="s">
        <v>129</v>
      </c>
      <c r="C227">
        <v>83200</v>
      </c>
      <c r="D227">
        <v>323</v>
      </c>
      <c r="E227" t="str">
        <f>IFERROR(IF(OR(HLOOKUP($A227,#REF!,3,FALSE)&gt;2,HLOOKUP(A227,#REF!,3,FALSE)&lt;-2),"",#REF!),"")</f>
        <v/>
      </c>
      <c r="F227" t="str">
        <f>IFERROR(IF(OR(HLOOKUP($A227,#REF!,4,FALSE)&gt;2,HLOOKUP($A227,#REF!,4,FALSE)&lt;-2),"",#REF!),"")</f>
        <v/>
      </c>
      <c r="G227" t="str">
        <f>IFERROR(IF(OR(HLOOKUP($A227,#REF!,5,FALSE)&gt;2,HLOOKUP($A227,#REF!,5,FALSE)&lt;-2),"",#REF!),"")</f>
        <v/>
      </c>
      <c r="H227" t="str">
        <f>IFERROR(IF(OR(HLOOKUP($A227,#REF!,6,FALSE)&gt;2,HLOOKUP($A227,#REF!,6,FALSE)&lt;-2),"",#REF!),"")</f>
        <v/>
      </c>
      <c r="I227" t="str">
        <f>IFERROR(IF(OR(HLOOKUP($A227,#REF!,7,FALSE)&gt;2,HLOOKUP($A227,#REF!,7,FALSE)&lt;-2),"",#REF!),"")</f>
        <v/>
      </c>
      <c r="J227" t="str">
        <f>IFERROR(IF(OR(HLOOKUP($A227,#REF!,8,FALSE)&gt;2,HLOOKUP($A227,#REF!,8,FALSE)&lt;-2),"",#REF!),"")</f>
        <v/>
      </c>
      <c r="K227" t="str">
        <f>IFERROR(IF(OR(HLOOKUP($A227,#REF!,9,FALSE)&gt;2,HLOOKUP($A227,#REF!,9,FALSE)&lt;-2),"",#REF!),"")</f>
        <v/>
      </c>
      <c r="L227" t="str">
        <f>IFERROR(IF(OR(HLOOKUP($A227,#REF!,10,FALSE)&gt;2,HLOOKUP($A227,#REF!,10,FALSE)&lt;-2),"",#REF!),"")</f>
        <v/>
      </c>
      <c r="M227" t="str">
        <f>IFERROR(IF(OR(HLOOKUP($A227,#REF!,11,FALSE)&gt;2,HLOOKUP($A227,#REF!,11,FALSE)&lt;-2),"",#REF!),"")</f>
        <v/>
      </c>
      <c r="N227" t="str">
        <f>IFERROR(IF(OR(HLOOKUP($A227,#REF!,12,FALSE)&gt;2,HLOOKUP($A227,#REF!,12,FALSE)&lt;-2),"",#REF!),"")</f>
        <v/>
      </c>
      <c r="O227" t="str">
        <f>IFERROR(IF(OR(HLOOKUP($A227,#REF!,13,FALSE)&gt;2,HLOOKUP($A227,#REF!,13,FALSE)&lt;-2),"",#REF!),"")</f>
        <v/>
      </c>
      <c r="P227" t="str">
        <f>IFERROR(IF(OR(HLOOKUP($A227,#REF!,14,FALSE)&gt;2,HLOOKUP($A227,#REF!,14,FALSE)&lt;-2),"",#REF!),"")</f>
        <v/>
      </c>
      <c r="Q227" t="str">
        <f>IFERROR(IF(OR(HLOOKUP($A227,#REF!,15,FALSE)&gt;2,HLOOKUP($A227,#REF!,15,FALSE)&lt;-2),"",#REF!),"")</f>
        <v/>
      </c>
      <c r="R227" t="str">
        <f>IFERROR(IF(OR(HLOOKUP($A227,#REF!,16,FALSE)&gt;2,HLOOKUP($A227,#REF!,16,FALSE)&lt;-2),"",#REF!),"")</f>
        <v/>
      </c>
      <c r="S227" t="str">
        <f>IFERROR(IF(OR(HLOOKUP($A227,#REF!,17,FALSE)&gt;2,HLOOKUP($A227,#REF!,17,FALSE)&lt;-2),"",#REF!),"")</f>
        <v/>
      </c>
      <c r="T227" t="str">
        <f>IFERROR(IF(OR(HLOOKUP($A227,#REF!,18,FALSE)&gt;2,HLOOKUP($A227,#REF!,18,FALSE)&lt;-2),"",#REF!),"")</f>
        <v/>
      </c>
      <c r="U227" t="str">
        <f>IFERROR(IF(OR(HLOOKUP($A227,#REF!,19,FALSE)&gt;2,HLOOKUP($A227,#REF!,19,FALSE)&lt;-2),"",#REF!),"")</f>
        <v/>
      </c>
      <c r="V227">
        <f t="shared" si="12"/>
        <v>1</v>
      </c>
      <c r="W227" t="str">
        <f t="shared" si="13"/>
        <v/>
      </c>
      <c r="X227" t="str">
        <f t="shared" si="14"/>
        <v/>
      </c>
      <c r="Y227" t="str">
        <f t="shared" si="15"/>
        <v/>
      </c>
    </row>
    <row r="228" spans="1:25" x14ac:dyDescent="0.35">
      <c r="A228">
        <v>232</v>
      </c>
      <c r="B228" t="s">
        <v>701</v>
      </c>
      <c r="C228">
        <v>35700</v>
      </c>
      <c r="D228">
        <v>655</v>
      </c>
      <c r="E228" t="str">
        <f>IFERROR(IF(OR(HLOOKUP($A228,#REF!,3,FALSE)&gt;2,HLOOKUP(A228,#REF!,3,FALSE)&lt;-2),"",#REF!),"")</f>
        <v/>
      </c>
      <c r="F228" t="str">
        <f>IFERROR(IF(OR(HLOOKUP($A228,#REF!,4,FALSE)&gt;2,HLOOKUP($A228,#REF!,4,FALSE)&lt;-2),"",#REF!),"")</f>
        <v/>
      </c>
      <c r="G228" t="str">
        <f>IFERROR(IF(OR(HLOOKUP($A228,#REF!,5,FALSE)&gt;2,HLOOKUP($A228,#REF!,5,FALSE)&lt;-2),"",#REF!),"")</f>
        <v/>
      </c>
      <c r="H228" t="str">
        <f>IFERROR(IF(OR(HLOOKUP($A228,#REF!,6,FALSE)&gt;2,HLOOKUP($A228,#REF!,6,FALSE)&lt;-2),"",#REF!),"")</f>
        <v/>
      </c>
      <c r="I228" t="str">
        <f>IFERROR(IF(OR(HLOOKUP($A228,#REF!,7,FALSE)&gt;2,HLOOKUP($A228,#REF!,7,FALSE)&lt;-2),"",#REF!),"")</f>
        <v/>
      </c>
      <c r="J228" t="str">
        <f>IFERROR(IF(OR(HLOOKUP($A228,#REF!,8,FALSE)&gt;2,HLOOKUP($A228,#REF!,8,FALSE)&lt;-2),"",#REF!),"")</f>
        <v/>
      </c>
      <c r="K228" t="str">
        <f>IFERROR(IF(OR(HLOOKUP($A228,#REF!,9,FALSE)&gt;2,HLOOKUP($A228,#REF!,9,FALSE)&lt;-2),"",#REF!),"")</f>
        <v/>
      </c>
      <c r="L228" t="str">
        <f>IFERROR(IF(OR(HLOOKUP($A228,#REF!,10,FALSE)&gt;2,HLOOKUP($A228,#REF!,10,FALSE)&lt;-2),"",#REF!),"")</f>
        <v/>
      </c>
      <c r="M228" t="str">
        <f>IFERROR(IF(OR(HLOOKUP($A228,#REF!,11,FALSE)&gt;2,HLOOKUP($A228,#REF!,11,FALSE)&lt;-2),"",#REF!),"")</f>
        <v/>
      </c>
      <c r="N228" t="str">
        <f>IFERROR(IF(OR(HLOOKUP($A228,#REF!,12,FALSE)&gt;2,HLOOKUP($A228,#REF!,12,FALSE)&lt;-2),"",#REF!),"")</f>
        <v/>
      </c>
      <c r="O228" t="str">
        <f>IFERROR(IF(OR(HLOOKUP($A228,#REF!,13,FALSE)&gt;2,HLOOKUP($A228,#REF!,13,FALSE)&lt;-2),"",#REF!),"")</f>
        <v/>
      </c>
      <c r="P228" t="str">
        <f>IFERROR(IF(OR(HLOOKUP($A228,#REF!,14,FALSE)&gt;2,HLOOKUP($A228,#REF!,14,FALSE)&lt;-2),"",#REF!),"")</f>
        <v/>
      </c>
      <c r="Q228" t="str">
        <f>IFERROR(IF(OR(HLOOKUP($A228,#REF!,15,FALSE)&gt;2,HLOOKUP($A228,#REF!,15,FALSE)&lt;-2),"",#REF!),"")</f>
        <v/>
      </c>
      <c r="R228" t="str">
        <f>IFERROR(IF(OR(HLOOKUP($A228,#REF!,16,FALSE)&gt;2,HLOOKUP($A228,#REF!,16,FALSE)&lt;-2),"",#REF!),"")</f>
        <v/>
      </c>
      <c r="S228" t="str">
        <f>IFERROR(IF(OR(HLOOKUP($A228,#REF!,17,FALSE)&gt;2,HLOOKUP($A228,#REF!,17,FALSE)&lt;-2),"",#REF!),"")</f>
        <v/>
      </c>
      <c r="T228" t="str">
        <f>IFERROR(IF(OR(HLOOKUP($A228,#REF!,18,FALSE)&gt;2,HLOOKUP($A228,#REF!,18,FALSE)&lt;-2),"",#REF!),"")</f>
        <v/>
      </c>
      <c r="U228" t="str">
        <f>IFERROR(IF(OR(HLOOKUP($A228,#REF!,19,FALSE)&gt;2,HLOOKUP($A228,#REF!,19,FALSE)&lt;-2),"",#REF!),"")</f>
        <v/>
      </c>
      <c r="V228">
        <f t="shared" si="12"/>
        <v>1</v>
      </c>
      <c r="W228" t="str">
        <f t="shared" si="13"/>
        <v/>
      </c>
      <c r="X228" t="str">
        <f t="shared" si="14"/>
        <v/>
      </c>
      <c r="Y228" t="str">
        <f t="shared" si="15"/>
        <v/>
      </c>
    </row>
    <row r="229" spans="1:25" x14ac:dyDescent="0.35">
      <c r="A229">
        <v>233</v>
      </c>
      <c r="B229" t="s">
        <v>130</v>
      </c>
      <c r="C229">
        <v>14500</v>
      </c>
      <c r="D229">
        <v>402</v>
      </c>
      <c r="E229" t="str">
        <f>IFERROR(IF(OR(HLOOKUP($A229,#REF!,3,FALSE)&gt;2,HLOOKUP(A229,#REF!,3,FALSE)&lt;-2),"",#REF!),"")</f>
        <v/>
      </c>
      <c r="F229" t="str">
        <f>IFERROR(IF(OR(HLOOKUP($A229,#REF!,4,FALSE)&gt;2,HLOOKUP($A229,#REF!,4,FALSE)&lt;-2),"",#REF!),"")</f>
        <v/>
      </c>
      <c r="G229" t="str">
        <f>IFERROR(IF(OR(HLOOKUP($A229,#REF!,5,FALSE)&gt;2,HLOOKUP($A229,#REF!,5,FALSE)&lt;-2),"",#REF!),"")</f>
        <v/>
      </c>
      <c r="H229" t="str">
        <f>IFERROR(IF(OR(HLOOKUP($A229,#REF!,6,FALSE)&gt;2,HLOOKUP($A229,#REF!,6,FALSE)&lt;-2),"",#REF!),"")</f>
        <v/>
      </c>
      <c r="I229" t="str">
        <f>IFERROR(IF(OR(HLOOKUP($A229,#REF!,7,FALSE)&gt;2,HLOOKUP($A229,#REF!,7,FALSE)&lt;-2),"",#REF!),"")</f>
        <v/>
      </c>
      <c r="J229" t="str">
        <f>IFERROR(IF(OR(HLOOKUP($A229,#REF!,8,FALSE)&gt;2,HLOOKUP($A229,#REF!,8,FALSE)&lt;-2),"",#REF!),"")</f>
        <v/>
      </c>
      <c r="K229" t="str">
        <f>IFERROR(IF(OR(HLOOKUP($A229,#REF!,9,FALSE)&gt;2,HLOOKUP($A229,#REF!,9,FALSE)&lt;-2),"",#REF!),"")</f>
        <v/>
      </c>
      <c r="L229" t="str">
        <f>IFERROR(IF(OR(HLOOKUP($A229,#REF!,10,FALSE)&gt;2,HLOOKUP($A229,#REF!,10,FALSE)&lt;-2),"",#REF!),"")</f>
        <v/>
      </c>
      <c r="M229" t="str">
        <f>IFERROR(IF(OR(HLOOKUP($A229,#REF!,11,FALSE)&gt;2,HLOOKUP($A229,#REF!,11,FALSE)&lt;-2),"",#REF!),"")</f>
        <v/>
      </c>
      <c r="N229" t="str">
        <f>IFERROR(IF(OR(HLOOKUP($A229,#REF!,12,FALSE)&gt;2,HLOOKUP($A229,#REF!,12,FALSE)&lt;-2),"",#REF!),"")</f>
        <v/>
      </c>
      <c r="O229" t="str">
        <f>IFERROR(IF(OR(HLOOKUP($A229,#REF!,13,FALSE)&gt;2,HLOOKUP($A229,#REF!,13,FALSE)&lt;-2),"",#REF!),"")</f>
        <v/>
      </c>
      <c r="P229" t="str">
        <f>IFERROR(IF(OR(HLOOKUP($A229,#REF!,14,FALSE)&gt;2,HLOOKUP($A229,#REF!,14,FALSE)&lt;-2),"",#REF!),"")</f>
        <v/>
      </c>
      <c r="Q229" t="str">
        <f>IFERROR(IF(OR(HLOOKUP($A229,#REF!,15,FALSE)&gt;2,HLOOKUP($A229,#REF!,15,FALSE)&lt;-2),"",#REF!),"")</f>
        <v/>
      </c>
      <c r="R229" t="str">
        <f>IFERROR(IF(OR(HLOOKUP($A229,#REF!,16,FALSE)&gt;2,HLOOKUP($A229,#REF!,16,FALSE)&lt;-2),"",#REF!),"")</f>
        <v/>
      </c>
      <c r="S229" t="str">
        <f>IFERROR(IF(OR(HLOOKUP($A229,#REF!,17,FALSE)&gt;2,HLOOKUP($A229,#REF!,17,FALSE)&lt;-2),"",#REF!),"")</f>
        <v/>
      </c>
      <c r="T229" t="str">
        <f>IFERROR(IF(OR(HLOOKUP($A229,#REF!,18,FALSE)&gt;2,HLOOKUP($A229,#REF!,18,FALSE)&lt;-2),"",#REF!),"")</f>
        <v/>
      </c>
      <c r="U229" t="str">
        <f>IFERROR(IF(OR(HLOOKUP($A229,#REF!,19,FALSE)&gt;2,HLOOKUP($A229,#REF!,19,FALSE)&lt;-2),"",#REF!),"")</f>
        <v/>
      </c>
      <c r="V229">
        <f t="shared" si="12"/>
        <v>1</v>
      </c>
      <c r="W229" t="str">
        <f t="shared" si="13"/>
        <v/>
      </c>
      <c r="X229" t="str">
        <f t="shared" si="14"/>
        <v/>
      </c>
      <c r="Y229" t="str">
        <f t="shared" si="15"/>
        <v/>
      </c>
    </row>
    <row r="230" spans="1:25" x14ac:dyDescent="0.35">
      <c r="A230">
        <v>234</v>
      </c>
      <c r="B230" t="s">
        <v>131</v>
      </c>
      <c r="C230">
        <v>28300</v>
      </c>
      <c r="D230">
        <v>541</v>
      </c>
      <c r="E230" t="str">
        <f>IFERROR(IF(OR(HLOOKUP($A230,#REF!,3,FALSE)&gt;2,HLOOKUP(A230,#REF!,3,FALSE)&lt;-2),"",#REF!),"")</f>
        <v/>
      </c>
      <c r="F230" t="str">
        <f>IFERROR(IF(OR(HLOOKUP($A230,#REF!,4,FALSE)&gt;2,HLOOKUP($A230,#REF!,4,FALSE)&lt;-2),"",#REF!),"")</f>
        <v/>
      </c>
      <c r="G230" t="str">
        <f>IFERROR(IF(OR(HLOOKUP($A230,#REF!,5,FALSE)&gt;2,HLOOKUP($A230,#REF!,5,FALSE)&lt;-2),"",#REF!),"")</f>
        <v/>
      </c>
      <c r="H230" t="str">
        <f>IFERROR(IF(OR(HLOOKUP($A230,#REF!,6,FALSE)&gt;2,HLOOKUP($A230,#REF!,6,FALSE)&lt;-2),"",#REF!),"")</f>
        <v/>
      </c>
      <c r="I230" t="str">
        <f>IFERROR(IF(OR(HLOOKUP($A230,#REF!,7,FALSE)&gt;2,HLOOKUP($A230,#REF!,7,FALSE)&lt;-2),"",#REF!),"")</f>
        <v/>
      </c>
      <c r="J230" t="str">
        <f>IFERROR(IF(OR(HLOOKUP($A230,#REF!,8,FALSE)&gt;2,HLOOKUP($A230,#REF!,8,FALSE)&lt;-2),"",#REF!),"")</f>
        <v/>
      </c>
      <c r="K230" t="str">
        <f>IFERROR(IF(OR(HLOOKUP($A230,#REF!,9,FALSE)&gt;2,HLOOKUP($A230,#REF!,9,FALSE)&lt;-2),"",#REF!),"")</f>
        <v/>
      </c>
      <c r="L230" t="str">
        <f>IFERROR(IF(OR(HLOOKUP($A230,#REF!,10,FALSE)&gt;2,HLOOKUP($A230,#REF!,10,FALSE)&lt;-2),"",#REF!),"")</f>
        <v/>
      </c>
      <c r="M230" t="str">
        <f>IFERROR(IF(OR(HLOOKUP($A230,#REF!,11,FALSE)&gt;2,HLOOKUP($A230,#REF!,11,FALSE)&lt;-2),"",#REF!),"")</f>
        <v/>
      </c>
      <c r="N230" t="str">
        <f>IFERROR(IF(OR(HLOOKUP($A230,#REF!,12,FALSE)&gt;2,HLOOKUP($A230,#REF!,12,FALSE)&lt;-2),"",#REF!),"")</f>
        <v/>
      </c>
      <c r="O230" t="str">
        <f>IFERROR(IF(OR(HLOOKUP($A230,#REF!,13,FALSE)&gt;2,HLOOKUP($A230,#REF!,13,FALSE)&lt;-2),"",#REF!),"")</f>
        <v/>
      </c>
      <c r="P230" t="str">
        <f>IFERROR(IF(OR(HLOOKUP($A230,#REF!,14,FALSE)&gt;2,HLOOKUP($A230,#REF!,14,FALSE)&lt;-2),"",#REF!),"")</f>
        <v/>
      </c>
      <c r="Q230" t="str">
        <f>IFERROR(IF(OR(HLOOKUP($A230,#REF!,15,FALSE)&gt;2,HLOOKUP($A230,#REF!,15,FALSE)&lt;-2),"",#REF!),"")</f>
        <v/>
      </c>
      <c r="R230" t="str">
        <f>IFERROR(IF(OR(HLOOKUP($A230,#REF!,16,FALSE)&gt;2,HLOOKUP($A230,#REF!,16,FALSE)&lt;-2),"",#REF!),"")</f>
        <v/>
      </c>
      <c r="S230" t="str">
        <f>IFERROR(IF(OR(HLOOKUP($A230,#REF!,17,FALSE)&gt;2,HLOOKUP($A230,#REF!,17,FALSE)&lt;-2),"",#REF!),"")</f>
        <v/>
      </c>
      <c r="T230" t="str">
        <f>IFERROR(IF(OR(HLOOKUP($A230,#REF!,18,FALSE)&gt;2,HLOOKUP($A230,#REF!,18,FALSE)&lt;-2),"",#REF!),"")</f>
        <v/>
      </c>
      <c r="U230" t="str">
        <f>IFERROR(IF(OR(HLOOKUP($A230,#REF!,19,FALSE)&gt;2,HLOOKUP($A230,#REF!,19,FALSE)&lt;-2),"",#REF!),"")</f>
        <v/>
      </c>
      <c r="V230">
        <f t="shared" si="12"/>
        <v>1</v>
      </c>
      <c r="W230" t="str">
        <f t="shared" si="13"/>
        <v/>
      </c>
      <c r="X230" t="str">
        <f t="shared" si="14"/>
        <v/>
      </c>
      <c r="Y230" t="str">
        <f t="shared" si="15"/>
        <v/>
      </c>
    </row>
    <row r="231" spans="1:25" x14ac:dyDescent="0.35">
      <c r="A231">
        <v>235</v>
      </c>
      <c r="B231" t="s">
        <v>132</v>
      </c>
      <c r="C231">
        <v>93900</v>
      </c>
      <c r="D231">
        <v>370</v>
      </c>
      <c r="E231" t="str">
        <f>IFERROR(IF(OR(HLOOKUP($A231,#REF!,3,FALSE)&gt;2,HLOOKUP(A231,#REF!,3,FALSE)&lt;-2),"",#REF!),"")</f>
        <v/>
      </c>
      <c r="F231" t="str">
        <f>IFERROR(IF(OR(HLOOKUP($A231,#REF!,4,FALSE)&gt;2,HLOOKUP($A231,#REF!,4,FALSE)&lt;-2),"",#REF!),"")</f>
        <v/>
      </c>
      <c r="G231" t="str">
        <f>IFERROR(IF(OR(HLOOKUP($A231,#REF!,5,FALSE)&gt;2,HLOOKUP($A231,#REF!,5,FALSE)&lt;-2),"",#REF!),"")</f>
        <v/>
      </c>
      <c r="H231" t="str">
        <f>IFERROR(IF(OR(HLOOKUP($A231,#REF!,6,FALSE)&gt;2,HLOOKUP($A231,#REF!,6,FALSE)&lt;-2),"",#REF!),"")</f>
        <v/>
      </c>
      <c r="I231" t="str">
        <f>IFERROR(IF(OR(HLOOKUP($A231,#REF!,7,FALSE)&gt;2,HLOOKUP($A231,#REF!,7,FALSE)&lt;-2),"",#REF!),"")</f>
        <v/>
      </c>
      <c r="J231" t="str">
        <f>IFERROR(IF(OR(HLOOKUP($A231,#REF!,8,FALSE)&gt;2,HLOOKUP($A231,#REF!,8,FALSE)&lt;-2),"",#REF!),"")</f>
        <v/>
      </c>
      <c r="K231" t="str">
        <f>IFERROR(IF(OR(HLOOKUP($A231,#REF!,9,FALSE)&gt;2,HLOOKUP($A231,#REF!,9,FALSE)&lt;-2),"",#REF!),"")</f>
        <v/>
      </c>
      <c r="L231" t="str">
        <f>IFERROR(IF(OR(HLOOKUP($A231,#REF!,10,FALSE)&gt;2,HLOOKUP($A231,#REF!,10,FALSE)&lt;-2),"",#REF!),"")</f>
        <v/>
      </c>
      <c r="M231" t="str">
        <f>IFERROR(IF(OR(HLOOKUP($A231,#REF!,11,FALSE)&gt;2,HLOOKUP($A231,#REF!,11,FALSE)&lt;-2),"",#REF!),"")</f>
        <v/>
      </c>
      <c r="N231" t="str">
        <f>IFERROR(IF(OR(HLOOKUP($A231,#REF!,12,FALSE)&gt;2,HLOOKUP($A231,#REF!,12,FALSE)&lt;-2),"",#REF!),"")</f>
        <v/>
      </c>
      <c r="O231" t="str">
        <f>IFERROR(IF(OR(HLOOKUP($A231,#REF!,13,FALSE)&gt;2,HLOOKUP($A231,#REF!,13,FALSE)&lt;-2),"",#REF!),"")</f>
        <v/>
      </c>
      <c r="P231" t="str">
        <f>IFERROR(IF(OR(HLOOKUP($A231,#REF!,14,FALSE)&gt;2,HLOOKUP($A231,#REF!,14,FALSE)&lt;-2),"",#REF!),"")</f>
        <v/>
      </c>
      <c r="Q231" t="str">
        <f>IFERROR(IF(OR(HLOOKUP($A231,#REF!,15,FALSE)&gt;2,HLOOKUP($A231,#REF!,15,FALSE)&lt;-2),"",#REF!),"")</f>
        <v/>
      </c>
      <c r="R231" t="str">
        <f>IFERROR(IF(OR(HLOOKUP($A231,#REF!,16,FALSE)&gt;2,HLOOKUP($A231,#REF!,16,FALSE)&lt;-2),"",#REF!),"")</f>
        <v/>
      </c>
      <c r="S231" t="str">
        <f>IFERROR(IF(OR(HLOOKUP($A231,#REF!,17,FALSE)&gt;2,HLOOKUP($A231,#REF!,17,FALSE)&lt;-2),"",#REF!),"")</f>
        <v/>
      </c>
      <c r="T231" t="str">
        <f>IFERROR(IF(OR(HLOOKUP($A231,#REF!,18,FALSE)&gt;2,HLOOKUP($A231,#REF!,18,FALSE)&lt;-2),"",#REF!),"")</f>
        <v/>
      </c>
      <c r="U231" t="str">
        <f>IFERROR(IF(OR(HLOOKUP($A231,#REF!,19,FALSE)&gt;2,HLOOKUP($A231,#REF!,19,FALSE)&lt;-2),"",#REF!),"")</f>
        <v/>
      </c>
      <c r="V231">
        <f t="shared" si="12"/>
        <v>1</v>
      </c>
      <c r="W231" t="str">
        <f t="shared" si="13"/>
        <v/>
      </c>
      <c r="X231" t="str">
        <f t="shared" si="14"/>
        <v/>
      </c>
      <c r="Y231" t="str">
        <f t="shared" si="15"/>
        <v/>
      </c>
    </row>
    <row r="232" spans="1:25" x14ac:dyDescent="0.35">
      <c r="A232">
        <v>236</v>
      </c>
      <c r="B232" t="s">
        <v>702</v>
      </c>
      <c r="C232">
        <v>30400</v>
      </c>
      <c r="D232">
        <v>507</v>
      </c>
      <c r="E232" t="str">
        <f>IFERROR(IF(OR(HLOOKUP($A232,#REF!,3,FALSE)&gt;2,HLOOKUP(A232,#REF!,3,FALSE)&lt;-2),"",#REF!),"")</f>
        <v/>
      </c>
      <c r="F232" t="str">
        <f>IFERROR(IF(OR(HLOOKUP($A232,#REF!,4,FALSE)&gt;2,HLOOKUP($A232,#REF!,4,FALSE)&lt;-2),"",#REF!),"")</f>
        <v/>
      </c>
      <c r="G232" t="str">
        <f>IFERROR(IF(OR(HLOOKUP($A232,#REF!,5,FALSE)&gt;2,HLOOKUP($A232,#REF!,5,FALSE)&lt;-2),"",#REF!),"")</f>
        <v/>
      </c>
      <c r="H232" t="str">
        <f>IFERROR(IF(OR(HLOOKUP($A232,#REF!,6,FALSE)&gt;2,HLOOKUP($A232,#REF!,6,FALSE)&lt;-2),"",#REF!),"")</f>
        <v/>
      </c>
      <c r="I232" t="str">
        <f>IFERROR(IF(OR(HLOOKUP($A232,#REF!,7,FALSE)&gt;2,HLOOKUP($A232,#REF!,7,FALSE)&lt;-2),"",#REF!),"")</f>
        <v/>
      </c>
      <c r="J232" t="str">
        <f>IFERROR(IF(OR(HLOOKUP($A232,#REF!,8,FALSE)&gt;2,HLOOKUP($A232,#REF!,8,FALSE)&lt;-2),"",#REF!),"")</f>
        <v/>
      </c>
      <c r="K232" t="str">
        <f>IFERROR(IF(OR(HLOOKUP($A232,#REF!,9,FALSE)&gt;2,HLOOKUP($A232,#REF!,9,FALSE)&lt;-2),"",#REF!),"")</f>
        <v/>
      </c>
      <c r="L232" t="str">
        <f>IFERROR(IF(OR(HLOOKUP($A232,#REF!,10,FALSE)&gt;2,HLOOKUP($A232,#REF!,10,FALSE)&lt;-2),"",#REF!),"")</f>
        <v/>
      </c>
      <c r="M232" t="str">
        <f>IFERROR(IF(OR(HLOOKUP($A232,#REF!,11,FALSE)&gt;2,HLOOKUP($A232,#REF!,11,FALSE)&lt;-2),"",#REF!),"")</f>
        <v/>
      </c>
      <c r="N232" t="str">
        <f>IFERROR(IF(OR(HLOOKUP($A232,#REF!,12,FALSE)&gt;2,HLOOKUP($A232,#REF!,12,FALSE)&lt;-2),"",#REF!),"")</f>
        <v/>
      </c>
      <c r="O232" t="str">
        <f>IFERROR(IF(OR(HLOOKUP($A232,#REF!,13,FALSE)&gt;2,HLOOKUP($A232,#REF!,13,FALSE)&lt;-2),"",#REF!),"")</f>
        <v/>
      </c>
      <c r="P232" t="str">
        <f>IFERROR(IF(OR(HLOOKUP($A232,#REF!,14,FALSE)&gt;2,HLOOKUP($A232,#REF!,14,FALSE)&lt;-2),"",#REF!),"")</f>
        <v/>
      </c>
      <c r="Q232" t="str">
        <f>IFERROR(IF(OR(HLOOKUP($A232,#REF!,15,FALSE)&gt;2,HLOOKUP($A232,#REF!,15,FALSE)&lt;-2),"",#REF!),"")</f>
        <v/>
      </c>
      <c r="R232" t="str">
        <f>IFERROR(IF(OR(HLOOKUP($A232,#REF!,16,FALSE)&gt;2,HLOOKUP($A232,#REF!,16,FALSE)&lt;-2),"",#REF!),"")</f>
        <v/>
      </c>
      <c r="S232" t="str">
        <f>IFERROR(IF(OR(HLOOKUP($A232,#REF!,17,FALSE)&gt;2,HLOOKUP($A232,#REF!,17,FALSE)&lt;-2),"",#REF!),"")</f>
        <v/>
      </c>
      <c r="T232" t="str">
        <f>IFERROR(IF(OR(HLOOKUP($A232,#REF!,18,FALSE)&gt;2,HLOOKUP($A232,#REF!,18,FALSE)&lt;-2),"",#REF!),"")</f>
        <v/>
      </c>
      <c r="U232" t="str">
        <f>IFERROR(IF(OR(HLOOKUP($A232,#REF!,19,FALSE)&gt;2,HLOOKUP($A232,#REF!,19,FALSE)&lt;-2),"",#REF!),"")</f>
        <v/>
      </c>
      <c r="V232">
        <f t="shared" si="12"/>
        <v>1</v>
      </c>
      <c r="W232" t="str">
        <f t="shared" si="13"/>
        <v/>
      </c>
      <c r="X232" t="str">
        <f t="shared" si="14"/>
        <v/>
      </c>
      <c r="Y232" t="str">
        <f t="shared" si="15"/>
        <v/>
      </c>
    </row>
    <row r="233" spans="1:25" x14ac:dyDescent="0.35">
      <c r="A233">
        <v>237</v>
      </c>
      <c r="B233" t="s">
        <v>133</v>
      </c>
      <c r="C233">
        <v>101600</v>
      </c>
      <c r="D233">
        <v>917</v>
      </c>
      <c r="E233" t="str">
        <f>IFERROR(IF(OR(HLOOKUP($A233,#REF!,3,FALSE)&gt;2,HLOOKUP(A233,#REF!,3,FALSE)&lt;-2),"",#REF!),"")</f>
        <v/>
      </c>
      <c r="F233" t="str">
        <f>IFERROR(IF(OR(HLOOKUP($A233,#REF!,4,FALSE)&gt;2,HLOOKUP($A233,#REF!,4,FALSE)&lt;-2),"",#REF!),"")</f>
        <v/>
      </c>
      <c r="G233" t="str">
        <f>IFERROR(IF(OR(HLOOKUP($A233,#REF!,5,FALSE)&gt;2,HLOOKUP($A233,#REF!,5,FALSE)&lt;-2),"",#REF!),"")</f>
        <v/>
      </c>
      <c r="H233" t="str">
        <f>IFERROR(IF(OR(HLOOKUP($A233,#REF!,6,FALSE)&gt;2,HLOOKUP($A233,#REF!,6,FALSE)&lt;-2),"",#REF!),"")</f>
        <v/>
      </c>
      <c r="I233" t="str">
        <f>IFERROR(IF(OR(HLOOKUP($A233,#REF!,7,FALSE)&gt;2,HLOOKUP($A233,#REF!,7,FALSE)&lt;-2),"",#REF!),"")</f>
        <v/>
      </c>
      <c r="J233" t="str">
        <f>IFERROR(IF(OR(HLOOKUP($A233,#REF!,8,FALSE)&gt;2,HLOOKUP($A233,#REF!,8,FALSE)&lt;-2),"",#REF!),"")</f>
        <v/>
      </c>
      <c r="K233" t="str">
        <f>IFERROR(IF(OR(HLOOKUP($A233,#REF!,9,FALSE)&gt;2,HLOOKUP($A233,#REF!,9,FALSE)&lt;-2),"",#REF!),"")</f>
        <v/>
      </c>
      <c r="L233" t="str">
        <f>IFERROR(IF(OR(HLOOKUP($A233,#REF!,10,FALSE)&gt;2,HLOOKUP($A233,#REF!,10,FALSE)&lt;-2),"",#REF!),"")</f>
        <v/>
      </c>
      <c r="M233" t="str">
        <f>IFERROR(IF(OR(HLOOKUP($A233,#REF!,11,FALSE)&gt;2,HLOOKUP($A233,#REF!,11,FALSE)&lt;-2),"",#REF!),"")</f>
        <v/>
      </c>
      <c r="N233" t="str">
        <f>IFERROR(IF(OR(HLOOKUP($A233,#REF!,12,FALSE)&gt;2,HLOOKUP($A233,#REF!,12,FALSE)&lt;-2),"",#REF!),"")</f>
        <v/>
      </c>
      <c r="O233" t="str">
        <f>IFERROR(IF(OR(HLOOKUP($A233,#REF!,13,FALSE)&gt;2,HLOOKUP($A233,#REF!,13,FALSE)&lt;-2),"",#REF!),"")</f>
        <v/>
      </c>
      <c r="P233" t="str">
        <f>IFERROR(IF(OR(HLOOKUP($A233,#REF!,14,FALSE)&gt;2,HLOOKUP($A233,#REF!,14,FALSE)&lt;-2),"",#REF!),"")</f>
        <v/>
      </c>
      <c r="Q233" t="str">
        <f>IFERROR(IF(OR(HLOOKUP($A233,#REF!,15,FALSE)&gt;2,HLOOKUP($A233,#REF!,15,FALSE)&lt;-2),"",#REF!),"")</f>
        <v/>
      </c>
      <c r="R233" t="str">
        <f>IFERROR(IF(OR(HLOOKUP($A233,#REF!,16,FALSE)&gt;2,HLOOKUP($A233,#REF!,16,FALSE)&lt;-2),"",#REF!),"")</f>
        <v/>
      </c>
      <c r="S233" t="str">
        <f>IFERROR(IF(OR(HLOOKUP($A233,#REF!,17,FALSE)&gt;2,HLOOKUP($A233,#REF!,17,FALSE)&lt;-2),"",#REF!),"")</f>
        <v/>
      </c>
      <c r="T233" t="str">
        <f>IFERROR(IF(OR(HLOOKUP($A233,#REF!,18,FALSE)&gt;2,HLOOKUP($A233,#REF!,18,FALSE)&lt;-2),"",#REF!),"")</f>
        <v/>
      </c>
      <c r="U233" t="str">
        <f>IFERROR(IF(OR(HLOOKUP($A233,#REF!,19,FALSE)&gt;2,HLOOKUP($A233,#REF!,19,FALSE)&lt;-2),"",#REF!),"")</f>
        <v/>
      </c>
      <c r="V233">
        <f t="shared" si="12"/>
        <v>1</v>
      </c>
      <c r="W233" t="str">
        <f t="shared" si="13"/>
        <v/>
      </c>
      <c r="X233" t="str">
        <f t="shared" si="14"/>
        <v/>
      </c>
      <c r="Y233" t="str">
        <f t="shared" si="15"/>
        <v/>
      </c>
    </row>
    <row r="234" spans="1:25" x14ac:dyDescent="0.35">
      <c r="A234">
        <v>238</v>
      </c>
      <c r="B234" t="s">
        <v>703</v>
      </c>
      <c r="C234">
        <v>89100</v>
      </c>
      <c r="D234">
        <v>1117</v>
      </c>
      <c r="E234" t="str">
        <f>IFERROR(IF(OR(HLOOKUP($A234,#REF!,3,FALSE)&gt;2,HLOOKUP(A234,#REF!,3,FALSE)&lt;-2),"",#REF!),"")</f>
        <v/>
      </c>
      <c r="F234" t="str">
        <f>IFERROR(IF(OR(HLOOKUP($A234,#REF!,4,FALSE)&gt;2,HLOOKUP($A234,#REF!,4,FALSE)&lt;-2),"",#REF!),"")</f>
        <v/>
      </c>
      <c r="G234" t="str">
        <f>IFERROR(IF(OR(HLOOKUP($A234,#REF!,5,FALSE)&gt;2,HLOOKUP($A234,#REF!,5,FALSE)&lt;-2),"",#REF!),"")</f>
        <v/>
      </c>
      <c r="H234" t="str">
        <f>IFERROR(IF(OR(HLOOKUP($A234,#REF!,6,FALSE)&gt;2,HLOOKUP($A234,#REF!,6,FALSE)&lt;-2),"",#REF!),"")</f>
        <v/>
      </c>
      <c r="I234" t="str">
        <f>IFERROR(IF(OR(HLOOKUP($A234,#REF!,7,FALSE)&gt;2,HLOOKUP($A234,#REF!,7,FALSE)&lt;-2),"",#REF!),"")</f>
        <v/>
      </c>
      <c r="J234" t="str">
        <f>IFERROR(IF(OR(HLOOKUP($A234,#REF!,8,FALSE)&gt;2,HLOOKUP($A234,#REF!,8,FALSE)&lt;-2),"",#REF!),"")</f>
        <v/>
      </c>
      <c r="K234" t="str">
        <f>IFERROR(IF(OR(HLOOKUP($A234,#REF!,9,FALSE)&gt;2,HLOOKUP($A234,#REF!,9,FALSE)&lt;-2),"",#REF!),"")</f>
        <v/>
      </c>
      <c r="L234" t="str">
        <f>IFERROR(IF(OR(HLOOKUP($A234,#REF!,10,FALSE)&gt;2,HLOOKUP($A234,#REF!,10,FALSE)&lt;-2),"",#REF!),"")</f>
        <v/>
      </c>
      <c r="M234" t="str">
        <f>IFERROR(IF(OR(HLOOKUP($A234,#REF!,11,FALSE)&gt;2,HLOOKUP($A234,#REF!,11,FALSE)&lt;-2),"",#REF!),"")</f>
        <v/>
      </c>
      <c r="N234" t="str">
        <f>IFERROR(IF(OR(HLOOKUP($A234,#REF!,12,FALSE)&gt;2,HLOOKUP($A234,#REF!,12,FALSE)&lt;-2),"",#REF!),"")</f>
        <v/>
      </c>
      <c r="O234" t="str">
        <f>IFERROR(IF(OR(HLOOKUP($A234,#REF!,13,FALSE)&gt;2,HLOOKUP($A234,#REF!,13,FALSE)&lt;-2),"",#REF!),"")</f>
        <v/>
      </c>
      <c r="P234" t="str">
        <f>IFERROR(IF(OR(HLOOKUP($A234,#REF!,14,FALSE)&gt;2,HLOOKUP($A234,#REF!,14,FALSE)&lt;-2),"",#REF!),"")</f>
        <v/>
      </c>
      <c r="Q234" t="str">
        <f>IFERROR(IF(OR(HLOOKUP($A234,#REF!,15,FALSE)&gt;2,HLOOKUP($A234,#REF!,15,FALSE)&lt;-2),"",#REF!),"")</f>
        <v/>
      </c>
      <c r="R234" t="str">
        <f>IFERROR(IF(OR(HLOOKUP($A234,#REF!,16,FALSE)&gt;2,HLOOKUP($A234,#REF!,16,FALSE)&lt;-2),"",#REF!),"")</f>
        <v/>
      </c>
      <c r="S234" t="str">
        <f>IFERROR(IF(OR(HLOOKUP($A234,#REF!,17,FALSE)&gt;2,HLOOKUP($A234,#REF!,17,FALSE)&lt;-2),"",#REF!),"")</f>
        <v/>
      </c>
      <c r="T234" t="str">
        <f>IFERROR(IF(OR(HLOOKUP($A234,#REF!,18,FALSE)&gt;2,HLOOKUP($A234,#REF!,18,FALSE)&lt;-2),"",#REF!),"")</f>
        <v/>
      </c>
      <c r="U234" t="str">
        <f>IFERROR(IF(OR(HLOOKUP($A234,#REF!,19,FALSE)&gt;2,HLOOKUP($A234,#REF!,19,FALSE)&lt;-2),"",#REF!),"")</f>
        <v/>
      </c>
      <c r="V234">
        <f t="shared" si="12"/>
        <v>1</v>
      </c>
      <c r="W234" t="str">
        <f t="shared" si="13"/>
        <v/>
      </c>
      <c r="X234" t="str">
        <f t="shared" si="14"/>
        <v/>
      </c>
      <c r="Y234" t="str">
        <f t="shared" si="15"/>
        <v/>
      </c>
    </row>
    <row r="235" spans="1:25" x14ac:dyDescent="0.35">
      <c r="A235">
        <v>239</v>
      </c>
      <c r="B235" t="s">
        <v>704</v>
      </c>
      <c r="C235">
        <v>66200</v>
      </c>
      <c r="D235">
        <v>856</v>
      </c>
      <c r="E235" t="str">
        <f>IFERROR(IF(OR(HLOOKUP($A235,#REF!,3,FALSE)&gt;2,HLOOKUP(A235,#REF!,3,FALSE)&lt;-2),"",#REF!),"")</f>
        <v/>
      </c>
      <c r="F235" t="str">
        <f>IFERROR(IF(OR(HLOOKUP($A235,#REF!,4,FALSE)&gt;2,HLOOKUP($A235,#REF!,4,FALSE)&lt;-2),"",#REF!),"")</f>
        <v/>
      </c>
      <c r="G235" t="str">
        <f>IFERROR(IF(OR(HLOOKUP($A235,#REF!,5,FALSE)&gt;2,HLOOKUP($A235,#REF!,5,FALSE)&lt;-2),"",#REF!),"")</f>
        <v/>
      </c>
      <c r="H235" t="str">
        <f>IFERROR(IF(OR(HLOOKUP($A235,#REF!,6,FALSE)&gt;2,HLOOKUP($A235,#REF!,6,FALSE)&lt;-2),"",#REF!),"")</f>
        <v/>
      </c>
      <c r="I235" t="str">
        <f>IFERROR(IF(OR(HLOOKUP($A235,#REF!,7,FALSE)&gt;2,HLOOKUP($A235,#REF!,7,FALSE)&lt;-2),"",#REF!),"")</f>
        <v/>
      </c>
      <c r="J235" t="str">
        <f>IFERROR(IF(OR(HLOOKUP($A235,#REF!,8,FALSE)&gt;2,HLOOKUP($A235,#REF!,8,FALSE)&lt;-2),"",#REF!),"")</f>
        <v/>
      </c>
      <c r="K235" t="str">
        <f>IFERROR(IF(OR(HLOOKUP($A235,#REF!,9,FALSE)&gt;2,HLOOKUP($A235,#REF!,9,FALSE)&lt;-2),"",#REF!),"")</f>
        <v/>
      </c>
      <c r="L235" t="str">
        <f>IFERROR(IF(OR(HLOOKUP($A235,#REF!,10,FALSE)&gt;2,HLOOKUP($A235,#REF!,10,FALSE)&lt;-2),"",#REF!),"")</f>
        <v/>
      </c>
      <c r="M235" t="str">
        <f>IFERROR(IF(OR(HLOOKUP($A235,#REF!,11,FALSE)&gt;2,HLOOKUP($A235,#REF!,11,FALSE)&lt;-2),"",#REF!),"")</f>
        <v/>
      </c>
      <c r="N235" t="str">
        <f>IFERROR(IF(OR(HLOOKUP($A235,#REF!,12,FALSE)&gt;2,HLOOKUP($A235,#REF!,12,FALSE)&lt;-2),"",#REF!),"")</f>
        <v/>
      </c>
      <c r="O235" t="str">
        <f>IFERROR(IF(OR(HLOOKUP($A235,#REF!,13,FALSE)&gt;2,HLOOKUP($A235,#REF!,13,FALSE)&lt;-2),"",#REF!),"")</f>
        <v/>
      </c>
      <c r="P235" t="str">
        <f>IFERROR(IF(OR(HLOOKUP($A235,#REF!,14,FALSE)&gt;2,HLOOKUP($A235,#REF!,14,FALSE)&lt;-2),"",#REF!),"")</f>
        <v/>
      </c>
      <c r="Q235" t="str">
        <f>IFERROR(IF(OR(HLOOKUP($A235,#REF!,15,FALSE)&gt;2,HLOOKUP($A235,#REF!,15,FALSE)&lt;-2),"",#REF!),"")</f>
        <v/>
      </c>
      <c r="R235" t="str">
        <f>IFERROR(IF(OR(HLOOKUP($A235,#REF!,16,FALSE)&gt;2,HLOOKUP($A235,#REF!,16,FALSE)&lt;-2),"",#REF!),"")</f>
        <v/>
      </c>
      <c r="S235" t="str">
        <f>IFERROR(IF(OR(HLOOKUP($A235,#REF!,17,FALSE)&gt;2,HLOOKUP($A235,#REF!,17,FALSE)&lt;-2),"",#REF!),"")</f>
        <v/>
      </c>
      <c r="T235" t="str">
        <f>IFERROR(IF(OR(HLOOKUP($A235,#REF!,18,FALSE)&gt;2,HLOOKUP($A235,#REF!,18,FALSE)&lt;-2),"",#REF!),"")</f>
        <v/>
      </c>
      <c r="U235" t="str">
        <f>IFERROR(IF(OR(HLOOKUP($A235,#REF!,19,FALSE)&gt;2,HLOOKUP($A235,#REF!,19,FALSE)&lt;-2),"",#REF!),"")</f>
        <v/>
      </c>
      <c r="V235">
        <f t="shared" si="12"/>
        <v>1</v>
      </c>
      <c r="W235" t="str">
        <f t="shared" si="13"/>
        <v/>
      </c>
      <c r="X235" t="str">
        <f t="shared" si="14"/>
        <v/>
      </c>
      <c r="Y235" t="str">
        <f t="shared" si="15"/>
        <v/>
      </c>
    </row>
    <row r="236" spans="1:25" x14ac:dyDescent="0.35">
      <c r="A236">
        <v>240</v>
      </c>
      <c r="B236" t="s">
        <v>705</v>
      </c>
      <c r="C236">
        <v>36100</v>
      </c>
      <c r="D236">
        <v>663</v>
      </c>
      <c r="E236" t="str">
        <f>IFERROR(IF(OR(HLOOKUP($A236,#REF!,3,FALSE)&gt;2,HLOOKUP(A236,#REF!,3,FALSE)&lt;-2),"",#REF!),"")</f>
        <v/>
      </c>
      <c r="F236" t="str">
        <f>IFERROR(IF(OR(HLOOKUP($A236,#REF!,4,FALSE)&gt;2,HLOOKUP($A236,#REF!,4,FALSE)&lt;-2),"",#REF!),"")</f>
        <v/>
      </c>
      <c r="G236" t="str">
        <f>IFERROR(IF(OR(HLOOKUP($A236,#REF!,5,FALSE)&gt;2,HLOOKUP($A236,#REF!,5,FALSE)&lt;-2),"",#REF!),"")</f>
        <v/>
      </c>
      <c r="H236" t="str">
        <f>IFERROR(IF(OR(HLOOKUP($A236,#REF!,6,FALSE)&gt;2,HLOOKUP($A236,#REF!,6,FALSE)&lt;-2),"",#REF!),"")</f>
        <v/>
      </c>
      <c r="I236" t="str">
        <f>IFERROR(IF(OR(HLOOKUP($A236,#REF!,7,FALSE)&gt;2,HLOOKUP($A236,#REF!,7,FALSE)&lt;-2),"",#REF!),"")</f>
        <v/>
      </c>
      <c r="J236" t="str">
        <f>IFERROR(IF(OR(HLOOKUP($A236,#REF!,8,FALSE)&gt;2,HLOOKUP($A236,#REF!,8,FALSE)&lt;-2),"",#REF!),"")</f>
        <v/>
      </c>
      <c r="K236" t="str">
        <f>IFERROR(IF(OR(HLOOKUP($A236,#REF!,9,FALSE)&gt;2,HLOOKUP($A236,#REF!,9,FALSE)&lt;-2),"",#REF!),"")</f>
        <v/>
      </c>
      <c r="L236" t="str">
        <f>IFERROR(IF(OR(HLOOKUP($A236,#REF!,10,FALSE)&gt;2,HLOOKUP($A236,#REF!,10,FALSE)&lt;-2),"",#REF!),"")</f>
        <v/>
      </c>
      <c r="M236" t="str">
        <f>IFERROR(IF(OR(HLOOKUP($A236,#REF!,11,FALSE)&gt;2,HLOOKUP($A236,#REF!,11,FALSE)&lt;-2),"",#REF!),"")</f>
        <v/>
      </c>
      <c r="N236" t="str">
        <f>IFERROR(IF(OR(HLOOKUP($A236,#REF!,12,FALSE)&gt;2,HLOOKUP($A236,#REF!,12,FALSE)&lt;-2),"",#REF!),"")</f>
        <v/>
      </c>
      <c r="O236" t="str">
        <f>IFERROR(IF(OR(HLOOKUP($A236,#REF!,13,FALSE)&gt;2,HLOOKUP($A236,#REF!,13,FALSE)&lt;-2),"",#REF!),"")</f>
        <v/>
      </c>
      <c r="P236" t="str">
        <f>IFERROR(IF(OR(HLOOKUP($A236,#REF!,14,FALSE)&gt;2,HLOOKUP($A236,#REF!,14,FALSE)&lt;-2),"",#REF!),"")</f>
        <v/>
      </c>
      <c r="Q236" t="str">
        <f>IFERROR(IF(OR(HLOOKUP($A236,#REF!,15,FALSE)&gt;2,HLOOKUP($A236,#REF!,15,FALSE)&lt;-2),"",#REF!),"")</f>
        <v/>
      </c>
      <c r="R236" t="str">
        <f>IFERROR(IF(OR(HLOOKUP($A236,#REF!,16,FALSE)&gt;2,HLOOKUP($A236,#REF!,16,FALSE)&lt;-2),"",#REF!),"")</f>
        <v/>
      </c>
      <c r="S236" t="str">
        <f>IFERROR(IF(OR(HLOOKUP($A236,#REF!,17,FALSE)&gt;2,HLOOKUP($A236,#REF!,17,FALSE)&lt;-2),"",#REF!),"")</f>
        <v/>
      </c>
      <c r="T236" t="str">
        <f>IFERROR(IF(OR(HLOOKUP($A236,#REF!,18,FALSE)&gt;2,HLOOKUP($A236,#REF!,18,FALSE)&lt;-2),"",#REF!),"")</f>
        <v/>
      </c>
      <c r="U236" t="str">
        <f>IFERROR(IF(OR(HLOOKUP($A236,#REF!,19,FALSE)&gt;2,HLOOKUP($A236,#REF!,19,FALSE)&lt;-2),"",#REF!),"")</f>
        <v/>
      </c>
      <c r="V236">
        <f t="shared" si="12"/>
        <v>1</v>
      </c>
      <c r="W236" t="str">
        <f t="shared" si="13"/>
        <v/>
      </c>
      <c r="X236" t="str">
        <f t="shared" si="14"/>
        <v/>
      </c>
      <c r="Y236" t="str">
        <f t="shared" si="15"/>
        <v/>
      </c>
    </row>
    <row r="237" spans="1:25" x14ac:dyDescent="0.35">
      <c r="A237">
        <v>241</v>
      </c>
      <c r="B237" t="s">
        <v>706</v>
      </c>
      <c r="C237">
        <v>27500</v>
      </c>
      <c r="D237">
        <v>22</v>
      </c>
      <c r="E237" t="str">
        <f>IFERROR(IF(OR(HLOOKUP($A237,#REF!,3,FALSE)&gt;2,HLOOKUP(A237,#REF!,3,FALSE)&lt;-2),"",#REF!),"")</f>
        <v/>
      </c>
      <c r="F237" t="str">
        <f>IFERROR(IF(OR(HLOOKUP($A237,#REF!,4,FALSE)&gt;2,HLOOKUP($A237,#REF!,4,FALSE)&lt;-2),"",#REF!),"")</f>
        <v/>
      </c>
      <c r="G237" t="str">
        <f>IFERROR(IF(OR(HLOOKUP($A237,#REF!,5,FALSE)&gt;2,HLOOKUP($A237,#REF!,5,FALSE)&lt;-2),"",#REF!),"")</f>
        <v/>
      </c>
      <c r="H237" t="str">
        <f>IFERROR(IF(OR(HLOOKUP($A237,#REF!,6,FALSE)&gt;2,HLOOKUP($A237,#REF!,6,FALSE)&lt;-2),"",#REF!),"")</f>
        <v/>
      </c>
      <c r="I237" t="str">
        <f>IFERROR(IF(OR(HLOOKUP($A237,#REF!,7,FALSE)&gt;2,HLOOKUP($A237,#REF!,7,FALSE)&lt;-2),"",#REF!),"")</f>
        <v/>
      </c>
      <c r="J237" t="str">
        <f>IFERROR(IF(OR(HLOOKUP($A237,#REF!,8,FALSE)&gt;2,HLOOKUP($A237,#REF!,8,FALSE)&lt;-2),"",#REF!),"")</f>
        <v/>
      </c>
      <c r="K237" t="str">
        <f>IFERROR(IF(OR(HLOOKUP($A237,#REF!,9,FALSE)&gt;2,HLOOKUP($A237,#REF!,9,FALSE)&lt;-2),"",#REF!),"")</f>
        <v/>
      </c>
      <c r="L237" t="str">
        <f>IFERROR(IF(OR(HLOOKUP($A237,#REF!,10,FALSE)&gt;2,HLOOKUP($A237,#REF!,10,FALSE)&lt;-2),"",#REF!),"")</f>
        <v/>
      </c>
      <c r="M237" t="str">
        <f>IFERROR(IF(OR(HLOOKUP($A237,#REF!,11,FALSE)&gt;2,HLOOKUP($A237,#REF!,11,FALSE)&lt;-2),"",#REF!),"")</f>
        <v/>
      </c>
      <c r="N237" t="str">
        <f>IFERROR(IF(OR(HLOOKUP($A237,#REF!,12,FALSE)&gt;2,HLOOKUP($A237,#REF!,12,FALSE)&lt;-2),"",#REF!),"")</f>
        <v/>
      </c>
      <c r="O237" t="str">
        <f>IFERROR(IF(OR(HLOOKUP($A237,#REF!,13,FALSE)&gt;2,HLOOKUP($A237,#REF!,13,FALSE)&lt;-2),"",#REF!),"")</f>
        <v/>
      </c>
      <c r="P237" t="str">
        <f>IFERROR(IF(OR(HLOOKUP($A237,#REF!,14,FALSE)&gt;2,HLOOKUP($A237,#REF!,14,FALSE)&lt;-2),"",#REF!),"")</f>
        <v/>
      </c>
      <c r="Q237" t="str">
        <f>IFERROR(IF(OR(HLOOKUP($A237,#REF!,15,FALSE)&gt;2,HLOOKUP($A237,#REF!,15,FALSE)&lt;-2),"",#REF!),"")</f>
        <v/>
      </c>
      <c r="R237" t="str">
        <f>IFERROR(IF(OR(HLOOKUP($A237,#REF!,16,FALSE)&gt;2,HLOOKUP($A237,#REF!,16,FALSE)&lt;-2),"",#REF!),"")</f>
        <v/>
      </c>
      <c r="S237" t="str">
        <f>IFERROR(IF(OR(HLOOKUP($A237,#REF!,17,FALSE)&gt;2,HLOOKUP($A237,#REF!,17,FALSE)&lt;-2),"",#REF!),"")</f>
        <v/>
      </c>
      <c r="T237" t="str">
        <f>IFERROR(IF(OR(HLOOKUP($A237,#REF!,18,FALSE)&gt;2,HLOOKUP($A237,#REF!,18,FALSE)&lt;-2),"",#REF!),"")</f>
        <v/>
      </c>
      <c r="U237" t="str">
        <f>IFERROR(IF(OR(HLOOKUP($A237,#REF!,19,FALSE)&gt;2,HLOOKUP($A237,#REF!,19,FALSE)&lt;-2),"",#REF!),"")</f>
        <v/>
      </c>
      <c r="V237">
        <f t="shared" si="12"/>
        <v>1</v>
      </c>
      <c r="W237" t="str">
        <f t="shared" si="13"/>
        <v/>
      </c>
      <c r="X237" t="str">
        <f t="shared" si="14"/>
        <v/>
      </c>
      <c r="Y237" t="str">
        <f t="shared" si="15"/>
        <v/>
      </c>
    </row>
    <row r="238" spans="1:25" x14ac:dyDescent="0.35">
      <c r="A238">
        <v>242</v>
      </c>
      <c r="B238" t="s">
        <v>707</v>
      </c>
      <c r="C238">
        <v>49400</v>
      </c>
      <c r="D238">
        <v>275</v>
      </c>
      <c r="E238" t="str">
        <f>IFERROR(IF(OR(HLOOKUP($A238,#REF!,3,FALSE)&gt;2,HLOOKUP(A238,#REF!,3,FALSE)&lt;-2),"",#REF!),"")</f>
        <v/>
      </c>
      <c r="F238" t="str">
        <f>IFERROR(IF(OR(HLOOKUP($A238,#REF!,4,FALSE)&gt;2,HLOOKUP($A238,#REF!,4,FALSE)&lt;-2),"",#REF!),"")</f>
        <v/>
      </c>
      <c r="G238" t="str">
        <f>IFERROR(IF(OR(HLOOKUP($A238,#REF!,5,FALSE)&gt;2,HLOOKUP($A238,#REF!,5,FALSE)&lt;-2),"",#REF!),"")</f>
        <v/>
      </c>
      <c r="H238" t="str">
        <f>IFERROR(IF(OR(HLOOKUP($A238,#REF!,6,FALSE)&gt;2,HLOOKUP($A238,#REF!,6,FALSE)&lt;-2),"",#REF!),"")</f>
        <v/>
      </c>
      <c r="I238" t="str">
        <f>IFERROR(IF(OR(HLOOKUP($A238,#REF!,7,FALSE)&gt;2,HLOOKUP($A238,#REF!,7,FALSE)&lt;-2),"",#REF!),"")</f>
        <v/>
      </c>
      <c r="J238" t="str">
        <f>IFERROR(IF(OR(HLOOKUP($A238,#REF!,8,FALSE)&gt;2,HLOOKUP($A238,#REF!,8,FALSE)&lt;-2),"",#REF!),"")</f>
        <v/>
      </c>
      <c r="K238" t="str">
        <f>IFERROR(IF(OR(HLOOKUP($A238,#REF!,9,FALSE)&gt;2,HLOOKUP($A238,#REF!,9,FALSE)&lt;-2),"",#REF!),"")</f>
        <v/>
      </c>
      <c r="L238" t="str">
        <f>IFERROR(IF(OR(HLOOKUP($A238,#REF!,10,FALSE)&gt;2,HLOOKUP($A238,#REF!,10,FALSE)&lt;-2),"",#REF!),"")</f>
        <v/>
      </c>
      <c r="M238" t="str">
        <f>IFERROR(IF(OR(HLOOKUP($A238,#REF!,11,FALSE)&gt;2,HLOOKUP($A238,#REF!,11,FALSE)&lt;-2),"",#REF!),"")</f>
        <v/>
      </c>
      <c r="N238" t="str">
        <f>IFERROR(IF(OR(HLOOKUP($A238,#REF!,12,FALSE)&gt;2,HLOOKUP($A238,#REF!,12,FALSE)&lt;-2),"",#REF!),"")</f>
        <v/>
      </c>
      <c r="O238" t="str">
        <f>IFERROR(IF(OR(HLOOKUP($A238,#REF!,13,FALSE)&gt;2,HLOOKUP($A238,#REF!,13,FALSE)&lt;-2),"",#REF!),"")</f>
        <v/>
      </c>
      <c r="P238" t="str">
        <f>IFERROR(IF(OR(HLOOKUP($A238,#REF!,14,FALSE)&gt;2,HLOOKUP($A238,#REF!,14,FALSE)&lt;-2),"",#REF!),"")</f>
        <v/>
      </c>
      <c r="Q238" t="str">
        <f>IFERROR(IF(OR(HLOOKUP($A238,#REF!,15,FALSE)&gt;2,HLOOKUP($A238,#REF!,15,FALSE)&lt;-2),"",#REF!),"")</f>
        <v/>
      </c>
      <c r="R238" t="str">
        <f>IFERROR(IF(OR(HLOOKUP($A238,#REF!,16,FALSE)&gt;2,HLOOKUP($A238,#REF!,16,FALSE)&lt;-2),"",#REF!),"")</f>
        <v/>
      </c>
      <c r="S238" t="str">
        <f>IFERROR(IF(OR(HLOOKUP($A238,#REF!,17,FALSE)&gt;2,HLOOKUP($A238,#REF!,17,FALSE)&lt;-2),"",#REF!),"")</f>
        <v/>
      </c>
      <c r="T238" t="str">
        <f>IFERROR(IF(OR(HLOOKUP($A238,#REF!,18,FALSE)&gt;2,HLOOKUP($A238,#REF!,18,FALSE)&lt;-2),"",#REF!),"")</f>
        <v/>
      </c>
      <c r="U238" t="str">
        <f>IFERROR(IF(OR(HLOOKUP($A238,#REF!,19,FALSE)&gt;2,HLOOKUP($A238,#REF!,19,FALSE)&lt;-2),"",#REF!),"")</f>
        <v/>
      </c>
      <c r="V238">
        <f t="shared" si="12"/>
        <v>1</v>
      </c>
      <c r="W238" t="str">
        <f t="shared" si="13"/>
        <v/>
      </c>
      <c r="X238" t="str">
        <f t="shared" si="14"/>
        <v/>
      </c>
      <c r="Y238" t="str">
        <f t="shared" si="15"/>
        <v/>
      </c>
    </row>
    <row r="239" spans="1:25" x14ac:dyDescent="0.35">
      <c r="A239">
        <v>243</v>
      </c>
      <c r="B239" t="s">
        <v>134</v>
      </c>
      <c r="C239">
        <v>11200</v>
      </c>
      <c r="D239">
        <v>1011</v>
      </c>
      <c r="E239" t="str">
        <f>IFERROR(IF(OR(HLOOKUP($A239,#REF!,3,FALSE)&gt;2,HLOOKUP(A239,#REF!,3,FALSE)&lt;-2),"",#REF!),"")</f>
        <v/>
      </c>
      <c r="F239" t="str">
        <f>IFERROR(IF(OR(HLOOKUP($A239,#REF!,4,FALSE)&gt;2,HLOOKUP($A239,#REF!,4,FALSE)&lt;-2),"",#REF!),"")</f>
        <v/>
      </c>
      <c r="G239" t="str">
        <f>IFERROR(IF(OR(HLOOKUP($A239,#REF!,5,FALSE)&gt;2,HLOOKUP($A239,#REF!,5,FALSE)&lt;-2),"",#REF!),"")</f>
        <v/>
      </c>
      <c r="H239" t="str">
        <f>IFERROR(IF(OR(HLOOKUP($A239,#REF!,6,FALSE)&gt;2,HLOOKUP($A239,#REF!,6,FALSE)&lt;-2),"",#REF!),"")</f>
        <v/>
      </c>
      <c r="I239" t="str">
        <f>IFERROR(IF(OR(HLOOKUP($A239,#REF!,7,FALSE)&gt;2,HLOOKUP($A239,#REF!,7,FALSE)&lt;-2),"",#REF!),"")</f>
        <v/>
      </c>
      <c r="J239" t="str">
        <f>IFERROR(IF(OR(HLOOKUP($A239,#REF!,8,FALSE)&gt;2,HLOOKUP($A239,#REF!,8,FALSE)&lt;-2),"",#REF!),"")</f>
        <v/>
      </c>
      <c r="K239" t="str">
        <f>IFERROR(IF(OR(HLOOKUP($A239,#REF!,9,FALSE)&gt;2,HLOOKUP($A239,#REF!,9,FALSE)&lt;-2),"",#REF!),"")</f>
        <v/>
      </c>
      <c r="L239" t="str">
        <f>IFERROR(IF(OR(HLOOKUP($A239,#REF!,10,FALSE)&gt;2,HLOOKUP($A239,#REF!,10,FALSE)&lt;-2),"",#REF!),"")</f>
        <v/>
      </c>
      <c r="M239" t="str">
        <f>IFERROR(IF(OR(HLOOKUP($A239,#REF!,11,FALSE)&gt;2,HLOOKUP($A239,#REF!,11,FALSE)&lt;-2),"",#REF!),"")</f>
        <v/>
      </c>
      <c r="N239" t="str">
        <f>IFERROR(IF(OR(HLOOKUP($A239,#REF!,12,FALSE)&gt;2,HLOOKUP($A239,#REF!,12,FALSE)&lt;-2),"",#REF!),"")</f>
        <v/>
      </c>
      <c r="O239" t="str">
        <f>IFERROR(IF(OR(HLOOKUP($A239,#REF!,13,FALSE)&gt;2,HLOOKUP($A239,#REF!,13,FALSE)&lt;-2),"",#REF!),"")</f>
        <v/>
      </c>
      <c r="P239" t="str">
        <f>IFERROR(IF(OR(HLOOKUP($A239,#REF!,14,FALSE)&gt;2,HLOOKUP($A239,#REF!,14,FALSE)&lt;-2),"",#REF!),"")</f>
        <v/>
      </c>
      <c r="Q239" t="str">
        <f>IFERROR(IF(OR(HLOOKUP($A239,#REF!,15,FALSE)&gt;2,HLOOKUP($A239,#REF!,15,FALSE)&lt;-2),"",#REF!),"")</f>
        <v/>
      </c>
      <c r="R239" t="str">
        <f>IFERROR(IF(OR(HLOOKUP($A239,#REF!,16,FALSE)&gt;2,HLOOKUP($A239,#REF!,16,FALSE)&lt;-2),"",#REF!),"")</f>
        <v/>
      </c>
      <c r="S239" t="str">
        <f>IFERROR(IF(OR(HLOOKUP($A239,#REF!,17,FALSE)&gt;2,HLOOKUP($A239,#REF!,17,FALSE)&lt;-2),"",#REF!),"")</f>
        <v/>
      </c>
      <c r="T239" t="str">
        <f>IFERROR(IF(OR(HLOOKUP($A239,#REF!,18,FALSE)&gt;2,HLOOKUP($A239,#REF!,18,FALSE)&lt;-2),"",#REF!),"")</f>
        <v/>
      </c>
      <c r="U239" t="str">
        <f>IFERROR(IF(OR(HLOOKUP($A239,#REF!,19,FALSE)&gt;2,HLOOKUP($A239,#REF!,19,FALSE)&lt;-2),"",#REF!),"")</f>
        <v/>
      </c>
      <c r="V239">
        <f t="shared" si="12"/>
        <v>1</v>
      </c>
      <c r="W239" t="str">
        <f t="shared" si="13"/>
        <v/>
      </c>
      <c r="X239" t="str">
        <f t="shared" si="14"/>
        <v/>
      </c>
      <c r="Y239" t="str">
        <f t="shared" si="15"/>
        <v/>
      </c>
    </row>
    <row r="240" spans="1:25" x14ac:dyDescent="0.35">
      <c r="A240">
        <v>244</v>
      </c>
      <c r="B240" t="s">
        <v>708</v>
      </c>
      <c r="C240">
        <v>30500</v>
      </c>
      <c r="D240">
        <v>507</v>
      </c>
      <c r="E240" t="str">
        <f>IFERROR(IF(OR(HLOOKUP($A240,#REF!,3,FALSE)&gt;2,HLOOKUP(A240,#REF!,3,FALSE)&lt;-2),"",#REF!),"")</f>
        <v/>
      </c>
      <c r="F240" t="str">
        <f>IFERROR(IF(OR(HLOOKUP($A240,#REF!,4,FALSE)&gt;2,HLOOKUP($A240,#REF!,4,FALSE)&lt;-2),"",#REF!),"")</f>
        <v/>
      </c>
      <c r="G240" t="str">
        <f>IFERROR(IF(OR(HLOOKUP($A240,#REF!,5,FALSE)&gt;2,HLOOKUP($A240,#REF!,5,FALSE)&lt;-2),"",#REF!),"")</f>
        <v/>
      </c>
      <c r="H240" t="str">
        <f>IFERROR(IF(OR(HLOOKUP($A240,#REF!,6,FALSE)&gt;2,HLOOKUP($A240,#REF!,6,FALSE)&lt;-2),"",#REF!),"")</f>
        <v/>
      </c>
      <c r="I240" t="str">
        <f>IFERROR(IF(OR(HLOOKUP($A240,#REF!,7,FALSE)&gt;2,HLOOKUP($A240,#REF!,7,FALSE)&lt;-2),"",#REF!),"")</f>
        <v/>
      </c>
      <c r="J240" t="str">
        <f>IFERROR(IF(OR(HLOOKUP($A240,#REF!,8,FALSE)&gt;2,HLOOKUP($A240,#REF!,8,FALSE)&lt;-2),"",#REF!),"")</f>
        <v/>
      </c>
      <c r="K240" t="str">
        <f>IFERROR(IF(OR(HLOOKUP($A240,#REF!,9,FALSE)&gt;2,HLOOKUP($A240,#REF!,9,FALSE)&lt;-2),"",#REF!),"")</f>
        <v/>
      </c>
      <c r="L240" t="str">
        <f>IFERROR(IF(OR(HLOOKUP($A240,#REF!,10,FALSE)&gt;2,HLOOKUP($A240,#REF!,10,FALSE)&lt;-2),"",#REF!),"")</f>
        <v/>
      </c>
      <c r="M240" t="str">
        <f>IFERROR(IF(OR(HLOOKUP($A240,#REF!,11,FALSE)&gt;2,HLOOKUP($A240,#REF!,11,FALSE)&lt;-2),"",#REF!),"")</f>
        <v/>
      </c>
      <c r="N240" t="str">
        <f>IFERROR(IF(OR(HLOOKUP($A240,#REF!,12,FALSE)&gt;2,HLOOKUP($A240,#REF!,12,FALSE)&lt;-2),"",#REF!),"")</f>
        <v/>
      </c>
      <c r="O240" t="str">
        <f>IFERROR(IF(OR(HLOOKUP($A240,#REF!,13,FALSE)&gt;2,HLOOKUP($A240,#REF!,13,FALSE)&lt;-2),"",#REF!),"")</f>
        <v/>
      </c>
      <c r="P240" t="str">
        <f>IFERROR(IF(OR(HLOOKUP($A240,#REF!,14,FALSE)&gt;2,HLOOKUP($A240,#REF!,14,FALSE)&lt;-2),"",#REF!),"")</f>
        <v/>
      </c>
      <c r="Q240" t="str">
        <f>IFERROR(IF(OR(HLOOKUP($A240,#REF!,15,FALSE)&gt;2,HLOOKUP($A240,#REF!,15,FALSE)&lt;-2),"",#REF!),"")</f>
        <v/>
      </c>
      <c r="R240" t="str">
        <f>IFERROR(IF(OR(HLOOKUP($A240,#REF!,16,FALSE)&gt;2,HLOOKUP($A240,#REF!,16,FALSE)&lt;-2),"",#REF!),"")</f>
        <v/>
      </c>
      <c r="S240" t="str">
        <f>IFERROR(IF(OR(HLOOKUP($A240,#REF!,17,FALSE)&gt;2,HLOOKUP($A240,#REF!,17,FALSE)&lt;-2),"",#REF!),"")</f>
        <v/>
      </c>
      <c r="T240" t="str">
        <f>IFERROR(IF(OR(HLOOKUP($A240,#REF!,18,FALSE)&gt;2,HLOOKUP($A240,#REF!,18,FALSE)&lt;-2),"",#REF!),"")</f>
        <v/>
      </c>
      <c r="U240" t="str">
        <f>IFERROR(IF(OR(HLOOKUP($A240,#REF!,19,FALSE)&gt;2,HLOOKUP($A240,#REF!,19,FALSE)&lt;-2),"",#REF!),"")</f>
        <v/>
      </c>
      <c r="V240">
        <f t="shared" si="12"/>
        <v>1</v>
      </c>
      <c r="W240" t="str">
        <f t="shared" si="13"/>
        <v/>
      </c>
      <c r="X240" t="str">
        <f t="shared" si="14"/>
        <v/>
      </c>
      <c r="Y240" t="str">
        <f t="shared" si="15"/>
        <v/>
      </c>
    </row>
    <row r="241" spans="1:25" x14ac:dyDescent="0.35">
      <c r="A241">
        <v>245</v>
      </c>
      <c r="B241" t="s">
        <v>709</v>
      </c>
      <c r="C241">
        <v>103400</v>
      </c>
      <c r="D241">
        <v>871</v>
      </c>
      <c r="E241" t="str">
        <f>IFERROR(IF(OR(HLOOKUP($A241,#REF!,3,FALSE)&gt;2,HLOOKUP(A241,#REF!,3,FALSE)&lt;-2),"",#REF!),"")</f>
        <v/>
      </c>
      <c r="F241" t="str">
        <f>IFERROR(IF(OR(HLOOKUP($A241,#REF!,4,FALSE)&gt;2,HLOOKUP($A241,#REF!,4,FALSE)&lt;-2),"",#REF!),"")</f>
        <v/>
      </c>
      <c r="G241" t="str">
        <f>IFERROR(IF(OR(HLOOKUP($A241,#REF!,5,FALSE)&gt;2,HLOOKUP($A241,#REF!,5,FALSE)&lt;-2),"",#REF!),"")</f>
        <v/>
      </c>
      <c r="H241" t="str">
        <f>IFERROR(IF(OR(HLOOKUP($A241,#REF!,6,FALSE)&gt;2,HLOOKUP($A241,#REF!,6,FALSE)&lt;-2),"",#REF!),"")</f>
        <v/>
      </c>
      <c r="I241" t="str">
        <f>IFERROR(IF(OR(HLOOKUP($A241,#REF!,7,FALSE)&gt;2,HLOOKUP($A241,#REF!,7,FALSE)&lt;-2),"",#REF!),"")</f>
        <v/>
      </c>
      <c r="J241" t="str">
        <f>IFERROR(IF(OR(HLOOKUP($A241,#REF!,8,FALSE)&gt;2,HLOOKUP($A241,#REF!,8,FALSE)&lt;-2),"",#REF!),"")</f>
        <v/>
      </c>
      <c r="K241" t="str">
        <f>IFERROR(IF(OR(HLOOKUP($A241,#REF!,9,FALSE)&gt;2,HLOOKUP($A241,#REF!,9,FALSE)&lt;-2),"",#REF!),"")</f>
        <v/>
      </c>
      <c r="L241" t="str">
        <f>IFERROR(IF(OR(HLOOKUP($A241,#REF!,10,FALSE)&gt;2,HLOOKUP($A241,#REF!,10,FALSE)&lt;-2),"",#REF!),"")</f>
        <v/>
      </c>
      <c r="M241" t="str">
        <f>IFERROR(IF(OR(HLOOKUP($A241,#REF!,11,FALSE)&gt;2,HLOOKUP($A241,#REF!,11,FALSE)&lt;-2),"",#REF!),"")</f>
        <v/>
      </c>
      <c r="N241" t="str">
        <f>IFERROR(IF(OR(HLOOKUP($A241,#REF!,12,FALSE)&gt;2,HLOOKUP($A241,#REF!,12,FALSE)&lt;-2),"",#REF!),"")</f>
        <v/>
      </c>
      <c r="O241" t="str">
        <f>IFERROR(IF(OR(HLOOKUP($A241,#REF!,13,FALSE)&gt;2,HLOOKUP($A241,#REF!,13,FALSE)&lt;-2),"",#REF!),"")</f>
        <v/>
      </c>
      <c r="P241" t="str">
        <f>IFERROR(IF(OR(HLOOKUP($A241,#REF!,14,FALSE)&gt;2,HLOOKUP($A241,#REF!,14,FALSE)&lt;-2),"",#REF!),"")</f>
        <v/>
      </c>
      <c r="Q241" t="str">
        <f>IFERROR(IF(OR(HLOOKUP($A241,#REF!,15,FALSE)&gt;2,HLOOKUP($A241,#REF!,15,FALSE)&lt;-2),"",#REF!),"")</f>
        <v/>
      </c>
      <c r="R241" t="str">
        <f>IFERROR(IF(OR(HLOOKUP($A241,#REF!,16,FALSE)&gt;2,HLOOKUP($A241,#REF!,16,FALSE)&lt;-2),"",#REF!),"")</f>
        <v/>
      </c>
      <c r="S241" t="str">
        <f>IFERROR(IF(OR(HLOOKUP($A241,#REF!,17,FALSE)&gt;2,HLOOKUP($A241,#REF!,17,FALSE)&lt;-2),"",#REF!),"")</f>
        <v/>
      </c>
      <c r="T241" t="str">
        <f>IFERROR(IF(OR(HLOOKUP($A241,#REF!,18,FALSE)&gt;2,HLOOKUP($A241,#REF!,18,FALSE)&lt;-2),"",#REF!),"")</f>
        <v/>
      </c>
      <c r="U241" t="str">
        <f>IFERROR(IF(OR(HLOOKUP($A241,#REF!,19,FALSE)&gt;2,HLOOKUP($A241,#REF!,19,FALSE)&lt;-2),"",#REF!),"")</f>
        <v/>
      </c>
      <c r="V241">
        <f t="shared" si="12"/>
        <v>1</v>
      </c>
      <c r="W241" t="str">
        <f t="shared" si="13"/>
        <v/>
      </c>
      <c r="X241" t="str">
        <f t="shared" si="14"/>
        <v/>
      </c>
      <c r="Y241" t="str">
        <f t="shared" si="15"/>
        <v/>
      </c>
    </row>
    <row r="242" spans="1:25" x14ac:dyDescent="0.35">
      <c r="A242">
        <v>246</v>
      </c>
      <c r="B242" t="s">
        <v>135</v>
      </c>
      <c r="C242">
        <v>80200</v>
      </c>
      <c r="D242">
        <v>323</v>
      </c>
      <c r="E242" t="str">
        <f>IFERROR(IF(OR(HLOOKUP($A242,#REF!,3,FALSE)&gt;2,HLOOKUP(A242,#REF!,3,FALSE)&lt;-2),"",#REF!),"")</f>
        <v/>
      </c>
      <c r="F242" t="str">
        <f>IFERROR(IF(OR(HLOOKUP($A242,#REF!,4,FALSE)&gt;2,HLOOKUP($A242,#REF!,4,FALSE)&lt;-2),"",#REF!),"")</f>
        <v/>
      </c>
      <c r="G242" t="str">
        <f>IFERROR(IF(OR(HLOOKUP($A242,#REF!,5,FALSE)&gt;2,HLOOKUP($A242,#REF!,5,FALSE)&lt;-2),"",#REF!),"")</f>
        <v/>
      </c>
      <c r="H242" t="str">
        <f>IFERROR(IF(OR(HLOOKUP($A242,#REF!,6,FALSE)&gt;2,HLOOKUP($A242,#REF!,6,FALSE)&lt;-2),"",#REF!),"")</f>
        <v/>
      </c>
      <c r="I242" t="str">
        <f>IFERROR(IF(OR(HLOOKUP($A242,#REF!,7,FALSE)&gt;2,HLOOKUP($A242,#REF!,7,FALSE)&lt;-2),"",#REF!),"")</f>
        <v/>
      </c>
      <c r="J242" t="str">
        <f>IFERROR(IF(OR(HLOOKUP($A242,#REF!,8,FALSE)&gt;2,HLOOKUP($A242,#REF!,8,FALSE)&lt;-2),"",#REF!),"")</f>
        <v/>
      </c>
      <c r="K242" t="str">
        <f>IFERROR(IF(OR(HLOOKUP($A242,#REF!,9,FALSE)&gt;2,HLOOKUP($A242,#REF!,9,FALSE)&lt;-2),"",#REF!),"")</f>
        <v/>
      </c>
      <c r="L242" t="str">
        <f>IFERROR(IF(OR(HLOOKUP($A242,#REF!,10,FALSE)&gt;2,HLOOKUP($A242,#REF!,10,FALSE)&lt;-2),"",#REF!),"")</f>
        <v/>
      </c>
      <c r="M242" t="str">
        <f>IFERROR(IF(OR(HLOOKUP($A242,#REF!,11,FALSE)&gt;2,HLOOKUP($A242,#REF!,11,FALSE)&lt;-2),"",#REF!),"")</f>
        <v/>
      </c>
      <c r="N242" t="str">
        <f>IFERROR(IF(OR(HLOOKUP($A242,#REF!,12,FALSE)&gt;2,HLOOKUP($A242,#REF!,12,FALSE)&lt;-2),"",#REF!),"")</f>
        <v/>
      </c>
      <c r="O242" t="str">
        <f>IFERROR(IF(OR(HLOOKUP($A242,#REF!,13,FALSE)&gt;2,HLOOKUP($A242,#REF!,13,FALSE)&lt;-2),"",#REF!),"")</f>
        <v/>
      </c>
      <c r="P242" t="str">
        <f>IFERROR(IF(OR(HLOOKUP($A242,#REF!,14,FALSE)&gt;2,HLOOKUP($A242,#REF!,14,FALSE)&lt;-2),"",#REF!),"")</f>
        <v/>
      </c>
      <c r="Q242" t="str">
        <f>IFERROR(IF(OR(HLOOKUP($A242,#REF!,15,FALSE)&gt;2,HLOOKUP($A242,#REF!,15,FALSE)&lt;-2),"",#REF!),"")</f>
        <v/>
      </c>
      <c r="R242" t="str">
        <f>IFERROR(IF(OR(HLOOKUP($A242,#REF!,16,FALSE)&gt;2,HLOOKUP($A242,#REF!,16,FALSE)&lt;-2),"",#REF!),"")</f>
        <v/>
      </c>
      <c r="S242" t="str">
        <f>IFERROR(IF(OR(HLOOKUP($A242,#REF!,17,FALSE)&gt;2,HLOOKUP($A242,#REF!,17,FALSE)&lt;-2),"",#REF!),"")</f>
        <v/>
      </c>
      <c r="T242" t="str">
        <f>IFERROR(IF(OR(HLOOKUP($A242,#REF!,18,FALSE)&gt;2,HLOOKUP($A242,#REF!,18,FALSE)&lt;-2),"",#REF!),"")</f>
        <v/>
      </c>
      <c r="U242" t="str">
        <f>IFERROR(IF(OR(HLOOKUP($A242,#REF!,19,FALSE)&gt;2,HLOOKUP($A242,#REF!,19,FALSE)&lt;-2),"",#REF!),"")</f>
        <v/>
      </c>
      <c r="V242">
        <f t="shared" si="12"/>
        <v>1</v>
      </c>
      <c r="W242" t="str">
        <f t="shared" si="13"/>
        <v/>
      </c>
      <c r="X242" t="str">
        <f t="shared" si="14"/>
        <v/>
      </c>
      <c r="Y242" t="str">
        <f t="shared" si="15"/>
        <v/>
      </c>
    </row>
    <row r="243" spans="1:25" x14ac:dyDescent="0.35">
      <c r="A243">
        <v>247</v>
      </c>
      <c r="B243" t="s">
        <v>710</v>
      </c>
      <c r="C243">
        <v>10500</v>
      </c>
      <c r="D243">
        <v>315</v>
      </c>
      <c r="E243" t="str">
        <f>IFERROR(IF(OR(HLOOKUP($A243,#REF!,3,FALSE)&gt;2,HLOOKUP(A243,#REF!,3,FALSE)&lt;-2),"",#REF!),"")</f>
        <v/>
      </c>
      <c r="F243" t="str">
        <f>IFERROR(IF(OR(HLOOKUP($A243,#REF!,4,FALSE)&gt;2,HLOOKUP($A243,#REF!,4,FALSE)&lt;-2),"",#REF!),"")</f>
        <v/>
      </c>
      <c r="G243" t="str">
        <f>IFERROR(IF(OR(HLOOKUP($A243,#REF!,5,FALSE)&gt;2,HLOOKUP($A243,#REF!,5,FALSE)&lt;-2),"",#REF!),"")</f>
        <v/>
      </c>
      <c r="H243" t="str">
        <f>IFERROR(IF(OR(HLOOKUP($A243,#REF!,6,FALSE)&gt;2,HLOOKUP($A243,#REF!,6,FALSE)&lt;-2),"",#REF!),"")</f>
        <v/>
      </c>
      <c r="I243" t="str">
        <f>IFERROR(IF(OR(HLOOKUP($A243,#REF!,7,FALSE)&gt;2,HLOOKUP($A243,#REF!,7,FALSE)&lt;-2),"",#REF!),"")</f>
        <v/>
      </c>
      <c r="J243" t="str">
        <f>IFERROR(IF(OR(HLOOKUP($A243,#REF!,8,FALSE)&gt;2,HLOOKUP($A243,#REF!,8,FALSE)&lt;-2),"",#REF!),"")</f>
        <v/>
      </c>
      <c r="K243" t="str">
        <f>IFERROR(IF(OR(HLOOKUP($A243,#REF!,9,FALSE)&gt;2,HLOOKUP($A243,#REF!,9,FALSE)&lt;-2),"",#REF!),"")</f>
        <v/>
      </c>
      <c r="L243" t="str">
        <f>IFERROR(IF(OR(HLOOKUP($A243,#REF!,10,FALSE)&gt;2,HLOOKUP($A243,#REF!,10,FALSE)&lt;-2),"",#REF!),"")</f>
        <v/>
      </c>
      <c r="M243" t="str">
        <f>IFERROR(IF(OR(HLOOKUP($A243,#REF!,11,FALSE)&gt;2,HLOOKUP($A243,#REF!,11,FALSE)&lt;-2),"",#REF!),"")</f>
        <v/>
      </c>
      <c r="N243" t="str">
        <f>IFERROR(IF(OR(HLOOKUP($A243,#REF!,12,FALSE)&gt;2,HLOOKUP($A243,#REF!,12,FALSE)&lt;-2),"",#REF!),"")</f>
        <v/>
      </c>
      <c r="O243" t="str">
        <f>IFERROR(IF(OR(HLOOKUP($A243,#REF!,13,FALSE)&gt;2,HLOOKUP($A243,#REF!,13,FALSE)&lt;-2),"",#REF!),"")</f>
        <v/>
      </c>
      <c r="P243" t="str">
        <f>IFERROR(IF(OR(HLOOKUP($A243,#REF!,14,FALSE)&gt;2,HLOOKUP($A243,#REF!,14,FALSE)&lt;-2),"",#REF!),"")</f>
        <v/>
      </c>
      <c r="Q243" t="str">
        <f>IFERROR(IF(OR(HLOOKUP($A243,#REF!,15,FALSE)&gt;2,HLOOKUP($A243,#REF!,15,FALSE)&lt;-2),"",#REF!),"")</f>
        <v/>
      </c>
      <c r="R243" t="str">
        <f>IFERROR(IF(OR(HLOOKUP($A243,#REF!,16,FALSE)&gt;2,HLOOKUP($A243,#REF!,16,FALSE)&lt;-2),"",#REF!),"")</f>
        <v/>
      </c>
      <c r="S243" t="str">
        <f>IFERROR(IF(OR(HLOOKUP($A243,#REF!,17,FALSE)&gt;2,HLOOKUP($A243,#REF!,17,FALSE)&lt;-2),"",#REF!),"")</f>
        <v/>
      </c>
      <c r="T243" t="str">
        <f>IFERROR(IF(OR(HLOOKUP($A243,#REF!,18,FALSE)&gt;2,HLOOKUP($A243,#REF!,18,FALSE)&lt;-2),"",#REF!),"")</f>
        <v/>
      </c>
      <c r="U243" t="str">
        <f>IFERROR(IF(OR(HLOOKUP($A243,#REF!,19,FALSE)&gt;2,HLOOKUP($A243,#REF!,19,FALSE)&lt;-2),"",#REF!),"")</f>
        <v/>
      </c>
      <c r="V243">
        <f t="shared" si="12"/>
        <v>1</v>
      </c>
      <c r="W243" t="str">
        <f t="shared" si="13"/>
        <v/>
      </c>
      <c r="X243" t="str">
        <f t="shared" si="14"/>
        <v/>
      </c>
      <c r="Y243" t="str">
        <f t="shared" si="15"/>
        <v/>
      </c>
    </row>
    <row r="244" spans="1:25" x14ac:dyDescent="0.35">
      <c r="A244">
        <v>248</v>
      </c>
      <c r="B244" t="s">
        <v>711</v>
      </c>
      <c r="C244">
        <v>36200</v>
      </c>
      <c r="D244">
        <v>663</v>
      </c>
      <c r="E244" t="str">
        <f>IFERROR(IF(OR(HLOOKUP($A244,#REF!,3,FALSE)&gt;2,HLOOKUP(A244,#REF!,3,FALSE)&lt;-2),"",#REF!),"")</f>
        <v/>
      </c>
      <c r="F244" t="str">
        <f>IFERROR(IF(OR(HLOOKUP($A244,#REF!,4,FALSE)&gt;2,HLOOKUP($A244,#REF!,4,FALSE)&lt;-2),"",#REF!),"")</f>
        <v/>
      </c>
      <c r="G244" t="str">
        <f>IFERROR(IF(OR(HLOOKUP($A244,#REF!,5,FALSE)&gt;2,HLOOKUP($A244,#REF!,5,FALSE)&lt;-2),"",#REF!),"")</f>
        <v/>
      </c>
      <c r="H244" t="str">
        <f>IFERROR(IF(OR(HLOOKUP($A244,#REF!,6,FALSE)&gt;2,HLOOKUP($A244,#REF!,6,FALSE)&lt;-2),"",#REF!),"")</f>
        <v/>
      </c>
      <c r="I244" t="str">
        <f>IFERROR(IF(OR(HLOOKUP($A244,#REF!,7,FALSE)&gt;2,HLOOKUP($A244,#REF!,7,FALSE)&lt;-2),"",#REF!),"")</f>
        <v/>
      </c>
      <c r="J244" t="str">
        <f>IFERROR(IF(OR(HLOOKUP($A244,#REF!,8,FALSE)&gt;2,HLOOKUP($A244,#REF!,8,FALSE)&lt;-2),"",#REF!),"")</f>
        <v/>
      </c>
      <c r="K244" t="str">
        <f>IFERROR(IF(OR(HLOOKUP($A244,#REF!,9,FALSE)&gt;2,HLOOKUP($A244,#REF!,9,FALSE)&lt;-2),"",#REF!),"")</f>
        <v/>
      </c>
      <c r="L244" t="str">
        <f>IFERROR(IF(OR(HLOOKUP($A244,#REF!,10,FALSE)&gt;2,HLOOKUP($A244,#REF!,10,FALSE)&lt;-2),"",#REF!),"")</f>
        <v/>
      </c>
      <c r="M244" t="str">
        <f>IFERROR(IF(OR(HLOOKUP($A244,#REF!,11,FALSE)&gt;2,HLOOKUP($A244,#REF!,11,FALSE)&lt;-2),"",#REF!),"")</f>
        <v/>
      </c>
      <c r="N244" t="str">
        <f>IFERROR(IF(OR(HLOOKUP($A244,#REF!,12,FALSE)&gt;2,HLOOKUP($A244,#REF!,12,FALSE)&lt;-2),"",#REF!),"")</f>
        <v/>
      </c>
      <c r="O244" t="str">
        <f>IFERROR(IF(OR(HLOOKUP($A244,#REF!,13,FALSE)&gt;2,HLOOKUP($A244,#REF!,13,FALSE)&lt;-2),"",#REF!),"")</f>
        <v/>
      </c>
      <c r="P244" t="str">
        <f>IFERROR(IF(OR(HLOOKUP($A244,#REF!,14,FALSE)&gt;2,HLOOKUP($A244,#REF!,14,FALSE)&lt;-2),"",#REF!),"")</f>
        <v/>
      </c>
      <c r="Q244" t="str">
        <f>IFERROR(IF(OR(HLOOKUP($A244,#REF!,15,FALSE)&gt;2,HLOOKUP($A244,#REF!,15,FALSE)&lt;-2),"",#REF!),"")</f>
        <v/>
      </c>
      <c r="R244" t="str">
        <f>IFERROR(IF(OR(HLOOKUP($A244,#REF!,16,FALSE)&gt;2,HLOOKUP($A244,#REF!,16,FALSE)&lt;-2),"",#REF!),"")</f>
        <v/>
      </c>
      <c r="S244" t="str">
        <f>IFERROR(IF(OR(HLOOKUP($A244,#REF!,17,FALSE)&gt;2,HLOOKUP($A244,#REF!,17,FALSE)&lt;-2),"",#REF!),"")</f>
        <v/>
      </c>
      <c r="T244" t="str">
        <f>IFERROR(IF(OR(HLOOKUP($A244,#REF!,18,FALSE)&gt;2,HLOOKUP($A244,#REF!,18,FALSE)&lt;-2),"",#REF!),"")</f>
        <v/>
      </c>
      <c r="U244" t="str">
        <f>IFERROR(IF(OR(HLOOKUP($A244,#REF!,19,FALSE)&gt;2,HLOOKUP($A244,#REF!,19,FALSE)&lt;-2),"",#REF!),"")</f>
        <v/>
      </c>
      <c r="V244">
        <f t="shared" si="12"/>
        <v>1</v>
      </c>
      <c r="W244" t="str">
        <f t="shared" si="13"/>
        <v/>
      </c>
      <c r="X244" t="str">
        <f t="shared" si="14"/>
        <v/>
      </c>
      <c r="Y244" t="str">
        <f t="shared" si="15"/>
        <v/>
      </c>
    </row>
    <row r="245" spans="1:25" x14ac:dyDescent="0.35">
      <c r="A245">
        <v>249</v>
      </c>
      <c r="B245" t="s">
        <v>136</v>
      </c>
      <c r="C245">
        <v>12500</v>
      </c>
      <c r="D245">
        <v>1027</v>
      </c>
      <c r="E245" t="str">
        <f>IFERROR(IF(OR(HLOOKUP($A245,#REF!,3,FALSE)&gt;2,HLOOKUP(A245,#REF!,3,FALSE)&lt;-2),"",#REF!),"")</f>
        <v/>
      </c>
      <c r="F245" t="str">
        <f>IFERROR(IF(OR(HLOOKUP($A245,#REF!,4,FALSE)&gt;2,HLOOKUP($A245,#REF!,4,FALSE)&lt;-2),"",#REF!),"")</f>
        <v/>
      </c>
      <c r="G245" t="str">
        <f>IFERROR(IF(OR(HLOOKUP($A245,#REF!,5,FALSE)&gt;2,HLOOKUP($A245,#REF!,5,FALSE)&lt;-2),"",#REF!),"")</f>
        <v/>
      </c>
      <c r="H245" t="str">
        <f>IFERROR(IF(OR(HLOOKUP($A245,#REF!,6,FALSE)&gt;2,HLOOKUP($A245,#REF!,6,FALSE)&lt;-2),"",#REF!),"")</f>
        <v/>
      </c>
      <c r="I245" t="str">
        <f>IFERROR(IF(OR(HLOOKUP($A245,#REF!,7,FALSE)&gt;2,HLOOKUP($A245,#REF!,7,FALSE)&lt;-2),"",#REF!),"")</f>
        <v/>
      </c>
      <c r="J245" t="str">
        <f>IFERROR(IF(OR(HLOOKUP($A245,#REF!,8,FALSE)&gt;2,HLOOKUP($A245,#REF!,8,FALSE)&lt;-2),"",#REF!),"")</f>
        <v/>
      </c>
      <c r="K245" t="str">
        <f>IFERROR(IF(OR(HLOOKUP($A245,#REF!,9,FALSE)&gt;2,HLOOKUP($A245,#REF!,9,FALSE)&lt;-2),"",#REF!),"")</f>
        <v/>
      </c>
      <c r="L245" t="str">
        <f>IFERROR(IF(OR(HLOOKUP($A245,#REF!,10,FALSE)&gt;2,HLOOKUP($A245,#REF!,10,FALSE)&lt;-2),"",#REF!),"")</f>
        <v/>
      </c>
      <c r="M245" t="str">
        <f>IFERROR(IF(OR(HLOOKUP($A245,#REF!,11,FALSE)&gt;2,HLOOKUP($A245,#REF!,11,FALSE)&lt;-2),"",#REF!),"")</f>
        <v/>
      </c>
      <c r="N245" t="str">
        <f>IFERROR(IF(OR(HLOOKUP($A245,#REF!,12,FALSE)&gt;2,HLOOKUP($A245,#REF!,12,FALSE)&lt;-2),"",#REF!),"")</f>
        <v/>
      </c>
      <c r="O245" t="str">
        <f>IFERROR(IF(OR(HLOOKUP($A245,#REF!,13,FALSE)&gt;2,HLOOKUP($A245,#REF!,13,FALSE)&lt;-2),"",#REF!),"")</f>
        <v/>
      </c>
      <c r="P245" t="str">
        <f>IFERROR(IF(OR(HLOOKUP($A245,#REF!,14,FALSE)&gt;2,HLOOKUP($A245,#REF!,14,FALSE)&lt;-2),"",#REF!),"")</f>
        <v/>
      </c>
      <c r="Q245" t="str">
        <f>IFERROR(IF(OR(HLOOKUP($A245,#REF!,15,FALSE)&gt;2,HLOOKUP($A245,#REF!,15,FALSE)&lt;-2),"",#REF!),"")</f>
        <v/>
      </c>
      <c r="R245" t="str">
        <f>IFERROR(IF(OR(HLOOKUP($A245,#REF!,16,FALSE)&gt;2,HLOOKUP($A245,#REF!,16,FALSE)&lt;-2),"",#REF!),"")</f>
        <v/>
      </c>
      <c r="S245" t="str">
        <f>IFERROR(IF(OR(HLOOKUP($A245,#REF!,17,FALSE)&gt;2,HLOOKUP($A245,#REF!,17,FALSE)&lt;-2),"",#REF!),"")</f>
        <v/>
      </c>
      <c r="T245" t="str">
        <f>IFERROR(IF(OR(HLOOKUP($A245,#REF!,18,FALSE)&gt;2,HLOOKUP($A245,#REF!,18,FALSE)&lt;-2),"",#REF!),"")</f>
        <v/>
      </c>
      <c r="U245" t="str">
        <f>IFERROR(IF(OR(HLOOKUP($A245,#REF!,19,FALSE)&gt;2,HLOOKUP($A245,#REF!,19,FALSE)&lt;-2),"",#REF!),"")</f>
        <v/>
      </c>
      <c r="V245">
        <f t="shared" si="12"/>
        <v>1</v>
      </c>
      <c r="W245" t="str">
        <f t="shared" si="13"/>
        <v/>
      </c>
      <c r="X245" t="str">
        <f t="shared" si="14"/>
        <v/>
      </c>
      <c r="Y245" t="str">
        <f t="shared" si="15"/>
        <v/>
      </c>
    </row>
    <row r="246" spans="1:25" x14ac:dyDescent="0.35">
      <c r="A246">
        <v>250</v>
      </c>
      <c r="B246" t="s">
        <v>137</v>
      </c>
      <c r="C246">
        <v>49500</v>
      </c>
      <c r="D246">
        <v>242</v>
      </c>
      <c r="E246" t="str">
        <f>IFERROR(IF(OR(HLOOKUP($A246,#REF!,3,FALSE)&gt;2,HLOOKUP(A246,#REF!,3,FALSE)&lt;-2),"",#REF!),"")</f>
        <v/>
      </c>
      <c r="F246" t="str">
        <f>IFERROR(IF(OR(HLOOKUP($A246,#REF!,4,FALSE)&gt;2,HLOOKUP($A246,#REF!,4,FALSE)&lt;-2),"",#REF!),"")</f>
        <v/>
      </c>
      <c r="G246" t="str">
        <f>IFERROR(IF(OR(HLOOKUP($A246,#REF!,5,FALSE)&gt;2,HLOOKUP($A246,#REF!,5,FALSE)&lt;-2),"",#REF!),"")</f>
        <v/>
      </c>
      <c r="H246" t="str">
        <f>IFERROR(IF(OR(HLOOKUP($A246,#REF!,6,FALSE)&gt;2,HLOOKUP($A246,#REF!,6,FALSE)&lt;-2),"",#REF!),"")</f>
        <v/>
      </c>
      <c r="I246" t="str">
        <f>IFERROR(IF(OR(HLOOKUP($A246,#REF!,7,FALSE)&gt;2,HLOOKUP($A246,#REF!,7,FALSE)&lt;-2),"",#REF!),"")</f>
        <v/>
      </c>
      <c r="J246" t="str">
        <f>IFERROR(IF(OR(HLOOKUP($A246,#REF!,8,FALSE)&gt;2,HLOOKUP($A246,#REF!,8,FALSE)&lt;-2),"",#REF!),"")</f>
        <v/>
      </c>
      <c r="K246" t="str">
        <f>IFERROR(IF(OR(HLOOKUP($A246,#REF!,9,FALSE)&gt;2,HLOOKUP($A246,#REF!,9,FALSE)&lt;-2),"",#REF!),"")</f>
        <v/>
      </c>
      <c r="L246" t="str">
        <f>IFERROR(IF(OR(HLOOKUP($A246,#REF!,10,FALSE)&gt;2,HLOOKUP($A246,#REF!,10,FALSE)&lt;-2),"",#REF!),"")</f>
        <v/>
      </c>
      <c r="M246" t="str">
        <f>IFERROR(IF(OR(HLOOKUP($A246,#REF!,11,FALSE)&gt;2,HLOOKUP($A246,#REF!,11,FALSE)&lt;-2),"",#REF!),"")</f>
        <v/>
      </c>
      <c r="N246" t="str">
        <f>IFERROR(IF(OR(HLOOKUP($A246,#REF!,12,FALSE)&gt;2,HLOOKUP($A246,#REF!,12,FALSE)&lt;-2),"",#REF!),"")</f>
        <v/>
      </c>
      <c r="O246" t="str">
        <f>IFERROR(IF(OR(HLOOKUP($A246,#REF!,13,FALSE)&gt;2,HLOOKUP($A246,#REF!,13,FALSE)&lt;-2),"",#REF!),"")</f>
        <v/>
      </c>
      <c r="P246" t="str">
        <f>IFERROR(IF(OR(HLOOKUP($A246,#REF!,14,FALSE)&gt;2,HLOOKUP($A246,#REF!,14,FALSE)&lt;-2),"",#REF!),"")</f>
        <v/>
      </c>
      <c r="Q246" t="str">
        <f>IFERROR(IF(OR(HLOOKUP($A246,#REF!,15,FALSE)&gt;2,HLOOKUP($A246,#REF!,15,FALSE)&lt;-2),"",#REF!),"")</f>
        <v/>
      </c>
      <c r="R246" t="str">
        <f>IFERROR(IF(OR(HLOOKUP($A246,#REF!,16,FALSE)&gt;2,HLOOKUP($A246,#REF!,16,FALSE)&lt;-2),"",#REF!),"")</f>
        <v/>
      </c>
      <c r="S246" t="str">
        <f>IFERROR(IF(OR(HLOOKUP($A246,#REF!,17,FALSE)&gt;2,HLOOKUP($A246,#REF!,17,FALSE)&lt;-2),"",#REF!),"")</f>
        <v/>
      </c>
      <c r="T246" t="str">
        <f>IFERROR(IF(OR(HLOOKUP($A246,#REF!,18,FALSE)&gt;2,HLOOKUP($A246,#REF!,18,FALSE)&lt;-2),"",#REF!),"")</f>
        <v/>
      </c>
      <c r="U246" t="str">
        <f>IFERROR(IF(OR(HLOOKUP($A246,#REF!,19,FALSE)&gt;2,HLOOKUP($A246,#REF!,19,FALSE)&lt;-2),"",#REF!),"")</f>
        <v/>
      </c>
      <c r="V246">
        <f t="shared" si="12"/>
        <v>1</v>
      </c>
      <c r="W246" t="str">
        <f t="shared" si="13"/>
        <v/>
      </c>
      <c r="X246" t="str">
        <f t="shared" si="14"/>
        <v/>
      </c>
      <c r="Y246" t="str">
        <f t="shared" si="15"/>
        <v/>
      </c>
    </row>
    <row r="247" spans="1:25" x14ac:dyDescent="0.35">
      <c r="A247">
        <v>251</v>
      </c>
      <c r="B247" t="s">
        <v>138</v>
      </c>
      <c r="C247">
        <v>11500</v>
      </c>
      <c r="D247">
        <v>1002</v>
      </c>
      <c r="E247" t="str">
        <f>IFERROR(IF(OR(HLOOKUP($A247,#REF!,3,FALSE)&gt;2,HLOOKUP(A247,#REF!,3,FALSE)&lt;-2),"",#REF!),"")</f>
        <v/>
      </c>
      <c r="F247" t="str">
        <f>IFERROR(IF(OR(HLOOKUP($A247,#REF!,4,FALSE)&gt;2,HLOOKUP($A247,#REF!,4,FALSE)&lt;-2),"",#REF!),"")</f>
        <v/>
      </c>
      <c r="G247" t="str">
        <f>IFERROR(IF(OR(HLOOKUP($A247,#REF!,5,FALSE)&gt;2,HLOOKUP($A247,#REF!,5,FALSE)&lt;-2),"",#REF!),"")</f>
        <v/>
      </c>
      <c r="H247" t="str">
        <f>IFERROR(IF(OR(HLOOKUP($A247,#REF!,6,FALSE)&gt;2,HLOOKUP($A247,#REF!,6,FALSE)&lt;-2),"",#REF!),"")</f>
        <v/>
      </c>
      <c r="I247" t="str">
        <f>IFERROR(IF(OR(HLOOKUP($A247,#REF!,7,FALSE)&gt;2,HLOOKUP($A247,#REF!,7,FALSE)&lt;-2),"",#REF!),"")</f>
        <v/>
      </c>
      <c r="J247" t="str">
        <f>IFERROR(IF(OR(HLOOKUP($A247,#REF!,8,FALSE)&gt;2,HLOOKUP($A247,#REF!,8,FALSE)&lt;-2),"",#REF!),"")</f>
        <v/>
      </c>
      <c r="K247" t="str">
        <f>IFERROR(IF(OR(HLOOKUP($A247,#REF!,9,FALSE)&gt;2,HLOOKUP($A247,#REF!,9,FALSE)&lt;-2),"",#REF!),"")</f>
        <v/>
      </c>
      <c r="L247" t="str">
        <f>IFERROR(IF(OR(HLOOKUP($A247,#REF!,10,FALSE)&gt;2,HLOOKUP($A247,#REF!,10,FALSE)&lt;-2),"",#REF!),"")</f>
        <v/>
      </c>
      <c r="M247" t="str">
        <f>IFERROR(IF(OR(HLOOKUP($A247,#REF!,11,FALSE)&gt;2,HLOOKUP($A247,#REF!,11,FALSE)&lt;-2),"",#REF!),"")</f>
        <v/>
      </c>
      <c r="N247" t="str">
        <f>IFERROR(IF(OR(HLOOKUP($A247,#REF!,12,FALSE)&gt;2,HLOOKUP($A247,#REF!,12,FALSE)&lt;-2),"",#REF!),"")</f>
        <v/>
      </c>
      <c r="O247" t="str">
        <f>IFERROR(IF(OR(HLOOKUP($A247,#REF!,13,FALSE)&gt;2,HLOOKUP($A247,#REF!,13,FALSE)&lt;-2),"",#REF!),"")</f>
        <v/>
      </c>
      <c r="P247" t="str">
        <f>IFERROR(IF(OR(HLOOKUP($A247,#REF!,14,FALSE)&gt;2,HLOOKUP($A247,#REF!,14,FALSE)&lt;-2),"",#REF!),"")</f>
        <v/>
      </c>
      <c r="Q247" t="str">
        <f>IFERROR(IF(OR(HLOOKUP($A247,#REF!,15,FALSE)&gt;2,HLOOKUP($A247,#REF!,15,FALSE)&lt;-2),"",#REF!),"")</f>
        <v/>
      </c>
      <c r="R247" t="str">
        <f>IFERROR(IF(OR(HLOOKUP($A247,#REF!,16,FALSE)&gt;2,HLOOKUP($A247,#REF!,16,FALSE)&lt;-2),"",#REF!),"")</f>
        <v/>
      </c>
      <c r="S247" t="str">
        <f>IFERROR(IF(OR(HLOOKUP($A247,#REF!,17,FALSE)&gt;2,HLOOKUP($A247,#REF!,17,FALSE)&lt;-2),"",#REF!),"")</f>
        <v/>
      </c>
      <c r="T247" t="str">
        <f>IFERROR(IF(OR(HLOOKUP($A247,#REF!,18,FALSE)&gt;2,HLOOKUP($A247,#REF!,18,FALSE)&lt;-2),"",#REF!),"")</f>
        <v/>
      </c>
      <c r="U247" t="str">
        <f>IFERROR(IF(OR(HLOOKUP($A247,#REF!,19,FALSE)&gt;2,HLOOKUP($A247,#REF!,19,FALSE)&lt;-2),"",#REF!),"")</f>
        <v/>
      </c>
      <c r="V247">
        <f t="shared" si="12"/>
        <v>1</v>
      </c>
      <c r="W247" t="str">
        <f t="shared" si="13"/>
        <v/>
      </c>
      <c r="X247" t="str">
        <f t="shared" si="14"/>
        <v/>
      </c>
      <c r="Y247" t="str">
        <f t="shared" si="15"/>
        <v/>
      </c>
    </row>
    <row r="248" spans="1:25" x14ac:dyDescent="0.35">
      <c r="A248">
        <v>252</v>
      </c>
      <c r="B248" t="s">
        <v>139</v>
      </c>
      <c r="C248">
        <v>11000</v>
      </c>
      <c r="D248">
        <v>1011</v>
      </c>
      <c r="E248" t="str">
        <f>IFERROR(IF(OR(HLOOKUP($A248,#REF!,3,FALSE)&gt;2,HLOOKUP(A248,#REF!,3,FALSE)&lt;-2),"",#REF!),"")</f>
        <v/>
      </c>
      <c r="F248" t="str">
        <f>IFERROR(IF(OR(HLOOKUP($A248,#REF!,4,FALSE)&gt;2,HLOOKUP($A248,#REF!,4,FALSE)&lt;-2),"",#REF!),"")</f>
        <v/>
      </c>
      <c r="G248" t="str">
        <f>IFERROR(IF(OR(HLOOKUP($A248,#REF!,5,FALSE)&gt;2,HLOOKUP($A248,#REF!,5,FALSE)&lt;-2),"",#REF!),"")</f>
        <v/>
      </c>
      <c r="H248" t="str">
        <f>IFERROR(IF(OR(HLOOKUP($A248,#REF!,6,FALSE)&gt;2,HLOOKUP($A248,#REF!,6,FALSE)&lt;-2),"",#REF!),"")</f>
        <v/>
      </c>
      <c r="I248" t="str">
        <f>IFERROR(IF(OR(HLOOKUP($A248,#REF!,7,FALSE)&gt;2,HLOOKUP($A248,#REF!,7,FALSE)&lt;-2),"",#REF!),"")</f>
        <v/>
      </c>
      <c r="J248" t="str">
        <f>IFERROR(IF(OR(HLOOKUP($A248,#REF!,8,FALSE)&gt;2,HLOOKUP($A248,#REF!,8,FALSE)&lt;-2),"",#REF!),"")</f>
        <v/>
      </c>
      <c r="K248" t="str">
        <f>IFERROR(IF(OR(HLOOKUP($A248,#REF!,9,FALSE)&gt;2,HLOOKUP($A248,#REF!,9,FALSE)&lt;-2),"",#REF!),"")</f>
        <v/>
      </c>
      <c r="L248" t="str">
        <f>IFERROR(IF(OR(HLOOKUP($A248,#REF!,10,FALSE)&gt;2,HLOOKUP($A248,#REF!,10,FALSE)&lt;-2),"",#REF!),"")</f>
        <v/>
      </c>
      <c r="M248" t="str">
        <f>IFERROR(IF(OR(HLOOKUP($A248,#REF!,11,FALSE)&gt;2,HLOOKUP($A248,#REF!,11,FALSE)&lt;-2),"",#REF!),"")</f>
        <v/>
      </c>
      <c r="N248" t="str">
        <f>IFERROR(IF(OR(HLOOKUP($A248,#REF!,12,FALSE)&gt;2,HLOOKUP($A248,#REF!,12,FALSE)&lt;-2),"",#REF!),"")</f>
        <v/>
      </c>
      <c r="O248" t="str">
        <f>IFERROR(IF(OR(HLOOKUP($A248,#REF!,13,FALSE)&gt;2,HLOOKUP($A248,#REF!,13,FALSE)&lt;-2),"",#REF!),"")</f>
        <v/>
      </c>
      <c r="P248" t="str">
        <f>IFERROR(IF(OR(HLOOKUP($A248,#REF!,14,FALSE)&gt;2,HLOOKUP($A248,#REF!,14,FALSE)&lt;-2),"",#REF!),"")</f>
        <v/>
      </c>
      <c r="Q248" t="str">
        <f>IFERROR(IF(OR(HLOOKUP($A248,#REF!,15,FALSE)&gt;2,HLOOKUP($A248,#REF!,15,FALSE)&lt;-2),"",#REF!),"")</f>
        <v/>
      </c>
      <c r="R248" t="str">
        <f>IFERROR(IF(OR(HLOOKUP($A248,#REF!,16,FALSE)&gt;2,HLOOKUP($A248,#REF!,16,FALSE)&lt;-2),"",#REF!),"")</f>
        <v/>
      </c>
      <c r="S248" t="str">
        <f>IFERROR(IF(OR(HLOOKUP($A248,#REF!,17,FALSE)&gt;2,HLOOKUP($A248,#REF!,17,FALSE)&lt;-2),"",#REF!),"")</f>
        <v/>
      </c>
      <c r="T248" t="str">
        <f>IFERROR(IF(OR(HLOOKUP($A248,#REF!,18,FALSE)&gt;2,HLOOKUP($A248,#REF!,18,FALSE)&lt;-2),"",#REF!),"")</f>
        <v/>
      </c>
      <c r="U248" t="str">
        <f>IFERROR(IF(OR(HLOOKUP($A248,#REF!,19,FALSE)&gt;2,HLOOKUP($A248,#REF!,19,FALSE)&lt;-2),"",#REF!),"")</f>
        <v/>
      </c>
      <c r="V248">
        <f t="shared" si="12"/>
        <v>1</v>
      </c>
      <c r="W248" t="str">
        <f t="shared" si="13"/>
        <v/>
      </c>
      <c r="X248" t="str">
        <f t="shared" si="14"/>
        <v/>
      </c>
      <c r="Y248" t="str">
        <f t="shared" si="15"/>
        <v/>
      </c>
    </row>
    <row r="249" spans="1:25" x14ac:dyDescent="0.35">
      <c r="A249">
        <v>253</v>
      </c>
      <c r="B249" t="s">
        <v>712</v>
      </c>
      <c r="C249">
        <v>103900</v>
      </c>
      <c r="D249">
        <v>871</v>
      </c>
      <c r="E249" t="str">
        <f>IFERROR(IF(OR(HLOOKUP($A249,#REF!,3,FALSE)&gt;2,HLOOKUP(A249,#REF!,3,FALSE)&lt;-2),"",#REF!),"")</f>
        <v/>
      </c>
      <c r="F249" t="str">
        <f>IFERROR(IF(OR(HLOOKUP($A249,#REF!,4,FALSE)&gt;2,HLOOKUP($A249,#REF!,4,FALSE)&lt;-2),"",#REF!),"")</f>
        <v/>
      </c>
      <c r="G249" t="str">
        <f>IFERROR(IF(OR(HLOOKUP($A249,#REF!,5,FALSE)&gt;2,HLOOKUP($A249,#REF!,5,FALSE)&lt;-2),"",#REF!),"")</f>
        <v/>
      </c>
      <c r="H249" t="str">
        <f>IFERROR(IF(OR(HLOOKUP($A249,#REF!,6,FALSE)&gt;2,HLOOKUP($A249,#REF!,6,FALSE)&lt;-2),"",#REF!),"")</f>
        <v/>
      </c>
      <c r="I249" t="str">
        <f>IFERROR(IF(OR(HLOOKUP($A249,#REF!,7,FALSE)&gt;2,HLOOKUP($A249,#REF!,7,FALSE)&lt;-2),"",#REF!),"")</f>
        <v/>
      </c>
      <c r="J249" t="str">
        <f>IFERROR(IF(OR(HLOOKUP($A249,#REF!,8,FALSE)&gt;2,HLOOKUP($A249,#REF!,8,FALSE)&lt;-2),"",#REF!),"")</f>
        <v/>
      </c>
      <c r="K249" t="str">
        <f>IFERROR(IF(OR(HLOOKUP($A249,#REF!,9,FALSE)&gt;2,HLOOKUP($A249,#REF!,9,FALSE)&lt;-2),"",#REF!),"")</f>
        <v/>
      </c>
      <c r="L249" t="str">
        <f>IFERROR(IF(OR(HLOOKUP($A249,#REF!,10,FALSE)&gt;2,HLOOKUP($A249,#REF!,10,FALSE)&lt;-2),"",#REF!),"")</f>
        <v/>
      </c>
      <c r="M249" t="str">
        <f>IFERROR(IF(OR(HLOOKUP($A249,#REF!,11,FALSE)&gt;2,HLOOKUP($A249,#REF!,11,FALSE)&lt;-2),"",#REF!),"")</f>
        <v/>
      </c>
      <c r="N249" t="str">
        <f>IFERROR(IF(OR(HLOOKUP($A249,#REF!,12,FALSE)&gt;2,HLOOKUP($A249,#REF!,12,FALSE)&lt;-2),"",#REF!),"")</f>
        <v/>
      </c>
      <c r="O249" t="str">
        <f>IFERROR(IF(OR(HLOOKUP($A249,#REF!,13,FALSE)&gt;2,HLOOKUP($A249,#REF!,13,FALSE)&lt;-2),"",#REF!),"")</f>
        <v/>
      </c>
      <c r="P249" t="str">
        <f>IFERROR(IF(OR(HLOOKUP($A249,#REF!,14,FALSE)&gt;2,HLOOKUP($A249,#REF!,14,FALSE)&lt;-2),"",#REF!),"")</f>
        <v/>
      </c>
      <c r="Q249" t="str">
        <f>IFERROR(IF(OR(HLOOKUP($A249,#REF!,15,FALSE)&gt;2,HLOOKUP($A249,#REF!,15,FALSE)&lt;-2),"",#REF!),"")</f>
        <v/>
      </c>
      <c r="R249" t="str">
        <f>IFERROR(IF(OR(HLOOKUP($A249,#REF!,16,FALSE)&gt;2,HLOOKUP($A249,#REF!,16,FALSE)&lt;-2),"",#REF!),"")</f>
        <v/>
      </c>
      <c r="S249" t="str">
        <f>IFERROR(IF(OR(HLOOKUP($A249,#REF!,17,FALSE)&gt;2,HLOOKUP($A249,#REF!,17,FALSE)&lt;-2),"",#REF!),"")</f>
        <v/>
      </c>
      <c r="T249" t="str">
        <f>IFERROR(IF(OR(HLOOKUP($A249,#REF!,18,FALSE)&gt;2,HLOOKUP($A249,#REF!,18,FALSE)&lt;-2),"",#REF!),"")</f>
        <v/>
      </c>
      <c r="U249" t="str">
        <f>IFERROR(IF(OR(HLOOKUP($A249,#REF!,19,FALSE)&gt;2,HLOOKUP($A249,#REF!,19,FALSE)&lt;-2),"",#REF!),"")</f>
        <v/>
      </c>
      <c r="V249">
        <f t="shared" si="12"/>
        <v>1</v>
      </c>
      <c r="W249" t="str">
        <f t="shared" si="13"/>
        <v/>
      </c>
      <c r="X249" t="str">
        <f t="shared" si="14"/>
        <v/>
      </c>
      <c r="Y249" t="str">
        <f t="shared" si="15"/>
        <v/>
      </c>
    </row>
    <row r="250" spans="1:25" x14ac:dyDescent="0.35">
      <c r="A250">
        <v>254</v>
      </c>
      <c r="B250" t="s">
        <v>140</v>
      </c>
      <c r="C250">
        <v>25200</v>
      </c>
      <c r="D250">
        <v>315</v>
      </c>
      <c r="E250" t="str">
        <f>IFERROR(IF(OR(HLOOKUP($A250,#REF!,3,FALSE)&gt;2,HLOOKUP(A250,#REF!,3,FALSE)&lt;-2),"",#REF!),"")</f>
        <v/>
      </c>
      <c r="F250" t="str">
        <f>IFERROR(IF(OR(HLOOKUP($A250,#REF!,4,FALSE)&gt;2,HLOOKUP($A250,#REF!,4,FALSE)&lt;-2),"",#REF!),"")</f>
        <v/>
      </c>
      <c r="G250" t="str">
        <f>IFERROR(IF(OR(HLOOKUP($A250,#REF!,5,FALSE)&gt;2,HLOOKUP($A250,#REF!,5,FALSE)&lt;-2),"",#REF!),"")</f>
        <v/>
      </c>
      <c r="H250" t="str">
        <f>IFERROR(IF(OR(HLOOKUP($A250,#REF!,6,FALSE)&gt;2,HLOOKUP($A250,#REF!,6,FALSE)&lt;-2),"",#REF!),"")</f>
        <v/>
      </c>
      <c r="I250" t="str">
        <f>IFERROR(IF(OR(HLOOKUP($A250,#REF!,7,FALSE)&gt;2,HLOOKUP($A250,#REF!,7,FALSE)&lt;-2),"",#REF!),"")</f>
        <v/>
      </c>
      <c r="J250" t="str">
        <f>IFERROR(IF(OR(HLOOKUP($A250,#REF!,8,FALSE)&gt;2,HLOOKUP($A250,#REF!,8,FALSE)&lt;-2),"",#REF!),"")</f>
        <v/>
      </c>
      <c r="K250" t="str">
        <f>IFERROR(IF(OR(HLOOKUP($A250,#REF!,9,FALSE)&gt;2,HLOOKUP($A250,#REF!,9,FALSE)&lt;-2),"",#REF!),"")</f>
        <v/>
      </c>
      <c r="L250" t="str">
        <f>IFERROR(IF(OR(HLOOKUP($A250,#REF!,10,FALSE)&gt;2,HLOOKUP($A250,#REF!,10,FALSE)&lt;-2),"",#REF!),"")</f>
        <v/>
      </c>
      <c r="M250" t="str">
        <f>IFERROR(IF(OR(HLOOKUP($A250,#REF!,11,FALSE)&gt;2,HLOOKUP($A250,#REF!,11,FALSE)&lt;-2),"",#REF!),"")</f>
        <v/>
      </c>
      <c r="N250" t="str">
        <f>IFERROR(IF(OR(HLOOKUP($A250,#REF!,12,FALSE)&gt;2,HLOOKUP($A250,#REF!,12,FALSE)&lt;-2),"",#REF!),"")</f>
        <v/>
      </c>
      <c r="O250" t="str">
        <f>IFERROR(IF(OR(HLOOKUP($A250,#REF!,13,FALSE)&gt;2,HLOOKUP($A250,#REF!,13,FALSE)&lt;-2),"",#REF!),"")</f>
        <v/>
      </c>
      <c r="P250" t="str">
        <f>IFERROR(IF(OR(HLOOKUP($A250,#REF!,14,FALSE)&gt;2,HLOOKUP($A250,#REF!,14,FALSE)&lt;-2),"",#REF!),"")</f>
        <v/>
      </c>
      <c r="Q250" t="str">
        <f>IFERROR(IF(OR(HLOOKUP($A250,#REF!,15,FALSE)&gt;2,HLOOKUP($A250,#REF!,15,FALSE)&lt;-2),"",#REF!),"")</f>
        <v/>
      </c>
      <c r="R250" t="str">
        <f>IFERROR(IF(OR(HLOOKUP($A250,#REF!,16,FALSE)&gt;2,HLOOKUP($A250,#REF!,16,FALSE)&lt;-2),"",#REF!),"")</f>
        <v/>
      </c>
      <c r="S250" t="str">
        <f>IFERROR(IF(OR(HLOOKUP($A250,#REF!,17,FALSE)&gt;2,HLOOKUP($A250,#REF!,17,FALSE)&lt;-2),"",#REF!),"")</f>
        <v/>
      </c>
      <c r="T250" t="str">
        <f>IFERROR(IF(OR(HLOOKUP($A250,#REF!,18,FALSE)&gt;2,HLOOKUP($A250,#REF!,18,FALSE)&lt;-2),"",#REF!),"")</f>
        <v/>
      </c>
      <c r="U250" t="str">
        <f>IFERROR(IF(OR(HLOOKUP($A250,#REF!,19,FALSE)&gt;2,HLOOKUP($A250,#REF!,19,FALSE)&lt;-2),"",#REF!),"")</f>
        <v/>
      </c>
      <c r="V250">
        <f t="shared" si="12"/>
        <v>1</v>
      </c>
      <c r="W250" t="str">
        <f t="shared" si="13"/>
        <v/>
      </c>
      <c r="X250" t="str">
        <f t="shared" si="14"/>
        <v/>
      </c>
      <c r="Y250" t="str">
        <f t="shared" si="15"/>
        <v/>
      </c>
    </row>
    <row r="251" spans="1:25" x14ac:dyDescent="0.35">
      <c r="A251">
        <v>255</v>
      </c>
      <c r="B251" t="s">
        <v>141</v>
      </c>
      <c r="C251">
        <v>66300</v>
      </c>
      <c r="D251">
        <v>239</v>
      </c>
      <c r="E251" t="str">
        <f>IFERROR(IF(OR(HLOOKUP($A251,#REF!,3,FALSE)&gt;2,HLOOKUP(A251,#REF!,3,FALSE)&lt;-2),"",#REF!),"")</f>
        <v/>
      </c>
      <c r="F251" t="str">
        <f>IFERROR(IF(OR(HLOOKUP($A251,#REF!,4,FALSE)&gt;2,HLOOKUP($A251,#REF!,4,FALSE)&lt;-2),"",#REF!),"")</f>
        <v/>
      </c>
      <c r="G251" t="str">
        <f>IFERROR(IF(OR(HLOOKUP($A251,#REF!,5,FALSE)&gt;2,HLOOKUP($A251,#REF!,5,FALSE)&lt;-2),"",#REF!),"")</f>
        <v/>
      </c>
      <c r="H251" t="str">
        <f>IFERROR(IF(OR(HLOOKUP($A251,#REF!,6,FALSE)&gt;2,HLOOKUP($A251,#REF!,6,FALSE)&lt;-2),"",#REF!),"")</f>
        <v/>
      </c>
      <c r="I251" t="str">
        <f>IFERROR(IF(OR(HLOOKUP($A251,#REF!,7,FALSE)&gt;2,HLOOKUP($A251,#REF!,7,FALSE)&lt;-2),"",#REF!),"")</f>
        <v/>
      </c>
      <c r="J251" t="str">
        <f>IFERROR(IF(OR(HLOOKUP($A251,#REF!,8,FALSE)&gt;2,HLOOKUP($A251,#REF!,8,FALSE)&lt;-2),"",#REF!),"")</f>
        <v/>
      </c>
      <c r="K251" t="str">
        <f>IFERROR(IF(OR(HLOOKUP($A251,#REF!,9,FALSE)&gt;2,HLOOKUP($A251,#REF!,9,FALSE)&lt;-2),"",#REF!),"")</f>
        <v/>
      </c>
      <c r="L251" t="str">
        <f>IFERROR(IF(OR(HLOOKUP($A251,#REF!,10,FALSE)&gt;2,HLOOKUP($A251,#REF!,10,FALSE)&lt;-2),"",#REF!),"")</f>
        <v/>
      </c>
      <c r="M251" t="str">
        <f>IFERROR(IF(OR(HLOOKUP($A251,#REF!,11,FALSE)&gt;2,HLOOKUP($A251,#REF!,11,FALSE)&lt;-2),"",#REF!),"")</f>
        <v/>
      </c>
      <c r="N251" t="str">
        <f>IFERROR(IF(OR(HLOOKUP($A251,#REF!,12,FALSE)&gt;2,HLOOKUP($A251,#REF!,12,FALSE)&lt;-2),"",#REF!),"")</f>
        <v/>
      </c>
      <c r="O251" t="str">
        <f>IFERROR(IF(OR(HLOOKUP($A251,#REF!,13,FALSE)&gt;2,HLOOKUP($A251,#REF!,13,FALSE)&lt;-2),"",#REF!),"")</f>
        <v/>
      </c>
      <c r="P251" t="str">
        <f>IFERROR(IF(OR(HLOOKUP($A251,#REF!,14,FALSE)&gt;2,HLOOKUP($A251,#REF!,14,FALSE)&lt;-2),"",#REF!),"")</f>
        <v/>
      </c>
      <c r="Q251" t="str">
        <f>IFERROR(IF(OR(HLOOKUP($A251,#REF!,15,FALSE)&gt;2,HLOOKUP($A251,#REF!,15,FALSE)&lt;-2),"",#REF!),"")</f>
        <v/>
      </c>
      <c r="R251" t="str">
        <f>IFERROR(IF(OR(HLOOKUP($A251,#REF!,16,FALSE)&gt;2,HLOOKUP($A251,#REF!,16,FALSE)&lt;-2),"",#REF!),"")</f>
        <v/>
      </c>
      <c r="S251" t="str">
        <f>IFERROR(IF(OR(HLOOKUP($A251,#REF!,17,FALSE)&gt;2,HLOOKUP($A251,#REF!,17,FALSE)&lt;-2),"",#REF!),"")</f>
        <v/>
      </c>
      <c r="T251" t="str">
        <f>IFERROR(IF(OR(HLOOKUP($A251,#REF!,18,FALSE)&gt;2,HLOOKUP($A251,#REF!,18,FALSE)&lt;-2),"",#REF!),"")</f>
        <v/>
      </c>
      <c r="U251" t="str">
        <f>IFERROR(IF(OR(HLOOKUP($A251,#REF!,19,FALSE)&gt;2,HLOOKUP($A251,#REF!,19,FALSE)&lt;-2),"",#REF!),"")</f>
        <v/>
      </c>
      <c r="V251">
        <f t="shared" si="12"/>
        <v>1</v>
      </c>
      <c r="W251" t="str">
        <f t="shared" si="13"/>
        <v/>
      </c>
      <c r="X251" t="str">
        <f t="shared" si="14"/>
        <v/>
      </c>
      <c r="Y251" t="str">
        <f t="shared" si="15"/>
        <v/>
      </c>
    </row>
    <row r="252" spans="1:25" x14ac:dyDescent="0.35">
      <c r="A252">
        <v>256</v>
      </c>
      <c r="B252" t="s">
        <v>713</v>
      </c>
      <c r="C252">
        <v>36300</v>
      </c>
      <c r="D252">
        <v>663</v>
      </c>
      <c r="E252" t="str">
        <f>IFERROR(IF(OR(HLOOKUP($A252,#REF!,3,FALSE)&gt;2,HLOOKUP(A252,#REF!,3,FALSE)&lt;-2),"",#REF!),"")</f>
        <v/>
      </c>
      <c r="F252" t="str">
        <f>IFERROR(IF(OR(HLOOKUP($A252,#REF!,4,FALSE)&gt;2,HLOOKUP($A252,#REF!,4,FALSE)&lt;-2),"",#REF!),"")</f>
        <v/>
      </c>
      <c r="G252" t="str">
        <f>IFERROR(IF(OR(HLOOKUP($A252,#REF!,5,FALSE)&gt;2,HLOOKUP($A252,#REF!,5,FALSE)&lt;-2),"",#REF!),"")</f>
        <v/>
      </c>
      <c r="H252" t="str">
        <f>IFERROR(IF(OR(HLOOKUP($A252,#REF!,6,FALSE)&gt;2,HLOOKUP($A252,#REF!,6,FALSE)&lt;-2),"",#REF!),"")</f>
        <v/>
      </c>
      <c r="I252" t="str">
        <f>IFERROR(IF(OR(HLOOKUP($A252,#REF!,7,FALSE)&gt;2,HLOOKUP($A252,#REF!,7,FALSE)&lt;-2),"",#REF!),"")</f>
        <v/>
      </c>
      <c r="J252" t="str">
        <f>IFERROR(IF(OR(HLOOKUP($A252,#REF!,8,FALSE)&gt;2,HLOOKUP($A252,#REF!,8,FALSE)&lt;-2),"",#REF!),"")</f>
        <v/>
      </c>
      <c r="K252" t="str">
        <f>IFERROR(IF(OR(HLOOKUP($A252,#REF!,9,FALSE)&gt;2,HLOOKUP($A252,#REF!,9,FALSE)&lt;-2),"",#REF!),"")</f>
        <v/>
      </c>
      <c r="L252" t="str">
        <f>IFERROR(IF(OR(HLOOKUP($A252,#REF!,10,FALSE)&gt;2,HLOOKUP($A252,#REF!,10,FALSE)&lt;-2),"",#REF!),"")</f>
        <v/>
      </c>
      <c r="M252" t="str">
        <f>IFERROR(IF(OR(HLOOKUP($A252,#REF!,11,FALSE)&gt;2,HLOOKUP($A252,#REF!,11,FALSE)&lt;-2),"",#REF!),"")</f>
        <v/>
      </c>
      <c r="N252" t="str">
        <f>IFERROR(IF(OR(HLOOKUP($A252,#REF!,12,FALSE)&gt;2,HLOOKUP($A252,#REF!,12,FALSE)&lt;-2),"",#REF!),"")</f>
        <v/>
      </c>
      <c r="O252" t="str">
        <f>IFERROR(IF(OR(HLOOKUP($A252,#REF!,13,FALSE)&gt;2,HLOOKUP($A252,#REF!,13,FALSE)&lt;-2),"",#REF!),"")</f>
        <v/>
      </c>
      <c r="P252" t="str">
        <f>IFERROR(IF(OR(HLOOKUP($A252,#REF!,14,FALSE)&gt;2,HLOOKUP($A252,#REF!,14,FALSE)&lt;-2),"",#REF!),"")</f>
        <v/>
      </c>
      <c r="Q252" t="str">
        <f>IFERROR(IF(OR(HLOOKUP($A252,#REF!,15,FALSE)&gt;2,HLOOKUP($A252,#REF!,15,FALSE)&lt;-2),"",#REF!),"")</f>
        <v/>
      </c>
      <c r="R252" t="str">
        <f>IFERROR(IF(OR(HLOOKUP($A252,#REF!,16,FALSE)&gt;2,HLOOKUP($A252,#REF!,16,FALSE)&lt;-2),"",#REF!),"")</f>
        <v/>
      </c>
      <c r="S252" t="str">
        <f>IFERROR(IF(OR(HLOOKUP($A252,#REF!,17,FALSE)&gt;2,HLOOKUP($A252,#REF!,17,FALSE)&lt;-2),"",#REF!),"")</f>
        <v/>
      </c>
      <c r="T252" t="str">
        <f>IFERROR(IF(OR(HLOOKUP($A252,#REF!,18,FALSE)&gt;2,HLOOKUP($A252,#REF!,18,FALSE)&lt;-2),"",#REF!),"")</f>
        <v/>
      </c>
      <c r="U252" t="str">
        <f>IFERROR(IF(OR(HLOOKUP($A252,#REF!,19,FALSE)&gt;2,HLOOKUP($A252,#REF!,19,FALSE)&lt;-2),"",#REF!),"")</f>
        <v/>
      </c>
      <c r="V252">
        <f t="shared" si="12"/>
        <v>1</v>
      </c>
      <c r="W252" t="str">
        <f t="shared" si="13"/>
        <v/>
      </c>
      <c r="X252" t="str">
        <f t="shared" si="14"/>
        <v/>
      </c>
      <c r="Y252" t="str">
        <f t="shared" si="15"/>
        <v/>
      </c>
    </row>
    <row r="253" spans="1:25" x14ac:dyDescent="0.35">
      <c r="A253">
        <v>257</v>
      </c>
      <c r="B253" t="s">
        <v>142</v>
      </c>
      <c r="C253">
        <v>18100</v>
      </c>
      <c r="D253">
        <v>533</v>
      </c>
      <c r="E253" t="str">
        <f>IFERROR(IF(OR(HLOOKUP($A253,#REF!,3,FALSE)&gt;2,HLOOKUP(A253,#REF!,3,FALSE)&lt;-2),"",#REF!),"")</f>
        <v/>
      </c>
      <c r="F253" t="str">
        <f>IFERROR(IF(OR(HLOOKUP($A253,#REF!,4,FALSE)&gt;2,HLOOKUP($A253,#REF!,4,FALSE)&lt;-2),"",#REF!),"")</f>
        <v/>
      </c>
      <c r="G253" t="str">
        <f>IFERROR(IF(OR(HLOOKUP($A253,#REF!,5,FALSE)&gt;2,HLOOKUP($A253,#REF!,5,FALSE)&lt;-2),"",#REF!),"")</f>
        <v/>
      </c>
      <c r="H253" t="str">
        <f>IFERROR(IF(OR(HLOOKUP($A253,#REF!,6,FALSE)&gt;2,HLOOKUP($A253,#REF!,6,FALSE)&lt;-2),"",#REF!),"")</f>
        <v/>
      </c>
      <c r="I253" t="str">
        <f>IFERROR(IF(OR(HLOOKUP($A253,#REF!,7,FALSE)&gt;2,HLOOKUP($A253,#REF!,7,FALSE)&lt;-2),"",#REF!),"")</f>
        <v/>
      </c>
      <c r="J253" t="str">
        <f>IFERROR(IF(OR(HLOOKUP($A253,#REF!,8,FALSE)&gt;2,HLOOKUP($A253,#REF!,8,FALSE)&lt;-2),"",#REF!),"")</f>
        <v/>
      </c>
      <c r="K253" t="str">
        <f>IFERROR(IF(OR(HLOOKUP($A253,#REF!,9,FALSE)&gt;2,HLOOKUP($A253,#REF!,9,FALSE)&lt;-2),"",#REF!),"")</f>
        <v/>
      </c>
      <c r="L253" t="str">
        <f>IFERROR(IF(OR(HLOOKUP($A253,#REF!,10,FALSE)&gt;2,HLOOKUP($A253,#REF!,10,FALSE)&lt;-2),"",#REF!),"")</f>
        <v/>
      </c>
      <c r="M253" t="str">
        <f>IFERROR(IF(OR(HLOOKUP($A253,#REF!,11,FALSE)&gt;2,HLOOKUP($A253,#REF!,11,FALSE)&lt;-2),"",#REF!),"")</f>
        <v/>
      </c>
      <c r="N253" t="str">
        <f>IFERROR(IF(OR(HLOOKUP($A253,#REF!,12,FALSE)&gt;2,HLOOKUP($A253,#REF!,12,FALSE)&lt;-2),"",#REF!),"")</f>
        <v/>
      </c>
      <c r="O253" t="str">
        <f>IFERROR(IF(OR(HLOOKUP($A253,#REF!,13,FALSE)&gt;2,HLOOKUP($A253,#REF!,13,FALSE)&lt;-2),"",#REF!),"")</f>
        <v/>
      </c>
      <c r="P253" t="str">
        <f>IFERROR(IF(OR(HLOOKUP($A253,#REF!,14,FALSE)&gt;2,HLOOKUP($A253,#REF!,14,FALSE)&lt;-2),"",#REF!),"")</f>
        <v/>
      </c>
      <c r="Q253" t="str">
        <f>IFERROR(IF(OR(HLOOKUP($A253,#REF!,15,FALSE)&gt;2,HLOOKUP($A253,#REF!,15,FALSE)&lt;-2),"",#REF!),"")</f>
        <v/>
      </c>
      <c r="R253" t="str">
        <f>IFERROR(IF(OR(HLOOKUP($A253,#REF!,16,FALSE)&gt;2,HLOOKUP($A253,#REF!,16,FALSE)&lt;-2),"",#REF!),"")</f>
        <v/>
      </c>
      <c r="S253" t="str">
        <f>IFERROR(IF(OR(HLOOKUP($A253,#REF!,17,FALSE)&gt;2,HLOOKUP($A253,#REF!,17,FALSE)&lt;-2),"",#REF!),"")</f>
        <v/>
      </c>
      <c r="T253" t="str">
        <f>IFERROR(IF(OR(HLOOKUP($A253,#REF!,18,FALSE)&gt;2,HLOOKUP($A253,#REF!,18,FALSE)&lt;-2),"",#REF!),"")</f>
        <v/>
      </c>
      <c r="U253" t="str">
        <f>IFERROR(IF(OR(HLOOKUP($A253,#REF!,19,FALSE)&gt;2,HLOOKUP($A253,#REF!,19,FALSE)&lt;-2),"",#REF!),"")</f>
        <v/>
      </c>
      <c r="V253">
        <f t="shared" si="12"/>
        <v>1</v>
      </c>
      <c r="W253" t="str">
        <f t="shared" si="13"/>
        <v/>
      </c>
      <c r="X253" t="str">
        <f t="shared" si="14"/>
        <v/>
      </c>
      <c r="Y253" t="str">
        <f t="shared" si="15"/>
        <v/>
      </c>
    </row>
    <row r="254" spans="1:25" x14ac:dyDescent="0.35">
      <c r="A254">
        <v>258</v>
      </c>
      <c r="B254" t="s">
        <v>143</v>
      </c>
      <c r="C254">
        <v>49600</v>
      </c>
      <c r="D254">
        <v>242</v>
      </c>
      <c r="E254" t="str">
        <f>IFERROR(IF(OR(HLOOKUP($A254,#REF!,3,FALSE)&gt;2,HLOOKUP(A254,#REF!,3,FALSE)&lt;-2),"",#REF!),"")</f>
        <v/>
      </c>
      <c r="F254" t="str">
        <f>IFERROR(IF(OR(HLOOKUP($A254,#REF!,4,FALSE)&gt;2,HLOOKUP($A254,#REF!,4,FALSE)&lt;-2),"",#REF!),"")</f>
        <v/>
      </c>
      <c r="G254" t="str">
        <f>IFERROR(IF(OR(HLOOKUP($A254,#REF!,5,FALSE)&gt;2,HLOOKUP($A254,#REF!,5,FALSE)&lt;-2),"",#REF!),"")</f>
        <v/>
      </c>
      <c r="H254" t="str">
        <f>IFERROR(IF(OR(HLOOKUP($A254,#REF!,6,FALSE)&gt;2,HLOOKUP($A254,#REF!,6,FALSE)&lt;-2),"",#REF!),"")</f>
        <v/>
      </c>
      <c r="I254" t="str">
        <f>IFERROR(IF(OR(HLOOKUP($A254,#REF!,7,FALSE)&gt;2,HLOOKUP($A254,#REF!,7,FALSE)&lt;-2),"",#REF!),"")</f>
        <v/>
      </c>
      <c r="J254" t="str">
        <f>IFERROR(IF(OR(HLOOKUP($A254,#REF!,8,FALSE)&gt;2,HLOOKUP($A254,#REF!,8,FALSE)&lt;-2),"",#REF!),"")</f>
        <v/>
      </c>
      <c r="K254" t="str">
        <f>IFERROR(IF(OR(HLOOKUP($A254,#REF!,9,FALSE)&gt;2,HLOOKUP($A254,#REF!,9,FALSE)&lt;-2),"",#REF!),"")</f>
        <v/>
      </c>
      <c r="L254" t="str">
        <f>IFERROR(IF(OR(HLOOKUP($A254,#REF!,10,FALSE)&gt;2,HLOOKUP($A254,#REF!,10,FALSE)&lt;-2),"",#REF!),"")</f>
        <v/>
      </c>
      <c r="M254" t="str">
        <f>IFERROR(IF(OR(HLOOKUP($A254,#REF!,11,FALSE)&gt;2,HLOOKUP($A254,#REF!,11,FALSE)&lt;-2),"",#REF!),"")</f>
        <v/>
      </c>
      <c r="N254" t="str">
        <f>IFERROR(IF(OR(HLOOKUP($A254,#REF!,12,FALSE)&gt;2,HLOOKUP($A254,#REF!,12,FALSE)&lt;-2),"",#REF!),"")</f>
        <v/>
      </c>
      <c r="O254" t="str">
        <f>IFERROR(IF(OR(HLOOKUP($A254,#REF!,13,FALSE)&gt;2,HLOOKUP($A254,#REF!,13,FALSE)&lt;-2),"",#REF!),"")</f>
        <v/>
      </c>
      <c r="P254" t="str">
        <f>IFERROR(IF(OR(HLOOKUP($A254,#REF!,14,FALSE)&gt;2,HLOOKUP($A254,#REF!,14,FALSE)&lt;-2),"",#REF!),"")</f>
        <v/>
      </c>
      <c r="Q254" t="str">
        <f>IFERROR(IF(OR(HLOOKUP($A254,#REF!,15,FALSE)&gt;2,HLOOKUP($A254,#REF!,15,FALSE)&lt;-2),"",#REF!),"")</f>
        <v/>
      </c>
      <c r="R254" t="str">
        <f>IFERROR(IF(OR(HLOOKUP($A254,#REF!,16,FALSE)&gt;2,HLOOKUP($A254,#REF!,16,FALSE)&lt;-2),"",#REF!),"")</f>
        <v/>
      </c>
      <c r="S254" t="str">
        <f>IFERROR(IF(OR(HLOOKUP($A254,#REF!,17,FALSE)&gt;2,HLOOKUP($A254,#REF!,17,FALSE)&lt;-2),"",#REF!),"")</f>
        <v/>
      </c>
      <c r="T254" t="str">
        <f>IFERROR(IF(OR(HLOOKUP($A254,#REF!,18,FALSE)&gt;2,HLOOKUP($A254,#REF!,18,FALSE)&lt;-2),"",#REF!),"")</f>
        <v/>
      </c>
      <c r="U254" t="str">
        <f>IFERROR(IF(OR(HLOOKUP($A254,#REF!,19,FALSE)&gt;2,HLOOKUP($A254,#REF!,19,FALSE)&lt;-2),"",#REF!),"")</f>
        <v/>
      </c>
      <c r="V254">
        <f t="shared" si="12"/>
        <v>1</v>
      </c>
      <c r="W254" t="str">
        <f t="shared" si="13"/>
        <v/>
      </c>
      <c r="X254" t="str">
        <f t="shared" si="14"/>
        <v/>
      </c>
      <c r="Y254" t="str">
        <f t="shared" si="15"/>
        <v/>
      </c>
    </row>
    <row r="255" spans="1:25" x14ac:dyDescent="0.35">
      <c r="A255">
        <v>259</v>
      </c>
      <c r="B255" t="s">
        <v>714</v>
      </c>
      <c r="C255">
        <v>43800</v>
      </c>
      <c r="D255">
        <v>934</v>
      </c>
      <c r="E255" t="str">
        <f>IFERROR(IF(OR(HLOOKUP($A255,#REF!,3,FALSE)&gt;2,HLOOKUP(A255,#REF!,3,FALSE)&lt;-2),"",#REF!),"")</f>
        <v/>
      </c>
      <c r="F255" t="str">
        <f>IFERROR(IF(OR(HLOOKUP($A255,#REF!,4,FALSE)&gt;2,HLOOKUP($A255,#REF!,4,FALSE)&lt;-2),"",#REF!),"")</f>
        <v/>
      </c>
      <c r="G255" t="str">
        <f>IFERROR(IF(OR(HLOOKUP($A255,#REF!,5,FALSE)&gt;2,HLOOKUP($A255,#REF!,5,FALSE)&lt;-2),"",#REF!),"")</f>
        <v/>
      </c>
      <c r="H255" t="str">
        <f>IFERROR(IF(OR(HLOOKUP($A255,#REF!,6,FALSE)&gt;2,HLOOKUP($A255,#REF!,6,FALSE)&lt;-2),"",#REF!),"")</f>
        <v/>
      </c>
      <c r="I255" t="str">
        <f>IFERROR(IF(OR(HLOOKUP($A255,#REF!,7,FALSE)&gt;2,HLOOKUP($A255,#REF!,7,FALSE)&lt;-2),"",#REF!),"")</f>
        <v/>
      </c>
      <c r="J255" t="str">
        <f>IFERROR(IF(OR(HLOOKUP($A255,#REF!,8,FALSE)&gt;2,HLOOKUP($A255,#REF!,8,FALSE)&lt;-2),"",#REF!),"")</f>
        <v/>
      </c>
      <c r="K255" t="str">
        <f>IFERROR(IF(OR(HLOOKUP($A255,#REF!,9,FALSE)&gt;2,HLOOKUP($A255,#REF!,9,FALSE)&lt;-2),"",#REF!),"")</f>
        <v/>
      </c>
      <c r="L255" t="str">
        <f>IFERROR(IF(OR(HLOOKUP($A255,#REF!,10,FALSE)&gt;2,HLOOKUP($A255,#REF!,10,FALSE)&lt;-2),"",#REF!),"")</f>
        <v/>
      </c>
      <c r="M255" t="str">
        <f>IFERROR(IF(OR(HLOOKUP($A255,#REF!,11,FALSE)&gt;2,HLOOKUP($A255,#REF!,11,FALSE)&lt;-2),"",#REF!),"")</f>
        <v/>
      </c>
      <c r="N255" t="str">
        <f>IFERROR(IF(OR(HLOOKUP($A255,#REF!,12,FALSE)&gt;2,HLOOKUP($A255,#REF!,12,FALSE)&lt;-2),"",#REF!),"")</f>
        <v/>
      </c>
      <c r="O255" t="str">
        <f>IFERROR(IF(OR(HLOOKUP($A255,#REF!,13,FALSE)&gt;2,HLOOKUP($A255,#REF!,13,FALSE)&lt;-2),"",#REF!),"")</f>
        <v/>
      </c>
      <c r="P255" t="str">
        <f>IFERROR(IF(OR(HLOOKUP($A255,#REF!,14,FALSE)&gt;2,HLOOKUP($A255,#REF!,14,FALSE)&lt;-2),"",#REF!),"")</f>
        <v/>
      </c>
      <c r="Q255" t="str">
        <f>IFERROR(IF(OR(HLOOKUP($A255,#REF!,15,FALSE)&gt;2,HLOOKUP($A255,#REF!,15,FALSE)&lt;-2),"",#REF!),"")</f>
        <v/>
      </c>
      <c r="R255" t="str">
        <f>IFERROR(IF(OR(HLOOKUP($A255,#REF!,16,FALSE)&gt;2,HLOOKUP($A255,#REF!,16,FALSE)&lt;-2),"",#REF!),"")</f>
        <v/>
      </c>
      <c r="S255" t="str">
        <f>IFERROR(IF(OR(HLOOKUP($A255,#REF!,17,FALSE)&gt;2,HLOOKUP($A255,#REF!,17,FALSE)&lt;-2),"",#REF!),"")</f>
        <v/>
      </c>
      <c r="T255" t="str">
        <f>IFERROR(IF(OR(HLOOKUP($A255,#REF!,18,FALSE)&gt;2,HLOOKUP($A255,#REF!,18,FALSE)&lt;-2),"",#REF!),"")</f>
        <v/>
      </c>
      <c r="U255" t="str">
        <f>IFERROR(IF(OR(HLOOKUP($A255,#REF!,19,FALSE)&gt;2,HLOOKUP($A255,#REF!,19,FALSE)&lt;-2),"",#REF!),"")</f>
        <v/>
      </c>
      <c r="V255">
        <f t="shared" si="12"/>
        <v>1</v>
      </c>
      <c r="W255" t="str">
        <f t="shared" si="13"/>
        <v/>
      </c>
      <c r="X255" t="str">
        <f t="shared" si="14"/>
        <v/>
      </c>
      <c r="Y255" t="str">
        <f t="shared" si="15"/>
        <v/>
      </c>
    </row>
    <row r="256" spans="1:25" x14ac:dyDescent="0.35">
      <c r="A256">
        <v>260</v>
      </c>
      <c r="B256" t="s">
        <v>144</v>
      </c>
      <c r="C256">
        <v>34300</v>
      </c>
      <c r="D256">
        <v>619</v>
      </c>
      <c r="E256" t="str">
        <f>IFERROR(IF(OR(HLOOKUP($A256,#REF!,3,FALSE)&gt;2,HLOOKUP(A256,#REF!,3,FALSE)&lt;-2),"",#REF!),"")</f>
        <v/>
      </c>
      <c r="F256" t="str">
        <f>IFERROR(IF(OR(HLOOKUP($A256,#REF!,4,FALSE)&gt;2,HLOOKUP($A256,#REF!,4,FALSE)&lt;-2),"",#REF!),"")</f>
        <v/>
      </c>
      <c r="G256" t="str">
        <f>IFERROR(IF(OR(HLOOKUP($A256,#REF!,5,FALSE)&gt;2,HLOOKUP($A256,#REF!,5,FALSE)&lt;-2),"",#REF!),"")</f>
        <v/>
      </c>
      <c r="H256" t="str">
        <f>IFERROR(IF(OR(HLOOKUP($A256,#REF!,6,FALSE)&gt;2,HLOOKUP($A256,#REF!,6,FALSE)&lt;-2),"",#REF!),"")</f>
        <v/>
      </c>
      <c r="I256" t="str">
        <f>IFERROR(IF(OR(HLOOKUP($A256,#REF!,7,FALSE)&gt;2,HLOOKUP($A256,#REF!,7,FALSE)&lt;-2),"",#REF!),"")</f>
        <v/>
      </c>
      <c r="J256" t="str">
        <f>IFERROR(IF(OR(HLOOKUP($A256,#REF!,8,FALSE)&gt;2,HLOOKUP($A256,#REF!,8,FALSE)&lt;-2),"",#REF!),"")</f>
        <v/>
      </c>
      <c r="K256" t="str">
        <f>IFERROR(IF(OR(HLOOKUP($A256,#REF!,9,FALSE)&gt;2,HLOOKUP($A256,#REF!,9,FALSE)&lt;-2),"",#REF!),"")</f>
        <v/>
      </c>
      <c r="L256" t="str">
        <f>IFERROR(IF(OR(HLOOKUP($A256,#REF!,10,FALSE)&gt;2,HLOOKUP($A256,#REF!,10,FALSE)&lt;-2),"",#REF!),"")</f>
        <v/>
      </c>
      <c r="M256" t="str">
        <f>IFERROR(IF(OR(HLOOKUP($A256,#REF!,11,FALSE)&gt;2,HLOOKUP($A256,#REF!,11,FALSE)&lt;-2),"",#REF!),"")</f>
        <v/>
      </c>
      <c r="N256" t="str">
        <f>IFERROR(IF(OR(HLOOKUP($A256,#REF!,12,FALSE)&gt;2,HLOOKUP($A256,#REF!,12,FALSE)&lt;-2),"",#REF!),"")</f>
        <v/>
      </c>
      <c r="O256" t="str">
        <f>IFERROR(IF(OR(HLOOKUP($A256,#REF!,13,FALSE)&gt;2,HLOOKUP($A256,#REF!,13,FALSE)&lt;-2),"",#REF!),"")</f>
        <v/>
      </c>
      <c r="P256" t="str">
        <f>IFERROR(IF(OR(HLOOKUP($A256,#REF!,14,FALSE)&gt;2,HLOOKUP($A256,#REF!,14,FALSE)&lt;-2),"",#REF!),"")</f>
        <v/>
      </c>
      <c r="Q256" t="str">
        <f>IFERROR(IF(OR(HLOOKUP($A256,#REF!,15,FALSE)&gt;2,HLOOKUP($A256,#REF!,15,FALSE)&lt;-2),"",#REF!),"")</f>
        <v/>
      </c>
      <c r="R256" t="str">
        <f>IFERROR(IF(OR(HLOOKUP($A256,#REF!,16,FALSE)&gt;2,HLOOKUP($A256,#REF!,16,FALSE)&lt;-2),"",#REF!),"")</f>
        <v/>
      </c>
      <c r="S256" t="str">
        <f>IFERROR(IF(OR(HLOOKUP($A256,#REF!,17,FALSE)&gt;2,HLOOKUP($A256,#REF!,17,FALSE)&lt;-2),"",#REF!),"")</f>
        <v/>
      </c>
      <c r="T256" t="str">
        <f>IFERROR(IF(OR(HLOOKUP($A256,#REF!,18,FALSE)&gt;2,HLOOKUP($A256,#REF!,18,FALSE)&lt;-2),"",#REF!),"")</f>
        <v/>
      </c>
      <c r="U256" t="str">
        <f>IFERROR(IF(OR(HLOOKUP($A256,#REF!,19,FALSE)&gt;2,HLOOKUP($A256,#REF!,19,FALSE)&lt;-2),"",#REF!),"")</f>
        <v/>
      </c>
      <c r="V256">
        <f t="shared" si="12"/>
        <v>1</v>
      </c>
      <c r="W256" t="str">
        <f t="shared" si="13"/>
        <v/>
      </c>
      <c r="X256" t="str">
        <f t="shared" si="14"/>
        <v/>
      </c>
      <c r="Y256" t="str">
        <f t="shared" si="15"/>
        <v/>
      </c>
    </row>
    <row r="257" spans="1:25" x14ac:dyDescent="0.35">
      <c r="A257">
        <v>261</v>
      </c>
      <c r="B257" t="s">
        <v>715</v>
      </c>
      <c r="C257">
        <v>103500</v>
      </c>
      <c r="D257">
        <v>871</v>
      </c>
      <c r="E257" t="str">
        <f>IFERROR(IF(OR(HLOOKUP($A257,#REF!,3,FALSE)&gt;2,HLOOKUP(A257,#REF!,3,FALSE)&lt;-2),"",#REF!),"")</f>
        <v/>
      </c>
      <c r="F257" t="str">
        <f>IFERROR(IF(OR(HLOOKUP($A257,#REF!,4,FALSE)&gt;2,HLOOKUP($A257,#REF!,4,FALSE)&lt;-2),"",#REF!),"")</f>
        <v/>
      </c>
      <c r="G257" t="str">
        <f>IFERROR(IF(OR(HLOOKUP($A257,#REF!,5,FALSE)&gt;2,HLOOKUP($A257,#REF!,5,FALSE)&lt;-2),"",#REF!),"")</f>
        <v/>
      </c>
      <c r="H257" t="str">
        <f>IFERROR(IF(OR(HLOOKUP($A257,#REF!,6,FALSE)&gt;2,HLOOKUP($A257,#REF!,6,FALSE)&lt;-2),"",#REF!),"")</f>
        <v/>
      </c>
      <c r="I257" t="str">
        <f>IFERROR(IF(OR(HLOOKUP($A257,#REF!,7,FALSE)&gt;2,HLOOKUP($A257,#REF!,7,FALSE)&lt;-2),"",#REF!),"")</f>
        <v/>
      </c>
      <c r="J257" t="str">
        <f>IFERROR(IF(OR(HLOOKUP($A257,#REF!,8,FALSE)&gt;2,HLOOKUP($A257,#REF!,8,FALSE)&lt;-2),"",#REF!),"")</f>
        <v/>
      </c>
      <c r="K257" t="str">
        <f>IFERROR(IF(OR(HLOOKUP($A257,#REF!,9,FALSE)&gt;2,HLOOKUP($A257,#REF!,9,FALSE)&lt;-2),"",#REF!),"")</f>
        <v/>
      </c>
      <c r="L257" t="str">
        <f>IFERROR(IF(OR(HLOOKUP($A257,#REF!,10,FALSE)&gt;2,HLOOKUP($A257,#REF!,10,FALSE)&lt;-2),"",#REF!),"")</f>
        <v/>
      </c>
      <c r="M257" t="str">
        <f>IFERROR(IF(OR(HLOOKUP($A257,#REF!,11,FALSE)&gt;2,HLOOKUP($A257,#REF!,11,FALSE)&lt;-2),"",#REF!),"")</f>
        <v/>
      </c>
      <c r="N257" t="str">
        <f>IFERROR(IF(OR(HLOOKUP($A257,#REF!,12,FALSE)&gt;2,HLOOKUP($A257,#REF!,12,FALSE)&lt;-2),"",#REF!),"")</f>
        <v/>
      </c>
      <c r="O257" t="str">
        <f>IFERROR(IF(OR(HLOOKUP($A257,#REF!,13,FALSE)&gt;2,HLOOKUP($A257,#REF!,13,FALSE)&lt;-2),"",#REF!),"")</f>
        <v/>
      </c>
      <c r="P257" t="str">
        <f>IFERROR(IF(OR(HLOOKUP($A257,#REF!,14,FALSE)&gt;2,HLOOKUP($A257,#REF!,14,FALSE)&lt;-2),"",#REF!),"")</f>
        <v/>
      </c>
      <c r="Q257" t="str">
        <f>IFERROR(IF(OR(HLOOKUP($A257,#REF!,15,FALSE)&gt;2,HLOOKUP($A257,#REF!,15,FALSE)&lt;-2),"",#REF!),"")</f>
        <v/>
      </c>
      <c r="R257" t="str">
        <f>IFERROR(IF(OR(HLOOKUP($A257,#REF!,16,FALSE)&gt;2,HLOOKUP($A257,#REF!,16,FALSE)&lt;-2),"",#REF!),"")</f>
        <v/>
      </c>
      <c r="S257" t="str">
        <f>IFERROR(IF(OR(HLOOKUP($A257,#REF!,17,FALSE)&gt;2,HLOOKUP($A257,#REF!,17,FALSE)&lt;-2),"",#REF!),"")</f>
        <v/>
      </c>
      <c r="T257" t="str">
        <f>IFERROR(IF(OR(HLOOKUP($A257,#REF!,18,FALSE)&gt;2,HLOOKUP($A257,#REF!,18,FALSE)&lt;-2),"",#REF!),"")</f>
        <v/>
      </c>
      <c r="U257" t="str">
        <f>IFERROR(IF(OR(HLOOKUP($A257,#REF!,19,FALSE)&gt;2,HLOOKUP($A257,#REF!,19,FALSE)&lt;-2),"",#REF!),"")</f>
        <v/>
      </c>
      <c r="V257">
        <f t="shared" si="12"/>
        <v>1</v>
      </c>
      <c r="W257" t="str">
        <f t="shared" si="13"/>
        <v/>
      </c>
      <c r="X257" t="str">
        <f t="shared" si="14"/>
        <v/>
      </c>
      <c r="Y257" t="str">
        <f t="shared" si="15"/>
        <v/>
      </c>
    </row>
    <row r="258" spans="1:25" x14ac:dyDescent="0.35">
      <c r="A258">
        <v>262</v>
      </c>
      <c r="B258" t="s">
        <v>145</v>
      </c>
      <c r="C258">
        <v>68900</v>
      </c>
      <c r="D258">
        <v>856</v>
      </c>
      <c r="E258" t="str">
        <f>IFERROR(IF(OR(HLOOKUP($A258,#REF!,3,FALSE)&gt;2,HLOOKUP(A258,#REF!,3,FALSE)&lt;-2),"",#REF!),"")</f>
        <v/>
      </c>
      <c r="F258" t="str">
        <f>IFERROR(IF(OR(HLOOKUP($A258,#REF!,4,FALSE)&gt;2,HLOOKUP($A258,#REF!,4,FALSE)&lt;-2),"",#REF!),"")</f>
        <v/>
      </c>
      <c r="G258" t="str">
        <f>IFERROR(IF(OR(HLOOKUP($A258,#REF!,5,FALSE)&gt;2,HLOOKUP($A258,#REF!,5,FALSE)&lt;-2),"",#REF!),"")</f>
        <v/>
      </c>
      <c r="H258" t="str">
        <f>IFERROR(IF(OR(HLOOKUP($A258,#REF!,6,FALSE)&gt;2,HLOOKUP($A258,#REF!,6,FALSE)&lt;-2),"",#REF!),"")</f>
        <v/>
      </c>
      <c r="I258" t="str">
        <f>IFERROR(IF(OR(HLOOKUP($A258,#REF!,7,FALSE)&gt;2,HLOOKUP($A258,#REF!,7,FALSE)&lt;-2),"",#REF!),"")</f>
        <v/>
      </c>
      <c r="J258" t="str">
        <f>IFERROR(IF(OR(HLOOKUP($A258,#REF!,8,FALSE)&gt;2,HLOOKUP($A258,#REF!,8,FALSE)&lt;-2),"",#REF!),"")</f>
        <v/>
      </c>
      <c r="K258" t="str">
        <f>IFERROR(IF(OR(HLOOKUP($A258,#REF!,9,FALSE)&gt;2,HLOOKUP($A258,#REF!,9,FALSE)&lt;-2),"",#REF!),"")</f>
        <v/>
      </c>
      <c r="L258" t="str">
        <f>IFERROR(IF(OR(HLOOKUP($A258,#REF!,10,FALSE)&gt;2,HLOOKUP($A258,#REF!,10,FALSE)&lt;-2),"",#REF!),"")</f>
        <v/>
      </c>
      <c r="M258" t="str">
        <f>IFERROR(IF(OR(HLOOKUP($A258,#REF!,11,FALSE)&gt;2,HLOOKUP($A258,#REF!,11,FALSE)&lt;-2),"",#REF!),"")</f>
        <v/>
      </c>
      <c r="N258" t="str">
        <f>IFERROR(IF(OR(HLOOKUP($A258,#REF!,12,FALSE)&gt;2,HLOOKUP($A258,#REF!,12,FALSE)&lt;-2),"",#REF!),"")</f>
        <v/>
      </c>
      <c r="O258" t="str">
        <f>IFERROR(IF(OR(HLOOKUP($A258,#REF!,13,FALSE)&gt;2,HLOOKUP($A258,#REF!,13,FALSE)&lt;-2),"",#REF!),"")</f>
        <v/>
      </c>
      <c r="P258" t="str">
        <f>IFERROR(IF(OR(HLOOKUP($A258,#REF!,14,FALSE)&gt;2,HLOOKUP($A258,#REF!,14,FALSE)&lt;-2),"",#REF!),"")</f>
        <v/>
      </c>
      <c r="Q258" t="str">
        <f>IFERROR(IF(OR(HLOOKUP($A258,#REF!,15,FALSE)&gt;2,HLOOKUP($A258,#REF!,15,FALSE)&lt;-2),"",#REF!),"")</f>
        <v/>
      </c>
      <c r="R258" t="str">
        <f>IFERROR(IF(OR(HLOOKUP($A258,#REF!,16,FALSE)&gt;2,HLOOKUP($A258,#REF!,16,FALSE)&lt;-2),"",#REF!),"")</f>
        <v/>
      </c>
      <c r="S258" t="str">
        <f>IFERROR(IF(OR(HLOOKUP($A258,#REF!,17,FALSE)&gt;2,HLOOKUP($A258,#REF!,17,FALSE)&lt;-2),"",#REF!),"")</f>
        <v/>
      </c>
      <c r="T258" t="str">
        <f>IFERROR(IF(OR(HLOOKUP($A258,#REF!,18,FALSE)&gt;2,HLOOKUP($A258,#REF!,18,FALSE)&lt;-2),"",#REF!),"")</f>
        <v/>
      </c>
      <c r="U258" t="str">
        <f>IFERROR(IF(OR(HLOOKUP($A258,#REF!,19,FALSE)&gt;2,HLOOKUP($A258,#REF!,19,FALSE)&lt;-2),"",#REF!),"")</f>
        <v/>
      </c>
      <c r="V258">
        <f t="shared" si="12"/>
        <v>1</v>
      </c>
      <c r="W258" t="str">
        <f t="shared" si="13"/>
        <v/>
      </c>
      <c r="X258" t="str">
        <f t="shared" si="14"/>
        <v/>
      </c>
      <c r="Y258" t="str">
        <f t="shared" si="15"/>
        <v/>
      </c>
    </row>
    <row r="259" spans="1:25" x14ac:dyDescent="0.35">
      <c r="A259">
        <v>263</v>
      </c>
      <c r="B259" t="s">
        <v>146</v>
      </c>
      <c r="C259">
        <v>72200</v>
      </c>
      <c r="D259">
        <v>141</v>
      </c>
      <c r="E259" t="str">
        <f>IFERROR(IF(OR(HLOOKUP($A259,#REF!,3,FALSE)&gt;2,HLOOKUP(A259,#REF!,3,FALSE)&lt;-2),"",#REF!),"")</f>
        <v/>
      </c>
      <c r="F259" t="str">
        <f>IFERROR(IF(OR(HLOOKUP($A259,#REF!,4,FALSE)&gt;2,HLOOKUP($A259,#REF!,4,FALSE)&lt;-2),"",#REF!),"")</f>
        <v/>
      </c>
      <c r="G259" t="str">
        <f>IFERROR(IF(OR(HLOOKUP($A259,#REF!,5,FALSE)&gt;2,HLOOKUP($A259,#REF!,5,FALSE)&lt;-2),"",#REF!),"")</f>
        <v/>
      </c>
      <c r="H259" t="str">
        <f>IFERROR(IF(OR(HLOOKUP($A259,#REF!,6,FALSE)&gt;2,HLOOKUP($A259,#REF!,6,FALSE)&lt;-2),"",#REF!),"")</f>
        <v/>
      </c>
      <c r="I259" t="str">
        <f>IFERROR(IF(OR(HLOOKUP($A259,#REF!,7,FALSE)&gt;2,HLOOKUP($A259,#REF!,7,FALSE)&lt;-2),"",#REF!),"")</f>
        <v/>
      </c>
      <c r="J259" t="str">
        <f>IFERROR(IF(OR(HLOOKUP($A259,#REF!,8,FALSE)&gt;2,HLOOKUP($A259,#REF!,8,FALSE)&lt;-2),"",#REF!),"")</f>
        <v/>
      </c>
      <c r="K259" t="str">
        <f>IFERROR(IF(OR(HLOOKUP($A259,#REF!,9,FALSE)&gt;2,HLOOKUP($A259,#REF!,9,FALSE)&lt;-2),"",#REF!),"")</f>
        <v/>
      </c>
      <c r="L259" t="str">
        <f>IFERROR(IF(OR(HLOOKUP($A259,#REF!,10,FALSE)&gt;2,HLOOKUP($A259,#REF!,10,FALSE)&lt;-2),"",#REF!),"")</f>
        <v/>
      </c>
      <c r="M259" t="str">
        <f>IFERROR(IF(OR(HLOOKUP($A259,#REF!,11,FALSE)&gt;2,HLOOKUP($A259,#REF!,11,FALSE)&lt;-2),"",#REF!),"")</f>
        <v/>
      </c>
      <c r="N259" t="str">
        <f>IFERROR(IF(OR(HLOOKUP($A259,#REF!,12,FALSE)&gt;2,HLOOKUP($A259,#REF!,12,FALSE)&lt;-2),"",#REF!),"")</f>
        <v/>
      </c>
      <c r="O259" t="str">
        <f>IFERROR(IF(OR(HLOOKUP($A259,#REF!,13,FALSE)&gt;2,HLOOKUP($A259,#REF!,13,FALSE)&lt;-2),"",#REF!),"")</f>
        <v/>
      </c>
      <c r="P259" t="str">
        <f>IFERROR(IF(OR(HLOOKUP($A259,#REF!,14,FALSE)&gt;2,HLOOKUP($A259,#REF!,14,FALSE)&lt;-2),"",#REF!),"")</f>
        <v/>
      </c>
      <c r="Q259" t="str">
        <f>IFERROR(IF(OR(HLOOKUP($A259,#REF!,15,FALSE)&gt;2,HLOOKUP($A259,#REF!,15,FALSE)&lt;-2),"",#REF!),"")</f>
        <v/>
      </c>
      <c r="R259" t="str">
        <f>IFERROR(IF(OR(HLOOKUP($A259,#REF!,16,FALSE)&gt;2,HLOOKUP($A259,#REF!,16,FALSE)&lt;-2),"",#REF!),"")</f>
        <v/>
      </c>
      <c r="S259" t="str">
        <f>IFERROR(IF(OR(HLOOKUP($A259,#REF!,17,FALSE)&gt;2,HLOOKUP($A259,#REF!,17,FALSE)&lt;-2),"",#REF!),"")</f>
        <v/>
      </c>
      <c r="T259" t="str">
        <f>IFERROR(IF(OR(HLOOKUP($A259,#REF!,18,FALSE)&gt;2,HLOOKUP($A259,#REF!,18,FALSE)&lt;-2),"",#REF!),"")</f>
        <v/>
      </c>
      <c r="U259" t="str">
        <f>IFERROR(IF(OR(HLOOKUP($A259,#REF!,19,FALSE)&gt;2,HLOOKUP($A259,#REF!,19,FALSE)&lt;-2),"",#REF!),"")</f>
        <v/>
      </c>
      <c r="V259">
        <f t="shared" si="12"/>
        <v>1</v>
      </c>
      <c r="W259" t="str">
        <f t="shared" si="13"/>
        <v/>
      </c>
      <c r="X259" t="str">
        <f t="shared" si="14"/>
        <v/>
      </c>
      <c r="Y259" t="str">
        <f t="shared" si="15"/>
        <v/>
      </c>
    </row>
    <row r="260" spans="1:25" x14ac:dyDescent="0.35">
      <c r="A260">
        <v>264</v>
      </c>
      <c r="B260" t="s">
        <v>716</v>
      </c>
      <c r="C260">
        <v>20900</v>
      </c>
      <c r="D260">
        <v>714</v>
      </c>
      <c r="E260" t="str">
        <f>IFERROR(IF(OR(HLOOKUP($A260,#REF!,3,FALSE)&gt;2,HLOOKUP(A260,#REF!,3,FALSE)&lt;-2),"",#REF!),"")</f>
        <v/>
      </c>
      <c r="F260" t="str">
        <f>IFERROR(IF(OR(HLOOKUP($A260,#REF!,4,FALSE)&gt;2,HLOOKUP($A260,#REF!,4,FALSE)&lt;-2),"",#REF!),"")</f>
        <v/>
      </c>
      <c r="G260" t="str">
        <f>IFERROR(IF(OR(HLOOKUP($A260,#REF!,5,FALSE)&gt;2,HLOOKUP($A260,#REF!,5,FALSE)&lt;-2),"",#REF!),"")</f>
        <v/>
      </c>
      <c r="H260" t="str">
        <f>IFERROR(IF(OR(HLOOKUP($A260,#REF!,6,FALSE)&gt;2,HLOOKUP($A260,#REF!,6,FALSE)&lt;-2),"",#REF!),"")</f>
        <v/>
      </c>
      <c r="I260" t="str">
        <f>IFERROR(IF(OR(HLOOKUP($A260,#REF!,7,FALSE)&gt;2,HLOOKUP($A260,#REF!,7,FALSE)&lt;-2),"",#REF!),"")</f>
        <v/>
      </c>
      <c r="J260" t="str">
        <f>IFERROR(IF(OR(HLOOKUP($A260,#REF!,8,FALSE)&gt;2,HLOOKUP($A260,#REF!,8,FALSE)&lt;-2),"",#REF!),"")</f>
        <v/>
      </c>
      <c r="K260" t="str">
        <f>IFERROR(IF(OR(HLOOKUP($A260,#REF!,9,FALSE)&gt;2,HLOOKUP($A260,#REF!,9,FALSE)&lt;-2),"",#REF!),"")</f>
        <v/>
      </c>
      <c r="L260" t="str">
        <f>IFERROR(IF(OR(HLOOKUP($A260,#REF!,10,FALSE)&gt;2,HLOOKUP($A260,#REF!,10,FALSE)&lt;-2),"",#REF!),"")</f>
        <v/>
      </c>
      <c r="M260" t="str">
        <f>IFERROR(IF(OR(HLOOKUP($A260,#REF!,11,FALSE)&gt;2,HLOOKUP($A260,#REF!,11,FALSE)&lt;-2),"",#REF!),"")</f>
        <v/>
      </c>
      <c r="N260" t="str">
        <f>IFERROR(IF(OR(HLOOKUP($A260,#REF!,12,FALSE)&gt;2,HLOOKUP($A260,#REF!,12,FALSE)&lt;-2),"",#REF!),"")</f>
        <v/>
      </c>
      <c r="O260" t="str">
        <f>IFERROR(IF(OR(HLOOKUP($A260,#REF!,13,FALSE)&gt;2,HLOOKUP($A260,#REF!,13,FALSE)&lt;-2),"",#REF!),"")</f>
        <v/>
      </c>
      <c r="P260" t="str">
        <f>IFERROR(IF(OR(HLOOKUP($A260,#REF!,14,FALSE)&gt;2,HLOOKUP($A260,#REF!,14,FALSE)&lt;-2),"",#REF!),"")</f>
        <v/>
      </c>
      <c r="Q260" t="str">
        <f>IFERROR(IF(OR(HLOOKUP($A260,#REF!,15,FALSE)&gt;2,HLOOKUP($A260,#REF!,15,FALSE)&lt;-2),"",#REF!),"")</f>
        <v/>
      </c>
      <c r="R260" t="str">
        <f>IFERROR(IF(OR(HLOOKUP($A260,#REF!,16,FALSE)&gt;2,HLOOKUP($A260,#REF!,16,FALSE)&lt;-2),"",#REF!),"")</f>
        <v/>
      </c>
      <c r="S260" t="str">
        <f>IFERROR(IF(OR(HLOOKUP($A260,#REF!,17,FALSE)&gt;2,HLOOKUP($A260,#REF!,17,FALSE)&lt;-2),"",#REF!),"")</f>
        <v/>
      </c>
      <c r="T260" t="str">
        <f>IFERROR(IF(OR(HLOOKUP($A260,#REF!,18,FALSE)&gt;2,HLOOKUP($A260,#REF!,18,FALSE)&lt;-2),"",#REF!),"")</f>
        <v/>
      </c>
      <c r="U260" t="str">
        <f>IFERROR(IF(OR(HLOOKUP($A260,#REF!,19,FALSE)&gt;2,HLOOKUP($A260,#REF!,19,FALSE)&lt;-2),"",#REF!),"")</f>
        <v/>
      </c>
      <c r="V260">
        <f t="shared" ref="V260:V323" si="16">IFERROR(IF(AND(X260=0,Y260=0),0,1),0)</f>
        <v>1</v>
      </c>
      <c r="W260" t="str">
        <f t="shared" ref="W260:W323" si="17">IFERROR(_xlfn.T.TEST(E260:M260,N260:U260,2,2),"")</f>
        <v/>
      </c>
      <c r="X260" t="str">
        <f t="shared" ref="X260:X323" si="18">IFERROR(AVERAGE(E260:M260),"")</f>
        <v/>
      </c>
      <c r="Y260" t="str">
        <f t="shared" ref="Y260:Y323" si="19">IFERROR(AVERAGE(N260:U260),"")</f>
        <v/>
      </c>
    </row>
    <row r="261" spans="1:25" x14ac:dyDescent="0.35">
      <c r="A261">
        <v>266</v>
      </c>
      <c r="B261" t="s">
        <v>147</v>
      </c>
      <c r="C261">
        <v>49700</v>
      </c>
      <c r="D261">
        <v>242</v>
      </c>
      <c r="E261" t="str">
        <f>IFERROR(IF(OR(HLOOKUP($A261,#REF!,3,FALSE)&gt;2,HLOOKUP(A261,#REF!,3,FALSE)&lt;-2),"",#REF!),"")</f>
        <v/>
      </c>
      <c r="F261" t="str">
        <f>IFERROR(IF(OR(HLOOKUP($A261,#REF!,4,FALSE)&gt;2,HLOOKUP($A261,#REF!,4,FALSE)&lt;-2),"",#REF!),"")</f>
        <v/>
      </c>
      <c r="G261" t="str">
        <f>IFERROR(IF(OR(HLOOKUP($A261,#REF!,5,FALSE)&gt;2,HLOOKUP($A261,#REF!,5,FALSE)&lt;-2),"",#REF!),"")</f>
        <v/>
      </c>
      <c r="H261" t="str">
        <f>IFERROR(IF(OR(HLOOKUP($A261,#REF!,6,FALSE)&gt;2,HLOOKUP($A261,#REF!,6,FALSE)&lt;-2),"",#REF!),"")</f>
        <v/>
      </c>
      <c r="I261" t="str">
        <f>IFERROR(IF(OR(HLOOKUP($A261,#REF!,7,FALSE)&gt;2,HLOOKUP($A261,#REF!,7,FALSE)&lt;-2),"",#REF!),"")</f>
        <v/>
      </c>
      <c r="J261" t="str">
        <f>IFERROR(IF(OR(HLOOKUP($A261,#REF!,8,FALSE)&gt;2,HLOOKUP($A261,#REF!,8,FALSE)&lt;-2),"",#REF!),"")</f>
        <v/>
      </c>
      <c r="K261" t="str">
        <f>IFERROR(IF(OR(HLOOKUP($A261,#REF!,9,FALSE)&gt;2,HLOOKUP($A261,#REF!,9,FALSE)&lt;-2),"",#REF!),"")</f>
        <v/>
      </c>
      <c r="L261" t="str">
        <f>IFERROR(IF(OR(HLOOKUP($A261,#REF!,10,FALSE)&gt;2,HLOOKUP($A261,#REF!,10,FALSE)&lt;-2),"",#REF!),"")</f>
        <v/>
      </c>
      <c r="M261" t="str">
        <f>IFERROR(IF(OR(HLOOKUP($A261,#REF!,11,FALSE)&gt;2,HLOOKUP($A261,#REF!,11,FALSE)&lt;-2),"",#REF!),"")</f>
        <v/>
      </c>
      <c r="N261" t="str">
        <f>IFERROR(IF(OR(HLOOKUP($A261,#REF!,12,FALSE)&gt;2,HLOOKUP($A261,#REF!,12,FALSE)&lt;-2),"",#REF!),"")</f>
        <v/>
      </c>
      <c r="O261" t="str">
        <f>IFERROR(IF(OR(HLOOKUP($A261,#REF!,13,FALSE)&gt;2,HLOOKUP($A261,#REF!,13,FALSE)&lt;-2),"",#REF!),"")</f>
        <v/>
      </c>
      <c r="P261" t="str">
        <f>IFERROR(IF(OR(HLOOKUP($A261,#REF!,14,FALSE)&gt;2,HLOOKUP($A261,#REF!,14,FALSE)&lt;-2),"",#REF!),"")</f>
        <v/>
      </c>
      <c r="Q261" t="str">
        <f>IFERROR(IF(OR(HLOOKUP($A261,#REF!,15,FALSE)&gt;2,HLOOKUP($A261,#REF!,15,FALSE)&lt;-2),"",#REF!),"")</f>
        <v/>
      </c>
      <c r="R261" t="str">
        <f>IFERROR(IF(OR(HLOOKUP($A261,#REF!,16,FALSE)&gt;2,HLOOKUP($A261,#REF!,16,FALSE)&lt;-2),"",#REF!),"")</f>
        <v/>
      </c>
      <c r="S261" t="str">
        <f>IFERROR(IF(OR(HLOOKUP($A261,#REF!,17,FALSE)&gt;2,HLOOKUP($A261,#REF!,17,FALSE)&lt;-2),"",#REF!),"")</f>
        <v/>
      </c>
      <c r="T261" t="str">
        <f>IFERROR(IF(OR(HLOOKUP($A261,#REF!,18,FALSE)&gt;2,HLOOKUP($A261,#REF!,18,FALSE)&lt;-2),"",#REF!),"")</f>
        <v/>
      </c>
      <c r="U261" t="str">
        <f>IFERROR(IF(OR(HLOOKUP($A261,#REF!,19,FALSE)&gt;2,HLOOKUP($A261,#REF!,19,FALSE)&lt;-2),"",#REF!),"")</f>
        <v/>
      </c>
      <c r="V261">
        <f t="shared" si="16"/>
        <v>1</v>
      </c>
      <c r="W261" t="str">
        <f t="shared" si="17"/>
        <v/>
      </c>
      <c r="X261" t="str">
        <f t="shared" si="18"/>
        <v/>
      </c>
      <c r="Y261" t="str">
        <f t="shared" si="19"/>
        <v/>
      </c>
    </row>
    <row r="262" spans="1:25" x14ac:dyDescent="0.35">
      <c r="A262">
        <v>267</v>
      </c>
      <c r="B262" t="s">
        <v>717</v>
      </c>
      <c r="C262">
        <v>33500</v>
      </c>
      <c r="D262">
        <v>814</v>
      </c>
      <c r="E262" t="str">
        <f>IFERROR(IF(OR(HLOOKUP($A262,#REF!,3,FALSE)&gt;2,HLOOKUP(A262,#REF!,3,FALSE)&lt;-2),"",#REF!),"")</f>
        <v/>
      </c>
      <c r="F262" t="str">
        <f>IFERROR(IF(OR(HLOOKUP($A262,#REF!,4,FALSE)&gt;2,HLOOKUP($A262,#REF!,4,FALSE)&lt;-2),"",#REF!),"")</f>
        <v/>
      </c>
      <c r="G262" t="str">
        <f>IFERROR(IF(OR(HLOOKUP($A262,#REF!,5,FALSE)&gt;2,HLOOKUP($A262,#REF!,5,FALSE)&lt;-2),"",#REF!),"")</f>
        <v/>
      </c>
      <c r="H262" t="str">
        <f>IFERROR(IF(OR(HLOOKUP($A262,#REF!,6,FALSE)&gt;2,HLOOKUP($A262,#REF!,6,FALSE)&lt;-2),"",#REF!),"")</f>
        <v/>
      </c>
      <c r="I262" t="str">
        <f>IFERROR(IF(OR(HLOOKUP($A262,#REF!,7,FALSE)&gt;2,HLOOKUP($A262,#REF!,7,FALSE)&lt;-2),"",#REF!),"")</f>
        <v/>
      </c>
      <c r="J262" t="str">
        <f>IFERROR(IF(OR(HLOOKUP($A262,#REF!,8,FALSE)&gt;2,HLOOKUP($A262,#REF!,8,FALSE)&lt;-2),"",#REF!),"")</f>
        <v/>
      </c>
      <c r="K262" t="str">
        <f>IFERROR(IF(OR(HLOOKUP($A262,#REF!,9,FALSE)&gt;2,HLOOKUP($A262,#REF!,9,FALSE)&lt;-2),"",#REF!),"")</f>
        <v/>
      </c>
      <c r="L262" t="str">
        <f>IFERROR(IF(OR(HLOOKUP($A262,#REF!,10,FALSE)&gt;2,HLOOKUP($A262,#REF!,10,FALSE)&lt;-2),"",#REF!),"")</f>
        <v/>
      </c>
      <c r="M262" t="str">
        <f>IFERROR(IF(OR(HLOOKUP($A262,#REF!,11,FALSE)&gt;2,HLOOKUP($A262,#REF!,11,FALSE)&lt;-2),"",#REF!),"")</f>
        <v/>
      </c>
      <c r="N262" t="str">
        <f>IFERROR(IF(OR(HLOOKUP($A262,#REF!,12,FALSE)&gt;2,HLOOKUP($A262,#REF!,12,FALSE)&lt;-2),"",#REF!),"")</f>
        <v/>
      </c>
      <c r="O262" t="str">
        <f>IFERROR(IF(OR(HLOOKUP($A262,#REF!,13,FALSE)&gt;2,HLOOKUP($A262,#REF!,13,FALSE)&lt;-2),"",#REF!),"")</f>
        <v/>
      </c>
      <c r="P262" t="str">
        <f>IFERROR(IF(OR(HLOOKUP($A262,#REF!,14,FALSE)&gt;2,HLOOKUP($A262,#REF!,14,FALSE)&lt;-2),"",#REF!),"")</f>
        <v/>
      </c>
      <c r="Q262" t="str">
        <f>IFERROR(IF(OR(HLOOKUP($A262,#REF!,15,FALSE)&gt;2,HLOOKUP($A262,#REF!,15,FALSE)&lt;-2),"",#REF!),"")</f>
        <v/>
      </c>
      <c r="R262" t="str">
        <f>IFERROR(IF(OR(HLOOKUP($A262,#REF!,16,FALSE)&gt;2,HLOOKUP($A262,#REF!,16,FALSE)&lt;-2),"",#REF!),"")</f>
        <v/>
      </c>
      <c r="S262" t="str">
        <f>IFERROR(IF(OR(HLOOKUP($A262,#REF!,17,FALSE)&gt;2,HLOOKUP($A262,#REF!,17,FALSE)&lt;-2),"",#REF!),"")</f>
        <v/>
      </c>
      <c r="T262" t="str">
        <f>IFERROR(IF(OR(HLOOKUP($A262,#REF!,18,FALSE)&gt;2,HLOOKUP($A262,#REF!,18,FALSE)&lt;-2),"",#REF!),"")</f>
        <v/>
      </c>
      <c r="U262" t="str">
        <f>IFERROR(IF(OR(HLOOKUP($A262,#REF!,19,FALSE)&gt;2,HLOOKUP($A262,#REF!,19,FALSE)&lt;-2),"",#REF!),"")</f>
        <v/>
      </c>
      <c r="V262">
        <f t="shared" si="16"/>
        <v>1</v>
      </c>
      <c r="W262" t="str">
        <f t="shared" si="17"/>
        <v/>
      </c>
      <c r="X262" t="str">
        <f t="shared" si="18"/>
        <v/>
      </c>
      <c r="Y262" t="str">
        <f t="shared" si="19"/>
        <v/>
      </c>
    </row>
    <row r="263" spans="1:25" x14ac:dyDescent="0.35">
      <c r="A263">
        <v>268</v>
      </c>
      <c r="B263" t="s">
        <v>718</v>
      </c>
      <c r="C263">
        <v>34400</v>
      </c>
      <c r="D263">
        <v>619</v>
      </c>
      <c r="E263" t="str">
        <f>IFERROR(IF(OR(HLOOKUP($A263,#REF!,3,FALSE)&gt;2,HLOOKUP(A263,#REF!,3,FALSE)&lt;-2),"",#REF!),"")</f>
        <v/>
      </c>
      <c r="F263" t="str">
        <f>IFERROR(IF(OR(HLOOKUP($A263,#REF!,4,FALSE)&gt;2,HLOOKUP($A263,#REF!,4,FALSE)&lt;-2),"",#REF!),"")</f>
        <v/>
      </c>
      <c r="G263" t="str">
        <f>IFERROR(IF(OR(HLOOKUP($A263,#REF!,5,FALSE)&gt;2,HLOOKUP($A263,#REF!,5,FALSE)&lt;-2),"",#REF!),"")</f>
        <v/>
      </c>
      <c r="H263" t="str">
        <f>IFERROR(IF(OR(HLOOKUP($A263,#REF!,6,FALSE)&gt;2,HLOOKUP($A263,#REF!,6,FALSE)&lt;-2),"",#REF!),"")</f>
        <v/>
      </c>
      <c r="I263" t="str">
        <f>IFERROR(IF(OR(HLOOKUP($A263,#REF!,7,FALSE)&gt;2,HLOOKUP($A263,#REF!,7,FALSE)&lt;-2),"",#REF!),"")</f>
        <v/>
      </c>
      <c r="J263" t="str">
        <f>IFERROR(IF(OR(HLOOKUP($A263,#REF!,8,FALSE)&gt;2,HLOOKUP($A263,#REF!,8,FALSE)&lt;-2),"",#REF!),"")</f>
        <v/>
      </c>
      <c r="K263" t="str">
        <f>IFERROR(IF(OR(HLOOKUP($A263,#REF!,9,FALSE)&gt;2,HLOOKUP($A263,#REF!,9,FALSE)&lt;-2),"",#REF!),"")</f>
        <v/>
      </c>
      <c r="L263" t="str">
        <f>IFERROR(IF(OR(HLOOKUP($A263,#REF!,10,FALSE)&gt;2,HLOOKUP($A263,#REF!,10,FALSE)&lt;-2),"",#REF!),"")</f>
        <v/>
      </c>
      <c r="M263" t="str">
        <f>IFERROR(IF(OR(HLOOKUP($A263,#REF!,11,FALSE)&gt;2,HLOOKUP($A263,#REF!,11,FALSE)&lt;-2),"",#REF!),"")</f>
        <v/>
      </c>
      <c r="N263" t="str">
        <f>IFERROR(IF(OR(HLOOKUP($A263,#REF!,12,FALSE)&gt;2,HLOOKUP($A263,#REF!,12,FALSE)&lt;-2),"",#REF!),"")</f>
        <v/>
      </c>
      <c r="O263" t="str">
        <f>IFERROR(IF(OR(HLOOKUP($A263,#REF!,13,FALSE)&gt;2,HLOOKUP($A263,#REF!,13,FALSE)&lt;-2),"",#REF!),"")</f>
        <v/>
      </c>
      <c r="P263" t="str">
        <f>IFERROR(IF(OR(HLOOKUP($A263,#REF!,14,FALSE)&gt;2,HLOOKUP($A263,#REF!,14,FALSE)&lt;-2),"",#REF!),"")</f>
        <v/>
      </c>
      <c r="Q263" t="str">
        <f>IFERROR(IF(OR(HLOOKUP($A263,#REF!,15,FALSE)&gt;2,HLOOKUP($A263,#REF!,15,FALSE)&lt;-2),"",#REF!),"")</f>
        <v/>
      </c>
      <c r="R263" t="str">
        <f>IFERROR(IF(OR(HLOOKUP($A263,#REF!,16,FALSE)&gt;2,HLOOKUP($A263,#REF!,16,FALSE)&lt;-2),"",#REF!),"")</f>
        <v/>
      </c>
      <c r="S263" t="str">
        <f>IFERROR(IF(OR(HLOOKUP($A263,#REF!,17,FALSE)&gt;2,HLOOKUP($A263,#REF!,17,FALSE)&lt;-2),"",#REF!),"")</f>
        <v/>
      </c>
      <c r="T263" t="str">
        <f>IFERROR(IF(OR(HLOOKUP($A263,#REF!,18,FALSE)&gt;2,HLOOKUP($A263,#REF!,18,FALSE)&lt;-2),"",#REF!),"")</f>
        <v/>
      </c>
      <c r="U263" t="str">
        <f>IFERROR(IF(OR(HLOOKUP($A263,#REF!,19,FALSE)&gt;2,HLOOKUP($A263,#REF!,19,FALSE)&lt;-2),"",#REF!),"")</f>
        <v/>
      </c>
      <c r="V263">
        <f t="shared" si="16"/>
        <v>1</v>
      </c>
      <c r="W263" t="str">
        <f t="shared" si="17"/>
        <v/>
      </c>
      <c r="X263" t="str">
        <f t="shared" si="18"/>
        <v/>
      </c>
      <c r="Y263" t="str">
        <f t="shared" si="19"/>
        <v/>
      </c>
    </row>
    <row r="264" spans="1:25" x14ac:dyDescent="0.35">
      <c r="A264">
        <v>269</v>
      </c>
      <c r="B264" t="s">
        <v>148</v>
      </c>
      <c r="C264">
        <v>17100</v>
      </c>
      <c r="D264">
        <v>425</v>
      </c>
      <c r="E264" t="str">
        <f>IFERROR(IF(OR(HLOOKUP($A264,#REF!,3,FALSE)&gt;2,HLOOKUP(A264,#REF!,3,FALSE)&lt;-2),"",#REF!),"")</f>
        <v/>
      </c>
      <c r="F264" t="str">
        <f>IFERROR(IF(OR(HLOOKUP($A264,#REF!,4,FALSE)&gt;2,HLOOKUP($A264,#REF!,4,FALSE)&lt;-2),"",#REF!),"")</f>
        <v/>
      </c>
      <c r="G264" t="str">
        <f>IFERROR(IF(OR(HLOOKUP($A264,#REF!,5,FALSE)&gt;2,HLOOKUP($A264,#REF!,5,FALSE)&lt;-2),"",#REF!),"")</f>
        <v/>
      </c>
      <c r="H264" t="str">
        <f>IFERROR(IF(OR(HLOOKUP($A264,#REF!,6,FALSE)&gt;2,HLOOKUP($A264,#REF!,6,FALSE)&lt;-2),"",#REF!),"")</f>
        <v/>
      </c>
      <c r="I264" t="str">
        <f>IFERROR(IF(OR(HLOOKUP($A264,#REF!,7,FALSE)&gt;2,HLOOKUP($A264,#REF!,7,FALSE)&lt;-2),"",#REF!),"")</f>
        <v/>
      </c>
      <c r="J264" t="str">
        <f>IFERROR(IF(OR(HLOOKUP($A264,#REF!,8,FALSE)&gt;2,HLOOKUP($A264,#REF!,8,FALSE)&lt;-2),"",#REF!),"")</f>
        <v/>
      </c>
      <c r="K264" t="str">
        <f>IFERROR(IF(OR(HLOOKUP($A264,#REF!,9,FALSE)&gt;2,HLOOKUP($A264,#REF!,9,FALSE)&lt;-2),"",#REF!),"")</f>
        <v/>
      </c>
      <c r="L264" t="str">
        <f>IFERROR(IF(OR(HLOOKUP($A264,#REF!,10,FALSE)&gt;2,HLOOKUP($A264,#REF!,10,FALSE)&lt;-2),"",#REF!),"")</f>
        <v/>
      </c>
      <c r="M264" t="str">
        <f>IFERROR(IF(OR(HLOOKUP($A264,#REF!,11,FALSE)&gt;2,HLOOKUP($A264,#REF!,11,FALSE)&lt;-2),"",#REF!),"")</f>
        <v/>
      </c>
      <c r="N264" t="str">
        <f>IFERROR(IF(OR(HLOOKUP($A264,#REF!,12,FALSE)&gt;2,HLOOKUP($A264,#REF!,12,FALSE)&lt;-2),"",#REF!),"")</f>
        <v/>
      </c>
      <c r="O264" t="str">
        <f>IFERROR(IF(OR(HLOOKUP($A264,#REF!,13,FALSE)&gt;2,HLOOKUP($A264,#REF!,13,FALSE)&lt;-2),"",#REF!),"")</f>
        <v/>
      </c>
      <c r="P264" t="str">
        <f>IFERROR(IF(OR(HLOOKUP($A264,#REF!,14,FALSE)&gt;2,HLOOKUP($A264,#REF!,14,FALSE)&lt;-2),"",#REF!),"")</f>
        <v/>
      </c>
      <c r="Q264" t="str">
        <f>IFERROR(IF(OR(HLOOKUP($A264,#REF!,15,FALSE)&gt;2,HLOOKUP($A264,#REF!,15,FALSE)&lt;-2),"",#REF!),"")</f>
        <v/>
      </c>
      <c r="R264" t="str">
        <f>IFERROR(IF(OR(HLOOKUP($A264,#REF!,16,FALSE)&gt;2,HLOOKUP($A264,#REF!,16,FALSE)&lt;-2),"",#REF!),"")</f>
        <v/>
      </c>
      <c r="S264" t="str">
        <f>IFERROR(IF(OR(HLOOKUP($A264,#REF!,17,FALSE)&gt;2,HLOOKUP($A264,#REF!,17,FALSE)&lt;-2),"",#REF!),"")</f>
        <v/>
      </c>
      <c r="T264" t="str">
        <f>IFERROR(IF(OR(HLOOKUP($A264,#REF!,18,FALSE)&gt;2,HLOOKUP($A264,#REF!,18,FALSE)&lt;-2),"",#REF!),"")</f>
        <v/>
      </c>
      <c r="U264" t="str">
        <f>IFERROR(IF(OR(HLOOKUP($A264,#REF!,19,FALSE)&gt;2,HLOOKUP($A264,#REF!,19,FALSE)&lt;-2),"",#REF!),"")</f>
        <v/>
      </c>
      <c r="V264">
        <f t="shared" si="16"/>
        <v>1</v>
      </c>
      <c r="W264" t="str">
        <f t="shared" si="17"/>
        <v/>
      </c>
      <c r="X264" t="str">
        <f t="shared" si="18"/>
        <v/>
      </c>
      <c r="Y264" t="str">
        <f t="shared" si="19"/>
        <v/>
      </c>
    </row>
    <row r="265" spans="1:25" x14ac:dyDescent="0.35">
      <c r="A265">
        <v>270</v>
      </c>
      <c r="B265" t="s">
        <v>719</v>
      </c>
      <c r="C265">
        <v>103600</v>
      </c>
      <c r="D265">
        <v>871</v>
      </c>
      <c r="E265" t="str">
        <f>IFERROR(IF(OR(HLOOKUP($A265,#REF!,3,FALSE)&gt;2,HLOOKUP(A265,#REF!,3,FALSE)&lt;-2),"",#REF!),"")</f>
        <v/>
      </c>
      <c r="F265" t="str">
        <f>IFERROR(IF(OR(HLOOKUP($A265,#REF!,4,FALSE)&gt;2,HLOOKUP($A265,#REF!,4,FALSE)&lt;-2),"",#REF!),"")</f>
        <v/>
      </c>
      <c r="G265" t="str">
        <f>IFERROR(IF(OR(HLOOKUP($A265,#REF!,5,FALSE)&gt;2,HLOOKUP($A265,#REF!,5,FALSE)&lt;-2),"",#REF!),"")</f>
        <v/>
      </c>
      <c r="H265" t="str">
        <f>IFERROR(IF(OR(HLOOKUP($A265,#REF!,6,FALSE)&gt;2,HLOOKUP($A265,#REF!,6,FALSE)&lt;-2),"",#REF!),"")</f>
        <v/>
      </c>
      <c r="I265" t="str">
        <f>IFERROR(IF(OR(HLOOKUP($A265,#REF!,7,FALSE)&gt;2,HLOOKUP($A265,#REF!,7,FALSE)&lt;-2),"",#REF!),"")</f>
        <v/>
      </c>
      <c r="J265" t="str">
        <f>IFERROR(IF(OR(HLOOKUP($A265,#REF!,8,FALSE)&gt;2,HLOOKUP($A265,#REF!,8,FALSE)&lt;-2),"",#REF!),"")</f>
        <v/>
      </c>
      <c r="K265" t="str">
        <f>IFERROR(IF(OR(HLOOKUP($A265,#REF!,9,FALSE)&gt;2,HLOOKUP($A265,#REF!,9,FALSE)&lt;-2),"",#REF!),"")</f>
        <v/>
      </c>
      <c r="L265" t="str">
        <f>IFERROR(IF(OR(HLOOKUP($A265,#REF!,10,FALSE)&gt;2,HLOOKUP($A265,#REF!,10,FALSE)&lt;-2),"",#REF!),"")</f>
        <v/>
      </c>
      <c r="M265" t="str">
        <f>IFERROR(IF(OR(HLOOKUP($A265,#REF!,11,FALSE)&gt;2,HLOOKUP($A265,#REF!,11,FALSE)&lt;-2),"",#REF!),"")</f>
        <v/>
      </c>
      <c r="N265" t="str">
        <f>IFERROR(IF(OR(HLOOKUP($A265,#REF!,12,FALSE)&gt;2,HLOOKUP($A265,#REF!,12,FALSE)&lt;-2),"",#REF!),"")</f>
        <v/>
      </c>
      <c r="O265" t="str">
        <f>IFERROR(IF(OR(HLOOKUP($A265,#REF!,13,FALSE)&gt;2,HLOOKUP($A265,#REF!,13,FALSE)&lt;-2),"",#REF!),"")</f>
        <v/>
      </c>
      <c r="P265" t="str">
        <f>IFERROR(IF(OR(HLOOKUP($A265,#REF!,14,FALSE)&gt;2,HLOOKUP($A265,#REF!,14,FALSE)&lt;-2),"",#REF!),"")</f>
        <v/>
      </c>
      <c r="Q265" t="str">
        <f>IFERROR(IF(OR(HLOOKUP($A265,#REF!,15,FALSE)&gt;2,HLOOKUP($A265,#REF!,15,FALSE)&lt;-2),"",#REF!),"")</f>
        <v/>
      </c>
      <c r="R265" t="str">
        <f>IFERROR(IF(OR(HLOOKUP($A265,#REF!,16,FALSE)&gt;2,HLOOKUP($A265,#REF!,16,FALSE)&lt;-2),"",#REF!),"")</f>
        <v/>
      </c>
      <c r="S265" t="str">
        <f>IFERROR(IF(OR(HLOOKUP($A265,#REF!,17,FALSE)&gt;2,HLOOKUP($A265,#REF!,17,FALSE)&lt;-2),"",#REF!),"")</f>
        <v/>
      </c>
      <c r="T265" t="str">
        <f>IFERROR(IF(OR(HLOOKUP($A265,#REF!,18,FALSE)&gt;2,HLOOKUP($A265,#REF!,18,FALSE)&lt;-2),"",#REF!),"")</f>
        <v/>
      </c>
      <c r="U265" t="str">
        <f>IFERROR(IF(OR(HLOOKUP($A265,#REF!,19,FALSE)&gt;2,HLOOKUP($A265,#REF!,19,FALSE)&lt;-2),"",#REF!),"")</f>
        <v/>
      </c>
      <c r="V265">
        <f t="shared" si="16"/>
        <v>1</v>
      </c>
      <c r="W265" t="str">
        <f t="shared" si="17"/>
        <v/>
      </c>
      <c r="X265" t="str">
        <f t="shared" si="18"/>
        <v/>
      </c>
      <c r="Y265" t="str">
        <f t="shared" si="19"/>
        <v/>
      </c>
    </row>
    <row r="266" spans="1:25" x14ac:dyDescent="0.35">
      <c r="A266">
        <v>271</v>
      </c>
      <c r="B266" t="s">
        <v>149</v>
      </c>
      <c r="C266">
        <v>79600</v>
      </c>
      <c r="D266">
        <v>339</v>
      </c>
      <c r="E266" t="str">
        <f>IFERROR(IF(OR(HLOOKUP($A266,#REF!,3,FALSE)&gt;2,HLOOKUP(A266,#REF!,3,FALSE)&lt;-2),"",#REF!),"")</f>
        <v/>
      </c>
      <c r="F266" t="str">
        <f>IFERROR(IF(OR(HLOOKUP($A266,#REF!,4,FALSE)&gt;2,HLOOKUP($A266,#REF!,4,FALSE)&lt;-2),"",#REF!),"")</f>
        <v/>
      </c>
      <c r="G266" t="str">
        <f>IFERROR(IF(OR(HLOOKUP($A266,#REF!,5,FALSE)&gt;2,HLOOKUP($A266,#REF!,5,FALSE)&lt;-2),"",#REF!),"")</f>
        <v/>
      </c>
      <c r="H266" t="str">
        <f>IFERROR(IF(OR(HLOOKUP($A266,#REF!,6,FALSE)&gt;2,HLOOKUP($A266,#REF!,6,FALSE)&lt;-2),"",#REF!),"")</f>
        <v/>
      </c>
      <c r="I266" t="str">
        <f>IFERROR(IF(OR(HLOOKUP($A266,#REF!,7,FALSE)&gt;2,HLOOKUP($A266,#REF!,7,FALSE)&lt;-2),"",#REF!),"")</f>
        <v/>
      </c>
      <c r="J266" t="str">
        <f>IFERROR(IF(OR(HLOOKUP($A266,#REF!,8,FALSE)&gt;2,HLOOKUP($A266,#REF!,8,FALSE)&lt;-2),"",#REF!),"")</f>
        <v/>
      </c>
      <c r="K266" t="str">
        <f>IFERROR(IF(OR(HLOOKUP($A266,#REF!,9,FALSE)&gt;2,HLOOKUP($A266,#REF!,9,FALSE)&lt;-2),"",#REF!),"")</f>
        <v/>
      </c>
      <c r="L266" t="str">
        <f>IFERROR(IF(OR(HLOOKUP($A266,#REF!,10,FALSE)&gt;2,HLOOKUP($A266,#REF!,10,FALSE)&lt;-2),"",#REF!),"")</f>
        <v/>
      </c>
      <c r="M266" t="str">
        <f>IFERROR(IF(OR(HLOOKUP($A266,#REF!,11,FALSE)&gt;2,HLOOKUP($A266,#REF!,11,FALSE)&lt;-2),"",#REF!),"")</f>
        <v/>
      </c>
      <c r="N266" t="str">
        <f>IFERROR(IF(OR(HLOOKUP($A266,#REF!,12,FALSE)&gt;2,HLOOKUP($A266,#REF!,12,FALSE)&lt;-2),"",#REF!),"")</f>
        <v/>
      </c>
      <c r="O266" t="str">
        <f>IFERROR(IF(OR(HLOOKUP($A266,#REF!,13,FALSE)&gt;2,HLOOKUP($A266,#REF!,13,FALSE)&lt;-2),"",#REF!),"")</f>
        <v/>
      </c>
      <c r="P266" t="str">
        <f>IFERROR(IF(OR(HLOOKUP($A266,#REF!,14,FALSE)&gt;2,HLOOKUP($A266,#REF!,14,FALSE)&lt;-2),"",#REF!),"")</f>
        <v/>
      </c>
      <c r="Q266" t="str">
        <f>IFERROR(IF(OR(HLOOKUP($A266,#REF!,15,FALSE)&gt;2,HLOOKUP($A266,#REF!,15,FALSE)&lt;-2),"",#REF!),"")</f>
        <v/>
      </c>
      <c r="R266" t="str">
        <f>IFERROR(IF(OR(HLOOKUP($A266,#REF!,16,FALSE)&gt;2,HLOOKUP($A266,#REF!,16,FALSE)&lt;-2),"",#REF!),"")</f>
        <v/>
      </c>
      <c r="S266" t="str">
        <f>IFERROR(IF(OR(HLOOKUP($A266,#REF!,17,FALSE)&gt;2,HLOOKUP($A266,#REF!,17,FALSE)&lt;-2),"",#REF!),"")</f>
        <v/>
      </c>
      <c r="T266" t="str">
        <f>IFERROR(IF(OR(HLOOKUP($A266,#REF!,18,FALSE)&gt;2,HLOOKUP($A266,#REF!,18,FALSE)&lt;-2),"",#REF!),"")</f>
        <v/>
      </c>
      <c r="U266" t="str">
        <f>IFERROR(IF(OR(HLOOKUP($A266,#REF!,19,FALSE)&gt;2,HLOOKUP($A266,#REF!,19,FALSE)&lt;-2),"",#REF!),"")</f>
        <v/>
      </c>
      <c r="V266">
        <f t="shared" si="16"/>
        <v>1</v>
      </c>
      <c r="W266" t="str">
        <f t="shared" si="17"/>
        <v/>
      </c>
      <c r="X266" t="str">
        <f t="shared" si="18"/>
        <v/>
      </c>
      <c r="Y266" t="str">
        <f t="shared" si="19"/>
        <v/>
      </c>
    </row>
    <row r="267" spans="1:25" x14ac:dyDescent="0.35">
      <c r="A267">
        <v>272</v>
      </c>
      <c r="B267" t="s">
        <v>150</v>
      </c>
      <c r="C267">
        <v>72300</v>
      </c>
      <c r="D267">
        <v>141</v>
      </c>
      <c r="E267" t="str">
        <f>IFERROR(IF(OR(HLOOKUP($A267,#REF!,3,FALSE)&gt;2,HLOOKUP(A267,#REF!,3,FALSE)&lt;-2),"",#REF!),"")</f>
        <v/>
      </c>
      <c r="F267" t="str">
        <f>IFERROR(IF(OR(HLOOKUP($A267,#REF!,4,FALSE)&gt;2,HLOOKUP($A267,#REF!,4,FALSE)&lt;-2),"",#REF!),"")</f>
        <v/>
      </c>
      <c r="G267" t="str">
        <f>IFERROR(IF(OR(HLOOKUP($A267,#REF!,5,FALSE)&gt;2,HLOOKUP($A267,#REF!,5,FALSE)&lt;-2),"",#REF!),"")</f>
        <v/>
      </c>
      <c r="H267" t="str">
        <f>IFERROR(IF(OR(HLOOKUP($A267,#REF!,6,FALSE)&gt;2,HLOOKUP($A267,#REF!,6,FALSE)&lt;-2),"",#REF!),"")</f>
        <v/>
      </c>
      <c r="I267" t="str">
        <f>IFERROR(IF(OR(HLOOKUP($A267,#REF!,7,FALSE)&gt;2,HLOOKUP($A267,#REF!,7,FALSE)&lt;-2),"",#REF!),"")</f>
        <v/>
      </c>
      <c r="J267" t="str">
        <f>IFERROR(IF(OR(HLOOKUP($A267,#REF!,8,FALSE)&gt;2,HLOOKUP($A267,#REF!,8,FALSE)&lt;-2),"",#REF!),"")</f>
        <v/>
      </c>
      <c r="K267" t="str">
        <f>IFERROR(IF(OR(HLOOKUP($A267,#REF!,9,FALSE)&gt;2,HLOOKUP($A267,#REF!,9,FALSE)&lt;-2),"",#REF!),"")</f>
        <v/>
      </c>
      <c r="L267" t="str">
        <f>IFERROR(IF(OR(HLOOKUP($A267,#REF!,10,FALSE)&gt;2,HLOOKUP($A267,#REF!,10,FALSE)&lt;-2),"",#REF!),"")</f>
        <v/>
      </c>
      <c r="M267" t="str">
        <f>IFERROR(IF(OR(HLOOKUP($A267,#REF!,11,FALSE)&gt;2,HLOOKUP($A267,#REF!,11,FALSE)&lt;-2),"",#REF!),"")</f>
        <v/>
      </c>
      <c r="N267" t="str">
        <f>IFERROR(IF(OR(HLOOKUP($A267,#REF!,12,FALSE)&gt;2,HLOOKUP($A267,#REF!,12,FALSE)&lt;-2),"",#REF!),"")</f>
        <v/>
      </c>
      <c r="O267" t="str">
        <f>IFERROR(IF(OR(HLOOKUP($A267,#REF!,13,FALSE)&gt;2,HLOOKUP($A267,#REF!,13,FALSE)&lt;-2),"",#REF!),"")</f>
        <v/>
      </c>
      <c r="P267" t="str">
        <f>IFERROR(IF(OR(HLOOKUP($A267,#REF!,14,FALSE)&gt;2,HLOOKUP($A267,#REF!,14,FALSE)&lt;-2),"",#REF!),"")</f>
        <v/>
      </c>
      <c r="Q267" t="str">
        <f>IFERROR(IF(OR(HLOOKUP($A267,#REF!,15,FALSE)&gt;2,HLOOKUP($A267,#REF!,15,FALSE)&lt;-2),"",#REF!),"")</f>
        <v/>
      </c>
      <c r="R267" t="str">
        <f>IFERROR(IF(OR(HLOOKUP($A267,#REF!,16,FALSE)&gt;2,HLOOKUP($A267,#REF!,16,FALSE)&lt;-2),"",#REF!),"")</f>
        <v/>
      </c>
      <c r="S267" t="str">
        <f>IFERROR(IF(OR(HLOOKUP($A267,#REF!,17,FALSE)&gt;2,HLOOKUP($A267,#REF!,17,FALSE)&lt;-2),"",#REF!),"")</f>
        <v/>
      </c>
      <c r="T267" t="str">
        <f>IFERROR(IF(OR(HLOOKUP($A267,#REF!,18,FALSE)&gt;2,HLOOKUP($A267,#REF!,18,FALSE)&lt;-2),"",#REF!),"")</f>
        <v/>
      </c>
      <c r="U267" t="str">
        <f>IFERROR(IF(OR(HLOOKUP($A267,#REF!,19,FALSE)&gt;2,HLOOKUP($A267,#REF!,19,FALSE)&lt;-2),"",#REF!),"")</f>
        <v/>
      </c>
      <c r="V267">
        <f t="shared" si="16"/>
        <v>1</v>
      </c>
      <c r="W267" t="str">
        <f t="shared" si="17"/>
        <v/>
      </c>
      <c r="X267" t="str">
        <f t="shared" si="18"/>
        <v/>
      </c>
      <c r="Y267" t="str">
        <f t="shared" si="19"/>
        <v/>
      </c>
    </row>
    <row r="268" spans="1:25" x14ac:dyDescent="0.35">
      <c r="A268">
        <v>274</v>
      </c>
      <c r="B268" t="s">
        <v>151</v>
      </c>
      <c r="C268">
        <v>26400</v>
      </c>
      <c r="D268">
        <v>879</v>
      </c>
      <c r="E268" t="str">
        <f>IFERROR(IF(OR(HLOOKUP($A268,#REF!,3,FALSE)&gt;2,HLOOKUP(A268,#REF!,3,FALSE)&lt;-2),"",#REF!),"")</f>
        <v/>
      </c>
      <c r="F268" t="str">
        <f>IFERROR(IF(OR(HLOOKUP($A268,#REF!,4,FALSE)&gt;2,HLOOKUP($A268,#REF!,4,FALSE)&lt;-2),"",#REF!),"")</f>
        <v/>
      </c>
      <c r="G268" t="str">
        <f>IFERROR(IF(OR(HLOOKUP($A268,#REF!,5,FALSE)&gt;2,HLOOKUP($A268,#REF!,5,FALSE)&lt;-2),"",#REF!),"")</f>
        <v/>
      </c>
      <c r="H268" t="str">
        <f>IFERROR(IF(OR(HLOOKUP($A268,#REF!,6,FALSE)&gt;2,HLOOKUP($A268,#REF!,6,FALSE)&lt;-2),"",#REF!),"")</f>
        <v/>
      </c>
      <c r="I268" t="str">
        <f>IFERROR(IF(OR(HLOOKUP($A268,#REF!,7,FALSE)&gt;2,HLOOKUP($A268,#REF!,7,FALSE)&lt;-2),"",#REF!),"")</f>
        <v/>
      </c>
      <c r="J268" t="str">
        <f>IFERROR(IF(OR(HLOOKUP($A268,#REF!,8,FALSE)&gt;2,HLOOKUP($A268,#REF!,8,FALSE)&lt;-2),"",#REF!),"")</f>
        <v/>
      </c>
      <c r="K268" t="str">
        <f>IFERROR(IF(OR(HLOOKUP($A268,#REF!,9,FALSE)&gt;2,HLOOKUP($A268,#REF!,9,FALSE)&lt;-2),"",#REF!),"")</f>
        <v/>
      </c>
      <c r="L268" t="str">
        <f>IFERROR(IF(OR(HLOOKUP($A268,#REF!,10,FALSE)&gt;2,HLOOKUP($A268,#REF!,10,FALSE)&lt;-2),"",#REF!),"")</f>
        <v/>
      </c>
      <c r="M268" t="str">
        <f>IFERROR(IF(OR(HLOOKUP($A268,#REF!,11,FALSE)&gt;2,HLOOKUP($A268,#REF!,11,FALSE)&lt;-2),"",#REF!),"")</f>
        <v/>
      </c>
      <c r="N268" t="str">
        <f>IFERROR(IF(OR(HLOOKUP($A268,#REF!,12,FALSE)&gt;2,HLOOKUP($A268,#REF!,12,FALSE)&lt;-2),"",#REF!),"")</f>
        <v/>
      </c>
      <c r="O268" t="str">
        <f>IFERROR(IF(OR(HLOOKUP($A268,#REF!,13,FALSE)&gt;2,HLOOKUP($A268,#REF!,13,FALSE)&lt;-2),"",#REF!),"")</f>
        <v/>
      </c>
      <c r="P268" t="str">
        <f>IFERROR(IF(OR(HLOOKUP($A268,#REF!,14,FALSE)&gt;2,HLOOKUP($A268,#REF!,14,FALSE)&lt;-2),"",#REF!),"")</f>
        <v/>
      </c>
      <c r="Q268" t="str">
        <f>IFERROR(IF(OR(HLOOKUP($A268,#REF!,15,FALSE)&gt;2,HLOOKUP($A268,#REF!,15,FALSE)&lt;-2),"",#REF!),"")</f>
        <v/>
      </c>
      <c r="R268" t="str">
        <f>IFERROR(IF(OR(HLOOKUP($A268,#REF!,16,FALSE)&gt;2,HLOOKUP($A268,#REF!,16,FALSE)&lt;-2),"",#REF!),"")</f>
        <v/>
      </c>
      <c r="S268" t="str">
        <f>IFERROR(IF(OR(HLOOKUP($A268,#REF!,17,FALSE)&gt;2,HLOOKUP($A268,#REF!,17,FALSE)&lt;-2),"",#REF!),"")</f>
        <v/>
      </c>
      <c r="T268" t="str">
        <f>IFERROR(IF(OR(HLOOKUP($A268,#REF!,18,FALSE)&gt;2,HLOOKUP($A268,#REF!,18,FALSE)&lt;-2),"",#REF!),"")</f>
        <v/>
      </c>
      <c r="U268" t="str">
        <f>IFERROR(IF(OR(HLOOKUP($A268,#REF!,19,FALSE)&gt;2,HLOOKUP($A268,#REF!,19,FALSE)&lt;-2),"",#REF!),"")</f>
        <v/>
      </c>
      <c r="V268">
        <f t="shared" si="16"/>
        <v>1</v>
      </c>
      <c r="W268" t="str">
        <f t="shared" si="17"/>
        <v/>
      </c>
      <c r="X268" t="str">
        <f t="shared" si="18"/>
        <v/>
      </c>
      <c r="Y268" t="str">
        <f t="shared" si="19"/>
        <v/>
      </c>
    </row>
    <row r="269" spans="1:25" x14ac:dyDescent="0.35">
      <c r="A269">
        <v>275</v>
      </c>
      <c r="B269" t="s">
        <v>720</v>
      </c>
      <c r="C269">
        <v>49300</v>
      </c>
      <c r="D269">
        <v>477</v>
      </c>
      <c r="E269" t="str">
        <f>IFERROR(IF(OR(HLOOKUP($A269,#REF!,3,FALSE)&gt;2,HLOOKUP(A269,#REF!,3,FALSE)&lt;-2),"",#REF!),"")</f>
        <v/>
      </c>
      <c r="F269" t="str">
        <f>IFERROR(IF(OR(HLOOKUP($A269,#REF!,4,FALSE)&gt;2,HLOOKUP($A269,#REF!,4,FALSE)&lt;-2),"",#REF!),"")</f>
        <v/>
      </c>
      <c r="G269" t="str">
        <f>IFERROR(IF(OR(HLOOKUP($A269,#REF!,5,FALSE)&gt;2,HLOOKUP($A269,#REF!,5,FALSE)&lt;-2),"",#REF!),"")</f>
        <v/>
      </c>
      <c r="H269" t="str">
        <f>IFERROR(IF(OR(HLOOKUP($A269,#REF!,6,FALSE)&gt;2,HLOOKUP($A269,#REF!,6,FALSE)&lt;-2),"",#REF!),"")</f>
        <v/>
      </c>
      <c r="I269" t="str">
        <f>IFERROR(IF(OR(HLOOKUP($A269,#REF!,7,FALSE)&gt;2,HLOOKUP($A269,#REF!,7,FALSE)&lt;-2),"",#REF!),"")</f>
        <v/>
      </c>
      <c r="J269" t="str">
        <f>IFERROR(IF(OR(HLOOKUP($A269,#REF!,8,FALSE)&gt;2,HLOOKUP($A269,#REF!,8,FALSE)&lt;-2),"",#REF!),"")</f>
        <v/>
      </c>
      <c r="K269" t="str">
        <f>IFERROR(IF(OR(HLOOKUP($A269,#REF!,9,FALSE)&gt;2,HLOOKUP($A269,#REF!,9,FALSE)&lt;-2),"",#REF!),"")</f>
        <v/>
      </c>
      <c r="L269" t="str">
        <f>IFERROR(IF(OR(HLOOKUP($A269,#REF!,10,FALSE)&gt;2,HLOOKUP($A269,#REF!,10,FALSE)&lt;-2),"",#REF!),"")</f>
        <v/>
      </c>
      <c r="M269" t="str">
        <f>IFERROR(IF(OR(HLOOKUP($A269,#REF!,11,FALSE)&gt;2,HLOOKUP($A269,#REF!,11,FALSE)&lt;-2),"",#REF!),"")</f>
        <v/>
      </c>
      <c r="N269" t="str">
        <f>IFERROR(IF(OR(HLOOKUP($A269,#REF!,12,FALSE)&gt;2,HLOOKUP($A269,#REF!,12,FALSE)&lt;-2),"",#REF!),"")</f>
        <v/>
      </c>
      <c r="O269" t="str">
        <f>IFERROR(IF(OR(HLOOKUP($A269,#REF!,13,FALSE)&gt;2,HLOOKUP($A269,#REF!,13,FALSE)&lt;-2),"",#REF!),"")</f>
        <v/>
      </c>
      <c r="P269" t="str">
        <f>IFERROR(IF(OR(HLOOKUP($A269,#REF!,14,FALSE)&gt;2,HLOOKUP($A269,#REF!,14,FALSE)&lt;-2),"",#REF!),"")</f>
        <v/>
      </c>
      <c r="Q269" t="str">
        <f>IFERROR(IF(OR(HLOOKUP($A269,#REF!,15,FALSE)&gt;2,HLOOKUP($A269,#REF!,15,FALSE)&lt;-2),"",#REF!),"")</f>
        <v/>
      </c>
      <c r="R269" t="str">
        <f>IFERROR(IF(OR(HLOOKUP($A269,#REF!,16,FALSE)&gt;2,HLOOKUP($A269,#REF!,16,FALSE)&lt;-2),"",#REF!),"")</f>
        <v/>
      </c>
      <c r="S269" t="str">
        <f>IFERROR(IF(OR(HLOOKUP($A269,#REF!,17,FALSE)&gt;2,HLOOKUP($A269,#REF!,17,FALSE)&lt;-2),"",#REF!),"")</f>
        <v/>
      </c>
      <c r="T269" t="str">
        <f>IFERROR(IF(OR(HLOOKUP($A269,#REF!,18,FALSE)&gt;2,HLOOKUP($A269,#REF!,18,FALSE)&lt;-2),"",#REF!),"")</f>
        <v/>
      </c>
      <c r="U269" t="str">
        <f>IFERROR(IF(OR(HLOOKUP($A269,#REF!,19,FALSE)&gt;2,HLOOKUP($A269,#REF!,19,FALSE)&lt;-2),"",#REF!),"")</f>
        <v/>
      </c>
      <c r="V269">
        <f t="shared" si="16"/>
        <v>1</v>
      </c>
      <c r="W269" t="str">
        <f t="shared" si="17"/>
        <v/>
      </c>
      <c r="X269" t="str">
        <f t="shared" si="18"/>
        <v/>
      </c>
      <c r="Y269" t="str">
        <f t="shared" si="19"/>
        <v/>
      </c>
    </row>
    <row r="270" spans="1:25" x14ac:dyDescent="0.35">
      <c r="A270">
        <v>276</v>
      </c>
      <c r="B270" t="s">
        <v>721</v>
      </c>
      <c r="C270">
        <v>33800</v>
      </c>
      <c r="D270">
        <v>961</v>
      </c>
      <c r="E270" t="str">
        <f>IFERROR(IF(OR(HLOOKUP($A270,#REF!,3,FALSE)&gt;2,HLOOKUP(A270,#REF!,3,FALSE)&lt;-2),"",#REF!),"")</f>
        <v/>
      </c>
      <c r="F270" t="str">
        <f>IFERROR(IF(OR(HLOOKUP($A270,#REF!,4,FALSE)&gt;2,HLOOKUP($A270,#REF!,4,FALSE)&lt;-2),"",#REF!),"")</f>
        <v/>
      </c>
      <c r="G270" t="str">
        <f>IFERROR(IF(OR(HLOOKUP($A270,#REF!,5,FALSE)&gt;2,HLOOKUP($A270,#REF!,5,FALSE)&lt;-2),"",#REF!),"")</f>
        <v/>
      </c>
      <c r="H270" t="str">
        <f>IFERROR(IF(OR(HLOOKUP($A270,#REF!,6,FALSE)&gt;2,HLOOKUP($A270,#REF!,6,FALSE)&lt;-2),"",#REF!),"")</f>
        <v/>
      </c>
      <c r="I270" t="str">
        <f>IFERROR(IF(OR(HLOOKUP($A270,#REF!,7,FALSE)&gt;2,HLOOKUP($A270,#REF!,7,FALSE)&lt;-2),"",#REF!),"")</f>
        <v/>
      </c>
      <c r="J270" t="str">
        <f>IFERROR(IF(OR(HLOOKUP($A270,#REF!,8,FALSE)&gt;2,HLOOKUP($A270,#REF!,8,FALSE)&lt;-2),"",#REF!),"")</f>
        <v/>
      </c>
      <c r="K270" t="str">
        <f>IFERROR(IF(OR(HLOOKUP($A270,#REF!,9,FALSE)&gt;2,HLOOKUP($A270,#REF!,9,FALSE)&lt;-2),"",#REF!),"")</f>
        <v/>
      </c>
      <c r="L270" t="str">
        <f>IFERROR(IF(OR(HLOOKUP($A270,#REF!,10,FALSE)&gt;2,HLOOKUP($A270,#REF!,10,FALSE)&lt;-2),"",#REF!),"")</f>
        <v/>
      </c>
      <c r="M270" t="str">
        <f>IFERROR(IF(OR(HLOOKUP($A270,#REF!,11,FALSE)&gt;2,HLOOKUP($A270,#REF!,11,FALSE)&lt;-2),"",#REF!),"")</f>
        <v/>
      </c>
      <c r="N270" t="str">
        <f>IFERROR(IF(OR(HLOOKUP($A270,#REF!,12,FALSE)&gt;2,HLOOKUP($A270,#REF!,12,FALSE)&lt;-2),"",#REF!),"")</f>
        <v/>
      </c>
      <c r="O270" t="str">
        <f>IFERROR(IF(OR(HLOOKUP($A270,#REF!,13,FALSE)&gt;2,HLOOKUP($A270,#REF!,13,FALSE)&lt;-2),"",#REF!),"")</f>
        <v/>
      </c>
      <c r="P270" t="str">
        <f>IFERROR(IF(OR(HLOOKUP($A270,#REF!,14,FALSE)&gt;2,HLOOKUP($A270,#REF!,14,FALSE)&lt;-2),"",#REF!),"")</f>
        <v/>
      </c>
      <c r="Q270" t="str">
        <f>IFERROR(IF(OR(HLOOKUP($A270,#REF!,15,FALSE)&gt;2,HLOOKUP($A270,#REF!,15,FALSE)&lt;-2),"",#REF!),"")</f>
        <v/>
      </c>
      <c r="R270" t="str">
        <f>IFERROR(IF(OR(HLOOKUP($A270,#REF!,16,FALSE)&gt;2,HLOOKUP($A270,#REF!,16,FALSE)&lt;-2),"",#REF!),"")</f>
        <v/>
      </c>
      <c r="S270" t="str">
        <f>IFERROR(IF(OR(HLOOKUP($A270,#REF!,17,FALSE)&gt;2,HLOOKUP($A270,#REF!,17,FALSE)&lt;-2),"",#REF!),"")</f>
        <v/>
      </c>
      <c r="T270" t="str">
        <f>IFERROR(IF(OR(HLOOKUP($A270,#REF!,18,FALSE)&gt;2,HLOOKUP($A270,#REF!,18,FALSE)&lt;-2),"",#REF!),"")</f>
        <v/>
      </c>
      <c r="U270" t="str">
        <f>IFERROR(IF(OR(HLOOKUP($A270,#REF!,19,FALSE)&gt;2,HLOOKUP($A270,#REF!,19,FALSE)&lt;-2),"",#REF!),"")</f>
        <v/>
      </c>
      <c r="V270">
        <f t="shared" si="16"/>
        <v>1</v>
      </c>
      <c r="W270" t="str">
        <f t="shared" si="17"/>
        <v/>
      </c>
      <c r="X270" t="str">
        <f t="shared" si="18"/>
        <v/>
      </c>
      <c r="Y270" t="str">
        <f t="shared" si="19"/>
        <v/>
      </c>
    </row>
    <row r="271" spans="1:25" x14ac:dyDescent="0.35">
      <c r="A271">
        <v>277</v>
      </c>
      <c r="B271" t="s">
        <v>722</v>
      </c>
      <c r="C271">
        <v>103800</v>
      </c>
      <c r="D271">
        <v>871</v>
      </c>
      <c r="E271" t="str">
        <f>IFERROR(IF(OR(HLOOKUP($A271,#REF!,3,FALSE)&gt;2,HLOOKUP(A271,#REF!,3,FALSE)&lt;-2),"",#REF!),"")</f>
        <v/>
      </c>
      <c r="F271" t="str">
        <f>IFERROR(IF(OR(HLOOKUP($A271,#REF!,4,FALSE)&gt;2,HLOOKUP($A271,#REF!,4,FALSE)&lt;-2),"",#REF!),"")</f>
        <v/>
      </c>
      <c r="G271" t="str">
        <f>IFERROR(IF(OR(HLOOKUP($A271,#REF!,5,FALSE)&gt;2,HLOOKUP($A271,#REF!,5,FALSE)&lt;-2),"",#REF!),"")</f>
        <v/>
      </c>
      <c r="H271" t="str">
        <f>IFERROR(IF(OR(HLOOKUP($A271,#REF!,6,FALSE)&gt;2,HLOOKUP($A271,#REF!,6,FALSE)&lt;-2),"",#REF!),"")</f>
        <v/>
      </c>
      <c r="I271" t="str">
        <f>IFERROR(IF(OR(HLOOKUP($A271,#REF!,7,FALSE)&gt;2,HLOOKUP($A271,#REF!,7,FALSE)&lt;-2),"",#REF!),"")</f>
        <v/>
      </c>
      <c r="J271" t="str">
        <f>IFERROR(IF(OR(HLOOKUP($A271,#REF!,8,FALSE)&gt;2,HLOOKUP($A271,#REF!,8,FALSE)&lt;-2),"",#REF!),"")</f>
        <v/>
      </c>
      <c r="K271" t="str">
        <f>IFERROR(IF(OR(HLOOKUP($A271,#REF!,9,FALSE)&gt;2,HLOOKUP($A271,#REF!,9,FALSE)&lt;-2),"",#REF!),"")</f>
        <v/>
      </c>
      <c r="L271" t="str">
        <f>IFERROR(IF(OR(HLOOKUP($A271,#REF!,10,FALSE)&gt;2,HLOOKUP($A271,#REF!,10,FALSE)&lt;-2),"",#REF!),"")</f>
        <v/>
      </c>
      <c r="M271" t="str">
        <f>IFERROR(IF(OR(HLOOKUP($A271,#REF!,11,FALSE)&gt;2,HLOOKUP($A271,#REF!,11,FALSE)&lt;-2),"",#REF!),"")</f>
        <v/>
      </c>
      <c r="N271" t="str">
        <f>IFERROR(IF(OR(HLOOKUP($A271,#REF!,12,FALSE)&gt;2,HLOOKUP($A271,#REF!,12,FALSE)&lt;-2),"",#REF!),"")</f>
        <v/>
      </c>
      <c r="O271" t="str">
        <f>IFERROR(IF(OR(HLOOKUP($A271,#REF!,13,FALSE)&gt;2,HLOOKUP($A271,#REF!,13,FALSE)&lt;-2),"",#REF!),"")</f>
        <v/>
      </c>
      <c r="P271" t="str">
        <f>IFERROR(IF(OR(HLOOKUP($A271,#REF!,14,FALSE)&gt;2,HLOOKUP($A271,#REF!,14,FALSE)&lt;-2),"",#REF!),"")</f>
        <v/>
      </c>
      <c r="Q271" t="str">
        <f>IFERROR(IF(OR(HLOOKUP($A271,#REF!,15,FALSE)&gt;2,HLOOKUP($A271,#REF!,15,FALSE)&lt;-2),"",#REF!),"")</f>
        <v/>
      </c>
      <c r="R271" t="str">
        <f>IFERROR(IF(OR(HLOOKUP($A271,#REF!,16,FALSE)&gt;2,HLOOKUP($A271,#REF!,16,FALSE)&lt;-2),"",#REF!),"")</f>
        <v/>
      </c>
      <c r="S271" t="str">
        <f>IFERROR(IF(OR(HLOOKUP($A271,#REF!,17,FALSE)&gt;2,HLOOKUP($A271,#REF!,17,FALSE)&lt;-2),"",#REF!),"")</f>
        <v/>
      </c>
      <c r="T271" t="str">
        <f>IFERROR(IF(OR(HLOOKUP($A271,#REF!,18,FALSE)&gt;2,HLOOKUP($A271,#REF!,18,FALSE)&lt;-2),"",#REF!),"")</f>
        <v/>
      </c>
      <c r="U271" t="str">
        <f>IFERROR(IF(OR(HLOOKUP($A271,#REF!,19,FALSE)&gt;2,HLOOKUP($A271,#REF!,19,FALSE)&lt;-2),"",#REF!),"")</f>
        <v/>
      </c>
      <c r="V271">
        <f t="shared" si="16"/>
        <v>1</v>
      </c>
      <c r="W271" t="str">
        <f t="shared" si="17"/>
        <v/>
      </c>
      <c r="X271" t="str">
        <f t="shared" si="18"/>
        <v/>
      </c>
      <c r="Y271" t="str">
        <f t="shared" si="19"/>
        <v/>
      </c>
    </row>
    <row r="272" spans="1:25" x14ac:dyDescent="0.35">
      <c r="A272">
        <v>278</v>
      </c>
      <c r="B272" t="s">
        <v>152</v>
      </c>
      <c r="C272">
        <v>50000</v>
      </c>
      <c r="D272">
        <v>477</v>
      </c>
      <c r="E272" t="str">
        <f>IFERROR(IF(OR(HLOOKUP($A272,#REF!,3,FALSE)&gt;2,HLOOKUP(A272,#REF!,3,FALSE)&lt;-2),"",#REF!),"")</f>
        <v/>
      </c>
      <c r="F272" t="str">
        <f>IFERROR(IF(OR(HLOOKUP($A272,#REF!,4,FALSE)&gt;2,HLOOKUP($A272,#REF!,4,FALSE)&lt;-2),"",#REF!),"")</f>
        <v/>
      </c>
      <c r="G272" t="str">
        <f>IFERROR(IF(OR(HLOOKUP($A272,#REF!,5,FALSE)&gt;2,HLOOKUP($A272,#REF!,5,FALSE)&lt;-2),"",#REF!),"")</f>
        <v/>
      </c>
      <c r="H272" t="str">
        <f>IFERROR(IF(OR(HLOOKUP($A272,#REF!,6,FALSE)&gt;2,HLOOKUP($A272,#REF!,6,FALSE)&lt;-2),"",#REF!),"")</f>
        <v/>
      </c>
      <c r="I272" t="str">
        <f>IFERROR(IF(OR(HLOOKUP($A272,#REF!,7,FALSE)&gt;2,HLOOKUP($A272,#REF!,7,FALSE)&lt;-2),"",#REF!),"")</f>
        <v/>
      </c>
      <c r="J272" t="str">
        <f>IFERROR(IF(OR(HLOOKUP($A272,#REF!,8,FALSE)&gt;2,HLOOKUP($A272,#REF!,8,FALSE)&lt;-2),"",#REF!),"")</f>
        <v/>
      </c>
      <c r="K272" t="str">
        <f>IFERROR(IF(OR(HLOOKUP($A272,#REF!,9,FALSE)&gt;2,HLOOKUP($A272,#REF!,9,FALSE)&lt;-2),"",#REF!),"")</f>
        <v/>
      </c>
      <c r="L272" t="str">
        <f>IFERROR(IF(OR(HLOOKUP($A272,#REF!,10,FALSE)&gt;2,HLOOKUP($A272,#REF!,10,FALSE)&lt;-2),"",#REF!),"")</f>
        <v/>
      </c>
      <c r="M272" t="str">
        <f>IFERROR(IF(OR(HLOOKUP($A272,#REF!,11,FALSE)&gt;2,HLOOKUP($A272,#REF!,11,FALSE)&lt;-2),"",#REF!),"")</f>
        <v/>
      </c>
      <c r="N272" t="str">
        <f>IFERROR(IF(OR(HLOOKUP($A272,#REF!,12,FALSE)&gt;2,HLOOKUP($A272,#REF!,12,FALSE)&lt;-2),"",#REF!),"")</f>
        <v/>
      </c>
      <c r="O272" t="str">
        <f>IFERROR(IF(OR(HLOOKUP($A272,#REF!,13,FALSE)&gt;2,HLOOKUP($A272,#REF!,13,FALSE)&lt;-2),"",#REF!),"")</f>
        <v/>
      </c>
      <c r="P272" t="str">
        <f>IFERROR(IF(OR(HLOOKUP($A272,#REF!,14,FALSE)&gt;2,HLOOKUP($A272,#REF!,14,FALSE)&lt;-2),"",#REF!),"")</f>
        <v/>
      </c>
      <c r="Q272" t="str">
        <f>IFERROR(IF(OR(HLOOKUP($A272,#REF!,15,FALSE)&gt;2,HLOOKUP($A272,#REF!,15,FALSE)&lt;-2),"",#REF!),"")</f>
        <v/>
      </c>
      <c r="R272" t="str">
        <f>IFERROR(IF(OR(HLOOKUP($A272,#REF!,16,FALSE)&gt;2,HLOOKUP($A272,#REF!,16,FALSE)&lt;-2),"",#REF!),"")</f>
        <v/>
      </c>
      <c r="S272" t="str">
        <f>IFERROR(IF(OR(HLOOKUP($A272,#REF!,17,FALSE)&gt;2,HLOOKUP($A272,#REF!,17,FALSE)&lt;-2),"",#REF!),"")</f>
        <v/>
      </c>
      <c r="T272" t="str">
        <f>IFERROR(IF(OR(HLOOKUP($A272,#REF!,18,FALSE)&gt;2,HLOOKUP($A272,#REF!,18,FALSE)&lt;-2),"",#REF!),"")</f>
        <v/>
      </c>
      <c r="U272" t="str">
        <f>IFERROR(IF(OR(HLOOKUP($A272,#REF!,19,FALSE)&gt;2,HLOOKUP($A272,#REF!,19,FALSE)&lt;-2),"",#REF!),"")</f>
        <v/>
      </c>
      <c r="V272">
        <f t="shared" si="16"/>
        <v>1</v>
      </c>
      <c r="W272" t="str">
        <f t="shared" si="17"/>
        <v/>
      </c>
      <c r="X272" t="str">
        <f t="shared" si="18"/>
        <v/>
      </c>
      <c r="Y272" t="str">
        <f t="shared" si="19"/>
        <v/>
      </c>
    </row>
    <row r="273" spans="1:25" x14ac:dyDescent="0.35">
      <c r="A273">
        <v>279</v>
      </c>
      <c r="B273" t="s">
        <v>153</v>
      </c>
      <c r="C273">
        <v>25800</v>
      </c>
      <c r="D273">
        <v>894</v>
      </c>
      <c r="E273" t="str">
        <f>IFERROR(IF(OR(HLOOKUP($A273,#REF!,3,FALSE)&gt;2,HLOOKUP(A273,#REF!,3,FALSE)&lt;-2),"",#REF!),"")</f>
        <v/>
      </c>
      <c r="F273" t="str">
        <f>IFERROR(IF(OR(HLOOKUP($A273,#REF!,4,FALSE)&gt;2,HLOOKUP($A273,#REF!,4,FALSE)&lt;-2),"",#REF!),"")</f>
        <v/>
      </c>
      <c r="G273" t="str">
        <f>IFERROR(IF(OR(HLOOKUP($A273,#REF!,5,FALSE)&gt;2,HLOOKUP($A273,#REF!,5,FALSE)&lt;-2),"",#REF!),"")</f>
        <v/>
      </c>
      <c r="H273" t="str">
        <f>IFERROR(IF(OR(HLOOKUP($A273,#REF!,6,FALSE)&gt;2,HLOOKUP($A273,#REF!,6,FALSE)&lt;-2),"",#REF!),"")</f>
        <v/>
      </c>
      <c r="I273" t="str">
        <f>IFERROR(IF(OR(HLOOKUP($A273,#REF!,7,FALSE)&gt;2,HLOOKUP($A273,#REF!,7,FALSE)&lt;-2),"",#REF!),"")</f>
        <v/>
      </c>
      <c r="J273" t="str">
        <f>IFERROR(IF(OR(HLOOKUP($A273,#REF!,8,FALSE)&gt;2,HLOOKUP($A273,#REF!,8,FALSE)&lt;-2),"",#REF!),"")</f>
        <v/>
      </c>
      <c r="K273" t="str">
        <f>IFERROR(IF(OR(HLOOKUP($A273,#REF!,9,FALSE)&gt;2,HLOOKUP($A273,#REF!,9,FALSE)&lt;-2),"",#REF!),"")</f>
        <v/>
      </c>
      <c r="L273" t="str">
        <f>IFERROR(IF(OR(HLOOKUP($A273,#REF!,10,FALSE)&gt;2,HLOOKUP($A273,#REF!,10,FALSE)&lt;-2),"",#REF!),"")</f>
        <v/>
      </c>
      <c r="M273" t="str">
        <f>IFERROR(IF(OR(HLOOKUP($A273,#REF!,11,FALSE)&gt;2,HLOOKUP($A273,#REF!,11,FALSE)&lt;-2),"",#REF!),"")</f>
        <v/>
      </c>
      <c r="N273" t="str">
        <f>IFERROR(IF(OR(HLOOKUP($A273,#REF!,12,FALSE)&gt;2,HLOOKUP($A273,#REF!,12,FALSE)&lt;-2),"",#REF!),"")</f>
        <v/>
      </c>
      <c r="O273" t="str">
        <f>IFERROR(IF(OR(HLOOKUP($A273,#REF!,13,FALSE)&gt;2,HLOOKUP($A273,#REF!,13,FALSE)&lt;-2),"",#REF!),"")</f>
        <v/>
      </c>
      <c r="P273" t="str">
        <f>IFERROR(IF(OR(HLOOKUP($A273,#REF!,14,FALSE)&gt;2,HLOOKUP($A273,#REF!,14,FALSE)&lt;-2),"",#REF!),"")</f>
        <v/>
      </c>
      <c r="Q273" t="str">
        <f>IFERROR(IF(OR(HLOOKUP($A273,#REF!,15,FALSE)&gt;2,HLOOKUP($A273,#REF!,15,FALSE)&lt;-2),"",#REF!),"")</f>
        <v/>
      </c>
      <c r="R273" t="str">
        <f>IFERROR(IF(OR(HLOOKUP($A273,#REF!,16,FALSE)&gt;2,HLOOKUP($A273,#REF!,16,FALSE)&lt;-2),"",#REF!),"")</f>
        <v/>
      </c>
      <c r="S273" t="str">
        <f>IFERROR(IF(OR(HLOOKUP($A273,#REF!,17,FALSE)&gt;2,HLOOKUP($A273,#REF!,17,FALSE)&lt;-2),"",#REF!),"")</f>
        <v/>
      </c>
      <c r="T273" t="str">
        <f>IFERROR(IF(OR(HLOOKUP($A273,#REF!,18,FALSE)&gt;2,HLOOKUP($A273,#REF!,18,FALSE)&lt;-2),"",#REF!),"")</f>
        <v/>
      </c>
      <c r="U273" t="str">
        <f>IFERROR(IF(OR(HLOOKUP($A273,#REF!,19,FALSE)&gt;2,HLOOKUP($A273,#REF!,19,FALSE)&lt;-2),"",#REF!),"")</f>
        <v/>
      </c>
      <c r="V273">
        <f t="shared" si="16"/>
        <v>1</v>
      </c>
      <c r="W273" t="str">
        <f t="shared" si="17"/>
        <v/>
      </c>
      <c r="X273" t="str">
        <f t="shared" si="18"/>
        <v/>
      </c>
      <c r="Y273" t="str">
        <f t="shared" si="19"/>
        <v/>
      </c>
    </row>
    <row r="274" spans="1:25" x14ac:dyDescent="0.35">
      <c r="A274">
        <v>280</v>
      </c>
      <c r="B274" t="s">
        <v>154</v>
      </c>
      <c r="C274">
        <v>87100</v>
      </c>
      <c r="D274">
        <v>987</v>
      </c>
      <c r="E274" t="str">
        <f>IFERROR(IF(OR(HLOOKUP($A274,#REF!,3,FALSE)&gt;2,HLOOKUP(A274,#REF!,3,FALSE)&lt;-2),"",#REF!),"")</f>
        <v/>
      </c>
      <c r="F274" t="str">
        <f>IFERROR(IF(OR(HLOOKUP($A274,#REF!,4,FALSE)&gt;2,HLOOKUP($A274,#REF!,4,FALSE)&lt;-2),"",#REF!),"")</f>
        <v/>
      </c>
      <c r="G274" t="str">
        <f>IFERROR(IF(OR(HLOOKUP($A274,#REF!,5,FALSE)&gt;2,HLOOKUP($A274,#REF!,5,FALSE)&lt;-2),"",#REF!),"")</f>
        <v/>
      </c>
      <c r="H274" t="str">
        <f>IFERROR(IF(OR(HLOOKUP($A274,#REF!,6,FALSE)&gt;2,HLOOKUP($A274,#REF!,6,FALSE)&lt;-2),"",#REF!),"")</f>
        <v/>
      </c>
      <c r="I274" t="str">
        <f>IFERROR(IF(OR(HLOOKUP($A274,#REF!,7,FALSE)&gt;2,HLOOKUP($A274,#REF!,7,FALSE)&lt;-2),"",#REF!),"")</f>
        <v/>
      </c>
      <c r="J274" t="str">
        <f>IFERROR(IF(OR(HLOOKUP($A274,#REF!,8,FALSE)&gt;2,HLOOKUP($A274,#REF!,8,FALSE)&lt;-2),"",#REF!),"")</f>
        <v/>
      </c>
      <c r="K274" t="str">
        <f>IFERROR(IF(OR(HLOOKUP($A274,#REF!,9,FALSE)&gt;2,HLOOKUP($A274,#REF!,9,FALSE)&lt;-2),"",#REF!),"")</f>
        <v/>
      </c>
      <c r="L274" t="str">
        <f>IFERROR(IF(OR(HLOOKUP($A274,#REF!,10,FALSE)&gt;2,HLOOKUP($A274,#REF!,10,FALSE)&lt;-2),"",#REF!),"")</f>
        <v/>
      </c>
      <c r="M274" t="str">
        <f>IFERROR(IF(OR(HLOOKUP($A274,#REF!,11,FALSE)&gt;2,HLOOKUP($A274,#REF!,11,FALSE)&lt;-2),"",#REF!),"")</f>
        <v/>
      </c>
      <c r="N274" t="str">
        <f>IFERROR(IF(OR(HLOOKUP($A274,#REF!,12,FALSE)&gt;2,HLOOKUP($A274,#REF!,12,FALSE)&lt;-2),"",#REF!),"")</f>
        <v/>
      </c>
      <c r="O274" t="str">
        <f>IFERROR(IF(OR(HLOOKUP($A274,#REF!,13,FALSE)&gt;2,HLOOKUP($A274,#REF!,13,FALSE)&lt;-2),"",#REF!),"")</f>
        <v/>
      </c>
      <c r="P274" t="str">
        <f>IFERROR(IF(OR(HLOOKUP($A274,#REF!,14,FALSE)&gt;2,HLOOKUP($A274,#REF!,14,FALSE)&lt;-2),"",#REF!),"")</f>
        <v/>
      </c>
      <c r="Q274" t="str">
        <f>IFERROR(IF(OR(HLOOKUP($A274,#REF!,15,FALSE)&gt;2,HLOOKUP($A274,#REF!,15,FALSE)&lt;-2),"",#REF!),"")</f>
        <v/>
      </c>
      <c r="R274" t="str">
        <f>IFERROR(IF(OR(HLOOKUP($A274,#REF!,16,FALSE)&gt;2,HLOOKUP($A274,#REF!,16,FALSE)&lt;-2),"",#REF!),"")</f>
        <v/>
      </c>
      <c r="S274" t="str">
        <f>IFERROR(IF(OR(HLOOKUP($A274,#REF!,17,FALSE)&gt;2,HLOOKUP($A274,#REF!,17,FALSE)&lt;-2),"",#REF!),"")</f>
        <v/>
      </c>
      <c r="T274" t="str">
        <f>IFERROR(IF(OR(HLOOKUP($A274,#REF!,18,FALSE)&gt;2,HLOOKUP($A274,#REF!,18,FALSE)&lt;-2),"",#REF!),"")</f>
        <v/>
      </c>
      <c r="U274" t="str">
        <f>IFERROR(IF(OR(HLOOKUP($A274,#REF!,19,FALSE)&gt;2,HLOOKUP($A274,#REF!,19,FALSE)&lt;-2),"",#REF!),"")</f>
        <v/>
      </c>
      <c r="V274">
        <f t="shared" si="16"/>
        <v>1</v>
      </c>
      <c r="W274" t="str">
        <f t="shared" si="17"/>
        <v/>
      </c>
      <c r="X274" t="str">
        <f t="shared" si="18"/>
        <v/>
      </c>
      <c r="Y274" t="str">
        <f t="shared" si="19"/>
        <v/>
      </c>
    </row>
    <row r="275" spans="1:25" x14ac:dyDescent="0.35">
      <c r="A275">
        <v>281</v>
      </c>
      <c r="B275" t="s">
        <v>155</v>
      </c>
      <c r="C275">
        <v>14900</v>
      </c>
      <c r="D275">
        <v>394</v>
      </c>
      <c r="E275" t="str">
        <f>IFERROR(IF(OR(HLOOKUP($A275,#REF!,3,FALSE)&gt;2,HLOOKUP(A275,#REF!,3,FALSE)&lt;-2),"",#REF!),"")</f>
        <v/>
      </c>
      <c r="F275" t="str">
        <f>IFERROR(IF(OR(HLOOKUP($A275,#REF!,4,FALSE)&gt;2,HLOOKUP($A275,#REF!,4,FALSE)&lt;-2),"",#REF!),"")</f>
        <v/>
      </c>
      <c r="G275" t="str">
        <f>IFERROR(IF(OR(HLOOKUP($A275,#REF!,5,FALSE)&gt;2,HLOOKUP($A275,#REF!,5,FALSE)&lt;-2),"",#REF!),"")</f>
        <v/>
      </c>
      <c r="H275" t="str">
        <f>IFERROR(IF(OR(HLOOKUP($A275,#REF!,6,FALSE)&gt;2,HLOOKUP($A275,#REF!,6,FALSE)&lt;-2),"",#REF!),"")</f>
        <v/>
      </c>
      <c r="I275" t="str">
        <f>IFERROR(IF(OR(HLOOKUP($A275,#REF!,7,FALSE)&gt;2,HLOOKUP($A275,#REF!,7,FALSE)&lt;-2),"",#REF!),"")</f>
        <v/>
      </c>
      <c r="J275" t="str">
        <f>IFERROR(IF(OR(HLOOKUP($A275,#REF!,8,FALSE)&gt;2,HLOOKUP($A275,#REF!,8,FALSE)&lt;-2),"",#REF!),"")</f>
        <v/>
      </c>
      <c r="K275" t="str">
        <f>IFERROR(IF(OR(HLOOKUP($A275,#REF!,9,FALSE)&gt;2,HLOOKUP($A275,#REF!,9,FALSE)&lt;-2),"",#REF!),"")</f>
        <v/>
      </c>
      <c r="L275" t="str">
        <f>IFERROR(IF(OR(HLOOKUP($A275,#REF!,10,FALSE)&gt;2,HLOOKUP($A275,#REF!,10,FALSE)&lt;-2),"",#REF!),"")</f>
        <v/>
      </c>
      <c r="M275" t="str">
        <f>IFERROR(IF(OR(HLOOKUP($A275,#REF!,11,FALSE)&gt;2,HLOOKUP($A275,#REF!,11,FALSE)&lt;-2),"",#REF!),"")</f>
        <v/>
      </c>
      <c r="N275" t="str">
        <f>IFERROR(IF(OR(HLOOKUP($A275,#REF!,12,FALSE)&gt;2,HLOOKUP($A275,#REF!,12,FALSE)&lt;-2),"",#REF!),"")</f>
        <v/>
      </c>
      <c r="O275" t="str">
        <f>IFERROR(IF(OR(HLOOKUP($A275,#REF!,13,FALSE)&gt;2,HLOOKUP($A275,#REF!,13,FALSE)&lt;-2),"",#REF!),"")</f>
        <v/>
      </c>
      <c r="P275" t="str">
        <f>IFERROR(IF(OR(HLOOKUP($A275,#REF!,14,FALSE)&gt;2,HLOOKUP($A275,#REF!,14,FALSE)&lt;-2),"",#REF!),"")</f>
        <v/>
      </c>
      <c r="Q275" t="str">
        <f>IFERROR(IF(OR(HLOOKUP($A275,#REF!,15,FALSE)&gt;2,HLOOKUP($A275,#REF!,15,FALSE)&lt;-2),"",#REF!),"")</f>
        <v/>
      </c>
      <c r="R275" t="str">
        <f>IFERROR(IF(OR(HLOOKUP($A275,#REF!,16,FALSE)&gt;2,HLOOKUP($A275,#REF!,16,FALSE)&lt;-2),"",#REF!),"")</f>
        <v/>
      </c>
      <c r="S275" t="str">
        <f>IFERROR(IF(OR(HLOOKUP($A275,#REF!,17,FALSE)&gt;2,HLOOKUP($A275,#REF!,17,FALSE)&lt;-2),"",#REF!),"")</f>
        <v/>
      </c>
      <c r="T275" t="str">
        <f>IFERROR(IF(OR(HLOOKUP($A275,#REF!,18,FALSE)&gt;2,HLOOKUP($A275,#REF!,18,FALSE)&lt;-2),"",#REF!),"")</f>
        <v/>
      </c>
      <c r="U275" t="str">
        <f>IFERROR(IF(OR(HLOOKUP($A275,#REF!,19,FALSE)&gt;2,HLOOKUP($A275,#REF!,19,FALSE)&lt;-2),"",#REF!),"")</f>
        <v/>
      </c>
      <c r="V275">
        <f t="shared" si="16"/>
        <v>1</v>
      </c>
      <c r="W275" t="str">
        <f t="shared" si="17"/>
        <v/>
      </c>
      <c r="X275" t="str">
        <f t="shared" si="18"/>
        <v/>
      </c>
      <c r="Y275" t="str">
        <f t="shared" si="19"/>
        <v/>
      </c>
    </row>
    <row r="276" spans="1:25" x14ac:dyDescent="0.35">
      <c r="A276">
        <v>283</v>
      </c>
      <c r="B276" t="s">
        <v>723</v>
      </c>
      <c r="C276">
        <v>87300</v>
      </c>
      <c r="D276">
        <v>987</v>
      </c>
      <c r="E276" t="str">
        <f>IFERROR(IF(OR(HLOOKUP($A276,#REF!,3,FALSE)&gt;2,HLOOKUP(A276,#REF!,3,FALSE)&lt;-2),"",#REF!),"")</f>
        <v/>
      </c>
      <c r="F276" t="str">
        <f>IFERROR(IF(OR(HLOOKUP($A276,#REF!,4,FALSE)&gt;2,HLOOKUP($A276,#REF!,4,FALSE)&lt;-2),"",#REF!),"")</f>
        <v/>
      </c>
      <c r="G276" t="str">
        <f>IFERROR(IF(OR(HLOOKUP($A276,#REF!,5,FALSE)&gt;2,HLOOKUP($A276,#REF!,5,FALSE)&lt;-2),"",#REF!),"")</f>
        <v/>
      </c>
      <c r="H276" t="str">
        <f>IFERROR(IF(OR(HLOOKUP($A276,#REF!,6,FALSE)&gt;2,HLOOKUP($A276,#REF!,6,FALSE)&lt;-2),"",#REF!),"")</f>
        <v/>
      </c>
      <c r="I276" t="str">
        <f>IFERROR(IF(OR(HLOOKUP($A276,#REF!,7,FALSE)&gt;2,HLOOKUP($A276,#REF!,7,FALSE)&lt;-2),"",#REF!),"")</f>
        <v/>
      </c>
      <c r="J276" t="str">
        <f>IFERROR(IF(OR(HLOOKUP($A276,#REF!,8,FALSE)&gt;2,HLOOKUP($A276,#REF!,8,FALSE)&lt;-2),"",#REF!),"")</f>
        <v/>
      </c>
      <c r="K276" t="str">
        <f>IFERROR(IF(OR(HLOOKUP($A276,#REF!,9,FALSE)&gt;2,HLOOKUP($A276,#REF!,9,FALSE)&lt;-2),"",#REF!),"")</f>
        <v/>
      </c>
      <c r="L276" t="str">
        <f>IFERROR(IF(OR(HLOOKUP($A276,#REF!,10,FALSE)&gt;2,HLOOKUP($A276,#REF!,10,FALSE)&lt;-2),"",#REF!),"")</f>
        <v/>
      </c>
      <c r="M276" t="str">
        <f>IFERROR(IF(OR(HLOOKUP($A276,#REF!,11,FALSE)&gt;2,HLOOKUP($A276,#REF!,11,FALSE)&lt;-2),"",#REF!),"")</f>
        <v/>
      </c>
      <c r="N276" t="str">
        <f>IFERROR(IF(OR(HLOOKUP($A276,#REF!,12,FALSE)&gt;2,HLOOKUP($A276,#REF!,12,FALSE)&lt;-2),"",#REF!),"")</f>
        <v/>
      </c>
      <c r="O276" t="str">
        <f>IFERROR(IF(OR(HLOOKUP($A276,#REF!,13,FALSE)&gt;2,HLOOKUP($A276,#REF!,13,FALSE)&lt;-2),"",#REF!),"")</f>
        <v/>
      </c>
      <c r="P276" t="str">
        <f>IFERROR(IF(OR(HLOOKUP($A276,#REF!,14,FALSE)&gt;2,HLOOKUP($A276,#REF!,14,FALSE)&lt;-2),"",#REF!),"")</f>
        <v/>
      </c>
      <c r="Q276" t="str">
        <f>IFERROR(IF(OR(HLOOKUP($A276,#REF!,15,FALSE)&gt;2,HLOOKUP($A276,#REF!,15,FALSE)&lt;-2),"",#REF!),"")</f>
        <v/>
      </c>
      <c r="R276" t="str">
        <f>IFERROR(IF(OR(HLOOKUP($A276,#REF!,16,FALSE)&gt;2,HLOOKUP($A276,#REF!,16,FALSE)&lt;-2),"",#REF!),"")</f>
        <v/>
      </c>
      <c r="S276" t="str">
        <f>IFERROR(IF(OR(HLOOKUP($A276,#REF!,17,FALSE)&gt;2,HLOOKUP($A276,#REF!,17,FALSE)&lt;-2),"",#REF!),"")</f>
        <v/>
      </c>
      <c r="T276" t="str">
        <f>IFERROR(IF(OR(HLOOKUP($A276,#REF!,18,FALSE)&gt;2,HLOOKUP($A276,#REF!,18,FALSE)&lt;-2),"",#REF!),"")</f>
        <v/>
      </c>
      <c r="U276" t="str">
        <f>IFERROR(IF(OR(HLOOKUP($A276,#REF!,19,FALSE)&gt;2,HLOOKUP($A276,#REF!,19,FALSE)&lt;-2),"",#REF!),"")</f>
        <v/>
      </c>
      <c r="V276">
        <f t="shared" si="16"/>
        <v>1</v>
      </c>
      <c r="W276" t="str">
        <f t="shared" si="17"/>
        <v/>
      </c>
      <c r="X276" t="str">
        <f t="shared" si="18"/>
        <v/>
      </c>
      <c r="Y276" t="str">
        <f t="shared" si="19"/>
        <v/>
      </c>
    </row>
    <row r="277" spans="1:25" x14ac:dyDescent="0.35">
      <c r="A277">
        <v>284</v>
      </c>
      <c r="B277" t="s">
        <v>724</v>
      </c>
      <c r="C277">
        <v>33900</v>
      </c>
      <c r="D277">
        <v>961</v>
      </c>
      <c r="E277" t="str">
        <f>IFERROR(IF(OR(HLOOKUP($A277,#REF!,3,FALSE)&gt;2,HLOOKUP(A277,#REF!,3,FALSE)&lt;-2),"",#REF!),"")</f>
        <v/>
      </c>
      <c r="F277" t="str">
        <f>IFERROR(IF(OR(HLOOKUP($A277,#REF!,4,FALSE)&gt;2,HLOOKUP($A277,#REF!,4,FALSE)&lt;-2),"",#REF!),"")</f>
        <v/>
      </c>
      <c r="G277" t="str">
        <f>IFERROR(IF(OR(HLOOKUP($A277,#REF!,5,FALSE)&gt;2,HLOOKUP($A277,#REF!,5,FALSE)&lt;-2),"",#REF!),"")</f>
        <v/>
      </c>
      <c r="H277" t="str">
        <f>IFERROR(IF(OR(HLOOKUP($A277,#REF!,6,FALSE)&gt;2,HLOOKUP($A277,#REF!,6,FALSE)&lt;-2),"",#REF!),"")</f>
        <v/>
      </c>
      <c r="I277" t="str">
        <f>IFERROR(IF(OR(HLOOKUP($A277,#REF!,7,FALSE)&gt;2,HLOOKUP($A277,#REF!,7,FALSE)&lt;-2),"",#REF!),"")</f>
        <v/>
      </c>
      <c r="J277" t="str">
        <f>IFERROR(IF(OR(HLOOKUP($A277,#REF!,8,FALSE)&gt;2,HLOOKUP($A277,#REF!,8,FALSE)&lt;-2),"",#REF!),"")</f>
        <v/>
      </c>
      <c r="K277" t="str">
        <f>IFERROR(IF(OR(HLOOKUP($A277,#REF!,9,FALSE)&gt;2,HLOOKUP($A277,#REF!,9,FALSE)&lt;-2),"",#REF!),"")</f>
        <v/>
      </c>
      <c r="L277" t="str">
        <f>IFERROR(IF(OR(HLOOKUP($A277,#REF!,10,FALSE)&gt;2,HLOOKUP($A277,#REF!,10,FALSE)&lt;-2),"",#REF!),"")</f>
        <v/>
      </c>
      <c r="M277" t="str">
        <f>IFERROR(IF(OR(HLOOKUP($A277,#REF!,11,FALSE)&gt;2,HLOOKUP($A277,#REF!,11,FALSE)&lt;-2),"",#REF!),"")</f>
        <v/>
      </c>
      <c r="N277" t="str">
        <f>IFERROR(IF(OR(HLOOKUP($A277,#REF!,12,FALSE)&gt;2,HLOOKUP($A277,#REF!,12,FALSE)&lt;-2),"",#REF!),"")</f>
        <v/>
      </c>
      <c r="O277" t="str">
        <f>IFERROR(IF(OR(HLOOKUP($A277,#REF!,13,FALSE)&gt;2,HLOOKUP($A277,#REF!,13,FALSE)&lt;-2),"",#REF!),"")</f>
        <v/>
      </c>
      <c r="P277" t="str">
        <f>IFERROR(IF(OR(HLOOKUP($A277,#REF!,14,FALSE)&gt;2,HLOOKUP($A277,#REF!,14,FALSE)&lt;-2),"",#REF!),"")</f>
        <v/>
      </c>
      <c r="Q277" t="str">
        <f>IFERROR(IF(OR(HLOOKUP($A277,#REF!,15,FALSE)&gt;2,HLOOKUP($A277,#REF!,15,FALSE)&lt;-2),"",#REF!),"")</f>
        <v/>
      </c>
      <c r="R277" t="str">
        <f>IFERROR(IF(OR(HLOOKUP($A277,#REF!,16,FALSE)&gt;2,HLOOKUP($A277,#REF!,16,FALSE)&lt;-2),"",#REF!),"")</f>
        <v/>
      </c>
      <c r="S277" t="str">
        <f>IFERROR(IF(OR(HLOOKUP($A277,#REF!,17,FALSE)&gt;2,HLOOKUP($A277,#REF!,17,FALSE)&lt;-2),"",#REF!),"")</f>
        <v/>
      </c>
      <c r="T277" t="str">
        <f>IFERROR(IF(OR(HLOOKUP($A277,#REF!,18,FALSE)&gt;2,HLOOKUP($A277,#REF!,18,FALSE)&lt;-2),"",#REF!),"")</f>
        <v/>
      </c>
      <c r="U277" t="str">
        <f>IFERROR(IF(OR(HLOOKUP($A277,#REF!,19,FALSE)&gt;2,HLOOKUP($A277,#REF!,19,FALSE)&lt;-2),"",#REF!),"")</f>
        <v/>
      </c>
      <c r="V277">
        <f t="shared" si="16"/>
        <v>1</v>
      </c>
      <c r="W277" t="str">
        <f t="shared" si="17"/>
        <v/>
      </c>
      <c r="X277" t="str">
        <f t="shared" si="18"/>
        <v/>
      </c>
      <c r="Y277" t="str">
        <f t="shared" si="19"/>
        <v/>
      </c>
    </row>
    <row r="278" spans="1:25" x14ac:dyDescent="0.35">
      <c r="A278">
        <v>285</v>
      </c>
      <c r="B278" t="s">
        <v>725</v>
      </c>
      <c r="C278">
        <v>104000</v>
      </c>
      <c r="D278">
        <v>871</v>
      </c>
      <c r="E278" t="str">
        <f>IFERROR(IF(OR(HLOOKUP($A278,#REF!,3,FALSE)&gt;2,HLOOKUP(A278,#REF!,3,FALSE)&lt;-2),"",#REF!),"")</f>
        <v/>
      </c>
      <c r="F278" t="str">
        <f>IFERROR(IF(OR(HLOOKUP($A278,#REF!,4,FALSE)&gt;2,HLOOKUP($A278,#REF!,4,FALSE)&lt;-2),"",#REF!),"")</f>
        <v/>
      </c>
      <c r="G278" t="str">
        <f>IFERROR(IF(OR(HLOOKUP($A278,#REF!,5,FALSE)&gt;2,HLOOKUP($A278,#REF!,5,FALSE)&lt;-2),"",#REF!),"")</f>
        <v/>
      </c>
      <c r="H278" t="str">
        <f>IFERROR(IF(OR(HLOOKUP($A278,#REF!,6,FALSE)&gt;2,HLOOKUP($A278,#REF!,6,FALSE)&lt;-2),"",#REF!),"")</f>
        <v/>
      </c>
      <c r="I278" t="str">
        <f>IFERROR(IF(OR(HLOOKUP($A278,#REF!,7,FALSE)&gt;2,HLOOKUP($A278,#REF!,7,FALSE)&lt;-2),"",#REF!),"")</f>
        <v/>
      </c>
      <c r="J278" t="str">
        <f>IFERROR(IF(OR(HLOOKUP($A278,#REF!,8,FALSE)&gt;2,HLOOKUP($A278,#REF!,8,FALSE)&lt;-2),"",#REF!),"")</f>
        <v/>
      </c>
      <c r="K278" t="str">
        <f>IFERROR(IF(OR(HLOOKUP($A278,#REF!,9,FALSE)&gt;2,HLOOKUP($A278,#REF!,9,FALSE)&lt;-2),"",#REF!),"")</f>
        <v/>
      </c>
      <c r="L278" t="str">
        <f>IFERROR(IF(OR(HLOOKUP($A278,#REF!,10,FALSE)&gt;2,HLOOKUP($A278,#REF!,10,FALSE)&lt;-2),"",#REF!),"")</f>
        <v/>
      </c>
      <c r="M278" t="str">
        <f>IFERROR(IF(OR(HLOOKUP($A278,#REF!,11,FALSE)&gt;2,HLOOKUP($A278,#REF!,11,FALSE)&lt;-2),"",#REF!),"")</f>
        <v/>
      </c>
      <c r="N278" t="str">
        <f>IFERROR(IF(OR(HLOOKUP($A278,#REF!,12,FALSE)&gt;2,HLOOKUP($A278,#REF!,12,FALSE)&lt;-2),"",#REF!),"")</f>
        <v/>
      </c>
      <c r="O278" t="str">
        <f>IFERROR(IF(OR(HLOOKUP($A278,#REF!,13,FALSE)&gt;2,HLOOKUP($A278,#REF!,13,FALSE)&lt;-2),"",#REF!),"")</f>
        <v/>
      </c>
      <c r="P278" t="str">
        <f>IFERROR(IF(OR(HLOOKUP($A278,#REF!,14,FALSE)&gt;2,HLOOKUP($A278,#REF!,14,FALSE)&lt;-2),"",#REF!),"")</f>
        <v/>
      </c>
      <c r="Q278" t="str">
        <f>IFERROR(IF(OR(HLOOKUP($A278,#REF!,15,FALSE)&gt;2,HLOOKUP($A278,#REF!,15,FALSE)&lt;-2),"",#REF!),"")</f>
        <v/>
      </c>
      <c r="R278" t="str">
        <f>IFERROR(IF(OR(HLOOKUP($A278,#REF!,16,FALSE)&gt;2,HLOOKUP($A278,#REF!,16,FALSE)&lt;-2),"",#REF!),"")</f>
        <v/>
      </c>
      <c r="S278" t="str">
        <f>IFERROR(IF(OR(HLOOKUP($A278,#REF!,17,FALSE)&gt;2,HLOOKUP($A278,#REF!,17,FALSE)&lt;-2),"",#REF!),"")</f>
        <v/>
      </c>
      <c r="T278" t="str">
        <f>IFERROR(IF(OR(HLOOKUP($A278,#REF!,18,FALSE)&gt;2,HLOOKUP($A278,#REF!,18,FALSE)&lt;-2),"",#REF!),"")</f>
        <v/>
      </c>
      <c r="U278" t="str">
        <f>IFERROR(IF(OR(HLOOKUP($A278,#REF!,19,FALSE)&gt;2,HLOOKUP($A278,#REF!,19,FALSE)&lt;-2),"",#REF!),"")</f>
        <v/>
      </c>
      <c r="V278">
        <f t="shared" si="16"/>
        <v>1</v>
      </c>
      <c r="W278" t="str">
        <f t="shared" si="17"/>
        <v/>
      </c>
      <c r="X278" t="str">
        <f t="shared" si="18"/>
        <v/>
      </c>
      <c r="Y278" t="str">
        <f t="shared" si="19"/>
        <v/>
      </c>
    </row>
    <row r="279" spans="1:25" x14ac:dyDescent="0.35">
      <c r="A279">
        <v>286</v>
      </c>
      <c r="B279" t="s">
        <v>726</v>
      </c>
      <c r="C279">
        <v>73700</v>
      </c>
      <c r="D279">
        <v>141</v>
      </c>
      <c r="E279" t="str">
        <f>IFERROR(IF(OR(HLOOKUP($A279,#REF!,3,FALSE)&gt;2,HLOOKUP(A279,#REF!,3,FALSE)&lt;-2),"",#REF!),"")</f>
        <v/>
      </c>
      <c r="F279" t="str">
        <f>IFERROR(IF(OR(HLOOKUP($A279,#REF!,4,FALSE)&gt;2,HLOOKUP($A279,#REF!,4,FALSE)&lt;-2),"",#REF!),"")</f>
        <v/>
      </c>
      <c r="G279" t="str">
        <f>IFERROR(IF(OR(HLOOKUP($A279,#REF!,5,FALSE)&gt;2,HLOOKUP($A279,#REF!,5,FALSE)&lt;-2),"",#REF!),"")</f>
        <v/>
      </c>
      <c r="H279" t="str">
        <f>IFERROR(IF(OR(HLOOKUP($A279,#REF!,6,FALSE)&gt;2,HLOOKUP($A279,#REF!,6,FALSE)&lt;-2),"",#REF!),"")</f>
        <v/>
      </c>
      <c r="I279" t="str">
        <f>IFERROR(IF(OR(HLOOKUP($A279,#REF!,7,FALSE)&gt;2,HLOOKUP($A279,#REF!,7,FALSE)&lt;-2),"",#REF!),"")</f>
        <v/>
      </c>
      <c r="J279" t="str">
        <f>IFERROR(IF(OR(HLOOKUP($A279,#REF!,8,FALSE)&gt;2,HLOOKUP($A279,#REF!,8,FALSE)&lt;-2),"",#REF!),"")</f>
        <v/>
      </c>
      <c r="K279" t="str">
        <f>IFERROR(IF(OR(HLOOKUP($A279,#REF!,9,FALSE)&gt;2,HLOOKUP($A279,#REF!,9,FALSE)&lt;-2),"",#REF!),"")</f>
        <v/>
      </c>
      <c r="L279" t="str">
        <f>IFERROR(IF(OR(HLOOKUP($A279,#REF!,10,FALSE)&gt;2,HLOOKUP($A279,#REF!,10,FALSE)&lt;-2),"",#REF!),"")</f>
        <v/>
      </c>
      <c r="M279" t="str">
        <f>IFERROR(IF(OR(HLOOKUP($A279,#REF!,11,FALSE)&gt;2,HLOOKUP($A279,#REF!,11,FALSE)&lt;-2),"",#REF!),"")</f>
        <v/>
      </c>
      <c r="N279" t="str">
        <f>IFERROR(IF(OR(HLOOKUP($A279,#REF!,12,FALSE)&gt;2,HLOOKUP($A279,#REF!,12,FALSE)&lt;-2),"",#REF!),"")</f>
        <v/>
      </c>
      <c r="O279" t="str">
        <f>IFERROR(IF(OR(HLOOKUP($A279,#REF!,13,FALSE)&gt;2,HLOOKUP($A279,#REF!,13,FALSE)&lt;-2),"",#REF!),"")</f>
        <v/>
      </c>
      <c r="P279" t="str">
        <f>IFERROR(IF(OR(HLOOKUP($A279,#REF!,14,FALSE)&gt;2,HLOOKUP($A279,#REF!,14,FALSE)&lt;-2),"",#REF!),"")</f>
        <v/>
      </c>
      <c r="Q279" t="str">
        <f>IFERROR(IF(OR(HLOOKUP($A279,#REF!,15,FALSE)&gt;2,HLOOKUP($A279,#REF!,15,FALSE)&lt;-2),"",#REF!),"")</f>
        <v/>
      </c>
      <c r="R279" t="str">
        <f>IFERROR(IF(OR(HLOOKUP($A279,#REF!,16,FALSE)&gt;2,HLOOKUP($A279,#REF!,16,FALSE)&lt;-2),"",#REF!),"")</f>
        <v/>
      </c>
      <c r="S279" t="str">
        <f>IFERROR(IF(OR(HLOOKUP($A279,#REF!,17,FALSE)&gt;2,HLOOKUP($A279,#REF!,17,FALSE)&lt;-2),"",#REF!),"")</f>
        <v/>
      </c>
      <c r="T279" t="str">
        <f>IFERROR(IF(OR(HLOOKUP($A279,#REF!,18,FALSE)&gt;2,HLOOKUP($A279,#REF!,18,FALSE)&lt;-2),"",#REF!),"")</f>
        <v/>
      </c>
      <c r="U279" t="str">
        <f>IFERROR(IF(OR(HLOOKUP($A279,#REF!,19,FALSE)&gt;2,HLOOKUP($A279,#REF!,19,FALSE)&lt;-2),"",#REF!),"")</f>
        <v/>
      </c>
      <c r="V279">
        <f t="shared" si="16"/>
        <v>1</v>
      </c>
      <c r="W279" t="str">
        <f t="shared" si="17"/>
        <v/>
      </c>
      <c r="X279" t="str">
        <f t="shared" si="18"/>
        <v/>
      </c>
      <c r="Y279" t="str">
        <f t="shared" si="19"/>
        <v/>
      </c>
    </row>
    <row r="280" spans="1:25" x14ac:dyDescent="0.35">
      <c r="A280">
        <v>287</v>
      </c>
      <c r="B280" t="s">
        <v>156</v>
      </c>
      <c r="C280">
        <v>54600</v>
      </c>
      <c r="D280">
        <v>809</v>
      </c>
      <c r="E280" t="str">
        <f>IFERROR(IF(OR(HLOOKUP($A280,#REF!,3,FALSE)&gt;2,HLOOKUP(A280,#REF!,3,FALSE)&lt;-2),"",#REF!),"")</f>
        <v/>
      </c>
      <c r="F280" t="str">
        <f>IFERROR(IF(OR(HLOOKUP($A280,#REF!,4,FALSE)&gt;2,HLOOKUP($A280,#REF!,4,FALSE)&lt;-2),"",#REF!),"")</f>
        <v/>
      </c>
      <c r="G280" t="str">
        <f>IFERROR(IF(OR(HLOOKUP($A280,#REF!,5,FALSE)&gt;2,HLOOKUP($A280,#REF!,5,FALSE)&lt;-2),"",#REF!),"")</f>
        <v/>
      </c>
      <c r="H280" t="str">
        <f>IFERROR(IF(OR(HLOOKUP($A280,#REF!,6,FALSE)&gt;2,HLOOKUP($A280,#REF!,6,FALSE)&lt;-2),"",#REF!),"")</f>
        <v/>
      </c>
      <c r="I280" t="str">
        <f>IFERROR(IF(OR(HLOOKUP($A280,#REF!,7,FALSE)&gt;2,HLOOKUP($A280,#REF!,7,FALSE)&lt;-2),"",#REF!),"")</f>
        <v/>
      </c>
      <c r="J280" t="str">
        <f>IFERROR(IF(OR(HLOOKUP($A280,#REF!,8,FALSE)&gt;2,HLOOKUP($A280,#REF!,8,FALSE)&lt;-2),"",#REF!),"")</f>
        <v/>
      </c>
      <c r="K280" t="str">
        <f>IFERROR(IF(OR(HLOOKUP($A280,#REF!,9,FALSE)&gt;2,HLOOKUP($A280,#REF!,9,FALSE)&lt;-2),"",#REF!),"")</f>
        <v/>
      </c>
      <c r="L280" t="str">
        <f>IFERROR(IF(OR(HLOOKUP($A280,#REF!,10,FALSE)&gt;2,HLOOKUP($A280,#REF!,10,FALSE)&lt;-2),"",#REF!),"")</f>
        <v/>
      </c>
      <c r="M280" t="str">
        <f>IFERROR(IF(OR(HLOOKUP($A280,#REF!,11,FALSE)&gt;2,HLOOKUP($A280,#REF!,11,FALSE)&lt;-2),"",#REF!),"")</f>
        <v/>
      </c>
      <c r="N280" t="str">
        <f>IFERROR(IF(OR(HLOOKUP($A280,#REF!,12,FALSE)&gt;2,HLOOKUP($A280,#REF!,12,FALSE)&lt;-2),"",#REF!),"")</f>
        <v/>
      </c>
      <c r="O280" t="str">
        <f>IFERROR(IF(OR(HLOOKUP($A280,#REF!,13,FALSE)&gt;2,HLOOKUP($A280,#REF!,13,FALSE)&lt;-2),"",#REF!),"")</f>
        <v/>
      </c>
      <c r="P280" t="str">
        <f>IFERROR(IF(OR(HLOOKUP($A280,#REF!,14,FALSE)&gt;2,HLOOKUP($A280,#REF!,14,FALSE)&lt;-2),"",#REF!),"")</f>
        <v/>
      </c>
      <c r="Q280" t="str">
        <f>IFERROR(IF(OR(HLOOKUP($A280,#REF!,15,FALSE)&gt;2,HLOOKUP($A280,#REF!,15,FALSE)&lt;-2),"",#REF!),"")</f>
        <v/>
      </c>
      <c r="R280" t="str">
        <f>IFERROR(IF(OR(HLOOKUP($A280,#REF!,16,FALSE)&gt;2,HLOOKUP($A280,#REF!,16,FALSE)&lt;-2),"",#REF!),"")</f>
        <v/>
      </c>
      <c r="S280" t="str">
        <f>IFERROR(IF(OR(HLOOKUP($A280,#REF!,17,FALSE)&gt;2,HLOOKUP($A280,#REF!,17,FALSE)&lt;-2),"",#REF!),"")</f>
        <v/>
      </c>
      <c r="T280" t="str">
        <f>IFERROR(IF(OR(HLOOKUP($A280,#REF!,18,FALSE)&gt;2,HLOOKUP($A280,#REF!,18,FALSE)&lt;-2),"",#REF!),"")</f>
        <v/>
      </c>
      <c r="U280" t="str">
        <f>IFERROR(IF(OR(HLOOKUP($A280,#REF!,19,FALSE)&gt;2,HLOOKUP($A280,#REF!,19,FALSE)&lt;-2),"",#REF!),"")</f>
        <v/>
      </c>
      <c r="V280">
        <f t="shared" si="16"/>
        <v>1</v>
      </c>
      <c r="W280" t="str">
        <f t="shared" si="17"/>
        <v/>
      </c>
      <c r="X280" t="str">
        <f t="shared" si="18"/>
        <v/>
      </c>
      <c r="Y280" t="str">
        <f t="shared" si="19"/>
        <v/>
      </c>
    </row>
    <row r="281" spans="1:25" x14ac:dyDescent="0.35">
      <c r="A281">
        <v>288</v>
      </c>
      <c r="B281" t="s">
        <v>157</v>
      </c>
      <c r="C281">
        <v>22900</v>
      </c>
      <c r="D281">
        <v>746</v>
      </c>
      <c r="E281" t="str">
        <f>IFERROR(IF(OR(HLOOKUP($A281,#REF!,3,FALSE)&gt;2,HLOOKUP(A281,#REF!,3,FALSE)&lt;-2),"",#REF!),"")</f>
        <v/>
      </c>
      <c r="F281" t="str">
        <f>IFERROR(IF(OR(HLOOKUP($A281,#REF!,4,FALSE)&gt;2,HLOOKUP($A281,#REF!,4,FALSE)&lt;-2),"",#REF!),"")</f>
        <v/>
      </c>
      <c r="G281" t="str">
        <f>IFERROR(IF(OR(HLOOKUP($A281,#REF!,5,FALSE)&gt;2,HLOOKUP($A281,#REF!,5,FALSE)&lt;-2),"",#REF!),"")</f>
        <v/>
      </c>
      <c r="H281" t="str">
        <f>IFERROR(IF(OR(HLOOKUP($A281,#REF!,6,FALSE)&gt;2,HLOOKUP($A281,#REF!,6,FALSE)&lt;-2),"",#REF!),"")</f>
        <v/>
      </c>
      <c r="I281" t="str">
        <f>IFERROR(IF(OR(HLOOKUP($A281,#REF!,7,FALSE)&gt;2,HLOOKUP($A281,#REF!,7,FALSE)&lt;-2),"",#REF!),"")</f>
        <v/>
      </c>
      <c r="J281" t="str">
        <f>IFERROR(IF(OR(HLOOKUP($A281,#REF!,8,FALSE)&gt;2,HLOOKUP($A281,#REF!,8,FALSE)&lt;-2),"",#REF!),"")</f>
        <v/>
      </c>
      <c r="K281" t="str">
        <f>IFERROR(IF(OR(HLOOKUP($A281,#REF!,9,FALSE)&gt;2,HLOOKUP($A281,#REF!,9,FALSE)&lt;-2),"",#REF!),"")</f>
        <v/>
      </c>
      <c r="L281" t="str">
        <f>IFERROR(IF(OR(HLOOKUP($A281,#REF!,10,FALSE)&gt;2,HLOOKUP($A281,#REF!,10,FALSE)&lt;-2),"",#REF!),"")</f>
        <v/>
      </c>
      <c r="M281" t="str">
        <f>IFERROR(IF(OR(HLOOKUP($A281,#REF!,11,FALSE)&gt;2,HLOOKUP($A281,#REF!,11,FALSE)&lt;-2),"",#REF!),"")</f>
        <v/>
      </c>
      <c r="N281" t="str">
        <f>IFERROR(IF(OR(HLOOKUP($A281,#REF!,12,FALSE)&gt;2,HLOOKUP($A281,#REF!,12,FALSE)&lt;-2),"",#REF!),"")</f>
        <v/>
      </c>
      <c r="O281" t="str">
        <f>IFERROR(IF(OR(HLOOKUP($A281,#REF!,13,FALSE)&gt;2,HLOOKUP($A281,#REF!,13,FALSE)&lt;-2),"",#REF!),"")</f>
        <v/>
      </c>
      <c r="P281" t="str">
        <f>IFERROR(IF(OR(HLOOKUP($A281,#REF!,14,FALSE)&gt;2,HLOOKUP($A281,#REF!,14,FALSE)&lt;-2),"",#REF!),"")</f>
        <v/>
      </c>
      <c r="Q281" t="str">
        <f>IFERROR(IF(OR(HLOOKUP($A281,#REF!,15,FALSE)&gt;2,HLOOKUP($A281,#REF!,15,FALSE)&lt;-2),"",#REF!),"")</f>
        <v/>
      </c>
      <c r="R281" t="str">
        <f>IFERROR(IF(OR(HLOOKUP($A281,#REF!,16,FALSE)&gt;2,HLOOKUP($A281,#REF!,16,FALSE)&lt;-2),"",#REF!),"")</f>
        <v/>
      </c>
      <c r="S281" t="str">
        <f>IFERROR(IF(OR(HLOOKUP($A281,#REF!,17,FALSE)&gt;2,HLOOKUP($A281,#REF!,17,FALSE)&lt;-2),"",#REF!),"")</f>
        <v/>
      </c>
      <c r="T281" t="str">
        <f>IFERROR(IF(OR(HLOOKUP($A281,#REF!,18,FALSE)&gt;2,HLOOKUP($A281,#REF!,18,FALSE)&lt;-2),"",#REF!),"")</f>
        <v/>
      </c>
      <c r="U281" t="str">
        <f>IFERROR(IF(OR(HLOOKUP($A281,#REF!,19,FALSE)&gt;2,HLOOKUP($A281,#REF!,19,FALSE)&lt;-2),"",#REF!),"")</f>
        <v/>
      </c>
      <c r="V281">
        <f t="shared" si="16"/>
        <v>1</v>
      </c>
      <c r="W281" t="str">
        <f t="shared" si="17"/>
        <v/>
      </c>
      <c r="X281" t="str">
        <f t="shared" si="18"/>
        <v/>
      </c>
      <c r="Y281" t="str">
        <f t="shared" si="19"/>
        <v/>
      </c>
    </row>
    <row r="282" spans="1:25" x14ac:dyDescent="0.35">
      <c r="A282">
        <v>289</v>
      </c>
      <c r="B282" t="s">
        <v>158</v>
      </c>
      <c r="C282">
        <v>28400</v>
      </c>
      <c r="D282">
        <v>541</v>
      </c>
      <c r="E282" t="str">
        <f>IFERROR(IF(OR(HLOOKUP($A282,#REF!,3,FALSE)&gt;2,HLOOKUP(A282,#REF!,3,FALSE)&lt;-2),"",#REF!),"")</f>
        <v/>
      </c>
      <c r="F282" t="str">
        <f>IFERROR(IF(OR(HLOOKUP($A282,#REF!,4,FALSE)&gt;2,HLOOKUP($A282,#REF!,4,FALSE)&lt;-2),"",#REF!),"")</f>
        <v/>
      </c>
      <c r="G282" t="str">
        <f>IFERROR(IF(OR(HLOOKUP($A282,#REF!,5,FALSE)&gt;2,HLOOKUP($A282,#REF!,5,FALSE)&lt;-2),"",#REF!),"")</f>
        <v/>
      </c>
      <c r="H282" t="str">
        <f>IFERROR(IF(OR(HLOOKUP($A282,#REF!,6,FALSE)&gt;2,HLOOKUP($A282,#REF!,6,FALSE)&lt;-2),"",#REF!),"")</f>
        <v/>
      </c>
      <c r="I282" t="str">
        <f>IFERROR(IF(OR(HLOOKUP($A282,#REF!,7,FALSE)&gt;2,HLOOKUP($A282,#REF!,7,FALSE)&lt;-2),"",#REF!),"")</f>
        <v/>
      </c>
      <c r="J282" t="str">
        <f>IFERROR(IF(OR(HLOOKUP($A282,#REF!,8,FALSE)&gt;2,HLOOKUP($A282,#REF!,8,FALSE)&lt;-2),"",#REF!),"")</f>
        <v/>
      </c>
      <c r="K282" t="str">
        <f>IFERROR(IF(OR(HLOOKUP($A282,#REF!,9,FALSE)&gt;2,HLOOKUP($A282,#REF!,9,FALSE)&lt;-2),"",#REF!),"")</f>
        <v/>
      </c>
      <c r="L282" t="str">
        <f>IFERROR(IF(OR(HLOOKUP($A282,#REF!,10,FALSE)&gt;2,HLOOKUP($A282,#REF!,10,FALSE)&lt;-2),"",#REF!),"")</f>
        <v/>
      </c>
      <c r="M282" t="str">
        <f>IFERROR(IF(OR(HLOOKUP($A282,#REF!,11,FALSE)&gt;2,HLOOKUP($A282,#REF!,11,FALSE)&lt;-2),"",#REF!),"")</f>
        <v/>
      </c>
      <c r="N282" t="str">
        <f>IFERROR(IF(OR(HLOOKUP($A282,#REF!,12,FALSE)&gt;2,HLOOKUP($A282,#REF!,12,FALSE)&lt;-2),"",#REF!),"")</f>
        <v/>
      </c>
      <c r="O282" t="str">
        <f>IFERROR(IF(OR(HLOOKUP($A282,#REF!,13,FALSE)&gt;2,HLOOKUP($A282,#REF!,13,FALSE)&lt;-2),"",#REF!),"")</f>
        <v/>
      </c>
      <c r="P282" t="str">
        <f>IFERROR(IF(OR(HLOOKUP($A282,#REF!,14,FALSE)&gt;2,HLOOKUP($A282,#REF!,14,FALSE)&lt;-2),"",#REF!),"")</f>
        <v/>
      </c>
      <c r="Q282" t="str">
        <f>IFERROR(IF(OR(HLOOKUP($A282,#REF!,15,FALSE)&gt;2,HLOOKUP($A282,#REF!,15,FALSE)&lt;-2),"",#REF!),"")</f>
        <v/>
      </c>
      <c r="R282" t="str">
        <f>IFERROR(IF(OR(HLOOKUP($A282,#REF!,16,FALSE)&gt;2,HLOOKUP($A282,#REF!,16,FALSE)&lt;-2),"",#REF!),"")</f>
        <v/>
      </c>
      <c r="S282" t="str">
        <f>IFERROR(IF(OR(HLOOKUP($A282,#REF!,17,FALSE)&gt;2,HLOOKUP($A282,#REF!,17,FALSE)&lt;-2),"",#REF!),"")</f>
        <v/>
      </c>
      <c r="T282" t="str">
        <f>IFERROR(IF(OR(HLOOKUP($A282,#REF!,18,FALSE)&gt;2,HLOOKUP($A282,#REF!,18,FALSE)&lt;-2),"",#REF!),"")</f>
        <v/>
      </c>
      <c r="U282" t="str">
        <f>IFERROR(IF(OR(HLOOKUP($A282,#REF!,19,FALSE)&gt;2,HLOOKUP($A282,#REF!,19,FALSE)&lt;-2),"",#REF!),"")</f>
        <v/>
      </c>
      <c r="V282">
        <f t="shared" si="16"/>
        <v>1</v>
      </c>
      <c r="W282" t="str">
        <f t="shared" si="17"/>
        <v/>
      </c>
      <c r="X282" t="str">
        <f t="shared" si="18"/>
        <v/>
      </c>
      <c r="Y282" t="str">
        <f t="shared" si="19"/>
        <v/>
      </c>
    </row>
    <row r="283" spans="1:25" x14ac:dyDescent="0.35">
      <c r="A283">
        <v>290</v>
      </c>
      <c r="B283" t="s">
        <v>727</v>
      </c>
      <c r="C283">
        <v>77200</v>
      </c>
      <c r="D283">
        <v>1097</v>
      </c>
      <c r="E283" t="str">
        <f>IFERROR(IF(OR(HLOOKUP($A283,#REF!,3,FALSE)&gt;2,HLOOKUP(A283,#REF!,3,FALSE)&lt;-2),"",#REF!),"")</f>
        <v/>
      </c>
      <c r="F283" t="str">
        <f>IFERROR(IF(OR(HLOOKUP($A283,#REF!,4,FALSE)&gt;2,HLOOKUP($A283,#REF!,4,FALSE)&lt;-2),"",#REF!),"")</f>
        <v/>
      </c>
      <c r="G283" t="str">
        <f>IFERROR(IF(OR(HLOOKUP($A283,#REF!,5,FALSE)&gt;2,HLOOKUP($A283,#REF!,5,FALSE)&lt;-2),"",#REF!),"")</f>
        <v/>
      </c>
      <c r="H283" t="str">
        <f>IFERROR(IF(OR(HLOOKUP($A283,#REF!,6,FALSE)&gt;2,HLOOKUP($A283,#REF!,6,FALSE)&lt;-2),"",#REF!),"")</f>
        <v/>
      </c>
      <c r="I283" t="str">
        <f>IFERROR(IF(OR(HLOOKUP($A283,#REF!,7,FALSE)&gt;2,HLOOKUP($A283,#REF!,7,FALSE)&lt;-2),"",#REF!),"")</f>
        <v/>
      </c>
      <c r="J283" t="str">
        <f>IFERROR(IF(OR(HLOOKUP($A283,#REF!,8,FALSE)&gt;2,HLOOKUP($A283,#REF!,8,FALSE)&lt;-2),"",#REF!),"")</f>
        <v/>
      </c>
      <c r="K283" t="str">
        <f>IFERROR(IF(OR(HLOOKUP($A283,#REF!,9,FALSE)&gt;2,HLOOKUP($A283,#REF!,9,FALSE)&lt;-2),"",#REF!),"")</f>
        <v/>
      </c>
      <c r="L283" t="str">
        <f>IFERROR(IF(OR(HLOOKUP($A283,#REF!,10,FALSE)&gt;2,HLOOKUP($A283,#REF!,10,FALSE)&lt;-2),"",#REF!),"")</f>
        <v/>
      </c>
      <c r="M283" t="str">
        <f>IFERROR(IF(OR(HLOOKUP($A283,#REF!,11,FALSE)&gt;2,HLOOKUP($A283,#REF!,11,FALSE)&lt;-2),"",#REF!),"")</f>
        <v/>
      </c>
      <c r="N283" t="str">
        <f>IFERROR(IF(OR(HLOOKUP($A283,#REF!,12,FALSE)&gt;2,HLOOKUP($A283,#REF!,12,FALSE)&lt;-2),"",#REF!),"")</f>
        <v/>
      </c>
      <c r="O283" t="str">
        <f>IFERROR(IF(OR(HLOOKUP($A283,#REF!,13,FALSE)&gt;2,HLOOKUP($A283,#REF!,13,FALSE)&lt;-2),"",#REF!),"")</f>
        <v/>
      </c>
      <c r="P283" t="str">
        <f>IFERROR(IF(OR(HLOOKUP($A283,#REF!,14,FALSE)&gt;2,HLOOKUP($A283,#REF!,14,FALSE)&lt;-2),"",#REF!),"")</f>
        <v/>
      </c>
      <c r="Q283" t="str">
        <f>IFERROR(IF(OR(HLOOKUP($A283,#REF!,15,FALSE)&gt;2,HLOOKUP($A283,#REF!,15,FALSE)&lt;-2),"",#REF!),"")</f>
        <v/>
      </c>
      <c r="R283" t="str">
        <f>IFERROR(IF(OR(HLOOKUP($A283,#REF!,16,FALSE)&gt;2,HLOOKUP($A283,#REF!,16,FALSE)&lt;-2),"",#REF!),"")</f>
        <v/>
      </c>
      <c r="S283" t="str">
        <f>IFERROR(IF(OR(HLOOKUP($A283,#REF!,17,FALSE)&gt;2,HLOOKUP($A283,#REF!,17,FALSE)&lt;-2),"",#REF!),"")</f>
        <v/>
      </c>
      <c r="T283" t="str">
        <f>IFERROR(IF(OR(HLOOKUP($A283,#REF!,18,FALSE)&gt;2,HLOOKUP($A283,#REF!,18,FALSE)&lt;-2),"",#REF!),"")</f>
        <v/>
      </c>
      <c r="U283" t="str">
        <f>IFERROR(IF(OR(HLOOKUP($A283,#REF!,19,FALSE)&gt;2,HLOOKUP($A283,#REF!,19,FALSE)&lt;-2),"",#REF!),"")</f>
        <v/>
      </c>
      <c r="V283">
        <f t="shared" si="16"/>
        <v>1</v>
      </c>
      <c r="W283" t="str">
        <f t="shared" si="17"/>
        <v/>
      </c>
      <c r="X283" t="str">
        <f t="shared" si="18"/>
        <v/>
      </c>
      <c r="Y283" t="str">
        <f t="shared" si="19"/>
        <v/>
      </c>
    </row>
    <row r="284" spans="1:25" x14ac:dyDescent="0.35">
      <c r="A284">
        <v>291</v>
      </c>
      <c r="B284" t="s">
        <v>728</v>
      </c>
      <c r="C284">
        <v>34000</v>
      </c>
      <c r="D284">
        <v>961</v>
      </c>
      <c r="E284" t="str">
        <f>IFERROR(IF(OR(HLOOKUP($A284,#REF!,3,FALSE)&gt;2,HLOOKUP(A284,#REF!,3,FALSE)&lt;-2),"",#REF!),"")</f>
        <v/>
      </c>
      <c r="F284" t="str">
        <f>IFERROR(IF(OR(HLOOKUP($A284,#REF!,4,FALSE)&gt;2,HLOOKUP($A284,#REF!,4,FALSE)&lt;-2),"",#REF!),"")</f>
        <v/>
      </c>
      <c r="G284" t="str">
        <f>IFERROR(IF(OR(HLOOKUP($A284,#REF!,5,FALSE)&gt;2,HLOOKUP($A284,#REF!,5,FALSE)&lt;-2),"",#REF!),"")</f>
        <v/>
      </c>
      <c r="H284" t="str">
        <f>IFERROR(IF(OR(HLOOKUP($A284,#REF!,6,FALSE)&gt;2,HLOOKUP($A284,#REF!,6,FALSE)&lt;-2),"",#REF!),"")</f>
        <v/>
      </c>
      <c r="I284" t="str">
        <f>IFERROR(IF(OR(HLOOKUP($A284,#REF!,7,FALSE)&gt;2,HLOOKUP($A284,#REF!,7,FALSE)&lt;-2),"",#REF!),"")</f>
        <v/>
      </c>
      <c r="J284" t="str">
        <f>IFERROR(IF(OR(HLOOKUP($A284,#REF!,8,FALSE)&gt;2,HLOOKUP($A284,#REF!,8,FALSE)&lt;-2),"",#REF!),"")</f>
        <v/>
      </c>
      <c r="K284" t="str">
        <f>IFERROR(IF(OR(HLOOKUP($A284,#REF!,9,FALSE)&gt;2,HLOOKUP($A284,#REF!,9,FALSE)&lt;-2),"",#REF!),"")</f>
        <v/>
      </c>
      <c r="L284" t="str">
        <f>IFERROR(IF(OR(HLOOKUP($A284,#REF!,10,FALSE)&gt;2,HLOOKUP($A284,#REF!,10,FALSE)&lt;-2),"",#REF!),"")</f>
        <v/>
      </c>
      <c r="M284" t="str">
        <f>IFERROR(IF(OR(HLOOKUP($A284,#REF!,11,FALSE)&gt;2,HLOOKUP($A284,#REF!,11,FALSE)&lt;-2),"",#REF!),"")</f>
        <v/>
      </c>
      <c r="N284" t="str">
        <f>IFERROR(IF(OR(HLOOKUP($A284,#REF!,12,FALSE)&gt;2,HLOOKUP($A284,#REF!,12,FALSE)&lt;-2),"",#REF!),"")</f>
        <v/>
      </c>
      <c r="O284" t="str">
        <f>IFERROR(IF(OR(HLOOKUP($A284,#REF!,13,FALSE)&gt;2,HLOOKUP($A284,#REF!,13,FALSE)&lt;-2),"",#REF!),"")</f>
        <v/>
      </c>
      <c r="P284" t="str">
        <f>IFERROR(IF(OR(HLOOKUP($A284,#REF!,14,FALSE)&gt;2,HLOOKUP($A284,#REF!,14,FALSE)&lt;-2),"",#REF!),"")</f>
        <v/>
      </c>
      <c r="Q284" t="str">
        <f>IFERROR(IF(OR(HLOOKUP($A284,#REF!,15,FALSE)&gt;2,HLOOKUP($A284,#REF!,15,FALSE)&lt;-2),"",#REF!),"")</f>
        <v/>
      </c>
      <c r="R284" t="str">
        <f>IFERROR(IF(OR(HLOOKUP($A284,#REF!,16,FALSE)&gt;2,HLOOKUP($A284,#REF!,16,FALSE)&lt;-2),"",#REF!),"")</f>
        <v/>
      </c>
      <c r="S284" t="str">
        <f>IFERROR(IF(OR(HLOOKUP($A284,#REF!,17,FALSE)&gt;2,HLOOKUP($A284,#REF!,17,FALSE)&lt;-2),"",#REF!),"")</f>
        <v/>
      </c>
      <c r="T284" t="str">
        <f>IFERROR(IF(OR(HLOOKUP($A284,#REF!,18,FALSE)&gt;2,HLOOKUP($A284,#REF!,18,FALSE)&lt;-2),"",#REF!),"")</f>
        <v/>
      </c>
      <c r="U284" t="str">
        <f>IFERROR(IF(OR(HLOOKUP($A284,#REF!,19,FALSE)&gt;2,HLOOKUP($A284,#REF!,19,FALSE)&lt;-2),"",#REF!),"")</f>
        <v/>
      </c>
      <c r="V284">
        <f t="shared" si="16"/>
        <v>1</v>
      </c>
      <c r="W284" t="str">
        <f t="shared" si="17"/>
        <v/>
      </c>
      <c r="X284" t="str">
        <f t="shared" si="18"/>
        <v/>
      </c>
      <c r="Y284" t="str">
        <f t="shared" si="19"/>
        <v/>
      </c>
    </row>
    <row r="285" spans="1:25" x14ac:dyDescent="0.35">
      <c r="A285">
        <v>292</v>
      </c>
      <c r="B285" t="s">
        <v>159</v>
      </c>
      <c r="C285">
        <v>50200</v>
      </c>
      <c r="D285">
        <v>278</v>
      </c>
      <c r="E285" t="str">
        <f>IFERROR(IF(OR(HLOOKUP($A285,#REF!,3,FALSE)&gt;2,HLOOKUP(A285,#REF!,3,FALSE)&lt;-2),"",#REF!),"")</f>
        <v/>
      </c>
      <c r="F285" t="str">
        <f>IFERROR(IF(OR(HLOOKUP($A285,#REF!,4,FALSE)&gt;2,HLOOKUP($A285,#REF!,4,FALSE)&lt;-2),"",#REF!),"")</f>
        <v/>
      </c>
      <c r="G285" t="str">
        <f>IFERROR(IF(OR(HLOOKUP($A285,#REF!,5,FALSE)&gt;2,HLOOKUP($A285,#REF!,5,FALSE)&lt;-2),"",#REF!),"")</f>
        <v/>
      </c>
      <c r="H285" t="str">
        <f>IFERROR(IF(OR(HLOOKUP($A285,#REF!,6,FALSE)&gt;2,HLOOKUP($A285,#REF!,6,FALSE)&lt;-2),"",#REF!),"")</f>
        <v/>
      </c>
      <c r="I285" t="str">
        <f>IFERROR(IF(OR(HLOOKUP($A285,#REF!,7,FALSE)&gt;2,HLOOKUP($A285,#REF!,7,FALSE)&lt;-2),"",#REF!),"")</f>
        <v/>
      </c>
      <c r="J285" t="str">
        <f>IFERROR(IF(OR(HLOOKUP($A285,#REF!,8,FALSE)&gt;2,HLOOKUP($A285,#REF!,8,FALSE)&lt;-2),"",#REF!),"")</f>
        <v/>
      </c>
      <c r="K285" t="str">
        <f>IFERROR(IF(OR(HLOOKUP($A285,#REF!,9,FALSE)&gt;2,HLOOKUP($A285,#REF!,9,FALSE)&lt;-2),"",#REF!),"")</f>
        <v/>
      </c>
      <c r="L285" t="str">
        <f>IFERROR(IF(OR(HLOOKUP($A285,#REF!,10,FALSE)&gt;2,HLOOKUP($A285,#REF!,10,FALSE)&lt;-2),"",#REF!),"")</f>
        <v/>
      </c>
      <c r="M285" t="str">
        <f>IFERROR(IF(OR(HLOOKUP($A285,#REF!,11,FALSE)&gt;2,HLOOKUP($A285,#REF!,11,FALSE)&lt;-2),"",#REF!),"")</f>
        <v/>
      </c>
      <c r="N285" t="str">
        <f>IFERROR(IF(OR(HLOOKUP($A285,#REF!,12,FALSE)&gt;2,HLOOKUP($A285,#REF!,12,FALSE)&lt;-2),"",#REF!),"")</f>
        <v/>
      </c>
      <c r="O285" t="str">
        <f>IFERROR(IF(OR(HLOOKUP($A285,#REF!,13,FALSE)&gt;2,HLOOKUP($A285,#REF!,13,FALSE)&lt;-2),"",#REF!),"")</f>
        <v/>
      </c>
      <c r="P285" t="str">
        <f>IFERROR(IF(OR(HLOOKUP($A285,#REF!,14,FALSE)&gt;2,HLOOKUP($A285,#REF!,14,FALSE)&lt;-2),"",#REF!),"")</f>
        <v/>
      </c>
      <c r="Q285" t="str">
        <f>IFERROR(IF(OR(HLOOKUP($A285,#REF!,15,FALSE)&gt;2,HLOOKUP($A285,#REF!,15,FALSE)&lt;-2),"",#REF!),"")</f>
        <v/>
      </c>
      <c r="R285" t="str">
        <f>IFERROR(IF(OR(HLOOKUP($A285,#REF!,16,FALSE)&gt;2,HLOOKUP($A285,#REF!,16,FALSE)&lt;-2),"",#REF!),"")</f>
        <v/>
      </c>
      <c r="S285" t="str">
        <f>IFERROR(IF(OR(HLOOKUP($A285,#REF!,17,FALSE)&gt;2,HLOOKUP($A285,#REF!,17,FALSE)&lt;-2),"",#REF!),"")</f>
        <v/>
      </c>
      <c r="T285" t="str">
        <f>IFERROR(IF(OR(HLOOKUP($A285,#REF!,18,FALSE)&gt;2,HLOOKUP($A285,#REF!,18,FALSE)&lt;-2),"",#REF!),"")</f>
        <v/>
      </c>
      <c r="U285" t="str">
        <f>IFERROR(IF(OR(HLOOKUP($A285,#REF!,19,FALSE)&gt;2,HLOOKUP($A285,#REF!,19,FALSE)&lt;-2),"",#REF!),"")</f>
        <v/>
      </c>
      <c r="V285">
        <f t="shared" si="16"/>
        <v>1</v>
      </c>
      <c r="W285" t="str">
        <f t="shared" si="17"/>
        <v/>
      </c>
      <c r="X285" t="str">
        <f t="shared" si="18"/>
        <v/>
      </c>
      <c r="Y285" t="str">
        <f t="shared" si="19"/>
        <v/>
      </c>
    </row>
    <row r="286" spans="1:25" x14ac:dyDescent="0.35">
      <c r="A286">
        <v>293</v>
      </c>
      <c r="B286" t="s">
        <v>729</v>
      </c>
      <c r="C286">
        <v>103700</v>
      </c>
      <c r="D286">
        <v>871</v>
      </c>
      <c r="E286" t="str">
        <f>IFERROR(IF(OR(HLOOKUP($A286,#REF!,3,FALSE)&gt;2,HLOOKUP(A286,#REF!,3,FALSE)&lt;-2),"",#REF!),"")</f>
        <v/>
      </c>
      <c r="F286" t="str">
        <f>IFERROR(IF(OR(HLOOKUP($A286,#REF!,4,FALSE)&gt;2,HLOOKUP($A286,#REF!,4,FALSE)&lt;-2),"",#REF!),"")</f>
        <v/>
      </c>
      <c r="G286" t="str">
        <f>IFERROR(IF(OR(HLOOKUP($A286,#REF!,5,FALSE)&gt;2,HLOOKUP($A286,#REF!,5,FALSE)&lt;-2),"",#REF!),"")</f>
        <v/>
      </c>
      <c r="H286" t="str">
        <f>IFERROR(IF(OR(HLOOKUP($A286,#REF!,6,FALSE)&gt;2,HLOOKUP($A286,#REF!,6,FALSE)&lt;-2),"",#REF!),"")</f>
        <v/>
      </c>
      <c r="I286" t="str">
        <f>IFERROR(IF(OR(HLOOKUP($A286,#REF!,7,FALSE)&gt;2,HLOOKUP($A286,#REF!,7,FALSE)&lt;-2),"",#REF!),"")</f>
        <v/>
      </c>
      <c r="J286" t="str">
        <f>IFERROR(IF(OR(HLOOKUP($A286,#REF!,8,FALSE)&gt;2,HLOOKUP($A286,#REF!,8,FALSE)&lt;-2),"",#REF!),"")</f>
        <v/>
      </c>
      <c r="K286" t="str">
        <f>IFERROR(IF(OR(HLOOKUP($A286,#REF!,9,FALSE)&gt;2,HLOOKUP($A286,#REF!,9,FALSE)&lt;-2),"",#REF!),"")</f>
        <v/>
      </c>
      <c r="L286" t="str">
        <f>IFERROR(IF(OR(HLOOKUP($A286,#REF!,10,FALSE)&gt;2,HLOOKUP($A286,#REF!,10,FALSE)&lt;-2),"",#REF!),"")</f>
        <v/>
      </c>
      <c r="M286" t="str">
        <f>IFERROR(IF(OR(HLOOKUP($A286,#REF!,11,FALSE)&gt;2,HLOOKUP($A286,#REF!,11,FALSE)&lt;-2),"",#REF!),"")</f>
        <v/>
      </c>
      <c r="N286" t="str">
        <f>IFERROR(IF(OR(HLOOKUP($A286,#REF!,12,FALSE)&gt;2,HLOOKUP($A286,#REF!,12,FALSE)&lt;-2),"",#REF!),"")</f>
        <v/>
      </c>
      <c r="O286" t="str">
        <f>IFERROR(IF(OR(HLOOKUP($A286,#REF!,13,FALSE)&gt;2,HLOOKUP($A286,#REF!,13,FALSE)&lt;-2),"",#REF!),"")</f>
        <v/>
      </c>
      <c r="P286" t="str">
        <f>IFERROR(IF(OR(HLOOKUP($A286,#REF!,14,FALSE)&gt;2,HLOOKUP($A286,#REF!,14,FALSE)&lt;-2),"",#REF!),"")</f>
        <v/>
      </c>
      <c r="Q286" t="str">
        <f>IFERROR(IF(OR(HLOOKUP($A286,#REF!,15,FALSE)&gt;2,HLOOKUP($A286,#REF!,15,FALSE)&lt;-2),"",#REF!),"")</f>
        <v/>
      </c>
      <c r="R286" t="str">
        <f>IFERROR(IF(OR(HLOOKUP($A286,#REF!,16,FALSE)&gt;2,HLOOKUP($A286,#REF!,16,FALSE)&lt;-2),"",#REF!),"")</f>
        <v/>
      </c>
      <c r="S286" t="str">
        <f>IFERROR(IF(OR(HLOOKUP($A286,#REF!,17,FALSE)&gt;2,HLOOKUP($A286,#REF!,17,FALSE)&lt;-2),"",#REF!),"")</f>
        <v/>
      </c>
      <c r="T286" t="str">
        <f>IFERROR(IF(OR(HLOOKUP($A286,#REF!,18,FALSE)&gt;2,HLOOKUP($A286,#REF!,18,FALSE)&lt;-2),"",#REF!),"")</f>
        <v/>
      </c>
      <c r="U286" t="str">
        <f>IFERROR(IF(OR(HLOOKUP($A286,#REF!,19,FALSE)&gt;2,HLOOKUP($A286,#REF!,19,FALSE)&lt;-2),"",#REF!),"")</f>
        <v/>
      </c>
      <c r="V286">
        <f t="shared" si="16"/>
        <v>1</v>
      </c>
      <c r="W286" t="str">
        <f t="shared" si="17"/>
        <v/>
      </c>
      <c r="X286" t="str">
        <f t="shared" si="18"/>
        <v/>
      </c>
      <c r="Y286" t="str">
        <f t="shared" si="19"/>
        <v/>
      </c>
    </row>
    <row r="287" spans="1:25" x14ac:dyDescent="0.35">
      <c r="A287">
        <v>294</v>
      </c>
      <c r="B287" t="s">
        <v>730</v>
      </c>
      <c r="C287">
        <v>80700</v>
      </c>
      <c r="D287">
        <v>323</v>
      </c>
      <c r="E287" t="str">
        <f>IFERROR(IF(OR(HLOOKUP($A287,#REF!,3,FALSE)&gt;2,HLOOKUP(A287,#REF!,3,FALSE)&lt;-2),"",#REF!),"")</f>
        <v/>
      </c>
      <c r="F287" t="str">
        <f>IFERROR(IF(OR(HLOOKUP($A287,#REF!,4,FALSE)&gt;2,HLOOKUP($A287,#REF!,4,FALSE)&lt;-2),"",#REF!),"")</f>
        <v/>
      </c>
      <c r="G287" t="str">
        <f>IFERROR(IF(OR(HLOOKUP($A287,#REF!,5,FALSE)&gt;2,HLOOKUP($A287,#REF!,5,FALSE)&lt;-2),"",#REF!),"")</f>
        <v/>
      </c>
      <c r="H287" t="str">
        <f>IFERROR(IF(OR(HLOOKUP($A287,#REF!,6,FALSE)&gt;2,HLOOKUP($A287,#REF!,6,FALSE)&lt;-2),"",#REF!),"")</f>
        <v/>
      </c>
      <c r="I287" t="str">
        <f>IFERROR(IF(OR(HLOOKUP($A287,#REF!,7,FALSE)&gt;2,HLOOKUP($A287,#REF!,7,FALSE)&lt;-2),"",#REF!),"")</f>
        <v/>
      </c>
      <c r="J287" t="str">
        <f>IFERROR(IF(OR(HLOOKUP($A287,#REF!,8,FALSE)&gt;2,HLOOKUP($A287,#REF!,8,FALSE)&lt;-2),"",#REF!),"")</f>
        <v/>
      </c>
      <c r="K287" t="str">
        <f>IFERROR(IF(OR(HLOOKUP($A287,#REF!,9,FALSE)&gt;2,HLOOKUP($A287,#REF!,9,FALSE)&lt;-2),"",#REF!),"")</f>
        <v/>
      </c>
      <c r="L287" t="str">
        <f>IFERROR(IF(OR(HLOOKUP($A287,#REF!,10,FALSE)&gt;2,HLOOKUP($A287,#REF!,10,FALSE)&lt;-2),"",#REF!),"")</f>
        <v/>
      </c>
      <c r="M287" t="str">
        <f>IFERROR(IF(OR(HLOOKUP($A287,#REF!,11,FALSE)&gt;2,HLOOKUP($A287,#REF!,11,FALSE)&lt;-2),"",#REF!),"")</f>
        <v/>
      </c>
      <c r="N287" t="str">
        <f>IFERROR(IF(OR(HLOOKUP($A287,#REF!,12,FALSE)&gt;2,HLOOKUP($A287,#REF!,12,FALSE)&lt;-2),"",#REF!),"")</f>
        <v/>
      </c>
      <c r="O287" t="str">
        <f>IFERROR(IF(OR(HLOOKUP($A287,#REF!,13,FALSE)&gt;2,HLOOKUP($A287,#REF!,13,FALSE)&lt;-2),"",#REF!),"")</f>
        <v/>
      </c>
      <c r="P287" t="str">
        <f>IFERROR(IF(OR(HLOOKUP($A287,#REF!,14,FALSE)&gt;2,HLOOKUP($A287,#REF!,14,FALSE)&lt;-2),"",#REF!),"")</f>
        <v/>
      </c>
      <c r="Q287" t="str">
        <f>IFERROR(IF(OR(HLOOKUP($A287,#REF!,15,FALSE)&gt;2,HLOOKUP($A287,#REF!,15,FALSE)&lt;-2),"",#REF!),"")</f>
        <v/>
      </c>
      <c r="R287" t="str">
        <f>IFERROR(IF(OR(HLOOKUP($A287,#REF!,16,FALSE)&gt;2,HLOOKUP($A287,#REF!,16,FALSE)&lt;-2),"",#REF!),"")</f>
        <v/>
      </c>
      <c r="S287" t="str">
        <f>IFERROR(IF(OR(HLOOKUP($A287,#REF!,17,FALSE)&gt;2,HLOOKUP($A287,#REF!,17,FALSE)&lt;-2),"",#REF!),"")</f>
        <v/>
      </c>
      <c r="T287" t="str">
        <f>IFERROR(IF(OR(HLOOKUP($A287,#REF!,18,FALSE)&gt;2,HLOOKUP($A287,#REF!,18,FALSE)&lt;-2),"",#REF!),"")</f>
        <v/>
      </c>
      <c r="U287" t="str">
        <f>IFERROR(IF(OR(HLOOKUP($A287,#REF!,19,FALSE)&gt;2,HLOOKUP($A287,#REF!,19,FALSE)&lt;-2),"",#REF!),"")</f>
        <v/>
      </c>
      <c r="V287">
        <f t="shared" si="16"/>
        <v>1</v>
      </c>
      <c r="W287" t="str">
        <f t="shared" si="17"/>
        <v/>
      </c>
      <c r="X287" t="str">
        <f t="shared" si="18"/>
        <v/>
      </c>
      <c r="Y287" t="str">
        <f t="shared" si="19"/>
        <v/>
      </c>
    </row>
    <row r="288" spans="1:25" x14ac:dyDescent="0.35">
      <c r="A288">
        <v>295</v>
      </c>
      <c r="B288" t="s">
        <v>160</v>
      </c>
      <c r="C288">
        <v>47100</v>
      </c>
      <c r="D288">
        <v>703</v>
      </c>
      <c r="E288" t="str">
        <f>IFERROR(IF(OR(HLOOKUP($A288,#REF!,3,FALSE)&gt;2,HLOOKUP(A288,#REF!,3,FALSE)&lt;-2),"",#REF!),"")</f>
        <v/>
      </c>
      <c r="F288" t="str">
        <f>IFERROR(IF(OR(HLOOKUP($A288,#REF!,4,FALSE)&gt;2,HLOOKUP($A288,#REF!,4,FALSE)&lt;-2),"",#REF!),"")</f>
        <v/>
      </c>
      <c r="G288" t="str">
        <f>IFERROR(IF(OR(HLOOKUP($A288,#REF!,5,FALSE)&gt;2,HLOOKUP($A288,#REF!,5,FALSE)&lt;-2),"",#REF!),"")</f>
        <v/>
      </c>
      <c r="H288" t="str">
        <f>IFERROR(IF(OR(HLOOKUP($A288,#REF!,6,FALSE)&gt;2,HLOOKUP($A288,#REF!,6,FALSE)&lt;-2),"",#REF!),"")</f>
        <v/>
      </c>
      <c r="I288" t="str">
        <f>IFERROR(IF(OR(HLOOKUP($A288,#REF!,7,FALSE)&gt;2,HLOOKUP($A288,#REF!,7,FALSE)&lt;-2),"",#REF!),"")</f>
        <v/>
      </c>
      <c r="J288" t="str">
        <f>IFERROR(IF(OR(HLOOKUP($A288,#REF!,8,FALSE)&gt;2,HLOOKUP($A288,#REF!,8,FALSE)&lt;-2),"",#REF!),"")</f>
        <v/>
      </c>
      <c r="K288" t="str">
        <f>IFERROR(IF(OR(HLOOKUP($A288,#REF!,9,FALSE)&gt;2,HLOOKUP($A288,#REF!,9,FALSE)&lt;-2),"",#REF!),"")</f>
        <v/>
      </c>
      <c r="L288" t="str">
        <f>IFERROR(IF(OR(HLOOKUP($A288,#REF!,10,FALSE)&gt;2,HLOOKUP($A288,#REF!,10,FALSE)&lt;-2),"",#REF!),"")</f>
        <v/>
      </c>
      <c r="M288" t="str">
        <f>IFERROR(IF(OR(HLOOKUP($A288,#REF!,11,FALSE)&gt;2,HLOOKUP($A288,#REF!,11,FALSE)&lt;-2),"",#REF!),"")</f>
        <v/>
      </c>
      <c r="N288" t="str">
        <f>IFERROR(IF(OR(HLOOKUP($A288,#REF!,12,FALSE)&gt;2,HLOOKUP($A288,#REF!,12,FALSE)&lt;-2),"",#REF!),"")</f>
        <v/>
      </c>
      <c r="O288" t="str">
        <f>IFERROR(IF(OR(HLOOKUP($A288,#REF!,13,FALSE)&gt;2,HLOOKUP($A288,#REF!,13,FALSE)&lt;-2),"",#REF!),"")</f>
        <v/>
      </c>
      <c r="P288" t="str">
        <f>IFERROR(IF(OR(HLOOKUP($A288,#REF!,14,FALSE)&gt;2,HLOOKUP($A288,#REF!,14,FALSE)&lt;-2),"",#REF!),"")</f>
        <v/>
      </c>
      <c r="Q288" t="str">
        <f>IFERROR(IF(OR(HLOOKUP($A288,#REF!,15,FALSE)&gt;2,HLOOKUP($A288,#REF!,15,FALSE)&lt;-2),"",#REF!),"")</f>
        <v/>
      </c>
      <c r="R288" t="str">
        <f>IFERROR(IF(OR(HLOOKUP($A288,#REF!,16,FALSE)&gt;2,HLOOKUP($A288,#REF!,16,FALSE)&lt;-2),"",#REF!),"")</f>
        <v/>
      </c>
      <c r="S288" t="str">
        <f>IFERROR(IF(OR(HLOOKUP($A288,#REF!,17,FALSE)&gt;2,HLOOKUP($A288,#REF!,17,FALSE)&lt;-2),"",#REF!),"")</f>
        <v/>
      </c>
      <c r="T288" t="str">
        <f>IFERROR(IF(OR(HLOOKUP($A288,#REF!,18,FALSE)&gt;2,HLOOKUP($A288,#REF!,18,FALSE)&lt;-2),"",#REF!),"")</f>
        <v/>
      </c>
      <c r="U288" t="str">
        <f>IFERROR(IF(OR(HLOOKUP($A288,#REF!,19,FALSE)&gt;2,HLOOKUP($A288,#REF!,19,FALSE)&lt;-2),"",#REF!),"")</f>
        <v/>
      </c>
      <c r="V288">
        <f t="shared" si="16"/>
        <v>1</v>
      </c>
      <c r="W288" t="str">
        <f t="shared" si="17"/>
        <v/>
      </c>
      <c r="X288" t="str">
        <f t="shared" si="18"/>
        <v/>
      </c>
      <c r="Y288" t="str">
        <f t="shared" si="19"/>
        <v/>
      </c>
    </row>
    <row r="289" spans="1:25" x14ac:dyDescent="0.35">
      <c r="A289">
        <v>296</v>
      </c>
      <c r="B289" t="s">
        <v>161</v>
      </c>
      <c r="C289">
        <v>19700</v>
      </c>
      <c r="D289">
        <v>48</v>
      </c>
      <c r="E289" t="str">
        <f>IFERROR(IF(OR(HLOOKUP($A289,#REF!,3,FALSE)&gt;2,HLOOKUP(A289,#REF!,3,FALSE)&lt;-2),"",#REF!),"")</f>
        <v/>
      </c>
      <c r="F289" t="str">
        <f>IFERROR(IF(OR(HLOOKUP($A289,#REF!,4,FALSE)&gt;2,HLOOKUP($A289,#REF!,4,FALSE)&lt;-2),"",#REF!),"")</f>
        <v/>
      </c>
      <c r="G289" t="str">
        <f>IFERROR(IF(OR(HLOOKUP($A289,#REF!,5,FALSE)&gt;2,HLOOKUP($A289,#REF!,5,FALSE)&lt;-2),"",#REF!),"")</f>
        <v/>
      </c>
      <c r="H289" t="str">
        <f>IFERROR(IF(OR(HLOOKUP($A289,#REF!,6,FALSE)&gt;2,HLOOKUP($A289,#REF!,6,FALSE)&lt;-2),"",#REF!),"")</f>
        <v/>
      </c>
      <c r="I289" t="str">
        <f>IFERROR(IF(OR(HLOOKUP($A289,#REF!,7,FALSE)&gt;2,HLOOKUP($A289,#REF!,7,FALSE)&lt;-2),"",#REF!),"")</f>
        <v/>
      </c>
      <c r="J289" t="str">
        <f>IFERROR(IF(OR(HLOOKUP($A289,#REF!,8,FALSE)&gt;2,HLOOKUP($A289,#REF!,8,FALSE)&lt;-2),"",#REF!),"")</f>
        <v/>
      </c>
      <c r="K289" t="str">
        <f>IFERROR(IF(OR(HLOOKUP($A289,#REF!,9,FALSE)&gt;2,HLOOKUP($A289,#REF!,9,FALSE)&lt;-2),"",#REF!),"")</f>
        <v/>
      </c>
      <c r="L289" t="str">
        <f>IFERROR(IF(OR(HLOOKUP($A289,#REF!,10,FALSE)&gt;2,HLOOKUP($A289,#REF!,10,FALSE)&lt;-2),"",#REF!),"")</f>
        <v/>
      </c>
      <c r="M289" t="str">
        <f>IFERROR(IF(OR(HLOOKUP($A289,#REF!,11,FALSE)&gt;2,HLOOKUP($A289,#REF!,11,FALSE)&lt;-2),"",#REF!),"")</f>
        <v/>
      </c>
      <c r="N289" t="str">
        <f>IFERROR(IF(OR(HLOOKUP($A289,#REF!,12,FALSE)&gt;2,HLOOKUP($A289,#REF!,12,FALSE)&lt;-2),"",#REF!),"")</f>
        <v/>
      </c>
      <c r="O289" t="str">
        <f>IFERROR(IF(OR(HLOOKUP($A289,#REF!,13,FALSE)&gt;2,HLOOKUP($A289,#REF!,13,FALSE)&lt;-2),"",#REF!),"")</f>
        <v/>
      </c>
      <c r="P289" t="str">
        <f>IFERROR(IF(OR(HLOOKUP($A289,#REF!,14,FALSE)&gt;2,HLOOKUP($A289,#REF!,14,FALSE)&lt;-2),"",#REF!),"")</f>
        <v/>
      </c>
      <c r="Q289" t="str">
        <f>IFERROR(IF(OR(HLOOKUP($A289,#REF!,15,FALSE)&gt;2,HLOOKUP($A289,#REF!,15,FALSE)&lt;-2),"",#REF!),"")</f>
        <v/>
      </c>
      <c r="R289" t="str">
        <f>IFERROR(IF(OR(HLOOKUP($A289,#REF!,16,FALSE)&gt;2,HLOOKUP($A289,#REF!,16,FALSE)&lt;-2),"",#REF!),"")</f>
        <v/>
      </c>
      <c r="S289" t="str">
        <f>IFERROR(IF(OR(HLOOKUP($A289,#REF!,17,FALSE)&gt;2,HLOOKUP($A289,#REF!,17,FALSE)&lt;-2),"",#REF!),"")</f>
        <v/>
      </c>
      <c r="T289" t="str">
        <f>IFERROR(IF(OR(HLOOKUP($A289,#REF!,18,FALSE)&gt;2,HLOOKUP($A289,#REF!,18,FALSE)&lt;-2),"",#REF!),"")</f>
        <v/>
      </c>
      <c r="U289" t="str">
        <f>IFERROR(IF(OR(HLOOKUP($A289,#REF!,19,FALSE)&gt;2,HLOOKUP($A289,#REF!,19,FALSE)&lt;-2),"",#REF!),"")</f>
        <v/>
      </c>
      <c r="V289">
        <f t="shared" si="16"/>
        <v>1</v>
      </c>
      <c r="W289" t="str">
        <f t="shared" si="17"/>
        <v/>
      </c>
      <c r="X289" t="str">
        <f t="shared" si="18"/>
        <v/>
      </c>
      <c r="Y289" t="str">
        <f t="shared" si="19"/>
        <v/>
      </c>
    </row>
    <row r="290" spans="1:25" x14ac:dyDescent="0.35">
      <c r="A290">
        <v>297</v>
      </c>
      <c r="B290" t="s">
        <v>731</v>
      </c>
      <c r="C290">
        <v>32000</v>
      </c>
      <c r="D290">
        <v>589</v>
      </c>
      <c r="E290" t="str">
        <f>IFERROR(IF(OR(HLOOKUP($A290,#REF!,3,FALSE)&gt;2,HLOOKUP(A290,#REF!,3,FALSE)&lt;-2),"",#REF!),"")</f>
        <v/>
      </c>
      <c r="F290" t="str">
        <f>IFERROR(IF(OR(HLOOKUP($A290,#REF!,4,FALSE)&gt;2,HLOOKUP($A290,#REF!,4,FALSE)&lt;-2),"",#REF!),"")</f>
        <v/>
      </c>
      <c r="G290" t="str">
        <f>IFERROR(IF(OR(HLOOKUP($A290,#REF!,5,FALSE)&gt;2,HLOOKUP($A290,#REF!,5,FALSE)&lt;-2),"",#REF!),"")</f>
        <v/>
      </c>
      <c r="H290" t="str">
        <f>IFERROR(IF(OR(HLOOKUP($A290,#REF!,6,FALSE)&gt;2,HLOOKUP($A290,#REF!,6,FALSE)&lt;-2),"",#REF!),"")</f>
        <v/>
      </c>
      <c r="I290" t="str">
        <f>IFERROR(IF(OR(HLOOKUP($A290,#REF!,7,FALSE)&gt;2,HLOOKUP($A290,#REF!,7,FALSE)&lt;-2),"",#REF!),"")</f>
        <v/>
      </c>
      <c r="J290" t="str">
        <f>IFERROR(IF(OR(HLOOKUP($A290,#REF!,8,FALSE)&gt;2,HLOOKUP($A290,#REF!,8,FALSE)&lt;-2),"",#REF!),"")</f>
        <v/>
      </c>
      <c r="K290" t="str">
        <f>IFERROR(IF(OR(HLOOKUP($A290,#REF!,9,FALSE)&gt;2,HLOOKUP($A290,#REF!,9,FALSE)&lt;-2),"",#REF!),"")</f>
        <v/>
      </c>
      <c r="L290" t="str">
        <f>IFERROR(IF(OR(HLOOKUP($A290,#REF!,10,FALSE)&gt;2,HLOOKUP($A290,#REF!,10,FALSE)&lt;-2),"",#REF!),"")</f>
        <v/>
      </c>
      <c r="M290" t="str">
        <f>IFERROR(IF(OR(HLOOKUP($A290,#REF!,11,FALSE)&gt;2,HLOOKUP($A290,#REF!,11,FALSE)&lt;-2),"",#REF!),"")</f>
        <v/>
      </c>
      <c r="N290" t="str">
        <f>IFERROR(IF(OR(HLOOKUP($A290,#REF!,12,FALSE)&gt;2,HLOOKUP($A290,#REF!,12,FALSE)&lt;-2),"",#REF!),"")</f>
        <v/>
      </c>
      <c r="O290" t="str">
        <f>IFERROR(IF(OR(HLOOKUP($A290,#REF!,13,FALSE)&gt;2,HLOOKUP($A290,#REF!,13,FALSE)&lt;-2),"",#REF!),"")</f>
        <v/>
      </c>
      <c r="P290" t="str">
        <f>IFERROR(IF(OR(HLOOKUP($A290,#REF!,14,FALSE)&gt;2,HLOOKUP($A290,#REF!,14,FALSE)&lt;-2),"",#REF!),"")</f>
        <v/>
      </c>
      <c r="Q290" t="str">
        <f>IFERROR(IF(OR(HLOOKUP($A290,#REF!,15,FALSE)&gt;2,HLOOKUP($A290,#REF!,15,FALSE)&lt;-2),"",#REF!),"")</f>
        <v/>
      </c>
      <c r="R290" t="str">
        <f>IFERROR(IF(OR(HLOOKUP($A290,#REF!,16,FALSE)&gt;2,HLOOKUP($A290,#REF!,16,FALSE)&lt;-2),"",#REF!),"")</f>
        <v/>
      </c>
      <c r="S290" t="str">
        <f>IFERROR(IF(OR(HLOOKUP($A290,#REF!,17,FALSE)&gt;2,HLOOKUP($A290,#REF!,17,FALSE)&lt;-2),"",#REF!),"")</f>
        <v/>
      </c>
      <c r="T290" t="str">
        <f>IFERROR(IF(OR(HLOOKUP($A290,#REF!,18,FALSE)&gt;2,HLOOKUP($A290,#REF!,18,FALSE)&lt;-2),"",#REF!),"")</f>
        <v/>
      </c>
      <c r="U290" t="str">
        <f>IFERROR(IF(OR(HLOOKUP($A290,#REF!,19,FALSE)&gt;2,HLOOKUP($A290,#REF!,19,FALSE)&lt;-2),"",#REF!),"")</f>
        <v/>
      </c>
      <c r="V290">
        <f t="shared" si="16"/>
        <v>1</v>
      </c>
      <c r="W290" t="str">
        <f t="shared" si="17"/>
        <v/>
      </c>
      <c r="X290" t="str">
        <f t="shared" si="18"/>
        <v/>
      </c>
      <c r="Y290" t="str">
        <f t="shared" si="19"/>
        <v/>
      </c>
    </row>
    <row r="291" spans="1:25" x14ac:dyDescent="0.35">
      <c r="A291">
        <v>298</v>
      </c>
      <c r="B291" t="s">
        <v>162</v>
      </c>
      <c r="C291">
        <v>52200</v>
      </c>
      <c r="D291">
        <v>835</v>
      </c>
      <c r="E291" t="str">
        <f>IFERROR(IF(OR(HLOOKUP($A291,#REF!,3,FALSE)&gt;2,HLOOKUP(A291,#REF!,3,FALSE)&lt;-2),"",#REF!),"")</f>
        <v/>
      </c>
      <c r="F291" t="str">
        <f>IFERROR(IF(OR(HLOOKUP($A291,#REF!,4,FALSE)&gt;2,HLOOKUP($A291,#REF!,4,FALSE)&lt;-2),"",#REF!),"")</f>
        <v/>
      </c>
      <c r="G291" t="str">
        <f>IFERROR(IF(OR(HLOOKUP($A291,#REF!,5,FALSE)&gt;2,HLOOKUP($A291,#REF!,5,FALSE)&lt;-2),"",#REF!),"")</f>
        <v/>
      </c>
      <c r="H291" t="str">
        <f>IFERROR(IF(OR(HLOOKUP($A291,#REF!,6,FALSE)&gt;2,HLOOKUP($A291,#REF!,6,FALSE)&lt;-2),"",#REF!),"")</f>
        <v/>
      </c>
      <c r="I291" t="str">
        <f>IFERROR(IF(OR(HLOOKUP($A291,#REF!,7,FALSE)&gt;2,HLOOKUP($A291,#REF!,7,FALSE)&lt;-2),"",#REF!),"")</f>
        <v/>
      </c>
      <c r="J291" t="str">
        <f>IFERROR(IF(OR(HLOOKUP($A291,#REF!,8,FALSE)&gt;2,HLOOKUP($A291,#REF!,8,FALSE)&lt;-2),"",#REF!),"")</f>
        <v/>
      </c>
      <c r="K291" t="str">
        <f>IFERROR(IF(OR(HLOOKUP($A291,#REF!,9,FALSE)&gt;2,HLOOKUP($A291,#REF!,9,FALSE)&lt;-2),"",#REF!),"")</f>
        <v/>
      </c>
      <c r="L291" t="str">
        <f>IFERROR(IF(OR(HLOOKUP($A291,#REF!,10,FALSE)&gt;2,HLOOKUP($A291,#REF!,10,FALSE)&lt;-2),"",#REF!),"")</f>
        <v/>
      </c>
      <c r="M291" t="str">
        <f>IFERROR(IF(OR(HLOOKUP($A291,#REF!,11,FALSE)&gt;2,HLOOKUP($A291,#REF!,11,FALSE)&lt;-2),"",#REF!),"")</f>
        <v/>
      </c>
      <c r="N291" t="str">
        <f>IFERROR(IF(OR(HLOOKUP($A291,#REF!,12,FALSE)&gt;2,HLOOKUP($A291,#REF!,12,FALSE)&lt;-2),"",#REF!),"")</f>
        <v/>
      </c>
      <c r="O291" t="str">
        <f>IFERROR(IF(OR(HLOOKUP($A291,#REF!,13,FALSE)&gt;2,HLOOKUP($A291,#REF!,13,FALSE)&lt;-2),"",#REF!),"")</f>
        <v/>
      </c>
      <c r="P291" t="str">
        <f>IFERROR(IF(OR(HLOOKUP($A291,#REF!,14,FALSE)&gt;2,HLOOKUP($A291,#REF!,14,FALSE)&lt;-2),"",#REF!),"")</f>
        <v/>
      </c>
      <c r="Q291" t="str">
        <f>IFERROR(IF(OR(HLOOKUP($A291,#REF!,15,FALSE)&gt;2,HLOOKUP($A291,#REF!,15,FALSE)&lt;-2),"",#REF!),"")</f>
        <v/>
      </c>
      <c r="R291" t="str">
        <f>IFERROR(IF(OR(HLOOKUP($A291,#REF!,16,FALSE)&gt;2,HLOOKUP($A291,#REF!,16,FALSE)&lt;-2),"",#REF!),"")</f>
        <v/>
      </c>
      <c r="S291" t="str">
        <f>IFERROR(IF(OR(HLOOKUP($A291,#REF!,17,FALSE)&gt;2,HLOOKUP($A291,#REF!,17,FALSE)&lt;-2),"",#REF!),"")</f>
        <v/>
      </c>
      <c r="T291" t="str">
        <f>IFERROR(IF(OR(HLOOKUP($A291,#REF!,18,FALSE)&gt;2,HLOOKUP($A291,#REF!,18,FALSE)&lt;-2),"",#REF!),"")</f>
        <v/>
      </c>
      <c r="U291" t="str">
        <f>IFERROR(IF(OR(HLOOKUP($A291,#REF!,19,FALSE)&gt;2,HLOOKUP($A291,#REF!,19,FALSE)&lt;-2),"",#REF!),"")</f>
        <v/>
      </c>
      <c r="V291">
        <f t="shared" si="16"/>
        <v>1</v>
      </c>
      <c r="W291" t="str">
        <f t="shared" si="17"/>
        <v/>
      </c>
      <c r="X291" t="str">
        <f t="shared" si="18"/>
        <v/>
      </c>
      <c r="Y291" t="str">
        <f t="shared" si="19"/>
        <v/>
      </c>
    </row>
    <row r="292" spans="1:25" x14ac:dyDescent="0.35">
      <c r="A292">
        <v>299</v>
      </c>
      <c r="B292" t="s">
        <v>732</v>
      </c>
      <c r="C292">
        <v>1200</v>
      </c>
      <c r="D292">
        <v>500</v>
      </c>
      <c r="E292" t="str">
        <f>IFERROR(IF(OR(HLOOKUP($A292,#REF!,3,FALSE)&gt;2,HLOOKUP(A292,#REF!,3,FALSE)&lt;-2),"",#REF!),"")</f>
        <v/>
      </c>
      <c r="F292" t="str">
        <f>IFERROR(IF(OR(HLOOKUP($A292,#REF!,4,FALSE)&gt;2,HLOOKUP($A292,#REF!,4,FALSE)&lt;-2),"",#REF!),"")</f>
        <v/>
      </c>
      <c r="G292" t="str">
        <f>IFERROR(IF(OR(HLOOKUP($A292,#REF!,5,FALSE)&gt;2,HLOOKUP($A292,#REF!,5,FALSE)&lt;-2),"",#REF!),"")</f>
        <v/>
      </c>
      <c r="H292" t="str">
        <f>IFERROR(IF(OR(HLOOKUP($A292,#REF!,6,FALSE)&gt;2,HLOOKUP($A292,#REF!,6,FALSE)&lt;-2),"",#REF!),"")</f>
        <v/>
      </c>
      <c r="I292" t="str">
        <f>IFERROR(IF(OR(HLOOKUP($A292,#REF!,7,FALSE)&gt;2,HLOOKUP($A292,#REF!,7,FALSE)&lt;-2),"",#REF!),"")</f>
        <v/>
      </c>
      <c r="J292" t="str">
        <f>IFERROR(IF(OR(HLOOKUP($A292,#REF!,8,FALSE)&gt;2,HLOOKUP($A292,#REF!,8,FALSE)&lt;-2),"",#REF!),"")</f>
        <v/>
      </c>
      <c r="K292" t="str">
        <f>IFERROR(IF(OR(HLOOKUP($A292,#REF!,9,FALSE)&gt;2,HLOOKUP($A292,#REF!,9,FALSE)&lt;-2),"",#REF!),"")</f>
        <v/>
      </c>
      <c r="L292" t="str">
        <f>IFERROR(IF(OR(HLOOKUP($A292,#REF!,10,FALSE)&gt;2,HLOOKUP($A292,#REF!,10,FALSE)&lt;-2),"",#REF!),"")</f>
        <v/>
      </c>
      <c r="M292" t="str">
        <f>IFERROR(IF(OR(HLOOKUP($A292,#REF!,11,FALSE)&gt;2,HLOOKUP($A292,#REF!,11,FALSE)&lt;-2),"",#REF!),"")</f>
        <v/>
      </c>
      <c r="N292" t="str">
        <f>IFERROR(IF(OR(HLOOKUP($A292,#REF!,12,FALSE)&gt;2,HLOOKUP($A292,#REF!,12,FALSE)&lt;-2),"",#REF!),"")</f>
        <v/>
      </c>
      <c r="O292" t="str">
        <f>IFERROR(IF(OR(HLOOKUP($A292,#REF!,13,FALSE)&gt;2,HLOOKUP($A292,#REF!,13,FALSE)&lt;-2),"",#REF!),"")</f>
        <v/>
      </c>
      <c r="P292" t="str">
        <f>IFERROR(IF(OR(HLOOKUP($A292,#REF!,14,FALSE)&gt;2,HLOOKUP($A292,#REF!,14,FALSE)&lt;-2),"",#REF!),"")</f>
        <v/>
      </c>
      <c r="Q292" t="str">
        <f>IFERROR(IF(OR(HLOOKUP($A292,#REF!,15,FALSE)&gt;2,HLOOKUP($A292,#REF!,15,FALSE)&lt;-2),"",#REF!),"")</f>
        <v/>
      </c>
      <c r="R292" t="str">
        <f>IFERROR(IF(OR(HLOOKUP($A292,#REF!,16,FALSE)&gt;2,HLOOKUP($A292,#REF!,16,FALSE)&lt;-2),"",#REF!),"")</f>
        <v/>
      </c>
      <c r="S292" t="str">
        <f>IFERROR(IF(OR(HLOOKUP($A292,#REF!,17,FALSE)&gt;2,HLOOKUP($A292,#REF!,17,FALSE)&lt;-2),"",#REF!),"")</f>
        <v/>
      </c>
      <c r="T292" t="str">
        <f>IFERROR(IF(OR(HLOOKUP($A292,#REF!,18,FALSE)&gt;2,HLOOKUP($A292,#REF!,18,FALSE)&lt;-2),"",#REF!),"")</f>
        <v/>
      </c>
      <c r="U292" t="str">
        <f>IFERROR(IF(OR(HLOOKUP($A292,#REF!,19,FALSE)&gt;2,HLOOKUP($A292,#REF!,19,FALSE)&lt;-2),"",#REF!),"")</f>
        <v/>
      </c>
      <c r="V292">
        <f t="shared" si="16"/>
        <v>1</v>
      </c>
      <c r="W292" t="str">
        <f t="shared" si="17"/>
        <v/>
      </c>
      <c r="X292" t="str">
        <f t="shared" si="18"/>
        <v/>
      </c>
      <c r="Y292" t="str">
        <f t="shared" si="19"/>
        <v/>
      </c>
    </row>
    <row r="293" spans="1:25" x14ac:dyDescent="0.35">
      <c r="A293">
        <v>300</v>
      </c>
      <c r="B293" t="s">
        <v>733</v>
      </c>
      <c r="C293">
        <v>69300</v>
      </c>
      <c r="D293">
        <v>178</v>
      </c>
      <c r="E293" t="str">
        <f>IFERROR(IF(OR(HLOOKUP($A293,#REF!,3,FALSE)&gt;2,HLOOKUP(A293,#REF!,3,FALSE)&lt;-2),"",#REF!),"")</f>
        <v/>
      </c>
      <c r="F293" t="str">
        <f>IFERROR(IF(OR(HLOOKUP($A293,#REF!,4,FALSE)&gt;2,HLOOKUP($A293,#REF!,4,FALSE)&lt;-2),"",#REF!),"")</f>
        <v/>
      </c>
      <c r="G293" t="str">
        <f>IFERROR(IF(OR(HLOOKUP($A293,#REF!,5,FALSE)&gt;2,HLOOKUP($A293,#REF!,5,FALSE)&lt;-2),"",#REF!),"")</f>
        <v/>
      </c>
      <c r="H293" t="str">
        <f>IFERROR(IF(OR(HLOOKUP($A293,#REF!,6,FALSE)&gt;2,HLOOKUP($A293,#REF!,6,FALSE)&lt;-2),"",#REF!),"")</f>
        <v/>
      </c>
      <c r="I293" t="str">
        <f>IFERROR(IF(OR(HLOOKUP($A293,#REF!,7,FALSE)&gt;2,HLOOKUP($A293,#REF!,7,FALSE)&lt;-2),"",#REF!),"")</f>
        <v/>
      </c>
      <c r="J293" t="str">
        <f>IFERROR(IF(OR(HLOOKUP($A293,#REF!,8,FALSE)&gt;2,HLOOKUP($A293,#REF!,8,FALSE)&lt;-2),"",#REF!),"")</f>
        <v/>
      </c>
      <c r="K293" t="str">
        <f>IFERROR(IF(OR(HLOOKUP($A293,#REF!,9,FALSE)&gt;2,HLOOKUP($A293,#REF!,9,FALSE)&lt;-2),"",#REF!),"")</f>
        <v/>
      </c>
      <c r="L293" t="str">
        <f>IFERROR(IF(OR(HLOOKUP($A293,#REF!,10,FALSE)&gt;2,HLOOKUP($A293,#REF!,10,FALSE)&lt;-2),"",#REF!),"")</f>
        <v/>
      </c>
      <c r="M293" t="str">
        <f>IFERROR(IF(OR(HLOOKUP($A293,#REF!,11,FALSE)&gt;2,HLOOKUP($A293,#REF!,11,FALSE)&lt;-2),"",#REF!),"")</f>
        <v/>
      </c>
      <c r="N293" t="str">
        <f>IFERROR(IF(OR(HLOOKUP($A293,#REF!,12,FALSE)&gt;2,HLOOKUP($A293,#REF!,12,FALSE)&lt;-2),"",#REF!),"")</f>
        <v/>
      </c>
      <c r="O293" t="str">
        <f>IFERROR(IF(OR(HLOOKUP($A293,#REF!,13,FALSE)&gt;2,HLOOKUP($A293,#REF!,13,FALSE)&lt;-2),"",#REF!),"")</f>
        <v/>
      </c>
      <c r="P293" t="str">
        <f>IFERROR(IF(OR(HLOOKUP($A293,#REF!,14,FALSE)&gt;2,HLOOKUP($A293,#REF!,14,FALSE)&lt;-2),"",#REF!),"")</f>
        <v/>
      </c>
      <c r="Q293" t="str">
        <f>IFERROR(IF(OR(HLOOKUP($A293,#REF!,15,FALSE)&gt;2,HLOOKUP($A293,#REF!,15,FALSE)&lt;-2),"",#REF!),"")</f>
        <v/>
      </c>
      <c r="R293" t="str">
        <f>IFERROR(IF(OR(HLOOKUP($A293,#REF!,16,FALSE)&gt;2,HLOOKUP($A293,#REF!,16,FALSE)&lt;-2),"",#REF!),"")</f>
        <v/>
      </c>
      <c r="S293" t="str">
        <f>IFERROR(IF(OR(HLOOKUP($A293,#REF!,17,FALSE)&gt;2,HLOOKUP($A293,#REF!,17,FALSE)&lt;-2),"",#REF!),"")</f>
        <v/>
      </c>
      <c r="T293" t="str">
        <f>IFERROR(IF(OR(HLOOKUP($A293,#REF!,18,FALSE)&gt;2,HLOOKUP($A293,#REF!,18,FALSE)&lt;-2),"",#REF!),"")</f>
        <v/>
      </c>
      <c r="U293" t="str">
        <f>IFERROR(IF(OR(HLOOKUP($A293,#REF!,19,FALSE)&gt;2,HLOOKUP($A293,#REF!,19,FALSE)&lt;-2),"",#REF!),"")</f>
        <v/>
      </c>
      <c r="V293">
        <f t="shared" si="16"/>
        <v>1</v>
      </c>
      <c r="W293" t="str">
        <f t="shared" si="17"/>
        <v/>
      </c>
      <c r="X293" t="str">
        <f t="shared" si="18"/>
        <v/>
      </c>
      <c r="Y293" t="str">
        <f t="shared" si="19"/>
        <v/>
      </c>
    </row>
    <row r="294" spans="1:25" x14ac:dyDescent="0.35">
      <c r="A294">
        <v>301</v>
      </c>
      <c r="B294" t="s">
        <v>163</v>
      </c>
      <c r="C294">
        <v>112600</v>
      </c>
      <c r="D294">
        <v>768</v>
      </c>
      <c r="E294" t="str">
        <f>IFERROR(IF(OR(HLOOKUP($A294,#REF!,3,FALSE)&gt;2,HLOOKUP(A294,#REF!,3,FALSE)&lt;-2),"",#REF!),"")</f>
        <v/>
      </c>
      <c r="F294" t="str">
        <f>IFERROR(IF(OR(HLOOKUP($A294,#REF!,4,FALSE)&gt;2,HLOOKUP($A294,#REF!,4,FALSE)&lt;-2),"",#REF!),"")</f>
        <v/>
      </c>
      <c r="G294" t="str">
        <f>IFERROR(IF(OR(HLOOKUP($A294,#REF!,5,FALSE)&gt;2,HLOOKUP($A294,#REF!,5,FALSE)&lt;-2),"",#REF!),"")</f>
        <v/>
      </c>
      <c r="H294" t="str">
        <f>IFERROR(IF(OR(HLOOKUP($A294,#REF!,6,FALSE)&gt;2,HLOOKUP($A294,#REF!,6,FALSE)&lt;-2),"",#REF!),"")</f>
        <v/>
      </c>
      <c r="I294" t="str">
        <f>IFERROR(IF(OR(HLOOKUP($A294,#REF!,7,FALSE)&gt;2,HLOOKUP($A294,#REF!,7,FALSE)&lt;-2),"",#REF!),"")</f>
        <v/>
      </c>
      <c r="J294" t="str">
        <f>IFERROR(IF(OR(HLOOKUP($A294,#REF!,8,FALSE)&gt;2,HLOOKUP($A294,#REF!,8,FALSE)&lt;-2),"",#REF!),"")</f>
        <v/>
      </c>
      <c r="K294" t="str">
        <f>IFERROR(IF(OR(HLOOKUP($A294,#REF!,9,FALSE)&gt;2,HLOOKUP($A294,#REF!,9,FALSE)&lt;-2),"",#REF!),"")</f>
        <v/>
      </c>
      <c r="L294" t="str">
        <f>IFERROR(IF(OR(HLOOKUP($A294,#REF!,10,FALSE)&gt;2,HLOOKUP($A294,#REF!,10,FALSE)&lt;-2),"",#REF!),"")</f>
        <v/>
      </c>
      <c r="M294" t="str">
        <f>IFERROR(IF(OR(HLOOKUP($A294,#REF!,11,FALSE)&gt;2,HLOOKUP($A294,#REF!,11,FALSE)&lt;-2),"",#REF!),"")</f>
        <v/>
      </c>
      <c r="N294" t="str">
        <f>IFERROR(IF(OR(HLOOKUP($A294,#REF!,12,FALSE)&gt;2,HLOOKUP($A294,#REF!,12,FALSE)&lt;-2),"",#REF!),"")</f>
        <v/>
      </c>
      <c r="O294" t="str">
        <f>IFERROR(IF(OR(HLOOKUP($A294,#REF!,13,FALSE)&gt;2,HLOOKUP($A294,#REF!,13,FALSE)&lt;-2),"",#REF!),"")</f>
        <v/>
      </c>
      <c r="P294" t="str">
        <f>IFERROR(IF(OR(HLOOKUP($A294,#REF!,14,FALSE)&gt;2,HLOOKUP($A294,#REF!,14,FALSE)&lt;-2),"",#REF!),"")</f>
        <v/>
      </c>
      <c r="Q294" t="str">
        <f>IFERROR(IF(OR(HLOOKUP($A294,#REF!,15,FALSE)&gt;2,HLOOKUP($A294,#REF!,15,FALSE)&lt;-2),"",#REF!),"")</f>
        <v/>
      </c>
      <c r="R294" t="str">
        <f>IFERROR(IF(OR(HLOOKUP($A294,#REF!,16,FALSE)&gt;2,HLOOKUP($A294,#REF!,16,FALSE)&lt;-2),"",#REF!),"")</f>
        <v/>
      </c>
      <c r="S294" t="str">
        <f>IFERROR(IF(OR(HLOOKUP($A294,#REF!,17,FALSE)&gt;2,HLOOKUP($A294,#REF!,17,FALSE)&lt;-2),"",#REF!),"")</f>
        <v/>
      </c>
      <c r="T294" t="str">
        <f>IFERROR(IF(OR(HLOOKUP($A294,#REF!,18,FALSE)&gt;2,HLOOKUP($A294,#REF!,18,FALSE)&lt;-2),"",#REF!),"")</f>
        <v/>
      </c>
      <c r="U294" t="str">
        <f>IFERROR(IF(OR(HLOOKUP($A294,#REF!,19,FALSE)&gt;2,HLOOKUP($A294,#REF!,19,FALSE)&lt;-2),"",#REF!),"")</f>
        <v/>
      </c>
      <c r="V294">
        <f t="shared" si="16"/>
        <v>1</v>
      </c>
      <c r="W294" t="str">
        <f t="shared" si="17"/>
        <v/>
      </c>
      <c r="X294" t="str">
        <f t="shared" si="18"/>
        <v/>
      </c>
      <c r="Y294" t="str">
        <f t="shared" si="19"/>
        <v/>
      </c>
    </row>
    <row r="295" spans="1:25" x14ac:dyDescent="0.35">
      <c r="A295">
        <v>302</v>
      </c>
      <c r="B295" t="s">
        <v>734</v>
      </c>
      <c r="C295">
        <v>78700</v>
      </c>
      <c r="D295">
        <v>339</v>
      </c>
      <c r="E295" t="str">
        <f>IFERROR(IF(OR(HLOOKUP($A295,#REF!,3,FALSE)&gt;2,HLOOKUP(A295,#REF!,3,FALSE)&lt;-2),"",#REF!),"")</f>
        <v/>
      </c>
      <c r="F295" t="str">
        <f>IFERROR(IF(OR(HLOOKUP($A295,#REF!,4,FALSE)&gt;2,HLOOKUP($A295,#REF!,4,FALSE)&lt;-2),"",#REF!),"")</f>
        <v/>
      </c>
      <c r="G295" t="str">
        <f>IFERROR(IF(OR(HLOOKUP($A295,#REF!,5,FALSE)&gt;2,HLOOKUP($A295,#REF!,5,FALSE)&lt;-2),"",#REF!),"")</f>
        <v/>
      </c>
      <c r="H295" t="str">
        <f>IFERROR(IF(OR(HLOOKUP($A295,#REF!,6,FALSE)&gt;2,HLOOKUP($A295,#REF!,6,FALSE)&lt;-2),"",#REF!),"")</f>
        <v/>
      </c>
      <c r="I295" t="str">
        <f>IFERROR(IF(OR(HLOOKUP($A295,#REF!,7,FALSE)&gt;2,HLOOKUP($A295,#REF!,7,FALSE)&lt;-2),"",#REF!),"")</f>
        <v/>
      </c>
      <c r="J295" t="str">
        <f>IFERROR(IF(OR(HLOOKUP($A295,#REF!,8,FALSE)&gt;2,HLOOKUP($A295,#REF!,8,FALSE)&lt;-2),"",#REF!),"")</f>
        <v/>
      </c>
      <c r="K295" t="str">
        <f>IFERROR(IF(OR(HLOOKUP($A295,#REF!,9,FALSE)&gt;2,HLOOKUP($A295,#REF!,9,FALSE)&lt;-2),"",#REF!),"")</f>
        <v/>
      </c>
      <c r="L295" t="str">
        <f>IFERROR(IF(OR(HLOOKUP($A295,#REF!,10,FALSE)&gt;2,HLOOKUP($A295,#REF!,10,FALSE)&lt;-2),"",#REF!),"")</f>
        <v/>
      </c>
      <c r="M295" t="str">
        <f>IFERROR(IF(OR(HLOOKUP($A295,#REF!,11,FALSE)&gt;2,HLOOKUP($A295,#REF!,11,FALSE)&lt;-2),"",#REF!),"")</f>
        <v/>
      </c>
      <c r="N295" t="str">
        <f>IFERROR(IF(OR(HLOOKUP($A295,#REF!,12,FALSE)&gt;2,HLOOKUP($A295,#REF!,12,FALSE)&lt;-2),"",#REF!),"")</f>
        <v/>
      </c>
      <c r="O295" t="str">
        <f>IFERROR(IF(OR(HLOOKUP($A295,#REF!,13,FALSE)&gt;2,HLOOKUP($A295,#REF!,13,FALSE)&lt;-2),"",#REF!),"")</f>
        <v/>
      </c>
      <c r="P295" t="str">
        <f>IFERROR(IF(OR(HLOOKUP($A295,#REF!,14,FALSE)&gt;2,HLOOKUP($A295,#REF!,14,FALSE)&lt;-2),"",#REF!),"")</f>
        <v/>
      </c>
      <c r="Q295" t="str">
        <f>IFERROR(IF(OR(HLOOKUP($A295,#REF!,15,FALSE)&gt;2,HLOOKUP($A295,#REF!,15,FALSE)&lt;-2),"",#REF!),"")</f>
        <v/>
      </c>
      <c r="R295" t="str">
        <f>IFERROR(IF(OR(HLOOKUP($A295,#REF!,16,FALSE)&gt;2,HLOOKUP($A295,#REF!,16,FALSE)&lt;-2),"",#REF!),"")</f>
        <v/>
      </c>
      <c r="S295" t="str">
        <f>IFERROR(IF(OR(HLOOKUP($A295,#REF!,17,FALSE)&gt;2,HLOOKUP($A295,#REF!,17,FALSE)&lt;-2),"",#REF!),"")</f>
        <v/>
      </c>
      <c r="T295" t="str">
        <f>IFERROR(IF(OR(HLOOKUP($A295,#REF!,18,FALSE)&gt;2,HLOOKUP($A295,#REF!,18,FALSE)&lt;-2),"",#REF!),"")</f>
        <v/>
      </c>
      <c r="U295" t="str">
        <f>IFERROR(IF(OR(HLOOKUP($A295,#REF!,19,FALSE)&gt;2,HLOOKUP($A295,#REF!,19,FALSE)&lt;-2),"",#REF!),"")</f>
        <v/>
      </c>
      <c r="V295">
        <f t="shared" si="16"/>
        <v>1</v>
      </c>
      <c r="W295" t="str">
        <f t="shared" si="17"/>
        <v/>
      </c>
      <c r="X295" t="str">
        <f t="shared" si="18"/>
        <v/>
      </c>
      <c r="Y295" t="str">
        <f t="shared" si="19"/>
        <v/>
      </c>
    </row>
    <row r="296" spans="1:25" x14ac:dyDescent="0.35">
      <c r="A296">
        <v>303</v>
      </c>
      <c r="B296" t="s">
        <v>164</v>
      </c>
      <c r="C296">
        <v>47200</v>
      </c>
      <c r="D296">
        <v>295</v>
      </c>
      <c r="E296" t="str">
        <f>IFERROR(IF(OR(HLOOKUP($A296,#REF!,3,FALSE)&gt;2,HLOOKUP(A296,#REF!,3,FALSE)&lt;-2),"",#REF!),"")</f>
        <v/>
      </c>
      <c r="F296" t="str">
        <f>IFERROR(IF(OR(HLOOKUP($A296,#REF!,4,FALSE)&gt;2,HLOOKUP($A296,#REF!,4,FALSE)&lt;-2),"",#REF!),"")</f>
        <v/>
      </c>
      <c r="G296" t="str">
        <f>IFERROR(IF(OR(HLOOKUP($A296,#REF!,5,FALSE)&gt;2,HLOOKUP($A296,#REF!,5,FALSE)&lt;-2),"",#REF!),"")</f>
        <v/>
      </c>
      <c r="H296" t="str">
        <f>IFERROR(IF(OR(HLOOKUP($A296,#REF!,6,FALSE)&gt;2,HLOOKUP($A296,#REF!,6,FALSE)&lt;-2),"",#REF!),"")</f>
        <v/>
      </c>
      <c r="I296" t="str">
        <f>IFERROR(IF(OR(HLOOKUP($A296,#REF!,7,FALSE)&gt;2,HLOOKUP($A296,#REF!,7,FALSE)&lt;-2),"",#REF!),"")</f>
        <v/>
      </c>
      <c r="J296" t="str">
        <f>IFERROR(IF(OR(HLOOKUP($A296,#REF!,8,FALSE)&gt;2,HLOOKUP($A296,#REF!,8,FALSE)&lt;-2),"",#REF!),"")</f>
        <v/>
      </c>
      <c r="K296" t="str">
        <f>IFERROR(IF(OR(HLOOKUP($A296,#REF!,9,FALSE)&gt;2,HLOOKUP($A296,#REF!,9,FALSE)&lt;-2),"",#REF!),"")</f>
        <v/>
      </c>
      <c r="L296" t="str">
        <f>IFERROR(IF(OR(HLOOKUP($A296,#REF!,10,FALSE)&gt;2,HLOOKUP($A296,#REF!,10,FALSE)&lt;-2),"",#REF!),"")</f>
        <v/>
      </c>
      <c r="M296" t="str">
        <f>IFERROR(IF(OR(HLOOKUP($A296,#REF!,11,FALSE)&gt;2,HLOOKUP($A296,#REF!,11,FALSE)&lt;-2),"",#REF!),"")</f>
        <v/>
      </c>
      <c r="N296" t="str">
        <f>IFERROR(IF(OR(HLOOKUP($A296,#REF!,12,FALSE)&gt;2,HLOOKUP($A296,#REF!,12,FALSE)&lt;-2),"",#REF!),"")</f>
        <v/>
      </c>
      <c r="O296" t="str">
        <f>IFERROR(IF(OR(HLOOKUP($A296,#REF!,13,FALSE)&gt;2,HLOOKUP($A296,#REF!,13,FALSE)&lt;-2),"",#REF!),"")</f>
        <v/>
      </c>
      <c r="P296" t="str">
        <f>IFERROR(IF(OR(HLOOKUP($A296,#REF!,14,FALSE)&gt;2,HLOOKUP($A296,#REF!,14,FALSE)&lt;-2),"",#REF!),"")</f>
        <v/>
      </c>
      <c r="Q296" t="str">
        <f>IFERROR(IF(OR(HLOOKUP($A296,#REF!,15,FALSE)&gt;2,HLOOKUP($A296,#REF!,15,FALSE)&lt;-2),"",#REF!),"")</f>
        <v/>
      </c>
      <c r="R296" t="str">
        <f>IFERROR(IF(OR(HLOOKUP($A296,#REF!,16,FALSE)&gt;2,HLOOKUP($A296,#REF!,16,FALSE)&lt;-2),"",#REF!),"")</f>
        <v/>
      </c>
      <c r="S296" t="str">
        <f>IFERROR(IF(OR(HLOOKUP($A296,#REF!,17,FALSE)&gt;2,HLOOKUP($A296,#REF!,17,FALSE)&lt;-2),"",#REF!),"")</f>
        <v/>
      </c>
      <c r="T296" t="str">
        <f>IFERROR(IF(OR(HLOOKUP($A296,#REF!,18,FALSE)&gt;2,HLOOKUP($A296,#REF!,18,FALSE)&lt;-2),"",#REF!),"")</f>
        <v/>
      </c>
      <c r="U296" t="str">
        <f>IFERROR(IF(OR(HLOOKUP($A296,#REF!,19,FALSE)&gt;2,HLOOKUP($A296,#REF!,19,FALSE)&lt;-2),"",#REF!),"")</f>
        <v/>
      </c>
      <c r="V296">
        <f t="shared" si="16"/>
        <v>1</v>
      </c>
      <c r="W296" t="str">
        <f t="shared" si="17"/>
        <v/>
      </c>
      <c r="X296" t="str">
        <f t="shared" si="18"/>
        <v/>
      </c>
      <c r="Y296" t="str">
        <f t="shared" si="19"/>
        <v/>
      </c>
    </row>
    <row r="297" spans="1:25" x14ac:dyDescent="0.35">
      <c r="A297">
        <v>304</v>
      </c>
      <c r="B297" t="s">
        <v>165</v>
      </c>
      <c r="C297">
        <v>20400</v>
      </c>
      <c r="D297">
        <v>972</v>
      </c>
      <c r="E297" t="str">
        <f>IFERROR(IF(OR(HLOOKUP($A297,#REF!,3,FALSE)&gt;2,HLOOKUP(A297,#REF!,3,FALSE)&lt;-2),"",#REF!),"")</f>
        <v/>
      </c>
      <c r="F297" t="str">
        <f>IFERROR(IF(OR(HLOOKUP($A297,#REF!,4,FALSE)&gt;2,HLOOKUP($A297,#REF!,4,FALSE)&lt;-2),"",#REF!),"")</f>
        <v/>
      </c>
      <c r="G297" t="str">
        <f>IFERROR(IF(OR(HLOOKUP($A297,#REF!,5,FALSE)&gt;2,HLOOKUP($A297,#REF!,5,FALSE)&lt;-2),"",#REF!),"")</f>
        <v/>
      </c>
      <c r="H297" t="str">
        <f>IFERROR(IF(OR(HLOOKUP($A297,#REF!,6,FALSE)&gt;2,HLOOKUP($A297,#REF!,6,FALSE)&lt;-2),"",#REF!),"")</f>
        <v/>
      </c>
      <c r="I297" t="str">
        <f>IFERROR(IF(OR(HLOOKUP($A297,#REF!,7,FALSE)&gt;2,HLOOKUP($A297,#REF!,7,FALSE)&lt;-2),"",#REF!),"")</f>
        <v/>
      </c>
      <c r="J297" t="str">
        <f>IFERROR(IF(OR(HLOOKUP($A297,#REF!,8,FALSE)&gt;2,HLOOKUP($A297,#REF!,8,FALSE)&lt;-2),"",#REF!),"")</f>
        <v/>
      </c>
      <c r="K297" t="str">
        <f>IFERROR(IF(OR(HLOOKUP($A297,#REF!,9,FALSE)&gt;2,HLOOKUP($A297,#REF!,9,FALSE)&lt;-2),"",#REF!),"")</f>
        <v/>
      </c>
      <c r="L297" t="str">
        <f>IFERROR(IF(OR(HLOOKUP($A297,#REF!,10,FALSE)&gt;2,HLOOKUP($A297,#REF!,10,FALSE)&lt;-2),"",#REF!),"")</f>
        <v/>
      </c>
      <c r="M297" t="str">
        <f>IFERROR(IF(OR(HLOOKUP($A297,#REF!,11,FALSE)&gt;2,HLOOKUP($A297,#REF!,11,FALSE)&lt;-2),"",#REF!),"")</f>
        <v/>
      </c>
      <c r="N297" t="str">
        <f>IFERROR(IF(OR(HLOOKUP($A297,#REF!,12,FALSE)&gt;2,HLOOKUP($A297,#REF!,12,FALSE)&lt;-2),"",#REF!),"")</f>
        <v/>
      </c>
      <c r="O297" t="str">
        <f>IFERROR(IF(OR(HLOOKUP($A297,#REF!,13,FALSE)&gt;2,HLOOKUP($A297,#REF!,13,FALSE)&lt;-2),"",#REF!),"")</f>
        <v/>
      </c>
      <c r="P297" t="str">
        <f>IFERROR(IF(OR(HLOOKUP($A297,#REF!,14,FALSE)&gt;2,HLOOKUP($A297,#REF!,14,FALSE)&lt;-2),"",#REF!),"")</f>
        <v/>
      </c>
      <c r="Q297" t="str">
        <f>IFERROR(IF(OR(HLOOKUP($A297,#REF!,15,FALSE)&gt;2,HLOOKUP($A297,#REF!,15,FALSE)&lt;-2),"",#REF!),"")</f>
        <v/>
      </c>
      <c r="R297" t="str">
        <f>IFERROR(IF(OR(HLOOKUP($A297,#REF!,16,FALSE)&gt;2,HLOOKUP($A297,#REF!,16,FALSE)&lt;-2),"",#REF!),"")</f>
        <v/>
      </c>
      <c r="S297" t="str">
        <f>IFERROR(IF(OR(HLOOKUP($A297,#REF!,17,FALSE)&gt;2,HLOOKUP($A297,#REF!,17,FALSE)&lt;-2),"",#REF!),"")</f>
        <v/>
      </c>
      <c r="T297" t="str">
        <f>IFERROR(IF(OR(HLOOKUP($A297,#REF!,18,FALSE)&gt;2,HLOOKUP($A297,#REF!,18,FALSE)&lt;-2),"",#REF!),"")</f>
        <v/>
      </c>
      <c r="U297" t="str">
        <f>IFERROR(IF(OR(HLOOKUP($A297,#REF!,19,FALSE)&gt;2,HLOOKUP($A297,#REF!,19,FALSE)&lt;-2),"",#REF!),"")</f>
        <v/>
      </c>
      <c r="V297">
        <f t="shared" si="16"/>
        <v>1</v>
      </c>
      <c r="W297" t="str">
        <f t="shared" si="17"/>
        <v/>
      </c>
      <c r="X297" t="str">
        <f t="shared" si="18"/>
        <v/>
      </c>
      <c r="Y297" t="str">
        <f t="shared" si="19"/>
        <v/>
      </c>
    </row>
    <row r="298" spans="1:25" x14ac:dyDescent="0.35">
      <c r="A298">
        <v>305</v>
      </c>
      <c r="B298" t="s">
        <v>166</v>
      </c>
      <c r="C298">
        <v>16800</v>
      </c>
      <c r="D298">
        <v>385</v>
      </c>
      <c r="E298" t="str">
        <f>IFERROR(IF(OR(HLOOKUP($A298,#REF!,3,FALSE)&gt;2,HLOOKUP(A298,#REF!,3,FALSE)&lt;-2),"",#REF!),"")</f>
        <v/>
      </c>
      <c r="F298" t="str">
        <f>IFERROR(IF(OR(HLOOKUP($A298,#REF!,4,FALSE)&gt;2,HLOOKUP($A298,#REF!,4,FALSE)&lt;-2),"",#REF!),"")</f>
        <v/>
      </c>
      <c r="G298" t="str">
        <f>IFERROR(IF(OR(HLOOKUP($A298,#REF!,5,FALSE)&gt;2,HLOOKUP($A298,#REF!,5,FALSE)&lt;-2),"",#REF!),"")</f>
        <v/>
      </c>
      <c r="H298" t="str">
        <f>IFERROR(IF(OR(HLOOKUP($A298,#REF!,6,FALSE)&gt;2,HLOOKUP($A298,#REF!,6,FALSE)&lt;-2),"",#REF!),"")</f>
        <v/>
      </c>
      <c r="I298" t="str">
        <f>IFERROR(IF(OR(HLOOKUP($A298,#REF!,7,FALSE)&gt;2,HLOOKUP($A298,#REF!,7,FALSE)&lt;-2),"",#REF!),"")</f>
        <v/>
      </c>
      <c r="J298" t="str">
        <f>IFERROR(IF(OR(HLOOKUP($A298,#REF!,8,FALSE)&gt;2,HLOOKUP($A298,#REF!,8,FALSE)&lt;-2),"",#REF!),"")</f>
        <v/>
      </c>
      <c r="K298" t="str">
        <f>IFERROR(IF(OR(HLOOKUP($A298,#REF!,9,FALSE)&gt;2,HLOOKUP($A298,#REF!,9,FALSE)&lt;-2),"",#REF!),"")</f>
        <v/>
      </c>
      <c r="L298" t="str">
        <f>IFERROR(IF(OR(HLOOKUP($A298,#REF!,10,FALSE)&gt;2,HLOOKUP($A298,#REF!,10,FALSE)&lt;-2),"",#REF!),"")</f>
        <v/>
      </c>
      <c r="M298" t="str">
        <f>IFERROR(IF(OR(HLOOKUP($A298,#REF!,11,FALSE)&gt;2,HLOOKUP($A298,#REF!,11,FALSE)&lt;-2),"",#REF!),"")</f>
        <v/>
      </c>
      <c r="N298" t="str">
        <f>IFERROR(IF(OR(HLOOKUP($A298,#REF!,12,FALSE)&gt;2,HLOOKUP($A298,#REF!,12,FALSE)&lt;-2),"",#REF!),"")</f>
        <v/>
      </c>
      <c r="O298" t="str">
        <f>IFERROR(IF(OR(HLOOKUP($A298,#REF!,13,FALSE)&gt;2,HLOOKUP($A298,#REF!,13,FALSE)&lt;-2),"",#REF!),"")</f>
        <v/>
      </c>
      <c r="P298" t="str">
        <f>IFERROR(IF(OR(HLOOKUP($A298,#REF!,14,FALSE)&gt;2,HLOOKUP($A298,#REF!,14,FALSE)&lt;-2),"",#REF!),"")</f>
        <v/>
      </c>
      <c r="Q298" t="str">
        <f>IFERROR(IF(OR(HLOOKUP($A298,#REF!,15,FALSE)&gt;2,HLOOKUP($A298,#REF!,15,FALSE)&lt;-2),"",#REF!),"")</f>
        <v/>
      </c>
      <c r="R298" t="str">
        <f>IFERROR(IF(OR(HLOOKUP($A298,#REF!,16,FALSE)&gt;2,HLOOKUP($A298,#REF!,16,FALSE)&lt;-2),"",#REF!),"")</f>
        <v/>
      </c>
      <c r="S298" t="str">
        <f>IFERROR(IF(OR(HLOOKUP($A298,#REF!,17,FALSE)&gt;2,HLOOKUP($A298,#REF!,17,FALSE)&lt;-2),"",#REF!),"")</f>
        <v/>
      </c>
      <c r="T298" t="str">
        <f>IFERROR(IF(OR(HLOOKUP($A298,#REF!,18,FALSE)&gt;2,HLOOKUP($A298,#REF!,18,FALSE)&lt;-2),"",#REF!),"")</f>
        <v/>
      </c>
      <c r="U298" t="str">
        <f>IFERROR(IF(OR(HLOOKUP($A298,#REF!,19,FALSE)&gt;2,HLOOKUP($A298,#REF!,19,FALSE)&lt;-2),"",#REF!),"")</f>
        <v/>
      </c>
      <c r="V298">
        <f t="shared" si="16"/>
        <v>1</v>
      </c>
      <c r="W298" t="str">
        <f t="shared" si="17"/>
        <v/>
      </c>
      <c r="X298" t="str">
        <f t="shared" si="18"/>
        <v/>
      </c>
      <c r="Y298" t="str">
        <f t="shared" si="19"/>
        <v/>
      </c>
    </row>
    <row r="299" spans="1:25" x14ac:dyDescent="0.35">
      <c r="A299">
        <v>306</v>
      </c>
      <c r="B299" t="s">
        <v>735</v>
      </c>
      <c r="C299">
        <v>32600</v>
      </c>
      <c r="D299">
        <v>589</v>
      </c>
      <c r="E299" t="str">
        <f>IFERROR(IF(OR(HLOOKUP($A299,#REF!,3,FALSE)&gt;2,HLOOKUP(A299,#REF!,3,FALSE)&lt;-2),"",#REF!),"")</f>
        <v/>
      </c>
      <c r="F299" t="str">
        <f>IFERROR(IF(OR(HLOOKUP($A299,#REF!,4,FALSE)&gt;2,HLOOKUP($A299,#REF!,4,FALSE)&lt;-2),"",#REF!),"")</f>
        <v/>
      </c>
      <c r="G299" t="str">
        <f>IFERROR(IF(OR(HLOOKUP($A299,#REF!,5,FALSE)&gt;2,HLOOKUP($A299,#REF!,5,FALSE)&lt;-2),"",#REF!),"")</f>
        <v/>
      </c>
      <c r="H299" t="str">
        <f>IFERROR(IF(OR(HLOOKUP($A299,#REF!,6,FALSE)&gt;2,HLOOKUP($A299,#REF!,6,FALSE)&lt;-2),"",#REF!),"")</f>
        <v/>
      </c>
      <c r="I299" t="str">
        <f>IFERROR(IF(OR(HLOOKUP($A299,#REF!,7,FALSE)&gt;2,HLOOKUP($A299,#REF!,7,FALSE)&lt;-2),"",#REF!),"")</f>
        <v/>
      </c>
      <c r="J299" t="str">
        <f>IFERROR(IF(OR(HLOOKUP($A299,#REF!,8,FALSE)&gt;2,HLOOKUP($A299,#REF!,8,FALSE)&lt;-2),"",#REF!),"")</f>
        <v/>
      </c>
      <c r="K299" t="str">
        <f>IFERROR(IF(OR(HLOOKUP($A299,#REF!,9,FALSE)&gt;2,HLOOKUP($A299,#REF!,9,FALSE)&lt;-2),"",#REF!),"")</f>
        <v/>
      </c>
      <c r="L299" t="str">
        <f>IFERROR(IF(OR(HLOOKUP($A299,#REF!,10,FALSE)&gt;2,HLOOKUP($A299,#REF!,10,FALSE)&lt;-2),"",#REF!),"")</f>
        <v/>
      </c>
      <c r="M299" t="str">
        <f>IFERROR(IF(OR(HLOOKUP($A299,#REF!,11,FALSE)&gt;2,HLOOKUP($A299,#REF!,11,FALSE)&lt;-2),"",#REF!),"")</f>
        <v/>
      </c>
      <c r="N299" t="str">
        <f>IFERROR(IF(OR(HLOOKUP($A299,#REF!,12,FALSE)&gt;2,HLOOKUP($A299,#REF!,12,FALSE)&lt;-2),"",#REF!),"")</f>
        <v/>
      </c>
      <c r="O299" t="str">
        <f>IFERROR(IF(OR(HLOOKUP($A299,#REF!,13,FALSE)&gt;2,HLOOKUP($A299,#REF!,13,FALSE)&lt;-2),"",#REF!),"")</f>
        <v/>
      </c>
      <c r="P299" t="str">
        <f>IFERROR(IF(OR(HLOOKUP($A299,#REF!,14,FALSE)&gt;2,HLOOKUP($A299,#REF!,14,FALSE)&lt;-2),"",#REF!),"")</f>
        <v/>
      </c>
      <c r="Q299" t="str">
        <f>IFERROR(IF(OR(HLOOKUP($A299,#REF!,15,FALSE)&gt;2,HLOOKUP($A299,#REF!,15,FALSE)&lt;-2),"",#REF!),"")</f>
        <v/>
      </c>
      <c r="R299" t="str">
        <f>IFERROR(IF(OR(HLOOKUP($A299,#REF!,16,FALSE)&gt;2,HLOOKUP($A299,#REF!,16,FALSE)&lt;-2),"",#REF!),"")</f>
        <v/>
      </c>
      <c r="S299" t="str">
        <f>IFERROR(IF(OR(HLOOKUP($A299,#REF!,17,FALSE)&gt;2,HLOOKUP($A299,#REF!,17,FALSE)&lt;-2),"",#REF!),"")</f>
        <v/>
      </c>
      <c r="T299" t="str">
        <f>IFERROR(IF(OR(HLOOKUP($A299,#REF!,18,FALSE)&gt;2,HLOOKUP($A299,#REF!,18,FALSE)&lt;-2),"",#REF!),"")</f>
        <v/>
      </c>
      <c r="U299" t="str">
        <f>IFERROR(IF(OR(HLOOKUP($A299,#REF!,19,FALSE)&gt;2,HLOOKUP($A299,#REF!,19,FALSE)&lt;-2),"",#REF!),"")</f>
        <v/>
      </c>
      <c r="V299">
        <f t="shared" si="16"/>
        <v>1</v>
      </c>
      <c r="W299" t="str">
        <f t="shared" si="17"/>
        <v/>
      </c>
      <c r="X299" t="str">
        <f t="shared" si="18"/>
        <v/>
      </c>
      <c r="Y299" t="str">
        <f t="shared" si="19"/>
        <v/>
      </c>
    </row>
    <row r="300" spans="1:25" x14ac:dyDescent="0.35">
      <c r="A300">
        <v>307</v>
      </c>
      <c r="B300" t="s">
        <v>167</v>
      </c>
      <c r="C300">
        <v>94200</v>
      </c>
      <c r="D300">
        <v>370</v>
      </c>
      <c r="E300" t="str">
        <f>IFERROR(IF(OR(HLOOKUP($A300,#REF!,3,FALSE)&gt;2,HLOOKUP(A300,#REF!,3,FALSE)&lt;-2),"",#REF!),"")</f>
        <v/>
      </c>
      <c r="F300" t="str">
        <f>IFERROR(IF(OR(HLOOKUP($A300,#REF!,4,FALSE)&gt;2,HLOOKUP($A300,#REF!,4,FALSE)&lt;-2),"",#REF!),"")</f>
        <v/>
      </c>
      <c r="G300" t="str">
        <f>IFERROR(IF(OR(HLOOKUP($A300,#REF!,5,FALSE)&gt;2,HLOOKUP($A300,#REF!,5,FALSE)&lt;-2),"",#REF!),"")</f>
        <v/>
      </c>
      <c r="H300" t="str">
        <f>IFERROR(IF(OR(HLOOKUP($A300,#REF!,6,FALSE)&gt;2,HLOOKUP($A300,#REF!,6,FALSE)&lt;-2),"",#REF!),"")</f>
        <v/>
      </c>
      <c r="I300" t="str">
        <f>IFERROR(IF(OR(HLOOKUP($A300,#REF!,7,FALSE)&gt;2,HLOOKUP($A300,#REF!,7,FALSE)&lt;-2),"",#REF!),"")</f>
        <v/>
      </c>
      <c r="J300" t="str">
        <f>IFERROR(IF(OR(HLOOKUP($A300,#REF!,8,FALSE)&gt;2,HLOOKUP($A300,#REF!,8,FALSE)&lt;-2),"",#REF!),"")</f>
        <v/>
      </c>
      <c r="K300" t="str">
        <f>IFERROR(IF(OR(HLOOKUP($A300,#REF!,9,FALSE)&gt;2,HLOOKUP($A300,#REF!,9,FALSE)&lt;-2),"",#REF!),"")</f>
        <v/>
      </c>
      <c r="L300" t="str">
        <f>IFERROR(IF(OR(HLOOKUP($A300,#REF!,10,FALSE)&gt;2,HLOOKUP($A300,#REF!,10,FALSE)&lt;-2),"",#REF!),"")</f>
        <v/>
      </c>
      <c r="M300" t="str">
        <f>IFERROR(IF(OR(HLOOKUP($A300,#REF!,11,FALSE)&gt;2,HLOOKUP($A300,#REF!,11,FALSE)&lt;-2),"",#REF!),"")</f>
        <v/>
      </c>
      <c r="N300" t="str">
        <f>IFERROR(IF(OR(HLOOKUP($A300,#REF!,12,FALSE)&gt;2,HLOOKUP($A300,#REF!,12,FALSE)&lt;-2),"",#REF!),"")</f>
        <v/>
      </c>
      <c r="O300" t="str">
        <f>IFERROR(IF(OR(HLOOKUP($A300,#REF!,13,FALSE)&gt;2,HLOOKUP($A300,#REF!,13,FALSE)&lt;-2),"",#REF!),"")</f>
        <v/>
      </c>
      <c r="P300" t="str">
        <f>IFERROR(IF(OR(HLOOKUP($A300,#REF!,14,FALSE)&gt;2,HLOOKUP($A300,#REF!,14,FALSE)&lt;-2),"",#REF!),"")</f>
        <v/>
      </c>
      <c r="Q300" t="str">
        <f>IFERROR(IF(OR(HLOOKUP($A300,#REF!,15,FALSE)&gt;2,HLOOKUP($A300,#REF!,15,FALSE)&lt;-2),"",#REF!),"")</f>
        <v/>
      </c>
      <c r="R300" t="str">
        <f>IFERROR(IF(OR(HLOOKUP($A300,#REF!,16,FALSE)&gt;2,HLOOKUP($A300,#REF!,16,FALSE)&lt;-2),"",#REF!),"")</f>
        <v/>
      </c>
      <c r="S300" t="str">
        <f>IFERROR(IF(OR(HLOOKUP($A300,#REF!,17,FALSE)&gt;2,HLOOKUP($A300,#REF!,17,FALSE)&lt;-2),"",#REF!),"")</f>
        <v/>
      </c>
      <c r="T300" t="str">
        <f>IFERROR(IF(OR(HLOOKUP($A300,#REF!,18,FALSE)&gt;2,HLOOKUP($A300,#REF!,18,FALSE)&lt;-2),"",#REF!),"")</f>
        <v/>
      </c>
      <c r="U300" t="str">
        <f>IFERROR(IF(OR(HLOOKUP($A300,#REF!,19,FALSE)&gt;2,HLOOKUP($A300,#REF!,19,FALSE)&lt;-2),"",#REF!),"")</f>
        <v/>
      </c>
      <c r="V300">
        <f t="shared" si="16"/>
        <v>1</v>
      </c>
      <c r="W300" t="str">
        <f t="shared" si="17"/>
        <v/>
      </c>
      <c r="X300" t="str">
        <f t="shared" si="18"/>
        <v/>
      </c>
      <c r="Y300" t="str">
        <f t="shared" si="19"/>
        <v/>
      </c>
    </row>
    <row r="301" spans="1:25" x14ac:dyDescent="0.35">
      <c r="A301">
        <v>308</v>
      </c>
      <c r="B301" t="s">
        <v>736</v>
      </c>
      <c r="C301">
        <v>27800</v>
      </c>
      <c r="D301">
        <v>22</v>
      </c>
      <c r="E301" t="str">
        <f>IFERROR(IF(OR(HLOOKUP($A301,#REF!,3,FALSE)&gt;2,HLOOKUP(A301,#REF!,3,FALSE)&lt;-2),"",#REF!),"")</f>
        <v/>
      </c>
      <c r="F301" t="str">
        <f>IFERROR(IF(OR(HLOOKUP($A301,#REF!,4,FALSE)&gt;2,HLOOKUP($A301,#REF!,4,FALSE)&lt;-2),"",#REF!),"")</f>
        <v/>
      </c>
      <c r="G301" t="str">
        <f>IFERROR(IF(OR(HLOOKUP($A301,#REF!,5,FALSE)&gt;2,HLOOKUP($A301,#REF!,5,FALSE)&lt;-2),"",#REF!),"")</f>
        <v/>
      </c>
      <c r="H301" t="str">
        <f>IFERROR(IF(OR(HLOOKUP($A301,#REF!,6,FALSE)&gt;2,HLOOKUP($A301,#REF!,6,FALSE)&lt;-2),"",#REF!),"")</f>
        <v/>
      </c>
      <c r="I301" t="str">
        <f>IFERROR(IF(OR(HLOOKUP($A301,#REF!,7,FALSE)&gt;2,HLOOKUP($A301,#REF!,7,FALSE)&lt;-2),"",#REF!),"")</f>
        <v/>
      </c>
      <c r="J301" t="str">
        <f>IFERROR(IF(OR(HLOOKUP($A301,#REF!,8,FALSE)&gt;2,HLOOKUP($A301,#REF!,8,FALSE)&lt;-2),"",#REF!),"")</f>
        <v/>
      </c>
      <c r="K301" t="str">
        <f>IFERROR(IF(OR(HLOOKUP($A301,#REF!,9,FALSE)&gt;2,HLOOKUP($A301,#REF!,9,FALSE)&lt;-2),"",#REF!),"")</f>
        <v/>
      </c>
      <c r="L301" t="str">
        <f>IFERROR(IF(OR(HLOOKUP($A301,#REF!,10,FALSE)&gt;2,HLOOKUP($A301,#REF!,10,FALSE)&lt;-2),"",#REF!),"")</f>
        <v/>
      </c>
      <c r="M301" t="str">
        <f>IFERROR(IF(OR(HLOOKUP($A301,#REF!,11,FALSE)&gt;2,HLOOKUP($A301,#REF!,11,FALSE)&lt;-2),"",#REF!),"")</f>
        <v/>
      </c>
      <c r="N301" t="str">
        <f>IFERROR(IF(OR(HLOOKUP($A301,#REF!,12,FALSE)&gt;2,HLOOKUP($A301,#REF!,12,FALSE)&lt;-2),"",#REF!),"")</f>
        <v/>
      </c>
      <c r="O301" t="str">
        <f>IFERROR(IF(OR(HLOOKUP($A301,#REF!,13,FALSE)&gt;2,HLOOKUP($A301,#REF!,13,FALSE)&lt;-2),"",#REF!),"")</f>
        <v/>
      </c>
      <c r="P301" t="str">
        <f>IFERROR(IF(OR(HLOOKUP($A301,#REF!,14,FALSE)&gt;2,HLOOKUP($A301,#REF!,14,FALSE)&lt;-2),"",#REF!),"")</f>
        <v/>
      </c>
      <c r="Q301" t="str">
        <f>IFERROR(IF(OR(HLOOKUP($A301,#REF!,15,FALSE)&gt;2,HLOOKUP($A301,#REF!,15,FALSE)&lt;-2),"",#REF!),"")</f>
        <v/>
      </c>
      <c r="R301" t="str">
        <f>IFERROR(IF(OR(HLOOKUP($A301,#REF!,16,FALSE)&gt;2,HLOOKUP($A301,#REF!,16,FALSE)&lt;-2),"",#REF!),"")</f>
        <v/>
      </c>
      <c r="S301" t="str">
        <f>IFERROR(IF(OR(HLOOKUP($A301,#REF!,17,FALSE)&gt;2,HLOOKUP($A301,#REF!,17,FALSE)&lt;-2),"",#REF!),"")</f>
        <v/>
      </c>
      <c r="T301" t="str">
        <f>IFERROR(IF(OR(HLOOKUP($A301,#REF!,18,FALSE)&gt;2,HLOOKUP($A301,#REF!,18,FALSE)&lt;-2),"",#REF!),"")</f>
        <v/>
      </c>
      <c r="U301" t="str">
        <f>IFERROR(IF(OR(HLOOKUP($A301,#REF!,19,FALSE)&gt;2,HLOOKUP($A301,#REF!,19,FALSE)&lt;-2),"",#REF!),"")</f>
        <v/>
      </c>
      <c r="V301">
        <f t="shared" si="16"/>
        <v>1</v>
      </c>
      <c r="W301" t="str">
        <f t="shared" si="17"/>
        <v/>
      </c>
      <c r="X301" t="str">
        <f t="shared" si="18"/>
        <v/>
      </c>
      <c r="Y301" t="str">
        <f t="shared" si="19"/>
        <v/>
      </c>
    </row>
    <row r="302" spans="1:25" x14ac:dyDescent="0.35">
      <c r="A302">
        <v>309</v>
      </c>
      <c r="B302" t="s">
        <v>737</v>
      </c>
      <c r="C302">
        <v>109100</v>
      </c>
      <c r="D302">
        <v>760</v>
      </c>
      <c r="E302" t="str">
        <f>IFERROR(IF(OR(HLOOKUP($A302,#REF!,3,FALSE)&gt;2,HLOOKUP(A302,#REF!,3,FALSE)&lt;-2),"",#REF!),"")</f>
        <v/>
      </c>
      <c r="F302" t="str">
        <f>IFERROR(IF(OR(HLOOKUP($A302,#REF!,4,FALSE)&gt;2,HLOOKUP($A302,#REF!,4,FALSE)&lt;-2),"",#REF!),"")</f>
        <v/>
      </c>
      <c r="G302" t="str">
        <f>IFERROR(IF(OR(HLOOKUP($A302,#REF!,5,FALSE)&gt;2,HLOOKUP($A302,#REF!,5,FALSE)&lt;-2),"",#REF!),"")</f>
        <v/>
      </c>
      <c r="H302" t="str">
        <f>IFERROR(IF(OR(HLOOKUP($A302,#REF!,6,FALSE)&gt;2,HLOOKUP($A302,#REF!,6,FALSE)&lt;-2),"",#REF!),"")</f>
        <v/>
      </c>
      <c r="I302" t="str">
        <f>IFERROR(IF(OR(HLOOKUP($A302,#REF!,7,FALSE)&gt;2,HLOOKUP($A302,#REF!,7,FALSE)&lt;-2),"",#REF!),"")</f>
        <v/>
      </c>
      <c r="J302" t="str">
        <f>IFERROR(IF(OR(HLOOKUP($A302,#REF!,8,FALSE)&gt;2,HLOOKUP($A302,#REF!,8,FALSE)&lt;-2),"",#REF!),"")</f>
        <v/>
      </c>
      <c r="K302" t="str">
        <f>IFERROR(IF(OR(HLOOKUP($A302,#REF!,9,FALSE)&gt;2,HLOOKUP($A302,#REF!,9,FALSE)&lt;-2),"",#REF!),"")</f>
        <v/>
      </c>
      <c r="L302" t="str">
        <f>IFERROR(IF(OR(HLOOKUP($A302,#REF!,10,FALSE)&gt;2,HLOOKUP($A302,#REF!,10,FALSE)&lt;-2),"",#REF!),"")</f>
        <v/>
      </c>
      <c r="M302" t="str">
        <f>IFERROR(IF(OR(HLOOKUP($A302,#REF!,11,FALSE)&gt;2,HLOOKUP($A302,#REF!,11,FALSE)&lt;-2),"",#REF!),"")</f>
        <v/>
      </c>
      <c r="N302" t="str">
        <f>IFERROR(IF(OR(HLOOKUP($A302,#REF!,12,FALSE)&gt;2,HLOOKUP($A302,#REF!,12,FALSE)&lt;-2),"",#REF!),"")</f>
        <v/>
      </c>
      <c r="O302" t="str">
        <f>IFERROR(IF(OR(HLOOKUP($A302,#REF!,13,FALSE)&gt;2,HLOOKUP($A302,#REF!,13,FALSE)&lt;-2),"",#REF!),"")</f>
        <v/>
      </c>
      <c r="P302" t="str">
        <f>IFERROR(IF(OR(HLOOKUP($A302,#REF!,14,FALSE)&gt;2,HLOOKUP($A302,#REF!,14,FALSE)&lt;-2),"",#REF!),"")</f>
        <v/>
      </c>
      <c r="Q302" t="str">
        <f>IFERROR(IF(OR(HLOOKUP($A302,#REF!,15,FALSE)&gt;2,HLOOKUP($A302,#REF!,15,FALSE)&lt;-2),"",#REF!),"")</f>
        <v/>
      </c>
      <c r="R302" t="str">
        <f>IFERROR(IF(OR(HLOOKUP($A302,#REF!,16,FALSE)&gt;2,HLOOKUP($A302,#REF!,16,FALSE)&lt;-2),"",#REF!),"")</f>
        <v/>
      </c>
      <c r="S302" t="str">
        <f>IFERROR(IF(OR(HLOOKUP($A302,#REF!,17,FALSE)&gt;2,HLOOKUP($A302,#REF!,17,FALSE)&lt;-2),"",#REF!),"")</f>
        <v/>
      </c>
      <c r="T302" t="str">
        <f>IFERROR(IF(OR(HLOOKUP($A302,#REF!,18,FALSE)&gt;2,HLOOKUP($A302,#REF!,18,FALSE)&lt;-2),"",#REF!),"")</f>
        <v/>
      </c>
      <c r="U302" t="str">
        <f>IFERROR(IF(OR(HLOOKUP($A302,#REF!,19,FALSE)&gt;2,HLOOKUP($A302,#REF!,19,FALSE)&lt;-2),"",#REF!),"")</f>
        <v/>
      </c>
      <c r="V302">
        <f t="shared" si="16"/>
        <v>1</v>
      </c>
      <c r="W302" t="str">
        <f t="shared" si="17"/>
        <v/>
      </c>
      <c r="X302" t="str">
        <f t="shared" si="18"/>
        <v/>
      </c>
      <c r="Y302" t="str">
        <f t="shared" si="19"/>
        <v/>
      </c>
    </row>
    <row r="303" spans="1:25" x14ac:dyDescent="0.35">
      <c r="A303">
        <v>310</v>
      </c>
      <c r="B303" t="s">
        <v>168</v>
      </c>
      <c r="C303">
        <v>49800</v>
      </c>
      <c r="D303">
        <v>275</v>
      </c>
      <c r="E303" t="str">
        <f>IFERROR(IF(OR(HLOOKUP($A303,#REF!,3,FALSE)&gt;2,HLOOKUP(A303,#REF!,3,FALSE)&lt;-2),"",#REF!),"")</f>
        <v/>
      </c>
      <c r="F303" t="str">
        <f>IFERROR(IF(OR(HLOOKUP($A303,#REF!,4,FALSE)&gt;2,HLOOKUP($A303,#REF!,4,FALSE)&lt;-2),"",#REF!),"")</f>
        <v/>
      </c>
      <c r="G303" t="str">
        <f>IFERROR(IF(OR(HLOOKUP($A303,#REF!,5,FALSE)&gt;2,HLOOKUP($A303,#REF!,5,FALSE)&lt;-2),"",#REF!),"")</f>
        <v/>
      </c>
      <c r="H303" t="str">
        <f>IFERROR(IF(OR(HLOOKUP($A303,#REF!,6,FALSE)&gt;2,HLOOKUP($A303,#REF!,6,FALSE)&lt;-2),"",#REF!),"")</f>
        <v/>
      </c>
      <c r="I303" t="str">
        <f>IFERROR(IF(OR(HLOOKUP($A303,#REF!,7,FALSE)&gt;2,HLOOKUP($A303,#REF!,7,FALSE)&lt;-2),"",#REF!),"")</f>
        <v/>
      </c>
      <c r="J303" t="str">
        <f>IFERROR(IF(OR(HLOOKUP($A303,#REF!,8,FALSE)&gt;2,HLOOKUP($A303,#REF!,8,FALSE)&lt;-2),"",#REF!),"")</f>
        <v/>
      </c>
      <c r="K303" t="str">
        <f>IFERROR(IF(OR(HLOOKUP($A303,#REF!,9,FALSE)&gt;2,HLOOKUP($A303,#REF!,9,FALSE)&lt;-2),"",#REF!),"")</f>
        <v/>
      </c>
      <c r="L303" t="str">
        <f>IFERROR(IF(OR(HLOOKUP($A303,#REF!,10,FALSE)&gt;2,HLOOKUP($A303,#REF!,10,FALSE)&lt;-2),"",#REF!),"")</f>
        <v/>
      </c>
      <c r="M303" t="str">
        <f>IFERROR(IF(OR(HLOOKUP($A303,#REF!,11,FALSE)&gt;2,HLOOKUP($A303,#REF!,11,FALSE)&lt;-2),"",#REF!),"")</f>
        <v/>
      </c>
      <c r="N303" t="str">
        <f>IFERROR(IF(OR(HLOOKUP($A303,#REF!,12,FALSE)&gt;2,HLOOKUP($A303,#REF!,12,FALSE)&lt;-2),"",#REF!),"")</f>
        <v/>
      </c>
      <c r="O303" t="str">
        <f>IFERROR(IF(OR(HLOOKUP($A303,#REF!,13,FALSE)&gt;2,HLOOKUP($A303,#REF!,13,FALSE)&lt;-2),"",#REF!),"")</f>
        <v/>
      </c>
      <c r="P303" t="str">
        <f>IFERROR(IF(OR(HLOOKUP($A303,#REF!,14,FALSE)&gt;2,HLOOKUP($A303,#REF!,14,FALSE)&lt;-2),"",#REF!),"")</f>
        <v/>
      </c>
      <c r="Q303" t="str">
        <f>IFERROR(IF(OR(HLOOKUP($A303,#REF!,15,FALSE)&gt;2,HLOOKUP($A303,#REF!,15,FALSE)&lt;-2),"",#REF!),"")</f>
        <v/>
      </c>
      <c r="R303" t="str">
        <f>IFERROR(IF(OR(HLOOKUP($A303,#REF!,16,FALSE)&gt;2,HLOOKUP($A303,#REF!,16,FALSE)&lt;-2),"",#REF!),"")</f>
        <v/>
      </c>
      <c r="S303" t="str">
        <f>IFERROR(IF(OR(HLOOKUP($A303,#REF!,17,FALSE)&gt;2,HLOOKUP($A303,#REF!,17,FALSE)&lt;-2),"",#REF!),"")</f>
        <v/>
      </c>
      <c r="T303" t="str">
        <f>IFERROR(IF(OR(HLOOKUP($A303,#REF!,18,FALSE)&gt;2,HLOOKUP($A303,#REF!,18,FALSE)&lt;-2),"",#REF!),"")</f>
        <v/>
      </c>
      <c r="U303" t="str">
        <f>IFERROR(IF(OR(HLOOKUP($A303,#REF!,19,FALSE)&gt;2,HLOOKUP($A303,#REF!,19,FALSE)&lt;-2),"",#REF!),"")</f>
        <v/>
      </c>
      <c r="V303">
        <f t="shared" si="16"/>
        <v>1</v>
      </c>
      <c r="W303" t="str">
        <f t="shared" si="17"/>
        <v/>
      </c>
      <c r="X303" t="str">
        <f t="shared" si="18"/>
        <v/>
      </c>
      <c r="Y303" t="str">
        <f t="shared" si="19"/>
        <v/>
      </c>
    </row>
    <row r="304" spans="1:25" x14ac:dyDescent="0.35">
      <c r="A304">
        <v>311</v>
      </c>
      <c r="B304" t="s">
        <v>169</v>
      </c>
      <c r="C304">
        <v>47300</v>
      </c>
      <c r="D304">
        <v>295</v>
      </c>
      <c r="E304" t="str">
        <f>IFERROR(IF(OR(HLOOKUP($A304,#REF!,3,FALSE)&gt;2,HLOOKUP(A304,#REF!,3,FALSE)&lt;-2),"",#REF!),"")</f>
        <v/>
      </c>
      <c r="F304" t="str">
        <f>IFERROR(IF(OR(HLOOKUP($A304,#REF!,4,FALSE)&gt;2,HLOOKUP($A304,#REF!,4,FALSE)&lt;-2),"",#REF!),"")</f>
        <v/>
      </c>
      <c r="G304" t="str">
        <f>IFERROR(IF(OR(HLOOKUP($A304,#REF!,5,FALSE)&gt;2,HLOOKUP($A304,#REF!,5,FALSE)&lt;-2),"",#REF!),"")</f>
        <v/>
      </c>
      <c r="H304" t="str">
        <f>IFERROR(IF(OR(HLOOKUP($A304,#REF!,6,FALSE)&gt;2,HLOOKUP($A304,#REF!,6,FALSE)&lt;-2),"",#REF!),"")</f>
        <v/>
      </c>
      <c r="I304" t="str">
        <f>IFERROR(IF(OR(HLOOKUP($A304,#REF!,7,FALSE)&gt;2,HLOOKUP($A304,#REF!,7,FALSE)&lt;-2),"",#REF!),"")</f>
        <v/>
      </c>
      <c r="J304" t="str">
        <f>IFERROR(IF(OR(HLOOKUP($A304,#REF!,8,FALSE)&gt;2,HLOOKUP($A304,#REF!,8,FALSE)&lt;-2),"",#REF!),"")</f>
        <v/>
      </c>
      <c r="K304" t="str">
        <f>IFERROR(IF(OR(HLOOKUP($A304,#REF!,9,FALSE)&gt;2,HLOOKUP($A304,#REF!,9,FALSE)&lt;-2),"",#REF!),"")</f>
        <v/>
      </c>
      <c r="L304" t="str">
        <f>IFERROR(IF(OR(HLOOKUP($A304,#REF!,10,FALSE)&gt;2,HLOOKUP($A304,#REF!,10,FALSE)&lt;-2),"",#REF!),"")</f>
        <v/>
      </c>
      <c r="M304" t="str">
        <f>IFERROR(IF(OR(HLOOKUP($A304,#REF!,11,FALSE)&gt;2,HLOOKUP($A304,#REF!,11,FALSE)&lt;-2),"",#REF!),"")</f>
        <v/>
      </c>
      <c r="N304" t="str">
        <f>IFERROR(IF(OR(HLOOKUP($A304,#REF!,12,FALSE)&gt;2,HLOOKUP($A304,#REF!,12,FALSE)&lt;-2),"",#REF!),"")</f>
        <v/>
      </c>
      <c r="O304" t="str">
        <f>IFERROR(IF(OR(HLOOKUP($A304,#REF!,13,FALSE)&gt;2,HLOOKUP($A304,#REF!,13,FALSE)&lt;-2),"",#REF!),"")</f>
        <v/>
      </c>
      <c r="P304" t="str">
        <f>IFERROR(IF(OR(HLOOKUP($A304,#REF!,14,FALSE)&gt;2,HLOOKUP($A304,#REF!,14,FALSE)&lt;-2),"",#REF!),"")</f>
        <v/>
      </c>
      <c r="Q304" t="str">
        <f>IFERROR(IF(OR(HLOOKUP($A304,#REF!,15,FALSE)&gt;2,HLOOKUP($A304,#REF!,15,FALSE)&lt;-2),"",#REF!),"")</f>
        <v/>
      </c>
      <c r="R304" t="str">
        <f>IFERROR(IF(OR(HLOOKUP($A304,#REF!,16,FALSE)&gt;2,HLOOKUP($A304,#REF!,16,FALSE)&lt;-2),"",#REF!),"")</f>
        <v/>
      </c>
      <c r="S304" t="str">
        <f>IFERROR(IF(OR(HLOOKUP($A304,#REF!,17,FALSE)&gt;2,HLOOKUP($A304,#REF!,17,FALSE)&lt;-2),"",#REF!),"")</f>
        <v/>
      </c>
      <c r="T304" t="str">
        <f>IFERROR(IF(OR(HLOOKUP($A304,#REF!,18,FALSE)&gt;2,HLOOKUP($A304,#REF!,18,FALSE)&lt;-2),"",#REF!),"")</f>
        <v/>
      </c>
      <c r="U304" t="str">
        <f>IFERROR(IF(OR(HLOOKUP($A304,#REF!,19,FALSE)&gt;2,HLOOKUP($A304,#REF!,19,FALSE)&lt;-2),"",#REF!),"")</f>
        <v/>
      </c>
      <c r="V304">
        <f t="shared" si="16"/>
        <v>1</v>
      </c>
      <c r="W304" t="str">
        <f t="shared" si="17"/>
        <v/>
      </c>
      <c r="X304" t="str">
        <f t="shared" si="18"/>
        <v/>
      </c>
      <c r="Y304" t="str">
        <f t="shared" si="19"/>
        <v/>
      </c>
    </row>
    <row r="305" spans="1:25" x14ac:dyDescent="0.35">
      <c r="A305">
        <v>312</v>
      </c>
      <c r="B305" t="s">
        <v>738</v>
      </c>
      <c r="C305">
        <v>42100</v>
      </c>
      <c r="D305">
        <v>918</v>
      </c>
      <c r="E305" t="str">
        <f>IFERROR(IF(OR(HLOOKUP($A305,#REF!,3,FALSE)&gt;2,HLOOKUP(A305,#REF!,3,FALSE)&lt;-2),"",#REF!),"")</f>
        <v/>
      </c>
      <c r="F305" t="str">
        <f>IFERROR(IF(OR(HLOOKUP($A305,#REF!,4,FALSE)&gt;2,HLOOKUP($A305,#REF!,4,FALSE)&lt;-2),"",#REF!),"")</f>
        <v/>
      </c>
      <c r="G305" t="str">
        <f>IFERROR(IF(OR(HLOOKUP($A305,#REF!,5,FALSE)&gt;2,HLOOKUP($A305,#REF!,5,FALSE)&lt;-2),"",#REF!),"")</f>
        <v/>
      </c>
      <c r="H305" t="str">
        <f>IFERROR(IF(OR(HLOOKUP($A305,#REF!,6,FALSE)&gt;2,HLOOKUP($A305,#REF!,6,FALSE)&lt;-2),"",#REF!),"")</f>
        <v/>
      </c>
      <c r="I305" t="str">
        <f>IFERROR(IF(OR(HLOOKUP($A305,#REF!,7,FALSE)&gt;2,HLOOKUP($A305,#REF!,7,FALSE)&lt;-2),"",#REF!),"")</f>
        <v/>
      </c>
      <c r="J305" t="str">
        <f>IFERROR(IF(OR(HLOOKUP($A305,#REF!,8,FALSE)&gt;2,HLOOKUP($A305,#REF!,8,FALSE)&lt;-2),"",#REF!),"")</f>
        <v/>
      </c>
      <c r="K305" t="str">
        <f>IFERROR(IF(OR(HLOOKUP($A305,#REF!,9,FALSE)&gt;2,HLOOKUP($A305,#REF!,9,FALSE)&lt;-2),"",#REF!),"")</f>
        <v/>
      </c>
      <c r="L305" t="str">
        <f>IFERROR(IF(OR(HLOOKUP($A305,#REF!,10,FALSE)&gt;2,HLOOKUP($A305,#REF!,10,FALSE)&lt;-2),"",#REF!),"")</f>
        <v/>
      </c>
      <c r="M305" t="str">
        <f>IFERROR(IF(OR(HLOOKUP($A305,#REF!,11,FALSE)&gt;2,HLOOKUP($A305,#REF!,11,FALSE)&lt;-2),"",#REF!),"")</f>
        <v/>
      </c>
      <c r="N305" t="str">
        <f>IFERROR(IF(OR(HLOOKUP($A305,#REF!,12,FALSE)&gt;2,HLOOKUP($A305,#REF!,12,FALSE)&lt;-2),"",#REF!),"")</f>
        <v/>
      </c>
      <c r="O305" t="str">
        <f>IFERROR(IF(OR(HLOOKUP($A305,#REF!,13,FALSE)&gt;2,HLOOKUP($A305,#REF!,13,FALSE)&lt;-2),"",#REF!),"")</f>
        <v/>
      </c>
      <c r="P305" t="str">
        <f>IFERROR(IF(OR(HLOOKUP($A305,#REF!,14,FALSE)&gt;2,HLOOKUP($A305,#REF!,14,FALSE)&lt;-2),"",#REF!),"")</f>
        <v/>
      </c>
      <c r="Q305" t="str">
        <f>IFERROR(IF(OR(HLOOKUP($A305,#REF!,15,FALSE)&gt;2,HLOOKUP($A305,#REF!,15,FALSE)&lt;-2),"",#REF!),"")</f>
        <v/>
      </c>
      <c r="R305" t="str">
        <f>IFERROR(IF(OR(HLOOKUP($A305,#REF!,16,FALSE)&gt;2,HLOOKUP($A305,#REF!,16,FALSE)&lt;-2),"",#REF!),"")</f>
        <v/>
      </c>
      <c r="S305" t="str">
        <f>IFERROR(IF(OR(HLOOKUP($A305,#REF!,17,FALSE)&gt;2,HLOOKUP($A305,#REF!,17,FALSE)&lt;-2),"",#REF!),"")</f>
        <v/>
      </c>
      <c r="T305" t="str">
        <f>IFERROR(IF(OR(HLOOKUP($A305,#REF!,18,FALSE)&gt;2,HLOOKUP($A305,#REF!,18,FALSE)&lt;-2),"",#REF!),"")</f>
        <v/>
      </c>
      <c r="U305" t="str">
        <f>IFERROR(IF(OR(HLOOKUP($A305,#REF!,19,FALSE)&gt;2,HLOOKUP($A305,#REF!,19,FALSE)&lt;-2),"",#REF!),"")</f>
        <v/>
      </c>
      <c r="V305">
        <f t="shared" si="16"/>
        <v>1</v>
      </c>
      <c r="W305" t="str">
        <f t="shared" si="17"/>
        <v/>
      </c>
      <c r="X305" t="str">
        <f t="shared" si="18"/>
        <v/>
      </c>
      <c r="Y305" t="str">
        <f t="shared" si="19"/>
        <v/>
      </c>
    </row>
    <row r="306" spans="1:25" x14ac:dyDescent="0.35">
      <c r="A306">
        <v>313</v>
      </c>
      <c r="B306" t="s">
        <v>170</v>
      </c>
      <c r="C306">
        <v>78500</v>
      </c>
      <c r="D306">
        <v>343</v>
      </c>
      <c r="E306" t="str">
        <f>IFERROR(IF(OR(HLOOKUP($A306,#REF!,3,FALSE)&gt;2,HLOOKUP(A306,#REF!,3,FALSE)&lt;-2),"",#REF!),"")</f>
        <v/>
      </c>
      <c r="F306" t="str">
        <f>IFERROR(IF(OR(HLOOKUP($A306,#REF!,4,FALSE)&gt;2,HLOOKUP($A306,#REF!,4,FALSE)&lt;-2),"",#REF!),"")</f>
        <v/>
      </c>
      <c r="G306" t="str">
        <f>IFERROR(IF(OR(HLOOKUP($A306,#REF!,5,FALSE)&gt;2,HLOOKUP($A306,#REF!,5,FALSE)&lt;-2),"",#REF!),"")</f>
        <v/>
      </c>
      <c r="H306" t="str">
        <f>IFERROR(IF(OR(HLOOKUP($A306,#REF!,6,FALSE)&gt;2,HLOOKUP($A306,#REF!,6,FALSE)&lt;-2),"",#REF!),"")</f>
        <v/>
      </c>
      <c r="I306" t="str">
        <f>IFERROR(IF(OR(HLOOKUP($A306,#REF!,7,FALSE)&gt;2,HLOOKUP($A306,#REF!,7,FALSE)&lt;-2),"",#REF!),"")</f>
        <v/>
      </c>
      <c r="J306" t="str">
        <f>IFERROR(IF(OR(HLOOKUP($A306,#REF!,8,FALSE)&gt;2,HLOOKUP($A306,#REF!,8,FALSE)&lt;-2),"",#REF!),"")</f>
        <v/>
      </c>
      <c r="K306" t="str">
        <f>IFERROR(IF(OR(HLOOKUP($A306,#REF!,9,FALSE)&gt;2,HLOOKUP($A306,#REF!,9,FALSE)&lt;-2),"",#REF!),"")</f>
        <v/>
      </c>
      <c r="L306" t="str">
        <f>IFERROR(IF(OR(HLOOKUP($A306,#REF!,10,FALSE)&gt;2,HLOOKUP($A306,#REF!,10,FALSE)&lt;-2),"",#REF!),"")</f>
        <v/>
      </c>
      <c r="M306" t="str">
        <f>IFERROR(IF(OR(HLOOKUP($A306,#REF!,11,FALSE)&gt;2,HLOOKUP($A306,#REF!,11,FALSE)&lt;-2),"",#REF!),"")</f>
        <v/>
      </c>
      <c r="N306" t="str">
        <f>IFERROR(IF(OR(HLOOKUP($A306,#REF!,12,FALSE)&gt;2,HLOOKUP($A306,#REF!,12,FALSE)&lt;-2),"",#REF!),"")</f>
        <v/>
      </c>
      <c r="O306" t="str">
        <f>IFERROR(IF(OR(HLOOKUP($A306,#REF!,13,FALSE)&gt;2,HLOOKUP($A306,#REF!,13,FALSE)&lt;-2),"",#REF!),"")</f>
        <v/>
      </c>
      <c r="P306" t="str">
        <f>IFERROR(IF(OR(HLOOKUP($A306,#REF!,14,FALSE)&gt;2,HLOOKUP($A306,#REF!,14,FALSE)&lt;-2),"",#REF!),"")</f>
        <v/>
      </c>
      <c r="Q306" t="str">
        <f>IFERROR(IF(OR(HLOOKUP($A306,#REF!,15,FALSE)&gt;2,HLOOKUP($A306,#REF!,15,FALSE)&lt;-2),"",#REF!),"")</f>
        <v/>
      </c>
      <c r="R306" t="str">
        <f>IFERROR(IF(OR(HLOOKUP($A306,#REF!,16,FALSE)&gt;2,HLOOKUP($A306,#REF!,16,FALSE)&lt;-2),"",#REF!),"")</f>
        <v/>
      </c>
      <c r="S306" t="str">
        <f>IFERROR(IF(OR(HLOOKUP($A306,#REF!,17,FALSE)&gt;2,HLOOKUP($A306,#REF!,17,FALSE)&lt;-2),"",#REF!),"")</f>
        <v/>
      </c>
      <c r="T306" t="str">
        <f>IFERROR(IF(OR(HLOOKUP($A306,#REF!,18,FALSE)&gt;2,HLOOKUP($A306,#REF!,18,FALSE)&lt;-2),"",#REF!),"")</f>
        <v/>
      </c>
      <c r="U306" t="str">
        <f>IFERROR(IF(OR(HLOOKUP($A306,#REF!,19,FALSE)&gt;2,HLOOKUP($A306,#REF!,19,FALSE)&lt;-2),"",#REF!),"")</f>
        <v/>
      </c>
      <c r="V306">
        <f t="shared" si="16"/>
        <v>1</v>
      </c>
      <c r="W306" t="str">
        <f t="shared" si="17"/>
        <v/>
      </c>
      <c r="X306" t="str">
        <f t="shared" si="18"/>
        <v/>
      </c>
      <c r="Y306" t="str">
        <f t="shared" si="19"/>
        <v/>
      </c>
    </row>
    <row r="307" spans="1:25" x14ac:dyDescent="0.35">
      <c r="A307">
        <v>314</v>
      </c>
      <c r="B307" t="s">
        <v>171</v>
      </c>
      <c r="C307">
        <v>24400</v>
      </c>
      <c r="D307">
        <v>111</v>
      </c>
      <c r="E307" t="str">
        <f>IFERROR(IF(OR(HLOOKUP($A307,#REF!,3,FALSE)&gt;2,HLOOKUP(A307,#REF!,3,FALSE)&lt;-2),"",#REF!),"")</f>
        <v/>
      </c>
      <c r="F307" t="str">
        <f>IFERROR(IF(OR(HLOOKUP($A307,#REF!,4,FALSE)&gt;2,HLOOKUP($A307,#REF!,4,FALSE)&lt;-2),"",#REF!),"")</f>
        <v/>
      </c>
      <c r="G307" t="str">
        <f>IFERROR(IF(OR(HLOOKUP($A307,#REF!,5,FALSE)&gt;2,HLOOKUP($A307,#REF!,5,FALSE)&lt;-2),"",#REF!),"")</f>
        <v/>
      </c>
      <c r="H307" t="str">
        <f>IFERROR(IF(OR(HLOOKUP($A307,#REF!,6,FALSE)&gt;2,HLOOKUP($A307,#REF!,6,FALSE)&lt;-2),"",#REF!),"")</f>
        <v/>
      </c>
      <c r="I307" t="str">
        <f>IFERROR(IF(OR(HLOOKUP($A307,#REF!,7,FALSE)&gt;2,HLOOKUP($A307,#REF!,7,FALSE)&lt;-2),"",#REF!),"")</f>
        <v/>
      </c>
      <c r="J307" t="str">
        <f>IFERROR(IF(OR(HLOOKUP($A307,#REF!,8,FALSE)&gt;2,HLOOKUP($A307,#REF!,8,FALSE)&lt;-2),"",#REF!),"")</f>
        <v/>
      </c>
      <c r="K307" t="str">
        <f>IFERROR(IF(OR(HLOOKUP($A307,#REF!,9,FALSE)&gt;2,HLOOKUP($A307,#REF!,9,FALSE)&lt;-2),"",#REF!),"")</f>
        <v/>
      </c>
      <c r="L307" t="str">
        <f>IFERROR(IF(OR(HLOOKUP($A307,#REF!,10,FALSE)&gt;2,HLOOKUP($A307,#REF!,10,FALSE)&lt;-2),"",#REF!),"")</f>
        <v/>
      </c>
      <c r="M307" t="str">
        <f>IFERROR(IF(OR(HLOOKUP($A307,#REF!,11,FALSE)&gt;2,HLOOKUP($A307,#REF!,11,FALSE)&lt;-2),"",#REF!),"")</f>
        <v/>
      </c>
      <c r="N307" t="str">
        <f>IFERROR(IF(OR(HLOOKUP($A307,#REF!,12,FALSE)&gt;2,HLOOKUP($A307,#REF!,12,FALSE)&lt;-2),"",#REF!),"")</f>
        <v/>
      </c>
      <c r="O307" t="str">
        <f>IFERROR(IF(OR(HLOOKUP($A307,#REF!,13,FALSE)&gt;2,HLOOKUP($A307,#REF!,13,FALSE)&lt;-2),"",#REF!),"")</f>
        <v/>
      </c>
      <c r="P307" t="str">
        <f>IFERROR(IF(OR(HLOOKUP($A307,#REF!,14,FALSE)&gt;2,HLOOKUP($A307,#REF!,14,FALSE)&lt;-2),"",#REF!),"")</f>
        <v/>
      </c>
      <c r="Q307" t="str">
        <f>IFERROR(IF(OR(HLOOKUP($A307,#REF!,15,FALSE)&gt;2,HLOOKUP($A307,#REF!,15,FALSE)&lt;-2),"",#REF!),"")</f>
        <v/>
      </c>
      <c r="R307" t="str">
        <f>IFERROR(IF(OR(HLOOKUP($A307,#REF!,16,FALSE)&gt;2,HLOOKUP($A307,#REF!,16,FALSE)&lt;-2),"",#REF!),"")</f>
        <v/>
      </c>
      <c r="S307" t="str">
        <f>IFERROR(IF(OR(HLOOKUP($A307,#REF!,17,FALSE)&gt;2,HLOOKUP($A307,#REF!,17,FALSE)&lt;-2),"",#REF!),"")</f>
        <v/>
      </c>
      <c r="T307" t="str">
        <f>IFERROR(IF(OR(HLOOKUP($A307,#REF!,18,FALSE)&gt;2,HLOOKUP($A307,#REF!,18,FALSE)&lt;-2),"",#REF!),"")</f>
        <v/>
      </c>
      <c r="U307" t="str">
        <f>IFERROR(IF(OR(HLOOKUP($A307,#REF!,19,FALSE)&gt;2,HLOOKUP($A307,#REF!,19,FALSE)&lt;-2),"",#REF!),"")</f>
        <v/>
      </c>
      <c r="V307">
        <f t="shared" si="16"/>
        <v>1</v>
      </c>
      <c r="W307" t="str">
        <f t="shared" si="17"/>
        <v/>
      </c>
      <c r="X307" t="str">
        <f t="shared" si="18"/>
        <v/>
      </c>
      <c r="Y307" t="str">
        <f t="shared" si="19"/>
        <v/>
      </c>
    </row>
    <row r="308" spans="1:25" x14ac:dyDescent="0.35">
      <c r="A308">
        <v>315</v>
      </c>
      <c r="B308" t="s">
        <v>739</v>
      </c>
      <c r="C308">
        <v>500</v>
      </c>
      <c r="D308">
        <v>695</v>
      </c>
      <c r="E308" t="str">
        <f>IFERROR(IF(OR(HLOOKUP($A308,#REF!,3,FALSE)&gt;2,HLOOKUP(A308,#REF!,3,FALSE)&lt;-2),"",#REF!),"")</f>
        <v/>
      </c>
      <c r="F308" t="str">
        <f>IFERROR(IF(OR(HLOOKUP($A308,#REF!,4,FALSE)&gt;2,HLOOKUP($A308,#REF!,4,FALSE)&lt;-2),"",#REF!),"")</f>
        <v/>
      </c>
      <c r="G308" t="str">
        <f>IFERROR(IF(OR(HLOOKUP($A308,#REF!,5,FALSE)&gt;2,HLOOKUP($A308,#REF!,5,FALSE)&lt;-2),"",#REF!),"")</f>
        <v/>
      </c>
      <c r="H308" t="str">
        <f>IFERROR(IF(OR(HLOOKUP($A308,#REF!,6,FALSE)&gt;2,HLOOKUP($A308,#REF!,6,FALSE)&lt;-2),"",#REF!),"")</f>
        <v/>
      </c>
      <c r="I308" t="str">
        <f>IFERROR(IF(OR(HLOOKUP($A308,#REF!,7,FALSE)&gt;2,HLOOKUP($A308,#REF!,7,FALSE)&lt;-2),"",#REF!),"")</f>
        <v/>
      </c>
      <c r="J308" t="str">
        <f>IFERROR(IF(OR(HLOOKUP($A308,#REF!,8,FALSE)&gt;2,HLOOKUP($A308,#REF!,8,FALSE)&lt;-2),"",#REF!),"")</f>
        <v/>
      </c>
      <c r="K308" t="str">
        <f>IFERROR(IF(OR(HLOOKUP($A308,#REF!,9,FALSE)&gt;2,HLOOKUP($A308,#REF!,9,FALSE)&lt;-2),"",#REF!),"")</f>
        <v/>
      </c>
      <c r="L308" t="str">
        <f>IFERROR(IF(OR(HLOOKUP($A308,#REF!,10,FALSE)&gt;2,HLOOKUP($A308,#REF!,10,FALSE)&lt;-2),"",#REF!),"")</f>
        <v/>
      </c>
      <c r="M308" t="str">
        <f>IFERROR(IF(OR(HLOOKUP($A308,#REF!,11,FALSE)&gt;2,HLOOKUP($A308,#REF!,11,FALSE)&lt;-2),"",#REF!),"")</f>
        <v/>
      </c>
      <c r="N308" t="str">
        <f>IFERROR(IF(OR(HLOOKUP($A308,#REF!,12,FALSE)&gt;2,HLOOKUP($A308,#REF!,12,FALSE)&lt;-2),"",#REF!),"")</f>
        <v/>
      </c>
      <c r="O308" t="str">
        <f>IFERROR(IF(OR(HLOOKUP($A308,#REF!,13,FALSE)&gt;2,HLOOKUP($A308,#REF!,13,FALSE)&lt;-2),"",#REF!),"")</f>
        <v/>
      </c>
      <c r="P308" t="str">
        <f>IFERROR(IF(OR(HLOOKUP($A308,#REF!,14,FALSE)&gt;2,HLOOKUP($A308,#REF!,14,FALSE)&lt;-2),"",#REF!),"")</f>
        <v/>
      </c>
      <c r="Q308" t="str">
        <f>IFERROR(IF(OR(HLOOKUP($A308,#REF!,15,FALSE)&gt;2,HLOOKUP($A308,#REF!,15,FALSE)&lt;-2),"",#REF!),"")</f>
        <v/>
      </c>
      <c r="R308" t="str">
        <f>IFERROR(IF(OR(HLOOKUP($A308,#REF!,16,FALSE)&gt;2,HLOOKUP($A308,#REF!,16,FALSE)&lt;-2),"",#REF!),"")</f>
        <v/>
      </c>
      <c r="S308" t="str">
        <f>IFERROR(IF(OR(HLOOKUP($A308,#REF!,17,FALSE)&gt;2,HLOOKUP($A308,#REF!,17,FALSE)&lt;-2),"",#REF!),"")</f>
        <v/>
      </c>
      <c r="T308" t="str">
        <f>IFERROR(IF(OR(HLOOKUP($A308,#REF!,18,FALSE)&gt;2,HLOOKUP($A308,#REF!,18,FALSE)&lt;-2),"",#REF!),"")</f>
        <v/>
      </c>
      <c r="U308" t="str">
        <f>IFERROR(IF(OR(HLOOKUP($A308,#REF!,19,FALSE)&gt;2,HLOOKUP($A308,#REF!,19,FALSE)&lt;-2),"",#REF!),"")</f>
        <v/>
      </c>
      <c r="V308">
        <f t="shared" si="16"/>
        <v>1</v>
      </c>
      <c r="W308" t="str">
        <f t="shared" si="17"/>
        <v/>
      </c>
      <c r="X308" t="str">
        <f t="shared" si="18"/>
        <v/>
      </c>
      <c r="Y308" t="str">
        <f t="shared" si="19"/>
        <v/>
      </c>
    </row>
    <row r="309" spans="1:25" x14ac:dyDescent="0.35">
      <c r="A309">
        <v>316</v>
      </c>
      <c r="B309" t="s">
        <v>740</v>
      </c>
      <c r="C309">
        <v>69400</v>
      </c>
      <c r="D309">
        <v>178</v>
      </c>
      <c r="E309" t="str">
        <f>IFERROR(IF(OR(HLOOKUP($A309,#REF!,3,FALSE)&gt;2,HLOOKUP(A309,#REF!,3,FALSE)&lt;-2),"",#REF!),"")</f>
        <v/>
      </c>
      <c r="F309" t="str">
        <f>IFERROR(IF(OR(HLOOKUP($A309,#REF!,4,FALSE)&gt;2,HLOOKUP($A309,#REF!,4,FALSE)&lt;-2),"",#REF!),"")</f>
        <v/>
      </c>
      <c r="G309" t="str">
        <f>IFERROR(IF(OR(HLOOKUP($A309,#REF!,5,FALSE)&gt;2,HLOOKUP($A309,#REF!,5,FALSE)&lt;-2),"",#REF!),"")</f>
        <v/>
      </c>
      <c r="H309" t="str">
        <f>IFERROR(IF(OR(HLOOKUP($A309,#REF!,6,FALSE)&gt;2,HLOOKUP($A309,#REF!,6,FALSE)&lt;-2),"",#REF!),"")</f>
        <v/>
      </c>
      <c r="I309" t="str">
        <f>IFERROR(IF(OR(HLOOKUP($A309,#REF!,7,FALSE)&gt;2,HLOOKUP($A309,#REF!,7,FALSE)&lt;-2),"",#REF!),"")</f>
        <v/>
      </c>
      <c r="J309" t="str">
        <f>IFERROR(IF(OR(HLOOKUP($A309,#REF!,8,FALSE)&gt;2,HLOOKUP($A309,#REF!,8,FALSE)&lt;-2),"",#REF!),"")</f>
        <v/>
      </c>
      <c r="K309" t="str">
        <f>IFERROR(IF(OR(HLOOKUP($A309,#REF!,9,FALSE)&gt;2,HLOOKUP($A309,#REF!,9,FALSE)&lt;-2),"",#REF!),"")</f>
        <v/>
      </c>
      <c r="L309" t="str">
        <f>IFERROR(IF(OR(HLOOKUP($A309,#REF!,10,FALSE)&gt;2,HLOOKUP($A309,#REF!,10,FALSE)&lt;-2),"",#REF!),"")</f>
        <v/>
      </c>
      <c r="M309" t="str">
        <f>IFERROR(IF(OR(HLOOKUP($A309,#REF!,11,FALSE)&gt;2,HLOOKUP($A309,#REF!,11,FALSE)&lt;-2),"",#REF!),"")</f>
        <v/>
      </c>
      <c r="N309" t="str">
        <f>IFERROR(IF(OR(HLOOKUP($A309,#REF!,12,FALSE)&gt;2,HLOOKUP($A309,#REF!,12,FALSE)&lt;-2),"",#REF!),"")</f>
        <v/>
      </c>
      <c r="O309" t="str">
        <f>IFERROR(IF(OR(HLOOKUP($A309,#REF!,13,FALSE)&gt;2,HLOOKUP($A309,#REF!,13,FALSE)&lt;-2),"",#REF!),"")</f>
        <v/>
      </c>
      <c r="P309" t="str">
        <f>IFERROR(IF(OR(HLOOKUP($A309,#REF!,14,FALSE)&gt;2,HLOOKUP($A309,#REF!,14,FALSE)&lt;-2),"",#REF!),"")</f>
        <v/>
      </c>
      <c r="Q309" t="str">
        <f>IFERROR(IF(OR(HLOOKUP($A309,#REF!,15,FALSE)&gt;2,HLOOKUP($A309,#REF!,15,FALSE)&lt;-2),"",#REF!),"")</f>
        <v/>
      </c>
      <c r="R309" t="str">
        <f>IFERROR(IF(OR(HLOOKUP($A309,#REF!,16,FALSE)&gt;2,HLOOKUP($A309,#REF!,16,FALSE)&lt;-2),"",#REF!),"")</f>
        <v/>
      </c>
      <c r="S309" t="str">
        <f>IFERROR(IF(OR(HLOOKUP($A309,#REF!,17,FALSE)&gt;2,HLOOKUP($A309,#REF!,17,FALSE)&lt;-2),"",#REF!),"")</f>
        <v/>
      </c>
      <c r="T309" t="str">
        <f>IFERROR(IF(OR(HLOOKUP($A309,#REF!,18,FALSE)&gt;2,HLOOKUP($A309,#REF!,18,FALSE)&lt;-2),"",#REF!),"")</f>
        <v/>
      </c>
      <c r="U309" t="str">
        <f>IFERROR(IF(OR(HLOOKUP($A309,#REF!,19,FALSE)&gt;2,HLOOKUP($A309,#REF!,19,FALSE)&lt;-2),"",#REF!),"")</f>
        <v/>
      </c>
      <c r="V309">
        <f t="shared" si="16"/>
        <v>1</v>
      </c>
      <c r="W309" t="str">
        <f t="shared" si="17"/>
        <v/>
      </c>
      <c r="X309" t="str">
        <f t="shared" si="18"/>
        <v/>
      </c>
      <c r="Y309" t="str">
        <f t="shared" si="19"/>
        <v/>
      </c>
    </row>
    <row r="310" spans="1:25" x14ac:dyDescent="0.35">
      <c r="A310">
        <v>317</v>
      </c>
      <c r="B310" t="s">
        <v>741</v>
      </c>
      <c r="C310">
        <v>109200</v>
      </c>
      <c r="D310">
        <v>760</v>
      </c>
      <c r="E310" t="str">
        <f>IFERROR(IF(OR(HLOOKUP($A310,#REF!,3,FALSE)&gt;2,HLOOKUP(A310,#REF!,3,FALSE)&lt;-2),"",#REF!),"")</f>
        <v/>
      </c>
      <c r="F310" t="str">
        <f>IFERROR(IF(OR(HLOOKUP($A310,#REF!,4,FALSE)&gt;2,HLOOKUP($A310,#REF!,4,FALSE)&lt;-2),"",#REF!),"")</f>
        <v/>
      </c>
      <c r="G310" t="str">
        <f>IFERROR(IF(OR(HLOOKUP($A310,#REF!,5,FALSE)&gt;2,HLOOKUP($A310,#REF!,5,FALSE)&lt;-2),"",#REF!),"")</f>
        <v/>
      </c>
      <c r="H310" t="str">
        <f>IFERROR(IF(OR(HLOOKUP($A310,#REF!,6,FALSE)&gt;2,HLOOKUP($A310,#REF!,6,FALSE)&lt;-2),"",#REF!),"")</f>
        <v/>
      </c>
      <c r="I310" t="str">
        <f>IFERROR(IF(OR(HLOOKUP($A310,#REF!,7,FALSE)&gt;2,HLOOKUP($A310,#REF!,7,FALSE)&lt;-2),"",#REF!),"")</f>
        <v/>
      </c>
      <c r="J310" t="str">
        <f>IFERROR(IF(OR(HLOOKUP($A310,#REF!,8,FALSE)&gt;2,HLOOKUP($A310,#REF!,8,FALSE)&lt;-2),"",#REF!),"")</f>
        <v/>
      </c>
      <c r="K310" t="str">
        <f>IFERROR(IF(OR(HLOOKUP($A310,#REF!,9,FALSE)&gt;2,HLOOKUP($A310,#REF!,9,FALSE)&lt;-2),"",#REF!),"")</f>
        <v/>
      </c>
      <c r="L310" t="str">
        <f>IFERROR(IF(OR(HLOOKUP($A310,#REF!,10,FALSE)&gt;2,HLOOKUP($A310,#REF!,10,FALSE)&lt;-2),"",#REF!),"")</f>
        <v/>
      </c>
      <c r="M310" t="str">
        <f>IFERROR(IF(OR(HLOOKUP($A310,#REF!,11,FALSE)&gt;2,HLOOKUP($A310,#REF!,11,FALSE)&lt;-2),"",#REF!),"")</f>
        <v/>
      </c>
      <c r="N310" t="str">
        <f>IFERROR(IF(OR(HLOOKUP($A310,#REF!,12,FALSE)&gt;2,HLOOKUP($A310,#REF!,12,FALSE)&lt;-2),"",#REF!),"")</f>
        <v/>
      </c>
      <c r="O310" t="str">
        <f>IFERROR(IF(OR(HLOOKUP($A310,#REF!,13,FALSE)&gt;2,HLOOKUP($A310,#REF!,13,FALSE)&lt;-2),"",#REF!),"")</f>
        <v/>
      </c>
      <c r="P310" t="str">
        <f>IFERROR(IF(OR(HLOOKUP($A310,#REF!,14,FALSE)&gt;2,HLOOKUP($A310,#REF!,14,FALSE)&lt;-2),"",#REF!),"")</f>
        <v/>
      </c>
      <c r="Q310" t="str">
        <f>IFERROR(IF(OR(HLOOKUP($A310,#REF!,15,FALSE)&gt;2,HLOOKUP($A310,#REF!,15,FALSE)&lt;-2),"",#REF!),"")</f>
        <v/>
      </c>
      <c r="R310" t="str">
        <f>IFERROR(IF(OR(HLOOKUP($A310,#REF!,16,FALSE)&gt;2,HLOOKUP($A310,#REF!,16,FALSE)&lt;-2),"",#REF!),"")</f>
        <v/>
      </c>
      <c r="S310" t="str">
        <f>IFERROR(IF(OR(HLOOKUP($A310,#REF!,17,FALSE)&gt;2,HLOOKUP($A310,#REF!,17,FALSE)&lt;-2),"",#REF!),"")</f>
        <v/>
      </c>
      <c r="T310" t="str">
        <f>IFERROR(IF(OR(HLOOKUP($A310,#REF!,18,FALSE)&gt;2,HLOOKUP($A310,#REF!,18,FALSE)&lt;-2),"",#REF!),"")</f>
        <v/>
      </c>
      <c r="U310" t="str">
        <f>IFERROR(IF(OR(HLOOKUP($A310,#REF!,19,FALSE)&gt;2,HLOOKUP($A310,#REF!,19,FALSE)&lt;-2),"",#REF!),"")</f>
        <v/>
      </c>
      <c r="V310">
        <f t="shared" si="16"/>
        <v>1</v>
      </c>
      <c r="W310" t="str">
        <f t="shared" si="17"/>
        <v/>
      </c>
      <c r="X310" t="str">
        <f t="shared" si="18"/>
        <v/>
      </c>
      <c r="Y310" t="str">
        <f t="shared" si="19"/>
        <v/>
      </c>
    </row>
    <row r="311" spans="1:25" x14ac:dyDescent="0.35">
      <c r="A311">
        <v>318</v>
      </c>
      <c r="B311" t="s">
        <v>172</v>
      </c>
      <c r="C311">
        <v>87800</v>
      </c>
      <c r="D311">
        <v>987</v>
      </c>
      <c r="E311" t="str">
        <f>IFERROR(IF(OR(HLOOKUP($A311,#REF!,3,FALSE)&gt;2,HLOOKUP(A311,#REF!,3,FALSE)&lt;-2),"",#REF!),"")</f>
        <v/>
      </c>
      <c r="F311" t="str">
        <f>IFERROR(IF(OR(HLOOKUP($A311,#REF!,4,FALSE)&gt;2,HLOOKUP($A311,#REF!,4,FALSE)&lt;-2),"",#REF!),"")</f>
        <v/>
      </c>
      <c r="G311" t="str">
        <f>IFERROR(IF(OR(HLOOKUP($A311,#REF!,5,FALSE)&gt;2,HLOOKUP($A311,#REF!,5,FALSE)&lt;-2),"",#REF!),"")</f>
        <v/>
      </c>
      <c r="H311" t="str">
        <f>IFERROR(IF(OR(HLOOKUP($A311,#REF!,6,FALSE)&gt;2,HLOOKUP($A311,#REF!,6,FALSE)&lt;-2),"",#REF!),"")</f>
        <v/>
      </c>
      <c r="I311" t="str">
        <f>IFERROR(IF(OR(HLOOKUP($A311,#REF!,7,FALSE)&gt;2,HLOOKUP($A311,#REF!,7,FALSE)&lt;-2),"",#REF!),"")</f>
        <v/>
      </c>
      <c r="J311" t="str">
        <f>IFERROR(IF(OR(HLOOKUP($A311,#REF!,8,FALSE)&gt;2,HLOOKUP($A311,#REF!,8,FALSE)&lt;-2),"",#REF!),"")</f>
        <v/>
      </c>
      <c r="K311" t="str">
        <f>IFERROR(IF(OR(HLOOKUP($A311,#REF!,9,FALSE)&gt;2,HLOOKUP($A311,#REF!,9,FALSE)&lt;-2),"",#REF!),"")</f>
        <v/>
      </c>
      <c r="L311" t="str">
        <f>IFERROR(IF(OR(HLOOKUP($A311,#REF!,10,FALSE)&gt;2,HLOOKUP($A311,#REF!,10,FALSE)&lt;-2),"",#REF!),"")</f>
        <v/>
      </c>
      <c r="M311" t="str">
        <f>IFERROR(IF(OR(HLOOKUP($A311,#REF!,11,FALSE)&gt;2,HLOOKUP($A311,#REF!,11,FALSE)&lt;-2),"",#REF!),"")</f>
        <v/>
      </c>
      <c r="N311" t="str">
        <f>IFERROR(IF(OR(HLOOKUP($A311,#REF!,12,FALSE)&gt;2,HLOOKUP($A311,#REF!,12,FALSE)&lt;-2),"",#REF!),"")</f>
        <v/>
      </c>
      <c r="O311" t="str">
        <f>IFERROR(IF(OR(HLOOKUP($A311,#REF!,13,FALSE)&gt;2,HLOOKUP($A311,#REF!,13,FALSE)&lt;-2),"",#REF!),"")</f>
        <v/>
      </c>
      <c r="P311" t="str">
        <f>IFERROR(IF(OR(HLOOKUP($A311,#REF!,14,FALSE)&gt;2,HLOOKUP($A311,#REF!,14,FALSE)&lt;-2),"",#REF!),"")</f>
        <v/>
      </c>
      <c r="Q311" t="str">
        <f>IFERROR(IF(OR(HLOOKUP($A311,#REF!,15,FALSE)&gt;2,HLOOKUP($A311,#REF!,15,FALSE)&lt;-2),"",#REF!),"")</f>
        <v/>
      </c>
      <c r="R311" t="str">
        <f>IFERROR(IF(OR(HLOOKUP($A311,#REF!,16,FALSE)&gt;2,HLOOKUP($A311,#REF!,16,FALSE)&lt;-2),"",#REF!),"")</f>
        <v/>
      </c>
      <c r="S311" t="str">
        <f>IFERROR(IF(OR(HLOOKUP($A311,#REF!,17,FALSE)&gt;2,HLOOKUP($A311,#REF!,17,FALSE)&lt;-2),"",#REF!),"")</f>
        <v/>
      </c>
      <c r="T311" t="str">
        <f>IFERROR(IF(OR(HLOOKUP($A311,#REF!,18,FALSE)&gt;2,HLOOKUP($A311,#REF!,18,FALSE)&lt;-2),"",#REF!),"")</f>
        <v/>
      </c>
      <c r="U311" t="str">
        <f>IFERROR(IF(OR(HLOOKUP($A311,#REF!,19,FALSE)&gt;2,HLOOKUP($A311,#REF!,19,FALSE)&lt;-2),"",#REF!),"")</f>
        <v/>
      </c>
      <c r="V311">
        <f t="shared" si="16"/>
        <v>1</v>
      </c>
      <c r="W311" t="str">
        <f t="shared" si="17"/>
        <v/>
      </c>
      <c r="X311" t="str">
        <f t="shared" si="18"/>
        <v/>
      </c>
      <c r="Y311" t="str">
        <f t="shared" si="19"/>
        <v/>
      </c>
    </row>
    <row r="312" spans="1:25" x14ac:dyDescent="0.35">
      <c r="A312">
        <v>319</v>
      </c>
      <c r="B312" t="s">
        <v>173</v>
      </c>
      <c r="C312">
        <v>47500</v>
      </c>
      <c r="D312">
        <v>703</v>
      </c>
      <c r="E312" t="str">
        <f>IFERROR(IF(OR(HLOOKUP($A312,#REF!,3,FALSE)&gt;2,HLOOKUP(A312,#REF!,3,FALSE)&lt;-2),"",#REF!),"")</f>
        <v/>
      </c>
      <c r="F312" t="str">
        <f>IFERROR(IF(OR(HLOOKUP($A312,#REF!,4,FALSE)&gt;2,HLOOKUP($A312,#REF!,4,FALSE)&lt;-2),"",#REF!),"")</f>
        <v/>
      </c>
      <c r="G312" t="str">
        <f>IFERROR(IF(OR(HLOOKUP($A312,#REF!,5,FALSE)&gt;2,HLOOKUP($A312,#REF!,5,FALSE)&lt;-2),"",#REF!),"")</f>
        <v/>
      </c>
      <c r="H312" t="str">
        <f>IFERROR(IF(OR(HLOOKUP($A312,#REF!,6,FALSE)&gt;2,HLOOKUP($A312,#REF!,6,FALSE)&lt;-2),"",#REF!),"")</f>
        <v/>
      </c>
      <c r="I312" t="str">
        <f>IFERROR(IF(OR(HLOOKUP($A312,#REF!,7,FALSE)&gt;2,HLOOKUP($A312,#REF!,7,FALSE)&lt;-2),"",#REF!),"")</f>
        <v/>
      </c>
      <c r="J312" t="str">
        <f>IFERROR(IF(OR(HLOOKUP($A312,#REF!,8,FALSE)&gt;2,HLOOKUP($A312,#REF!,8,FALSE)&lt;-2),"",#REF!),"")</f>
        <v/>
      </c>
      <c r="K312" t="str">
        <f>IFERROR(IF(OR(HLOOKUP($A312,#REF!,9,FALSE)&gt;2,HLOOKUP($A312,#REF!,9,FALSE)&lt;-2),"",#REF!),"")</f>
        <v/>
      </c>
      <c r="L312" t="str">
        <f>IFERROR(IF(OR(HLOOKUP($A312,#REF!,10,FALSE)&gt;2,HLOOKUP($A312,#REF!,10,FALSE)&lt;-2),"",#REF!),"")</f>
        <v/>
      </c>
      <c r="M312" t="str">
        <f>IFERROR(IF(OR(HLOOKUP($A312,#REF!,11,FALSE)&gt;2,HLOOKUP($A312,#REF!,11,FALSE)&lt;-2),"",#REF!),"")</f>
        <v/>
      </c>
      <c r="N312" t="str">
        <f>IFERROR(IF(OR(HLOOKUP($A312,#REF!,12,FALSE)&gt;2,HLOOKUP($A312,#REF!,12,FALSE)&lt;-2),"",#REF!),"")</f>
        <v/>
      </c>
      <c r="O312" t="str">
        <f>IFERROR(IF(OR(HLOOKUP($A312,#REF!,13,FALSE)&gt;2,HLOOKUP($A312,#REF!,13,FALSE)&lt;-2),"",#REF!),"")</f>
        <v/>
      </c>
      <c r="P312" t="str">
        <f>IFERROR(IF(OR(HLOOKUP($A312,#REF!,14,FALSE)&gt;2,HLOOKUP($A312,#REF!,14,FALSE)&lt;-2),"",#REF!),"")</f>
        <v/>
      </c>
      <c r="Q312" t="str">
        <f>IFERROR(IF(OR(HLOOKUP($A312,#REF!,15,FALSE)&gt;2,HLOOKUP($A312,#REF!,15,FALSE)&lt;-2),"",#REF!),"")</f>
        <v/>
      </c>
      <c r="R312" t="str">
        <f>IFERROR(IF(OR(HLOOKUP($A312,#REF!,16,FALSE)&gt;2,HLOOKUP($A312,#REF!,16,FALSE)&lt;-2),"",#REF!),"")</f>
        <v/>
      </c>
      <c r="S312" t="str">
        <f>IFERROR(IF(OR(HLOOKUP($A312,#REF!,17,FALSE)&gt;2,HLOOKUP($A312,#REF!,17,FALSE)&lt;-2),"",#REF!),"")</f>
        <v/>
      </c>
      <c r="T312" t="str">
        <f>IFERROR(IF(OR(HLOOKUP($A312,#REF!,18,FALSE)&gt;2,HLOOKUP($A312,#REF!,18,FALSE)&lt;-2),"",#REF!),"")</f>
        <v/>
      </c>
      <c r="U312" t="str">
        <f>IFERROR(IF(OR(HLOOKUP($A312,#REF!,19,FALSE)&gt;2,HLOOKUP($A312,#REF!,19,FALSE)&lt;-2),"",#REF!),"")</f>
        <v/>
      </c>
      <c r="V312">
        <f t="shared" si="16"/>
        <v>1</v>
      </c>
      <c r="W312" t="str">
        <f t="shared" si="17"/>
        <v/>
      </c>
      <c r="X312" t="str">
        <f t="shared" si="18"/>
        <v/>
      </c>
      <c r="Y312" t="str">
        <f t="shared" si="19"/>
        <v/>
      </c>
    </row>
    <row r="313" spans="1:25" x14ac:dyDescent="0.35">
      <c r="A313">
        <v>320</v>
      </c>
      <c r="B313" t="s">
        <v>174</v>
      </c>
      <c r="C313">
        <v>1600</v>
      </c>
      <c r="D313">
        <v>985</v>
      </c>
      <c r="E313" t="str">
        <f>IFERROR(IF(OR(HLOOKUP($A313,#REF!,3,FALSE)&gt;2,HLOOKUP(A313,#REF!,3,FALSE)&lt;-2),"",#REF!),"")</f>
        <v/>
      </c>
      <c r="F313" t="str">
        <f>IFERROR(IF(OR(HLOOKUP($A313,#REF!,4,FALSE)&gt;2,HLOOKUP($A313,#REF!,4,FALSE)&lt;-2),"",#REF!),"")</f>
        <v/>
      </c>
      <c r="G313" t="str">
        <f>IFERROR(IF(OR(HLOOKUP($A313,#REF!,5,FALSE)&gt;2,HLOOKUP($A313,#REF!,5,FALSE)&lt;-2),"",#REF!),"")</f>
        <v/>
      </c>
      <c r="H313" t="str">
        <f>IFERROR(IF(OR(HLOOKUP($A313,#REF!,6,FALSE)&gt;2,HLOOKUP($A313,#REF!,6,FALSE)&lt;-2),"",#REF!),"")</f>
        <v/>
      </c>
      <c r="I313" t="str">
        <f>IFERROR(IF(OR(HLOOKUP($A313,#REF!,7,FALSE)&gt;2,HLOOKUP($A313,#REF!,7,FALSE)&lt;-2),"",#REF!),"")</f>
        <v/>
      </c>
      <c r="J313" t="str">
        <f>IFERROR(IF(OR(HLOOKUP($A313,#REF!,8,FALSE)&gt;2,HLOOKUP($A313,#REF!,8,FALSE)&lt;-2),"",#REF!),"")</f>
        <v/>
      </c>
      <c r="K313" t="str">
        <f>IFERROR(IF(OR(HLOOKUP($A313,#REF!,9,FALSE)&gt;2,HLOOKUP($A313,#REF!,9,FALSE)&lt;-2),"",#REF!),"")</f>
        <v/>
      </c>
      <c r="L313" t="str">
        <f>IFERROR(IF(OR(HLOOKUP($A313,#REF!,10,FALSE)&gt;2,HLOOKUP($A313,#REF!,10,FALSE)&lt;-2),"",#REF!),"")</f>
        <v/>
      </c>
      <c r="M313" t="str">
        <f>IFERROR(IF(OR(HLOOKUP($A313,#REF!,11,FALSE)&gt;2,HLOOKUP($A313,#REF!,11,FALSE)&lt;-2),"",#REF!),"")</f>
        <v/>
      </c>
      <c r="N313" t="str">
        <f>IFERROR(IF(OR(HLOOKUP($A313,#REF!,12,FALSE)&gt;2,HLOOKUP($A313,#REF!,12,FALSE)&lt;-2),"",#REF!),"")</f>
        <v/>
      </c>
      <c r="O313" t="str">
        <f>IFERROR(IF(OR(HLOOKUP($A313,#REF!,13,FALSE)&gt;2,HLOOKUP($A313,#REF!,13,FALSE)&lt;-2),"",#REF!),"")</f>
        <v/>
      </c>
      <c r="P313" t="str">
        <f>IFERROR(IF(OR(HLOOKUP($A313,#REF!,14,FALSE)&gt;2,HLOOKUP($A313,#REF!,14,FALSE)&lt;-2),"",#REF!),"")</f>
        <v/>
      </c>
      <c r="Q313" t="str">
        <f>IFERROR(IF(OR(HLOOKUP($A313,#REF!,15,FALSE)&gt;2,HLOOKUP($A313,#REF!,15,FALSE)&lt;-2),"",#REF!),"")</f>
        <v/>
      </c>
      <c r="R313" t="str">
        <f>IFERROR(IF(OR(HLOOKUP($A313,#REF!,16,FALSE)&gt;2,HLOOKUP($A313,#REF!,16,FALSE)&lt;-2),"",#REF!),"")</f>
        <v/>
      </c>
      <c r="S313" t="str">
        <f>IFERROR(IF(OR(HLOOKUP($A313,#REF!,17,FALSE)&gt;2,HLOOKUP($A313,#REF!,17,FALSE)&lt;-2),"",#REF!),"")</f>
        <v/>
      </c>
      <c r="T313" t="str">
        <f>IFERROR(IF(OR(HLOOKUP($A313,#REF!,18,FALSE)&gt;2,HLOOKUP($A313,#REF!,18,FALSE)&lt;-2),"",#REF!),"")</f>
        <v/>
      </c>
      <c r="U313" t="str">
        <f>IFERROR(IF(OR(HLOOKUP($A313,#REF!,19,FALSE)&gt;2,HLOOKUP($A313,#REF!,19,FALSE)&lt;-2),"",#REF!),"")</f>
        <v/>
      </c>
      <c r="V313">
        <f t="shared" si="16"/>
        <v>1</v>
      </c>
      <c r="W313" t="str">
        <f t="shared" si="17"/>
        <v/>
      </c>
      <c r="X313" t="str">
        <f t="shared" si="18"/>
        <v/>
      </c>
      <c r="Y313" t="str">
        <f t="shared" si="19"/>
        <v/>
      </c>
    </row>
    <row r="314" spans="1:25" x14ac:dyDescent="0.35">
      <c r="A314">
        <v>321</v>
      </c>
      <c r="B314" t="s">
        <v>175</v>
      </c>
      <c r="C314">
        <v>69500</v>
      </c>
      <c r="D314">
        <v>1014</v>
      </c>
      <c r="E314" t="str">
        <f>IFERROR(IF(OR(HLOOKUP($A314,#REF!,3,FALSE)&gt;2,HLOOKUP(A314,#REF!,3,FALSE)&lt;-2),"",#REF!),"")</f>
        <v/>
      </c>
      <c r="F314" t="str">
        <f>IFERROR(IF(OR(HLOOKUP($A314,#REF!,4,FALSE)&gt;2,HLOOKUP($A314,#REF!,4,FALSE)&lt;-2),"",#REF!),"")</f>
        <v/>
      </c>
      <c r="G314" t="str">
        <f>IFERROR(IF(OR(HLOOKUP($A314,#REF!,5,FALSE)&gt;2,HLOOKUP($A314,#REF!,5,FALSE)&lt;-2),"",#REF!),"")</f>
        <v/>
      </c>
      <c r="H314" t="str">
        <f>IFERROR(IF(OR(HLOOKUP($A314,#REF!,6,FALSE)&gt;2,HLOOKUP($A314,#REF!,6,FALSE)&lt;-2),"",#REF!),"")</f>
        <v/>
      </c>
      <c r="I314" t="str">
        <f>IFERROR(IF(OR(HLOOKUP($A314,#REF!,7,FALSE)&gt;2,HLOOKUP($A314,#REF!,7,FALSE)&lt;-2),"",#REF!),"")</f>
        <v/>
      </c>
      <c r="J314" t="str">
        <f>IFERROR(IF(OR(HLOOKUP($A314,#REF!,8,FALSE)&gt;2,HLOOKUP($A314,#REF!,8,FALSE)&lt;-2),"",#REF!),"")</f>
        <v/>
      </c>
      <c r="K314" t="str">
        <f>IFERROR(IF(OR(HLOOKUP($A314,#REF!,9,FALSE)&gt;2,HLOOKUP($A314,#REF!,9,FALSE)&lt;-2),"",#REF!),"")</f>
        <v/>
      </c>
      <c r="L314" t="str">
        <f>IFERROR(IF(OR(HLOOKUP($A314,#REF!,10,FALSE)&gt;2,HLOOKUP($A314,#REF!,10,FALSE)&lt;-2),"",#REF!),"")</f>
        <v/>
      </c>
      <c r="M314" t="str">
        <f>IFERROR(IF(OR(HLOOKUP($A314,#REF!,11,FALSE)&gt;2,HLOOKUP($A314,#REF!,11,FALSE)&lt;-2),"",#REF!),"")</f>
        <v/>
      </c>
      <c r="N314" t="str">
        <f>IFERROR(IF(OR(HLOOKUP($A314,#REF!,12,FALSE)&gt;2,HLOOKUP($A314,#REF!,12,FALSE)&lt;-2),"",#REF!),"")</f>
        <v/>
      </c>
      <c r="O314" t="str">
        <f>IFERROR(IF(OR(HLOOKUP($A314,#REF!,13,FALSE)&gt;2,HLOOKUP($A314,#REF!,13,FALSE)&lt;-2),"",#REF!),"")</f>
        <v/>
      </c>
      <c r="P314" t="str">
        <f>IFERROR(IF(OR(HLOOKUP($A314,#REF!,14,FALSE)&gt;2,HLOOKUP($A314,#REF!,14,FALSE)&lt;-2),"",#REF!),"")</f>
        <v/>
      </c>
      <c r="Q314" t="str">
        <f>IFERROR(IF(OR(HLOOKUP($A314,#REF!,15,FALSE)&gt;2,HLOOKUP($A314,#REF!,15,FALSE)&lt;-2),"",#REF!),"")</f>
        <v/>
      </c>
      <c r="R314" t="str">
        <f>IFERROR(IF(OR(HLOOKUP($A314,#REF!,16,FALSE)&gt;2,HLOOKUP($A314,#REF!,16,FALSE)&lt;-2),"",#REF!),"")</f>
        <v/>
      </c>
      <c r="S314" t="str">
        <f>IFERROR(IF(OR(HLOOKUP($A314,#REF!,17,FALSE)&gt;2,HLOOKUP($A314,#REF!,17,FALSE)&lt;-2),"",#REF!),"")</f>
        <v/>
      </c>
      <c r="T314" t="str">
        <f>IFERROR(IF(OR(HLOOKUP($A314,#REF!,18,FALSE)&gt;2,HLOOKUP($A314,#REF!,18,FALSE)&lt;-2),"",#REF!),"")</f>
        <v/>
      </c>
      <c r="U314" t="str">
        <f>IFERROR(IF(OR(HLOOKUP($A314,#REF!,19,FALSE)&gt;2,HLOOKUP($A314,#REF!,19,FALSE)&lt;-2),"",#REF!),"")</f>
        <v/>
      </c>
      <c r="V314">
        <f t="shared" si="16"/>
        <v>1</v>
      </c>
      <c r="W314" t="str">
        <f t="shared" si="17"/>
        <v/>
      </c>
      <c r="X314" t="str">
        <f t="shared" si="18"/>
        <v/>
      </c>
      <c r="Y314" t="str">
        <f t="shared" si="19"/>
        <v/>
      </c>
    </row>
    <row r="315" spans="1:25" x14ac:dyDescent="0.35">
      <c r="A315">
        <v>322</v>
      </c>
      <c r="B315" t="s">
        <v>742</v>
      </c>
      <c r="C315">
        <v>2800</v>
      </c>
      <c r="D315">
        <v>453</v>
      </c>
      <c r="E315" t="str">
        <f>IFERROR(IF(OR(HLOOKUP($A315,#REF!,3,FALSE)&gt;2,HLOOKUP(A315,#REF!,3,FALSE)&lt;-2),"",#REF!),"")</f>
        <v/>
      </c>
      <c r="F315" t="str">
        <f>IFERROR(IF(OR(HLOOKUP($A315,#REF!,4,FALSE)&gt;2,HLOOKUP($A315,#REF!,4,FALSE)&lt;-2),"",#REF!),"")</f>
        <v/>
      </c>
      <c r="G315" t="str">
        <f>IFERROR(IF(OR(HLOOKUP($A315,#REF!,5,FALSE)&gt;2,HLOOKUP($A315,#REF!,5,FALSE)&lt;-2),"",#REF!),"")</f>
        <v/>
      </c>
      <c r="H315" t="str">
        <f>IFERROR(IF(OR(HLOOKUP($A315,#REF!,6,FALSE)&gt;2,HLOOKUP($A315,#REF!,6,FALSE)&lt;-2),"",#REF!),"")</f>
        <v/>
      </c>
      <c r="I315" t="str">
        <f>IFERROR(IF(OR(HLOOKUP($A315,#REF!,7,FALSE)&gt;2,HLOOKUP($A315,#REF!,7,FALSE)&lt;-2),"",#REF!),"")</f>
        <v/>
      </c>
      <c r="J315" t="str">
        <f>IFERROR(IF(OR(HLOOKUP($A315,#REF!,8,FALSE)&gt;2,HLOOKUP($A315,#REF!,8,FALSE)&lt;-2),"",#REF!),"")</f>
        <v/>
      </c>
      <c r="K315" t="str">
        <f>IFERROR(IF(OR(HLOOKUP($A315,#REF!,9,FALSE)&gt;2,HLOOKUP($A315,#REF!,9,FALSE)&lt;-2),"",#REF!),"")</f>
        <v/>
      </c>
      <c r="L315" t="str">
        <f>IFERROR(IF(OR(HLOOKUP($A315,#REF!,10,FALSE)&gt;2,HLOOKUP($A315,#REF!,10,FALSE)&lt;-2),"",#REF!),"")</f>
        <v/>
      </c>
      <c r="M315" t="str">
        <f>IFERROR(IF(OR(HLOOKUP($A315,#REF!,11,FALSE)&gt;2,HLOOKUP($A315,#REF!,11,FALSE)&lt;-2),"",#REF!),"")</f>
        <v/>
      </c>
      <c r="N315" t="str">
        <f>IFERROR(IF(OR(HLOOKUP($A315,#REF!,12,FALSE)&gt;2,HLOOKUP($A315,#REF!,12,FALSE)&lt;-2),"",#REF!),"")</f>
        <v/>
      </c>
      <c r="O315" t="str">
        <f>IFERROR(IF(OR(HLOOKUP($A315,#REF!,13,FALSE)&gt;2,HLOOKUP($A315,#REF!,13,FALSE)&lt;-2),"",#REF!),"")</f>
        <v/>
      </c>
      <c r="P315" t="str">
        <f>IFERROR(IF(OR(HLOOKUP($A315,#REF!,14,FALSE)&gt;2,HLOOKUP($A315,#REF!,14,FALSE)&lt;-2),"",#REF!),"")</f>
        <v/>
      </c>
      <c r="Q315" t="str">
        <f>IFERROR(IF(OR(HLOOKUP($A315,#REF!,15,FALSE)&gt;2,HLOOKUP($A315,#REF!,15,FALSE)&lt;-2),"",#REF!),"")</f>
        <v/>
      </c>
      <c r="R315" t="str">
        <f>IFERROR(IF(OR(HLOOKUP($A315,#REF!,16,FALSE)&gt;2,HLOOKUP($A315,#REF!,16,FALSE)&lt;-2),"",#REF!),"")</f>
        <v/>
      </c>
      <c r="S315" t="str">
        <f>IFERROR(IF(OR(HLOOKUP($A315,#REF!,17,FALSE)&gt;2,HLOOKUP($A315,#REF!,17,FALSE)&lt;-2),"",#REF!),"")</f>
        <v/>
      </c>
      <c r="T315" t="str">
        <f>IFERROR(IF(OR(HLOOKUP($A315,#REF!,18,FALSE)&gt;2,HLOOKUP($A315,#REF!,18,FALSE)&lt;-2),"",#REF!),"")</f>
        <v/>
      </c>
      <c r="U315" t="str">
        <f>IFERROR(IF(OR(HLOOKUP($A315,#REF!,19,FALSE)&gt;2,HLOOKUP($A315,#REF!,19,FALSE)&lt;-2),"",#REF!),"")</f>
        <v/>
      </c>
      <c r="V315">
        <f t="shared" si="16"/>
        <v>1</v>
      </c>
      <c r="W315" t="str">
        <f t="shared" si="17"/>
        <v/>
      </c>
      <c r="X315" t="str">
        <f t="shared" si="18"/>
        <v/>
      </c>
      <c r="Y315" t="str">
        <f t="shared" si="19"/>
        <v/>
      </c>
    </row>
    <row r="316" spans="1:25" x14ac:dyDescent="0.35">
      <c r="A316">
        <v>323</v>
      </c>
      <c r="B316" t="s">
        <v>743</v>
      </c>
      <c r="C316">
        <v>79900</v>
      </c>
      <c r="D316">
        <v>313</v>
      </c>
      <c r="E316" t="str">
        <f>IFERROR(IF(OR(HLOOKUP($A316,#REF!,3,FALSE)&gt;2,HLOOKUP(A316,#REF!,3,FALSE)&lt;-2),"",#REF!),"")</f>
        <v/>
      </c>
      <c r="F316" t="str">
        <f>IFERROR(IF(OR(HLOOKUP($A316,#REF!,4,FALSE)&gt;2,HLOOKUP($A316,#REF!,4,FALSE)&lt;-2),"",#REF!),"")</f>
        <v/>
      </c>
      <c r="G316" t="str">
        <f>IFERROR(IF(OR(HLOOKUP($A316,#REF!,5,FALSE)&gt;2,HLOOKUP($A316,#REF!,5,FALSE)&lt;-2),"",#REF!),"")</f>
        <v/>
      </c>
      <c r="H316" t="str">
        <f>IFERROR(IF(OR(HLOOKUP($A316,#REF!,6,FALSE)&gt;2,HLOOKUP($A316,#REF!,6,FALSE)&lt;-2),"",#REF!),"")</f>
        <v/>
      </c>
      <c r="I316" t="str">
        <f>IFERROR(IF(OR(HLOOKUP($A316,#REF!,7,FALSE)&gt;2,HLOOKUP($A316,#REF!,7,FALSE)&lt;-2),"",#REF!),"")</f>
        <v/>
      </c>
      <c r="J316" t="str">
        <f>IFERROR(IF(OR(HLOOKUP($A316,#REF!,8,FALSE)&gt;2,HLOOKUP($A316,#REF!,8,FALSE)&lt;-2),"",#REF!),"")</f>
        <v/>
      </c>
      <c r="K316" t="str">
        <f>IFERROR(IF(OR(HLOOKUP($A316,#REF!,9,FALSE)&gt;2,HLOOKUP($A316,#REF!,9,FALSE)&lt;-2),"",#REF!),"")</f>
        <v/>
      </c>
      <c r="L316" t="str">
        <f>IFERROR(IF(OR(HLOOKUP($A316,#REF!,10,FALSE)&gt;2,HLOOKUP($A316,#REF!,10,FALSE)&lt;-2),"",#REF!),"")</f>
        <v/>
      </c>
      <c r="M316" t="str">
        <f>IFERROR(IF(OR(HLOOKUP($A316,#REF!,11,FALSE)&gt;2,HLOOKUP($A316,#REF!,11,FALSE)&lt;-2),"",#REF!),"")</f>
        <v/>
      </c>
      <c r="N316" t="str">
        <f>IFERROR(IF(OR(HLOOKUP($A316,#REF!,12,FALSE)&gt;2,HLOOKUP($A316,#REF!,12,FALSE)&lt;-2),"",#REF!),"")</f>
        <v/>
      </c>
      <c r="O316" t="str">
        <f>IFERROR(IF(OR(HLOOKUP($A316,#REF!,13,FALSE)&gt;2,HLOOKUP($A316,#REF!,13,FALSE)&lt;-2),"",#REF!),"")</f>
        <v/>
      </c>
      <c r="P316" t="str">
        <f>IFERROR(IF(OR(HLOOKUP($A316,#REF!,14,FALSE)&gt;2,HLOOKUP($A316,#REF!,14,FALSE)&lt;-2),"",#REF!),"")</f>
        <v/>
      </c>
      <c r="Q316" t="str">
        <f>IFERROR(IF(OR(HLOOKUP($A316,#REF!,15,FALSE)&gt;2,HLOOKUP($A316,#REF!,15,FALSE)&lt;-2),"",#REF!),"")</f>
        <v/>
      </c>
      <c r="R316" t="str">
        <f>IFERROR(IF(OR(HLOOKUP($A316,#REF!,16,FALSE)&gt;2,HLOOKUP($A316,#REF!,16,FALSE)&lt;-2),"",#REF!),"")</f>
        <v/>
      </c>
      <c r="S316" t="str">
        <f>IFERROR(IF(OR(HLOOKUP($A316,#REF!,17,FALSE)&gt;2,HLOOKUP($A316,#REF!,17,FALSE)&lt;-2),"",#REF!),"")</f>
        <v/>
      </c>
      <c r="T316" t="str">
        <f>IFERROR(IF(OR(HLOOKUP($A316,#REF!,18,FALSE)&gt;2,HLOOKUP($A316,#REF!,18,FALSE)&lt;-2),"",#REF!),"")</f>
        <v/>
      </c>
      <c r="U316" t="str">
        <f>IFERROR(IF(OR(HLOOKUP($A316,#REF!,19,FALSE)&gt;2,HLOOKUP($A316,#REF!,19,FALSE)&lt;-2),"",#REF!),"")</f>
        <v/>
      </c>
      <c r="V316">
        <f t="shared" si="16"/>
        <v>1</v>
      </c>
      <c r="W316" t="str">
        <f t="shared" si="17"/>
        <v/>
      </c>
      <c r="X316" t="str">
        <f t="shared" si="18"/>
        <v/>
      </c>
      <c r="Y316" t="str">
        <f t="shared" si="19"/>
        <v/>
      </c>
    </row>
    <row r="317" spans="1:25" x14ac:dyDescent="0.35">
      <c r="A317">
        <v>324</v>
      </c>
      <c r="B317" t="s">
        <v>744</v>
      </c>
      <c r="C317">
        <v>43900</v>
      </c>
      <c r="D317">
        <v>934</v>
      </c>
      <c r="E317" t="str">
        <f>IFERROR(IF(OR(HLOOKUP($A317,#REF!,3,FALSE)&gt;2,HLOOKUP(A317,#REF!,3,FALSE)&lt;-2),"",#REF!),"")</f>
        <v/>
      </c>
      <c r="F317" t="str">
        <f>IFERROR(IF(OR(HLOOKUP($A317,#REF!,4,FALSE)&gt;2,HLOOKUP($A317,#REF!,4,FALSE)&lt;-2),"",#REF!),"")</f>
        <v/>
      </c>
      <c r="G317" t="str">
        <f>IFERROR(IF(OR(HLOOKUP($A317,#REF!,5,FALSE)&gt;2,HLOOKUP($A317,#REF!,5,FALSE)&lt;-2),"",#REF!),"")</f>
        <v/>
      </c>
      <c r="H317" t="str">
        <f>IFERROR(IF(OR(HLOOKUP($A317,#REF!,6,FALSE)&gt;2,HLOOKUP($A317,#REF!,6,FALSE)&lt;-2),"",#REF!),"")</f>
        <v/>
      </c>
      <c r="I317" t="str">
        <f>IFERROR(IF(OR(HLOOKUP($A317,#REF!,7,FALSE)&gt;2,HLOOKUP($A317,#REF!,7,FALSE)&lt;-2),"",#REF!),"")</f>
        <v/>
      </c>
      <c r="J317" t="str">
        <f>IFERROR(IF(OR(HLOOKUP($A317,#REF!,8,FALSE)&gt;2,HLOOKUP($A317,#REF!,8,FALSE)&lt;-2),"",#REF!),"")</f>
        <v/>
      </c>
      <c r="K317" t="str">
        <f>IFERROR(IF(OR(HLOOKUP($A317,#REF!,9,FALSE)&gt;2,HLOOKUP($A317,#REF!,9,FALSE)&lt;-2),"",#REF!),"")</f>
        <v/>
      </c>
      <c r="L317" t="str">
        <f>IFERROR(IF(OR(HLOOKUP($A317,#REF!,10,FALSE)&gt;2,HLOOKUP($A317,#REF!,10,FALSE)&lt;-2),"",#REF!),"")</f>
        <v/>
      </c>
      <c r="M317" t="str">
        <f>IFERROR(IF(OR(HLOOKUP($A317,#REF!,11,FALSE)&gt;2,HLOOKUP($A317,#REF!,11,FALSE)&lt;-2),"",#REF!),"")</f>
        <v/>
      </c>
      <c r="N317" t="str">
        <f>IFERROR(IF(OR(HLOOKUP($A317,#REF!,12,FALSE)&gt;2,HLOOKUP($A317,#REF!,12,FALSE)&lt;-2),"",#REF!),"")</f>
        <v/>
      </c>
      <c r="O317" t="str">
        <f>IFERROR(IF(OR(HLOOKUP($A317,#REF!,13,FALSE)&gt;2,HLOOKUP($A317,#REF!,13,FALSE)&lt;-2),"",#REF!),"")</f>
        <v/>
      </c>
      <c r="P317" t="str">
        <f>IFERROR(IF(OR(HLOOKUP($A317,#REF!,14,FALSE)&gt;2,HLOOKUP($A317,#REF!,14,FALSE)&lt;-2),"",#REF!),"")</f>
        <v/>
      </c>
      <c r="Q317" t="str">
        <f>IFERROR(IF(OR(HLOOKUP($A317,#REF!,15,FALSE)&gt;2,HLOOKUP($A317,#REF!,15,FALSE)&lt;-2),"",#REF!),"")</f>
        <v/>
      </c>
      <c r="R317" t="str">
        <f>IFERROR(IF(OR(HLOOKUP($A317,#REF!,16,FALSE)&gt;2,HLOOKUP($A317,#REF!,16,FALSE)&lt;-2),"",#REF!),"")</f>
        <v/>
      </c>
      <c r="S317" t="str">
        <f>IFERROR(IF(OR(HLOOKUP($A317,#REF!,17,FALSE)&gt;2,HLOOKUP($A317,#REF!,17,FALSE)&lt;-2),"",#REF!),"")</f>
        <v/>
      </c>
      <c r="T317" t="str">
        <f>IFERROR(IF(OR(HLOOKUP($A317,#REF!,18,FALSE)&gt;2,HLOOKUP($A317,#REF!,18,FALSE)&lt;-2),"",#REF!),"")</f>
        <v/>
      </c>
      <c r="U317" t="str">
        <f>IFERROR(IF(OR(HLOOKUP($A317,#REF!,19,FALSE)&gt;2,HLOOKUP($A317,#REF!,19,FALSE)&lt;-2),"",#REF!),"")</f>
        <v/>
      </c>
      <c r="V317">
        <f t="shared" si="16"/>
        <v>1</v>
      </c>
      <c r="W317" t="str">
        <f t="shared" si="17"/>
        <v/>
      </c>
      <c r="X317" t="str">
        <f t="shared" si="18"/>
        <v/>
      </c>
      <c r="Y317" t="str">
        <f t="shared" si="19"/>
        <v/>
      </c>
    </row>
    <row r="318" spans="1:25" x14ac:dyDescent="0.35">
      <c r="A318">
        <v>325</v>
      </c>
      <c r="B318" t="s">
        <v>176</v>
      </c>
      <c r="C318">
        <v>66100</v>
      </c>
      <c r="D318">
        <v>138</v>
      </c>
      <c r="E318" t="str">
        <f>IFERROR(IF(OR(HLOOKUP($A318,#REF!,3,FALSE)&gt;2,HLOOKUP(A318,#REF!,3,FALSE)&lt;-2),"",#REF!),"")</f>
        <v/>
      </c>
      <c r="F318" t="str">
        <f>IFERROR(IF(OR(HLOOKUP($A318,#REF!,4,FALSE)&gt;2,HLOOKUP($A318,#REF!,4,FALSE)&lt;-2),"",#REF!),"")</f>
        <v/>
      </c>
      <c r="G318" t="str">
        <f>IFERROR(IF(OR(HLOOKUP($A318,#REF!,5,FALSE)&gt;2,HLOOKUP($A318,#REF!,5,FALSE)&lt;-2),"",#REF!),"")</f>
        <v/>
      </c>
      <c r="H318" t="str">
        <f>IFERROR(IF(OR(HLOOKUP($A318,#REF!,6,FALSE)&gt;2,HLOOKUP($A318,#REF!,6,FALSE)&lt;-2),"",#REF!),"")</f>
        <v/>
      </c>
      <c r="I318" t="str">
        <f>IFERROR(IF(OR(HLOOKUP($A318,#REF!,7,FALSE)&gt;2,HLOOKUP($A318,#REF!,7,FALSE)&lt;-2),"",#REF!),"")</f>
        <v/>
      </c>
      <c r="J318" t="str">
        <f>IFERROR(IF(OR(HLOOKUP($A318,#REF!,8,FALSE)&gt;2,HLOOKUP($A318,#REF!,8,FALSE)&lt;-2),"",#REF!),"")</f>
        <v/>
      </c>
      <c r="K318" t="str">
        <f>IFERROR(IF(OR(HLOOKUP($A318,#REF!,9,FALSE)&gt;2,HLOOKUP($A318,#REF!,9,FALSE)&lt;-2),"",#REF!),"")</f>
        <v/>
      </c>
      <c r="L318" t="str">
        <f>IFERROR(IF(OR(HLOOKUP($A318,#REF!,10,FALSE)&gt;2,HLOOKUP($A318,#REF!,10,FALSE)&lt;-2),"",#REF!),"")</f>
        <v/>
      </c>
      <c r="M318" t="str">
        <f>IFERROR(IF(OR(HLOOKUP($A318,#REF!,11,FALSE)&gt;2,HLOOKUP($A318,#REF!,11,FALSE)&lt;-2),"",#REF!),"")</f>
        <v/>
      </c>
      <c r="N318" t="str">
        <f>IFERROR(IF(OR(HLOOKUP($A318,#REF!,12,FALSE)&gt;2,HLOOKUP($A318,#REF!,12,FALSE)&lt;-2),"",#REF!),"")</f>
        <v/>
      </c>
      <c r="O318" t="str">
        <f>IFERROR(IF(OR(HLOOKUP($A318,#REF!,13,FALSE)&gt;2,HLOOKUP($A318,#REF!,13,FALSE)&lt;-2),"",#REF!),"")</f>
        <v/>
      </c>
      <c r="P318" t="str">
        <f>IFERROR(IF(OR(HLOOKUP($A318,#REF!,14,FALSE)&gt;2,HLOOKUP($A318,#REF!,14,FALSE)&lt;-2),"",#REF!),"")</f>
        <v/>
      </c>
      <c r="Q318" t="str">
        <f>IFERROR(IF(OR(HLOOKUP($A318,#REF!,15,FALSE)&gt;2,HLOOKUP($A318,#REF!,15,FALSE)&lt;-2),"",#REF!),"")</f>
        <v/>
      </c>
      <c r="R318" t="str">
        <f>IFERROR(IF(OR(HLOOKUP($A318,#REF!,16,FALSE)&gt;2,HLOOKUP($A318,#REF!,16,FALSE)&lt;-2),"",#REF!),"")</f>
        <v/>
      </c>
      <c r="S318" t="str">
        <f>IFERROR(IF(OR(HLOOKUP($A318,#REF!,17,FALSE)&gt;2,HLOOKUP($A318,#REF!,17,FALSE)&lt;-2),"",#REF!),"")</f>
        <v/>
      </c>
      <c r="T318" t="str">
        <f>IFERROR(IF(OR(HLOOKUP($A318,#REF!,18,FALSE)&gt;2,HLOOKUP($A318,#REF!,18,FALSE)&lt;-2),"",#REF!),"")</f>
        <v/>
      </c>
      <c r="U318" t="str">
        <f>IFERROR(IF(OR(HLOOKUP($A318,#REF!,19,FALSE)&gt;2,HLOOKUP($A318,#REF!,19,FALSE)&lt;-2),"",#REF!),"")</f>
        <v/>
      </c>
      <c r="V318">
        <f t="shared" si="16"/>
        <v>1</v>
      </c>
      <c r="W318" t="str">
        <f t="shared" si="17"/>
        <v/>
      </c>
      <c r="X318" t="str">
        <f t="shared" si="18"/>
        <v/>
      </c>
      <c r="Y318" t="str">
        <f t="shared" si="19"/>
        <v/>
      </c>
    </row>
    <row r="319" spans="1:25" x14ac:dyDescent="0.35">
      <c r="A319">
        <v>326</v>
      </c>
      <c r="B319" t="s">
        <v>177</v>
      </c>
      <c r="C319">
        <v>104500</v>
      </c>
      <c r="D319">
        <v>752</v>
      </c>
      <c r="E319" t="str">
        <f>IFERROR(IF(OR(HLOOKUP($A319,#REF!,3,FALSE)&gt;2,HLOOKUP(A319,#REF!,3,FALSE)&lt;-2),"",#REF!),"")</f>
        <v/>
      </c>
      <c r="F319" t="str">
        <f>IFERROR(IF(OR(HLOOKUP($A319,#REF!,4,FALSE)&gt;2,HLOOKUP($A319,#REF!,4,FALSE)&lt;-2),"",#REF!),"")</f>
        <v/>
      </c>
      <c r="G319" t="str">
        <f>IFERROR(IF(OR(HLOOKUP($A319,#REF!,5,FALSE)&gt;2,HLOOKUP($A319,#REF!,5,FALSE)&lt;-2),"",#REF!),"")</f>
        <v/>
      </c>
      <c r="H319" t="str">
        <f>IFERROR(IF(OR(HLOOKUP($A319,#REF!,6,FALSE)&gt;2,HLOOKUP($A319,#REF!,6,FALSE)&lt;-2),"",#REF!),"")</f>
        <v/>
      </c>
      <c r="I319" t="str">
        <f>IFERROR(IF(OR(HLOOKUP($A319,#REF!,7,FALSE)&gt;2,HLOOKUP($A319,#REF!,7,FALSE)&lt;-2),"",#REF!),"")</f>
        <v/>
      </c>
      <c r="J319" t="str">
        <f>IFERROR(IF(OR(HLOOKUP($A319,#REF!,8,FALSE)&gt;2,HLOOKUP($A319,#REF!,8,FALSE)&lt;-2),"",#REF!),"")</f>
        <v/>
      </c>
      <c r="K319" t="str">
        <f>IFERROR(IF(OR(HLOOKUP($A319,#REF!,9,FALSE)&gt;2,HLOOKUP($A319,#REF!,9,FALSE)&lt;-2),"",#REF!),"")</f>
        <v/>
      </c>
      <c r="L319" t="str">
        <f>IFERROR(IF(OR(HLOOKUP($A319,#REF!,10,FALSE)&gt;2,HLOOKUP($A319,#REF!,10,FALSE)&lt;-2),"",#REF!),"")</f>
        <v/>
      </c>
      <c r="M319" t="str">
        <f>IFERROR(IF(OR(HLOOKUP($A319,#REF!,11,FALSE)&gt;2,HLOOKUP($A319,#REF!,11,FALSE)&lt;-2),"",#REF!),"")</f>
        <v/>
      </c>
      <c r="N319" t="str">
        <f>IFERROR(IF(OR(HLOOKUP($A319,#REF!,12,FALSE)&gt;2,HLOOKUP($A319,#REF!,12,FALSE)&lt;-2),"",#REF!),"")</f>
        <v/>
      </c>
      <c r="O319" t="str">
        <f>IFERROR(IF(OR(HLOOKUP($A319,#REF!,13,FALSE)&gt;2,HLOOKUP($A319,#REF!,13,FALSE)&lt;-2),"",#REF!),"")</f>
        <v/>
      </c>
      <c r="P319" t="str">
        <f>IFERROR(IF(OR(HLOOKUP($A319,#REF!,14,FALSE)&gt;2,HLOOKUP($A319,#REF!,14,FALSE)&lt;-2),"",#REF!),"")</f>
        <v/>
      </c>
      <c r="Q319" t="str">
        <f>IFERROR(IF(OR(HLOOKUP($A319,#REF!,15,FALSE)&gt;2,HLOOKUP($A319,#REF!,15,FALSE)&lt;-2),"",#REF!),"")</f>
        <v/>
      </c>
      <c r="R319" t="str">
        <f>IFERROR(IF(OR(HLOOKUP($A319,#REF!,16,FALSE)&gt;2,HLOOKUP($A319,#REF!,16,FALSE)&lt;-2),"",#REF!),"")</f>
        <v/>
      </c>
      <c r="S319" t="str">
        <f>IFERROR(IF(OR(HLOOKUP($A319,#REF!,17,FALSE)&gt;2,HLOOKUP($A319,#REF!,17,FALSE)&lt;-2),"",#REF!),"")</f>
        <v/>
      </c>
      <c r="T319" t="str">
        <f>IFERROR(IF(OR(HLOOKUP($A319,#REF!,18,FALSE)&gt;2,HLOOKUP($A319,#REF!,18,FALSE)&lt;-2),"",#REF!),"")</f>
        <v/>
      </c>
      <c r="U319" t="str">
        <f>IFERROR(IF(OR(HLOOKUP($A319,#REF!,19,FALSE)&gt;2,HLOOKUP($A319,#REF!,19,FALSE)&lt;-2),"",#REF!),"")</f>
        <v/>
      </c>
      <c r="V319">
        <f t="shared" si="16"/>
        <v>1</v>
      </c>
      <c r="W319" t="str">
        <f t="shared" si="17"/>
        <v/>
      </c>
      <c r="X319" t="str">
        <f t="shared" si="18"/>
        <v/>
      </c>
      <c r="Y319" t="str">
        <f t="shared" si="19"/>
        <v/>
      </c>
    </row>
    <row r="320" spans="1:25" x14ac:dyDescent="0.35">
      <c r="A320">
        <v>327</v>
      </c>
      <c r="B320" t="s">
        <v>745</v>
      </c>
      <c r="C320">
        <v>47600</v>
      </c>
      <c r="D320">
        <v>319</v>
      </c>
      <c r="E320" t="str">
        <f>IFERROR(IF(OR(HLOOKUP($A320,#REF!,3,FALSE)&gt;2,HLOOKUP(A320,#REF!,3,FALSE)&lt;-2),"",#REF!),"")</f>
        <v/>
      </c>
      <c r="F320" t="str">
        <f>IFERROR(IF(OR(HLOOKUP($A320,#REF!,4,FALSE)&gt;2,HLOOKUP($A320,#REF!,4,FALSE)&lt;-2),"",#REF!),"")</f>
        <v/>
      </c>
      <c r="G320" t="str">
        <f>IFERROR(IF(OR(HLOOKUP($A320,#REF!,5,FALSE)&gt;2,HLOOKUP($A320,#REF!,5,FALSE)&lt;-2),"",#REF!),"")</f>
        <v/>
      </c>
      <c r="H320" t="str">
        <f>IFERROR(IF(OR(HLOOKUP($A320,#REF!,6,FALSE)&gt;2,HLOOKUP($A320,#REF!,6,FALSE)&lt;-2),"",#REF!),"")</f>
        <v/>
      </c>
      <c r="I320" t="str">
        <f>IFERROR(IF(OR(HLOOKUP($A320,#REF!,7,FALSE)&gt;2,HLOOKUP($A320,#REF!,7,FALSE)&lt;-2),"",#REF!),"")</f>
        <v/>
      </c>
      <c r="J320" t="str">
        <f>IFERROR(IF(OR(HLOOKUP($A320,#REF!,8,FALSE)&gt;2,HLOOKUP($A320,#REF!,8,FALSE)&lt;-2),"",#REF!),"")</f>
        <v/>
      </c>
      <c r="K320" t="str">
        <f>IFERROR(IF(OR(HLOOKUP($A320,#REF!,9,FALSE)&gt;2,HLOOKUP($A320,#REF!,9,FALSE)&lt;-2),"",#REF!),"")</f>
        <v/>
      </c>
      <c r="L320" t="str">
        <f>IFERROR(IF(OR(HLOOKUP($A320,#REF!,10,FALSE)&gt;2,HLOOKUP($A320,#REF!,10,FALSE)&lt;-2),"",#REF!),"")</f>
        <v/>
      </c>
      <c r="M320" t="str">
        <f>IFERROR(IF(OR(HLOOKUP($A320,#REF!,11,FALSE)&gt;2,HLOOKUP($A320,#REF!,11,FALSE)&lt;-2),"",#REF!),"")</f>
        <v/>
      </c>
      <c r="N320" t="str">
        <f>IFERROR(IF(OR(HLOOKUP($A320,#REF!,12,FALSE)&gt;2,HLOOKUP($A320,#REF!,12,FALSE)&lt;-2),"",#REF!),"")</f>
        <v/>
      </c>
      <c r="O320" t="str">
        <f>IFERROR(IF(OR(HLOOKUP($A320,#REF!,13,FALSE)&gt;2,HLOOKUP($A320,#REF!,13,FALSE)&lt;-2),"",#REF!),"")</f>
        <v/>
      </c>
      <c r="P320" t="str">
        <f>IFERROR(IF(OR(HLOOKUP($A320,#REF!,14,FALSE)&gt;2,HLOOKUP($A320,#REF!,14,FALSE)&lt;-2),"",#REF!),"")</f>
        <v/>
      </c>
      <c r="Q320" t="str">
        <f>IFERROR(IF(OR(HLOOKUP($A320,#REF!,15,FALSE)&gt;2,HLOOKUP($A320,#REF!,15,FALSE)&lt;-2),"",#REF!),"")</f>
        <v/>
      </c>
      <c r="R320" t="str">
        <f>IFERROR(IF(OR(HLOOKUP($A320,#REF!,16,FALSE)&gt;2,HLOOKUP($A320,#REF!,16,FALSE)&lt;-2),"",#REF!),"")</f>
        <v/>
      </c>
      <c r="S320" t="str">
        <f>IFERROR(IF(OR(HLOOKUP($A320,#REF!,17,FALSE)&gt;2,HLOOKUP($A320,#REF!,17,FALSE)&lt;-2),"",#REF!),"")</f>
        <v/>
      </c>
      <c r="T320" t="str">
        <f>IFERROR(IF(OR(HLOOKUP($A320,#REF!,18,FALSE)&gt;2,HLOOKUP($A320,#REF!,18,FALSE)&lt;-2),"",#REF!),"")</f>
        <v/>
      </c>
      <c r="U320" t="str">
        <f>IFERROR(IF(OR(HLOOKUP($A320,#REF!,19,FALSE)&gt;2,HLOOKUP($A320,#REF!,19,FALSE)&lt;-2),"",#REF!),"")</f>
        <v/>
      </c>
      <c r="V320">
        <f t="shared" si="16"/>
        <v>1</v>
      </c>
      <c r="W320" t="str">
        <f t="shared" si="17"/>
        <v/>
      </c>
      <c r="X320" t="str">
        <f t="shared" si="18"/>
        <v/>
      </c>
      <c r="Y320" t="str">
        <f t="shared" si="19"/>
        <v/>
      </c>
    </row>
    <row r="321" spans="1:25" x14ac:dyDescent="0.35">
      <c r="A321">
        <v>328</v>
      </c>
      <c r="B321" t="s">
        <v>178</v>
      </c>
      <c r="C321">
        <v>23600</v>
      </c>
      <c r="D321">
        <v>104</v>
      </c>
      <c r="E321" t="str">
        <f>IFERROR(IF(OR(HLOOKUP($A321,#REF!,3,FALSE)&gt;2,HLOOKUP(A321,#REF!,3,FALSE)&lt;-2),"",#REF!),"")</f>
        <v/>
      </c>
      <c r="F321" t="str">
        <f>IFERROR(IF(OR(HLOOKUP($A321,#REF!,4,FALSE)&gt;2,HLOOKUP($A321,#REF!,4,FALSE)&lt;-2),"",#REF!),"")</f>
        <v/>
      </c>
      <c r="G321" t="str">
        <f>IFERROR(IF(OR(HLOOKUP($A321,#REF!,5,FALSE)&gt;2,HLOOKUP($A321,#REF!,5,FALSE)&lt;-2),"",#REF!),"")</f>
        <v/>
      </c>
      <c r="H321" t="str">
        <f>IFERROR(IF(OR(HLOOKUP($A321,#REF!,6,FALSE)&gt;2,HLOOKUP($A321,#REF!,6,FALSE)&lt;-2),"",#REF!),"")</f>
        <v/>
      </c>
      <c r="I321" t="str">
        <f>IFERROR(IF(OR(HLOOKUP($A321,#REF!,7,FALSE)&gt;2,HLOOKUP($A321,#REF!,7,FALSE)&lt;-2),"",#REF!),"")</f>
        <v/>
      </c>
      <c r="J321" t="str">
        <f>IFERROR(IF(OR(HLOOKUP($A321,#REF!,8,FALSE)&gt;2,HLOOKUP($A321,#REF!,8,FALSE)&lt;-2),"",#REF!),"")</f>
        <v/>
      </c>
      <c r="K321" t="str">
        <f>IFERROR(IF(OR(HLOOKUP($A321,#REF!,9,FALSE)&gt;2,HLOOKUP($A321,#REF!,9,FALSE)&lt;-2),"",#REF!),"")</f>
        <v/>
      </c>
      <c r="L321" t="str">
        <f>IFERROR(IF(OR(HLOOKUP($A321,#REF!,10,FALSE)&gt;2,HLOOKUP($A321,#REF!,10,FALSE)&lt;-2),"",#REF!),"")</f>
        <v/>
      </c>
      <c r="M321" t="str">
        <f>IFERROR(IF(OR(HLOOKUP($A321,#REF!,11,FALSE)&gt;2,HLOOKUP($A321,#REF!,11,FALSE)&lt;-2),"",#REF!),"")</f>
        <v/>
      </c>
      <c r="N321" t="str">
        <f>IFERROR(IF(OR(HLOOKUP($A321,#REF!,12,FALSE)&gt;2,HLOOKUP($A321,#REF!,12,FALSE)&lt;-2),"",#REF!),"")</f>
        <v/>
      </c>
      <c r="O321" t="str">
        <f>IFERROR(IF(OR(HLOOKUP($A321,#REF!,13,FALSE)&gt;2,HLOOKUP($A321,#REF!,13,FALSE)&lt;-2),"",#REF!),"")</f>
        <v/>
      </c>
      <c r="P321" t="str">
        <f>IFERROR(IF(OR(HLOOKUP($A321,#REF!,14,FALSE)&gt;2,HLOOKUP($A321,#REF!,14,FALSE)&lt;-2),"",#REF!),"")</f>
        <v/>
      </c>
      <c r="Q321" t="str">
        <f>IFERROR(IF(OR(HLOOKUP($A321,#REF!,15,FALSE)&gt;2,HLOOKUP($A321,#REF!,15,FALSE)&lt;-2),"",#REF!),"")</f>
        <v/>
      </c>
      <c r="R321" t="str">
        <f>IFERROR(IF(OR(HLOOKUP($A321,#REF!,16,FALSE)&gt;2,HLOOKUP($A321,#REF!,16,FALSE)&lt;-2),"",#REF!),"")</f>
        <v/>
      </c>
      <c r="S321" t="str">
        <f>IFERROR(IF(OR(HLOOKUP($A321,#REF!,17,FALSE)&gt;2,HLOOKUP($A321,#REF!,17,FALSE)&lt;-2),"",#REF!),"")</f>
        <v/>
      </c>
      <c r="T321" t="str">
        <f>IFERROR(IF(OR(HLOOKUP($A321,#REF!,18,FALSE)&gt;2,HLOOKUP($A321,#REF!,18,FALSE)&lt;-2),"",#REF!),"")</f>
        <v/>
      </c>
      <c r="U321" t="str">
        <f>IFERROR(IF(OR(HLOOKUP($A321,#REF!,19,FALSE)&gt;2,HLOOKUP($A321,#REF!,19,FALSE)&lt;-2),"",#REF!),"")</f>
        <v/>
      </c>
      <c r="V321">
        <f t="shared" si="16"/>
        <v>1</v>
      </c>
      <c r="W321" t="str">
        <f t="shared" si="17"/>
        <v/>
      </c>
      <c r="X321" t="str">
        <f t="shared" si="18"/>
        <v/>
      </c>
      <c r="Y321" t="str">
        <f t="shared" si="19"/>
        <v/>
      </c>
    </row>
    <row r="322" spans="1:25" x14ac:dyDescent="0.35">
      <c r="A322">
        <v>329</v>
      </c>
      <c r="B322" t="s">
        <v>746</v>
      </c>
      <c r="C322">
        <v>4200</v>
      </c>
      <c r="D322">
        <v>322</v>
      </c>
      <c r="E322" t="str">
        <f>IFERROR(IF(OR(HLOOKUP($A322,#REF!,3,FALSE)&gt;2,HLOOKUP(A322,#REF!,3,FALSE)&lt;-2),"",#REF!),"")</f>
        <v/>
      </c>
      <c r="F322" t="str">
        <f>IFERROR(IF(OR(HLOOKUP($A322,#REF!,4,FALSE)&gt;2,HLOOKUP($A322,#REF!,4,FALSE)&lt;-2),"",#REF!),"")</f>
        <v/>
      </c>
      <c r="G322" t="str">
        <f>IFERROR(IF(OR(HLOOKUP($A322,#REF!,5,FALSE)&gt;2,HLOOKUP($A322,#REF!,5,FALSE)&lt;-2),"",#REF!),"")</f>
        <v/>
      </c>
      <c r="H322" t="str">
        <f>IFERROR(IF(OR(HLOOKUP($A322,#REF!,6,FALSE)&gt;2,HLOOKUP($A322,#REF!,6,FALSE)&lt;-2),"",#REF!),"")</f>
        <v/>
      </c>
      <c r="I322" t="str">
        <f>IFERROR(IF(OR(HLOOKUP($A322,#REF!,7,FALSE)&gt;2,HLOOKUP($A322,#REF!,7,FALSE)&lt;-2),"",#REF!),"")</f>
        <v/>
      </c>
      <c r="J322" t="str">
        <f>IFERROR(IF(OR(HLOOKUP($A322,#REF!,8,FALSE)&gt;2,HLOOKUP($A322,#REF!,8,FALSE)&lt;-2),"",#REF!),"")</f>
        <v/>
      </c>
      <c r="K322" t="str">
        <f>IFERROR(IF(OR(HLOOKUP($A322,#REF!,9,FALSE)&gt;2,HLOOKUP($A322,#REF!,9,FALSE)&lt;-2),"",#REF!),"")</f>
        <v/>
      </c>
      <c r="L322" t="str">
        <f>IFERROR(IF(OR(HLOOKUP($A322,#REF!,10,FALSE)&gt;2,HLOOKUP($A322,#REF!,10,FALSE)&lt;-2),"",#REF!),"")</f>
        <v/>
      </c>
      <c r="M322" t="str">
        <f>IFERROR(IF(OR(HLOOKUP($A322,#REF!,11,FALSE)&gt;2,HLOOKUP($A322,#REF!,11,FALSE)&lt;-2),"",#REF!),"")</f>
        <v/>
      </c>
      <c r="N322" t="str">
        <f>IFERROR(IF(OR(HLOOKUP($A322,#REF!,12,FALSE)&gt;2,HLOOKUP($A322,#REF!,12,FALSE)&lt;-2),"",#REF!),"")</f>
        <v/>
      </c>
      <c r="O322" t="str">
        <f>IFERROR(IF(OR(HLOOKUP($A322,#REF!,13,FALSE)&gt;2,HLOOKUP($A322,#REF!,13,FALSE)&lt;-2),"",#REF!),"")</f>
        <v/>
      </c>
      <c r="P322" t="str">
        <f>IFERROR(IF(OR(HLOOKUP($A322,#REF!,14,FALSE)&gt;2,HLOOKUP($A322,#REF!,14,FALSE)&lt;-2),"",#REF!),"")</f>
        <v/>
      </c>
      <c r="Q322" t="str">
        <f>IFERROR(IF(OR(HLOOKUP($A322,#REF!,15,FALSE)&gt;2,HLOOKUP($A322,#REF!,15,FALSE)&lt;-2),"",#REF!),"")</f>
        <v/>
      </c>
      <c r="R322" t="str">
        <f>IFERROR(IF(OR(HLOOKUP($A322,#REF!,16,FALSE)&gt;2,HLOOKUP($A322,#REF!,16,FALSE)&lt;-2),"",#REF!),"")</f>
        <v/>
      </c>
      <c r="S322" t="str">
        <f>IFERROR(IF(OR(HLOOKUP($A322,#REF!,17,FALSE)&gt;2,HLOOKUP($A322,#REF!,17,FALSE)&lt;-2),"",#REF!),"")</f>
        <v/>
      </c>
      <c r="T322" t="str">
        <f>IFERROR(IF(OR(HLOOKUP($A322,#REF!,18,FALSE)&gt;2,HLOOKUP($A322,#REF!,18,FALSE)&lt;-2),"",#REF!),"")</f>
        <v/>
      </c>
      <c r="U322" t="str">
        <f>IFERROR(IF(OR(HLOOKUP($A322,#REF!,19,FALSE)&gt;2,HLOOKUP($A322,#REF!,19,FALSE)&lt;-2),"",#REF!),"")</f>
        <v/>
      </c>
      <c r="V322">
        <f t="shared" si="16"/>
        <v>1</v>
      </c>
      <c r="W322" t="str">
        <f t="shared" si="17"/>
        <v/>
      </c>
      <c r="X322" t="str">
        <f t="shared" si="18"/>
        <v/>
      </c>
      <c r="Y322" t="str">
        <f t="shared" si="19"/>
        <v/>
      </c>
    </row>
    <row r="323" spans="1:25" x14ac:dyDescent="0.35">
      <c r="A323">
        <v>330</v>
      </c>
      <c r="B323" t="s">
        <v>179</v>
      </c>
      <c r="C323">
        <v>26500</v>
      </c>
      <c r="D323">
        <v>879</v>
      </c>
      <c r="E323" t="str">
        <f>IFERROR(IF(OR(HLOOKUP($A323,#REF!,3,FALSE)&gt;2,HLOOKUP(A323,#REF!,3,FALSE)&lt;-2),"",#REF!),"")</f>
        <v/>
      </c>
      <c r="F323" t="str">
        <f>IFERROR(IF(OR(HLOOKUP($A323,#REF!,4,FALSE)&gt;2,HLOOKUP($A323,#REF!,4,FALSE)&lt;-2),"",#REF!),"")</f>
        <v/>
      </c>
      <c r="G323" t="str">
        <f>IFERROR(IF(OR(HLOOKUP($A323,#REF!,5,FALSE)&gt;2,HLOOKUP($A323,#REF!,5,FALSE)&lt;-2),"",#REF!),"")</f>
        <v/>
      </c>
      <c r="H323" t="str">
        <f>IFERROR(IF(OR(HLOOKUP($A323,#REF!,6,FALSE)&gt;2,HLOOKUP($A323,#REF!,6,FALSE)&lt;-2),"",#REF!),"")</f>
        <v/>
      </c>
      <c r="I323" t="str">
        <f>IFERROR(IF(OR(HLOOKUP($A323,#REF!,7,FALSE)&gt;2,HLOOKUP($A323,#REF!,7,FALSE)&lt;-2),"",#REF!),"")</f>
        <v/>
      </c>
      <c r="J323" t="str">
        <f>IFERROR(IF(OR(HLOOKUP($A323,#REF!,8,FALSE)&gt;2,HLOOKUP($A323,#REF!,8,FALSE)&lt;-2),"",#REF!),"")</f>
        <v/>
      </c>
      <c r="K323" t="str">
        <f>IFERROR(IF(OR(HLOOKUP($A323,#REF!,9,FALSE)&gt;2,HLOOKUP($A323,#REF!,9,FALSE)&lt;-2),"",#REF!),"")</f>
        <v/>
      </c>
      <c r="L323" t="str">
        <f>IFERROR(IF(OR(HLOOKUP($A323,#REF!,10,FALSE)&gt;2,HLOOKUP($A323,#REF!,10,FALSE)&lt;-2),"",#REF!),"")</f>
        <v/>
      </c>
      <c r="M323" t="str">
        <f>IFERROR(IF(OR(HLOOKUP($A323,#REF!,11,FALSE)&gt;2,HLOOKUP($A323,#REF!,11,FALSE)&lt;-2),"",#REF!),"")</f>
        <v/>
      </c>
      <c r="N323" t="str">
        <f>IFERROR(IF(OR(HLOOKUP($A323,#REF!,12,FALSE)&gt;2,HLOOKUP($A323,#REF!,12,FALSE)&lt;-2),"",#REF!),"")</f>
        <v/>
      </c>
      <c r="O323" t="str">
        <f>IFERROR(IF(OR(HLOOKUP($A323,#REF!,13,FALSE)&gt;2,HLOOKUP($A323,#REF!,13,FALSE)&lt;-2),"",#REF!),"")</f>
        <v/>
      </c>
      <c r="P323" t="str">
        <f>IFERROR(IF(OR(HLOOKUP($A323,#REF!,14,FALSE)&gt;2,HLOOKUP($A323,#REF!,14,FALSE)&lt;-2),"",#REF!),"")</f>
        <v/>
      </c>
      <c r="Q323" t="str">
        <f>IFERROR(IF(OR(HLOOKUP($A323,#REF!,15,FALSE)&gt;2,HLOOKUP($A323,#REF!,15,FALSE)&lt;-2),"",#REF!),"")</f>
        <v/>
      </c>
      <c r="R323" t="str">
        <f>IFERROR(IF(OR(HLOOKUP($A323,#REF!,16,FALSE)&gt;2,HLOOKUP($A323,#REF!,16,FALSE)&lt;-2),"",#REF!),"")</f>
        <v/>
      </c>
      <c r="S323" t="str">
        <f>IFERROR(IF(OR(HLOOKUP($A323,#REF!,17,FALSE)&gt;2,HLOOKUP($A323,#REF!,17,FALSE)&lt;-2),"",#REF!),"")</f>
        <v/>
      </c>
      <c r="T323" t="str">
        <f>IFERROR(IF(OR(HLOOKUP($A323,#REF!,18,FALSE)&gt;2,HLOOKUP($A323,#REF!,18,FALSE)&lt;-2),"",#REF!),"")</f>
        <v/>
      </c>
      <c r="U323" t="str">
        <f>IFERROR(IF(OR(HLOOKUP($A323,#REF!,19,FALSE)&gt;2,HLOOKUP($A323,#REF!,19,FALSE)&lt;-2),"",#REF!),"")</f>
        <v/>
      </c>
      <c r="V323">
        <f t="shared" si="16"/>
        <v>1</v>
      </c>
      <c r="W323" t="str">
        <f t="shared" si="17"/>
        <v/>
      </c>
      <c r="X323" t="str">
        <f t="shared" si="18"/>
        <v/>
      </c>
      <c r="Y323" t="str">
        <f t="shared" si="19"/>
        <v/>
      </c>
    </row>
    <row r="324" spans="1:25" x14ac:dyDescent="0.35">
      <c r="A324">
        <v>331</v>
      </c>
      <c r="B324" t="s">
        <v>747</v>
      </c>
      <c r="C324">
        <v>74600</v>
      </c>
      <c r="D324">
        <v>467</v>
      </c>
      <c r="E324" t="str">
        <f>IFERROR(IF(OR(HLOOKUP($A324,#REF!,3,FALSE)&gt;2,HLOOKUP(A324,#REF!,3,FALSE)&lt;-2),"",#REF!),"")</f>
        <v/>
      </c>
      <c r="F324" t="str">
        <f>IFERROR(IF(OR(HLOOKUP($A324,#REF!,4,FALSE)&gt;2,HLOOKUP($A324,#REF!,4,FALSE)&lt;-2),"",#REF!),"")</f>
        <v/>
      </c>
      <c r="G324" t="str">
        <f>IFERROR(IF(OR(HLOOKUP($A324,#REF!,5,FALSE)&gt;2,HLOOKUP($A324,#REF!,5,FALSE)&lt;-2),"",#REF!),"")</f>
        <v/>
      </c>
      <c r="H324" t="str">
        <f>IFERROR(IF(OR(HLOOKUP($A324,#REF!,6,FALSE)&gt;2,HLOOKUP($A324,#REF!,6,FALSE)&lt;-2),"",#REF!),"")</f>
        <v/>
      </c>
      <c r="I324" t="str">
        <f>IFERROR(IF(OR(HLOOKUP($A324,#REF!,7,FALSE)&gt;2,HLOOKUP($A324,#REF!,7,FALSE)&lt;-2),"",#REF!),"")</f>
        <v/>
      </c>
      <c r="J324" t="str">
        <f>IFERROR(IF(OR(HLOOKUP($A324,#REF!,8,FALSE)&gt;2,HLOOKUP($A324,#REF!,8,FALSE)&lt;-2),"",#REF!),"")</f>
        <v/>
      </c>
      <c r="K324" t="str">
        <f>IFERROR(IF(OR(HLOOKUP($A324,#REF!,9,FALSE)&gt;2,HLOOKUP($A324,#REF!,9,FALSE)&lt;-2),"",#REF!),"")</f>
        <v/>
      </c>
      <c r="L324" t="str">
        <f>IFERROR(IF(OR(HLOOKUP($A324,#REF!,10,FALSE)&gt;2,HLOOKUP($A324,#REF!,10,FALSE)&lt;-2),"",#REF!),"")</f>
        <v/>
      </c>
      <c r="M324" t="str">
        <f>IFERROR(IF(OR(HLOOKUP($A324,#REF!,11,FALSE)&gt;2,HLOOKUP($A324,#REF!,11,FALSE)&lt;-2),"",#REF!),"")</f>
        <v/>
      </c>
      <c r="N324" t="str">
        <f>IFERROR(IF(OR(HLOOKUP($A324,#REF!,12,FALSE)&gt;2,HLOOKUP($A324,#REF!,12,FALSE)&lt;-2),"",#REF!),"")</f>
        <v/>
      </c>
      <c r="O324" t="str">
        <f>IFERROR(IF(OR(HLOOKUP($A324,#REF!,13,FALSE)&gt;2,HLOOKUP($A324,#REF!,13,FALSE)&lt;-2),"",#REF!),"")</f>
        <v/>
      </c>
      <c r="P324" t="str">
        <f>IFERROR(IF(OR(HLOOKUP($A324,#REF!,14,FALSE)&gt;2,HLOOKUP($A324,#REF!,14,FALSE)&lt;-2),"",#REF!),"")</f>
        <v/>
      </c>
      <c r="Q324" t="str">
        <f>IFERROR(IF(OR(HLOOKUP($A324,#REF!,15,FALSE)&gt;2,HLOOKUP($A324,#REF!,15,FALSE)&lt;-2),"",#REF!),"")</f>
        <v/>
      </c>
      <c r="R324" t="str">
        <f>IFERROR(IF(OR(HLOOKUP($A324,#REF!,16,FALSE)&gt;2,HLOOKUP($A324,#REF!,16,FALSE)&lt;-2),"",#REF!),"")</f>
        <v/>
      </c>
      <c r="S324" t="str">
        <f>IFERROR(IF(OR(HLOOKUP($A324,#REF!,17,FALSE)&gt;2,HLOOKUP($A324,#REF!,17,FALSE)&lt;-2),"",#REF!),"")</f>
        <v/>
      </c>
      <c r="T324" t="str">
        <f>IFERROR(IF(OR(HLOOKUP($A324,#REF!,18,FALSE)&gt;2,HLOOKUP($A324,#REF!,18,FALSE)&lt;-2),"",#REF!),"")</f>
        <v/>
      </c>
      <c r="U324" t="str">
        <f>IFERROR(IF(OR(HLOOKUP($A324,#REF!,19,FALSE)&gt;2,HLOOKUP($A324,#REF!,19,FALSE)&lt;-2),"",#REF!),"")</f>
        <v/>
      </c>
      <c r="V324">
        <f t="shared" ref="V324:V387" si="20">IFERROR(IF(AND(X324=0,Y324=0),0,1),0)</f>
        <v>1</v>
      </c>
      <c r="W324" t="str">
        <f t="shared" ref="W324:W387" si="21">IFERROR(_xlfn.T.TEST(E324:M324,N324:U324,2,2),"")</f>
        <v/>
      </c>
      <c r="X324" t="str">
        <f t="shared" ref="X324:X387" si="22">IFERROR(AVERAGE(E324:M324),"")</f>
        <v/>
      </c>
      <c r="Y324" t="str">
        <f t="shared" ref="Y324:Y387" si="23">IFERROR(AVERAGE(N324:U324),"")</f>
        <v/>
      </c>
    </row>
    <row r="325" spans="1:25" x14ac:dyDescent="0.35">
      <c r="A325">
        <v>332</v>
      </c>
      <c r="B325" t="s">
        <v>180</v>
      </c>
      <c r="C325">
        <v>70300</v>
      </c>
      <c r="D325">
        <v>157</v>
      </c>
      <c r="E325" t="str">
        <f>IFERROR(IF(OR(HLOOKUP($A325,#REF!,3,FALSE)&gt;2,HLOOKUP(A325,#REF!,3,FALSE)&lt;-2),"",#REF!),"")</f>
        <v/>
      </c>
      <c r="F325" t="str">
        <f>IFERROR(IF(OR(HLOOKUP($A325,#REF!,4,FALSE)&gt;2,HLOOKUP($A325,#REF!,4,FALSE)&lt;-2),"",#REF!),"")</f>
        <v/>
      </c>
      <c r="G325" t="str">
        <f>IFERROR(IF(OR(HLOOKUP($A325,#REF!,5,FALSE)&gt;2,HLOOKUP($A325,#REF!,5,FALSE)&lt;-2),"",#REF!),"")</f>
        <v/>
      </c>
      <c r="H325" t="str">
        <f>IFERROR(IF(OR(HLOOKUP($A325,#REF!,6,FALSE)&gt;2,HLOOKUP($A325,#REF!,6,FALSE)&lt;-2),"",#REF!),"")</f>
        <v/>
      </c>
      <c r="I325" t="str">
        <f>IFERROR(IF(OR(HLOOKUP($A325,#REF!,7,FALSE)&gt;2,HLOOKUP($A325,#REF!,7,FALSE)&lt;-2),"",#REF!),"")</f>
        <v/>
      </c>
      <c r="J325" t="str">
        <f>IFERROR(IF(OR(HLOOKUP($A325,#REF!,8,FALSE)&gt;2,HLOOKUP($A325,#REF!,8,FALSE)&lt;-2),"",#REF!),"")</f>
        <v/>
      </c>
      <c r="K325" t="str">
        <f>IFERROR(IF(OR(HLOOKUP($A325,#REF!,9,FALSE)&gt;2,HLOOKUP($A325,#REF!,9,FALSE)&lt;-2),"",#REF!),"")</f>
        <v/>
      </c>
      <c r="L325" t="str">
        <f>IFERROR(IF(OR(HLOOKUP($A325,#REF!,10,FALSE)&gt;2,HLOOKUP($A325,#REF!,10,FALSE)&lt;-2),"",#REF!),"")</f>
        <v/>
      </c>
      <c r="M325" t="str">
        <f>IFERROR(IF(OR(HLOOKUP($A325,#REF!,11,FALSE)&gt;2,HLOOKUP($A325,#REF!,11,FALSE)&lt;-2),"",#REF!),"")</f>
        <v/>
      </c>
      <c r="N325" t="str">
        <f>IFERROR(IF(OR(HLOOKUP($A325,#REF!,12,FALSE)&gt;2,HLOOKUP($A325,#REF!,12,FALSE)&lt;-2),"",#REF!),"")</f>
        <v/>
      </c>
      <c r="O325" t="str">
        <f>IFERROR(IF(OR(HLOOKUP($A325,#REF!,13,FALSE)&gt;2,HLOOKUP($A325,#REF!,13,FALSE)&lt;-2),"",#REF!),"")</f>
        <v/>
      </c>
      <c r="P325" t="str">
        <f>IFERROR(IF(OR(HLOOKUP($A325,#REF!,14,FALSE)&gt;2,HLOOKUP($A325,#REF!,14,FALSE)&lt;-2),"",#REF!),"")</f>
        <v/>
      </c>
      <c r="Q325" t="str">
        <f>IFERROR(IF(OR(HLOOKUP($A325,#REF!,15,FALSE)&gt;2,HLOOKUP($A325,#REF!,15,FALSE)&lt;-2),"",#REF!),"")</f>
        <v/>
      </c>
      <c r="R325" t="str">
        <f>IFERROR(IF(OR(HLOOKUP($A325,#REF!,16,FALSE)&gt;2,HLOOKUP($A325,#REF!,16,FALSE)&lt;-2),"",#REF!),"")</f>
        <v/>
      </c>
      <c r="S325" t="str">
        <f>IFERROR(IF(OR(HLOOKUP($A325,#REF!,17,FALSE)&gt;2,HLOOKUP($A325,#REF!,17,FALSE)&lt;-2),"",#REF!),"")</f>
        <v/>
      </c>
      <c r="T325" t="str">
        <f>IFERROR(IF(OR(HLOOKUP($A325,#REF!,18,FALSE)&gt;2,HLOOKUP($A325,#REF!,18,FALSE)&lt;-2),"",#REF!),"")</f>
        <v/>
      </c>
      <c r="U325" t="str">
        <f>IFERROR(IF(OR(HLOOKUP($A325,#REF!,19,FALSE)&gt;2,HLOOKUP($A325,#REF!,19,FALSE)&lt;-2),"",#REF!),"")</f>
        <v/>
      </c>
      <c r="V325">
        <f t="shared" si="20"/>
        <v>1</v>
      </c>
      <c r="W325" t="str">
        <f t="shared" si="21"/>
        <v/>
      </c>
      <c r="X325" t="str">
        <f t="shared" si="22"/>
        <v/>
      </c>
      <c r="Y325" t="str">
        <f t="shared" si="23"/>
        <v/>
      </c>
    </row>
    <row r="326" spans="1:25" x14ac:dyDescent="0.35">
      <c r="A326">
        <v>333</v>
      </c>
      <c r="B326" t="s">
        <v>181</v>
      </c>
      <c r="C326">
        <v>49900</v>
      </c>
      <c r="D326">
        <v>275</v>
      </c>
      <c r="E326" t="str">
        <f>IFERROR(IF(OR(HLOOKUP($A326,#REF!,3,FALSE)&gt;2,HLOOKUP(A326,#REF!,3,FALSE)&lt;-2),"",#REF!),"")</f>
        <v/>
      </c>
      <c r="F326" t="str">
        <f>IFERROR(IF(OR(HLOOKUP($A326,#REF!,4,FALSE)&gt;2,HLOOKUP($A326,#REF!,4,FALSE)&lt;-2),"",#REF!),"")</f>
        <v/>
      </c>
      <c r="G326" t="str">
        <f>IFERROR(IF(OR(HLOOKUP($A326,#REF!,5,FALSE)&gt;2,HLOOKUP($A326,#REF!,5,FALSE)&lt;-2),"",#REF!),"")</f>
        <v/>
      </c>
      <c r="H326" t="str">
        <f>IFERROR(IF(OR(HLOOKUP($A326,#REF!,6,FALSE)&gt;2,HLOOKUP($A326,#REF!,6,FALSE)&lt;-2),"",#REF!),"")</f>
        <v/>
      </c>
      <c r="I326" t="str">
        <f>IFERROR(IF(OR(HLOOKUP($A326,#REF!,7,FALSE)&gt;2,HLOOKUP($A326,#REF!,7,FALSE)&lt;-2),"",#REF!),"")</f>
        <v/>
      </c>
      <c r="J326" t="str">
        <f>IFERROR(IF(OR(HLOOKUP($A326,#REF!,8,FALSE)&gt;2,HLOOKUP($A326,#REF!,8,FALSE)&lt;-2),"",#REF!),"")</f>
        <v/>
      </c>
      <c r="K326" t="str">
        <f>IFERROR(IF(OR(HLOOKUP($A326,#REF!,9,FALSE)&gt;2,HLOOKUP($A326,#REF!,9,FALSE)&lt;-2),"",#REF!),"")</f>
        <v/>
      </c>
      <c r="L326" t="str">
        <f>IFERROR(IF(OR(HLOOKUP($A326,#REF!,10,FALSE)&gt;2,HLOOKUP($A326,#REF!,10,FALSE)&lt;-2),"",#REF!),"")</f>
        <v/>
      </c>
      <c r="M326" t="str">
        <f>IFERROR(IF(OR(HLOOKUP($A326,#REF!,11,FALSE)&gt;2,HLOOKUP($A326,#REF!,11,FALSE)&lt;-2),"",#REF!),"")</f>
        <v/>
      </c>
      <c r="N326" t="str">
        <f>IFERROR(IF(OR(HLOOKUP($A326,#REF!,12,FALSE)&gt;2,HLOOKUP($A326,#REF!,12,FALSE)&lt;-2),"",#REF!),"")</f>
        <v/>
      </c>
      <c r="O326" t="str">
        <f>IFERROR(IF(OR(HLOOKUP($A326,#REF!,13,FALSE)&gt;2,HLOOKUP($A326,#REF!,13,FALSE)&lt;-2),"",#REF!),"")</f>
        <v/>
      </c>
      <c r="P326" t="str">
        <f>IFERROR(IF(OR(HLOOKUP($A326,#REF!,14,FALSE)&gt;2,HLOOKUP($A326,#REF!,14,FALSE)&lt;-2),"",#REF!),"")</f>
        <v/>
      </c>
      <c r="Q326" t="str">
        <f>IFERROR(IF(OR(HLOOKUP($A326,#REF!,15,FALSE)&gt;2,HLOOKUP($A326,#REF!,15,FALSE)&lt;-2),"",#REF!),"")</f>
        <v/>
      </c>
      <c r="R326" t="str">
        <f>IFERROR(IF(OR(HLOOKUP($A326,#REF!,16,FALSE)&gt;2,HLOOKUP($A326,#REF!,16,FALSE)&lt;-2),"",#REF!),"")</f>
        <v/>
      </c>
      <c r="S326" t="str">
        <f>IFERROR(IF(OR(HLOOKUP($A326,#REF!,17,FALSE)&gt;2,HLOOKUP($A326,#REF!,17,FALSE)&lt;-2),"",#REF!),"")</f>
        <v/>
      </c>
      <c r="T326" t="str">
        <f>IFERROR(IF(OR(HLOOKUP($A326,#REF!,18,FALSE)&gt;2,HLOOKUP($A326,#REF!,18,FALSE)&lt;-2),"",#REF!),"")</f>
        <v/>
      </c>
      <c r="U326" t="str">
        <f>IFERROR(IF(OR(HLOOKUP($A326,#REF!,19,FALSE)&gt;2,HLOOKUP($A326,#REF!,19,FALSE)&lt;-2),"",#REF!),"")</f>
        <v/>
      </c>
      <c r="V326">
        <f t="shared" si="20"/>
        <v>1</v>
      </c>
      <c r="W326" t="str">
        <f t="shared" si="21"/>
        <v/>
      </c>
      <c r="X326" t="str">
        <f t="shared" si="22"/>
        <v/>
      </c>
      <c r="Y326" t="str">
        <f t="shared" si="23"/>
        <v/>
      </c>
    </row>
    <row r="327" spans="1:25" x14ac:dyDescent="0.35">
      <c r="A327">
        <v>334</v>
      </c>
      <c r="B327" t="s">
        <v>748</v>
      </c>
      <c r="C327">
        <v>47700</v>
      </c>
      <c r="D327">
        <v>319</v>
      </c>
      <c r="E327" t="str">
        <f>IFERROR(IF(OR(HLOOKUP($A327,#REF!,3,FALSE)&gt;2,HLOOKUP(A327,#REF!,3,FALSE)&lt;-2),"",#REF!),"")</f>
        <v/>
      </c>
      <c r="F327" t="str">
        <f>IFERROR(IF(OR(HLOOKUP($A327,#REF!,4,FALSE)&gt;2,HLOOKUP($A327,#REF!,4,FALSE)&lt;-2),"",#REF!),"")</f>
        <v/>
      </c>
      <c r="G327" t="str">
        <f>IFERROR(IF(OR(HLOOKUP($A327,#REF!,5,FALSE)&gt;2,HLOOKUP($A327,#REF!,5,FALSE)&lt;-2),"",#REF!),"")</f>
        <v/>
      </c>
      <c r="H327" t="str">
        <f>IFERROR(IF(OR(HLOOKUP($A327,#REF!,6,FALSE)&gt;2,HLOOKUP($A327,#REF!,6,FALSE)&lt;-2),"",#REF!),"")</f>
        <v/>
      </c>
      <c r="I327" t="str">
        <f>IFERROR(IF(OR(HLOOKUP($A327,#REF!,7,FALSE)&gt;2,HLOOKUP($A327,#REF!,7,FALSE)&lt;-2),"",#REF!),"")</f>
        <v/>
      </c>
      <c r="J327" t="str">
        <f>IFERROR(IF(OR(HLOOKUP($A327,#REF!,8,FALSE)&gt;2,HLOOKUP($A327,#REF!,8,FALSE)&lt;-2),"",#REF!),"")</f>
        <v/>
      </c>
      <c r="K327" t="str">
        <f>IFERROR(IF(OR(HLOOKUP($A327,#REF!,9,FALSE)&gt;2,HLOOKUP($A327,#REF!,9,FALSE)&lt;-2),"",#REF!),"")</f>
        <v/>
      </c>
      <c r="L327" t="str">
        <f>IFERROR(IF(OR(HLOOKUP($A327,#REF!,10,FALSE)&gt;2,HLOOKUP($A327,#REF!,10,FALSE)&lt;-2),"",#REF!),"")</f>
        <v/>
      </c>
      <c r="M327" t="str">
        <f>IFERROR(IF(OR(HLOOKUP($A327,#REF!,11,FALSE)&gt;2,HLOOKUP($A327,#REF!,11,FALSE)&lt;-2),"",#REF!),"")</f>
        <v/>
      </c>
      <c r="N327" t="str">
        <f>IFERROR(IF(OR(HLOOKUP($A327,#REF!,12,FALSE)&gt;2,HLOOKUP($A327,#REF!,12,FALSE)&lt;-2),"",#REF!),"")</f>
        <v/>
      </c>
      <c r="O327" t="str">
        <f>IFERROR(IF(OR(HLOOKUP($A327,#REF!,13,FALSE)&gt;2,HLOOKUP($A327,#REF!,13,FALSE)&lt;-2),"",#REF!),"")</f>
        <v/>
      </c>
      <c r="P327" t="str">
        <f>IFERROR(IF(OR(HLOOKUP($A327,#REF!,14,FALSE)&gt;2,HLOOKUP($A327,#REF!,14,FALSE)&lt;-2),"",#REF!),"")</f>
        <v/>
      </c>
      <c r="Q327" t="str">
        <f>IFERROR(IF(OR(HLOOKUP($A327,#REF!,15,FALSE)&gt;2,HLOOKUP($A327,#REF!,15,FALSE)&lt;-2),"",#REF!),"")</f>
        <v/>
      </c>
      <c r="R327" t="str">
        <f>IFERROR(IF(OR(HLOOKUP($A327,#REF!,16,FALSE)&gt;2,HLOOKUP($A327,#REF!,16,FALSE)&lt;-2),"",#REF!),"")</f>
        <v/>
      </c>
      <c r="S327" t="str">
        <f>IFERROR(IF(OR(HLOOKUP($A327,#REF!,17,FALSE)&gt;2,HLOOKUP($A327,#REF!,17,FALSE)&lt;-2),"",#REF!),"")</f>
        <v/>
      </c>
      <c r="T327" t="str">
        <f>IFERROR(IF(OR(HLOOKUP($A327,#REF!,18,FALSE)&gt;2,HLOOKUP($A327,#REF!,18,FALSE)&lt;-2),"",#REF!),"")</f>
        <v/>
      </c>
      <c r="U327" t="str">
        <f>IFERROR(IF(OR(HLOOKUP($A327,#REF!,19,FALSE)&gt;2,HLOOKUP($A327,#REF!,19,FALSE)&lt;-2),"",#REF!),"")</f>
        <v/>
      </c>
      <c r="V327">
        <f t="shared" si="20"/>
        <v>1</v>
      </c>
      <c r="W327" t="str">
        <f t="shared" si="21"/>
        <v/>
      </c>
      <c r="X327" t="str">
        <f t="shared" si="22"/>
        <v/>
      </c>
      <c r="Y327" t="str">
        <f t="shared" si="23"/>
        <v/>
      </c>
    </row>
    <row r="328" spans="1:25" x14ac:dyDescent="0.35">
      <c r="A328">
        <v>335</v>
      </c>
      <c r="B328" t="s">
        <v>182</v>
      </c>
      <c r="C328">
        <v>28800</v>
      </c>
      <c r="D328">
        <v>922</v>
      </c>
      <c r="E328" t="str">
        <f>IFERROR(IF(OR(HLOOKUP($A328,#REF!,3,FALSE)&gt;2,HLOOKUP(A328,#REF!,3,FALSE)&lt;-2),"",#REF!),"")</f>
        <v/>
      </c>
      <c r="F328" t="str">
        <f>IFERROR(IF(OR(HLOOKUP($A328,#REF!,4,FALSE)&gt;2,HLOOKUP($A328,#REF!,4,FALSE)&lt;-2),"",#REF!),"")</f>
        <v/>
      </c>
      <c r="G328" t="str">
        <f>IFERROR(IF(OR(HLOOKUP($A328,#REF!,5,FALSE)&gt;2,HLOOKUP($A328,#REF!,5,FALSE)&lt;-2),"",#REF!),"")</f>
        <v/>
      </c>
      <c r="H328" t="str">
        <f>IFERROR(IF(OR(HLOOKUP($A328,#REF!,6,FALSE)&gt;2,HLOOKUP($A328,#REF!,6,FALSE)&lt;-2),"",#REF!),"")</f>
        <v/>
      </c>
      <c r="I328" t="str">
        <f>IFERROR(IF(OR(HLOOKUP($A328,#REF!,7,FALSE)&gt;2,HLOOKUP($A328,#REF!,7,FALSE)&lt;-2),"",#REF!),"")</f>
        <v/>
      </c>
      <c r="J328" t="str">
        <f>IFERROR(IF(OR(HLOOKUP($A328,#REF!,8,FALSE)&gt;2,HLOOKUP($A328,#REF!,8,FALSE)&lt;-2),"",#REF!),"")</f>
        <v/>
      </c>
      <c r="K328" t="str">
        <f>IFERROR(IF(OR(HLOOKUP($A328,#REF!,9,FALSE)&gt;2,HLOOKUP($A328,#REF!,9,FALSE)&lt;-2),"",#REF!),"")</f>
        <v/>
      </c>
      <c r="L328" t="str">
        <f>IFERROR(IF(OR(HLOOKUP($A328,#REF!,10,FALSE)&gt;2,HLOOKUP($A328,#REF!,10,FALSE)&lt;-2),"",#REF!),"")</f>
        <v/>
      </c>
      <c r="M328" t="str">
        <f>IFERROR(IF(OR(HLOOKUP($A328,#REF!,11,FALSE)&gt;2,HLOOKUP($A328,#REF!,11,FALSE)&lt;-2),"",#REF!),"")</f>
        <v/>
      </c>
      <c r="N328" t="str">
        <f>IFERROR(IF(OR(HLOOKUP($A328,#REF!,12,FALSE)&gt;2,HLOOKUP($A328,#REF!,12,FALSE)&lt;-2),"",#REF!),"")</f>
        <v/>
      </c>
      <c r="O328" t="str">
        <f>IFERROR(IF(OR(HLOOKUP($A328,#REF!,13,FALSE)&gt;2,HLOOKUP($A328,#REF!,13,FALSE)&lt;-2),"",#REF!),"")</f>
        <v/>
      </c>
      <c r="P328" t="str">
        <f>IFERROR(IF(OR(HLOOKUP($A328,#REF!,14,FALSE)&gt;2,HLOOKUP($A328,#REF!,14,FALSE)&lt;-2),"",#REF!),"")</f>
        <v/>
      </c>
      <c r="Q328" t="str">
        <f>IFERROR(IF(OR(HLOOKUP($A328,#REF!,15,FALSE)&gt;2,HLOOKUP($A328,#REF!,15,FALSE)&lt;-2),"",#REF!),"")</f>
        <v/>
      </c>
      <c r="R328" t="str">
        <f>IFERROR(IF(OR(HLOOKUP($A328,#REF!,16,FALSE)&gt;2,HLOOKUP($A328,#REF!,16,FALSE)&lt;-2),"",#REF!),"")</f>
        <v/>
      </c>
      <c r="S328" t="str">
        <f>IFERROR(IF(OR(HLOOKUP($A328,#REF!,17,FALSE)&gt;2,HLOOKUP($A328,#REF!,17,FALSE)&lt;-2),"",#REF!),"")</f>
        <v/>
      </c>
      <c r="T328" t="str">
        <f>IFERROR(IF(OR(HLOOKUP($A328,#REF!,18,FALSE)&gt;2,HLOOKUP($A328,#REF!,18,FALSE)&lt;-2),"",#REF!),"")</f>
        <v/>
      </c>
      <c r="U328" t="str">
        <f>IFERROR(IF(OR(HLOOKUP($A328,#REF!,19,FALSE)&gt;2,HLOOKUP($A328,#REF!,19,FALSE)&lt;-2),"",#REF!),"")</f>
        <v/>
      </c>
      <c r="V328">
        <f t="shared" si="20"/>
        <v>1</v>
      </c>
      <c r="W328" t="str">
        <f t="shared" si="21"/>
        <v/>
      </c>
      <c r="X328" t="str">
        <f t="shared" si="22"/>
        <v/>
      </c>
      <c r="Y328" t="str">
        <f t="shared" si="23"/>
        <v/>
      </c>
    </row>
    <row r="329" spans="1:25" x14ac:dyDescent="0.35">
      <c r="A329">
        <v>336</v>
      </c>
      <c r="B329" t="s">
        <v>749</v>
      </c>
      <c r="C329">
        <v>98600</v>
      </c>
      <c r="D329">
        <v>848</v>
      </c>
      <c r="E329" t="str">
        <f>IFERROR(IF(OR(HLOOKUP($A329,#REF!,3,FALSE)&gt;2,HLOOKUP(A329,#REF!,3,FALSE)&lt;-2),"",#REF!),"")</f>
        <v/>
      </c>
      <c r="F329" t="str">
        <f>IFERROR(IF(OR(HLOOKUP($A329,#REF!,4,FALSE)&gt;2,HLOOKUP($A329,#REF!,4,FALSE)&lt;-2),"",#REF!),"")</f>
        <v/>
      </c>
      <c r="G329" t="str">
        <f>IFERROR(IF(OR(HLOOKUP($A329,#REF!,5,FALSE)&gt;2,HLOOKUP($A329,#REF!,5,FALSE)&lt;-2),"",#REF!),"")</f>
        <v/>
      </c>
      <c r="H329" t="str">
        <f>IFERROR(IF(OR(HLOOKUP($A329,#REF!,6,FALSE)&gt;2,HLOOKUP($A329,#REF!,6,FALSE)&lt;-2),"",#REF!),"")</f>
        <v/>
      </c>
      <c r="I329" t="str">
        <f>IFERROR(IF(OR(HLOOKUP($A329,#REF!,7,FALSE)&gt;2,HLOOKUP($A329,#REF!,7,FALSE)&lt;-2),"",#REF!),"")</f>
        <v/>
      </c>
      <c r="J329" t="str">
        <f>IFERROR(IF(OR(HLOOKUP($A329,#REF!,8,FALSE)&gt;2,HLOOKUP($A329,#REF!,8,FALSE)&lt;-2),"",#REF!),"")</f>
        <v/>
      </c>
      <c r="K329" t="str">
        <f>IFERROR(IF(OR(HLOOKUP($A329,#REF!,9,FALSE)&gt;2,HLOOKUP($A329,#REF!,9,FALSE)&lt;-2),"",#REF!),"")</f>
        <v/>
      </c>
      <c r="L329" t="str">
        <f>IFERROR(IF(OR(HLOOKUP($A329,#REF!,10,FALSE)&gt;2,HLOOKUP($A329,#REF!,10,FALSE)&lt;-2),"",#REF!),"")</f>
        <v/>
      </c>
      <c r="M329" t="str">
        <f>IFERROR(IF(OR(HLOOKUP($A329,#REF!,11,FALSE)&gt;2,HLOOKUP($A329,#REF!,11,FALSE)&lt;-2),"",#REF!),"")</f>
        <v/>
      </c>
      <c r="N329" t="str">
        <f>IFERROR(IF(OR(HLOOKUP($A329,#REF!,12,FALSE)&gt;2,HLOOKUP($A329,#REF!,12,FALSE)&lt;-2),"",#REF!),"")</f>
        <v/>
      </c>
      <c r="O329" t="str">
        <f>IFERROR(IF(OR(HLOOKUP($A329,#REF!,13,FALSE)&gt;2,HLOOKUP($A329,#REF!,13,FALSE)&lt;-2),"",#REF!),"")</f>
        <v/>
      </c>
      <c r="P329" t="str">
        <f>IFERROR(IF(OR(HLOOKUP($A329,#REF!,14,FALSE)&gt;2,HLOOKUP($A329,#REF!,14,FALSE)&lt;-2),"",#REF!),"")</f>
        <v/>
      </c>
      <c r="Q329" t="str">
        <f>IFERROR(IF(OR(HLOOKUP($A329,#REF!,15,FALSE)&gt;2,HLOOKUP($A329,#REF!,15,FALSE)&lt;-2),"",#REF!),"")</f>
        <v/>
      </c>
      <c r="R329" t="str">
        <f>IFERROR(IF(OR(HLOOKUP($A329,#REF!,16,FALSE)&gt;2,HLOOKUP($A329,#REF!,16,FALSE)&lt;-2),"",#REF!),"")</f>
        <v/>
      </c>
      <c r="S329" t="str">
        <f>IFERROR(IF(OR(HLOOKUP($A329,#REF!,17,FALSE)&gt;2,HLOOKUP($A329,#REF!,17,FALSE)&lt;-2),"",#REF!),"")</f>
        <v/>
      </c>
      <c r="T329" t="str">
        <f>IFERROR(IF(OR(HLOOKUP($A329,#REF!,18,FALSE)&gt;2,HLOOKUP($A329,#REF!,18,FALSE)&lt;-2),"",#REF!),"")</f>
        <v/>
      </c>
      <c r="U329" t="str">
        <f>IFERROR(IF(OR(HLOOKUP($A329,#REF!,19,FALSE)&gt;2,HLOOKUP($A329,#REF!,19,FALSE)&lt;-2),"",#REF!),"")</f>
        <v/>
      </c>
      <c r="V329">
        <f t="shared" si="20"/>
        <v>1</v>
      </c>
      <c r="W329" t="str">
        <f t="shared" si="21"/>
        <v/>
      </c>
      <c r="X329" t="str">
        <f t="shared" si="22"/>
        <v/>
      </c>
      <c r="Y329" t="str">
        <f t="shared" si="23"/>
        <v/>
      </c>
    </row>
    <row r="330" spans="1:25" x14ac:dyDescent="0.35">
      <c r="A330">
        <v>337</v>
      </c>
      <c r="B330" t="s">
        <v>750</v>
      </c>
      <c r="C330">
        <v>4900</v>
      </c>
      <c r="D330">
        <v>322</v>
      </c>
      <c r="E330" t="str">
        <f>IFERROR(IF(OR(HLOOKUP($A330,#REF!,3,FALSE)&gt;2,HLOOKUP(A330,#REF!,3,FALSE)&lt;-2),"",#REF!),"")</f>
        <v/>
      </c>
      <c r="F330" t="str">
        <f>IFERROR(IF(OR(HLOOKUP($A330,#REF!,4,FALSE)&gt;2,HLOOKUP($A330,#REF!,4,FALSE)&lt;-2),"",#REF!),"")</f>
        <v/>
      </c>
      <c r="G330" t="str">
        <f>IFERROR(IF(OR(HLOOKUP($A330,#REF!,5,FALSE)&gt;2,HLOOKUP($A330,#REF!,5,FALSE)&lt;-2),"",#REF!),"")</f>
        <v/>
      </c>
      <c r="H330" t="str">
        <f>IFERROR(IF(OR(HLOOKUP($A330,#REF!,6,FALSE)&gt;2,HLOOKUP($A330,#REF!,6,FALSE)&lt;-2),"",#REF!),"")</f>
        <v/>
      </c>
      <c r="I330" t="str">
        <f>IFERROR(IF(OR(HLOOKUP($A330,#REF!,7,FALSE)&gt;2,HLOOKUP($A330,#REF!,7,FALSE)&lt;-2),"",#REF!),"")</f>
        <v/>
      </c>
      <c r="J330" t="str">
        <f>IFERROR(IF(OR(HLOOKUP($A330,#REF!,8,FALSE)&gt;2,HLOOKUP($A330,#REF!,8,FALSE)&lt;-2),"",#REF!),"")</f>
        <v/>
      </c>
      <c r="K330" t="str">
        <f>IFERROR(IF(OR(HLOOKUP($A330,#REF!,9,FALSE)&gt;2,HLOOKUP($A330,#REF!,9,FALSE)&lt;-2),"",#REF!),"")</f>
        <v/>
      </c>
      <c r="L330" t="str">
        <f>IFERROR(IF(OR(HLOOKUP($A330,#REF!,10,FALSE)&gt;2,HLOOKUP($A330,#REF!,10,FALSE)&lt;-2),"",#REF!),"")</f>
        <v/>
      </c>
      <c r="M330" t="str">
        <f>IFERROR(IF(OR(HLOOKUP($A330,#REF!,11,FALSE)&gt;2,HLOOKUP($A330,#REF!,11,FALSE)&lt;-2),"",#REF!),"")</f>
        <v/>
      </c>
      <c r="N330" t="str">
        <f>IFERROR(IF(OR(HLOOKUP($A330,#REF!,12,FALSE)&gt;2,HLOOKUP($A330,#REF!,12,FALSE)&lt;-2),"",#REF!),"")</f>
        <v/>
      </c>
      <c r="O330" t="str">
        <f>IFERROR(IF(OR(HLOOKUP($A330,#REF!,13,FALSE)&gt;2,HLOOKUP($A330,#REF!,13,FALSE)&lt;-2),"",#REF!),"")</f>
        <v/>
      </c>
      <c r="P330" t="str">
        <f>IFERROR(IF(OR(HLOOKUP($A330,#REF!,14,FALSE)&gt;2,HLOOKUP($A330,#REF!,14,FALSE)&lt;-2),"",#REF!),"")</f>
        <v/>
      </c>
      <c r="Q330" t="str">
        <f>IFERROR(IF(OR(HLOOKUP($A330,#REF!,15,FALSE)&gt;2,HLOOKUP($A330,#REF!,15,FALSE)&lt;-2),"",#REF!),"")</f>
        <v/>
      </c>
      <c r="R330" t="str">
        <f>IFERROR(IF(OR(HLOOKUP($A330,#REF!,16,FALSE)&gt;2,HLOOKUP($A330,#REF!,16,FALSE)&lt;-2),"",#REF!),"")</f>
        <v/>
      </c>
      <c r="S330" t="str">
        <f>IFERROR(IF(OR(HLOOKUP($A330,#REF!,17,FALSE)&gt;2,HLOOKUP($A330,#REF!,17,FALSE)&lt;-2),"",#REF!),"")</f>
        <v/>
      </c>
      <c r="T330" t="str">
        <f>IFERROR(IF(OR(HLOOKUP($A330,#REF!,18,FALSE)&gt;2,HLOOKUP($A330,#REF!,18,FALSE)&lt;-2),"",#REF!),"")</f>
        <v/>
      </c>
      <c r="U330" t="str">
        <f>IFERROR(IF(OR(HLOOKUP($A330,#REF!,19,FALSE)&gt;2,HLOOKUP($A330,#REF!,19,FALSE)&lt;-2),"",#REF!),"")</f>
        <v/>
      </c>
      <c r="V330">
        <f t="shared" si="20"/>
        <v>1</v>
      </c>
      <c r="W330" t="str">
        <f t="shared" si="21"/>
        <v/>
      </c>
      <c r="X330" t="str">
        <f t="shared" si="22"/>
        <v/>
      </c>
      <c r="Y330" t="str">
        <f t="shared" si="23"/>
        <v/>
      </c>
    </row>
    <row r="331" spans="1:25" x14ac:dyDescent="0.35">
      <c r="A331">
        <v>338</v>
      </c>
      <c r="B331" t="s">
        <v>751</v>
      </c>
      <c r="C331">
        <v>73800</v>
      </c>
      <c r="D331">
        <v>141</v>
      </c>
      <c r="E331" t="str">
        <f>IFERROR(IF(OR(HLOOKUP($A331,#REF!,3,FALSE)&gt;2,HLOOKUP(A331,#REF!,3,FALSE)&lt;-2),"",#REF!),"")</f>
        <v/>
      </c>
      <c r="F331" t="str">
        <f>IFERROR(IF(OR(HLOOKUP($A331,#REF!,4,FALSE)&gt;2,HLOOKUP($A331,#REF!,4,FALSE)&lt;-2),"",#REF!),"")</f>
        <v/>
      </c>
      <c r="G331" t="str">
        <f>IFERROR(IF(OR(HLOOKUP($A331,#REF!,5,FALSE)&gt;2,HLOOKUP($A331,#REF!,5,FALSE)&lt;-2),"",#REF!),"")</f>
        <v/>
      </c>
      <c r="H331" t="str">
        <f>IFERROR(IF(OR(HLOOKUP($A331,#REF!,6,FALSE)&gt;2,HLOOKUP($A331,#REF!,6,FALSE)&lt;-2),"",#REF!),"")</f>
        <v/>
      </c>
      <c r="I331" t="str">
        <f>IFERROR(IF(OR(HLOOKUP($A331,#REF!,7,FALSE)&gt;2,HLOOKUP($A331,#REF!,7,FALSE)&lt;-2),"",#REF!),"")</f>
        <v/>
      </c>
      <c r="J331" t="str">
        <f>IFERROR(IF(OR(HLOOKUP($A331,#REF!,8,FALSE)&gt;2,HLOOKUP($A331,#REF!,8,FALSE)&lt;-2),"",#REF!),"")</f>
        <v/>
      </c>
      <c r="K331" t="str">
        <f>IFERROR(IF(OR(HLOOKUP($A331,#REF!,9,FALSE)&gt;2,HLOOKUP($A331,#REF!,9,FALSE)&lt;-2),"",#REF!),"")</f>
        <v/>
      </c>
      <c r="L331" t="str">
        <f>IFERROR(IF(OR(HLOOKUP($A331,#REF!,10,FALSE)&gt;2,HLOOKUP($A331,#REF!,10,FALSE)&lt;-2),"",#REF!),"")</f>
        <v/>
      </c>
      <c r="M331" t="str">
        <f>IFERROR(IF(OR(HLOOKUP($A331,#REF!,11,FALSE)&gt;2,HLOOKUP($A331,#REF!,11,FALSE)&lt;-2),"",#REF!),"")</f>
        <v/>
      </c>
      <c r="N331" t="str">
        <f>IFERROR(IF(OR(HLOOKUP($A331,#REF!,12,FALSE)&gt;2,HLOOKUP($A331,#REF!,12,FALSE)&lt;-2),"",#REF!),"")</f>
        <v/>
      </c>
      <c r="O331" t="str">
        <f>IFERROR(IF(OR(HLOOKUP($A331,#REF!,13,FALSE)&gt;2,HLOOKUP($A331,#REF!,13,FALSE)&lt;-2),"",#REF!),"")</f>
        <v/>
      </c>
      <c r="P331" t="str">
        <f>IFERROR(IF(OR(HLOOKUP($A331,#REF!,14,FALSE)&gt;2,HLOOKUP($A331,#REF!,14,FALSE)&lt;-2),"",#REF!),"")</f>
        <v/>
      </c>
      <c r="Q331" t="str">
        <f>IFERROR(IF(OR(HLOOKUP($A331,#REF!,15,FALSE)&gt;2,HLOOKUP($A331,#REF!,15,FALSE)&lt;-2),"",#REF!),"")</f>
        <v/>
      </c>
      <c r="R331" t="str">
        <f>IFERROR(IF(OR(HLOOKUP($A331,#REF!,16,FALSE)&gt;2,HLOOKUP($A331,#REF!,16,FALSE)&lt;-2),"",#REF!),"")</f>
        <v/>
      </c>
      <c r="S331" t="str">
        <f>IFERROR(IF(OR(HLOOKUP($A331,#REF!,17,FALSE)&gt;2,HLOOKUP($A331,#REF!,17,FALSE)&lt;-2),"",#REF!),"")</f>
        <v/>
      </c>
      <c r="T331" t="str">
        <f>IFERROR(IF(OR(HLOOKUP($A331,#REF!,18,FALSE)&gt;2,HLOOKUP($A331,#REF!,18,FALSE)&lt;-2),"",#REF!),"")</f>
        <v/>
      </c>
      <c r="U331" t="str">
        <f>IFERROR(IF(OR(HLOOKUP($A331,#REF!,19,FALSE)&gt;2,HLOOKUP($A331,#REF!,19,FALSE)&lt;-2),"",#REF!),"")</f>
        <v/>
      </c>
      <c r="V331">
        <f t="shared" si="20"/>
        <v>1</v>
      </c>
      <c r="W331" t="str">
        <f t="shared" si="21"/>
        <v/>
      </c>
      <c r="X331" t="str">
        <f t="shared" si="22"/>
        <v/>
      </c>
      <c r="Y331" t="str">
        <f t="shared" si="23"/>
        <v/>
      </c>
    </row>
    <row r="332" spans="1:25" x14ac:dyDescent="0.35">
      <c r="A332">
        <v>339</v>
      </c>
      <c r="B332" t="s">
        <v>752</v>
      </c>
      <c r="C332">
        <v>78600</v>
      </c>
      <c r="D332">
        <v>313</v>
      </c>
      <c r="E332" t="str">
        <f>IFERROR(IF(OR(HLOOKUP($A332,#REF!,3,FALSE)&gt;2,HLOOKUP(A332,#REF!,3,FALSE)&lt;-2),"",#REF!),"")</f>
        <v/>
      </c>
      <c r="F332" t="str">
        <f>IFERROR(IF(OR(HLOOKUP($A332,#REF!,4,FALSE)&gt;2,HLOOKUP($A332,#REF!,4,FALSE)&lt;-2),"",#REF!),"")</f>
        <v/>
      </c>
      <c r="G332" t="str">
        <f>IFERROR(IF(OR(HLOOKUP($A332,#REF!,5,FALSE)&gt;2,HLOOKUP($A332,#REF!,5,FALSE)&lt;-2),"",#REF!),"")</f>
        <v/>
      </c>
      <c r="H332" t="str">
        <f>IFERROR(IF(OR(HLOOKUP($A332,#REF!,6,FALSE)&gt;2,HLOOKUP($A332,#REF!,6,FALSE)&lt;-2),"",#REF!),"")</f>
        <v/>
      </c>
      <c r="I332" t="str">
        <f>IFERROR(IF(OR(HLOOKUP($A332,#REF!,7,FALSE)&gt;2,HLOOKUP($A332,#REF!,7,FALSE)&lt;-2),"",#REF!),"")</f>
        <v/>
      </c>
      <c r="J332" t="str">
        <f>IFERROR(IF(OR(HLOOKUP($A332,#REF!,8,FALSE)&gt;2,HLOOKUP($A332,#REF!,8,FALSE)&lt;-2),"",#REF!),"")</f>
        <v/>
      </c>
      <c r="K332" t="str">
        <f>IFERROR(IF(OR(HLOOKUP($A332,#REF!,9,FALSE)&gt;2,HLOOKUP($A332,#REF!,9,FALSE)&lt;-2),"",#REF!),"")</f>
        <v/>
      </c>
      <c r="L332" t="str">
        <f>IFERROR(IF(OR(HLOOKUP($A332,#REF!,10,FALSE)&gt;2,HLOOKUP($A332,#REF!,10,FALSE)&lt;-2),"",#REF!),"")</f>
        <v/>
      </c>
      <c r="M332" t="str">
        <f>IFERROR(IF(OR(HLOOKUP($A332,#REF!,11,FALSE)&gt;2,HLOOKUP($A332,#REF!,11,FALSE)&lt;-2),"",#REF!),"")</f>
        <v/>
      </c>
      <c r="N332" t="str">
        <f>IFERROR(IF(OR(HLOOKUP($A332,#REF!,12,FALSE)&gt;2,HLOOKUP($A332,#REF!,12,FALSE)&lt;-2),"",#REF!),"")</f>
        <v/>
      </c>
      <c r="O332" t="str">
        <f>IFERROR(IF(OR(HLOOKUP($A332,#REF!,13,FALSE)&gt;2,HLOOKUP($A332,#REF!,13,FALSE)&lt;-2),"",#REF!),"")</f>
        <v/>
      </c>
      <c r="P332" t="str">
        <f>IFERROR(IF(OR(HLOOKUP($A332,#REF!,14,FALSE)&gt;2,HLOOKUP($A332,#REF!,14,FALSE)&lt;-2),"",#REF!),"")</f>
        <v/>
      </c>
      <c r="Q332" t="str">
        <f>IFERROR(IF(OR(HLOOKUP($A332,#REF!,15,FALSE)&gt;2,HLOOKUP($A332,#REF!,15,FALSE)&lt;-2),"",#REF!),"")</f>
        <v/>
      </c>
      <c r="R332" t="str">
        <f>IFERROR(IF(OR(HLOOKUP($A332,#REF!,16,FALSE)&gt;2,HLOOKUP($A332,#REF!,16,FALSE)&lt;-2),"",#REF!),"")</f>
        <v/>
      </c>
      <c r="S332" t="str">
        <f>IFERROR(IF(OR(HLOOKUP($A332,#REF!,17,FALSE)&gt;2,HLOOKUP($A332,#REF!,17,FALSE)&lt;-2),"",#REF!),"")</f>
        <v/>
      </c>
      <c r="T332" t="str">
        <f>IFERROR(IF(OR(HLOOKUP($A332,#REF!,18,FALSE)&gt;2,HLOOKUP($A332,#REF!,18,FALSE)&lt;-2),"",#REF!),"")</f>
        <v/>
      </c>
      <c r="U332" t="str">
        <f>IFERROR(IF(OR(HLOOKUP($A332,#REF!,19,FALSE)&gt;2,HLOOKUP($A332,#REF!,19,FALSE)&lt;-2),"",#REF!),"")</f>
        <v/>
      </c>
      <c r="V332">
        <f t="shared" si="20"/>
        <v>1</v>
      </c>
      <c r="W332" t="str">
        <f t="shared" si="21"/>
        <v/>
      </c>
      <c r="X332" t="str">
        <f t="shared" si="22"/>
        <v/>
      </c>
      <c r="Y332" t="str">
        <f t="shared" si="23"/>
        <v/>
      </c>
    </row>
    <row r="333" spans="1:25" x14ac:dyDescent="0.35">
      <c r="A333">
        <v>340</v>
      </c>
      <c r="B333" t="s">
        <v>753</v>
      </c>
      <c r="C333">
        <v>27900</v>
      </c>
      <c r="D333">
        <v>22</v>
      </c>
      <c r="E333" t="str">
        <f>IFERROR(IF(OR(HLOOKUP($A333,#REF!,3,FALSE)&gt;2,HLOOKUP(A333,#REF!,3,FALSE)&lt;-2),"",#REF!),"")</f>
        <v/>
      </c>
      <c r="F333" t="str">
        <f>IFERROR(IF(OR(HLOOKUP($A333,#REF!,4,FALSE)&gt;2,HLOOKUP($A333,#REF!,4,FALSE)&lt;-2),"",#REF!),"")</f>
        <v/>
      </c>
      <c r="G333" t="str">
        <f>IFERROR(IF(OR(HLOOKUP($A333,#REF!,5,FALSE)&gt;2,HLOOKUP($A333,#REF!,5,FALSE)&lt;-2),"",#REF!),"")</f>
        <v/>
      </c>
      <c r="H333" t="str">
        <f>IFERROR(IF(OR(HLOOKUP($A333,#REF!,6,FALSE)&gt;2,HLOOKUP($A333,#REF!,6,FALSE)&lt;-2),"",#REF!),"")</f>
        <v/>
      </c>
      <c r="I333" t="str">
        <f>IFERROR(IF(OR(HLOOKUP($A333,#REF!,7,FALSE)&gt;2,HLOOKUP($A333,#REF!,7,FALSE)&lt;-2),"",#REF!),"")</f>
        <v/>
      </c>
      <c r="J333" t="str">
        <f>IFERROR(IF(OR(HLOOKUP($A333,#REF!,8,FALSE)&gt;2,HLOOKUP($A333,#REF!,8,FALSE)&lt;-2),"",#REF!),"")</f>
        <v/>
      </c>
      <c r="K333" t="str">
        <f>IFERROR(IF(OR(HLOOKUP($A333,#REF!,9,FALSE)&gt;2,HLOOKUP($A333,#REF!,9,FALSE)&lt;-2),"",#REF!),"")</f>
        <v/>
      </c>
      <c r="L333" t="str">
        <f>IFERROR(IF(OR(HLOOKUP($A333,#REF!,10,FALSE)&gt;2,HLOOKUP($A333,#REF!,10,FALSE)&lt;-2),"",#REF!),"")</f>
        <v/>
      </c>
      <c r="M333" t="str">
        <f>IFERROR(IF(OR(HLOOKUP($A333,#REF!,11,FALSE)&gt;2,HLOOKUP($A333,#REF!,11,FALSE)&lt;-2),"",#REF!),"")</f>
        <v/>
      </c>
      <c r="N333" t="str">
        <f>IFERROR(IF(OR(HLOOKUP($A333,#REF!,12,FALSE)&gt;2,HLOOKUP($A333,#REF!,12,FALSE)&lt;-2),"",#REF!),"")</f>
        <v/>
      </c>
      <c r="O333" t="str">
        <f>IFERROR(IF(OR(HLOOKUP($A333,#REF!,13,FALSE)&gt;2,HLOOKUP($A333,#REF!,13,FALSE)&lt;-2),"",#REF!),"")</f>
        <v/>
      </c>
      <c r="P333" t="str">
        <f>IFERROR(IF(OR(HLOOKUP($A333,#REF!,14,FALSE)&gt;2,HLOOKUP($A333,#REF!,14,FALSE)&lt;-2),"",#REF!),"")</f>
        <v/>
      </c>
      <c r="Q333" t="str">
        <f>IFERROR(IF(OR(HLOOKUP($A333,#REF!,15,FALSE)&gt;2,HLOOKUP($A333,#REF!,15,FALSE)&lt;-2),"",#REF!),"")</f>
        <v/>
      </c>
      <c r="R333" t="str">
        <f>IFERROR(IF(OR(HLOOKUP($A333,#REF!,16,FALSE)&gt;2,HLOOKUP($A333,#REF!,16,FALSE)&lt;-2),"",#REF!),"")</f>
        <v/>
      </c>
      <c r="S333" t="str">
        <f>IFERROR(IF(OR(HLOOKUP($A333,#REF!,17,FALSE)&gt;2,HLOOKUP($A333,#REF!,17,FALSE)&lt;-2),"",#REF!),"")</f>
        <v/>
      </c>
      <c r="T333" t="str">
        <f>IFERROR(IF(OR(HLOOKUP($A333,#REF!,18,FALSE)&gt;2,HLOOKUP($A333,#REF!,18,FALSE)&lt;-2),"",#REF!),"")</f>
        <v/>
      </c>
      <c r="U333" t="str">
        <f>IFERROR(IF(OR(HLOOKUP($A333,#REF!,19,FALSE)&gt;2,HLOOKUP($A333,#REF!,19,FALSE)&lt;-2),"",#REF!),"")</f>
        <v/>
      </c>
      <c r="V333">
        <f t="shared" si="20"/>
        <v>1</v>
      </c>
      <c r="W333" t="str">
        <f t="shared" si="21"/>
        <v/>
      </c>
      <c r="X333" t="str">
        <f t="shared" si="22"/>
        <v/>
      </c>
      <c r="Y333" t="str">
        <f t="shared" si="23"/>
        <v/>
      </c>
    </row>
    <row r="334" spans="1:25" x14ac:dyDescent="0.35">
      <c r="A334">
        <v>341</v>
      </c>
      <c r="B334" t="s">
        <v>183</v>
      </c>
      <c r="C334">
        <v>113600</v>
      </c>
      <c r="D334">
        <v>824</v>
      </c>
      <c r="E334" t="str">
        <f>IFERROR(IF(OR(HLOOKUP($A334,#REF!,3,FALSE)&gt;2,HLOOKUP(A334,#REF!,3,FALSE)&lt;-2),"",#REF!),"")</f>
        <v/>
      </c>
      <c r="F334" t="str">
        <f>IFERROR(IF(OR(HLOOKUP($A334,#REF!,4,FALSE)&gt;2,HLOOKUP($A334,#REF!,4,FALSE)&lt;-2),"",#REF!),"")</f>
        <v/>
      </c>
      <c r="G334" t="str">
        <f>IFERROR(IF(OR(HLOOKUP($A334,#REF!,5,FALSE)&gt;2,HLOOKUP($A334,#REF!,5,FALSE)&lt;-2),"",#REF!),"")</f>
        <v/>
      </c>
      <c r="H334" t="str">
        <f>IFERROR(IF(OR(HLOOKUP($A334,#REF!,6,FALSE)&gt;2,HLOOKUP($A334,#REF!,6,FALSE)&lt;-2),"",#REF!),"")</f>
        <v/>
      </c>
      <c r="I334" t="str">
        <f>IFERROR(IF(OR(HLOOKUP($A334,#REF!,7,FALSE)&gt;2,HLOOKUP($A334,#REF!,7,FALSE)&lt;-2),"",#REF!),"")</f>
        <v/>
      </c>
      <c r="J334" t="str">
        <f>IFERROR(IF(OR(HLOOKUP($A334,#REF!,8,FALSE)&gt;2,HLOOKUP($A334,#REF!,8,FALSE)&lt;-2),"",#REF!),"")</f>
        <v/>
      </c>
      <c r="K334" t="str">
        <f>IFERROR(IF(OR(HLOOKUP($A334,#REF!,9,FALSE)&gt;2,HLOOKUP($A334,#REF!,9,FALSE)&lt;-2),"",#REF!),"")</f>
        <v/>
      </c>
      <c r="L334" t="str">
        <f>IFERROR(IF(OR(HLOOKUP($A334,#REF!,10,FALSE)&gt;2,HLOOKUP($A334,#REF!,10,FALSE)&lt;-2),"",#REF!),"")</f>
        <v/>
      </c>
      <c r="M334" t="str">
        <f>IFERROR(IF(OR(HLOOKUP($A334,#REF!,11,FALSE)&gt;2,HLOOKUP($A334,#REF!,11,FALSE)&lt;-2),"",#REF!),"")</f>
        <v/>
      </c>
      <c r="N334" t="str">
        <f>IFERROR(IF(OR(HLOOKUP($A334,#REF!,12,FALSE)&gt;2,HLOOKUP($A334,#REF!,12,FALSE)&lt;-2),"",#REF!),"")</f>
        <v/>
      </c>
      <c r="O334" t="str">
        <f>IFERROR(IF(OR(HLOOKUP($A334,#REF!,13,FALSE)&gt;2,HLOOKUP($A334,#REF!,13,FALSE)&lt;-2),"",#REF!),"")</f>
        <v/>
      </c>
      <c r="P334" t="str">
        <f>IFERROR(IF(OR(HLOOKUP($A334,#REF!,14,FALSE)&gt;2,HLOOKUP($A334,#REF!,14,FALSE)&lt;-2),"",#REF!),"")</f>
        <v/>
      </c>
      <c r="Q334" t="str">
        <f>IFERROR(IF(OR(HLOOKUP($A334,#REF!,15,FALSE)&gt;2,HLOOKUP($A334,#REF!,15,FALSE)&lt;-2),"",#REF!),"")</f>
        <v/>
      </c>
      <c r="R334" t="str">
        <f>IFERROR(IF(OR(HLOOKUP($A334,#REF!,16,FALSE)&gt;2,HLOOKUP($A334,#REF!,16,FALSE)&lt;-2),"",#REF!),"")</f>
        <v/>
      </c>
      <c r="S334" t="str">
        <f>IFERROR(IF(OR(HLOOKUP($A334,#REF!,17,FALSE)&gt;2,HLOOKUP($A334,#REF!,17,FALSE)&lt;-2),"",#REF!),"")</f>
        <v/>
      </c>
      <c r="T334" t="str">
        <f>IFERROR(IF(OR(HLOOKUP($A334,#REF!,18,FALSE)&gt;2,HLOOKUP($A334,#REF!,18,FALSE)&lt;-2),"",#REF!),"")</f>
        <v/>
      </c>
      <c r="U334" t="str">
        <f>IFERROR(IF(OR(HLOOKUP($A334,#REF!,19,FALSE)&gt;2,HLOOKUP($A334,#REF!,19,FALSE)&lt;-2),"",#REF!),"")</f>
        <v/>
      </c>
      <c r="V334">
        <f t="shared" si="20"/>
        <v>1</v>
      </c>
      <c r="W334" t="str">
        <f t="shared" si="21"/>
        <v/>
      </c>
      <c r="X334" t="str">
        <f t="shared" si="22"/>
        <v/>
      </c>
      <c r="Y334" t="str">
        <f t="shared" si="23"/>
        <v/>
      </c>
    </row>
    <row r="335" spans="1:25" x14ac:dyDescent="0.35">
      <c r="A335">
        <v>342</v>
      </c>
      <c r="B335" t="s">
        <v>184</v>
      </c>
      <c r="C335">
        <v>52100</v>
      </c>
      <c r="D335">
        <v>835</v>
      </c>
      <c r="E335" t="str">
        <f>IFERROR(IF(OR(HLOOKUP($A335,#REF!,3,FALSE)&gt;2,HLOOKUP(A335,#REF!,3,FALSE)&lt;-2),"",#REF!),"")</f>
        <v/>
      </c>
      <c r="F335" t="str">
        <f>IFERROR(IF(OR(HLOOKUP($A335,#REF!,4,FALSE)&gt;2,HLOOKUP($A335,#REF!,4,FALSE)&lt;-2),"",#REF!),"")</f>
        <v/>
      </c>
      <c r="G335" t="str">
        <f>IFERROR(IF(OR(HLOOKUP($A335,#REF!,5,FALSE)&gt;2,HLOOKUP($A335,#REF!,5,FALSE)&lt;-2),"",#REF!),"")</f>
        <v/>
      </c>
      <c r="H335" t="str">
        <f>IFERROR(IF(OR(HLOOKUP($A335,#REF!,6,FALSE)&gt;2,HLOOKUP($A335,#REF!,6,FALSE)&lt;-2),"",#REF!),"")</f>
        <v/>
      </c>
      <c r="I335" t="str">
        <f>IFERROR(IF(OR(HLOOKUP($A335,#REF!,7,FALSE)&gt;2,HLOOKUP($A335,#REF!,7,FALSE)&lt;-2),"",#REF!),"")</f>
        <v/>
      </c>
      <c r="J335" t="str">
        <f>IFERROR(IF(OR(HLOOKUP($A335,#REF!,8,FALSE)&gt;2,HLOOKUP($A335,#REF!,8,FALSE)&lt;-2),"",#REF!),"")</f>
        <v/>
      </c>
      <c r="K335" t="str">
        <f>IFERROR(IF(OR(HLOOKUP($A335,#REF!,9,FALSE)&gt;2,HLOOKUP($A335,#REF!,9,FALSE)&lt;-2),"",#REF!),"")</f>
        <v/>
      </c>
      <c r="L335" t="str">
        <f>IFERROR(IF(OR(HLOOKUP($A335,#REF!,10,FALSE)&gt;2,HLOOKUP($A335,#REF!,10,FALSE)&lt;-2),"",#REF!),"")</f>
        <v/>
      </c>
      <c r="M335" t="str">
        <f>IFERROR(IF(OR(HLOOKUP($A335,#REF!,11,FALSE)&gt;2,HLOOKUP($A335,#REF!,11,FALSE)&lt;-2),"",#REF!),"")</f>
        <v/>
      </c>
      <c r="N335" t="str">
        <f>IFERROR(IF(OR(HLOOKUP($A335,#REF!,12,FALSE)&gt;2,HLOOKUP($A335,#REF!,12,FALSE)&lt;-2),"",#REF!),"")</f>
        <v/>
      </c>
      <c r="O335" t="str">
        <f>IFERROR(IF(OR(HLOOKUP($A335,#REF!,13,FALSE)&gt;2,HLOOKUP($A335,#REF!,13,FALSE)&lt;-2),"",#REF!),"")</f>
        <v/>
      </c>
      <c r="P335" t="str">
        <f>IFERROR(IF(OR(HLOOKUP($A335,#REF!,14,FALSE)&gt;2,HLOOKUP($A335,#REF!,14,FALSE)&lt;-2),"",#REF!),"")</f>
        <v/>
      </c>
      <c r="Q335" t="str">
        <f>IFERROR(IF(OR(HLOOKUP($A335,#REF!,15,FALSE)&gt;2,HLOOKUP($A335,#REF!,15,FALSE)&lt;-2),"",#REF!),"")</f>
        <v/>
      </c>
      <c r="R335" t="str">
        <f>IFERROR(IF(OR(HLOOKUP($A335,#REF!,16,FALSE)&gt;2,HLOOKUP($A335,#REF!,16,FALSE)&lt;-2),"",#REF!),"")</f>
        <v/>
      </c>
      <c r="S335" t="str">
        <f>IFERROR(IF(OR(HLOOKUP($A335,#REF!,17,FALSE)&gt;2,HLOOKUP($A335,#REF!,17,FALSE)&lt;-2),"",#REF!),"")</f>
        <v/>
      </c>
      <c r="T335" t="str">
        <f>IFERROR(IF(OR(HLOOKUP($A335,#REF!,18,FALSE)&gt;2,HLOOKUP($A335,#REF!,18,FALSE)&lt;-2),"",#REF!),"")</f>
        <v/>
      </c>
      <c r="U335" t="str">
        <f>IFERROR(IF(OR(HLOOKUP($A335,#REF!,19,FALSE)&gt;2,HLOOKUP($A335,#REF!,19,FALSE)&lt;-2),"",#REF!),"")</f>
        <v/>
      </c>
      <c r="V335">
        <f t="shared" si="20"/>
        <v>1</v>
      </c>
      <c r="W335" t="str">
        <f t="shared" si="21"/>
        <v/>
      </c>
      <c r="X335" t="str">
        <f t="shared" si="22"/>
        <v/>
      </c>
      <c r="Y335" t="str">
        <f t="shared" si="23"/>
        <v/>
      </c>
    </row>
    <row r="336" spans="1:25" x14ac:dyDescent="0.35">
      <c r="A336">
        <v>343</v>
      </c>
      <c r="B336" t="s">
        <v>754</v>
      </c>
      <c r="C336">
        <v>63300</v>
      </c>
      <c r="D336">
        <v>8</v>
      </c>
      <c r="E336" t="str">
        <f>IFERROR(IF(OR(HLOOKUP($A336,#REF!,3,FALSE)&gt;2,HLOOKUP(A336,#REF!,3,FALSE)&lt;-2),"",#REF!),"")</f>
        <v/>
      </c>
      <c r="F336" t="str">
        <f>IFERROR(IF(OR(HLOOKUP($A336,#REF!,4,FALSE)&gt;2,HLOOKUP($A336,#REF!,4,FALSE)&lt;-2),"",#REF!),"")</f>
        <v/>
      </c>
      <c r="G336" t="str">
        <f>IFERROR(IF(OR(HLOOKUP($A336,#REF!,5,FALSE)&gt;2,HLOOKUP($A336,#REF!,5,FALSE)&lt;-2),"",#REF!),"")</f>
        <v/>
      </c>
      <c r="H336" t="str">
        <f>IFERROR(IF(OR(HLOOKUP($A336,#REF!,6,FALSE)&gt;2,HLOOKUP($A336,#REF!,6,FALSE)&lt;-2),"",#REF!),"")</f>
        <v/>
      </c>
      <c r="I336" t="str">
        <f>IFERROR(IF(OR(HLOOKUP($A336,#REF!,7,FALSE)&gt;2,HLOOKUP($A336,#REF!,7,FALSE)&lt;-2),"",#REF!),"")</f>
        <v/>
      </c>
      <c r="J336" t="str">
        <f>IFERROR(IF(OR(HLOOKUP($A336,#REF!,8,FALSE)&gt;2,HLOOKUP($A336,#REF!,8,FALSE)&lt;-2),"",#REF!),"")</f>
        <v/>
      </c>
      <c r="K336" t="str">
        <f>IFERROR(IF(OR(HLOOKUP($A336,#REF!,9,FALSE)&gt;2,HLOOKUP($A336,#REF!,9,FALSE)&lt;-2),"",#REF!),"")</f>
        <v/>
      </c>
      <c r="L336" t="str">
        <f>IFERROR(IF(OR(HLOOKUP($A336,#REF!,10,FALSE)&gt;2,HLOOKUP($A336,#REF!,10,FALSE)&lt;-2),"",#REF!),"")</f>
        <v/>
      </c>
      <c r="M336" t="str">
        <f>IFERROR(IF(OR(HLOOKUP($A336,#REF!,11,FALSE)&gt;2,HLOOKUP($A336,#REF!,11,FALSE)&lt;-2),"",#REF!),"")</f>
        <v/>
      </c>
      <c r="N336" t="str">
        <f>IFERROR(IF(OR(HLOOKUP($A336,#REF!,12,FALSE)&gt;2,HLOOKUP($A336,#REF!,12,FALSE)&lt;-2),"",#REF!),"")</f>
        <v/>
      </c>
      <c r="O336" t="str">
        <f>IFERROR(IF(OR(HLOOKUP($A336,#REF!,13,FALSE)&gt;2,HLOOKUP($A336,#REF!,13,FALSE)&lt;-2),"",#REF!),"")</f>
        <v/>
      </c>
      <c r="P336" t="str">
        <f>IFERROR(IF(OR(HLOOKUP($A336,#REF!,14,FALSE)&gt;2,HLOOKUP($A336,#REF!,14,FALSE)&lt;-2),"",#REF!),"")</f>
        <v/>
      </c>
      <c r="Q336" t="str">
        <f>IFERROR(IF(OR(HLOOKUP($A336,#REF!,15,FALSE)&gt;2,HLOOKUP($A336,#REF!,15,FALSE)&lt;-2),"",#REF!),"")</f>
        <v/>
      </c>
      <c r="R336" t="str">
        <f>IFERROR(IF(OR(HLOOKUP($A336,#REF!,16,FALSE)&gt;2,HLOOKUP($A336,#REF!,16,FALSE)&lt;-2),"",#REF!),"")</f>
        <v/>
      </c>
      <c r="S336" t="str">
        <f>IFERROR(IF(OR(HLOOKUP($A336,#REF!,17,FALSE)&gt;2,HLOOKUP($A336,#REF!,17,FALSE)&lt;-2),"",#REF!),"")</f>
        <v/>
      </c>
      <c r="T336" t="str">
        <f>IFERROR(IF(OR(HLOOKUP($A336,#REF!,18,FALSE)&gt;2,HLOOKUP($A336,#REF!,18,FALSE)&lt;-2),"",#REF!),"")</f>
        <v/>
      </c>
      <c r="U336" t="str">
        <f>IFERROR(IF(OR(HLOOKUP($A336,#REF!,19,FALSE)&gt;2,HLOOKUP($A336,#REF!,19,FALSE)&lt;-2),"",#REF!),"")</f>
        <v/>
      </c>
      <c r="V336">
        <f t="shared" si="20"/>
        <v>1</v>
      </c>
      <c r="W336" t="str">
        <f t="shared" si="21"/>
        <v/>
      </c>
      <c r="X336" t="str">
        <f t="shared" si="22"/>
        <v/>
      </c>
      <c r="Y336" t="str">
        <f t="shared" si="23"/>
        <v/>
      </c>
    </row>
    <row r="337" spans="1:25" x14ac:dyDescent="0.35">
      <c r="A337">
        <v>344</v>
      </c>
      <c r="B337" t="s">
        <v>185</v>
      </c>
      <c r="C337">
        <v>24300</v>
      </c>
      <c r="D337">
        <v>111</v>
      </c>
      <c r="E337" t="str">
        <f>IFERROR(IF(OR(HLOOKUP($A337,#REF!,3,FALSE)&gt;2,HLOOKUP(A337,#REF!,3,FALSE)&lt;-2),"",#REF!),"")</f>
        <v/>
      </c>
      <c r="F337" t="str">
        <f>IFERROR(IF(OR(HLOOKUP($A337,#REF!,4,FALSE)&gt;2,HLOOKUP($A337,#REF!,4,FALSE)&lt;-2),"",#REF!),"")</f>
        <v/>
      </c>
      <c r="G337" t="str">
        <f>IFERROR(IF(OR(HLOOKUP($A337,#REF!,5,FALSE)&gt;2,HLOOKUP($A337,#REF!,5,FALSE)&lt;-2),"",#REF!),"")</f>
        <v/>
      </c>
      <c r="H337" t="str">
        <f>IFERROR(IF(OR(HLOOKUP($A337,#REF!,6,FALSE)&gt;2,HLOOKUP($A337,#REF!,6,FALSE)&lt;-2),"",#REF!),"")</f>
        <v/>
      </c>
      <c r="I337" t="str">
        <f>IFERROR(IF(OR(HLOOKUP($A337,#REF!,7,FALSE)&gt;2,HLOOKUP($A337,#REF!,7,FALSE)&lt;-2),"",#REF!),"")</f>
        <v/>
      </c>
      <c r="J337" t="str">
        <f>IFERROR(IF(OR(HLOOKUP($A337,#REF!,8,FALSE)&gt;2,HLOOKUP($A337,#REF!,8,FALSE)&lt;-2),"",#REF!),"")</f>
        <v/>
      </c>
      <c r="K337" t="str">
        <f>IFERROR(IF(OR(HLOOKUP($A337,#REF!,9,FALSE)&gt;2,HLOOKUP($A337,#REF!,9,FALSE)&lt;-2),"",#REF!),"")</f>
        <v/>
      </c>
      <c r="L337" t="str">
        <f>IFERROR(IF(OR(HLOOKUP($A337,#REF!,10,FALSE)&gt;2,HLOOKUP($A337,#REF!,10,FALSE)&lt;-2),"",#REF!),"")</f>
        <v/>
      </c>
      <c r="M337" t="str">
        <f>IFERROR(IF(OR(HLOOKUP($A337,#REF!,11,FALSE)&gt;2,HLOOKUP($A337,#REF!,11,FALSE)&lt;-2),"",#REF!),"")</f>
        <v/>
      </c>
      <c r="N337" t="str">
        <f>IFERROR(IF(OR(HLOOKUP($A337,#REF!,12,FALSE)&gt;2,HLOOKUP($A337,#REF!,12,FALSE)&lt;-2),"",#REF!),"")</f>
        <v/>
      </c>
      <c r="O337" t="str">
        <f>IFERROR(IF(OR(HLOOKUP($A337,#REF!,13,FALSE)&gt;2,HLOOKUP($A337,#REF!,13,FALSE)&lt;-2),"",#REF!),"")</f>
        <v/>
      </c>
      <c r="P337" t="str">
        <f>IFERROR(IF(OR(HLOOKUP($A337,#REF!,14,FALSE)&gt;2,HLOOKUP($A337,#REF!,14,FALSE)&lt;-2),"",#REF!),"")</f>
        <v/>
      </c>
      <c r="Q337" t="str">
        <f>IFERROR(IF(OR(HLOOKUP($A337,#REF!,15,FALSE)&gt;2,HLOOKUP($A337,#REF!,15,FALSE)&lt;-2),"",#REF!),"")</f>
        <v/>
      </c>
      <c r="R337" t="str">
        <f>IFERROR(IF(OR(HLOOKUP($A337,#REF!,16,FALSE)&gt;2,HLOOKUP($A337,#REF!,16,FALSE)&lt;-2),"",#REF!),"")</f>
        <v/>
      </c>
      <c r="S337" t="str">
        <f>IFERROR(IF(OR(HLOOKUP($A337,#REF!,17,FALSE)&gt;2,HLOOKUP($A337,#REF!,17,FALSE)&lt;-2),"",#REF!),"")</f>
        <v/>
      </c>
      <c r="T337" t="str">
        <f>IFERROR(IF(OR(HLOOKUP($A337,#REF!,18,FALSE)&gt;2,HLOOKUP($A337,#REF!,18,FALSE)&lt;-2),"",#REF!),"")</f>
        <v/>
      </c>
      <c r="U337" t="str">
        <f>IFERROR(IF(OR(HLOOKUP($A337,#REF!,19,FALSE)&gt;2,HLOOKUP($A337,#REF!,19,FALSE)&lt;-2),"",#REF!),"")</f>
        <v/>
      </c>
      <c r="V337">
        <f t="shared" si="20"/>
        <v>1</v>
      </c>
      <c r="W337" t="str">
        <f t="shared" si="21"/>
        <v/>
      </c>
      <c r="X337" t="str">
        <f t="shared" si="22"/>
        <v/>
      </c>
      <c r="Y337" t="str">
        <f t="shared" si="23"/>
        <v/>
      </c>
    </row>
    <row r="338" spans="1:25" x14ac:dyDescent="0.35">
      <c r="A338">
        <v>345</v>
      </c>
      <c r="B338" t="s">
        <v>755</v>
      </c>
      <c r="C338">
        <v>5600</v>
      </c>
      <c r="D338">
        <v>322</v>
      </c>
      <c r="E338" t="str">
        <f>IFERROR(IF(OR(HLOOKUP($A338,#REF!,3,FALSE)&gt;2,HLOOKUP(A338,#REF!,3,FALSE)&lt;-2),"",#REF!),"")</f>
        <v/>
      </c>
      <c r="F338" t="str">
        <f>IFERROR(IF(OR(HLOOKUP($A338,#REF!,4,FALSE)&gt;2,HLOOKUP($A338,#REF!,4,FALSE)&lt;-2),"",#REF!),"")</f>
        <v/>
      </c>
      <c r="G338" t="str">
        <f>IFERROR(IF(OR(HLOOKUP($A338,#REF!,5,FALSE)&gt;2,HLOOKUP($A338,#REF!,5,FALSE)&lt;-2),"",#REF!),"")</f>
        <v/>
      </c>
      <c r="H338" t="str">
        <f>IFERROR(IF(OR(HLOOKUP($A338,#REF!,6,FALSE)&gt;2,HLOOKUP($A338,#REF!,6,FALSE)&lt;-2),"",#REF!),"")</f>
        <v/>
      </c>
      <c r="I338" t="str">
        <f>IFERROR(IF(OR(HLOOKUP($A338,#REF!,7,FALSE)&gt;2,HLOOKUP($A338,#REF!,7,FALSE)&lt;-2),"",#REF!),"")</f>
        <v/>
      </c>
      <c r="J338" t="str">
        <f>IFERROR(IF(OR(HLOOKUP($A338,#REF!,8,FALSE)&gt;2,HLOOKUP($A338,#REF!,8,FALSE)&lt;-2),"",#REF!),"")</f>
        <v/>
      </c>
      <c r="K338" t="str">
        <f>IFERROR(IF(OR(HLOOKUP($A338,#REF!,9,FALSE)&gt;2,HLOOKUP($A338,#REF!,9,FALSE)&lt;-2),"",#REF!),"")</f>
        <v/>
      </c>
      <c r="L338" t="str">
        <f>IFERROR(IF(OR(HLOOKUP($A338,#REF!,10,FALSE)&gt;2,HLOOKUP($A338,#REF!,10,FALSE)&lt;-2),"",#REF!),"")</f>
        <v/>
      </c>
      <c r="M338" t="str">
        <f>IFERROR(IF(OR(HLOOKUP($A338,#REF!,11,FALSE)&gt;2,HLOOKUP($A338,#REF!,11,FALSE)&lt;-2),"",#REF!),"")</f>
        <v/>
      </c>
      <c r="N338" t="str">
        <f>IFERROR(IF(OR(HLOOKUP($A338,#REF!,12,FALSE)&gt;2,HLOOKUP($A338,#REF!,12,FALSE)&lt;-2),"",#REF!),"")</f>
        <v/>
      </c>
      <c r="O338" t="str">
        <f>IFERROR(IF(OR(HLOOKUP($A338,#REF!,13,FALSE)&gt;2,HLOOKUP($A338,#REF!,13,FALSE)&lt;-2),"",#REF!),"")</f>
        <v/>
      </c>
      <c r="P338" t="str">
        <f>IFERROR(IF(OR(HLOOKUP($A338,#REF!,14,FALSE)&gt;2,HLOOKUP($A338,#REF!,14,FALSE)&lt;-2),"",#REF!),"")</f>
        <v/>
      </c>
      <c r="Q338" t="str">
        <f>IFERROR(IF(OR(HLOOKUP($A338,#REF!,15,FALSE)&gt;2,HLOOKUP($A338,#REF!,15,FALSE)&lt;-2),"",#REF!),"")</f>
        <v/>
      </c>
      <c r="R338" t="str">
        <f>IFERROR(IF(OR(HLOOKUP($A338,#REF!,16,FALSE)&gt;2,HLOOKUP($A338,#REF!,16,FALSE)&lt;-2),"",#REF!),"")</f>
        <v/>
      </c>
      <c r="S338" t="str">
        <f>IFERROR(IF(OR(HLOOKUP($A338,#REF!,17,FALSE)&gt;2,HLOOKUP($A338,#REF!,17,FALSE)&lt;-2),"",#REF!),"")</f>
        <v/>
      </c>
      <c r="T338" t="str">
        <f>IFERROR(IF(OR(HLOOKUP($A338,#REF!,18,FALSE)&gt;2,HLOOKUP($A338,#REF!,18,FALSE)&lt;-2),"",#REF!),"")</f>
        <v/>
      </c>
      <c r="U338" t="str">
        <f>IFERROR(IF(OR(HLOOKUP($A338,#REF!,19,FALSE)&gt;2,HLOOKUP($A338,#REF!,19,FALSE)&lt;-2),"",#REF!),"")</f>
        <v/>
      </c>
      <c r="V338">
        <f t="shared" si="20"/>
        <v>1</v>
      </c>
      <c r="W338" t="str">
        <f t="shared" si="21"/>
        <v/>
      </c>
      <c r="X338" t="str">
        <f t="shared" si="22"/>
        <v/>
      </c>
      <c r="Y338" t="str">
        <f t="shared" si="23"/>
        <v/>
      </c>
    </row>
    <row r="339" spans="1:25" x14ac:dyDescent="0.35">
      <c r="A339">
        <v>346</v>
      </c>
      <c r="B339" t="s">
        <v>756</v>
      </c>
      <c r="C339">
        <v>3000</v>
      </c>
      <c r="D339">
        <v>322</v>
      </c>
      <c r="E339" t="str">
        <f>IFERROR(IF(OR(HLOOKUP($A339,#REF!,3,FALSE)&gt;2,HLOOKUP(A339,#REF!,3,FALSE)&lt;-2),"",#REF!),"")</f>
        <v/>
      </c>
      <c r="F339" t="str">
        <f>IFERROR(IF(OR(HLOOKUP($A339,#REF!,4,FALSE)&gt;2,HLOOKUP($A339,#REF!,4,FALSE)&lt;-2),"",#REF!),"")</f>
        <v/>
      </c>
      <c r="G339" t="str">
        <f>IFERROR(IF(OR(HLOOKUP($A339,#REF!,5,FALSE)&gt;2,HLOOKUP($A339,#REF!,5,FALSE)&lt;-2),"",#REF!),"")</f>
        <v/>
      </c>
      <c r="H339" t="str">
        <f>IFERROR(IF(OR(HLOOKUP($A339,#REF!,6,FALSE)&gt;2,HLOOKUP($A339,#REF!,6,FALSE)&lt;-2),"",#REF!),"")</f>
        <v/>
      </c>
      <c r="I339" t="str">
        <f>IFERROR(IF(OR(HLOOKUP($A339,#REF!,7,FALSE)&gt;2,HLOOKUP($A339,#REF!,7,FALSE)&lt;-2),"",#REF!),"")</f>
        <v/>
      </c>
      <c r="J339" t="str">
        <f>IFERROR(IF(OR(HLOOKUP($A339,#REF!,8,FALSE)&gt;2,HLOOKUP($A339,#REF!,8,FALSE)&lt;-2),"",#REF!),"")</f>
        <v/>
      </c>
      <c r="K339" t="str">
        <f>IFERROR(IF(OR(HLOOKUP($A339,#REF!,9,FALSE)&gt;2,HLOOKUP($A339,#REF!,9,FALSE)&lt;-2),"",#REF!),"")</f>
        <v/>
      </c>
      <c r="L339" t="str">
        <f>IFERROR(IF(OR(HLOOKUP($A339,#REF!,10,FALSE)&gt;2,HLOOKUP($A339,#REF!,10,FALSE)&lt;-2),"",#REF!),"")</f>
        <v/>
      </c>
      <c r="M339" t="str">
        <f>IFERROR(IF(OR(HLOOKUP($A339,#REF!,11,FALSE)&gt;2,HLOOKUP($A339,#REF!,11,FALSE)&lt;-2),"",#REF!),"")</f>
        <v/>
      </c>
      <c r="N339" t="str">
        <f>IFERROR(IF(OR(HLOOKUP($A339,#REF!,12,FALSE)&gt;2,HLOOKUP($A339,#REF!,12,FALSE)&lt;-2),"",#REF!),"")</f>
        <v/>
      </c>
      <c r="O339" t="str">
        <f>IFERROR(IF(OR(HLOOKUP($A339,#REF!,13,FALSE)&gt;2,HLOOKUP($A339,#REF!,13,FALSE)&lt;-2),"",#REF!),"")</f>
        <v/>
      </c>
      <c r="P339" t="str">
        <f>IFERROR(IF(OR(HLOOKUP($A339,#REF!,14,FALSE)&gt;2,HLOOKUP($A339,#REF!,14,FALSE)&lt;-2),"",#REF!),"")</f>
        <v/>
      </c>
      <c r="Q339" t="str">
        <f>IFERROR(IF(OR(HLOOKUP($A339,#REF!,15,FALSE)&gt;2,HLOOKUP($A339,#REF!,15,FALSE)&lt;-2),"",#REF!),"")</f>
        <v/>
      </c>
      <c r="R339" t="str">
        <f>IFERROR(IF(OR(HLOOKUP($A339,#REF!,16,FALSE)&gt;2,HLOOKUP($A339,#REF!,16,FALSE)&lt;-2),"",#REF!),"")</f>
        <v/>
      </c>
      <c r="S339" t="str">
        <f>IFERROR(IF(OR(HLOOKUP($A339,#REF!,17,FALSE)&gt;2,HLOOKUP($A339,#REF!,17,FALSE)&lt;-2),"",#REF!),"")</f>
        <v/>
      </c>
      <c r="T339" t="str">
        <f>IFERROR(IF(OR(HLOOKUP($A339,#REF!,18,FALSE)&gt;2,HLOOKUP($A339,#REF!,18,FALSE)&lt;-2),"",#REF!),"")</f>
        <v/>
      </c>
      <c r="U339" t="str">
        <f>IFERROR(IF(OR(HLOOKUP($A339,#REF!,19,FALSE)&gt;2,HLOOKUP($A339,#REF!,19,FALSE)&lt;-2),"",#REF!),"")</f>
        <v/>
      </c>
      <c r="V339">
        <f t="shared" si="20"/>
        <v>1</v>
      </c>
      <c r="W339" t="str">
        <f t="shared" si="21"/>
        <v/>
      </c>
      <c r="X339" t="str">
        <f t="shared" si="22"/>
        <v/>
      </c>
      <c r="Y339" t="str">
        <f t="shared" si="23"/>
        <v/>
      </c>
    </row>
    <row r="340" spans="1:25" x14ac:dyDescent="0.35">
      <c r="A340">
        <v>347</v>
      </c>
      <c r="B340" t="s">
        <v>186</v>
      </c>
      <c r="C340">
        <v>73600</v>
      </c>
      <c r="D340">
        <v>141</v>
      </c>
      <c r="E340" t="str">
        <f>IFERROR(IF(OR(HLOOKUP($A340,#REF!,3,FALSE)&gt;2,HLOOKUP(A340,#REF!,3,FALSE)&lt;-2),"",#REF!),"")</f>
        <v/>
      </c>
      <c r="F340" t="str">
        <f>IFERROR(IF(OR(HLOOKUP($A340,#REF!,4,FALSE)&gt;2,HLOOKUP($A340,#REF!,4,FALSE)&lt;-2),"",#REF!),"")</f>
        <v/>
      </c>
      <c r="G340" t="str">
        <f>IFERROR(IF(OR(HLOOKUP($A340,#REF!,5,FALSE)&gt;2,HLOOKUP($A340,#REF!,5,FALSE)&lt;-2),"",#REF!),"")</f>
        <v/>
      </c>
      <c r="H340" t="str">
        <f>IFERROR(IF(OR(HLOOKUP($A340,#REF!,6,FALSE)&gt;2,HLOOKUP($A340,#REF!,6,FALSE)&lt;-2),"",#REF!),"")</f>
        <v/>
      </c>
      <c r="I340" t="str">
        <f>IFERROR(IF(OR(HLOOKUP($A340,#REF!,7,FALSE)&gt;2,HLOOKUP($A340,#REF!,7,FALSE)&lt;-2),"",#REF!),"")</f>
        <v/>
      </c>
      <c r="J340" t="str">
        <f>IFERROR(IF(OR(HLOOKUP($A340,#REF!,8,FALSE)&gt;2,HLOOKUP($A340,#REF!,8,FALSE)&lt;-2),"",#REF!),"")</f>
        <v/>
      </c>
      <c r="K340" t="str">
        <f>IFERROR(IF(OR(HLOOKUP($A340,#REF!,9,FALSE)&gt;2,HLOOKUP($A340,#REF!,9,FALSE)&lt;-2),"",#REF!),"")</f>
        <v/>
      </c>
      <c r="L340" t="str">
        <f>IFERROR(IF(OR(HLOOKUP($A340,#REF!,10,FALSE)&gt;2,HLOOKUP($A340,#REF!,10,FALSE)&lt;-2),"",#REF!),"")</f>
        <v/>
      </c>
      <c r="M340" t="str">
        <f>IFERROR(IF(OR(HLOOKUP($A340,#REF!,11,FALSE)&gt;2,HLOOKUP($A340,#REF!,11,FALSE)&lt;-2),"",#REF!),"")</f>
        <v/>
      </c>
      <c r="N340" t="str">
        <f>IFERROR(IF(OR(HLOOKUP($A340,#REF!,12,FALSE)&gt;2,HLOOKUP($A340,#REF!,12,FALSE)&lt;-2),"",#REF!),"")</f>
        <v/>
      </c>
      <c r="O340" t="str">
        <f>IFERROR(IF(OR(HLOOKUP($A340,#REF!,13,FALSE)&gt;2,HLOOKUP($A340,#REF!,13,FALSE)&lt;-2),"",#REF!),"")</f>
        <v/>
      </c>
      <c r="P340" t="str">
        <f>IFERROR(IF(OR(HLOOKUP($A340,#REF!,14,FALSE)&gt;2,HLOOKUP($A340,#REF!,14,FALSE)&lt;-2),"",#REF!),"")</f>
        <v/>
      </c>
      <c r="Q340" t="str">
        <f>IFERROR(IF(OR(HLOOKUP($A340,#REF!,15,FALSE)&gt;2,HLOOKUP($A340,#REF!,15,FALSE)&lt;-2),"",#REF!),"")</f>
        <v/>
      </c>
      <c r="R340" t="str">
        <f>IFERROR(IF(OR(HLOOKUP($A340,#REF!,16,FALSE)&gt;2,HLOOKUP($A340,#REF!,16,FALSE)&lt;-2),"",#REF!),"")</f>
        <v/>
      </c>
      <c r="S340" t="str">
        <f>IFERROR(IF(OR(HLOOKUP($A340,#REF!,17,FALSE)&gt;2,HLOOKUP($A340,#REF!,17,FALSE)&lt;-2),"",#REF!),"")</f>
        <v/>
      </c>
      <c r="T340" t="str">
        <f>IFERROR(IF(OR(HLOOKUP($A340,#REF!,18,FALSE)&gt;2,HLOOKUP($A340,#REF!,18,FALSE)&lt;-2),"",#REF!),"")</f>
        <v/>
      </c>
      <c r="U340" t="str">
        <f>IFERROR(IF(OR(HLOOKUP($A340,#REF!,19,FALSE)&gt;2,HLOOKUP($A340,#REF!,19,FALSE)&lt;-2),"",#REF!),"")</f>
        <v/>
      </c>
      <c r="V340">
        <f t="shared" si="20"/>
        <v>1</v>
      </c>
      <c r="W340" t="str">
        <f t="shared" si="21"/>
        <v/>
      </c>
      <c r="X340" t="str">
        <f t="shared" si="22"/>
        <v/>
      </c>
      <c r="Y340" t="str">
        <f t="shared" si="23"/>
        <v/>
      </c>
    </row>
    <row r="341" spans="1:25" x14ac:dyDescent="0.35">
      <c r="A341">
        <v>348</v>
      </c>
      <c r="B341" t="s">
        <v>757</v>
      </c>
      <c r="C341">
        <v>83700</v>
      </c>
      <c r="D341">
        <v>313</v>
      </c>
      <c r="E341" t="str">
        <f>IFERROR(IF(OR(HLOOKUP($A341,#REF!,3,FALSE)&gt;2,HLOOKUP(A341,#REF!,3,FALSE)&lt;-2),"",#REF!),"")</f>
        <v/>
      </c>
      <c r="F341" t="str">
        <f>IFERROR(IF(OR(HLOOKUP($A341,#REF!,4,FALSE)&gt;2,HLOOKUP($A341,#REF!,4,FALSE)&lt;-2),"",#REF!),"")</f>
        <v/>
      </c>
      <c r="G341" t="str">
        <f>IFERROR(IF(OR(HLOOKUP($A341,#REF!,5,FALSE)&gt;2,HLOOKUP($A341,#REF!,5,FALSE)&lt;-2),"",#REF!),"")</f>
        <v/>
      </c>
      <c r="H341" t="str">
        <f>IFERROR(IF(OR(HLOOKUP($A341,#REF!,6,FALSE)&gt;2,HLOOKUP($A341,#REF!,6,FALSE)&lt;-2),"",#REF!),"")</f>
        <v/>
      </c>
      <c r="I341" t="str">
        <f>IFERROR(IF(OR(HLOOKUP($A341,#REF!,7,FALSE)&gt;2,HLOOKUP($A341,#REF!,7,FALSE)&lt;-2),"",#REF!),"")</f>
        <v/>
      </c>
      <c r="J341" t="str">
        <f>IFERROR(IF(OR(HLOOKUP($A341,#REF!,8,FALSE)&gt;2,HLOOKUP($A341,#REF!,8,FALSE)&lt;-2),"",#REF!),"")</f>
        <v/>
      </c>
      <c r="K341" t="str">
        <f>IFERROR(IF(OR(HLOOKUP($A341,#REF!,9,FALSE)&gt;2,HLOOKUP($A341,#REF!,9,FALSE)&lt;-2),"",#REF!),"")</f>
        <v/>
      </c>
      <c r="L341" t="str">
        <f>IFERROR(IF(OR(HLOOKUP($A341,#REF!,10,FALSE)&gt;2,HLOOKUP($A341,#REF!,10,FALSE)&lt;-2),"",#REF!),"")</f>
        <v/>
      </c>
      <c r="M341" t="str">
        <f>IFERROR(IF(OR(HLOOKUP($A341,#REF!,11,FALSE)&gt;2,HLOOKUP($A341,#REF!,11,FALSE)&lt;-2),"",#REF!),"")</f>
        <v/>
      </c>
      <c r="N341" t="str">
        <f>IFERROR(IF(OR(HLOOKUP($A341,#REF!,12,FALSE)&gt;2,HLOOKUP($A341,#REF!,12,FALSE)&lt;-2),"",#REF!),"")</f>
        <v/>
      </c>
      <c r="O341" t="str">
        <f>IFERROR(IF(OR(HLOOKUP($A341,#REF!,13,FALSE)&gt;2,HLOOKUP($A341,#REF!,13,FALSE)&lt;-2),"",#REF!),"")</f>
        <v/>
      </c>
      <c r="P341" t="str">
        <f>IFERROR(IF(OR(HLOOKUP($A341,#REF!,14,FALSE)&gt;2,HLOOKUP($A341,#REF!,14,FALSE)&lt;-2),"",#REF!),"")</f>
        <v/>
      </c>
      <c r="Q341" t="str">
        <f>IFERROR(IF(OR(HLOOKUP($A341,#REF!,15,FALSE)&gt;2,HLOOKUP($A341,#REF!,15,FALSE)&lt;-2),"",#REF!),"")</f>
        <v/>
      </c>
      <c r="R341" t="str">
        <f>IFERROR(IF(OR(HLOOKUP($A341,#REF!,16,FALSE)&gt;2,HLOOKUP($A341,#REF!,16,FALSE)&lt;-2),"",#REF!),"")</f>
        <v/>
      </c>
      <c r="S341" t="str">
        <f>IFERROR(IF(OR(HLOOKUP($A341,#REF!,17,FALSE)&gt;2,HLOOKUP($A341,#REF!,17,FALSE)&lt;-2),"",#REF!),"")</f>
        <v/>
      </c>
      <c r="T341" t="str">
        <f>IFERROR(IF(OR(HLOOKUP($A341,#REF!,18,FALSE)&gt;2,HLOOKUP($A341,#REF!,18,FALSE)&lt;-2),"",#REF!),"")</f>
        <v/>
      </c>
      <c r="U341" t="str">
        <f>IFERROR(IF(OR(HLOOKUP($A341,#REF!,19,FALSE)&gt;2,HLOOKUP($A341,#REF!,19,FALSE)&lt;-2),"",#REF!),"")</f>
        <v/>
      </c>
      <c r="V341">
        <f t="shared" si="20"/>
        <v>1</v>
      </c>
      <c r="W341" t="str">
        <f t="shared" si="21"/>
        <v/>
      </c>
      <c r="X341" t="str">
        <f t="shared" si="22"/>
        <v/>
      </c>
      <c r="Y341" t="str">
        <f t="shared" si="23"/>
        <v/>
      </c>
    </row>
    <row r="342" spans="1:25" x14ac:dyDescent="0.35">
      <c r="A342">
        <v>349</v>
      </c>
      <c r="B342" t="s">
        <v>758</v>
      </c>
      <c r="C342">
        <v>113100</v>
      </c>
      <c r="D342">
        <v>824</v>
      </c>
      <c r="E342" t="str">
        <f>IFERROR(IF(OR(HLOOKUP($A342,#REF!,3,FALSE)&gt;2,HLOOKUP(A342,#REF!,3,FALSE)&lt;-2),"",#REF!),"")</f>
        <v/>
      </c>
      <c r="F342" t="str">
        <f>IFERROR(IF(OR(HLOOKUP($A342,#REF!,4,FALSE)&gt;2,HLOOKUP($A342,#REF!,4,FALSE)&lt;-2),"",#REF!),"")</f>
        <v/>
      </c>
      <c r="G342" t="str">
        <f>IFERROR(IF(OR(HLOOKUP($A342,#REF!,5,FALSE)&gt;2,HLOOKUP($A342,#REF!,5,FALSE)&lt;-2),"",#REF!),"")</f>
        <v/>
      </c>
      <c r="H342" t="str">
        <f>IFERROR(IF(OR(HLOOKUP($A342,#REF!,6,FALSE)&gt;2,HLOOKUP($A342,#REF!,6,FALSE)&lt;-2),"",#REF!),"")</f>
        <v/>
      </c>
      <c r="I342" t="str">
        <f>IFERROR(IF(OR(HLOOKUP($A342,#REF!,7,FALSE)&gt;2,HLOOKUP($A342,#REF!,7,FALSE)&lt;-2),"",#REF!),"")</f>
        <v/>
      </c>
      <c r="J342" t="str">
        <f>IFERROR(IF(OR(HLOOKUP($A342,#REF!,8,FALSE)&gt;2,HLOOKUP($A342,#REF!,8,FALSE)&lt;-2),"",#REF!),"")</f>
        <v/>
      </c>
      <c r="K342" t="str">
        <f>IFERROR(IF(OR(HLOOKUP($A342,#REF!,9,FALSE)&gt;2,HLOOKUP($A342,#REF!,9,FALSE)&lt;-2),"",#REF!),"")</f>
        <v/>
      </c>
      <c r="L342" t="str">
        <f>IFERROR(IF(OR(HLOOKUP($A342,#REF!,10,FALSE)&gt;2,HLOOKUP($A342,#REF!,10,FALSE)&lt;-2),"",#REF!),"")</f>
        <v/>
      </c>
      <c r="M342" t="str">
        <f>IFERROR(IF(OR(HLOOKUP($A342,#REF!,11,FALSE)&gt;2,HLOOKUP($A342,#REF!,11,FALSE)&lt;-2),"",#REF!),"")</f>
        <v/>
      </c>
      <c r="N342" t="str">
        <f>IFERROR(IF(OR(HLOOKUP($A342,#REF!,12,FALSE)&gt;2,HLOOKUP($A342,#REF!,12,FALSE)&lt;-2),"",#REF!),"")</f>
        <v/>
      </c>
      <c r="O342" t="str">
        <f>IFERROR(IF(OR(HLOOKUP($A342,#REF!,13,FALSE)&gt;2,HLOOKUP($A342,#REF!,13,FALSE)&lt;-2),"",#REF!),"")</f>
        <v/>
      </c>
      <c r="P342" t="str">
        <f>IFERROR(IF(OR(HLOOKUP($A342,#REF!,14,FALSE)&gt;2,HLOOKUP($A342,#REF!,14,FALSE)&lt;-2),"",#REF!),"")</f>
        <v/>
      </c>
      <c r="Q342" t="str">
        <f>IFERROR(IF(OR(HLOOKUP($A342,#REF!,15,FALSE)&gt;2,HLOOKUP($A342,#REF!,15,FALSE)&lt;-2),"",#REF!),"")</f>
        <v/>
      </c>
      <c r="R342" t="str">
        <f>IFERROR(IF(OR(HLOOKUP($A342,#REF!,16,FALSE)&gt;2,HLOOKUP($A342,#REF!,16,FALSE)&lt;-2),"",#REF!),"")</f>
        <v/>
      </c>
      <c r="S342" t="str">
        <f>IFERROR(IF(OR(HLOOKUP($A342,#REF!,17,FALSE)&gt;2,HLOOKUP($A342,#REF!,17,FALSE)&lt;-2),"",#REF!),"")</f>
        <v/>
      </c>
      <c r="T342" t="str">
        <f>IFERROR(IF(OR(HLOOKUP($A342,#REF!,18,FALSE)&gt;2,HLOOKUP($A342,#REF!,18,FALSE)&lt;-2),"",#REF!),"")</f>
        <v/>
      </c>
      <c r="U342" t="str">
        <f>IFERROR(IF(OR(HLOOKUP($A342,#REF!,19,FALSE)&gt;2,HLOOKUP($A342,#REF!,19,FALSE)&lt;-2),"",#REF!),"")</f>
        <v/>
      </c>
      <c r="V342">
        <f t="shared" si="20"/>
        <v>1</v>
      </c>
      <c r="W342" t="str">
        <f t="shared" si="21"/>
        <v/>
      </c>
      <c r="X342" t="str">
        <f t="shared" si="22"/>
        <v/>
      </c>
      <c r="Y342" t="str">
        <f t="shared" si="23"/>
        <v/>
      </c>
    </row>
    <row r="343" spans="1:25" x14ac:dyDescent="0.35">
      <c r="A343">
        <v>350</v>
      </c>
      <c r="B343" t="s">
        <v>187</v>
      </c>
      <c r="C343">
        <v>89200</v>
      </c>
      <c r="D343">
        <v>1117</v>
      </c>
      <c r="E343" t="str">
        <f>IFERROR(IF(OR(HLOOKUP($A343,#REF!,3,FALSE)&gt;2,HLOOKUP(A343,#REF!,3,FALSE)&lt;-2),"",#REF!),"")</f>
        <v/>
      </c>
      <c r="F343" t="str">
        <f>IFERROR(IF(OR(HLOOKUP($A343,#REF!,4,FALSE)&gt;2,HLOOKUP($A343,#REF!,4,FALSE)&lt;-2),"",#REF!),"")</f>
        <v/>
      </c>
      <c r="G343" t="str">
        <f>IFERROR(IF(OR(HLOOKUP($A343,#REF!,5,FALSE)&gt;2,HLOOKUP($A343,#REF!,5,FALSE)&lt;-2),"",#REF!),"")</f>
        <v/>
      </c>
      <c r="H343" t="str">
        <f>IFERROR(IF(OR(HLOOKUP($A343,#REF!,6,FALSE)&gt;2,HLOOKUP($A343,#REF!,6,FALSE)&lt;-2),"",#REF!),"")</f>
        <v/>
      </c>
      <c r="I343" t="str">
        <f>IFERROR(IF(OR(HLOOKUP($A343,#REF!,7,FALSE)&gt;2,HLOOKUP($A343,#REF!,7,FALSE)&lt;-2),"",#REF!),"")</f>
        <v/>
      </c>
      <c r="J343" t="str">
        <f>IFERROR(IF(OR(HLOOKUP($A343,#REF!,8,FALSE)&gt;2,HLOOKUP($A343,#REF!,8,FALSE)&lt;-2),"",#REF!),"")</f>
        <v/>
      </c>
      <c r="K343" t="str">
        <f>IFERROR(IF(OR(HLOOKUP($A343,#REF!,9,FALSE)&gt;2,HLOOKUP($A343,#REF!,9,FALSE)&lt;-2),"",#REF!),"")</f>
        <v/>
      </c>
      <c r="L343" t="str">
        <f>IFERROR(IF(OR(HLOOKUP($A343,#REF!,10,FALSE)&gt;2,HLOOKUP($A343,#REF!,10,FALSE)&lt;-2),"",#REF!),"")</f>
        <v/>
      </c>
      <c r="M343" t="str">
        <f>IFERROR(IF(OR(HLOOKUP($A343,#REF!,11,FALSE)&gt;2,HLOOKUP($A343,#REF!,11,FALSE)&lt;-2),"",#REF!),"")</f>
        <v/>
      </c>
      <c r="N343" t="str">
        <f>IFERROR(IF(OR(HLOOKUP($A343,#REF!,12,FALSE)&gt;2,HLOOKUP($A343,#REF!,12,FALSE)&lt;-2),"",#REF!),"")</f>
        <v/>
      </c>
      <c r="O343" t="str">
        <f>IFERROR(IF(OR(HLOOKUP($A343,#REF!,13,FALSE)&gt;2,HLOOKUP($A343,#REF!,13,FALSE)&lt;-2),"",#REF!),"")</f>
        <v/>
      </c>
      <c r="P343" t="str">
        <f>IFERROR(IF(OR(HLOOKUP($A343,#REF!,14,FALSE)&gt;2,HLOOKUP($A343,#REF!,14,FALSE)&lt;-2),"",#REF!),"")</f>
        <v/>
      </c>
      <c r="Q343" t="str">
        <f>IFERROR(IF(OR(HLOOKUP($A343,#REF!,15,FALSE)&gt;2,HLOOKUP($A343,#REF!,15,FALSE)&lt;-2),"",#REF!),"")</f>
        <v/>
      </c>
      <c r="R343" t="str">
        <f>IFERROR(IF(OR(HLOOKUP($A343,#REF!,16,FALSE)&gt;2,HLOOKUP($A343,#REF!,16,FALSE)&lt;-2),"",#REF!),"")</f>
        <v/>
      </c>
      <c r="S343" t="str">
        <f>IFERROR(IF(OR(HLOOKUP($A343,#REF!,17,FALSE)&gt;2,HLOOKUP($A343,#REF!,17,FALSE)&lt;-2),"",#REF!),"")</f>
        <v/>
      </c>
      <c r="T343" t="str">
        <f>IFERROR(IF(OR(HLOOKUP($A343,#REF!,18,FALSE)&gt;2,HLOOKUP($A343,#REF!,18,FALSE)&lt;-2),"",#REF!),"")</f>
        <v/>
      </c>
      <c r="U343" t="str">
        <f>IFERROR(IF(OR(HLOOKUP($A343,#REF!,19,FALSE)&gt;2,HLOOKUP($A343,#REF!,19,FALSE)&lt;-2),"",#REF!),"")</f>
        <v/>
      </c>
      <c r="V343">
        <f t="shared" si="20"/>
        <v>1</v>
      </c>
      <c r="W343" t="str">
        <f t="shared" si="21"/>
        <v/>
      </c>
      <c r="X343" t="str">
        <f t="shared" si="22"/>
        <v/>
      </c>
      <c r="Y343" t="str">
        <f t="shared" si="23"/>
        <v/>
      </c>
    </row>
    <row r="344" spans="1:25" x14ac:dyDescent="0.35">
      <c r="A344">
        <v>351</v>
      </c>
      <c r="B344" t="s">
        <v>188</v>
      </c>
      <c r="C344">
        <v>52900</v>
      </c>
      <c r="D344">
        <v>809</v>
      </c>
      <c r="E344" t="str">
        <f>IFERROR(IF(OR(HLOOKUP($A344,#REF!,3,FALSE)&gt;2,HLOOKUP(A344,#REF!,3,FALSE)&lt;-2),"",#REF!),"")</f>
        <v/>
      </c>
      <c r="F344" t="str">
        <f>IFERROR(IF(OR(HLOOKUP($A344,#REF!,4,FALSE)&gt;2,HLOOKUP($A344,#REF!,4,FALSE)&lt;-2),"",#REF!),"")</f>
        <v/>
      </c>
      <c r="G344" t="str">
        <f>IFERROR(IF(OR(HLOOKUP($A344,#REF!,5,FALSE)&gt;2,HLOOKUP($A344,#REF!,5,FALSE)&lt;-2),"",#REF!),"")</f>
        <v/>
      </c>
      <c r="H344" t="str">
        <f>IFERROR(IF(OR(HLOOKUP($A344,#REF!,6,FALSE)&gt;2,HLOOKUP($A344,#REF!,6,FALSE)&lt;-2),"",#REF!),"")</f>
        <v/>
      </c>
      <c r="I344" t="str">
        <f>IFERROR(IF(OR(HLOOKUP($A344,#REF!,7,FALSE)&gt;2,HLOOKUP($A344,#REF!,7,FALSE)&lt;-2),"",#REF!),"")</f>
        <v/>
      </c>
      <c r="J344" t="str">
        <f>IFERROR(IF(OR(HLOOKUP($A344,#REF!,8,FALSE)&gt;2,HLOOKUP($A344,#REF!,8,FALSE)&lt;-2),"",#REF!),"")</f>
        <v/>
      </c>
      <c r="K344" t="str">
        <f>IFERROR(IF(OR(HLOOKUP($A344,#REF!,9,FALSE)&gt;2,HLOOKUP($A344,#REF!,9,FALSE)&lt;-2),"",#REF!),"")</f>
        <v/>
      </c>
      <c r="L344" t="str">
        <f>IFERROR(IF(OR(HLOOKUP($A344,#REF!,10,FALSE)&gt;2,HLOOKUP($A344,#REF!,10,FALSE)&lt;-2),"",#REF!),"")</f>
        <v/>
      </c>
      <c r="M344" t="str">
        <f>IFERROR(IF(OR(HLOOKUP($A344,#REF!,11,FALSE)&gt;2,HLOOKUP($A344,#REF!,11,FALSE)&lt;-2),"",#REF!),"")</f>
        <v/>
      </c>
      <c r="N344" t="str">
        <f>IFERROR(IF(OR(HLOOKUP($A344,#REF!,12,FALSE)&gt;2,HLOOKUP($A344,#REF!,12,FALSE)&lt;-2),"",#REF!),"")</f>
        <v/>
      </c>
      <c r="O344" t="str">
        <f>IFERROR(IF(OR(HLOOKUP($A344,#REF!,13,FALSE)&gt;2,HLOOKUP($A344,#REF!,13,FALSE)&lt;-2),"",#REF!),"")</f>
        <v/>
      </c>
      <c r="P344" t="str">
        <f>IFERROR(IF(OR(HLOOKUP($A344,#REF!,14,FALSE)&gt;2,HLOOKUP($A344,#REF!,14,FALSE)&lt;-2),"",#REF!),"")</f>
        <v/>
      </c>
      <c r="Q344" t="str">
        <f>IFERROR(IF(OR(HLOOKUP($A344,#REF!,15,FALSE)&gt;2,HLOOKUP($A344,#REF!,15,FALSE)&lt;-2),"",#REF!),"")</f>
        <v/>
      </c>
      <c r="R344" t="str">
        <f>IFERROR(IF(OR(HLOOKUP($A344,#REF!,16,FALSE)&gt;2,HLOOKUP($A344,#REF!,16,FALSE)&lt;-2),"",#REF!),"")</f>
        <v/>
      </c>
      <c r="S344" t="str">
        <f>IFERROR(IF(OR(HLOOKUP($A344,#REF!,17,FALSE)&gt;2,HLOOKUP($A344,#REF!,17,FALSE)&lt;-2),"",#REF!),"")</f>
        <v/>
      </c>
      <c r="T344" t="str">
        <f>IFERROR(IF(OR(HLOOKUP($A344,#REF!,18,FALSE)&gt;2,HLOOKUP($A344,#REF!,18,FALSE)&lt;-2),"",#REF!),"")</f>
        <v/>
      </c>
      <c r="U344" t="str">
        <f>IFERROR(IF(OR(HLOOKUP($A344,#REF!,19,FALSE)&gt;2,HLOOKUP($A344,#REF!,19,FALSE)&lt;-2),"",#REF!),"")</f>
        <v/>
      </c>
      <c r="V344">
        <f t="shared" si="20"/>
        <v>1</v>
      </c>
      <c r="W344" t="str">
        <f t="shared" si="21"/>
        <v/>
      </c>
      <c r="X344" t="str">
        <f t="shared" si="22"/>
        <v/>
      </c>
      <c r="Y344" t="str">
        <f t="shared" si="23"/>
        <v/>
      </c>
    </row>
    <row r="345" spans="1:25" x14ac:dyDescent="0.35">
      <c r="A345">
        <v>352</v>
      </c>
      <c r="B345" t="s">
        <v>759</v>
      </c>
      <c r="C345">
        <v>21100</v>
      </c>
      <c r="D345">
        <v>714</v>
      </c>
      <c r="E345" t="str">
        <f>IFERROR(IF(OR(HLOOKUP($A345,#REF!,3,FALSE)&gt;2,HLOOKUP(A345,#REF!,3,FALSE)&lt;-2),"",#REF!),"")</f>
        <v/>
      </c>
      <c r="F345" t="str">
        <f>IFERROR(IF(OR(HLOOKUP($A345,#REF!,4,FALSE)&gt;2,HLOOKUP($A345,#REF!,4,FALSE)&lt;-2),"",#REF!),"")</f>
        <v/>
      </c>
      <c r="G345" t="str">
        <f>IFERROR(IF(OR(HLOOKUP($A345,#REF!,5,FALSE)&gt;2,HLOOKUP($A345,#REF!,5,FALSE)&lt;-2),"",#REF!),"")</f>
        <v/>
      </c>
      <c r="H345" t="str">
        <f>IFERROR(IF(OR(HLOOKUP($A345,#REF!,6,FALSE)&gt;2,HLOOKUP($A345,#REF!,6,FALSE)&lt;-2),"",#REF!),"")</f>
        <v/>
      </c>
      <c r="I345" t="str">
        <f>IFERROR(IF(OR(HLOOKUP($A345,#REF!,7,FALSE)&gt;2,HLOOKUP($A345,#REF!,7,FALSE)&lt;-2),"",#REF!),"")</f>
        <v/>
      </c>
      <c r="J345" t="str">
        <f>IFERROR(IF(OR(HLOOKUP($A345,#REF!,8,FALSE)&gt;2,HLOOKUP($A345,#REF!,8,FALSE)&lt;-2),"",#REF!),"")</f>
        <v/>
      </c>
      <c r="K345" t="str">
        <f>IFERROR(IF(OR(HLOOKUP($A345,#REF!,9,FALSE)&gt;2,HLOOKUP($A345,#REF!,9,FALSE)&lt;-2),"",#REF!),"")</f>
        <v/>
      </c>
      <c r="L345" t="str">
        <f>IFERROR(IF(OR(HLOOKUP($A345,#REF!,10,FALSE)&gt;2,HLOOKUP($A345,#REF!,10,FALSE)&lt;-2),"",#REF!),"")</f>
        <v/>
      </c>
      <c r="M345" t="str">
        <f>IFERROR(IF(OR(HLOOKUP($A345,#REF!,11,FALSE)&gt;2,HLOOKUP($A345,#REF!,11,FALSE)&lt;-2),"",#REF!),"")</f>
        <v/>
      </c>
      <c r="N345" t="str">
        <f>IFERROR(IF(OR(HLOOKUP($A345,#REF!,12,FALSE)&gt;2,HLOOKUP($A345,#REF!,12,FALSE)&lt;-2),"",#REF!),"")</f>
        <v/>
      </c>
      <c r="O345" t="str">
        <f>IFERROR(IF(OR(HLOOKUP($A345,#REF!,13,FALSE)&gt;2,HLOOKUP($A345,#REF!,13,FALSE)&lt;-2),"",#REF!),"")</f>
        <v/>
      </c>
      <c r="P345" t="str">
        <f>IFERROR(IF(OR(HLOOKUP($A345,#REF!,14,FALSE)&gt;2,HLOOKUP($A345,#REF!,14,FALSE)&lt;-2),"",#REF!),"")</f>
        <v/>
      </c>
      <c r="Q345" t="str">
        <f>IFERROR(IF(OR(HLOOKUP($A345,#REF!,15,FALSE)&gt;2,HLOOKUP($A345,#REF!,15,FALSE)&lt;-2),"",#REF!),"")</f>
        <v/>
      </c>
      <c r="R345" t="str">
        <f>IFERROR(IF(OR(HLOOKUP($A345,#REF!,16,FALSE)&gt;2,HLOOKUP($A345,#REF!,16,FALSE)&lt;-2),"",#REF!),"")</f>
        <v/>
      </c>
      <c r="S345" t="str">
        <f>IFERROR(IF(OR(HLOOKUP($A345,#REF!,17,FALSE)&gt;2,HLOOKUP($A345,#REF!,17,FALSE)&lt;-2),"",#REF!),"")</f>
        <v/>
      </c>
      <c r="T345" t="str">
        <f>IFERROR(IF(OR(HLOOKUP($A345,#REF!,18,FALSE)&gt;2,HLOOKUP($A345,#REF!,18,FALSE)&lt;-2),"",#REF!),"")</f>
        <v/>
      </c>
      <c r="U345" t="str">
        <f>IFERROR(IF(OR(HLOOKUP($A345,#REF!,19,FALSE)&gt;2,HLOOKUP($A345,#REF!,19,FALSE)&lt;-2),"",#REF!),"")</f>
        <v/>
      </c>
      <c r="V345">
        <f t="shared" si="20"/>
        <v>1</v>
      </c>
      <c r="W345" t="str">
        <f t="shared" si="21"/>
        <v/>
      </c>
      <c r="X345" t="str">
        <f t="shared" si="22"/>
        <v/>
      </c>
      <c r="Y345" t="str">
        <f t="shared" si="23"/>
        <v/>
      </c>
    </row>
    <row r="346" spans="1:25" x14ac:dyDescent="0.35">
      <c r="A346">
        <v>353</v>
      </c>
      <c r="B346" t="s">
        <v>760</v>
      </c>
      <c r="C346">
        <v>3500</v>
      </c>
      <c r="D346">
        <v>322</v>
      </c>
      <c r="E346" t="str">
        <f>IFERROR(IF(OR(HLOOKUP($A346,#REF!,3,FALSE)&gt;2,HLOOKUP(A346,#REF!,3,FALSE)&lt;-2),"",#REF!),"")</f>
        <v/>
      </c>
      <c r="F346" t="str">
        <f>IFERROR(IF(OR(HLOOKUP($A346,#REF!,4,FALSE)&gt;2,HLOOKUP($A346,#REF!,4,FALSE)&lt;-2),"",#REF!),"")</f>
        <v/>
      </c>
      <c r="G346" t="str">
        <f>IFERROR(IF(OR(HLOOKUP($A346,#REF!,5,FALSE)&gt;2,HLOOKUP($A346,#REF!,5,FALSE)&lt;-2),"",#REF!),"")</f>
        <v/>
      </c>
      <c r="H346" t="str">
        <f>IFERROR(IF(OR(HLOOKUP($A346,#REF!,6,FALSE)&gt;2,HLOOKUP($A346,#REF!,6,FALSE)&lt;-2),"",#REF!),"")</f>
        <v/>
      </c>
      <c r="I346" t="str">
        <f>IFERROR(IF(OR(HLOOKUP($A346,#REF!,7,FALSE)&gt;2,HLOOKUP($A346,#REF!,7,FALSE)&lt;-2),"",#REF!),"")</f>
        <v/>
      </c>
      <c r="J346" t="str">
        <f>IFERROR(IF(OR(HLOOKUP($A346,#REF!,8,FALSE)&gt;2,HLOOKUP($A346,#REF!,8,FALSE)&lt;-2),"",#REF!),"")</f>
        <v/>
      </c>
      <c r="K346" t="str">
        <f>IFERROR(IF(OR(HLOOKUP($A346,#REF!,9,FALSE)&gt;2,HLOOKUP($A346,#REF!,9,FALSE)&lt;-2),"",#REF!),"")</f>
        <v/>
      </c>
      <c r="L346" t="str">
        <f>IFERROR(IF(OR(HLOOKUP($A346,#REF!,10,FALSE)&gt;2,HLOOKUP($A346,#REF!,10,FALSE)&lt;-2),"",#REF!),"")</f>
        <v/>
      </c>
      <c r="M346" t="str">
        <f>IFERROR(IF(OR(HLOOKUP($A346,#REF!,11,FALSE)&gt;2,HLOOKUP($A346,#REF!,11,FALSE)&lt;-2),"",#REF!),"")</f>
        <v/>
      </c>
      <c r="N346" t="str">
        <f>IFERROR(IF(OR(HLOOKUP($A346,#REF!,12,FALSE)&gt;2,HLOOKUP($A346,#REF!,12,FALSE)&lt;-2),"",#REF!),"")</f>
        <v/>
      </c>
      <c r="O346" t="str">
        <f>IFERROR(IF(OR(HLOOKUP($A346,#REF!,13,FALSE)&gt;2,HLOOKUP($A346,#REF!,13,FALSE)&lt;-2),"",#REF!),"")</f>
        <v/>
      </c>
      <c r="P346" t="str">
        <f>IFERROR(IF(OR(HLOOKUP($A346,#REF!,14,FALSE)&gt;2,HLOOKUP($A346,#REF!,14,FALSE)&lt;-2),"",#REF!),"")</f>
        <v/>
      </c>
      <c r="Q346" t="str">
        <f>IFERROR(IF(OR(HLOOKUP($A346,#REF!,15,FALSE)&gt;2,HLOOKUP($A346,#REF!,15,FALSE)&lt;-2),"",#REF!),"")</f>
        <v/>
      </c>
      <c r="R346" t="str">
        <f>IFERROR(IF(OR(HLOOKUP($A346,#REF!,16,FALSE)&gt;2,HLOOKUP($A346,#REF!,16,FALSE)&lt;-2),"",#REF!),"")</f>
        <v/>
      </c>
      <c r="S346" t="str">
        <f>IFERROR(IF(OR(HLOOKUP($A346,#REF!,17,FALSE)&gt;2,HLOOKUP($A346,#REF!,17,FALSE)&lt;-2),"",#REF!),"")</f>
        <v/>
      </c>
      <c r="T346" t="str">
        <f>IFERROR(IF(OR(HLOOKUP($A346,#REF!,18,FALSE)&gt;2,HLOOKUP($A346,#REF!,18,FALSE)&lt;-2),"",#REF!),"")</f>
        <v/>
      </c>
      <c r="U346" t="str">
        <f>IFERROR(IF(OR(HLOOKUP($A346,#REF!,19,FALSE)&gt;2,HLOOKUP($A346,#REF!,19,FALSE)&lt;-2),"",#REF!),"")</f>
        <v/>
      </c>
      <c r="V346">
        <f t="shared" si="20"/>
        <v>1</v>
      </c>
      <c r="W346" t="str">
        <f t="shared" si="21"/>
        <v/>
      </c>
      <c r="X346" t="str">
        <f t="shared" si="22"/>
        <v/>
      </c>
      <c r="Y346" t="str">
        <f t="shared" si="23"/>
        <v/>
      </c>
    </row>
    <row r="347" spans="1:25" x14ac:dyDescent="0.35">
      <c r="A347">
        <v>354</v>
      </c>
      <c r="B347" t="s">
        <v>189</v>
      </c>
      <c r="C347">
        <v>89400</v>
      </c>
      <c r="D347">
        <v>1065</v>
      </c>
      <c r="E347" t="str">
        <f>IFERROR(IF(OR(HLOOKUP($A347,#REF!,3,FALSE)&gt;2,HLOOKUP(A347,#REF!,3,FALSE)&lt;-2),"",#REF!),"")</f>
        <v/>
      </c>
      <c r="F347" t="str">
        <f>IFERROR(IF(OR(HLOOKUP($A347,#REF!,4,FALSE)&gt;2,HLOOKUP($A347,#REF!,4,FALSE)&lt;-2),"",#REF!),"")</f>
        <v/>
      </c>
      <c r="G347" t="str">
        <f>IFERROR(IF(OR(HLOOKUP($A347,#REF!,5,FALSE)&gt;2,HLOOKUP($A347,#REF!,5,FALSE)&lt;-2),"",#REF!),"")</f>
        <v/>
      </c>
      <c r="H347" t="str">
        <f>IFERROR(IF(OR(HLOOKUP($A347,#REF!,6,FALSE)&gt;2,HLOOKUP($A347,#REF!,6,FALSE)&lt;-2),"",#REF!),"")</f>
        <v/>
      </c>
      <c r="I347" t="str">
        <f>IFERROR(IF(OR(HLOOKUP($A347,#REF!,7,FALSE)&gt;2,HLOOKUP($A347,#REF!,7,FALSE)&lt;-2),"",#REF!),"")</f>
        <v/>
      </c>
      <c r="J347" t="str">
        <f>IFERROR(IF(OR(HLOOKUP($A347,#REF!,8,FALSE)&gt;2,HLOOKUP($A347,#REF!,8,FALSE)&lt;-2),"",#REF!),"")</f>
        <v/>
      </c>
      <c r="K347" t="str">
        <f>IFERROR(IF(OR(HLOOKUP($A347,#REF!,9,FALSE)&gt;2,HLOOKUP($A347,#REF!,9,FALSE)&lt;-2),"",#REF!),"")</f>
        <v/>
      </c>
      <c r="L347" t="str">
        <f>IFERROR(IF(OR(HLOOKUP($A347,#REF!,10,FALSE)&gt;2,HLOOKUP($A347,#REF!,10,FALSE)&lt;-2),"",#REF!),"")</f>
        <v/>
      </c>
      <c r="M347" t="str">
        <f>IFERROR(IF(OR(HLOOKUP($A347,#REF!,11,FALSE)&gt;2,HLOOKUP($A347,#REF!,11,FALSE)&lt;-2),"",#REF!),"")</f>
        <v/>
      </c>
      <c r="N347" t="str">
        <f>IFERROR(IF(OR(HLOOKUP($A347,#REF!,12,FALSE)&gt;2,HLOOKUP($A347,#REF!,12,FALSE)&lt;-2),"",#REF!),"")</f>
        <v/>
      </c>
      <c r="O347" t="str">
        <f>IFERROR(IF(OR(HLOOKUP($A347,#REF!,13,FALSE)&gt;2,HLOOKUP($A347,#REF!,13,FALSE)&lt;-2),"",#REF!),"")</f>
        <v/>
      </c>
      <c r="P347" t="str">
        <f>IFERROR(IF(OR(HLOOKUP($A347,#REF!,14,FALSE)&gt;2,HLOOKUP($A347,#REF!,14,FALSE)&lt;-2),"",#REF!),"")</f>
        <v/>
      </c>
      <c r="Q347" t="str">
        <f>IFERROR(IF(OR(HLOOKUP($A347,#REF!,15,FALSE)&gt;2,HLOOKUP($A347,#REF!,15,FALSE)&lt;-2),"",#REF!),"")</f>
        <v/>
      </c>
      <c r="R347" t="str">
        <f>IFERROR(IF(OR(HLOOKUP($A347,#REF!,16,FALSE)&gt;2,HLOOKUP($A347,#REF!,16,FALSE)&lt;-2),"",#REF!),"")</f>
        <v/>
      </c>
      <c r="S347" t="str">
        <f>IFERROR(IF(OR(HLOOKUP($A347,#REF!,17,FALSE)&gt;2,HLOOKUP($A347,#REF!,17,FALSE)&lt;-2),"",#REF!),"")</f>
        <v/>
      </c>
      <c r="T347" t="str">
        <f>IFERROR(IF(OR(HLOOKUP($A347,#REF!,18,FALSE)&gt;2,HLOOKUP($A347,#REF!,18,FALSE)&lt;-2),"",#REF!),"")</f>
        <v/>
      </c>
      <c r="U347" t="str">
        <f>IFERROR(IF(OR(HLOOKUP($A347,#REF!,19,FALSE)&gt;2,HLOOKUP($A347,#REF!,19,FALSE)&lt;-2),"",#REF!),"")</f>
        <v/>
      </c>
      <c r="V347">
        <f t="shared" si="20"/>
        <v>1</v>
      </c>
      <c r="W347" t="str">
        <f t="shared" si="21"/>
        <v/>
      </c>
      <c r="X347" t="str">
        <f t="shared" si="22"/>
        <v/>
      </c>
      <c r="Y347" t="str">
        <f t="shared" si="23"/>
        <v/>
      </c>
    </row>
    <row r="348" spans="1:25" x14ac:dyDescent="0.35">
      <c r="A348">
        <v>355</v>
      </c>
      <c r="B348" t="s">
        <v>761</v>
      </c>
      <c r="C348">
        <v>24500</v>
      </c>
      <c r="D348">
        <v>111</v>
      </c>
      <c r="E348" t="str">
        <f>IFERROR(IF(OR(HLOOKUP($A348,#REF!,3,FALSE)&gt;2,HLOOKUP(A348,#REF!,3,FALSE)&lt;-2),"",#REF!),"")</f>
        <v/>
      </c>
      <c r="F348" t="str">
        <f>IFERROR(IF(OR(HLOOKUP($A348,#REF!,4,FALSE)&gt;2,HLOOKUP($A348,#REF!,4,FALSE)&lt;-2),"",#REF!),"")</f>
        <v/>
      </c>
      <c r="G348" t="str">
        <f>IFERROR(IF(OR(HLOOKUP($A348,#REF!,5,FALSE)&gt;2,HLOOKUP($A348,#REF!,5,FALSE)&lt;-2),"",#REF!),"")</f>
        <v/>
      </c>
      <c r="H348" t="str">
        <f>IFERROR(IF(OR(HLOOKUP($A348,#REF!,6,FALSE)&gt;2,HLOOKUP($A348,#REF!,6,FALSE)&lt;-2),"",#REF!),"")</f>
        <v/>
      </c>
      <c r="I348" t="str">
        <f>IFERROR(IF(OR(HLOOKUP($A348,#REF!,7,FALSE)&gt;2,HLOOKUP($A348,#REF!,7,FALSE)&lt;-2),"",#REF!),"")</f>
        <v/>
      </c>
      <c r="J348" t="str">
        <f>IFERROR(IF(OR(HLOOKUP($A348,#REF!,8,FALSE)&gt;2,HLOOKUP($A348,#REF!,8,FALSE)&lt;-2),"",#REF!),"")</f>
        <v/>
      </c>
      <c r="K348" t="str">
        <f>IFERROR(IF(OR(HLOOKUP($A348,#REF!,9,FALSE)&gt;2,HLOOKUP($A348,#REF!,9,FALSE)&lt;-2),"",#REF!),"")</f>
        <v/>
      </c>
      <c r="L348" t="str">
        <f>IFERROR(IF(OR(HLOOKUP($A348,#REF!,10,FALSE)&gt;2,HLOOKUP($A348,#REF!,10,FALSE)&lt;-2),"",#REF!),"")</f>
        <v/>
      </c>
      <c r="M348" t="str">
        <f>IFERROR(IF(OR(HLOOKUP($A348,#REF!,11,FALSE)&gt;2,HLOOKUP($A348,#REF!,11,FALSE)&lt;-2),"",#REF!),"")</f>
        <v/>
      </c>
      <c r="N348" t="str">
        <f>IFERROR(IF(OR(HLOOKUP($A348,#REF!,12,FALSE)&gt;2,HLOOKUP($A348,#REF!,12,FALSE)&lt;-2),"",#REF!),"")</f>
        <v/>
      </c>
      <c r="O348" t="str">
        <f>IFERROR(IF(OR(HLOOKUP($A348,#REF!,13,FALSE)&gt;2,HLOOKUP($A348,#REF!,13,FALSE)&lt;-2),"",#REF!),"")</f>
        <v/>
      </c>
      <c r="P348" t="str">
        <f>IFERROR(IF(OR(HLOOKUP($A348,#REF!,14,FALSE)&gt;2,HLOOKUP($A348,#REF!,14,FALSE)&lt;-2),"",#REF!),"")</f>
        <v/>
      </c>
      <c r="Q348" t="str">
        <f>IFERROR(IF(OR(HLOOKUP($A348,#REF!,15,FALSE)&gt;2,HLOOKUP($A348,#REF!,15,FALSE)&lt;-2),"",#REF!),"")</f>
        <v/>
      </c>
      <c r="R348" t="str">
        <f>IFERROR(IF(OR(HLOOKUP($A348,#REF!,16,FALSE)&gt;2,HLOOKUP($A348,#REF!,16,FALSE)&lt;-2),"",#REF!),"")</f>
        <v/>
      </c>
      <c r="S348" t="str">
        <f>IFERROR(IF(OR(HLOOKUP($A348,#REF!,17,FALSE)&gt;2,HLOOKUP($A348,#REF!,17,FALSE)&lt;-2),"",#REF!),"")</f>
        <v/>
      </c>
      <c r="T348" t="str">
        <f>IFERROR(IF(OR(HLOOKUP($A348,#REF!,18,FALSE)&gt;2,HLOOKUP($A348,#REF!,18,FALSE)&lt;-2),"",#REF!),"")</f>
        <v/>
      </c>
      <c r="U348" t="str">
        <f>IFERROR(IF(OR(HLOOKUP($A348,#REF!,19,FALSE)&gt;2,HLOOKUP($A348,#REF!,19,FALSE)&lt;-2),"",#REF!),"")</f>
        <v/>
      </c>
      <c r="V348">
        <f t="shared" si="20"/>
        <v>1</v>
      </c>
      <c r="W348" t="str">
        <f t="shared" si="21"/>
        <v/>
      </c>
      <c r="X348" t="str">
        <f t="shared" si="22"/>
        <v/>
      </c>
      <c r="Y348" t="str">
        <f t="shared" si="23"/>
        <v/>
      </c>
    </row>
    <row r="349" spans="1:25" x14ac:dyDescent="0.35">
      <c r="A349">
        <v>356</v>
      </c>
      <c r="B349" t="s">
        <v>190</v>
      </c>
      <c r="C349">
        <v>77600</v>
      </c>
      <c r="D349">
        <v>290</v>
      </c>
      <c r="E349" t="str">
        <f>IFERROR(IF(OR(HLOOKUP($A349,#REF!,3,FALSE)&gt;2,HLOOKUP(A349,#REF!,3,FALSE)&lt;-2),"",#REF!),"")</f>
        <v/>
      </c>
      <c r="F349" t="str">
        <f>IFERROR(IF(OR(HLOOKUP($A349,#REF!,4,FALSE)&gt;2,HLOOKUP($A349,#REF!,4,FALSE)&lt;-2),"",#REF!),"")</f>
        <v/>
      </c>
      <c r="G349" t="str">
        <f>IFERROR(IF(OR(HLOOKUP($A349,#REF!,5,FALSE)&gt;2,HLOOKUP($A349,#REF!,5,FALSE)&lt;-2),"",#REF!),"")</f>
        <v/>
      </c>
      <c r="H349" t="str">
        <f>IFERROR(IF(OR(HLOOKUP($A349,#REF!,6,FALSE)&gt;2,HLOOKUP($A349,#REF!,6,FALSE)&lt;-2),"",#REF!),"")</f>
        <v/>
      </c>
      <c r="I349" t="str">
        <f>IFERROR(IF(OR(HLOOKUP($A349,#REF!,7,FALSE)&gt;2,HLOOKUP($A349,#REF!,7,FALSE)&lt;-2),"",#REF!),"")</f>
        <v/>
      </c>
      <c r="J349" t="str">
        <f>IFERROR(IF(OR(HLOOKUP($A349,#REF!,8,FALSE)&gt;2,HLOOKUP($A349,#REF!,8,FALSE)&lt;-2),"",#REF!),"")</f>
        <v/>
      </c>
      <c r="K349" t="str">
        <f>IFERROR(IF(OR(HLOOKUP($A349,#REF!,9,FALSE)&gt;2,HLOOKUP($A349,#REF!,9,FALSE)&lt;-2),"",#REF!),"")</f>
        <v/>
      </c>
      <c r="L349" t="str">
        <f>IFERROR(IF(OR(HLOOKUP($A349,#REF!,10,FALSE)&gt;2,HLOOKUP($A349,#REF!,10,FALSE)&lt;-2),"",#REF!),"")</f>
        <v/>
      </c>
      <c r="M349" t="str">
        <f>IFERROR(IF(OR(HLOOKUP($A349,#REF!,11,FALSE)&gt;2,HLOOKUP($A349,#REF!,11,FALSE)&lt;-2),"",#REF!),"")</f>
        <v/>
      </c>
      <c r="N349" t="str">
        <f>IFERROR(IF(OR(HLOOKUP($A349,#REF!,12,FALSE)&gt;2,HLOOKUP($A349,#REF!,12,FALSE)&lt;-2),"",#REF!),"")</f>
        <v/>
      </c>
      <c r="O349" t="str">
        <f>IFERROR(IF(OR(HLOOKUP($A349,#REF!,13,FALSE)&gt;2,HLOOKUP($A349,#REF!,13,FALSE)&lt;-2),"",#REF!),"")</f>
        <v/>
      </c>
      <c r="P349" t="str">
        <f>IFERROR(IF(OR(HLOOKUP($A349,#REF!,14,FALSE)&gt;2,HLOOKUP($A349,#REF!,14,FALSE)&lt;-2),"",#REF!),"")</f>
        <v/>
      </c>
      <c r="Q349" t="str">
        <f>IFERROR(IF(OR(HLOOKUP($A349,#REF!,15,FALSE)&gt;2,HLOOKUP($A349,#REF!,15,FALSE)&lt;-2),"",#REF!),"")</f>
        <v/>
      </c>
      <c r="R349" t="str">
        <f>IFERROR(IF(OR(HLOOKUP($A349,#REF!,16,FALSE)&gt;2,HLOOKUP($A349,#REF!,16,FALSE)&lt;-2),"",#REF!),"")</f>
        <v/>
      </c>
      <c r="S349" t="str">
        <f>IFERROR(IF(OR(HLOOKUP($A349,#REF!,17,FALSE)&gt;2,HLOOKUP($A349,#REF!,17,FALSE)&lt;-2),"",#REF!),"")</f>
        <v/>
      </c>
      <c r="T349" t="str">
        <f>IFERROR(IF(OR(HLOOKUP($A349,#REF!,18,FALSE)&gt;2,HLOOKUP($A349,#REF!,18,FALSE)&lt;-2),"",#REF!),"")</f>
        <v/>
      </c>
      <c r="U349" t="str">
        <f>IFERROR(IF(OR(HLOOKUP($A349,#REF!,19,FALSE)&gt;2,HLOOKUP($A349,#REF!,19,FALSE)&lt;-2),"",#REF!),"")</f>
        <v/>
      </c>
      <c r="V349">
        <f t="shared" si="20"/>
        <v>1</v>
      </c>
      <c r="W349" t="str">
        <f t="shared" si="21"/>
        <v/>
      </c>
      <c r="X349" t="str">
        <f t="shared" si="22"/>
        <v/>
      </c>
      <c r="Y349" t="str">
        <f t="shared" si="23"/>
        <v/>
      </c>
    </row>
    <row r="350" spans="1:25" x14ac:dyDescent="0.35">
      <c r="A350">
        <v>357</v>
      </c>
      <c r="B350" t="s">
        <v>762</v>
      </c>
      <c r="C350">
        <v>98900</v>
      </c>
      <c r="D350">
        <v>848</v>
      </c>
      <c r="E350" t="str">
        <f>IFERROR(IF(OR(HLOOKUP($A350,#REF!,3,FALSE)&gt;2,HLOOKUP(A350,#REF!,3,FALSE)&lt;-2),"",#REF!),"")</f>
        <v/>
      </c>
      <c r="F350" t="str">
        <f>IFERROR(IF(OR(HLOOKUP($A350,#REF!,4,FALSE)&gt;2,HLOOKUP($A350,#REF!,4,FALSE)&lt;-2),"",#REF!),"")</f>
        <v/>
      </c>
      <c r="G350" t="str">
        <f>IFERROR(IF(OR(HLOOKUP($A350,#REF!,5,FALSE)&gt;2,HLOOKUP($A350,#REF!,5,FALSE)&lt;-2),"",#REF!),"")</f>
        <v/>
      </c>
      <c r="H350" t="str">
        <f>IFERROR(IF(OR(HLOOKUP($A350,#REF!,6,FALSE)&gt;2,HLOOKUP($A350,#REF!,6,FALSE)&lt;-2),"",#REF!),"")</f>
        <v/>
      </c>
      <c r="I350" t="str">
        <f>IFERROR(IF(OR(HLOOKUP($A350,#REF!,7,FALSE)&gt;2,HLOOKUP($A350,#REF!,7,FALSE)&lt;-2),"",#REF!),"")</f>
        <v/>
      </c>
      <c r="J350" t="str">
        <f>IFERROR(IF(OR(HLOOKUP($A350,#REF!,8,FALSE)&gt;2,HLOOKUP($A350,#REF!,8,FALSE)&lt;-2),"",#REF!),"")</f>
        <v/>
      </c>
      <c r="K350" t="str">
        <f>IFERROR(IF(OR(HLOOKUP($A350,#REF!,9,FALSE)&gt;2,HLOOKUP($A350,#REF!,9,FALSE)&lt;-2),"",#REF!),"")</f>
        <v/>
      </c>
      <c r="L350" t="str">
        <f>IFERROR(IF(OR(HLOOKUP($A350,#REF!,10,FALSE)&gt;2,HLOOKUP($A350,#REF!,10,FALSE)&lt;-2),"",#REF!),"")</f>
        <v/>
      </c>
      <c r="M350" t="str">
        <f>IFERROR(IF(OR(HLOOKUP($A350,#REF!,11,FALSE)&gt;2,HLOOKUP($A350,#REF!,11,FALSE)&lt;-2),"",#REF!),"")</f>
        <v/>
      </c>
      <c r="N350" t="str">
        <f>IFERROR(IF(OR(HLOOKUP($A350,#REF!,12,FALSE)&gt;2,HLOOKUP($A350,#REF!,12,FALSE)&lt;-2),"",#REF!),"")</f>
        <v/>
      </c>
      <c r="O350" t="str">
        <f>IFERROR(IF(OR(HLOOKUP($A350,#REF!,13,FALSE)&gt;2,HLOOKUP($A350,#REF!,13,FALSE)&lt;-2),"",#REF!),"")</f>
        <v/>
      </c>
      <c r="P350" t="str">
        <f>IFERROR(IF(OR(HLOOKUP($A350,#REF!,14,FALSE)&gt;2,HLOOKUP($A350,#REF!,14,FALSE)&lt;-2),"",#REF!),"")</f>
        <v/>
      </c>
      <c r="Q350" t="str">
        <f>IFERROR(IF(OR(HLOOKUP($A350,#REF!,15,FALSE)&gt;2,HLOOKUP($A350,#REF!,15,FALSE)&lt;-2),"",#REF!),"")</f>
        <v/>
      </c>
      <c r="R350" t="str">
        <f>IFERROR(IF(OR(HLOOKUP($A350,#REF!,16,FALSE)&gt;2,HLOOKUP($A350,#REF!,16,FALSE)&lt;-2),"",#REF!),"")</f>
        <v/>
      </c>
      <c r="S350" t="str">
        <f>IFERROR(IF(OR(HLOOKUP($A350,#REF!,17,FALSE)&gt;2,HLOOKUP($A350,#REF!,17,FALSE)&lt;-2),"",#REF!),"")</f>
        <v/>
      </c>
      <c r="T350" t="str">
        <f>IFERROR(IF(OR(HLOOKUP($A350,#REF!,18,FALSE)&gt;2,HLOOKUP($A350,#REF!,18,FALSE)&lt;-2),"",#REF!),"")</f>
        <v/>
      </c>
      <c r="U350" t="str">
        <f>IFERROR(IF(OR(HLOOKUP($A350,#REF!,19,FALSE)&gt;2,HLOOKUP($A350,#REF!,19,FALSE)&lt;-2),"",#REF!),"")</f>
        <v/>
      </c>
      <c r="V350">
        <f t="shared" si="20"/>
        <v>1</v>
      </c>
      <c r="W350" t="str">
        <f t="shared" si="21"/>
        <v/>
      </c>
      <c r="X350" t="str">
        <f t="shared" si="22"/>
        <v/>
      </c>
      <c r="Y350" t="str">
        <f t="shared" si="23"/>
        <v/>
      </c>
    </row>
    <row r="351" spans="1:25" x14ac:dyDescent="0.35">
      <c r="A351">
        <v>358</v>
      </c>
      <c r="B351" t="s">
        <v>191</v>
      </c>
      <c r="C351">
        <v>89300</v>
      </c>
      <c r="D351">
        <v>1117</v>
      </c>
      <c r="E351" t="str">
        <f>IFERROR(IF(OR(HLOOKUP($A351,#REF!,3,FALSE)&gt;2,HLOOKUP(A351,#REF!,3,FALSE)&lt;-2),"",#REF!),"")</f>
        <v/>
      </c>
      <c r="F351" t="str">
        <f>IFERROR(IF(OR(HLOOKUP($A351,#REF!,4,FALSE)&gt;2,HLOOKUP($A351,#REF!,4,FALSE)&lt;-2),"",#REF!),"")</f>
        <v/>
      </c>
      <c r="G351" t="str">
        <f>IFERROR(IF(OR(HLOOKUP($A351,#REF!,5,FALSE)&gt;2,HLOOKUP($A351,#REF!,5,FALSE)&lt;-2),"",#REF!),"")</f>
        <v/>
      </c>
      <c r="H351" t="str">
        <f>IFERROR(IF(OR(HLOOKUP($A351,#REF!,6,FALSE)&gt;2,HLOOKUP($A351,#REF!,6,FALSE)&lt;-2),"",#REF!),"")</f>
        <v/>
      </c>
      <c r="I351" t="str">
        <f>IFERROR(IF(OR(HLOOKUP($A351,#REF!,7,FALSE)&gt;2,HLOOKUP($A351,#REF!,7,FALSE)&lt;-2),"",#REF!),"")</f>
        <v/>
      </c>
      <c r="J351" t="str">
        <f>IFERROR(IF(OR(HLOOKUP($A351,#REF!,8,FALSE)&gt;2,HLOOKUP($A351,#REF!,8,FALSE)&lt;-2),"",#REF!),"")</f>
        <v/>
      </c>
      <c r="K351" t="str">
        <f>IFERROR(IF(OR(HLOOKUP($A351,#REF!,9,FALSE)&gt;2,HLOOKUP($A351,#REF!,9,FALSE)&lt;-2),"",#REF!),"")</f>
        <v/>
      </c>
      <c r="L351" t="str">
        <f>IFERROR(IF(OR(HLOOKUP($A351,#REF!,10,FALSE)&gt;2,HLOOKUP($A351,#REF!,10,FALSE)&lt;-2),"",#REF!),"")</f>
        <v/>
      </c>
      <c r="M351" t="str">
        <f>IFERROR(IF(OR(HLOOKUP($A351,#REF!,11,FALSE)&gt;2,HLOOKUP($A351,#REF!,11,FALSE)&lt;-2),"",#REF!),"")</f>
        <v/>
      </c>
      <c r="N351" t="str">
        <f>IFERROR(IF(OR(HLOOKUP($A351,#REF!,12,FALSE)&gt;2,HLOOKUP($A351,#REF!,12,FALSE)&lt;-2),"",#REF!),"")</f>
        <v/>
      </c>
      <c r="O351" t="str">
        <f>IFERROR(IF(OR(HLOOKUP($A351,#REF!,13,FALSE)&gt;2,HLOOKUP($A351,#REF!,13,FALSE)&lt;-2),"",#REF!),"")</f>
        <v/>
      </c>
      <c r="P351" t="str">
        <f>IFERROR(IF(OR(HLOOKUP($A351,#REF!,14,FALSE)&gt;2,HLOOKUP($A351,#REF!,14,FALSE)&lt;-2),"",#REF!),"")</f>
        <v/>
      </c>
      <c r="Q351" t="str">
        <f>IFERROR(IF(OR(HLOOKUP($A351,#REF!,15,FALSE)&gt;2,HLOOKUP($A351,#REF!,15,FALSE)&lt;-2),"",#REF!),"")</f>
        <v/>
      </c>
      <c r="R351" t="str">
        <f>IFERROR(IF(OR(HLOOKUP($A351,#REF!,16,FALSE)&gt;2,HLOOKUP($A351,#REF!,16,FALSE)&lt;-2),"",#REF!),"")</f>
        <v/>
      </c>
      <c r="S351" t="str">
        <f>IFERROR(IF(OR(HLOOKUP($A351,#REF!,17,FALSE)&gt;2,HLOOKUP($A351,#REF!,17,FALSE)&lt;-2),"",#REF!),"")</f>
        <v/>
      </c>
      <c r="T351" t="str">
        <f>IFERROR(IF(OR(HLOOKUP($A351,#REF!,18,FALSE)&gt;2,HLOOKUP($A351,#REF!,18,FALSE)&lt;-2),"",#REF!),"")</f>
        <v/>
      </c>
      <c r="U351" t="str">
        <f>IFERROR(IF(OR(HLOOKUP($A351,#REF!,19,FALSE)&gt;2,HLOOKUP($A351,#REF!,19,FALSE)&lt;-2),"",#REF!),"")</f>
        <v/>
      </c>
      <c r="V351">
        <f t="shared" si="20"/>
        <v>1</v>
      </c>
      <c r="W351" t="str">
        <f t="shared" si="21"/>
        <v/>
      </c>
      <c r="X351" t="str">
        <f t="shared" si="22"/>
        <v/>
      </c>
      <c r="Y351" t="str">
        <f t="shared" si="23"/>
        <v/>
      </c>
    </row>
    <row r="352" spans="1:25" x14ac:dyDescent="0.35">
      <c r="A352">
        <v>359</v>
      </c>
      <c r="B352" t="s">
        <v>763</v>
      </c>
      <c r="C352">
        <v>53000</v>
      </c>
      <c r="D352">
        <v>351</v>
      </c>
      <c r="E352" t="str">
        <f>IFERROR(IF(OR(HLOOKUP($A352,#REF!,3,FALSE)&gt;2,HLOOKUP(A352,#REF!,3,FALSE)&lt;-2),"",#REF!),"")</f>
        <v/>
      </c>
      <c r="F352" t="str">
        <f>IFERROR(IF(OR(HLOOKUP($A352,#REF!,4,FALSE)&gt;2,HLOOKUP($A352,#REF!,4,FALSE)&lt;-2),"",#REF!),"")</f>
        <v/>
      </c>
      <c r="G352" t="str">
        <f>IFERROR(IF(OR(HLOOKUP($A352,#REF!,5,FALSE)&gt;2,HLOOKUP($A352,#REF!,5,FALSE)&lt;-2),"",#REF!),"")</f>
        <v/>
      </c>
      <c r="H352" t="str">
        <f>IFERROR(IF(OR(HLOOKUP($A352,#REF!,6,FALSE)&gt;2,HLOOKUP($A352,#REF!,6,FALSE)&lt;-2),"",#REF!),"")</f>
        <v/>
      </c>
      <c r="I352" t="str">
        <f>IFERROR(IF(OR(HLOOKUP($A352,#REF!,7,FALSE)&gt;2,HLOOKUP($A352,#REF!,7,FALSE)&lt;-2),"",#REF!),"")</f>
        <v/>
      </c>
      <c r="J352" t="str">
        <f>IFERROR(IF(OR(HLOOKUP($A352,#REF!,8,FALSE)&gt;2,HLOOKUP($A352,#REF!,8,FALSE)&lt;-2),"",#REF!),"")</f>
        <v/>
      </c>
      <c r="K352" t="str">
        <f>IFERROR(IF(OR(HLOOKUP($A352,#REF!,9,FALSE)&gt;2,HLOOKUP($A352,#REF!,9,FALSE)&lt;-2),"",#REF!),"")</f>
        <v/>
      </c>
      <c r="L352" t="str">
        <f>IFERROR(IF(OR(HLOOKUP($A352,#REF!,10,FALSE)&gt;2,HLOOKUP($A352,#REF!,10,FALSE)&lt;-2),"",#REF!),"")</f>
        <v/>
      </c>
      <c r="M352" t="str">
        <f>IFERROR(IF(OR(HLOOKUP($A352,#REF!,11,FALSE)&gt;2,HLOOKUP($A352,#REF!,11,FALSE)&lt;-2),"",#REF!),"")</f>
        <v/>
      </c>
      <c r="N352" t="str">
        <f>IFERROR(IF(OR(HLOOKUP($A352,#REF!,12,FALSE)&gt;2,HLOOKUP($A352,#REF!,12,FALSE)&lt;-2),"",#REF!),"")</f>
        <v/>
      </c>
      <c r="O352" t="str">
        <f>IFERROR(IF(OR(HLOOKUP($A352,#REF!,13,FALSE)&gt;2,HLOOKUP($A352,#REF!,13,FALSE)&lt;-2),"",#REF!),"")</f>
        <v/>
      </c>
      <c r="P352" t="str">
        <f>IFERROR(IF(OR(HLOOKUP($A352,#REF!,14,FALSE)&gt;2,HLOOKUP($A352,#REF!,14,FALSE)&lt;-2),"",#REF!),"")</f>
        <v/>
      </c>
      <c r="Q352" t="str">
        <f>IFERROR(IF(OR(HLOOKUP($A352,#REF!,15,FALSE)&gt;2,HLOOKUP($A352,#REF!,15,FALSE)&lt;-2),"",#REF!),"")</f>
        <v/>
      </c>
      <c r="R352" t="str">
        <f>IFERROR(IF(OR(HLOOKUP($A352,#REF!,16,FALSE)&gt;2,HLOOKUP($A352,#REF!,16,FALSE)&lt;-2),"",#REF!),"")</f>
        <v/>
      </c>
      <c r="S352" t="str">
        <f>IFERROR(IF(OR(HLOOKUP($A352,#REF!,17,FALSE)&gt;2,HLOOKUP($A352,#REF!,17,FALSE)&lt;-2),"",#REF!),"")</f>
        <v/>
      </c>
      <c r="T352" t="str">
        <f>IFERROR(IF(OR(HLOOKUP($A352,#REF!,18,FALSE)&gt;2,HLOOKUP($A352,#REF!,18,FALSE)&lt;-2),"",#REF!),"")</f>
        <v/>
      </c>
      <c r="U352" t="str">
        <f>IFERROR(IF(OR(HLOOKUP($A352,#REF!,19,FALSE)&gt;2,HLOOKUP($A352,#REF!,19,FALSE)&lt;-2),"",#REF!),"")</f>
        <v/>
      </c>
      <c r="V352">
        <f t="shared" si="20"/>
        <v>1</v>
      </c>
      <c r="W352" t="str">
        <f t="shared" si="21"/>
        <v/>
      </c>
      <c r="X352" t="str">
        <f t="shared" si="22"/>
        <v/>
      </c>
      <c r="Y352" t="str">
        <f t="shared" si="23"/>
        <v/>
      </c>
    </row>
    <row r="353" spans="1:25" x14ac:dyDescent="0.35">
      <c r="A353">
        <v>360</v>
      </c>
      <c r="B353" t="s">
        <v>764</v>
      </c>
      <c r="C353">
        <v>33300</v>
      </c>
      <c r="D353">
        <v>814</v>
      </c>
      <c r="E353" t="str">
        <f>IFERROR(IF(OR(HLOOKUP($A353,#REF!,3,FALSE)&gt;2,HLOOKUP(A353,#REF!,3,FALSE)&lt;-2),"",#REF!),"")</f>
        <v/>
      </c>
      <c r="F353" t="str">
        <f>IFERROR(IF(OR(HLOOKUP($A353,#REF!,4,FALSE)&gt;2,HLOOKUP($A353,#REF!,4,FALSE)&lt;-2),"",#REF!),"")</f>
        <v/>
      </c>
      <c r="G353" t="str">
        <f>IFERROR(IF(OR(HLOOKUP($A353,#REF!,5,FALSE)&gt;2,HLOOKUP($A353,#REF!,5,FALSE)&lt;-2),"",#REF!),"")</f>
        <v/>
      </c>
      <c r="H353" t="str">
        <f>IFERROR(IF(OR(HLOOKUP($A353,#REF!,6,FALSE)&gt;2,HLOOKUP($A353,#REF!,6,FALSE)&lt;-2),"",#REF!),"")</f>
        <v/>
      </c>
      <c r="I353" t="str">
        <f>IFERROR(IF(OR(HLOOKUP($A353,#REF!,7,FALSE)&gt;2,HLOOKUP($A353,#REF!,7,FALSE)&lt;-2),"",#REF!),"")</f>
        <v/>
      </c>
      <c r="J353" t="str">
        <f>IFERROR(IF(OR(HLOOKUP($A353,#REF!,8,FALSE)&gt;2,HLOOKUP($A353,#REF!,8,FALSE)&lt;-2),"",#REF!),"")</f>
        <v/>
      </c>
      <c r="K353" t="str">
        <f>IFERROR(IF(OR(HLOOKUP($A353,#REF!,9,FALSE)&gt;2,HLOOKUP($A353,#REF!,9,FALSE)&lt;-2),"",#REF!),"")</f>
        <v/>
      </c>
      <c r="L353" t="str">
        <f>IFERROR(IF(OR(HLOOKUP($A353,#REF!,10,FALSE)&gt;2,HLOOKUP($A353,#REF!,10,FALSE)&lt;-2),"",#REF!),"")</f>
        <v/>
      </c>
      <c r="M353" t="str">
        <f>IFERROR(IF(OR(HLOOKUP($A353,#REF!,11,FALSE)&gt;2,HLOOKUP($A353,#REF!,11,FALSE)&lt;-2),"",#REF!),"")</f>
        <v/>
      </c>
      <c r="N353" t="str">
        <f>IFERROR(IF(OR(HLOOKUP($A353,#REF!,12,FALSE)&gt;2,HLOOKUP($A353,#REF!,12,FALSE)&lt;-2),"",#REF!),"")</f>
        <v/>
      </c>
      <c r="O353" t="str">
        <f>IFERROR(IF(OR(HLOOKUP($A353,#REF!,13,FALSE)&gt;2,HLOOKUP($A353,#REF!,13,FALSE)&lt;-2),"",#REF!),"")</f>
        <v/>
      </c>
      <c r="P353" t="str">
        <f>IFERROR(IF(OR(HLOOKUP($A353,#REF!,14,FALSE)&gt;2,HLOOKUP($A353,#REF!,14,FALSE)&lt;-2),"",#REF!),"")</f>
        <v/>
      </c>
      <c r="Q353" t="str">
        <f>IFERROR(IF(OR(HLOOKUP($A353,#REF!,15,FALSE)&gt;2,HLOOKUP($A353,#REF!,15,FALSE)&lt;-2),"",#REF!),"")</f>
        <v/>
      </c>
      <c r="R353" t="str">
        <f>IFERROR(IF(OR(HLOOKUP($A353,#REF!,16,FALSE)&gt;2,HLOOKUP($A353,#REF!,16,FALSE)&lt;-2),"",#REF!),"")</f>
        <v/>
      </c>
      <c r="S353" t="str">
        <f>IFERROR(IF(OR(HLOOKUP($A353,#REF!,17,FALSE)&gt;2,HLOOKUP($A353,#REF!,17,FALSE)&lt;-2),"",#REF!),"")</f>
        <v/>
      </c>
      <c r="T353" t="str">
        <f>IFERROR(IF(OR(HLOOKUP($A353,#REF!,18,FALSE)&gt;2,HLOOKUP($A353,#REF!,18,FALSE)&lt;-2),"",#REF!),"")</f>
        <v/>
      </c>
      <c r="U353" t="str">
        <f>IFERROR(IF(OR(HLOOKUP($A353,#REF!,19,FALSE)&gt;2,HLOOKUP($A353,#REF!,19,FALSE)&lt;-2),"",#REF!),"")</f>
        <v/>
      </c>
      <c r="V353">
        <f t="shared" si="20"/>
        <v>1</v>
      </c>
      <c r="W353" t="str">
        <f t="shared" si="21"/>
        <v/>
      </c>
      <c r="X353" t="str">
        <f t="shared" si="22"/>
        <v/>
      </c>
      <c r="Y353" t="str">
        <f t="shared" si="23"/>
        <v/>
      </c>
    </row>
    <row r="354" spans="1:25" x14ac:dyDescent="0.35">
      <c r="A354">
        <v>361</v>
      </c>
      <c r="B354" t="s">
        <v>765</v>
      </c>
      <c r="C354">
        <v>7000</v>
      </c>
      <c r="D354">
        <v>322</v>
      </c>
      <c r="E354" t="str">
        <f>IFERROR(IF(OR(HLOOKUP($A354,#REF!,3,FALSE)&gt;2,HLOOKUP(A354,#REF!,3,FALSE)&lt;-2),"",#REF!),"")</f>
        <v/>
      </c>
      <c r="F354" t="str">
        <f>IFERROR(IF(OR(HLOOKUP($A354,#REF!,4,FALSE)&gt;2,HLOOKUP($A354,#REF!,4,FALSE)&lt;-2),"",#REF!),"")</f>
        <v/>
      </c>
      <c r="G354" t="str">
        <f>IFERROR(IF(OR(HLOOKUP($A354,#REF!,5,FALSE)&gt;2,HLOOKUP($A354,#REF!,5,FALSE)&lt;-2),"",#REF!),"")</f>
        <v/>
      </c>
      <c r="H354" t="str">
        <f>IFERROR(IF(OR(HLOOKUP($A354,#REF!,6,FALSE)&gt;2,HLOOKUP($A354,#REF!,6,FALSE)&lt;-2),"",#REF!),"")</f>
        <v/>
      </c>
      <c r="I354" t="str">
        <f>IFERROR(IF(OR(HLOOKUP($A354,#REF!,7,FALSE)&gt;2,HLOOKUP($A354,#REF!,7,FALSE)&lt;-2),"",#REF!),"")</f>
        <v/>
      </c>
      <c r="J354" t="str">
        <f>IFERROR(IF(OR(HLOOKUP($A354,#REF!,8,FALSE)&gt;2,HLOOKUP($A354,#REF!,8,FALSE)&lt;-2),"",#REF!),"")</f>
        <v/>
      </c>
      <c r="K354" t="str">
        <f>IFERROR(IF(OR(HLOOKUP($A354,#REF!,9,FALSE)&gt;2,HLOOKUP($A354,#REF!,9,FALSE)&lt;-2),"",#REF!),"")</f>
        <v/>
      </c>
      <c r="L354" t="str">
        <f>IFERROR(IF(OR(HLOOKUP($A354,#REF!,10,FALSE)&gt;2,HLOOKUP($A354,#REF!,10,FALSE)&lt;-2),"",#REF!),"")</f>
        <v/>
      </c>
      <c r="M354" t="str">
        <f>IFERROR(IF(OR(HLOOKUP($A354,#REF!,11,FALSE)&gt;2,HLOOKUP($A354,#REF!,11,FALSE)&lt;-2),"",#REF!),"")</f>
        <v/>
      </c>
      <c r="N354" t="str">
        <f>IFERROR(IF(OR(HLOOKUP($A354,#REF!,12,FALSE)&gt;2,HLOOKUP($A354,#REF!,12,FALSE)&lt;-2),"",#REF!),"")</f>
        <v/>
      </c>
      <c r="O354" t="str">
        <f>IFERROR(IF(OR(HLOOKUP($A354,#REF!,13,FALSE)&gt;2,HLOOKUP($A354,#REF!,13,FALSE)&lt;-2),"",#REF!),"")</f>
        <v/>
      </c>
      <c r="P354" t="str">
        <f>IFERROR(IF(OR(HLOOKUP($A354,#REF!,14,FALSE)&gt;2,HLOOKUP($A354,#REF!,14,FALSE)&lt;-2),"",#REF!),"")</f>
        <v/>
      </c>
      <c r="Q354" t="str">
        <f>IFERROR(IF(OR(HLOOKUP($A354,#REF!,15,FALSE)&gt;2,HLOOKUP($A354,#REF!,15,FALSE)&lt;-2),"",#REF!),"")</f>
        <v/>
      </c>
      <c r="R354" t="str">
        <f>IFERROR(IF(OR(HLOOKUP($A354,#REF!,16,FALSE)&gt;2,HLOOKUP($A354,#REF!,16,FALSE)&lt;-2),"",#REF!),"")</f>
        <v/>
      </c>
      <c r="S354" t="str">
        <f>IFERROR(IF(OR(HLOOKUP($A354,#REF!,17,FALSE)&gt;2,HLOOKUP($A354,#REF!,17,FALSE)&lt;-2),"",#REF!),"")</f>
        <v/>
      </c>
      <c r="T354" t="str">
        <f>IFERROR(IF(OR(HLOOKUP($A354,#REF!,18,FALSE)&gt;2,HLOOKUP($A354,#REF!,18,FALSE)&lt;-2),"",#REF!),"")</f>
        <v/>
      </c>
      <c r="U354" t="str">
        <f>IFERROR(IF(OR(HLOOKUP($A354,#REF!,19,FALSE)&gt;2,HLOOKUP($A354,#REF!,19,FALSE)&lt;-2),"",#REF!),"")</f>
        <v/>
      </c>
      <c r="V354">
        <f t="shared" si="20"/>
        <v>1</v>
      </c>
      <c r="W354" t="str">
        <f t="shared" si="21"/>
        <v/>
      </c>
      <c r="X354" t="str">
        <f t="shared" si="22"/>
        <v/>
      </c>
      <c r="Y354" t="str">
        <f t="shared" si="23"/>
        <v/>
      </c>
    </row>
    <row r="355" spans="1:25" x14ac:dyDescent="0.35">
      <c r="A355">
        <v>362</v>
      </c>
      <c r="B355" t="s">
        <v>192</v>
      </c>
      <c r="C355">
        <v>67300</v>
      </c>
      <c r="D355">
        <v>444</v>
      </c>
      <c r="E355" t="str">
        <f>IFERROR(IF(OR(HLOOKUP($A355,#REF!,3,FALSE)&gt;2,HLOOKUP(A355,#REF!,3,FALSE)&lt;-2),"",#REF!),"")</f>
        <v/>
      </c>
      <c r="F355" t="str">
        <f>IFERROR(IF(OR(HLOOKUP($A355,#REF!,4,FALSE)&gt;2,HLOOKUP($A355,#REF!,4,FALSE)&lt;-2),"",#REF!),"")</f>
        <v/>
      </c>
      <c r="G355" t="str">
        <f>IFERROR(IF(OR(HLOOKUP($A355,#REF!,5,FALSE)&gt;2,HLOOKUP($A355,#REF!,5,FALSE)&lt;-2),"",#REF!),"")</f>
        <v/>
      </c>
      <c r="H355" t="str">
        <f>IFERROR(IF(OR(HLOOKUP($A355,#REF!,6,FALSE)&gt;2,HLOOKUP($A355,#REF!,6,FALSE)&lt;-2),"",#REF!),"")</f>
        <v/>
      </c>
      <c r="I355" t="str">
        <f>IFERROR(IF(OR(HLOOKUP($A355,#REF!,7,FALSE)&gt;2,HLOOKUP($A355,#REF!,7,FALSE)&lt;-2),"",#REF!),"")</f>
        <v/>
      </c>
      <c r="J355" t="str">
        <f>IFERROR(IF(OR(HLOOKUP($A355,#REF!,8,FALSE)&gt;2,HLOOKUP($A355,#REF!,8,FALSE)&lt;-2),"",#REF!),"")</f>
        <v/>
      </c>
      <c r="K355" t="str">
        <f>IFERROR(IF(OR(HLOOKUP($A355,#REF!,9,FALSE)&gt;2,HLOOKUP($A355,#REF!,9,FALSE)&lt;-2),"",#REF!),"")</f>
        <v/>
      </c>
      <c r="L355" t="str">
        <f>IFERROR(IF(OR(HLOOKUP($A355,#REF!,10,FALSE)&gt;2,HLOOKUP($A355,#REF!,10,FALSE)&lt;-2),"",#REF!),"")</f>
        <v/>
      </c>
      <c r="M355" t="str">
        <f>IFERROR(IF(OR(HLOOKUP($A355,#REF!,11,FALSE)&gt;2,HLOOKUP($A355,#REF!,11,FALSE)&lt;-2),"",#REF!),"")</f>
        <v/>
      </c>
      <c r="N355" t="str">
        <f>IFERROR(IF(OR(HLOOKUP($A355,#REF!,12,FALSE)&gt;2,HLOOKUP($A355,#REF!,12,FALSE)&lt;-2),"",#REF!),"")</f>
        <v/>
      </c>
      <c r="O355" t="str">
        <f>IFERROR(IF(OR(HLOOKUP($A355,#REF!,13,FALSE)&gt;2,HLOOKUP($A355,#REF!,13,FALSE)&lt;-2),"",#REF!),"")</f>
        <v/>
      </c>
      <c r="P355" t="str">
        <f>IFERROR(IF(OR(HLOOKUP($A355,#REF!,14,FALSE)&gt;2,HLOOKUP($A355,#REF!,14,FALSE)&lt;-2),"",#REF!),"")</f>
        <v/>
      </c>
      <c r="Q355" t="str">
        <f>IFERROR(IF(OR(HLOOKUP($A355,#REF!,15,FALSE)&gt;2,HLOOKUP($A355,#REF!,15,FALSE)&lt;-2),"",#REF!),"")</f>
        <v/>
      </c>
      <c r="R355" t="str">
        <f>IFERROR(IF(OR(HLOOKUP($A355,#REF!,16,FALSE)&gt;2,HLOOKUP($A355,#REF!,16,FALSE)&lt;-2),"",#REF!),"")</f>
        <v/>
      </c>
      <c r="S355" t="str">
        <f>IFERROR(IF(OR(HLOOKUP($A355,#REF!,17,FALSE)&gt;2,HLOOKUP($A355,#REF!,17,FALSE)&lt;-2),"",#REF!),"")</f>
        <v/>
      </c>
      <c r="T355" t="str">
        <f>IFERROR(IF(OR(HLOOKUP($A355,#REF!,18,FALSE)&gt;2,HLOOKUP($A355,#REF!,18,FALSE)&lt;-2),"",#REF!),"")</f>
        <v/>
      </c>
      <c r="U355" t="str">
        <f>IFERROR(IF(OR(HLOOKUP($A355,#REF!,19,FALSE)&gt;2,HLOOKUP($A355,#REF!,19,FALSE)&lt;-2),"",#REF!),"")</f>
        <v/>
      </c>
      <c r="V355">
        <f t="shared" si="20"/>
        <v>1</v>
      </c>
      <c r="W355" t="str">
        <f t="shared" si="21"/>
        <v/>
      </c>
      <c r="X355" t="str">
        <f t="shared" si="22"/>
        <v/>
      </c>
      <c r="Y355" t="str">
        <f t="shared" si="23"/>
        <v/>
      </c>
    </row>
    <row r="356" spans="1:25" x14ac:dyDescent="0.35">
      <c r="A356">
        <v>363</v>
      </c>
      <c r="B356" t="s">
        <v>193</v>
      </c>
      <c r="C356">
        <v>20500</v>
      </c>
      <c r="D356">
        <v>972</v>
      </c>
      <c r="E356" t="str">
        <f>IFERROR(IF(OR(HLOOKUP($A356,#REF!,3,FALSE)&gt;2,HLOOKUP(A356,#REF!,3,FALSE)&lt;-2),"",#REF!),"")</f>
        <v/>
      </c>
      <c r="F356" t="str">
        <f>IFERROR(IF(OR(HLOOKUP($A356,#REF!,4,FALSE)&gt;2,HLOOKUP($A356,#REF!,4,FALSE)&lt;-2),"",#REF!),"")</f>
        <v/>
      </c>
      <c r="G356" t="str">
        <f>IFERROR(IF(OR(HLOOKUP($A356,#REF!,5,FALSE)&gt;2,HLOOKUP($A356,#REF!,5,FALSE)&lt;-2),"",#REF!),"")</f>
        <v/>
      </c>
      <c r="H356" t="str">
        <f>IFERROR(IF(OR(HLOOKUP($A356,#REF!,6,FALSE)&gt;2,HLOOKUP($A356,#REF!,6,FALSE)&lt;-2),"",#REF!),"")</f>
        <v/>
      </c>
      <c r="I356" t="str">
        <f>IFERROR(IF(OR(HLOOKUP($A356,#REF!,7,FALSE)&gt;2,HLOOKUP($A356,#REF!,7,FALSE)&lt;-2),"",#REF!),"")</f>
        <v/>
      </c>
      <c r="J356" t="str">
        <f>IFERROR(IF(OR(HLOOKUP($A356,#REF!,8,FALSE)&gt;2,HLOOKUP($A356,#REF!,8,FALSE)&lt;-2),"",#REF!),"")</f>
        <v/>
      </c>
      <c r="K356" t="str">
        <f>IFERROR(IF(OR(HLOOKUP($A356,#REF!,9,FALSE)&gt;2,HLOOKUP($A356,#REF!,9,FALSE)&lt;-2),"",#REF!),"")</f>
        <v/>
      </c>
      <c r="L356" t="str">
        <f>IFERROR(IF(OR(HLOOKUP($A356,#REF!,10,FALSE)&gt;2,HLOOKUP($A356,#REF!,10,FALSE)&lt;-2),"",#REF!),"")</f>
        <v/>
      </c>
      <c r="M356" t="str">
        <f>IFERROR(IF(OR(HLOOKUP($A356,#REF!,11,FALSE)&gt;2,HLOOKUP($A356,#REF!,11,FALSE)&lt;-2),"",#REF!),"")</f>
        <v/>
      </c>
      <c r="N356" t="str">
        <f>IFERROR(IF(OR(HLOOKUP($A356,#REF!,12,FALSE)&gt;2,HLOOKUP($A356,#REF!,12,FALSE)&lt;-2),"",#REF!),"")</f>
        <v/>
      </c>
      <c r="O356" t="str">
        <f>IFERROR(IF(OR(HLOOKUP($A356,#REF!,13,FALSE)&gt;2,HLOOKUP($A356,#REF!,13,FALSE)&lt;-2),"",#REF!),"")</f>
        <v/>
      </c>
      <c r="P356" t="str">
        <f>IFERROR(IF(OR(HLOOKUP($A356,#REF!,14,FALSE)&gt;2,HLOOKUP($A356,#REF!,14,FALSE)&lt;-2),"",#REF!),"")</f>
        <v/>
      </c>
      <c r="Q356" t="str">
        <f>IFERROR(IF(OR(HLOOKUP($A356,#REF!,15,FALSE)&gt;2,HLOOKUP($A356,#REF!,15,FALSE)&lt;-2),"",#REF!),"")</f>
        <v/>
      </c>
      <c r="R356" t="str">
        <f>IFERROR(IF(OR(HLOOKUP($A356,#REF!,16,FALSE)&gt;2,HLOOKUP($A356,#REF!,16,FALSE)&lt;-2),"",#REF!),"")</f>
        <v/>
      </c>
      <c r="S356" t="str">
        <f>IFERROR(IF(OR(HLOOKUP($A356,#REF!,17,FALSE)&gt;2,HLOOKUP($A356,#REF!,17,FALSE)&lt;-2),"",#REF!),"")</f>
        <v/>
      </c>
      <c r="T356" t="str">
        <f>IFERROR(IF(OR(HLOOKUP($A356,#REF!,18,FALSE)&gt;2,HLOOKUP($A356,#REF!,18,FALSE)&lt;-2),"",#REF!),"")</f>
        <v/>
      </c>
      <c r="U356" t="str">
        <f>IFERROR(IF(OR(HLOOKUP($A356,#REF!,19,FALSE)&gt;2,HLOOKUP($A356,#REF!,19,FALSE)&lt;-2),"",#REF!),"")</f>
        <v/>
      </c>
      <c r="V356">
        <f t="shared" si="20"/>
        <v>1</v>
      </c>
      <c r="W356" t="str">
        <f t="shared" si="21"/>
        <v/>
      </c>
      <c r="X356" t="str">
        <f t="shared" si="22"/>
        <v/>
      </c>
      <c r="Y356" t="str">
        <f t="shared" si="23"/>
        <v/>
      </c>
    </row>
    <row r="357" spans="1:25" x14ac:dyDescent="0.35">
      <c r="A357">
        <v>364</v>
      </c>
      <c r="B357" t="s">
        <v>194</v>
      </c>
      <c r="C357">
        <v>77700</v>
      </c>
      <c r="D357">
        <v>290</v>
      </c>
      <c r="E357" t="str">
        <f>IFERROR(IF(OR(HLOOKUP($A357,#REF!,3,FALSE)&gt;2,HLOOKUP(A357,#REF!,3,FALSE)&lt;-2),"",#REF!),"")</f>
        <v/>
      </c>
      <c r="F357" t="str">
        <f>IFERROR(IF(OR(HLOOKUP($A357,#REF!,4,FALSE)&gt;2,HLOOKUP($A357,#REF!,4,FALSE)&lt;-2),"",#REF!),"")</f>
        <v/>
      </c>
      <c r="G357" t="str">
        <f>IFERROR(IF(OR(HLOOKUP($A357,#REF!,5,FALSE)&gt;2,HLOOKUP($A357,#REF!,5,FALSE)&lt;-2),"",#REF!),"")</f>
        <v/>
      </c>
      <c r="H357" t="str">
        <f>IFERROR(IF(OR(HLOOKUP($A357,#REF!,6,FALSE)&gt;2,HLOOKUP($A357,#REF!,6,FALSE)&lt;-2),"",#REF!),"")</f>
        <v/>
      </c>
      <c r="I357" t="str">
        <f>IFERROR(IF(OR(HLOOKUP($A357,#REF!,7,FALSE)&gt;2,HLOOKUP($A357,#REF!,7,FALSE)&lt;-2),"",#REF!),"")</f>
        <v/>
      </c>
      <c r="J357" t="str">
        <f>IFERROR(IF(OR(HLOOKUP($A357,#REF!,8,FALSE)&gt;2,HLOOKUP($A357,#REF!,8,FALSE)&lt;-2),"",#REF!),"")</f>
        <v/>
      </c>
      <c r="K357" t="str">
        <f>IFERROR(IF(OR(HLOOKUP($A357,#REF!,9,FALSE)&gt;2,HLOOKUP($A357,#REF!,9,FALSE)&lt;-2),"",#REF!),"")</f>
        <v/>
      </c>
      <c r="L357" t="str">
        <f>IFERROR(IF(OR(HLOOKUP($A357,#REF!,10,FALSE)&gt;2,HLOOKUP($A357,#REF!,10,FALSE)&lt;-2),"",#REF!),"")</f>
        <v/>
      </c>
      <c r="M357" t="str">
        <f>IFERROR(IF(OR(HLOOKUP($A357,#REF!,11,FALSE)&gt;2,HLOOKUP($A357,#REF!,11,FALSE)&lt;-2),"",#REF!),"")</f>
        <v/>
      </c>
      <c r="N357" t="str">
        <f>IFERROR(IF(OR(HLOOKUP($A357,#REF!,12,FALSE)&gt;2,HLOOKUP($A357,#REF!,12,FALSE)&lt;-2),"",#REF!),"")</f>
        <v/>
      </c>
      <c r="O357" t="str">
        <f>IFERROR(IF(OR(HLOOKUP($A357,#REF!,13,FALSE)&gt;2,HLOOKUP($A357,#REF!,13,FALSE)&lt;-2),"",#REF!),"")</f>
        <v/>
      </c>
      <c r="P357" t="str">
        <f>IFERROR(IF(OR(HLOOKUP($A357,#REF!,14,FALSE)&gt;2,HLOOKUP($A357,#REF!,14,FALSE)&lt;-2),"",#REF!),"")</f>
        <v/>
      </c>
      <c r="Q357" t="str">
        <f>IFERROR(IF(OR(HLOOKUP($A357,#REF!,15,FALSE)&gt;2,HLOOKUP($A357,#REF!,15,FALSE)&lt;-2),"",#REF!),"")</f>
        <v/>
      </c>
      <c r="R357" t="str">
        <f>IFERROR(IF(OR(HLOOKUP($A357,#REF!,16,FALSE)&gt;2,HLOOKUP($A357,#REF!,16,FALSE)&lt;-2),"",#REF!),"")</f>
        <v/>
      </c>
      <c r="S357" t="str">
        <f>IFERROR(IF(OR(HLOOKUP($A357,#REF!,17,FALSE)&gt;2,HLOOKUP($A357,#REF!,17,FALSE)&lt;-2),"",#REF!),"")</f>
        <v/>
      </c>
      <c r="T357" t="str">
        <f>IFERROR(IF(OR(HLOOKUP($A357,#REF!,18,FALSE)&gt;2,HLOOKUP($A357,#REF!,18,FALSE)&lt;-2),"",#REF!),"")</f>
        <v/>
      </c>
      <c r="U357" t="str">
        <f>IFERROR(IF(OR(HLOOKUP($A357,#REF!,19,FALSE)&gt;2,HLOOKUP($A357,#REF!,19,FALSE)&lt;-2),"",#REF!),"")</f>
        <v/>
      </c>
      <c r="V357">
        <f t="shared" si="20"/>
        <v>1</v>
      </c>
      <c r="W357" t="str">
        <f t="shared" si="21"/>
        <v/>
      </c>
      <c r="X357" t="str">
        <f t="shared" si="22"/>
        <v/>
      </c>
      <c r="Y357" t="str">
        <f t="shared" si="23"/>
        <v/>
      </c>
    </row>
    <row r="358" spans="1:25" x14ac:dyDescent="0.35">
      <c r="A358">
        <v>365</v>
      </c>
      <c r="B358" t="s">
        <v>766</v>
      </c>
      <c r="C358">
        <v>108400</v>
      </c>
      <c r="D358">
        <v>896</v>
      </c>
      <c r="E358" t="str">
        <f>IFERROR(IF(OR(HLOOKUP($A358,#REF!,3,FALSE)&gt;2,HLOOKUP(A358,#REF!,3,FALSE)&lt;-2),"",#REF!),"")</f>
        <v/>
      </c>
      <c r="F358" t="str">
        <f>IFERROR(IF(OR(HLOOKUP($A358,#REF!,4,FALSE)&gt;2,HLOOKUP($A358,#REF!,4,FALSE)&lt;-2),"",#REF!),"")</f>
        <v/>
      </c>
      <c r="G358" t="str">
        <f>IFERROR(IF(OR(HLOOKUP($A358,#REF!,5,FALSE)&gt;2,HLOOKUP($A358,#REF!,5,FALSE)&lt;-2),"",#REF!),"")</f>
        <v/>
      </c>
      <c r="H358" t="str">
        <f>IFERROR(IF(OR(HLOOKUP($A358,#REF!,6,FALSE)&gt;2,HLOOKUP($A358,#REF!,6,FALSE)&lt;-2),"",#REF!),"")</f>
        <v/>
      </c>
      <c r="I358" t="str">
        <f>IFERROR(IF(OR(HLOOKUP($A358,#REF!,7,FALSE)&gt;2,HLOOKUP($A358,#REF!,7,FALSE)&lt;-2),"",#REF!),"")</f>
        <v/>
      </c>
      <c r="J358" t="str">
        <f>IFERROR(IF(OR(HLOOKUP($A358,#REF!,8,FALSE)&gt;2,HLOOKUP($A358,#REF!,8,FALSE)&lt;-2),"",#REF!),"")</f>
        <v/>
      </c>
      <c r="K358" t="str">
        <f>IFERROR(IF(OR(HLOOKUP($A358,#REF!,9,FALSE)&gt;2,HLOOKUP($A358,#REF!,9,FALSE)&lt;-2),"",#REF!),"")</f>
        <v/>
      </c>
      <c r="L358" t="str">
        <f>IFERROR(IF(OR(HLOOKUP($A358,#REF!,10,FALSE)&gt;2,HLOOKUP($A358,#REF!,10,FALSE)&lt;-2),"",#REF!),"")</f>
        <v/>
      </c>
      <c r="M358" t="str">
        <f>IFERROR(IF(OR(HLOOKUP($A358,#REF!,11,FALSE)&gt;2,HLOOKUP($A358,#REF!,11,FALSE)&lt;-2),"",#REF!),"")</f>
        <v/>
      </c>
      <c r="N358" t="str">
        <f>IFERROR(IF(OR(HLOOKUP($A358,#REF!,12,FALSE)&gt;2,HLOOKUP($A358,#REF!,12,FALSE)&lt;-2),"",#REF!),"")</f>
        <v/>
      </c>
      <c r="O358" t="str">
        <f>IFERROR(IF(OR(HLOOKUP($A358,#REF!,13,FALSE)&gt;2,HLOOKUP($A358,#REF!,13,FALSE)&lt;-2),"",#REF!),"")</f>
        <v/>
      </c>
      <c r="P358" t="str">
        <f>IFERROR(IF(OR(HLOOKUP($A358,#REF!,14,FALSE)&gt;2,HLOOKUP($A358,#REF!,14,FALSE)&lt;-2),"",#REF!),"")</f>
        <v/>
      </c>
      <c r="Q358" t="str">
        <f>IFERROR(IF(OR(HLOOKUP($A358,#REF!,15,FALSE)&gt;2,HLOOKUP($A358,#REF!,15,FALSE)&lt;-2),"",#REF!),"")</f>
        <v/>
      </c>
      <c r="R358" t="str">
        <f>IFERROR(IF(OR(HLOOKUP($A358,#REF!,16,FALSE)&gt;2,HLOOKUP($A358,#REF!,16,FALSE)&lt;-2),"",#REF!),"")</f>
        <v/>
      </c>
      <c r="S358" t="str">
        <f>IFERROR(IF(OR(HLOOKUP($A358,#REF!,17,FALSE)&gt;2,HLOOKUP($A358,#REF!,17,FALSE)&lt;-2),"",#REF!),"")</f>
        <v/>
      </c>
      <c r="T358" t="str">
        <f>IFERROR(IF(OR(HLOOKUP($A358,#REF!,18,FALSE)&gt;2,HLOOKUP($A358,#REF!,18,FALSE)&lt;-2),"",#REF!),"")</f>
        <v/>
      </c>
      <c r="U358" t="str">
        <f>IFERROR(IF(OR(HLOOKUP($A358,#REF!,19,FALSE)&gt;2,HLOOKUP($A358,#REF!,19,FALSE)&lt;-2),"",#REF!),"")</f>
        <v/>
      </c>
      <c r="V358">
        <f t="shared" si="20"/>
        <v>1</v>
      </c>
      <c r="W358" t="str">
        <f t="shared" si="21"/>
        <v/>
      </c>
      <c r="X358" t="str">
        <f t="shared" si="22"/>
        <v/>
      </c>
      <c r="Y358" t="str">
        <f t="shared" si="23"/>
        <v/>
      </c>
    </row>
    <row r="359" spans="1:25" x14ac:dyDescent="0.35">
      <c r="A359">
        <v>366</v>
      </c>
      <c r="B359" t="s">
        <v>195</v>
      </c>
      <c r="C359">
        <v>67700</v>
      </c>
      <c r="D359">
        <v>444</v>
      </c>
      <c r="E359" t="str">
        <f>IFERROR(IF(OR(HLOOKUP($A359,#REF!,3,FALSE)&gt;2,HLOOKUP(A359,#REF!,3,FALSE)&lt;-2),"",#REF!),"")</f>
        <v/>
      </c>
      <c r="F359" t="str">
        <f>IFERROR(IF(OR(HLOOKUP($A359,#REF!,4,FALSE)&gt;2,HLOOKUP($A359,#REF!,4,FALSE)&lt;-2),"",#REF!),"")</f>
        <v/>
      </c>
      <c r="G359" t="str">
        <f>IFERROR(IF(OR(HLOOKUP($A359,#REF!,5,FALSE)&gt;2,HLOOKUP($A359,#REF!,5,FALSE)&lt;-2),"",#REF!),"")</f>
        <v/>
      </c>
      <c r="H359" t="str">
        <f>IFERROR(IF(OR(HLOOKUP($A359,#REF!,6,FALSE)&gt;2,HLOOKUP($A359,#REF!,6,FALSE)&lt;-2),"",#REF!),"")</f>
        <v/>
      </c>
      <c r="I359" t="str">
        <f>IFERROR(IF(OR(HLOOKUP($A359,#REF!,7,FALSE)&gt;2,HLOOKUP($A359,#REF!,7,FALSE)&lt;-2),"",#REF!),"")</f>
        <v/>
      </c>
      <c r="J359" t="str">
        <f>IFERROR(IF(OR(HLOOKUP($A359,#REF!,8,FALSE)&gt;2,HLOOKUP($A359,#REF!,8,FALSE)&lt;-2),"",#REF!),"")</f>
        <v/>
      </c>
      <c r="K359" t="str">
        <f>IFERROR(IF(OR(HLOOKUP($A359,#REF!,9,FALSE)&gt;2,HLOOKUP($A359,#REF!,9,FALSE)&lt;-2),"",#REF!),"")</f>
        <v/>
      </c>
      <c r="L359" t="str">
        <f>IFERROR(IF(OR(HLOOKUP($A359,#REF!,10,FALSE)&gt;2,HLOOKUP($A359,#REF!,10,FALSE)&lt;-2),"",#REF!),"")</f>
        <v/>
      </c>
      <c r="M359" t="str">
        <f>IFERROR(IF(OR(HLOOKUP($A359,#REF!,11,FALSE)&gt;2,HLOOKUP($A359,#REF!,11,FALSE)&lt;-2),"",#REF!),"")</f>
        <v/>
      </c>
      <c r="N359" t="str">
        <f>IFERROR(IF(OR(HLOOKUP($A359,#REF!,12,FALSE)&gt;2,HLOOKUP($A359,#REF!,12,FALSE)&lt;-2),"",#REF!),"")</f>
        <v/>
      </c>
      <c r="O359" t="str">
        <f>IFERROR(IF(OR(HLOOKUP($A359,#REF!,13,FALSE)&gt;2,HLOOKUP($A359,#REF!,13,FALSE)&lt;-2),"",#REF!),"")</f>
        <v/>
      </c>
      <c r="P359" t="str">
        <f>IFERROR(IF(OR(HLOOKUP($A359,#REF!,14,FALSE)&gt;2,HLOOKUP($A359,#REF!,14,FALSE)&lt;-2),"",#REF!),"")</f>
        <v/>
      </c>
      <c r="Q359" t="str">
        <f>IFERROR(IF(OR(HLOOKUP($A359,#REF!,15,FALSE)&gt;2,HLOOKUP($A359,#REF!,15,FALSE)&lt;-2),"",#REF!),"")</f>
        <v/>
      </c>
      <c r="R359" t="str">
        <f>IFERROR(IF(OR(HLOOKUP($A359,#REF!,16,FALSE)&gt;2,HLOOKUP($A359,#REF!,16,FALSE)&lt;-2),"",#REF!),"")</f>
        <v/>
      </c>
      <c r="S359" t="str">
        <f>IFERROR(IF(OR(HLOOKUP($A359,#REF!,17,FALSE)&gt;2,HLOOKUP($A359,#REF!,17,FALSE)&lt;-2),"",#REF!),"")</f>
        <v/>
      </c>
      <c r="T359" t="str">
        <f>IFERROR(IF(OR(HLOOKUP($A359,#REF!,18,FALSE)&gt;2,HLOOKUP($A359,#REF!,18,FALSE)&lt;-2),"",#REF!),"")</f>
        <v/>
      </c>
      <c r="U359" t="str">
        <f>IFERROR(IF(OR(HLOOKUP($A359,#REF!,19,FALSE)&gt;2,HLOOKUP($A359,#REF!,19,FALSE)&lt;-2),"",#REF!),"")</f>
        <v/>
      </c>
      <c r="V359">
        <f t="shared" si="20"/>
        <v>1</v>
      </c>
      <c r="W359" t="str">
        <f t="shared" si="21"/>
        <v/>
      </c>
      <c r="X359" t="str">
        <f t="shared" si="22"/>
        <v/>
      </c>
      <c r="Y359" t="str">
        <f t="shared" si="23"/>
        <v/>
      </c>
    </row>
    <row r="360" spans="1:25" x14ac:dyDescent="0.35">
      <c r="A360">
        <v>367</v>
      </c>
      <c r="B360" t="s">
        <v>767</v>
      </c>
      <c r="C360">
        <v>54000</v>
      </c>
      <c r="D360">
        <v>351</v>
      </c>
      <c r="E360" t="str">
        <f>IFERROR(IF(OR(HLOOKUP($A360,#REF!,3,FALSE)&gt;2,HLOOKUP(A360,#REF!,3,FALSE)&lt;-2),"",#REF!),"")</f>
        <v/>
      </c>
      <c r="F360" t="str">
        <f>IFERROR(IF(OR(HLOOKUP($A360,#REF!,4,FALSE)&gt;2,HLOOKUP($A360,#REF!,4,FALSE)&lt;-2),"",#REF!),"")</f>
        <v/>
      </c>
      <c r="G360" t="str">
        <f>IFERROR(IF(OR(HLOOKUP($A360,#REF!,5,FALSE)&gt;2,HLOOKUP($A360,#REF!,5,FALSE)&lt;-2),"",#REF!),"")</f>
        <v/>
      </c>
      <c r="H360" t="str">
        <f>IFERROR(IF(OR(HLOOKUP($A360,#REF!,6,FALSE)&gt;2,HLOOKUP($A360,#REF!,6,FALSE)&lt;-2),"",#REF!),"")</f>
        <v/>
      </c>
      <c r="I360" t="str">
        <f>IFERROR(IF(OR(HLOOKUP($A360,#REF!,7,FALSE)&gt;2,HLOOKUP($A360,#REF!,7,FALSE)&lt;-2),"",#REF!),"")</f>
        <v/>
      </c>
      <c r="J360" t="str">
        <f>IFERROR(IF(OR(HLOOKUP($A360,#REF!,8,FALSE)&gt;2,HLOOKUP($A360,#REF!,8,FALSE)&lt;-2),"",#REF!),"")</f>
        <v/>
      </c>
      <c r="K360" t="str">
        <f>IFERROR(IF(OR(HLOOKUP($A360,#REF!,9,FALSE)&gt;2,HLOOKUP($A360,#REF!,9,FALSE)&lt;-2),"",#REF!),"")</f>
        <v/>
      </c>
      <c r="L360" t="str">
        <f>IFERROR(IF(OR(HLOOKUP($A360,#REF!,10,FALSE)&gt;2,HLOOKUP($A360,#REF!,10,FALSE)&lt;-2),"",#REF!),"")</f>
        <v/>
      </c>
      <c r="M360" t="str">
        <f>IFERROR(IF(OR(HLOOKUP($A360,#REF!,11,FALSE)&gt;2,HLOOKUP($A360,#REF!,11,FALSE)&lt;-2),"",#REF!),"")</f>
        <v/>
      </c>
      <c r="N360" t="str">
        <f>IFERROR(IF(OR(HLOOKUP($A360,#REF!,12,FALSE)&gt;2,HLOOKUP($A360,#REF!,12,FALSE)&lt;-2),"",#REF!),"")</f>
        <v/>
      </c>
      <c r="O360" t="str">
        <f>IFERROR(IF(OR(HLOOKUP($A360,#REF!,13,FALSE)&gt;2,HLOOKUP($A360,#REF!,13,FALSE)&lt;-2),"",#REF!),"")</f>
        <v/>
      </c>
      <c r="P360" t="str">
        <f>IFERROR(IF(OR(HLOOKUP($A360,#REF!,14,FALSE)&gt;2,HLOOKUP($A360,#REF!,14,FALSE)&lt;-2),"",#REF!),"")</f>
        <v/>
      </c>
      <c r="Q360" t="str">
        <f>IFERROR(IF(OR(HLOOKUP($A360,#REF!,15,FALSE)&gt;2,HLOOKUP($A360,#REF!,15,FALSE)&lt;-2),"",#REF!),"")</f>
        <v/>
      </c>
      <c r="R360" t="str">
        <f>IFERROR(IF(OR(HLOOKUP($A360,#REF!,16,FALSE)&gt;2,HLOOKUP($A360,#REF!,16,FALSE)&lt;-2),"",#REF!),"")</f>
        <v/>
      </c>
      <c r="S360" t="str">
        <f>IFERROR(IF(OR(HLOOKUP($A360,#REF!,17,FALSE)&gt;2,HLOOKUP($A360,#REF!,17,FALSE)&lt;-2),"",#REF!),"")</f>
        <v/>
      </c>
      <c r="T360" t="str">
        <f>IFERROR(IF(OR(HLOOKUP($A360,#REF!,18,FALSE)&gt;2,HLOOKUP($A360,#REF!,18,FALSE)&lt;-2),"",#REF!),"")</f>
        <v/>
      </c>
      <c r="U360" t="str">
        <f>IFERROR(IF(OR(HLOOKUP($A360,#REF!,19,FALSE)&gt;2,HLOOKUP($A360,#REF!,19,FALSE)&lt;-2),"",#REF!),"")</f>
        <v/>
      </c>
      <c r="V360">
        <f t="shared" si="20"/>
        <v>1</v>
      </c>
      <c r="W360" t="str">
        <f t="shared" si="21"/>
        <v/>
      </c>
      <c r="X360" t="str">
        <f t="shared" si="22"/>
        <v/>
      </c>
      <c r="Y360" t="str">
        <f t="shared" si="23"/>
        <v/>
      </c>
    </row>
    <row r="361" spans="1:25" x14ac:dyDescent="0.35">
      <c r="A361">
        <v>368</v>
      </c>
      <c r="B361" t="s">
        <v>196</v>
      </c>
      <c r="C361">
        <v>28900</v>
      </c>
      <c r="D361">
        <v>922</v>
      </c>
      <c r="E361" t="str">
        <f>IFERROR(IF(OR(HLOOKUP($A361,#REF!,3,FALSE)&gt;2,HLOOKUP(A361,#REF!,3,FALSE)&lt;-2),"",#REF!),"")</f>
        <v/>
      </c>
      <c r="F361" t="str">
        <f>IFERROR(IF(OR(HLOOKUP($A361,#REF!,4,FALSE)&gt;2,HLOOKUP($A361,#REF!,4,FALSE)&lt;-2),"",#REF!),"")</f>
        <v/>
      </c>
      <c r="G361" t="str">
        <f>IFERROR(IF(OR(HLOOKUP($A361,#REF!,5,FALSE)&gt;2,HLOOKUP($A361,#REF!,5,FALSE)&lt;-2),"",#REF!),"")</f>
        <v/>
      </c>
      <c r="H361" t="str">
        <f>IFERROR(IF(OR(HLOOKUP($A361,#REF!,6,FALSE)&gt;2,HLOOKUP($A361,#REF!,6,FALSE)&lt;-2),"",#REF!),"")</f>
        <v/>
      </c>
      <c r="I361" t="str">
        <f>IFERROR(IF(OR(HLOOKUP($A361,#REF!,7,FALSE)&gt;2,HLOOKUP($A361,#REF!,7,FALSE)&lt;-2),"",#REF!),"")</f>
        <v/>
      </c>
      <c r="J361" t="str">
        <f>IFERROR(IF(OR(HLOOKUP($A361,#REF!,8,FALSE)&gt;2,HLOOKUP($A361,#REF!,8,FALSE)&lt;-2),"",#REF!),"")</f>
        <v/>
      </c>
      <c r="K361" t="str">
        <f>IFERROR(IF(OR(HLOOKUP($A361,#REF!,9,FALSE)&gt;2,HLOOKUP($A361,#REF!,9,FALSE)&lt;-2),"",#REF!),"")</f>
        <v/>
      </c>
      <c r="L361" t="str">
        <f>IFERROR(IF(OR(HLOOKUP($A361,#REF!,10,FALSE)&gt;2,HLOOKUP($A361,#REF!,10,FALSE)&lt;-2),"",#REF!),"")</f>
        <v/>
      </c>
      <c r="M361" t="str">
        <f>IFERROR(IF(OR(HLOOKUP($A361,#REF!,11,FALSE)&gt;2,HLOOKUP($A361,#REF!,11,FALSE)&lt;-2),"",#REF!),"")</f>
        <v/>
      </c>
      <c r="N361" t="str">
        <f>IFERROR(IF(OR(HLOOKUP($A361,#REF!,12,FALSE)&gt;2,HLOOKUP($A361,#REF!,12,FALSE)&lt;-2),"",#REF!),"")</f>
        <v/>
      </c>
      <c r="O361" t="str">
        <f>IFERROR(IF(OR(HLOOKUP($A361,#REF!,13,FALSE)&gt;2,HLOOKUP($A361,#REF!,13,FALSE)&lt;-2),"",#REF!),"")</f>
        <v/>
      </c>
      <c r="P361" t="str">
        <f>IFERROR(IF(OR(HLOOKUP($A361,#REF!,14,FALSE)&gt;2,HLOOKUP($A361,#REF!,14,FALSE)&lt;-2),"",#REF!),"")</f>
        <v/>
      </c>
      <c r="Q361" t="str">
        <f>IFERROR(IF(OR(HLOOKUP($A361,#REF!,15,FALSE)&gt;2,HLOOKUP($A361,#REF!,15,FALSE)&lt;-2),"",#REF!),"")</f>
        <v/>
      </c>
      <c r="R361" t="str">
        <f>IFERROR(IF(OR(HLOOKUP($A361,#REF!,16,FALSE)&gt;2,HLOOKUP($A361,#REF!,16,FALSE)&lt;-2),"",#REF!),"")</f>
        <v/>
      </c>
      <c r="S361" t="str">
        <f>IFERROR(IF(OR(HLOOKUP($A361,#REF!,17,FALSE)&gt;2,HLOOKUP($A361,#REF!,17,FALSE)&lt;-2),"",#REF!),"")</f>
        <v/>
      </c>
      <c r="T361" t="str">
        <f>IFERROR(IF(OR(HLOOKUP($A361,#REF!,18,FALSE)&gt;2,HLOOKUP($A361,#REF!,18,FALSE)&lt;-2),"",#REF!),"")</f>
        <v/>
      </c>
      <c r="U361" t="str">
        <f>IFERROR(IF(OR(HLOOKUP($A361,#REF!,19,FALSE)&gt;2,HLOOKUP($A361,#REF!,19,FALSE)&lt;-2),"",#REF!),"")</f>
        <v/>
      </c>
      <c r="V361">
        <f t="shared" si="20"/>
        <v>1</v>
      </c>
      <c r="W361" t="str">
        <f t="shared" si="21"/>
        <v/>
      </c>
      <c r="X361" t="str">
        <f t="shared" si="22"/>
        <v/>
      </c>
      <c r="Y361" t="str">
        <f t="shared" si="23"/>
        <v/>
      </c>
    </row>
    <row r="362" spans="1:25" x14ac:dyDescent="0.35">
      <c r="A362">
        <v>369</v>
      </c>
      <c r="B362" t="s">
        <v>768</v>
      </c>
      <c r="C362">
        <v>6300</v>
      </c>
      <c r="D362">
        <v>322</v>
      </c>
      <c r="E362" t="str">
        <f>IFERROR(IF(OR(HLOOKUP($A362,#REF!,3,FALSE)&gt;2,HLOOKUP(A362,#REF!,3,FALSE)&lt;-2),"",#REF!),"")</f>
        <v/>
      </c>
      <c r="F362" t="str">
        <f>IFERROR(IF(OR(HLOOKUP($A362,#REF!,4,FALSE)&gt;2,HLOOKUP($A362,#REF!,4,FALSE)&lt;-2),"",#REF!),"")</f>
        <v/>
      </c>
      <c r="G362" t="str">
        <f>IFERROR(IF(OR(HLOOKUP($A362,#REF!,5,FALSE)&gt;2,HLOOKUP($A362,#REF!,5,FALSE)&lt;-2),"",#REF!),"")</f>
        <v/>
      </c>
      <c r="H362" t="str">
        <f>IFERROR(IF(OR(HLOOKUP($A362,#REF!,6,FALSE)&gt;2,HLOOKUP($A362,#REF!,6,FALSE)&lt;-2),"",#REF!),"")</f>
        <v/>
      </c>
      <c r="I362" t="str">
        <f>IFERROR(IF(OR(HLOOKUP($A362,#REF!,7,FALSE)&gt;2,HLOOKUP($A362,#REF!,7,FALSE)&lt;-2),"",#REF!),"")</f>
        <v/>
      </c>
      <c r="J362" t="str">
        <f>IFERROR(IF(OR(HLOOKUP($A362,#REF!,8,FALSE)&gt;2,HLOOKUP($A362,#REF!,8,FALSE)&lt;-2),"",#REF!),"")</f>
        <v/>
      </c>
      <c r="K362" t="str">
        <f>IFERROR(IF(OR(HLOOKUP($A362,#REF!,9,FALSE)&gt;2,HLOOKUP($A362,#REF!,9,FALSE)&lt;-2),"",#REF!),"")</f>
        <v/>
      </c>
      <c r="L362" t="str">
        <f>IFERROR(IF(OR(HLOOKUP($A362,#REF!,10,FALSE)&gt;2,HLOOKUP($A362,#REF!,10,FALSE)&lt;-2),"",#REF!),"")</f>
        <v/>
      </c>
      <c r="M362" t="str">
        <f>IFERROR(IF(OR(HLOOKUP($A362,#REF!,11,FALSE)&gt;2,HLOOKUP($A362,#REF!,11,FALSE)&lt;-2),"",#REF!),"")</f>
        <v/>
      </c>
      <c r="N362" t="str">
        <f>IFERROR(IF(OR(HLOOKUP($A362,#REF!,12,FALSE)&gt;2,HLOOKUP($A362,#REF!,12,FALSE)&lt;-2),"",#REF!),"")</f>
        <v/>
      </c>
      <c r="O362" t="str">
        <f>IFERROR(IF(OR(HLOOKUP($A362,#REF!,13,FALSE)&gt;2,HLOOKUP($A362,#REF!,13,FALSE)&lt;-2),"",#REF!),"")</f>
        <v/>
      </c>
      <c r="P362" t="str">
        <f>IFERROR(IF(OR(HLOOKUP($A362,#REF!,14,FALSE)&gt;2,HLOOKUP($A362,#REF!,14,FALSE)&lt;-2),"",#REF!),"")</f>
        <v/>
      </c>
      <c r="Q362" t="str">
        <f>IFERROR(IF(OR(HLOOKUP($A362,#REF!,15,FALSE)&gt;2,HLOOKUP($A362,#REF!,15,FALSE)&lt;-2),"",#REF!),"")</f>
        <v/>
      </c>
      <c r="R362" t="str">
        <f>IFERROR(IF(OR(HLOOKUP($A362,#REF!,16,FALSE)&gt;2,HLOOKUP($A362,#REF!,16,FALSE)&lt;-2),"",#REF!),"")</f>
        <v/>
      </c>
      <c r="S362" t="str">
        <f>IFERROR(IF(OR(HLOOKUP($A362,#REF!,17,FALSE)&gt;2,HLOOKUP($A362,#REF!,17,FALSE)&lt;-2),"",#REF!),"")</f>
        <v/>
      </c>
      <c r="T362" t="str">
        <f>IFERROR(IF(OR(HLOOKUP($A362,#REF!,18,FALSE)&gt;2,HLOOKUP($A362,#REF!,18,FALSE)&lt;-2),"",#REF!),"")</f>
        <v/>
      </c>
      <c r="U362" t="str">
        <f>IFERROR(IF(OR(HLOOKUP($A362,#REF!,19,FALSE)&gt;2,HLOOKUP($A362,#REF!,19,FALSE)&lt;-2),"",#REF!),"")</f>
        <v/>
      </c>
      <c r="V362">
        <f t="shared" si="20"/>
        <v>1</v>
      </c>
      <c r="W362" t="str">
        <f t="shared" si="21"/>
        <v/>
      </c>
      <c r="X362" t="str">
        <f t="shared" si="22"/>
        <v/>
      </c>
      <c r="Y362" t="str">
        <f t="shared" si="23"/>
        <v/>
      </c>
    </row>
    <row r="363" spans="1:25" x14ac:dyDescent="0.35">
      <c r="A363">
        <v>370</v>
      </c>
      <c r="B363" t="s">
        <v>769</v>
      </c>
      <c r="C363">
        <v>92200</v>
      </c>
      <c r="D363">
        <v>354</v>
      </c>
      <c r="E363" t="str">
        <f>IFERROR(IF(OR(HLOOKUP($A363,#REF!,3,FALSE)&gt;2,HLOOKUP(A363,#REF!,3,FALSE)&lt;-2),"",#REF!),"")</f>
        <v/>
      </c>
      <c r="F363" t="str">
        <f>IFERROR(IF(OR(HLOOKUP($A363,#REF!,4,FALSE)&gt;2,HLOOKUP($A363,#REF!,4,FALSE)&lt;-2),"",#REF!),"")</f>
        <v/>
      </c>
      <c r="G363" t="str">
        <f>IFERROR(IF(OR(HLOOKUP($A363,#REF!,5,FALSE)&gt;2,HLOOKUP($A363,#REF!,5,FALSE)&lt;-2),"",#REF!),"")</f>
        <v/>
      </c>
      <c r="H363" t="str">
        <f>IFERROR(IF(OR(HLOOKUP($A363,#REF!,6,FALSE)&gt;2,HLOOKUP($A363,#REF!,6,FALSE)&lt;-2),"",#REF!),"")</f>
        <v/>
      </c>
      <c r="I363" t="str">
        <f>IFERROR(IF(OR(HLOOKUP($A363,#REF!,7,FALSE)&gt;2,HLOOKUP($A363,#REF!,7,FALSE)&lt;-2),"",#REF!),"")</f>
        <v/>
      </c>
      <c r="J363" t="str">
        <f>IFERROR(IF(OR(HLOOKUP($A363,#REF!,8,FALSE)&gt;2,HLOOKUP($A363,#REF!,8,FALSE)&lt;-2),"",#REF!),"")</f>
        <v/>
      </c>
      <c r="K363" t="str">
        <f>IFERROR(IF(OR(HLOOKUP($A363,#REF!,9,FALSE)&gt;2,HLOOKUP($A363,#REF!,9,FALSE)&lt;-2),"",#REF!),"")</f>
        <v/>
      </c>
      <c r="L363" t="str">
        <f>IFERROR(IF(OR(HLOOKUP($A363,#REF!,10,FALSE)&gt;2,HLOOKUP($A363,#REF!,10,FALSE)&lt;-2),"",#REF!),"")</f>
        <v/>
      </c>
      <c r="M363" t="str">
        <f>IFERROR(IF(OR(HLOOKUP($A363,#REF!,11,FALSE)&gt;2,HLOOKUP($A363,#REF!,11,FALSE)&lt;-2),"",#REF!),"")</f>
        <v/>
      </c>
      <c r="N363" t="str">
        <f>IFERROR(IF(OR(HLOOKUP($A363,#REF!,12,FALSE)&gt;2,HLOOKUP($A363,#REF!,12,FALSE)&lt;-2),"",#REF!),"")</f>
        <v/>
      </c>
      <c r="O363" t="str">
        <f>IFERROR(IF(OR(HLOOKUP($A363,#REF!,13,FALSE)&gt;2,HLOOKUP($A363,#REF!,13,FALSE)&lt;-2),"",#REF!),"")</f>
        <v/>
      </c>
      <c r="P363" t="str">
        <f>IFERROR(IF(OR(HLOOKUP($A363,#REF!,14,FALSE)&gt;2,HLOOKUP($A363,#REF!,14,FALSE)&lt;-2),"",#REF!),"")</f>
        <v/>
      </c>
      <c r="Q363" t="str">
        <f>IFERROR(IF(OR(HLOOKUP($A363,#REF!,15,FALSE)&gt;2,HLOOKUP($A363,#REF!,15,FALSE)&lt;-2),"",#REF!),"")</f>
        <v/>
      </c>
      <c r="R363" t="str">
        <f>IFERROR(IF(OR(HLOOKUP($A363,#REF!,16,FALSE)&gt;2,HLOOKUP($A363,#REF!,16,FALSE)&lt;-2),"",#REF!),"")</f>
        <v/>
      </c>
      <c r="S363" t="str">
        <f>IFERROR(IF(OR(HLOOKUP($A363,#REF!,17,FALSE)&gt;2,HLOOKUP($A363,#REF!,17,FALSE)&lt;-2),"",#REF!),"")</f>
        <v/>
      </c>
      <c r="T363" t="str">
        <f>IFERROR(IF(OR(HLOOKUP($A363,#REF!,18,FALSE)&gt;2,HLOOKUP($A363,#REF!,18,FALSE)&lt;-2),"",#REF!),"")</f>
        <v/>
      </c>
      <c r="U363" t="str">
        <f>IFERROR(IF(OR(HLOOKUP($A363,#REF!,19,FALSE)&gt;2,HLOOKUP($A363,#REF!,19,FALSE)&lt;-2),"",#REF!),"")</f>
        <v/>
      </c>
      <c r="V363">
        <f t="shared" si="20"/>
        <v>1</v>
      </c>
      <c r="W363" t="str">
        <f t="shared" si="21"/>
        <v/>
      </c>
      <c r="X363" t="str">
        <f t="shared" si="22"/>
        <v/>
      </c>
      <c r="Y363" t="str">
        <f t="shared" si="23"/>
        <v/>
      </c>
    </row>
    <row r="364" spans="1:25" x14ac:dyDescent="0.35">
      <c r="A364">
        <v>371</v>
      </c>
      <c r="B364" t="s">
        <v>770</v>
      </c>
      <c r="C364">
        <v>44000</v>
      </c>
      <c r="D364">
        <v>934</v>
      </c>
      <c r="E364" t="str">
        <f>IFERROR(IF(OR(HLOOKUP($A364,#REF!,3,FALSE)&gt;2,HLOOKUP(A364,#REF!,3,FALSE)&lt;-2),"",#REF!),"")</f>
        <v/>
      </c>
      <c r="F364" t="str">
        <f>IFERROR(IF(OR(HLOOKUP($A364,#REF!,4,FALSE)&gt;2,HLOOKUP($A364,#REF!,4,FALSE)&lt;-2),"",#REF!),"")</f>
        <v/>
      </c>
      <c r="G364" t="str">
        <f>IFERROR(IF(OR(HLOOKUP($A364,#REF!,5,FALSE)&gt;2,HLOOKUP($A364,#REF!,5,FALSE)&lt;-2),"",#REF!),"")</f>
        <v/>
      </c>
      <c r="H364" t="str">
        <f>IFERROR(IF(OR(HLOOKUP($A364,#REF!,6,FALSE)&gt;2,HLOOKUP($A364,#REF!,6,FALSE)&lt;-2),"",#REF!),"")</f>
        <v/>
      </c>
      <c r="I364" t="str">
        <f>IFERROR(IF(OR(HLOOKUP($A364,#REF!,7,FALSE)&gt;2,HLOOKUP($A364,#REF!,7,FALSE)&lt;-2),"",#REF!),"")</f>
        <v/>
      </c>
      <c r="J364" t="str">
        <f>IFERROR(IF(OR(HLOOKUP($A364,#REF!,8,FALSE)&gt;2,HLOOKUP($A364,#REF!,8,FALSE)&lt;-2),"",#REF!),"")</f>
        <v/>
      </c>
      <c r="K364" t="str">
        <f>IFERROR(IF(OR(HLOOKUP($A364,#REF!,9,FALSE)&gt;2,HLOOKUP($A364,#REF!,9,FALSE)&lt;-2),"",#REF!),"")</f>
        <v/>
      </c>
      <c r="L364" t="str">
        <f>IFERROR(IF(OR(HLOOKUP($A364,#REF!,10,FALSE)&gt;2,HLOOKUP($A364,#REF!,10,FALSE)&lt;-2),"",#REF!),"")</f>
        <v/>
      </c>
      <c r="M364" t="str">
        <f>IFERROR(IF(OR(HLOOKUP($A364,#REF!,11,FALSE)&gt;2,HLOOKUP($A364,#REF!,11,FALSE)&lt;-2),"",#REF!),"")</f>
        <v/>
      </c>
      <c r="N364" t="str">
        <f>IFERROR(IF(OR(HLOOKUP($A364,#REF!,12,FALSE)&gt;2,HLOOKUP($A364,#REF!,12,FALSE)&lt;-2),"",#REF!),"")</f>
        <v/>
      </c>
      <c r="O364" t="str">
        <f>IFERROR(IF(OR(HLOOKUP($A364,#REF!,13,FALSE)&gt;2,HLOOKUP($A364,#REF!,13,FALSE)&lt;-2),"",#REF!),"")</f>
        <v/>
      </c>
      <c r="P364" t="str">
        <f>IFERROR(IF(OR(HLOOKUP($A364,#REF!,14,FALSE)&gt;2,HLOOKUP($A364,#REF!,14,FALSE)&lt;-2),"",#REF!),"")</f>
        <v/>
      </c>
      <c r="Q364" t="str">
        <f>IFERROR(IF(OR(HLOOKUP($A364,#REF!,15,FALSE)&gt;2,HLOOKUP($A364,#REF!,15,FALSE)&lt;-2),"",#REF!),"")</f>
        <v/>
      </c>
      <c r="R364" t="str">
        <f>IFERROR(IF(OR(HLOOKUP($A364,#REF!,16,FALSE)&gt;2,HLOOKUP($A364,#REF!,16,FALSE)&lt;-2),"",#REF!),"")</f>
        <v/>
      </c>
      <c r="S364" t="str">
        <f>IFERROR(IF(OR(HLOOKUP($A364,#REF!,17,FALSE)&gt;2,HLOOKUP($A364,#REF!,17,FALSE)&lt;-2),"",#REF!),"")</f>
        <v/>
      </c>
      <c r="T364" t="str">
        <f>IFERROR(IF(OR(HLOOKUP($A364,#REF!,18,FALSE)&gt;2,HLOOKUP($A364,#REF!,18,FALSE)&lt;-2),"",#REF!),"")</f>
        <v/>
      </c>
      <c r="U364" t="str">
        <f>IFERROR(IF(OR(HLOOKUP($A364,#REF!,19,FALSE)&gt;2,HLOOKUP($A364,#REF!,19,FALSE)&lt;-2),"",#REF!),"")</f>
        <v/>
      </c>
      <c r="V364">
        <f t="shared" si="20"/>
        <v>1</v>
      </c>
      <c r="W364" t="str">
        <f t="shared" si="21"/>
        <v/>
      </c>
      <c r="X364" t="str">
        <f t="shared" si="22"/>
        <v/>
      </c>
      <c r="Y364" t="str">
        <f t="shared" si="23"/>
        <v/>
      </c>
    </row>
    <row r="365" spans="1:25" x14ac:dyDescent="0.35">
      <c r="A365">
        <v>372</v>
      </c>
      <c r="B365" t="s">
        <v>197</v>
      </c>
      <c r="C365">
        <v>93400</v>
      </c>
      <c r="D365">
        <v>370</v>
      </c>
      <c r="E365" t="str">
        <f>IFERROR(IF(OR(HLOOKUP($A365,#REF!,3,FALSE)&gt;2,HLOOKUP(A365,#REF!,3,FALSE)&lt;-2),"",#REF!),"")</f>
        <v/>
      </c>
      <c r="F365" t="str">
        <f>IFERROR(IF(OR(HLOOKUP($A365,#REF!,4,FALSE)&gt;2,HLOOKUP($A365,#REF!,4,FALSE)&lt;-2),"",#REF!),"")</f>
        <v/>
      </c>
      <c r="G365" t="str">
        <f>IFERROR(IF(OR(HLOOKUP($A365,#REF!,5,FALSE)&gt;2,HLOOKUP($A365,#REF!,5,FALSE)&lt;-2),"",#REF!),"")</f>
        <v/>
      </c>
      <c r="H365" t="str">
        <f>IFERROR(IF(OR(HLOOKUP($A365,#REF!,6,FALSE)&gt;2,HLOOKUP($A365,#REF!,6,FALSE)&lt;-2),"",#REF!),"")</f>
        <v/>
      </c>
      <c r="I365" t="str">
        <f>IFERROR(IF(OR(HLOOKUP($A365,#REF!,7,FALSE)&gt;2,HLOOKUP($A365,#REF!,7,FALSE)&lt;-2),"",#REF!),"")</f>
        <v/>
      </c>
      <c r="J365" t="str">
        <f>IFERROR(IF(OR(HLOOKUP($A365,#REF!,8,FALSE)&gt;2,HLOOKUP($A365,#REF!,8,FALSE)&lt;-2),"",#REF!),"")</f>
        <v/>
      </c>
      <c r="K365" t="str">
        <f>IFERROR(IF(OR(HLOOKUP($A365,#REF!,9,FALSE)&gt;2,HLOOKUP($A365,#REF!,9,FALSE)&lt;-2),"",#REF!),"")</f>
        <v/>
      </c>
      <c r="L365" t="str">
        <f>IFERROR(IF(OR(HLOOKUP($A365,#REF!,10,FALSE)&gt;2,HLOOKUP($A365,#REF!,10,FALSE)&lt;-2),"",#REF!),"")</f>
        <v/>
      </c>
      <c r="M365" t="str">
        <f>IFERROR(IF(OR(HLOOKUP($A365,#REF!,11,FALSE)&gt;2,HLOOKUP($A365,#REF!,11,FALSE)&lt;-2),"",#REF!),"")</f>
        <v/>
      </c>
      <c r="N365" t="str">
        <f>IFERROR(IF(OR(HLOOKUP($A365,#REF!,12,FALSE)&gt;2,HLOOKUP($A365,#REF!,12,FALSE)&lt;-2),"",#REF!),"")</f>
        <v/>
      </c>
      <c r="O365" t="str">
        <f>IFERROR(IF(OR(HLOOKUP($A365,#REF!,13,FALSE)&gt;2,HLOOKUP($A365,#REF!,13,FALSE)&lt;-2),"",#REF!),"")</f>
        <v/>
      </c>
      <c r="P365" t="str">
        <f>IFERROR(IF(OR(HLOOKUP($A365,#REF!,14,FALSE)&gt;2,HLOOKUP($A365,#REF!,14,FALSE)&lt;-2),"",#REF!),"")</f>
        <v/>
      </c>
      <c r="Q365" t="str">
        <f>IFERROR(IF(OR(HLOOKUP($A365,#REF!,15,FALSE)&gt;2,HLOOKUP($A365,#REF!,15,FALSE)&lt;-2),"",#REF!),"")</f>
        <v/>
      </c>
      <c r="R365" t="str">
        <f>IFERROR(IF(OR(HLOOKUP($A365,#REF!,16,FALSE)&gt;2,HLOOKUP($A365,#REF!,16,FALSE)&lt;-2),"",#REF!),"")</f>
        <v/>
      </c>
      <c r="S365" t="str">
        <f>IFERROR(IF(OR(HLOOKUP($A365,#REF!,17,FALSE)&gt;2,HLOOKUP($A365,#REF!,17,FALSE)&lt;-2),"",#REF!),"")</f>
        <v/>
      </c>
      <c r="T365" t="str">
        <f>IFERROR(IF(OR(HLOOKUP($A365,#REF!,18,FALSE)&gt;2,HLOOKUP($A365,#REF!,18,FALSE)&lt;-2),"",#REF!),"")</f>
        <v/>
      </c>
      <c r="U365" t="str">
        <f>IFERROR(IF(OR(HLOOKUP($A365,#REF!,19,FALSE)&gt;2,HLOOKUP($A365,#REF!,19,FALSE)&lt;-2),"",#REF!),"")</f>
        <v/>
      </c>
      <c r="V365">
        <f t="shared" si="20"/>
        <v>1</v>
      </c>
      <c r="W365" t="str">
        <f t="shared" si="21"/>
        <v/>
      </c>
      <c r="X365" t="str">
        <f t="shared" si="22"/>
        <v/>
      </c>
      <c r="Y365" t="str">
        <f t="shared" si="23"/>
        <v/>
      </c>
    </row>
    <row r="366" spans="1:25" x14ac:dyDescent="0.35">
      <c r="A366">
        <v>373</v>
      </c>
      <c r="B366" t="s">
        <v>771</v>
      </c>
      <c r="C366">
        <v>105800</v>
      </c>
      <c r="D366">
        <v>752</v>
      </c>
      <c r="E366" t="str">
        <f>IFERROR(IF(OR(HLOOKUP($A366,#REF!,3,FALSE)&gt;2,HLOOKUP(A366,#REF!,3,FALSE)&lt;-2),"",#REF!),"")</f>
        <v/>
      </c>
      <c r="F366" t="str">
        <f>IFERROR(IF(OR(HLOOKUP($A366,#REF!,4,FALSE)&gt;2,HLOOKUP($A366,#REF!,4,FALSE)&lt;-2),"",#REF!),"")</f>
        <v/>
      </c>
      <c r="G366" t="str">
        <f>IFERROR(IF(OR(HLOOKUP($A366,#REF!,5,FALSE)&gt;2,HLOOKUP($A366,#REF!,5,FALSE)&lt;-2),"",#REF!),"")</f>
        <v/>
      </c>
      <c r="H366" t="str">
        <f>IFERROR(IF(OR(HLOOKUP($A366,#REF!,6,FALSE)&gt;2,HLOOKUP($A366,#REF!,6,FALSE)&lt;-2),"",#REF!),"")</f>
        <v/>
      </c>
      <c r="I366" t="str">
        <f>IFERROR(IF(OR(HLOOKUP($A366,#REF!,7,FALSE)&gt;2,HLOOKUP($A366,#REF!,7,FALSE)&lt;-2),"",#REF!),"")</f>
        <v/>
      </c>
      <c r="J366" t="str">
        <f>IFERROR(IF(OR(HLOOKUP($A366,#REF!,8,FALSE)&gt;2,HLOOKUP($A366,#REF!,8,FALSE)&lt;-2),"",#REF!),"")</f>
        <v/>
      </c>
      <c r="K366" t="str">
        <f>IFERROR(IF(OR(HLOOKUP($A366,#REF!,9,FALSE)&gt;2,HLOOKUP($A366,#REF!,9,FALSE)&lt;-2),"",#REF!),"")</f>
        <v/>
      </c>
      <c r="L366" t="str">
        <f>IFERROR(IF(OR(HLOOKUP($A366,#REF!,10,FALSE)&gt;2,HLOOKUP($A366,#REF!,10,FALSE)&lt;-2),"",#REF!),"")</f>
        <v/>
      </c>
      <c r="M366" t="str">
        <f>IFERROR(IF(OR(HLOOKUP($A366,#REF!,11,FALSE)&gt;2,HLOOKUP($A366,#REF!,11,FALSE)&lt;-2),"",#REF!),"")</f>
        <v/>
      </c>
      <c r="N366" t="str">
        <f>IFERROR(IF(OR(HLOOKUP($A366,#REF!,12,FALSE)&gt;2,HLOOKUP($A366,#REF!,12,FALSE)&lt;-2),"",#REF!),"")</f>
        <v/>
      </c>
      <c r="O366" t="str">
        <f>IFERROR(IF(OR(HLOOKUP($A366,#REF!,13,FALSE)&gt;2,HLOOKUP($A366,#REF!,13,FALSE)&lt;-2),"",#REF!),"")</f>
        <v/>
      </c>
      <c r="P366" t="str">
        <f>IFERROR(IF(OR(HLOOKUP($A366,#REF!,14,FALSE)&gt;2,HLOOKUP($A366,#REF!,14,FALSE)&lt;-2),"",#REF!),"")</f>
        <v/>
      </c>
      <c r="Q366" t="str">
        <f>IFERROR(IF(OR(HLOOKUP($A366,#REF!,15,FALSE)&gt;2,HLOOKUP($A366,#REF!,15,FALSE)&lt;-2),"",#REF!),"")</f>
        <v/>
      </c>
      <c r="R366" t="str">
        <f>IFERROR(IF(OR(HLOOKUP($A366,#REF!,16,FALSE)&gt;2,HLOOKUP($A366,#REF!,16,FALSE)&lt;-2),"",#REF!),"")</f>
        <v/>
      </c>
      <c r="S366" t="str">
        <f>IFERROR(IF(OR(HLOOKUP($A366,#REF!,17,FALSE)&gt;2,HLOOKUP($A366,#REF!,17,FALSE)&lt;-2),"",#REF!),"")</f>
        <v/>
      </c>
      <c r="T366" t="str">
        <f>IFERROR(IF(OR(HLOOKUP($A366,#REF!,18,FALSE)&gt;2,HLOOKUP($A366,#REF!,18,FALSE)&lt;-2),"",#REF!),"")</f>
        <v/>
      </c>
      <c r="U366" t="str">
        <f>IFERROR(IF(OR(HLOOKUP($A366,#REF!,19,FALSE)&gt;2,HLOOKUP($A366,#REF!,19,FALSE)&lt;-2),"",#REF!),"")</f>
        <v/>
      </c>
      <c r="V366">
        <f t="shared" si="20"/>
        <v>1</v>
      </c>
      <c r="W366" t="str">
        <f t="shared" si="21"/>
        <v/>
      </c>
      <c r="X366" t="str">
        <f t="shared" si="22"/>
        <v/>
      </c>
      <c r="Y366" t="str">
        <f t="shared" si="23"/>
        <v/>
      </c>
    </row>
    <row r="367" spans="1:25" x14ac:dyDescent="0.35">
      <c r="A367">
        <v>374</v>
      </c>
      <c r="B367" t="s">
        <v>198</v>
      </c>
      <c r="C367">
        <v>83800</v>
      </c>
      <c r="D367">
        <v>348</v>
      </c>
      <c r="E367" t="str">
        <f>IFERROR(IF(OR(HLOOKUP($A367,#REF!,3,FALSE)&gt;2,HLOOKUP(A367,#REF!,3,FALSE)&lt;-2),"",#REF!),"")</f>
        <v/>
      </c>
      <c r="F367" t="str">
        <f>IFERROR(IF(OR(HLOOKUP($A367,#REF!,4,FALSE)&gt;2,HLOOKUP($A367,#REF!,4,FALSE)&lt;-2),"",#REF!),"")</f>
        <v/>
      </c>
      <c r="G367" t="str">
        <f>IFERROR(IF(OR(HLOOKUP($A367,#REF!,5,FALSE)&gt;2,HLOOKUP($A367,#REF!,5,FALSE)&lt;-2),"",#REF!),"")</f>
        <v/>
      </c>
      <c r="H367" t="str">
        <f>IFERROR(IF(OR(HLOOKUP($A367,#REF!,6,FALSE)&gt;2,HLOOKUP($A367,#REF!,6,FALSE)&lt;-2),"",#REF!),"")</f>
        <v/>
      </c>
      <c r="I367" t="str">
        <f>IFERROR(IF(OR(HLOOKUP($A367,#REF!,7,FALSE)&gt;2,HLOOKUP($A367,#REF!,7,FALSE)&lt;-2),"",#REF!),"")</f>
        <v/>
      </c>
      <c r="J367" t="str">
        <f>IFERROR(IF(OR(HLOOKUP($A367,#REF!,8,FALSE)&gt;2,HLOOKUP($A367,#REF!,8,FALSE)&lt;-2),"",#REF!),"")</f>
        <v/>
      </c>
      <c r="K367" t="str">
        <f>IFERROR(IF(OR(HLOOKUP($A367,#REF!,9,FALSE)&gt;2,HLOOKUP($A367,#REF!,9,FALSE)&lt;-2),"",#REF!),"")</f>
        <v/>
      </c>
      <c r="L367" t="str">
        <f>IFERROR(IF(OR(HLOOKUP($A367,#REF!,10,FALSE)&gt;2,HLOOKUP($A367,#REF!,10,FALSE)&lt;-2),"",#REF!),"")</f>
        <v/>
      </c>
      <c r="M367" t="str">
        <f>IFERROR(IF(OR(HLOOKUP($A367,#REF!,11,FALSE)&gt;2,HLOOKUP($A367,#REF!,11,FALSE)&lt;-2),"",#REF!),"")</f>
        <v/>
      </c>
      <c r="N367" t="str">
        <f>IFERROR(IF(OR(HLOOKUP($A367,#REF!,12,FALSE)&gt;2,HLOOKUP($A367,#REF!,12,FALSE)&lt;-2),"",#REF!),"")</f>
        <v/>
      </c>
      <c r="O367" t="str">
        <f>IFERROR(IF(OR(HLOOKUP($A367,#REF!,13,FALSE)&gt;2,HLOOKUP($A367,#REF!,13,FALSE)&lt;-2),"",#REF!),"")</f>
        <v/>
      </c>
      <c r="P367" t="str">
        <f>IFERROR(IF(OR(HLOOKUP($A367,#REF!,14,FALSE)&gt;2,HLOOKUP($A367,#REF!,14,FALSE)&lt;-2),"",#REF!),"")</f>
        <v/>
      </c>
      <c r="Q367" t="str">
        <f>IFERROR(IF(OR(HLOOKUP($A367,#REF!,15,FALSE)&gt;2,HLOOKUP($A367,#REF!,15,FALSE)&lt;-2),"",#REF!),"")</f>
        <v/>
      </c>
      <c r="R367" t="str">
        <f>IFERROR(IF(OR(HLOOKUP($A367,#REF!,16,FALSE)&gt;2,HLOOKUP($A367,#REF!,16,FALSE)&lt;-2),"",#REF!),"")</f>
        <v/>
      </c>
      <c r="S367" t="str">
        <f>IFERROR(IF(OR(HLOOKUP($A367,#REF!,17,FALSE)&gt;2,HLOOKUP($A367,#REF!,17,FALSE)&lt;-2),"",#REF!),"")</f>
        <v/>
      </c>
      <c r="T367" t="str">
        <f>IFERROR(IF(OR(HLOOKUP($A367,#REF!,18,FALSE)&gt;2,HLOOKUP($A367,#REF!,18,FALSE)&lt;-2),"",#REF!),"")</f>
        <v/>
      </c>
      <c r="U367" t="str">
        <f>IFERROR(IF(OR(HLOOKUP($A367,#REF!,19,FALSE)&gt;2,HLOOKUP($A367,#REF!,19,FALSE)&lt;-2),"",#REF!),"")</f>
        <v/>
      </c>
      <c r="V367">
        <f t="shared" si="20"/>
        <v>1</v>
      </c>
      <c r="W367" t="str">
        <f t="shared" si="21"/>
        <v/>
      </c>
      <c r="X367" t="str">
        <f t="shared" si="22"/>
        <v/>
      </c>
      <c r="Y367" t="str">
        <f t="shared" si="23"/>
        <v/>
      </c>
    </row>
    <row r="368" spans="1:25" x14ac:dyDescent="0.35">
      <c r="A368">
        <v>375</v>
      </c>
      <c r="B368" t="s">
        <v>772</v>
      </c>
      <c r="C368">
        <v>37600</v>
      </c>
      <c r="D368">
        <v>1080</v>
      </c>
      <c r="E368" t="str">
        <f>IFERROR(IF(OR(HLOOKUP($A368,#REF!,3,FALSE)&gt;2,HLOOKUP(A368,#REF!,3,FALSE)&lt;-2),"",#REF!),"")</f>
        <v/>
      </c>
      <c r="F368" t="str">
        <f>IFERROR(IF(OR(HLOOKUP($A368,#REF!,4,FALSE)&gt;2,HLOOKUP($A368,#REF!,4,FALSE)&lt;-2),"",#REF!),"")</f>
        <v/>
      </c>
      <c r="G368" t="str">
        <f>IFERROR(IF(OR(HLOOKUP($A368,#REF!,5,FALSE)&gt;2,HLOOKUP($A368,#REF!,5,FALSE)&lt;-2),"",#REF!),"")</f>
        <v/>
      </c>
      <c r="H368" t="str">
        <f>IFERROR(IF(OR(HLOOKUP($A368,#REF!,6,FALSE)&gt;2,HLOOKUP($A368,#REF!,6,FALSE)&lt;-2),"",#REF!),"")</f>
        <v/>
      </c>
      <c r="I368" t="str">
        <f>IFERROR(IF(OR(HLOOKUP($A368,#REF!,7,FALSE)&gt;2,HLOOKUP($A368,#REF!,7,FALSE)&lt;-2),"",#REF!),"")</f>
        <v/>
      </c>
      <c r="J368" t="str">
        <f>IFERROR(IF(OR(HLOOKUP($A368,#REF!,8,FALSE)&gt;2,HLOOKUP($A368,#REF!,8,FALSE)&lt;-2),"",#REF!),"")</f>
        <v/>
      </c>
      <c r="K368" t="str">
        <f>IFERROR(IF(OR(HLOOKUP($A368,#REF!,9,FALSE)&gt;2,HLOOKUP($A368,#REF!,9,FALSE)&lt;-2),"",#REF!),"")</f>
        <v/>
      </c>
      <c r="L368" t="str">
        <f>IFERROR(IF(OR(HLOOKUP($A368,#REF!,10,FALSE)&gt;2,HLOOKUP($A368,#REF!,10,FALSE)&lt;-2),"",#REF!),"")</f>
        <v/>
      </c>
      <c r="M368" t="str">
        <f>IFERROR(IF(OR(HLOOKUP($A368,#REF!,11,FALSE)&gt;2,HLOOKUP($A368,#REF!,11,FALSE)&lt;-2),"",#REF!),"")</f>
        <v/>
      </c>
      <c r="N368" t="str">
        <f>IFERROR(IF(OR(HLOOKUP($A368,#REF!,12,FALSE)&gt;2,HLOOKUP($A368,#REF!,12,FALSE)&lt;-2),"",#REF!),"")</f>
        <v/>
      </c>
      <c r="O368" t="str">
        <f>IFERROR(IF(OR(HLOOKUP($A368,#REF!,13,FALSE)&gt;2,HLOOKUP($A368,#REF!,13,FALSE)&lt;-2),"",#REF!),"")</f>
        <v/>
      </c>
      <c r="P368" t="str">
        <f>IFERROR(IF(OR(HLOOKUP($A368,#REF!,14,FALSE)&gt;2,HLOOKUP($A368,#REF!,14,FALSE)&lt;-2),"",#REF!),"")</f>
        <v/>
      </c>
      <c r="Q368" t="str">
        <f>IFERROR(IF(OR(HLOOKUP($A368,#REF!,15,FALSE)&gt;2,HLOOKUP($A368,#REF!,15,FALSE)&lt;-2),"",#REF!),"")</f>
        <v/>
      </c>
      <c r="R368" t="str">
        <f>IFERROR(IF(OR(HLOOKUP($A368,#REF!,16,FALSE)&gt;2,HLOOKUP($A368,#REF!,16,FALSE)&lt;-2),"",#REF!),"")</f>
        <v/>
      </c>
      <c r="S368" t="str">
        <f>IFERROR(IF(OR(HLOOKUP($A368,#REF!,17,FALSE)&gt;2,HLOOKUP($A368,#REF!,17,FALSE)&lt;-2),"",#REF!),"")</f>
        <v/>
      </c>
      <c r="T368" t="str">
        <f>IFERROR(IF(OR(HLOOKUP($A368,#REF!,18,FALSE)&gt;2,HLOOKUP($A368,#REF!,18,FALSE)&lt;-2),"",#REF!),"")</f>
        <v/>
      </c>
      <c r="U368" t="str">
        <f>IFERROR(IF(OR(HLOOKUP($A368,#REF!,19,FALSE)&gt;2,HLOOKUP($A368,#REF!,19,FALSE)&lt;-2),"",#REF!),"")</f>
        <v/>
      </c>
      <c r="V368">
        <f t="shared" si="20"/>
        <v>1</v>
      </c>
      <c r="W368" t="str">
        <f t="shared" si="21"/>
        <v/>
      </c>
      <c r="X368" t="str">
        <f t="shared" si="22"/>
        <v/>
      </c>
      <c r="Y368" t="str">
        <f t="shared" si="23"/>
        <v/>
      </c>
    </row>
    <row r="369" spans="1:25" x14ac:dyDescent="0.35">
      <c r="A369">
        <v>376</v>
      </c>
      <c r="B369" t="s">
        <v>773</v>
      </c>
      <c r="C369">
        <v>35400</v>
      </c>
      <c r="D369">
        <v>655</v>
      </c>
      <c r="E369" t="str">
        <f>IFERROR(IF(OR(HLOOKUP($A369,#REF!,3,FALSE)&gt;2,HLOOKUP(A369,#REF!,3,FALSE)&lt;-2),"",#REF!),"")</f>
        <v/>
      </c>
      <c r="F369" t="str">
        <f>IFERROR(IF(OR(HLOOKUP($A369,#REF!,4,FALSE)&gt;2,HLOOKUP($A369,#REF!,4,FALSE)&lt;-2),"",#REF!),"")</f>
        <v/>
      </c>
      <c r="G369" t="str">
        <f>IFERROR(IF(OR(HLOOKUP($A369,#REF!,5,FALSE)&gt;2,HLOOKUP($A369,#REF!,5,FALSE)&lt;-2),"",#REF!),"")</f>
        <v/>
      </c>
      <c r="H369" t="str">
        <f>IFERROR(IF(OR(HLOOKUP($A369,#REF!,6,FALSE)&gt;2,HLOOKUP($A369,#REF!,6,FALSE)&lt;-2),"",#REF!),"")</f>
        <v/>
      </c>
      <c r="I369" t="str">
        <f>IFERROR(IF(OR(HLOOKUP($A369,#REF!,7,FALSE)&gt;2,HLOOKUP($A369,#REF!,7,FALSE)&lt;-2),"",#REF!),"")</f>
        <v/>
      </c>
      <c r="J369" t="str">
        <f>IFERROR(IF(OR(HLOOKUP($A369,#REF!,8,FALSE)&gt;2,HLOOKUP($A369,#REF!,8,FALSE)&lt;-2),"",#REF!),"")</f>
        <v/>
      </c>
      <c r="K369" t="str">
        <f>IFERROR(IF(OR(HLOOKUP($A369,#REF!,9,FALSE)&gt;2,HLOOKUP($A369,#REF!,9,FALSE)&lt;-2),"",#REF!),"")</f>
        <v/>
      </c>
      <c r="L369" t="str">
        <f>IFERROR(IF(OR(HLOOKUP($A369,#REF!,10,FALSE)&gt;2,HLOOKUP($A369,#REF!,10,FALSE)&lt;-2),"",#REF!),"")</f>
        <v/>
      </c>
      <c r="M369" t="str">
        <f>IFERROR(IF(OR(HLOOKUP($A369,#REF!,11,FALSE)&gt;2,HLOOKUP($A369,#REF!,11,FALSE)&lt;-2),"",#REF!),"")</f>
        <v/>
      </c>
      <c r="N369" t="str">
        <f>IFERROR(IF(OR(HLOOKUP($A369,#REF!,12,FALSE)&gt;2,HLOOKUP($A369,#REF!,12,FALSE)&lt;-2),"",#REF!),"")</f>
        <v/>
      </c>
      <c r="O369" t="str">
        <f>IFERROR(IF(OR(HLOOKUP($A369,#REF!,13,FALSE)&gt;2,HLOOKUP($A369,#REF!,13,FALSE)&lt;-2),"",#REF!),"")</f>
        <v/>
      </c>
      <c r="P369" t="str">
        <f>IFERROR(IF(OR(HLOOKUP($A369,#REF!,14,FALSE)&gt;2,HLOOKUP($A369,#REF!,14,FALSE)&lt;-2),"",#REF!),"")</f>
        <v/>
      </c>
      <c r="Q369" t="str">
        <f>IFERROR(IF(OR(HLOOKUP($A369,#REF!,15,FALSE)&gt;2,HLOOKUP($A369,#REF!,15,FALSE)&lt;-2),"",#REF!),"")</f>
        <v/>
      </c>
      <c r="R369" t="str">
        <f>IFERROR(IF(OR(HLOOKUP($A369,#REF!,16,FALSE)&gt;2,HLOOKUP($A369,#REF!,16,FALSE)&lt;-2),"",#REF!),"")</f>
        <v/>
      </c>
      <c r="S369" t="str">
        <f>IFERROR(IF(OR(HLOOKUP($A369,#REF!,17,FALSE)&gt;2,HLOOKUP($A369,#REF!,17,FALSE)&lt;-2),"",#REF!),"")</f>
        <v/>
      </c>
      <c r="T369" t="str">
        <f>IFERROR(IF(OR(HLOOKUP($A369,#REF!,18,FALSE)&gt;2,HLOOKUP($A369,#REF!,18,FALSE)&lt;-2),"",#REF!),"")</f>
        <v/>
      </c>
      <c r="U369" t="str">
        <f>IFERROR(IF(OR(HLOOKUP($A369,#REF!,19,FALSE)&gt;2,HLOOKUP($A369,#REF!,19,FALSE)&lt;-2),"",#REF!),"")</f>
        <v/>
      </c>
      <c r="V369">
        <f t="shared" si="20"/>
        <v>1</v>
      </c>
      <c r="W369" t="str">
        <f t="shared" si="21"/>
        <v/>
      </c>
      <c r="X369" t="str">
        <f t="shared" si="22"/>
        <v/>
      </c>
      <c r="Y369" t="str">
        <f t="shared" si="23"/>
        <v/>
      </c>
    </row>
    <row r="370" spans="1:25" x14ac:dyDescent="0.35">
      <c r="A370">
        <v>377</v>
      </c>
      <c r="B370" t="s">
        <v>199</v>
      </c>
      <c r="C370">
        <v>17400</v>
      </c>
      <c r="D370">
        <v>425</v>
      </c>
      <c r="E370" t="str">
        <f>IFERROR(IF(OR(HLOOKUP($A370,#REF!,3,FALSE)&gt;2,HLOOKUP(A370,#REF!,3,FALSE)&lt;-2),"",#REF!),"")</f>
        <v/>
      </c>
      <c r="F370" t="str">
        <f>IFERROR(IF(OR(HLOOKUP($A370,#REF!,4,FALSE)&gt;2,HLOOKUP($A370,#REF!,4,FALSE)&lt;-2),"",#REF!),"")</f>
        <v/>
      </c>
      <c r="G370" t="str">
        <f>IFERROR(IF(OR(HLOOKUP($A370,#REF!,5,FALSE)&gt;2,HLOOKUP($A370,#REF!,5,FALSE)&lt;-2),"",#REF!),"")</f>
        <v/>
      </c>
      <c r="H370" t="str">
        <f>IFERROR(IF(OR(HLOOKUP($A370,#REF!,6,FALSE)&gt;2,HLOOKUP($A370,#REF!,6,FALSE)&lt;-2),"",#REF!),"")</f>
        <v/>
      </c>
      <c r="I370" t="str">
        <f>IFERROR(IF(OR(HLOOKUP($A370,#REF!,7,FALSE)&gt;2,HLOOKUP($A370,#REF!,7,FALSE)&lt;-2),"",#REF!),"")</f>
        <v/>
      </c>
      <c r="J370" t="str">
        <f>IFERROR(IF(OR(HLOOKUP($A370,#REF!,8,FALSE)&gt;2,HLOOKUP($A370,#REF!,8,FALSE)&lt;-2),"",#REF!),"")</f>
        <v/>
      </c>
      <c r="K370" t="str">
        <f>IFERROR(IF(OR(HLOOKUP($A370,#REF!,9,FALSE)&gt;2,HLOOKUP($A370,#REF!,9,FALSE)&lt;-2),"",#REF!),"")</f>
        <v/>
      </c>
      <c r="L370" t="str">
        <f>IFERROR(IF(OR(HLOOKUP($A370,#REF!,10,FALSE)&gt;2,HLOOKUP($A370,#REF!,10,FALSE)&lt;-2),"",#REF!),"")</f>
        <v/>
      </c>
      <c r="M370" t="str">
        <f>IFERROR(IF(OR(HLOOKUP($A370,#REF!,11,FALSE)&gt;2,HLOOKUP($A370,#REF!,11,FALSE)&lt;-2),"",#REF!),"")</f>
        <v/>
      </c>
      <c r="N370" t="str">
        <f>IFERROR(IF(OR(HLOOKUP($A370,#REF!,12,FALSE)&gt;2,HLOOKUP($A370,#REF!,12,FALSE)&lt;-2),"",#REF!),"")</f>
        <v/>
      </c>
      <c r="O370" t="str">
        <f>IFERROR(IF(OR(HLOOKUP($A370,#REF!,13,FALSE)&gt;2,HLOOKUP($A370,#REF!,13,FALSE)&lt;-2),"",#REF!),"")</f>
        <v/>
      </c>
      <c r="P370" t="str">
        <f>IFERROR(IF(OR(HLOOKUP($A370,#REF!,14,FALSE)&gt;2,HLOOKUP($A370,#REF!,14,FALSE)&lt;-2),"",#REF!),"")</f>
        <v/>
      </c>
      <c r="Q370" t="str">
        <f>IFERROR(IF(OR(HLOOKUP($A370,#REF!,15,FALSE)&gt;2,HLOOKUP($A370,#REF!,15,FALSE)&lt;-2),"",#REF!),"")</f>
        <v/>
      </c>
      <c r="R370" t="str">
        <f>IFERROR(IF(OR(HLOOKUP($A370,#REF!,16,FALSE)&gt;2,HLOOKUP($A370,#REF!,16,FALSE)&lt;-2),"",#REF!),"")</f>
        <v/>
      </c>
      <c r="S370" t="str">
        <f>IFERROR(IF(OR(HLOOKUP($A370,#REF!,17,FALSE)&gt;2,HLOOKUP($A370,#REF!,17,FALSE)&lt;-2),"",#REF!),"")</f>
        <v/>
      </c>
      <c r="T370" t="str">
        <f>IFERROR(IF(OR(HLOOKUP($A370,#REF!,18,FALSE)&gt;2,HLOOKUP($A370,#REF!,18,FALSE)&lt;-2),"",#REF!),"")</f>
        <v/>
      </c>
      <c r="U370" t="str">
        <f>IFERROR(IF(OR(HLOOKUP($A370,#REF!,19,FALSE)&gt;2,HLOOKUP($A370,#REF!,19,FALSE)&lt;-2),"",#REF!),"")</f>
        <v/>
      </c>
      <c r="V370">
        <f t="shared" si="20"/>
        <v>1</v>
      </c>
      <c r="W370" t="str">
        <f t="shared" si="21"/>
        <v/>
      </c>
      <c r="X370" t="str">
        <f t="shared" si="22"/>
        <v/>
      </c>
      <c r="Y370" t="str">
        <f t="shared" si="23"/>
        <v/>
      </c>
    </row>
    <row r="371" spans="1:25" x14ac:dyDescent="0.35">
      <c r="A371">
        <v>378</v>
      </c>
      <c r="B371" t="s">
        <v>774</v>
      </c>
      <c r="C371">
        <v>7700</v>
      </c>
      <c r="D371">
        <v>453</v>
      </c>
      <c r="E371" t="str">
        <f>IFERROR(IF(OR(HLOOKUP($A371,#REF!,3,FALSE)&gt;2,HLOOKUP(A371,#REF!,3,FALSE)&lt;-2),"",#REF!),"")</f>
        <v/>
      </c>
      <c r="F371" t="str">
        <f>IFERROR(IF(OR(HLOOKUP($A371,#REF!,4,FALSE)&gt;2,HLOOKUP($A371,#REF!,4,FALSE)&lt;-2),"",#REF!),"")</f>
        <v/>
      </c>
      <c r="G371" t="str">
        <f>IFERROR(IF(OR(HLOOKUP($A371,#REF!,5,FALSE)&gt;2,HLOOKUP($A371,#REF!,5,FALSE)&lt;-2),"",#REF!),"")</f>
        <v/>
      </c>
      <c r="H371" t="str">
        <f>IFERROR(IF(OR(HLOOKUP($A371,#REF!,6,FALSE)&gt;2,HLOOKUP($A371,#REF!,6,FALSE)&lt;-2),"",#REF!),"")</f>
        <v/>
      </c>
      <c r="I371" t="str">
        <f>IFERROR(IF(OR(HLOOKUP($A371,#REF!,7,FALSE)&gt;2,HLOOKUP($A371,#REF!,7,FALSE)&lt;-2),"",#REF!),"")</f>
        <v/>
      </c>
      <c r="J371" t="str">
        <f>IFERROR(IF(OR(HLOOKUP($A371,#REF!,8,FALSE)&gt;2,HLOOKUP($A371,#REF!,8,FALSE)&lt;-2),"",#REF!),"")</f>
        <v/>
      </c>
      <c r="K371" t="str">
        <f>IFERROR(IF(OR(HLOOKUP($A371,#REF!,9,FALSE)&gt;2,HLOOKUP($A371,#REF!,9,FALSE)&lt;-2),"",#REF!),"")</f>
        <v/>
      </c>
      <c r="L371" t="str">
        <f>IFERROR(IF(OR(HLOOKUP($A371,#REF!,10,FALSE)&gt;2,HLOOKUP($A371,#REF!,10,FALSE)&lt;-2),"",#REF!),"")</f>
        <v/>
      </c>
      <c r="M371" t="str">
        <f>IFERROR(IF(OR(HLOOKUP($A371,#REF!,11,FALSE)&gt;2,HLOOKUP($A371,#REF!,11,FALSE)&lt;-2),"",#REF!),"")</f>
        <v/>
      </c>
      <c r="N371" t="str">
        <f>IFERROR(IF(OR(HLOOKUP($A371,#REF!,12,FALSE)&gt;2,HLOOKUP($A371,#REF!,12,FALSE)&lt;-2),"",#REF!),"")</f>
        <v/>
      </c>
      <c r="O371" t="str">
        <f>IFERROR(IF(OR(HLOOKUP($A371,#REF!,13,FALSE)&gt;2,HLOOKUP($A371,#REF!,13,FALSE)&lt;-2),"",#REF!),"")</f>
        <v/>
      </c>
      <c r="P371" t="str">
        <f>IFERROR(IF(OR(HLOOKUP($A371,#REF!,14,FALSE)&gt;2,HLOOKUP($A371,#REF!,14,FALSE)&lt;-2),"",#REF!),"")</f>
        <v/>
      </c>
      <c r="Q371" t="str">
        <f>IFERROR(IF(OR(HLOOKUP($A371,#REF!,15,FALSE)&gt;2,HLOOKUP($A371,#REF!,15,FALSE)&lt;-2),"",#REF!),"")</f>
        <v/>
      </c>
      <c r="R371" t="str">
        <f>IFERROR(IF(OR(HLOOKUP($A371,#REF!,16,FALSE)&gt;2,HLOOKUP($A371,#REF!,16,FALSE)&lt;-2),"",#REF!),"")</f>
        <v/>
      </c>
      <c r="S371" t="str">
        <f>IFERROR(IF(OR(HLOOKUP($A371,#REF!,17,FALSE)&gt;2,HLOOKUP($A371,#REF!,17,FALSE)&lt;-2),"",#REF!),"")</f>
        <v/>
      </c>
      <c r="T371" t="str">
        <f>IFERROR(IF(OR(HLOOKUP($A371,#REF!,18,FALSE)&gt;2,HLOOKUP($A371,#REF!,18,FALSE)&lt;-2),"",#REF!),"")</f>
        <v/>
      </c>
      <c r="U371" t="str">
        <f>IFERROR(IF(OR(HLOOKUP($A371,#REF!,19,FALSE)&gt;2,HLOOKUP($A371,#REF!,19,FALSE)&lt;-2),"",#REF!),"")</f>
        <v/>
      </c>
      <c r="V371">
        <f t="shared" si="20"/>
        <v>1</v>
      </c>
      <c r="W371" t="str">
        <f t="shared" si="21"/>
        <v/>
      </c>
      <c r="X371" t="str">
        <f t="shared" si="22"/>
        <v/>
      </c>
      <c r="Y371" t="str">
        <f t="shared" si="23"/>
        <v/>
      </c>
    </row>
    <row r="372" spans="1:25" x14ac:dyDescent="0.35">
      <c r="A372">
        <v>379</v>
      </c>
      <c r="B372" t="s">
        <v>775</v>
      </c>
      <c r="C372">
        <v>96800</v>
      </c>
      <c r="D372">
        <v>354</v>
      </c>
      <c r="E372" t="str">
        <f>IFERROR(IF(OR(HLOOKUP($A372,#REF!,3,FALSE)&gt;2,HLOOKUP(A372,#REF!,3,FALSE)&lt;-2),"",#REF!),"")</f>
        <v/>
      </c>
      <c r="F372" t="str">
        <f>IFERROR(IF(OR(HLOOKUP($A372,#REF!,4,FALSE)&gt;2,HLOOKUP($A372,#REF!,4,FALSE)&lt;-2),"",#REF!),"")</f>
        <v/>
      </c>
      <c r="G372" t="str">
        <f>IFERROR(IF(OR(HLOOKUP($A372,#REF!,5,FALSE)&gt;2,HLOOKUP($A372,#REF!,5,FALSE)&lt;-2),"",#REF!),"")</f>
        <v/>
      </c>
      <c r="H372" t="str">
        <f>IFERROR(IF(OR(HLOOKUP($A372,#REF!,6,FALSE)&gt;2,HLOOKUP($A372,#REF!,6,FALSE)&lt;-2),"",#REF!),"")</f>
        <v/>
      </c>
      <c r="I372" t="str">
        <f>IFERROR(IF(OR(HLOOKUP($A372,#REF!,7,FALSE)&gt;2,HLOOKUP($A372,#REF!,7,FALSE)&lt;-2),"",#REF!),"")</f>
        <v/>
      </c>
      <c r="J372" t="str">
        <f>IFERROR(IF(OR(HLOOKUP($A372,#REF!,8,FALSE)&gt;2,HLOOKUP($A372,#REF!,8,FALSE)&lt;-2),"",#REF!),"")</f>
        <v/>
      </c>
      <c r="K372" t="str">
        <f>IFERROR(IF(OR(HLOOKUP($A372,#REF!,9,FALSE)&gt;2,HLOOKUP($A372,#REF!,9,FALSE)&lt;-2),"",#REF!),"")</f>
        <v/>
      </c>
      <c r="L372" t="str">
        <f>IFERROR(IF(OR(HLOOKUP($A372,#REF!,10,FALSE)&gt;2,HLOOKUP($A372,#REF!,10,FALSE)&lt;-2),"",#REF!),"")</f>
        <v/>
      </c>
      <c r="M372" t="str">
        <f>IFERROR(IF(OR(HLOOKUP($A372,#REF!,11,FALSE)&gt;2,HLOOKUP($A372,#REF!,11,FALSE)&lt;-2),"",#REF!),"")</f>
        <v/>
      </c>
      <c r="N372" t="str">
        <f>IFERROR(IF(OR(HLOOKUP($A372,#REF!,12,FALSE)&gt;2,HLOOKUP($A372,#REF!,12,FALSE)&lt;-2),"",#REF!),"")</f>
        <v/>
      </c>
      <c r="O372" t="str">
        <f>IFERROR(IF(OR(HLOOKUP($A372,#REF!,13,FALSE)&gt;2,HLOOKUP($A372,#REF!,13,FALSE)&lt;-2),"",#REF!),"")</f>
        <v/>
      </c>
      <c r="P372" t="str">
        <f>IFERROR(IF(OR(HLOOKUP($A372,#REF!,14,FALSE)&gt;2,HLOOKUP($A372,#REF!,14,FALSE)&lt;-2),"",#REF!),"")</f>
        <v/>
      </c>
      <c r="Q372" t="str">
        <f>IFERROR(IF(OR(HLOOKUP($A372,#REF!,15,FALSE)&gt;2,HLOOKUP($A372,#REF!,15,FALSE)&lt;-2),"",#REF!),"")</f>
        <v/>
      </c>
      <c r="R372" t="str">
        <f>IFERROR(IF(OR(HLOOKUP($A372,#REF!,16,FALSE)&gt;2,HLOOKUP($A372,#REF!,16,FALSE)&lt;-2),"",#REF!),"")</f>
        <v/>
      </c>
      <c r="S372" t="str">
        <f>IFERROR(IF(OR(HLOOKUP($A372,#REF!,17,FALSE)&gt;2,HLOOKUP($A372,#REF!,17,FALSE)&lt;-2),"",#REF!),"")</f>
        <v/>
      </c>
      <c r="T372" t="str">
        <f>IFERROR(IF(OR(HLOOKUP($A372,#REF!,18,FALSE)&gt;2,HLOOKUP($A372,#REF!,18,FALSE)&lt;-2),"",#REF!),"")</f>
        <v/>
      </c>
      <c r="U372" t="str">
        <f>IFERROR(IF(OR(HLOOKUP($A372,#REF!,19,FALSE)&gt;2,HLOOKUP($A372,#REF!,19,FALSE)&lt;-2),"",#REF!),"")</f>
        <v/>
      </c>
      <c r="V372">
        <f t="shared" si="20"/>
        <v>1</v>
      </c>
      <c r="W372" t="str">
        <f t="shared" si="21"/>
        <v/>
      </c>
      <c r="X372" t="str">
        <f t="shared" si="22"/>
        <v/>
      </c>
      <c r="Y372" t="str">
        <f t="shared" si="23"/>
        <v/>
      </c>
    </row>
    <row r="373" spans="1:25" x14ac:dyDescent="0.35">
      <c r="A373">
        <v>380</v>
      </c>
      <c r="B373" t="s">
        <v>200</v>
      </c>
      <c r="C373">
        <v>102700</v>
      </c>
      <c r="D373">
        <v>514</v>
      </c>
      <c r="E373" t="str">
        <f>IFERROR(IF(OR(HLOOKUP($A373,#REF!,3,FALSE)&gt;2,HLOOKUP(A373,#REF!,3,FALSE)&lt;-2),"",#REF!),"")</f>
        <v/>
      </c>
      <c r="F373" t="str">
        <f>IFERROR(IF(OR(HLOOKUP($A373,#REF!,4,FALSE)&gt;2,HLOOKUP($A373,#REF!,4,FALSE)&lt;-2),"",#REF!),"")</f>
        <v/>
      </c>
      <c r="G373" t="str">
        <f>IFERROR(IF(OR(HLOOKUP($A373,#REF!,5,FALSE)&gt;2,HLOOKUP($A373,#REF!,5,FALSE)&lt;-2),"",#REF!),"")</f>
        <v/>
      </c>
      <c r="H373" t="str">
        <f>IFERROR(IF(OR(HLOOKUP($A373,#REF!,6,FALSE)&gt;2,HLOOKUP($A373,#REF!,6,FALSE)&lt;-2),"",#REF!),"")</f>
        <v/>
      </c>
      <c r="I373" t="str">
        <f>IFERROR(IF(OR(HLOOKUP($A373,#REF!,7,FALSE)&gt;2,HLOOKUP($A373,#REF!,7,FALSE)&lt;-2),"",#REF!),"")</f>
        <v/>
      </c>
      <c r="J373" t="str">
        <f>IFERROR(IF(OR(HLOOKUP($A373,#REF!,8,FALSE)&gt;2,HLOOKUP($A373,#REF!,8,FALSE)&lt;-2),"",#REF!),"")</f>
        <v/>
      </c>
      <c r="K373" t="str">
        <f>IFERROR(IF(OR(HLOOKUP($A373,#REF!,9,FALSE)&gt;2,HLOOKUP($A373,#REF!,9,FALSE)&lt;-2),"",#REF!),"")</f>
        <v/>
      </c>
      <c r="L373" t="str">
        <f>IFERROR(IF(OR(HLOOKUP($A373,#REF!,10,FALSE)&gt;2,HLOOKUP($A373,#REF!,10,FALSE)&lt;-2),"",#REF!),"")</f>
        <v/>
      </c>
      <c r="M373" t="str">
        <f>IFERROR(IF(OR(HLOOKUP($A373,#REF!,11,FALSE)&gt;2,HLOOKUP($A373,#REF!,11,FALSE)&lt;-2),"",#REF!),"")</f>
        <v/>
      </c>
      <c r="N373" t="str">
        <f>IFERROR(IF(OR(HLOOKUP($A373,#REF!,12,FALSE)&gt;2,HLOOKUP($A373,#REF!,12,FALSE)&lt;-2),"",#REF!),"")</f>
        <v/>
      </c>
      <c r="O373" t="str">
        <f>IFERROR(IF(OR(HLOOKUP($A373,#REF!,13,FALSE)&gt;2,HLOOKUP($A373,#REF!,13,FALSE)&lt;-2),"",#REF!),"")</f>
        <v/>
      </c>
      <c r="P373" t="str">
        <f>IFERROR(IF(OR(HLOOKUP($A373,#REF!,14,FALSE)&gt;2,HLOOKUP($A373,#REF!,14,FALSE)&lt;-2),"",#REF!),"")</f>
        <v/>
      </c>
      <c r="Q373" t="str">
        <f>IFERROR(IF(OR(HLOOKUP($A373,#REF!,15,FALSE)&gt;2,HLOOKUP($A373,#REF!,15,FALSE)&lt;-2),"",#REF!),"")</f>
        <v/>
      </c>
      <c r="R373" t="str">
        <f>IFERROR(IF(OR(HLOOKUP($A373,#REF!,16,FALSE)&gt;2,HLOOKUP($A373,#REF!,16,FALSE)&lt;-2),"",#REF!),"")</f>
        <v/>
      </c>
      <c r="S373" t="str">
        <f>IFERROR(IF(OR(HLOOKUP($A373,#REF!,17,FALSE)&gt;2,HLOOKUP($A373,#REF!,17,FALSE)&lt;-2),"",#REF!),"")</f>
        <v/>
      </c>
      <c r="T373" t="str">
        <f>IFERROR(IF(OR(HLOOKUP($A373,#REF!,18,FALSE)&gt;2,HLOOKUP($A373,#REF!,18,FALSE)&lt;-2),"",#REF!),"")</f>
        <v/>
      </c>
      <c r="U373" t="str">
        <f>IFERROR(IF(OR(HLOOKUP($A373,#REF!,19,FALSE)&gt;2,HLOOKUP($A373,#REF!,19,FALSE)&lt;-2),"",#REF!),"")</f>
        <v/>
      </c>
      <c r="V373">
        <f t="shared" si="20"/>
        <v>1</v>
      </c>
      <c r="W373" t="str">
        <f t="shared" si="21"/>
        <v/>
      </c>
      <c r="X373" t="str">
        <f t="shared" si="22"/>
        <v/>
      </c>
      <c r="Y373" t="str">
        <f t="shared" si="23"/>
        <v/>
      </c>
    </row>
    <row r="374" spans="1:25" x14ac:dyDescent="0.35">
      <c r="A374">
        <v>381</v>
      </c>
      <c r="B374" t="s">
        <v>201</v>
      </c>
      <c r="C374">
        <v>80000</v>
      </c>
      <c r="D374">
        <v>323</v>
      </c>
      <c r="E374" t="str">
        <f>IFERROR(IF(OR(HLOOKUP($A374,#REF!,3,FALSE)&gt;2,HLOOKUP(A374,#REF!,3,FALSE)&lt;-2),"",#REF!),"")</f>
        <v/>
      </c>
      <c r="F374" t="str">
        <f>IFERROR(IF(OR(HLOOKUP($A374,#REF!,4,FALSE)&gt;2,HLOOKUP($A374,#REF!,4,FALSE)&lt;-2),"",#REF!),"")</f>
        <v/>
      </c>
      <c r="G374" t="str">
        <f>IFERROR(IF(OR(HLOOKUP($A374,#REF!,5,FALSE)&gt;2,HLOOKUP($A374,#REF!,5,FALSE)&lt;-2),"",#REF!),"")</f>
        <v/>
      </c>
      <c r="H374" t="str">
        <f>IFERROR(IF(OR(HLOOKUP($A374,#REF!,6,FALSE)&gt;2,HLOOKUP($A374,#REF!,6,FALSE)&lt;-2),"",#REF!),"")</f>
        <v/>
      </c>
      <c r="I374" t="str">
        <f>IFERROR(IF(OR(HLOOKUP($A374,#REF!,7,FALSE)&gt;2,HLOOKUP($A374,#REF!,7,FALSE)&lt;-2),"",#REF!),"")</f>
        <v/>
      </c>
      <c r="J374" t="str">
        <f>IFERROR(IF(OR(HLOOKUP($A374,#REF!,8,FALSE)&gt;2,HLOOKUP($A374,#REF!,8,FALSE)&lt;-2),"",#REF!),"")</f>
        <v/>
      </c>
      <c r="K374" t="str">
        <f>IFERROR(IF(OR(HLOOKUP($A374,#REF!,9,FALSE)&gt;2,HLOOKUP($A374,#REF!,9,FALSE)&lt;-2),"",#REF!),"")</f>
        <v/>
      </c>
      <c r="L374" t="str">
        <f>IFERROR(IF(OR(HLOOKUP($A374,#REF!,10,FALSE)&gt;2,HLOOKUP($A374,#REF!,10,FALSE)&lt;-2),"",#REF!),"")</f>
        <v/>
      </c>
      <c r="M374" t="str">
        <f>IFERROR(IF(OR(HLOOKUP($A374,#REF!,11,FALSE)&gt;2,HLOOKUP($A374,#REF!,11,FALSE)&lt;-2),"",#REF!),"")</f>
        <v/>
      </c>
      <c r="N374" t="str">
        <f>IFERROR(IF(OR(HLOOKUP($A374,#REF!,12,FALSE)&gt;2,HLOOKUP($A374,#REF!,12,FALSE)&lt;-2),"",#REF!),"")</f>
        <v/>
      </c>
      <c r="O374" t="str">
        <f>IFERROR(IF(OR(HLOOKUP($A374,#REF!,13,FALSE)&gt;2,HLOOKUP($A374,#REF!,13,FALSE)&lt;-2),"",#REF!),"")</f>
        <v/>
      </c>
      <c r="P374" t="str">
        <f>IFERROR(IF(OR(HLOOKUP($A374,#REF!,14,FALSE)&gt;2,HLOOKUP($A374,#REF!,14,FALSE)&lt;-2),"",#REF!),"")</f>
        <v/>
      </c>
      <c r="Q374" t="str">
        <f>IFERROR(IF(OR(HLOOKUP($A374,#REF!,15,FALSE)&gt;2,HLOOKUP($A374,#REF!,15,FALSE)&lt;-2),"",#REF!),"")</f>
        <v/>
      </c>
      <c r="R374" t="str">
        <f>IFERROR(IF(OR(HLOOKUP($A374,#REF!,16,FALSE)&gt;2,HLOOKUP($A374,#REF!,16,FALSE)&lt;-2),"",#REF!),"")</f>
        <v/>
      </c>
      <c r="S374" t="str">
        <f>IFERROR(IF(OR(HLOOKUP($A374,#REF!,17,FALSE)&gt;2,HLOOKUP($A374,#REF!,17,FALSE)&lt;-2),"",#REF!),"")</f>
        <v/>
      </c>
      <c r="T374" t="str">
        <f>IFERROR(IF(OR(HLOOKUP($A374,#REF!,18,FALSE)&gt;2,HLOOKUP($A374,#REF!,18,FALSE)&lt;-2),"",#REF!),"")</f>
        <v/>
      </c>
      <c r="U374" t="str">
        <f>IFERROR(IF(OR(HLOOKUP($A374,#REF!,19,FALSE)&gt;2,HLOOKUP($A374,#REF!,19,FALSE)&lt;-2),"",#REF!),"")</f>
        <v/>
      </c>
      <c r="V374">
        <f t="shared" si="20"/>
        <v>1</v>
      </c>
      <c r="W374" t="str">
        <f t="shared" si="21"/>
        <v/>
      </c>
      <c r="X374" t="str">
        <f t="shared" si="22"/>
        <v/>
      </c>
      <c r="Y374" t="str">
        <f t="shared" si="23"/>
        <v/>
      </c>
    </row>
    <row r="375" spans="1:25" x14ac:dyDescent="0.35">
      <c r="A375">
        <v>382</v>
      </c>
      <c r="B375" t="s">
        <v>202</v>
      </c>
      <c r="C375">
        <v>37700</v>
      </c>
      <c r="D375">
        <v>375</v>
      </c>
      <c r="E375" t="str">
        <f>IFERROR(IF(OR(HLOOKUP($A375,#REF!,3,FALSE)&gt;2,HLOOKUP(A375,#REF!,3,FALSE)&lt;-2),"",#REF!),"")</f>
        <v/>
      </c>
      <c r="F375" t="str">
        <f>IFERROR(IF(OR(HLOOKUP($A375,#REF!,4,FALSE)&gt;2,HLOOKUP($A375,#REF!,4,FALSE)&lt;-2),"",#REF!),"")</f>
        <v/>
      </c>
      <c r="G375" t="str">
        <f>IFERROR(IF(OR(HLOOKUP($A375,#REF!,5,FALSE)&gt;2,HLOOKUP($A375,#REF!,5,FALSE)&lt;-2),"",#REF!),"")</f>
        <v/>
      </c>
      <c r="H375" t="str">
        <f>IFERROR(IF(OR(HLOOKUP($A375,#REF!,6,FALSE)&gt;2,HLOOKUP($A375,#REF!,6,FALSE)&lt;-2),"",#REF!),"")</f>
        <v/>
      </c>
      <c r="I375" t="str">
        <f>IFERROR(IF(OR(HLOOKUP($A375,#REF!,7,FALSE)&gt;2,HLOOKUP($A375,#REF!,7,FALSE)&lt;-2),"",#REF!),"")</f>
        <v/>
      </c>
      <c r="J375" t="str">
        <f>IFERROR(IF(OR(HLOOKUP($A375,#REF!,8,FALSE)&gt;2,HLOOKUP($A375,#REF!,8,FALSE)&lt;-2),"",#REF!),"")</f>
        <v/>
      </c>
      <c r="K375" t="str">
        <f>IFERROR(IF(OR(HLOOKUP($A375,#REF!,9,FALSE)&gt;2,HLOOKUP($A375,#REF!,9,FALSE)&lt;-2),"",#REF!),"")</f>
        <v/>
      </c>
      <c r="L375" t="str">
        <f>IFERROR(IF(OR(HLOOKUP($A375,#REF!,10,FALSE)&gt;2,HLOOKUP($A375,#REF!,10,FALSE)&lt;-2),"",#REF!),"")</f>
        <v/>
      </c>
      <c r="M375" t="str">
        <f>IFERROR(IF(OR(HLOOKUP($A375,#REF!,11,FALSE)&gt;2,HLOOKUP($A375,#REF!,11,FALSE)&lt;-2),"",#REF!),"")</f>
        <v/>
      </c>
      <c r="N375" t="str">
        <f>IFERROR(IF(OR(HLOOKUP($A375,#REF!,12,FALSE)&gt;2,HLOOKUP($A375,#REF!,12,FALSE)&lt;-2),"",#REF!),"")</f>
        <v/>
      </c>
      <c r="O375" t="str">
        <f>IFERROR(IF(OR(HLOOKUP($A375,#REF!,13,FALSE)&gt;2,HLOOKUP($A375,#REF!,13,FALSE)&lt;-2),"",#REF!),"")</f>
        <v/>
      </c>
      <c r="P375" t="str">
        <f>IFERROR(IF(OR(HLOOKUP($A375,#REF!,14,FALSE)&gt;2,HLOOKUP($A375,#REF!,14,FALSE)&lt;-2),"",#REF!),"")</f>
        <v/>
      </c>
      <c r="Q375" t="str">
        <f>IFERROR(IF(OR(HLOOKUP($A375,#REF!,15,FALSE)&gt;2,HLOOKUP($A375,#REF!,15,FALSE)&lt;-2),"",#REF!),"")</f>
        <v/>
      </c>
      <c r="R375" t="str">
        <f>IFERROR(IF(OR(HLOOKUP($A375,#REF!,16,FALSE)&gt;2,HLOOKUP($A375,#REF!,16,FALSE)&lt;-2),"",#REF!),"")</f>
        <v/>
      </c>
      <c r="S375" t="str">
        <f>IFERROR(IF(OR(HLOOKUP($A375,#REF!,17,FALSE)&gt;2,HLOOKUP($A375,#REF!,17,FALSE)&lt;-2),"",#REF!),"")</f>
        <v/>
      </c>
      <c r="T375" t="str">
        <f>IFERROR(IF(OR(HLOOKUP($A375,#REF!,18,FALSE)&gt;2,HLOOKUP($A375,#REF!,18,FALSE)&lt;-2),"",#REF!),"")</f>
        <v/>
      </c>
      <c r="U375" t="str">
        <f>IFERROR(IF(OR(HLOOKUP($A375,#REF!,19,FALSE)&gt;2,HLOOKUP($A375,#REF!,19,FALSE)&lt;-2),"",#REF!),"")</f>
        <v/>
      </c>
      <c r="V375">
        <f t="shared" si="20"/>
        <v>1</v>
      </c>
      <c r="W375" t="str">
        <f t="shared" si="21"/>
        <v/>
      </c>
      <c r="X375" t="str">
        <f t="shared" si="22"/>
        <v/>
      </c>
      <c r="Y375" t="str">
        <f t="shared" si="23"/>
        <v/>
      </c>
    </row>
    <row r="376" spans="1:25" x14ac:dyDescent="0.35">
      <c r="A376">
        <v>383</v>
      </c>
      <c r="B376" t="s">
        <v>776</v>
      </c>
      <c r="C376">
        <v>36000</v>
      </c>
      <c r="D376">
        <v>663</v>
      </c>
      <c r="E376" t="str">
        <f>IFERROR(IF(OR(HLOOKUP($A376,#REF!,3,FALSE)&gt;2,HLOOKUP(A376,#REF!,3,FALSE)&lt;-2),"",#REF!),"")</f>
        <v/>
      </c>
      <c r="F376" t="str">
        <f>IFERROR(IF(OR(HLOOKUP($A376,#REF!,4,FALSE)&gt;2,HLOOKUP($A376,#REF!,4,FALSE)&lt;-2),"",#REF!),"")</f>
        <v/>
      </c>
      <c r="G376" t="str">
        <f>IFERROR(IF(OR(HLOOKUP($A376,#REF!,5,FALSE)&gt;2,HLOOKUP($A376,#REF!,5,FALSE)&lt;-2),"",#REF!),"")</f>
        <v/>
      </c>
      <c r="H376" t="str">
        <f>IFERROR(IF(OR(HLOOKUP($A376,#REF!,6,FALSE)&gt;2,HLOOKUP($A376,#REF!,6,FALSE)&lt;-2),"",#REF!),"")</f>
        <v/>
      </c>
      <c r="I376" t="str">
        <f>IFERROR(IF(OR(HLOOKUP($A376,#REF!,7,FALSE)&gt;2,HLOOKUP($A376,#REF!,7,FALSE)&lt;-2),"",#REF!),"")</f>
        <v/>
      </c>
      <c r="J376" t="str">
        <f>IFERROR(IF(OR(HLOOKUP($A376,#REF!,8,FALSE)&gt;2,HLOOKUP($A376,#REF!,8,FALSE)&lt;-2),"",#REF!),"")</f>
        <v/>
      </c>
      <c r="K376" t="str">
        <f>IFERROR(IF(OR(HLOOKUP($A376,#REF!,9,FALSE)&gt;2,HLOOKUP($A376,#REF!,9,FALSE)&lt;-2),"",#REF!),"")</f>
        <v/>
      </c>
      <c r="L376" t="str">
        <f>IFERROR(IF(OR(HLOOKUP($A376,#REF!,10,FALSE)&gt;2,HLOOKUP($A376,#REF!,10,FALSE)&lt;-2),"",#REF!),"")</f>
        <v/>
      </c>
      <c r="M376" t="str">
        <f>IFERROR(IF(OR(HLOOKUP($A376,#REF!,11,FALSE)&gt;2,HLOOKUP($A376,#REF!,11,FALSE)&lt;-2),"",#REF!),"")</f>
        <v/>
      </c>
      <c r="N376" t="str">
        <f>IFERROR(IF(OR(HLOOKUP($A376,#REF!,12,FALSE)&gt;2,HLOOKUP($A376,#REF!,12,FALSE)&lt;-2),"",#REF!),"")</f>
        <v/>
      </c>
      <c r="O376" t="str">
        <f>IFERROR(IF(OR(HLOOKUP($A376,#REF!,13,FALSE)&gt;2,HLOOKUP($A376,#REF!,13,FALSE)&lt;-2),"",#REF!),"")</f>
        <v/>
      </c>
      <c r="P376" t="str">
        <f>IFERROR(IF(OR(HLOOKUP($A376,#REF!,14,FALSE)&gt;2,HLOOKUP($A376,#REF!,14,FALSE)&lt;-2),"",#REF!),"")</f>
        <v/>
      </c>
      <c r="Q376" t="str">
        <f>IFERROR(IF(OR(HLOOKUP($A376,#REF!,15,FALSE)&gt;2,HLOOKUP($A376,#REF!,15,FALSE)&lt;-2),"",#REF!),"")</f>
        <v/>
      </c>
      <c r="R376" t="str">
        <f>IFERROR(IF(OR(HLOOKUP($A376,#REF!,16,FALSE)&gt;2,HLOOKUP($A376,#REF!,16,FALSE)&lt;-2),"",#REF!),"")</f>
        <v/>
      </c>
      <c r="S376" t="str">
        <f>IFERROR(IF(OR(HLOOKUP($A376,#REF!,17,FALSE)&gt;2,HLOOKUP($A376,#REF!,17,FALSE)&lt;-2),"",#REF!),"")</f>
        <v/>
      </c>
      <c r="T376" t="str">
        <f>IFERROR(IF(OR(HLOOKUP($A376,#REF!,18,FALSE)&gt;2,HLOOKUP($A376,#REF!,18,FALSE)&lt;-2),"",#REF!),"")</f>
        <v/>
      </c>
      <c r="U376" t="str">
        <f>IFERROR(IF(OR(HLOOKUP($A376,#REF!,19,FALSE)&gt;2,HLOOKUP($A376,#REF!,19,FALSE)&lt;-2),"",#REF!),"")</f>
        <v/>
      </c>
      <c r="V376">
        <f t="shared" si="20"/>
        <v>1</v>
      </c>
      <c r="W376" t="str">
        <f t="shared" si="21"/>
        <v/>
      </c>
      <c r="X376" t="str">
        <f t="shared" si="22"/>
        <v/>
      </c>
      <c r="Y376" t="str">
        <f t="shared" si="23"/>
        <v/>
      </c>
    </row>
    <row r="377" spans="1:25" x14ac:dyDescent="0.35">
      <c r="A377">
        <v>384</v>
      </c>
      <c r="B377" t="s">
        <v>777</v>
      </c>
      <c r="C377">
        <v>99400</v>
      </c>
      <c r="D377">
        <v>911</v>
      </c>
      <c r="E377" t="str">
        <f>IFERROR(IF(OR(HLOOKUP($A377,#REF!,3,FALSE)&gt;2,HLOOKUP(A377,#REF!,3,FALSE)&lt;-2),"",#REF!),"")</f>
        <v/>
      </c>
      <c r="F377" t="str">
        <f>IFERROR(IF(OR(HLOOKUP($A377,#REF!,4,FALSE)&gt;2,HLOOKUP($A377,#REF!,4,FALSE)&lt;-2),"",#REF!),"")</f>
        <v/>
      </c>
      <c r="G377" t="str">
        <f>IFERROR(IF(OR(HLOOKUP($A377,#REF!,5,FALSE)&gt;2,HLOOKUP($A377,#REF!,5,FALSE)&lt;-2),"",#REF!),"")</f>
        <v/>
      </c>
      <c r="H377" t="str">
        <f>IFERROR(IF(OR(HLOOKUP($A377,#REF!,6,FALSE)&gt;2,HLOOKUP($A377,#REF!,6,FALSE)&lt;-2),"",#REF!),"")</f>
        <v/>
      </c>
      <c r="I377" t="str">
        <f>IFERROR(IF(OR(HLOOKUP($A377,#REF!,7,FALSE)&gt;2,HLOOKUP($A377,#REF!,7,FALSE)&lt;-2),"",#REF!),"")</f>
        <v/>
      </c>
      <c r="J377" t="str">
        <f>IFERROR(IF(OR(HLOOKUP($A377,#REF!,8,FALSE)&gt;2,HLOOKUP($A377,#REF!,8,FALSE)&lt;-2),"",#REF!),"")</f>
        <v/>
      </c>
      <c r="K377" t="str">
        <f>IFERROR(IF(OR(HLOOKUP($A377,#REF!,9,FALSE)&gt;2,HLOOKUP($A377,#REF!,9,FALSE)&lt;-2),"",#REF!),"")</f>
        <v/>
      </c>
      <c r="L377" t="str">
        <f>IFERROR(IF(OR(HLOOKUP($A377,#REF!,10,FALSE)&gt;2,HLOOKUP($A377,#REF!,10,FALSE)&lt;-2),"",#REF!),"")</f>
        <v/>
      </c>
      <c r="M377" t="str">
        <f>IFERROR(IF(OR(HLOOKUP($A377,#REF!,11,FALSE)&gt;2,HLOOKUP($A377,#REF!,11,FALSE)&lt;-2),"",#REF!),"")</f>
        <v/>
      </c>
      <c r="N377" t="str">
        <f>IFERROR(IF(OR(HLOOKUP($A377,#REF!,12,FALSE)&gt;2,HLOOKUP($A377,#REF!,12,FALSE)&lt;-2),"",#REF!),"")</f>
        <v/>
      </c>
      <c r="O377" t="str">
        <f>IFERROR(IF(OR(HLOOKUP($A377,#REF!,13,FALSE)&gt;2,HLOOKUP($A377,#REF!,13,FALSE)&lt;-2),"",#REF!),"")</f>
        <v/>
      </c>
      <c r="P377" t="str">
        <f>IFERROR(IF(OR(HLOOKUP($A377,#REF!,14,FALSE)&gt;2,HLOOKUP($A377,#REF!,14,FALSE)&lt;-2),"",#REF!),"")</f>
        <v/>
      </c>
      <c r="Q377" t="str">
        <f>IFERROR(IF(OR(HLOOKUP($A377,#REF!,15,FALSE)&gt;2,HLOOKUP($A377,#REF!,15,FALSE)&lt;-2),"",#REF!),"")</f>
        <v/>
      </c>
      <c r="R377" t="str">
        <f>IFERROR(IF(OR(HLOOKUP($A377,#REF!,16,FALSE)&gt;2,HLOOKUP($A377,#REF!,16,FALSE)&lt;-2),"",#REF!),"")</f>
        <v/>
      </c>
      <c r="S377" t="str">
        <f>IFERROR(IF(OR(HLOOKUP($A377,#REF!,17,FALSE)&gt;2,HLOOKUP($A377,#REF!,17,FALSE)&lt;-2),"",#REF!),"")</f>
        <v/>
      </c>
      <c r="T377" t="str">
        <f>IFERROR(IF(OR(HLOOKUP($A377,#REF!,18,FALSE)&gt;2,HLOOKUP($A377,#REF!,18,FALSE)&lt;-2),"",#REF!),"")</f>
        <v/>
      </c>
      <c r="U377" t="str">
        <f>IFERROR(IF(OR(HLOOKUP($A377,#REF!,19,FALSE)&gt;2,HLOOKUP($A377,#REF!,19,FALSE)&lt;-2),"",#REF!),"")</f>
        <v/>
      </c>
      <c r="V377">
        <f t="shared" si="20"/>
        <v>1</v>
      </c>
      <c r="W377" t="str">
        <f t="shared" si="21"/>
        <v/>
      </c>
      <c r="X377" t="str">
        <f t="shared" si="22"/>
        <v/>
      </c>
      <c r="Y377" t="str">
        <f t="shared" si="23"/>
        <v/>
      </c>
    </row>
    <row r="378" spans="1:25" x14ac:dyDescent="0.35">
      <c r="A378">
        <v>385</v>
      </c>
      <c r="B378" t="s">
        <v>778</v>
      </c>
      <c r="C378">
        <v>16200</v>
      </c>
      <c r="D378">
        <v>669</v>
      </c>
      <c r="E378" t="str">
        <f>IFERROR(IF(OR(HLOOKUP($A378,#REF!,3,FALSE)&gt;2,HLOOKUP(A378,#REF!,3,FALSE)&lt;-2),"",#REF!),"")</f>
        <v/>
      </c>
      <c r="F378" t="str">
        <f>IFERROR(IF(OR(HLOOKUP($A378,#REF!,4,FALSE)&gt;2,HLOOKUP($A378,#REF!,4,FALSE)&lt;-2),"",#REF!),"")</f>
        <v/>
      </c>
      <c r="G378" t="str">
        <f>IFERROR(IF(OR(HLOOKUP($A378,#REF!,5,FALSE)&gt;2,HLOOKUP($A378,#REF!,5,FALSE)&lt;-2),"",#REF!),"")</f>
        <v/>
      </c>
      <c r="H378" t="str">
        <f>IFERROR(IF(OR(HLOOKUP($A378,#REF!,6,FALSE)&gt;2,HLOOKUP($A378,#REF!,6,FALSE)&lt;-2),"",#REF!),"")</f>
        <v/>
      </c>
      <c r="I378" t="str">
        <f>IFERROR(IF(OR(HLOOKUP($A378,#REF!,7,FALSE)&gt;2,HLOOKUP($A378,#REF!,7,FALSE)&lt;-2),"",#REF!),"")</f>
        <v/>
      </c>
      <c r="J378" t="str">
        <f>IFERROR(IF(OR(HLOOKUP($A378,#REF!,8,FALSE)&gt;2,HLOOKUP($A378,#REF!,8,FALSE)&lt;-2),"",#REF!),"")</f>
        <v/>
      </c>
      <c r="K378" t="str">
        <f>IFERROR(IF(OR(HLOOKUP($A378,#REF!,9,FALSE)&gt;2,HLOOKUP($A378,#REF!,9,FALSE)&lt;-2),"",#REF!),"")</f>
        <v/>
      </c>
      <c r="L378" t="str">
        <f>IFERROR(IF(OR(HLOOKUP($A378,#REF!,10,FALSE)&gt;2,HLOOKUP($A378,#REF!,10,FALSE)&lt;-2),"",#REF!),"")</f>
        <v/>
      </c>
      <c r="M378" t="str">
        <f>IFERROR(IF(OR(HLOOKUP($A378,#REF!,11,FALSE)&gt;2,HLOOKUP($A378,#REF!,11,FALSE)&lt;-2),"",#REF!),"")</f>
        <v/>
      </c>
      <c r="N378" t="str">
        <f>IFERROR(IF(OR(HLOOKUP($A378,#REF!,12,FALSE)&gt;2,HLOOKUP($A378,#REF!,12,FALSE)&lt;-2),"",#REF!),"")</f>
        <v/>
      </c>
      <c r="O378" t="str">
        <f>IFERROR(IF(OR(HLOOKUP($A378,#REF!,13,FALSE)&gt;2,HLOOKUP($A378,#REF!,13,FALSE)&lt;-2),"",#REF!),"")</f>
        <v/>
      </c>
      <c r="P378" t="str">
        <f>IFERROR(IF(OR(HLOOKUP($A378,#REF!,14,FALSE)&gt;2,HLOOKUP($A378,#REF!,14,FALSE)&lt;-2),"",#REF!),"")</f>
        <v/>
      </c>
      <c r="Q378" t="str">
        <f>IFERROR(IF(OR(HLOOKUP($A378,#REF!,15,FALSE)&gt;2,HLOOKUP($A378,#REF!,15,FALSE)&lt;-2),"",#REF!),"")</f>
        <v/>
      </c>
      <c r="R378" t="str">
        <f>IFERROR(IF(OR(HLOOKUP($A378,#REF!,16,FALSE)&gt;2,HLOOKUP($A378,#REF!,16,FALSE)&lt;-2),"",#REF!),"")</f>
        <v/>
      </c>
      <c r="S378" t="str">
        <f>IFERROR(IF(OR(HLOOKUP($A378,#REF!,17,FALSE)&gt;2,HLOOKUP($A378,#REF!,17,FALSE)&lt;-2),"",#REF!),"")</f>
        <v/>
      </c>
      <c r="T378" t="str">
        <f>IFERROR(IF(OR(HLOOKUP($A378,#REF!,18,FALSE)&gt;2,HLOOKUP($A378,#REF!,18,FALSE)&lt;-2),"",#REF!),"")</f>
        <v/>
      </c>
      <c r="U378" t="str">
        <f>IFERROR(IF(OR(HLOOKUP($A378,#REF!,19,FALSE)&gt;2,HLOOKUP($A378,#REF!,19,FALSE)&lt;-2),"",#REF!),"")</f>
        <v/>
      </c>
      <c r="V378">
        <f t="shared" si="20"/>
        <v>1</v>
      </c>
      <c r="W378" t="str">
        <f t="shared" si="21"/>
        <v/>
      </c>
      <c r="X378" t="str">
        <f t="shared" si="22"/>
        <v/>
      </c>
      <c r="Y378" t="str">
        <f t="shared" si="23"/>
        <v/>
      </c>
    </row>
    <row r="379" spans="1:25" x14ac:dyDescent="0.35">
      <c r="A379">
        <v>386</v>
      </c>
      <c r="B379" t="s">
        <v>779</v>
      </c>
      <c r="C379">
        <v>89500</v>
      </c>
      <c r="D379">
        <v>354</v>
      </c>
      <c r="E379" t="str">
        <f>IFERROR(IF(OR(HLOOKUP($A379,#REF!,3,FALSE)&gt;2,HLOOKUP(A379,#REF!,3,FALSE)&lt;-2),"",#REF!),"")</f>
        <v/>
      </c>
      <c r="F379" t="str">
        <f>IFERROR(IF(OR(HLOOKUP($A379,#REF!,4,FALSE)&gt;2,HLOOKUP($A379,#REF!,4,FALSE)&lt;-2),"",#REF!),"")</f>
        <v/>
      </c>
      <c r="G379" t="str">
        <f>IFERROR(IF(OR(HLOOKUP($A379,#REF!,5,FALSE)&gt;2,HLOOKUP($A379,#REF!,5,FALSE)&lt;-2),"",#REF!),"")</f>
        <v/>
      </c>
      <c r="H379" t="str">
        <f>IFERROR(IF(OR(HLOOKUP($A379,#REF!,6,FALSE)&gt;2,HLOOKUP($A379,#REF!,6,FALSE)&lt;-2),"",#REF!),"")</f>
        <v/>
      </c>
      <c r="I379" t="str">
        <f>IFERROR(IF(OR(HLOOKUP($A379,#REF!,7,FALSE)&gt;2,HLOOKUP($A379,#REF!,7,FALSE)&lt;-2),"",#REF!),"")</f>
        <v/>
      </c>
      <c r="J379" t="str">
        <f>IFERROR(IF(OR(HLOOKUP($A379,#REF!,8,FALSE)&gt;2,HLOOKUP($A379,#REF!,8,FALSE)&lt;-2),"",#REF!),"")</f>
        <v/>
      </c>
      <c r="K379" t="str">
        <f>IFERROR(IF(OR(HLOOKUP($A379,#REF!,9,FALSE)&gt;2,HLOOKUP($A379,#REF!,9,FALSE)&lt;-2),"",#REF!),"")</f>
        <v/>
      </c>
      <c r="L379" t="str">
        <f>IFERROR(IF(OR(HLOOKUP($A379,#REF!,10,FALSE)&gt;2,HLOOKUP($A379,#REF!,10,FALSE)&lt;-2),"",#REF!),"")</f>
        <v/>
      </c>
      <c r="M379" t="str">
        <f>IFERROR(IF(OR(HLOOKUP($A379,#REF!,11,FALSE)&gt;2,HLOOKUP($A379,#REF!,11,FALSE)&lt;-2),"",#REF!),"")</f>
        <v/>
      </c>
      <c r="N379" t="str">
        <f>IFERROR(IF(OR(HLOOKUP($A379,#REF!,12,FALSE)&gt;2,HLOOKUP($A379,#REF!,12,FALSE)&lt;-2),"",#REF!),"")</f>
        <v/>
      </c>
      <c r="O379" t="str">
        <f>IFERROR(IF(OR(HLOOKUP($A379,#REF!,13,FALSE)&gt;2,HLOOKUP($A379,#REF!,13,FALSE)&lt;-2),"",#REF!),"")</f>
        <v/>
      </c>
      <c r="P379" t="str">
        <f>IFERROR(IF(OR(HLOOKUP($A379,#REF!,14,FALSE)&gt;2,HLOOKUP($A379,#REF!,14,FALSE)&lt;-2),"",#REF!),"")</f>
        <v/>
      </c>
      <c r="Q379" t="str">
        <f>IFERROR(IF(OR(HLOOKUP($A379,#REF!,15,FALSE)&gt;2,HLOOKUP($A379,#REF!,15,FALSE)&lt;-2),"",#REF!),"")</f>
        <v/>
      </c>
      <c r="R379" t="str">
        <f>IFERROR(IF(OR(HLOOKUP($A379,#REF!,16,FALSE)&gt;2,HLOOKUP($A379,#REF!,16,FALSE)&lt;-2),"",#REF!),"")</f>
        <v/>
      </c>
      <c r="S379" t="str">
        <f>IFERROR(IF(OR(HLOOKUP($A379,#REF!,17,FALSE)&gt;2,HLOOKUP($A379,#REF!,17,FALSE)&lt;-2),"",#REF!),"")</f>
        <v/>
      </c>
      <c r="T379" t="str">
        <f>IFERROR(IF(OR(HLOOKUP($A379,#REF!,18,FALSE)&gt;2,HLOOKUP($A379,#REF!,18,FALSE)&lt;-2),"",#REF!),"")</f>
        <v/>
      </c>
      <c r="U379" t="str">
        <f>IFERROR(IF(OR(HLOOKUP($A379,#REF!,19,FALSE)&gt;2,HLOOKUP($A379,#REF!,19,FALSE)&lt;-2),"",#REF!),"")</f>
        <v/>
      </c>
      <c r="V379">
        <f t="shared" si="20"/>
        <v>1</v>
      </c>
      <c r="W379" t="str">
        <f t="shared" si="21"/>
        <v/>
      </c>
      <c r="X379" t="str">
        <f t="shared" si="22"/>
        <v/>
      </c>
      <c r="Y379" t="str">
        <f t="shared" si="23"/>
        <v/>
      </c>
    </row>
    <row r="380" spans="1:25" x14ac:dyDescent="0.35">
      <c r="A380">
        <v>387</v>
      </c>
      <c r="B380" t="s">
        <v>780</v>
      </c>
      <c r="C380">
        <v>42300</v>
      </c>
      <c r="D380">
        <v>918</v>
      </c>
      <c r="E380" t="str">
        <f>IFERROR(IF(OR(HLOOKUP($A380,#REF!,3,FALSE)&gt;2,HLOOKUP(A380,#REF!,3,FALSE)&lt;-2),"",#REF!),"")</f>
        <v/>
      </c>
      <c r="F380" t="str">
        <f>IFERROR(IF(OR(HLOOKUP($A380,#REF!,4,FALSE)&gt;2,HLOOKUP($A380,#REF!,4,FALSE)&lt;-2),"",#REF!),"")</f>
        <v/>
      </c>
      <c r="G380" t="str">
        <f>IFERROR(IF(OR(HLOOKUP($A380,#REF!,5,FALSE)&gt;2,HLOOKUP($A380,#REF!,5,FALSE)&lt;-2),"",#REF!),"")</f>
        <v/>
      </c>
      <c r="H380" t="str">
        <f>IFERROR(IF(OR(HLOOKUP($A380,#REF!,6,FALSE)&gt;2,HLOOKUP($A380,#REF!,6,FALSE)&lt;-2),"",#REF!),"")</f>
        <v/>
      </c>
      <c r="I380" t="str">
        <f>IFERROR(IF(OR(HLOOKUP($A380,#REF!,7,FALSE)&gt;2,HLOOKUP($A380,#REF!,7,FALSE)&lt;-2),"",#REF!),"")</f>
        <v/>
      </c>
      <c r="J380" t="str">
        <f>IFERROR(IF(OR(HLOOKUP($A380,#REF!,8,FALSE)&gt;2,HLOOKUP($A380,#REF!,8,FALSE)&lt;-2),"",#REF!),"")</f>
        <v/>
      </c>
      <c r="K380" t="str">
        <f>IFERROR(IF(OR(HLOOKUP($A380,#REF!,9,FALSE)&gt;2,HLOOKUP($A380,#REF!,9,FALSE)&lt;-2),"",#REF!),"")</f>
        <v/>
      </c>
      <c r="L380" t="str">
        <f>IFERROR(IF(OR(HLOOKUP($A380,#REF!,10,FALSE)&gt;2,HLOOKUP($A380,#REF!,10,FALSE)&lt;-2),"",#REF!),"")</f>
        <v/>
      </c>
      <c r="M380" t="str">
        <f>IFERROR(IF(OR(HLOOKUP($A380,#REF!,11,FALSE)&gt;2,HLOOKUP($A380,#REF!,11,FALSE)&lt;-2),"",#REF!),"")</f>
        <v/>
      </c>
      <c r="N380" t="str">
        <f>IFERROR(IF(OR(HLOOKUP($A380,#REF!,12,FALSE)&gt;2,HLOOKUP($A380,#REF!,12,FALSE)&lt;-2),"",#REF!),"")</f>
        <v/>
      </c>
      <c r="O380" t="str">
        <f>IFERROR(IF(OR(HLOOKUP($A380,#REF!,13,FALSE)&gt;2,HLOOKUP($A380,#REF!,13,FALSE)&lt;-2),"",#REF!),"")</f>
        <v/>
      </c>
      <c r="P380" t="str">
        <f>IFERROR(IF(OR(HLOOKUP($A380,#REF!,14,FALSE)&gt;2,HLOOKUP($A380,#REF!,14,FALSE)&lt;-2),"",#REF!),"")</f>
        <v/>
      </c>
      <c r="Q380" t="str">
        <f>IFERROR(IF(OR(HLOOKUP($A380,#REF!,15,FALSE)&gt;2,HLOOKUP($A380,#REF!,15,FALSE)&lt;-2),"",#REF!),"")</f>
        <v/>
      </c>
      <c r="R380" t="str">
        <f>IFERROR(IF(OR(HLOOKUP($A380,#REF!,16,FALSE)&gt;2,HLOOKUP($A380,#REF!,16,FALSE)&lt;-2),"",#REF!),"")</f>
        <v/>
      </c>
      <c r="S380" t="str">
        <f>IFERROR(IF(OR(HLOOKUP($A380,#REF!,17,FALSE)&gt;2,HLOOKUP($A380,#REF!,17,FALSE)&lt;-2),"",#REF!),"")</f>
        <v/>
      </c>
      <c r="T380" t="str">
        <f>IFERROR(IF(OR(HLOOKUP($A380,#REF!,18,FALSE)&gt;2,HLOOKUP($A380,#REF!,18,FALSE)&lt;-2),"",#REF!),"")</f>
        <v/>
      </c>
      <c r="U380" t="str">
        <f>IFERROR(IF(OR(HLOOKUP($A380,#REF!,19,FALSE)&gt;2,HLOOKUP($A380,#REF!,19,FALSE)&lt;-2),"",#REF!),"")</f>
        <v/>
      </c>
      <c r="V380">
        <f t="shared" si="20"/>
        <v>1</v>
      </c>
      <c r="W380" t="str">
        <f t="shared" si="21"/>
        <v/>
      </c>
      <c r="X380" t="str">
        <f t="shared" si="22"/>
        <v/>
      </c>
      <c r="Y380" t="str">
        <f t="shared" si="23"/>
        <v/>
      </c>
    </row>
    <row r="381" spans="1:25" x14ac:dyDescent="0.35">
      <c r="A381">
        <v>388</v>
      </c>
      <c r="B381" t="s">
        <v>781</v>
      </c>
      <c r="C381">
        <v>102800</v>
      </c>
      <c r="D381">
        <v>514</v>
      </c>
      <c r="E381" t="str">
        <f>IFERROR(IF(OR(HLOOKUP($A381,#REF!,3,FALSE)&gt;2,HLOOKUP(A381,#REF!,3,FALSE)&lt;-2),"",#REF!),"")</f>
        <v/>
      </c>
      <c r="F381" t="str">
        <f>IFERROR(IF(OR(HLOOKUP($A381,#REF!,4,FALSE)&gt;2,HLOOKUP($A381,#REF!,4,FALSE)&lt;-2),"",#REF!),"")</f>
        <v/>
      </c>
      <c r="G381" t="str">
        <f>IFERROR(IF(OR(HLOOKUP($A381,#REF!,5,FALSE)&gt;2,HLOOKUP($A381,#REF!,5,FALSE)&lt;-2),"",#REF!),"")</f>
        <v/>
      </c>
      <c r="H381" t="str">
        <f>IFERROR(IF(OR(HLOOKUP($A381,#REF!,6,FALSE)&gt;2,HLOOKUP($A381,#REF!,6,FALSE)&lt;-2),"",#REF!),"")</f>
        <v/>
      </c>
      <c r="I381" t="str">
        <f>IFERROR(IF(OR(HLOOKUP($A381,#REF!,7,FALSE)&gt;2,HLOOKUP($A381,#REF!,7,FALSE)&lt;-2),"",#REF!),"")</f>
        <v/>
      </c>
      <c r="J381" t="str">
        <f>IFERROR(IF(OR(HLOOKUP($A381,#REF!,8,FALSE)&gt;2,HLOOKUP($A381,#REF!,8,FALSE)&lt;-2),"",#REF!),"")</f>
        <v/>
      </c>
      <c r="K381" t="str">
        <f>IFERROR(IF(OR(HLOOKUP($A381,#REF!,9,FALSE)&gt;2,HLOOKUP($A381,#REF!,9,FALSE)&lt;-2),"",#REF!),"")</f>
        <v/>
      </c>
      <c r="L381" t="str">
        <f>IFERROR(IF(OR(HLOOKUP($A381,#REF!,10,FALSE)&gt;2,HLOOKUP($A381,#REF!,10,FALSE)&lt;-2),"",#REF!),"")</f>
        <v/>
      </c>
      <c r="M381" t="str">
        <f>IFERROR(IF(OR(HLOOKUP($A381,#REF!,11,FALSE)&gt;2,HLOOKUP($A381,#REF!,11,FALSE)&lt;-2),"",#REF!),"")</f>
        <v/>
      </c>
      <c r="N381" t="str">
        <f>IFERROR(IF(OR(HLOOKUP($A381,#REF!,12,FALSE)&gt;2,HLOOKUP($A381,#REF!,12,FALSE)&lt;-2),"",#REF!),"")</f>
        <v/>
      </c>
      <c r="O381" t="str">
        <f>IFERROR(IF(OR(HLOOKUP($A381,#REF!,13,FALSE)&gt;2,HLOOKUP($A381,#REF!,13,FALSE)&lt;-2),"",#REF!),"")</f>
        <v/>
      </c>
      <c r="P381" t="str">
        <f>IFERROR(IF(OR(HLOOKUP($A381,#REF!,14,FALSE)&gt;2,HLOOKUP($A381,#REF!,14,FALSE)&lt;-2),"",#REF!),"")</f>
        <v/>
      </c>
      <c r="Q381" t="str">
        <f>IFERROR(IF(OR(HLOOKUP($A381,#REF!,15,FALSE)&gt;2,HLOOKUP($A381,#REF!,15,FALSE)&lt;-2),"",#REF!),"")</f>
        <v/>
      </c>
      <c r="R381" t="str">
        <f>IFERROR(IF(OR(HLOOKUP($A381,#REF!,16,FALSE)&gt;2,HLOOKUP($A381,#REF!,16,FALSE)&lt;-2),"",#REF!),"")</f>
        <v/>
      </c>
      <c r="S381" t="str">
        <f>IFERROR(IF(OR(HLOOKUP($A381,#REF!,17,FALSE)&gt;2,HLOOKUP($A381,#REF!,17,FALSE)&lt;-2),"",#REF!),"")</f>
        <v/>
      </c>
      <c r="T381" t="str">
        <f>IFERROR(IF(OR(HLOOKUP($A381,#REF!,18,FALSE)&gt;2,HLOOKUP($A381,#REF!,18,FALSE)&lt;-2),"",#REF!),"")</f>
        <v/>
      </c>
      <c r="U381" t="str">
        <f>IFERROR(IF(OR(HLOOKUP($A381,#REF!,19,FALSE)&gt;2,HLOOKUP($A381,#REF!,19,FALSE)&lt;-2),"",#REF!),"")</f>
        <v/>
      </c>
      <c r="V381">
        <f t="shared" si="20"/>
        <v>1</v>
      </c>
      <c r="W381" t="str">
        <f t="shared" si="21"/>
        <v/>
      </c>
      <c r="X381" t="str">
        <f t="shared" si="22"/>
        <v/>
      </c>
      <c r="Y381" t="str">
        <f t="shared" si="23"/>
        <v/>
      </c>
    </row>
    <row r="382" spans="1:25" x14ac:dyDescent="0.35">
      <c r="A382">
        <v>389</v>
      </c>
      <c r="B382" t="s">
        <v>782</v>
      </c>
      <c r="C382">
        <v>103300</v>
      </c>
      <c r="D382">
        <v>871</v>
      </c>
      <c r="E382" t="str">
        <f>IFERROR(IF(OR(HLOOKUP($A382,#REF!,3,FALSE)&gt;2,HLOOKUP(A382,#REF!,3,FALSE)&lt;-2),"",#REF!),"")</f>
        <v/>
      </c>
      <c r="F382" t="str">
        <f>IFERROR(IF(OR(HLOOKUP($A382,#REF!,4,FALSE)&gt;2,HLOOKUP($A382,#REF!,4,FALSE)&lt;-2),"",#REF!),"")</f>
        <v/>
      </c>
      <c r="G382" t="str">
        <f>IFERROR(IF(OR(HLOOKUP($A382,#REF!,5,FALSE)&gt;2,HLOOKUP($A382,#REF!,5,FALSE)&lt;-2),"",#REF!),"")</f>
        <v/>
      </c>
      <c r="H382" t="str">
        <f>IFERROR(IF(OR(HLOOKUP($A382,#REF!,6,FALSE)&gt;2,HLOOKUP($A382,#REF!,6,FALSE)&lt;-2),"",#REF!),"")</f>
        <v/>
      </c>
      <c r="I382" t="str">
        <f>IFERROR(IF(OR(HLOOKUP($A382,#REF!,7,FALSE)&gt;2,HLOOKUP($A382,#REF!,7,FALSE)&lt;-2),"",#REF!),"")</f>
        <v/>
      </c>
      <c r="J382" t="str">
        <f>IFERROR(IF(OR(HLOOKUP($A382,#REF!,8,FALSE)&gt;2,HLOOKUP($A382,#REF!,8,FALSE)&lt;-2),"",#REF!),"")</f>
        <v/>
      </c>
      <c r="K382" t="str">
        <f>IFERROR(IF(OR(HLOOKUP($A382,#REF!,9,FALSE)&gt;2,HLOOKUP($A382,#REF!,9,FALSE)&lt;-2),"",#REF!),"")</f>
        <v/>
      </c>
      <c r="L382" t="str">
        <f>IFERROR(IF(OR(HLOOKUP($A382,#REF!,10,FALSE)&gt;2,HLOOKUP($A382,#REF!,10,FALSE)&lt;-2),"",#REF!),"")</f>
        <v/>
      </c>
      <c r="M382" t="str">
        <f>IFERROR(IF(OR(HLOOKUP($A382,#REF!,11,FALSE)&gt;2,HLOOKUP($A382,#REF!,11,FALSE)&lt;-2),"",#REF!),"")</f>
        <v/>
      </c>
      <c r="N382" t="str">
        <f>IFERROR(IF(OR(HLOOKUP($A382,#REF!,12,FALSE)&gt;2,HLOOKUP($A382,#REF!,12,FALSE)&lt;-2),"",#REF!),"")</f>
        <v/>
      </c>
      <c r="O382" t="str">
        <f>IFERROR(IF(OR(HLOOKUP($A382,#REF!,13,FALSE)&gt;2,HLOOKUP($A382,#REF!,13,FALSE)&lt;-2),"",#REF!),"")</f>
        <v/>
      </c>
      <c r="P382" t="str">
        <f>IFERROR(IF(OR(HLOOKUP($A382,#REF!,14,FALSE)&gt;2,HLOOKUP($A382,#REF!,14,FALSE)&lt;-2),"",#REF!),"")</f>
        <v/>
      </c>
      <c r="Q382" t="str">
        <f>IFERROR(IF(OR(HLOOKUP($A382,#REF!,15,FALSE)&gt;2,HLOOKUP($A382,#REF!,15,FALSE)&lt;-2),"",#REF!),"")</f>
        <v/>
      </c>
      <c r="R382" t="str">
        <f>IFERROR(IF(OR(HLOOKUP($A382,#REF!,16,FALSE)&gt;2,HLOOKUP($A382,#REF!,16,FALSE)&lt;-2),"",#REF!),"")</f>
        <v/>
      </c>
      <c r="S382" t="str">
        <f>IFERROR(IF(OR(HLOOKUP($A382,#REF!,17,FALSE)&gt;2,HLOOKUP($A382,#REF!,17,FALSE)&lt;-2),"",#REF!),"")</f>
        <v/>
      </c>
      <c r="T382" t="str">
        <f>IFERROR(IF(OR(HLOOKUP($A382,#REF!,18,FALSE)&gt;2,HLOOKUP($A382,#REF!,18,FALSE)&lt;-2),"",#REF!),"")</f>
        <v/>
      </c>
      <c r="U382" t="str">
        <f>IFERROR(IF(OR(HLOOKUP($A382,#REF!,19,FALSE)&gt;2,HLOOKUP($A382,#REF!,19,FALSE)&lt;-2),"",#REF!),"")</f>
        <v/>
      </c>
      <c r="V382">
        <f t="shared" si="20"/>
        <v>1</v>
      </c>
      <c r="W382" t="str">
        <f t="shared" si="21"/>
        <v/>
      </c>
      <c r="X382" t="str">
        <f t="shared" si="22"/>
        <v/>
      </c>
      <c r="Y382" t="str">
        <f t="shared" si="23"/>
        <v/>
      </c>
    </row>
    <row r="383" spans="1:25" x14ac:dyDescent="0.35">
      <c r="A383">
        <v>390</v>
      </c>
      <c r="B383" t="s">
        <v>203</v>
      </c>
      <c r="C383">
        <v>70200</v>
      </c>
      <c r="D383">
        <v>157</v>
      </c>
      <c r="E383" t="str">
        <f>IFERROR(IF(OR(HLOOKUP($A383,#REF!,3,FALSE)&gt;2,HLOOKUP(A383,#REF!,3,FALSE)&lt;-2),"",#REF!),"")</f>
        <v/>
      </c>
      <c r="F383" t="str">
        <f>IFERROR(IF(OR(HLOOKUP($A383,#REF!,4,FALSE)&gt;2,HLOOKUP($A383,#REF!,4,FALSE)&lt;-2),"",#REF!),"")</f>
        <v/>
      </c>
      <c r="G383" t="str">
        <f>IFERROR(IF(OR(HLOOKUP($A383,#REF!,5,FALSE)&gt;2,HLOOKUP($A383,#REF!,5,FALSE)&lt;-2),"",#REF!),"")</f>
        <v/>
      </c>
      <c r="H383" t="str">
        <f>IFERROR(IF(OR(HLOOKUP($A383,#REF!,6,FALSE)&gt;2,HLOOKUP($A383,#REF!,6,FALSE)&lt;-2),"",#REF!),"")</f>
        <v/>
      </c>
      <c r="I383" t="str">
        <f>IFERROR(IF(OR(HLOOKUP($A383,#REF!,7,FALSE)&gt;2,HLOOKUP($A383,#REF!,7,FALSE)&lt;-2),"",#REF!),"")</f>
        <v/>
      </c>
      <c r="J383" t="str">
        <f>IFERROR(IF(OR(HLOOKUP($A383,#REF!,8,FALSE)&gt;2,HLOOKUP($A383,#REF!,8,FALSE)&lt;-2),"",#REF!),"")</f>
        <v/>
      </c>
      <c r="K383" t="str">
        <f>IFERROR(IF(OR(HLOOKUP($A383,#REF!,9,FALSE)&gt;2,HLOOKUP($A383,#REF!,9,FALSE)&lt;-2),"",#REF!),"")</f>
        <v/>
      </c>
      <c r="L383" t="str">
        <f>IFERROR(IF(OR(HLOOKUP($A383,#REF!,10,FALSE)&gt;2,HLOOKUP($A383,#REF!,10,FALSE)&lt;-2),"",#REF!),"")</f>
        <v/>
      </c>
      <c r="M383" t="str">
        <f>IFERROR(IF(OR(HLOOKUP($A383,#REF!,11,FALSE)&gt;2,HLOOKUP($A383,#REF!,11,FALSE)&lt;-2),"",#REF!),"")</f>
        <v/>
      </c>
      <c r="N383" t="str">
        <f>IFERROR(IF(OR(HLOOKUP($A383,#REF!,12,FALSE)&gt;2,HLOOKUP($A383,#REF!,12,FALSE)&lt;-2),"",#REF!),"")</f>
        <v/>
      </c>
      <c r="O383" t="str">
        <f>IFERROR(IF(OR(HLOOKUP($A383,#REF!,13,FALSE)&gt;2,HLOOKUP($A383,#REF!,13,FALSE)&lt;-2),"",#REF!),"")</f>
        <v/>
      </c>
      <c r="P383" t="str">
        <f>IFERROR(IF(OR(HLOOKUP($A383,#REF!,14,FALSE)&gt;2,HLOOKUP($A383,#REF!,14,FALSE)&lt;-2),"",#REF!),"")</f>
        <v/>
      </c>
      <c r="Q383" t="str">
        <f>IFERROR(IF(OR(HLOOKUP($A383,#REF!,15,FALSE)&gt;2,HLOOKUP($A383,#REF!,15,FALSE)&lt;-2),"",#REF!),"")</f>
        <v/>
      </c>
      <c r="R383" t="str">
        <f>IFERROR(IF(OR(HLOOKUP($A383,#REF!,16,FALSE)&gt;2,HLOOKUP($A383,#REF!,16,FALSE)&lt;-2),"",#REF!),"")</f>
        <v/>
      </c>
      <c r="S383" t="str">
        <f>IFERROR(IF(OR(HLOOKUP($A383,#REF!,17,FALSE)&gt;2,HLOOKUP($A383,#REF!,17,FALSE)&lt;-2),"",#REF!),"")</f>
        <v/>
      </c>
      <c r="T383" t="str">
        <f>IFERROR(IF(OR(HLOOKUP($A383,#REF!,18,FALSE)&gt;2,HLOOKUP($A383,#REF!,18,FALSE)&lt;-2),"",#REF!),"")</f>
        <v/>
      </c>
      <c r="U383" t="str">
        <f>IFERROR(IF(OR(HLOOKUP($A383,#REF!,19,FALSE)&gt;2,HLOOKUP($A383,#REF!,19,FALSE)&lt;-2),"",#REF!),"")</f>
        <v/>
      </c>
      <c r="V383">
        <f t="shared" si="20"/>
        <v>1</v>
      </c>
      <c r="W383" t="str">
        <f t="shared" si="21"/>
        <v/>
      </c>
      <c r="X383" t="str">
        <f t="shared" si="22"/>
        <v/>
      </c>
      <c r="Y383" t="str">
        <f t="shared" si="23"/>
        <v/>
      </c>
    </row>
    <row r="384" spans="1:25" x14ac:dyDescent="0.35">
      <c r="A384">
        <v>391</v>
      </c>
      <c r="B384" t="s">
        <v>783</v>
      </c>
      <c r="C384">
        <v>37800</v>
      </c>
      <c r="D384">
        <v>382</v>
      </c>
      <c r="E384" t="str">
        <f>IFERROR(IF(OR(HLOOKUP($A384,#REF!,3,FALSE)&gt;2,HLOOKUP(A384,#REF!,3,FALSE)&lt;-2),"",#REF!),"")</f>
        <v/>
      </c>
      <c r="F384" t="str">
        <f>IFERROR(IF(OR(HLOOKUP($A384,#REF!,4,FALSE)&gt;2,HLOOKUP($A384,#REF!,4,FALSE)&lt;-2),"",#REF!),"")</f>
        <v/>
      </c>
      <c r="G384" t="str">
        <f>IFERROR(IF(OR(HLOOKUP($A384,#REF!,5,FALSE)&gt;2,HLOOKUP($A384,#REF!,5,FALSE)&lt;-2),"",#REF!),"")</f>
        <v/>
      </c>
      <c r="H384" t="str">
        <f>IFERROR(IF(OR(HLOOKUP($A384,#REF!,6,FALSE)&gt;2,HLOOKUP($A384,#REF!,6,FALSE)&lt;-2),"",#REF!),"")</f>
        <v/>
      </c>
      <c r="I384" t="str">
        <f>IFERROR(IF(OR(HLOOKUP($A384,#REF!,7,FALSE)&gt;2,HLOOKUP($A384,#REF!,7,FALSE)&lt;-2),"",#REF!),"")</f>
        <v/>
      </c>
      <c r="J384" t="str">
        <f>IFERROR(IF(OR(HLOOKUP($A384,#REF!,8,FALSE)&gt;2,HLOOKUP($A384,#REF!,8,FALSE)&lt;-2),"",#REF!),"")</f>
        <v/>
      </c>
      <c r="K384" t="str">
        <f>IFERROR(IF(OR(HLOOKUP($A384,#REF!,9,FALSE)&gt;2,HLOOKUP($A384,#REF!,9,FALSE)&lt;-2),"",#REF!),"")</f>
        <v/>
      </c>
      <c r="L384" t="str">
        <f>IFERROR(IF(OR(HLOOKUP($A384,#REF!,10,FALSE)&gt;2,HLOOKUP($A384,#REF!,10,FALSE)&lt;-2),"",#REF!),"")</f>
        <v/>
      </c>
      <c r="M384" t="str">
        <f>IFERROR(IF(OR(HLOOKUP($A384,#REF!,11,FALSE)&gt;2,HLOOKUP($A384,#REF!,11,FALSE)&lt;-2),"",#REF!),"")</f>
        <v/>
      </c>
      <c r="N384" t="str">
        <f>IFERROR(IF(OR(HLOOKUP($A384,#REF!,12,FALSE)&gt;2,HLOOKUP($A384,#REF!,12,FALSE)&lt;-2),"",#REF!),"")</f>
        <v/>
      </c>
      <c r="O384" t="str">
        <f>IFERROR(IF(OR(HLOOKUP($A384,#REF!,13,FALSE)&gt;2,HLOOKUP($A384,#REF!,13,FALSE)&lt;-2),"",#REF!),"")</f>
        <v/>
      </c>
      <c r="P384" t="str">
        <f>IFERROR(IF(OR(HLOOKUP($A384,#REF!,14,FALSE)&gt;2,HLOOKUP($A384,#REF!,14,FALSE)&lt;-2),"",#REF!),"")</f>
        <v/>
      </c>
      <c r="Q384" t="str">
        <f>IFERROR(IF(OR(HLOOKUP($A384,#REF!,15,FALSE)&gt;2,HLOOKUP($A384,#REF!,15,FALSE)&lt;-2),"",#REF!),"")</f>
        <v/>
      </c>
      <c r="R384" t="str">
        <f>IFERROR(IF(OR(HLOOKUP($A384,#REF!,16,FALSE)&gt;2,HLOOKUP($A384,#REF!,16,FALSE)&lt;-2),"",#REF!),"")</f>
        <v/>
      </c>
      <c r="S384" t="str">
        <f>IFERROR(IF(OR(HLOOKUP($A384,#REF!,17,FALSE)&gt;2,HLOOKUP($A384,#REF!,17,FALSE)&lt;-2),"",#REF!),"")</f>
        <v/>
      </c>
      <c r="T384" t="str">
        <f>IFERROR(IF(OR(HLOOKUP($A384,#REF!,18,FALSE)&gt;2,HLOOKUP($A384,#REF!,18,FALSE)&lt;-2),"",#REF!),"")</f>
        <v/>
      </c>
      <c r="U384" t="str">
        <f>IFERROR(IF(OR(HLOOKUP($A384,#REF!,19,FALSE)&gt;2,HLOOKUP($A384,#REF!,19,FALSE)&lt;-2),"",#REF!),"")</f>
        <v/>
      </c>
      <c r="V384">
        <f t="shared" si="20"/>
        <v>1</v>
      </c>
      <c r="W384" t="str">
        <f t="shared" si="21"/>
        <v/>
      </c>
      <c r="X384" t="str">
        <f t="shared" si="22"/>
        <v/>
      </c>
      <c r="Y384" t="str">
        <f t="shared" si="23"/>
        <v/>
      </c>
    </row>
    <row r="385" spans="1:25" x14ac:dyDescent="0.35">
      <c r="A385">
        <v>392</v>
      </c>
      <c r="B385" t="s">
        <v>784</v>
      </c>
      <c r="C385">
        <v>34200</v>
      </c>
      <c r="D385">
        <v>619</v>
      </c>
      <c r="E385" t="str">
        <f>IFERROR(IF(OR(HLOOKUP($A385,#REF!,3,FALSE)&gt;2,HLOOKUP(A385,#REF!,3,FALSE)&lt;-2),"",#REF!),"")</f>
        <v/>
      </c>
      <c r="F385" t="str">
        <f>IFERROR(IF(OR(HLOOKUP($A385,#REF!,4,FALSE)&gt;2,HLOOKUP($A385,#REF!,4,FALSE)&lt;-2),"",#REF!),"")</f>
        <v/>
      </c>
      <c r="G385" t="str">
        <f>IFERROR(IF(OR(HLOOKUP($A385,#REF!,5,FALSE)&gt;2,HLOOKUP($A385,#REF!,5,FALSE)&lt;-2),"",#REF!),"")</f>
        <v/>
      </c>
      <c r="H385" t="str">
        <f>IFERROR(IF(OR(HLOOKUP($A385,#REF!,6,FALSE)&gt;2,HLOOKUP($A385,#REF!,6,FALSE)&lt;-2),"",#REF!),"")</f>
        <v/>
      </c>
      <c r="I385" t="str">
        <f>IFERROR(IF(OR(HLOOKUP($A385,#REF!,7,FALSE)&gt;2,HLOOKUP($A385,#REF!,7,FALSE)&lt;-2),"",#REF!),"")</f>
        <v/>
      </c>
      <c r="J385" t="str">
        <f>IFERROR(IF(OR(HLOOKUP($A385,#REF!,8,FALSE)&gt;2,HLOOKUP($A385,#REF!,8,FALSE)&lt;-2),"",#REF!),"")</f>
        <v/>
      </c>
      <c r="K385" t="str">
        <f>IFERROR(IF(OR(HLOOKUP($A385,#REF!,9,FALSE)&gt;2,HLOOKUP($A385,#REF!,9,FALSE)&lt;-2),"",#REF!),"")</f>
        <v/>
      </c>
      <c r="L385" t="str">
        <f>IFERROR(IF(OR(HLOOKUP($A385,#REF!,10,FALSE)&gt;2,HLOOKUP($A385,#REF!,10,FALSE)&lt;-2),"",#REF!),"")</f>
        <v/>
      </c>
      <c r="M385" t="str">
        <f>IFERROR(IF(OR(HLOOKUP($A385,#REF!,11,FALSE)&gt;2,HLOOKUP($A385,#REF!,11,FALSE)&lt;-2),"",#REF!),"")</f>
        <v/>
      </c>
      <c r="N385" t="str">
        <f>IFERROR(IF(OR(HLOOKUP($A385,#REF!,12,FALSE)&gt;2,HLOOKUP($A385,#REF!,12,FALSE)&lt;-2),"",#REF!),"")</f>
        <v/>
      </c>
      <c r="O385" t="str">
        <f>IFERROR(IF(OR(HLOOKUP($A385,#REF!,13,FALSE)&gt;2,HLOOKUP($A385,#REF!,13,FALSE)&lt;-2),"",#REF!),"")</f>
        <v/>
      </c>
      <c r="P385" t="str">
        <f>IFERROR(IF(OR(HLOOKUP($A385,#REF!,14,FALSE)&gt;2,HLOOKUP($A385,#REF!,14,FALSE)&lt;-2),"",#REF!),"")</f>
        <v/>
      </c>
      <c r="Q385" t="str">
        <f>IFERROR(IF(OR(HLOOKUP($A385,#REF!,15,FALSE)&gt;2,HLOOKUP($A385,#REF!,15,FALSE)&lt;-2),"",#REF!),"")</f>
        <v/>
      </c>
      <c r="R385" t="str">
        <f>IFERROR(IF(OR(HLOOKUP($A385,#REF!,16,FALSE)&gt;2,HLOOKUP($A385,#REF!,16,FALSE)&lt;-2),"",#REF!),"")</f>
        <v/>
      </c>
      <c r="S385" t="str">
        <f>IFERROR(IF(OR(HLOOKUP($A385,#REF!,17,FALSE)&gt;2,HLOOKUP($A385,#REF!,17,FALSE)&lt;-2),"",#REF!),"")</f>
        <v/>
      </c>
      <c r="T385" t="str">
        <f>IFERROR(IF(OR(HLOOKUP($A385,#REF!,18,FALSE)&gt;2,HLOOKUP($A385,#REF!,18,FALSE)&lt;-2),"",#REF!),"")</f>
        <v/>
      </c>
      <c r="U385" t="str">
        <f>IFERROR(IF(OR(HLOOKUP($A385,#REF!,19,FALSE)&gt;2,HLOOKUP($A385,#REF!,19,FALSE)&lt;-2),"",#REF!),"")</f>
        <v/>
      </c>
      <c r="V385">
        <f t="shared" si="20"/>
        <v>1</v>
      </c>
      <c r="W385" t="str">
        <f t="shared" si="21"/>
        <v/>
      </c>
      <c r="X385" t="str">
        <f t="shared" si="22"/>
        <v/>
      </c>
      <c r="Y385" t="str">
        <f t="shared" si="23"/>
        <v/>
      </c>
    </row>
    <row r="386" spans="1:25" x14ac:dyDescent="0.35">
      <c r="A386">
        <v>393</v>
      </c>
      <c r="B386" t="s">
        <v>204</v>
      </c>
      <c r="C386">
        <v>17500</v>
      </c>
      <c r="D386">
        <v>425</v>
      </c>
      <c r="E386" t="str">
        <f>IFERROR(IF(OR(HLOOKUP($A386,#REF!,3,FALSE)&gt;2,HLOOKUP(A386,#REF!,3,FALSE)&lt;-2),"",#REF!),"")</f>
        <v/>
      </c>
      <c r="F386" t="str">
        <f>IFERROR(IF(OR(HLOOKUP($A386,#REF!,4,FALSE)&gt;2,HLOOKUP($A386,#REF!,4,FALSE)&lt;-2),"",#REF!),"")</f>
        <v/>
      </c>
      <c r="G386" t="str">
        <f>IFERROR(IF(OR(HLOOKUP($A386,#REF!,5,FALSE)&gt;2,HLOOKUP($A386,#REF!,5,FALSE)&lt;-2),"",#REF!),"")</f>
        <v/>
      </c>
      <c r="H386" t="str">
        <f>IFERROR(IF(OR(HLOOKUP($A386,#REF!,6,FALSE)&gt;2,HLOOKUP($A386,#REF!,6,FALSE)&lt;-2),"",#REF!),"")</f>
        <v/>
      </c>
      <c r="I386" t="str">
        <f>IFERROR(IF(OR(HLOOKUP($A386,#REF!,7,FALSE)&gt;2,HLOOKUP($A386,#REF!,7,FALSE)&lt;-2),"",#REF!),"")</f>
        <v/>
      </c>
      <c r="J386" t="str">
        <f>IFERROR(IF(OR(HLOOKUP($A386,#REF!,8,FALSE)&gt;2,HLOOKUP($A386,#REF!,8,FALSE)&lt;-2),"",#REF!),"")</f>
        <v/>
      </c>
      <c r="K386" t="str">
        <f>IFERROR(IF(OR(HLOOKUP($A386,#REF!,9,FALSE)&gt;2,HLOOKUP($A386,#REF!,9,FALSE)&lt;-2),"",#REF!),"")</f>
        <v/>
      </c>
      <c r="L386" t="str">
        <f>IFERROR(IF(OR(HLOOKUP($A386,#REF!,10,FALSE)&gt;2,HLOOKUP($A386,#REF!,10,FALSE)&lt;-2),"",#REF!),"")</f>
        <v/>
      </c>
      <c r="M386" t="str">
        <f>IFERROR(IF(OR(HLOOKUP($A386,#REF!,11,FALSE)&gt;2,HLOOKUP($A386,#REF!,11,FALSE)&lt;-2),"",#REF!),"")</f>
        <v/>
      </c>
      <c r="N386" t="str">
        <f>IFERROR(IF(OR(HLOOKUP($A386,#REF!,12,FALSE)&gt;2,HLOOKUP($A386,#REF!,12,FALSE)&lt;-2),"",#REF!),"")</f>
        <v/>
      </c>
      <c r="O386" t="str">
        <f>IFERROR(IF(OR(HLOOKUP($A386,#REF!,13,FALSE)&gt;2,HLOOKUP($A386,#REF!,13,FALSE)&lt;-2),"",#REF!),"")</f>
        <v/>
      </c>
      <c r="P386" t="str">
        <f>IFERROR(IF(OR(HLOOKUP($A386,#REF!,14,FALSE)&gt;2,HLOOKUP($A386,#REF!,14,FALSE)&lt;-2),"",#REF!),"")</f>
        <v/>
      </c>
      <c r="Q386" t="str">
        <f>IFERROR(IF(OR(HLOOKUP($A386,#REF!,15,FALSE)&gt;2,HLOOKUP($A386,#REF!,15,FALSE)&lt;-2),"",#REF!),"")</f>
        <v/>
      </c>
      <c r="R386" t="str">
        <f>IFERROR(IF(OR(HLOOKUP($A386,#REF!,16,FALSE)&gt;2,HLOOKUP($A386,#REF!,16,FALSE)&lt;-2),"",#REF!),"")</f>
        <v/>
      </c>
      <c r="S386" t="str">
        <f>IFERROR(IF(OR(HLOOKUP($A386,#REF!,17,FALSE)&gt;2,HLOOKUP($A386,#REF!,17,FALSE)&lt;-2),"",#REF!),"")</f>
        <v/>
      </c>
      <c r="T386" t="str">
        <f>IFERROR(IF(OR(HLOOKUP($A386,#REF!,18,FALSE)&gt;2,HLOOKUP($A386,#REF!,18,FALSE)&lt;-2),"",#REF!),"")</f>
        <v/>
      </c>
      <c r="U386" t="str">
        <f>IFERROR(IF(OR(HLOOKUP($A386,#REF!,19,FALSE)&gt;2,HLOOKUP($A386,#REF!,19,FALSE)&lt;-2),"",#REF!),"")</f>
        <v/>
      </c>
      <c r="V386">
        <f t="shared" si="20"/>
        <v>1</v>
      </c>
      <c r="W386" t="str">
        <f t="shared" si="21"/>
        <v/>
      </c>
      <c r="X386" t="str">
        <f t="shared" si="22"/>
        <v/>
      </c>
      <c r="Y386" t="str">
        <f t="shared" si="23"/>
        <v/>
      </c>
    </row>
    <row r="387" spans="1:25" x14ac:dyDescent="0.35">
      <c r="A387">
        <v>394</v>
      </c>
      <c r="B387" t="s">
        <v>785</v>
      </c>
      <c r="C387">
        <v>14800</v>
      </c>
      <c r="D387">
        <v>669</v>
      </c>
      <c r="E387" t="str">
        <f>IFERROR(IF(OR(HLOOKUP($A387,#REF!,3,FALSE)&gt;2,HLOOKUP(A387,#REF!,3,FALSE)&lt;-2),"",#REF!),"")</f>
        <v/>
      </c>
      <c r="F387" t="str">
        <f>IFERROR(IF(OR(HLOOKUP($A387,#REF!,4,FALSE)&gt;2,HLOOKUP($A387,#REF!,4,FALSE)&lt;-2),"",#REF!),"")</f>
        <v/>
      </c>
      <c r="G387" t="str">
        <f>IFERROR(IF(OR(HLOOKUP($A387,#REF!,5,FALSE)&gt;2,HLOOKUP($A387,#REF!,5,FALSE)&lt;-2),"",#REF!),"")</f>
        <v/>
      </c>
      <c r="H387" t="str">
        <f>IFERROR(IF(OR(HLOOKUP($A387,#REF!,6,FALSE)&gt;2,HLOOKUP($A387,#REF!,6,FALSE)&lt;-2),"",#REF!),"")</f>
        <v/>
      </c>
      <c r="I387" t="str">
        <f>IFERROR(IF(OR(HLOOKUP($A387,#REF!,7,FALSE)&gt;2,HLOOKUP($A387,#REF!,7,FALSE)&lt;-2),"",#REF!),"")</f>
        <v/>
      </c>
      <c r="J387" t="str">
        <f>IFERROR(IF(OR(HLOOKUP($A387,#REF!,8,FALSE)&gt;2,HLOOKUP($A387,#REF!,8,FALSE)&lt;-2),"",#REF!),"")</f>
        <v/>
      </c>
      <c r="K387" t="str">
        <f>IFERROR(IF(OR(HLOOKUP($A387,#REF!,9,FALSE)&gt;2,HLOOKUP($A387,#REF!,9,FALSE)&lt;-2),"",#REF!),"")</f>
        <v/>
      </c>
      <c r="L387" t="str">
        <f>IFERROR(IF(OR(HLOOKUP($A387,#REF!,10,FALSE)&gt;2,HLOOKUP($A387,#REF!,10,FALSE)&lt;-2),"",#REF!),"")</f>
        <v/>
      </c>
      <c r="M387" t="str">
        <f>IFERROR(IF(OR(HLOOKUP($A387,#REF!,11,FALSE)&gt;2,HLOOKUP($A387,#REF!,11,FALSE)&lt;-2),"",#REF!),"")</f>
        <v/>
      </c>
      <c r="N387" t="str">
        <f>IFERROR(IF(OR(HLOOKUP($A387,#REF!,12,FALSE)&gt;2,HLOOKUP($A387,#REF!,12,FALSE)&lt;-2),"",#REF!),"")</f>
        <v/>
      </c>
      <c r="O387" t="str">
        <f>IFERROR(IF(OR(HLOOKUP($A387,#REF!,13,FALSE)&gt;2,HLOOKUP($A387,#REF!,13,FALSE)&lt;-2),"",#REF!),"")</f>
        <v/>
      </c>
      <c r="P387" t="str">
        <f>IFERROR(IF(OR(HLOOKUP($A387,#REF!,14,FALSE)&gt;2,HLOOKUP($A387,#REF!,14,FALSE)&lt;-2),"",#REF!),"")</f>
        <v/>
      </c>
      <c r="Q387" t="str">
        <f>IFERROR(IF(OR(HLOOKUP($A387,#REF!,15,FALSE)&gt;2,HLOOKUP($A387,#REF!,15,FALSE)&lt;-2),"",#REF!),"")</f>
        <v/>
      </c>
      <c r="R387" t="str">
        <f>IFERROR(IF(OR(HLOOKUP($A387,#REF!,16,FALSE)&gt;2,HLOOKUP($A387,#REF!,16,FALSE)&lt;-2),"",#REF!),"")</f>
        <v/>
      </c>
      <c r="S387" t="str">
        <f>IFERROR(IF(OR(HLOOKUP($A387,#REF!,17,FALSE)&gt;2,HLOOKUP($A387,#REF!,17,FALSE)&lt;-2),"",#REF!),"")</f>
        <v/>
      </c>
      <c r="T387" t="str">
        <f>IFERROR(IF(OR(HLOOKUP($A387,#REF!,18,FALSE)&gt;2,HLOOKUP($A387,#REF!,18,FALSE)&lt;-2),"",#REF!),"")</f>
        <v/>
      </c>
      <c r="U387" t="str">
        <f>IFERROR(IF(OR(HLOOKUP($A387,#REF!,19,FALSE)&gt;2,HLOOKUP($A387,#REF!,19,FALSE)&lt;-2),"",#REF!),"")</f>
        <v/>
      </c>
      <c r="V387">
        <f t="shared" si="20"/>
        <v>1</v>
      </c>
      <c r="W387" t="str">
        <f t="shared" si="21"/>
        <v/>
      </c>
      <c r="X387" t="str">
        <f t="shared" si="22"/>
        <v/>
      </c>
      <c r="Y387" t="str">
        <f t="shared" si="23"/>
        <v/>
      </c>
    </row>
    <row r="388" spans="1:25" x14ac:dyDescent="0.35">
      <c r="A388">
        <v>395</v>
      </c>
      <c r="B388" t="s">
        <v>786</v>
      </c>
      <c r="C388">
        <v>94300</v>
      </c>
      <c r="D388">
        <v>370</v>
      </c>
      <c r="E388" t="str">
        <f>IFERROR(IF(OR(HLOOKUP($A388,#REF!,3,FALSE)&gt;2,HLOOKUP(A388,#REF!,3,FALSE)&lt;-2),"",#REF!),"")</f>
        <v/>
      </c>
      <c r="F388" t="str">
        <f>IFERROR(IF(OR(HLOOKUP($A388,#REF!,4,FALSE)&gt;2,HLOOKUP($A388,#REF!,4,FALSE)&lt;-2),"",#REF!),"")</f>
        <v/>
      </c>
      <c r="G388" t="str">
        <f>IFERROR(IF(OR(HLOOKUP($A388,#REF!,5,FALSE)&gt;2,HLOOKUP($A388,#REF!,5,FALSE)&lt;-2),"",#REF!),"")</f>
        <v/>
      </c>
      <c r="H388" t="str">
        <f>IFERROR(IF(OR(HLOOKUP($A388,#REF!,6,FALSE)&gt;2,HLOOKUP($A388,#REF!,6,FALSE)&lt;-2),"",#REF!),"")</f>
        <v/>
      </c>
      <c r="I388" t="str">
        <f>IFERROR(IF(OR(HLOOKUP($A388,#REF!,7,FALSE)&gt;2,HLOOKUP($A388,#REF!,7,FALSE)&lt;-2),"",#REF!),"")</f>
        <v/>
      </c>
      <c r="J388" t="str">
        <f>IFERROR(IF(OR(HLOOKUP($A388,#REF!,8,FALSE)&gt;2,HLOOKUP($A388,#REF!,8,FALSE)&lt;-2),"",#REF!),"")</f>
        <v/>
      </c>
      <c r="K388" t="str">
        <f>IFERROR(IF(OR(HLOOKUP($A388,#REF!,9,FALSE)&gt;2,HLOOKUP($A388,#REF!,9,FALSE)&lt;-2),"",#REF!),"")</f>
        <v/>
      </c>
      <c r="L388" t="str">
        <f>IFERROR(IF(OR(HLOOKUP($A388,#REF!,10,FALSE)&gt;2,HLOOKUP($A388,#REF!,10,FALSE)&lt;-2),"",#REF!),"")</f>
        <v/>
      </c>
      <c r="M388" t="str">
        <f>IFERROR(IF(OR(HLOOKUP($A388,#REF!,11,FALSE)&gt;2,HLOOKUP($A388,#REF!,11,FALSE)&lt;-2),"",#REF!),"")</f>
        <v/>
      </c>
      <c r="N388" t="str">
        <f>IFERROR(IF(OR(HLOOKUP($A388,#REF!,12,FALSE)&gt;2,HLOOKUP($A388,#REF!,12,FALSE)&lt;-2),"",#REF!),"")</f>
        <v/>
      </c>
      <c r="O388" t="str">
        <f>IFERROR(IF(OR(HLOOKUP($A388,#REF!,13,FALSE)&gt;2,HLOOKUP($A388,#REF!,13,FALSE)&lt;-2),"",#REF!),"")</f>
        <v/>
      </c>
      <c r="P388" t="str">
        <f>IFERROR(IF(OR(HLOOKUP($A388,#REF!,14,FALSE)&gt;2,HLOOKUP($A388,#REF!,14,FALSE)&lt;-2),"",#REF!),"")</f>
        <v/>
      </c>
      <c r="Q388" t="str">
        <f>IFERROR(IF(OR(HLOOKUP($A388,#REF!,15,FALSE)&gt;2,HLOOKUP($A388,#REF!,15,FALSE)&lt;-2),"",#REF!),"")</f>
        <v/>
      </c>
      <c r="R388" t="str">
        <f>IFERROR(IF(OR(HLOOKUP($A388,#REF!,16,FALSE)&gt;2,HLOOKUP($A388,#REF!,16,FALSE)&lt;-2),"",#REF!),"")</f>
        <v/>
      </c>
      <c r="S388" t="str">
        <f>IFERROR(IF(OR(HLOOKUP($A388,#REF!,17,FALSE)&gt;2,HLOOKUP($A388,#REF!,17,FALSE)&lt;-2),"",#REF!),"")</f>
        <v/>
      </c>
      <c r="T388" t="str">
        <f>IFERROR(IF(OR(HLOOKUP($A388,#REF!,18,FALSE)&gt;2,HLOOKUP($A388,#REF!,18,FALSE)&lt;-2),"",#REF!),"")</f>
        <v/>
      </c>
      <c r="U388" t="str">
        <f>IFERROR(IF(OR(HLOOKUP($A388,#REF!,19,FALSE)&gt;2,HLOOKUP($A388,#REF!,19,FALSE)&lt;-2),"",#REF!),"")</f>
        <v/>
      </c>
      <c r="V388">
        <f t="shared" ref="V388:V451" si="24">IFERROR(IF(AND(X388=0,Y388=0),0,1),0)</f>
        <v>1</v>
      </c>
      <c r="W388" t="str">
        <f t="shared" ref="W388:W451" si="25">IFERROR(_xlfn.T.TEST(E388:M388,N388:U388,2,2),"")</f>
        <v/>
      </c>
      <c r="X388" t="str">
        <f t="shared" ref="X388:X451" si="26">IFERROR(AVERAGE(E388:M388),"")</f>
        <v/>
      </c>
      <c r="Y388" t="str">
        <f t="shared" ref="Y388:Y451" si="27">IFERROR(AVERAGE(N388:U388),"")</f>
        <v/>
      </c>
    </row>
    <row r="389" spans="1:25" x14ac:dyDescent="0.35">
      <c r="A389">
        <v>396</v>
      </c>
      <c r="B389" t="s">
        <v>787</v>
      </c>
      <c r="C389">
        <v>102900</v>
      </c>
      <c r="D389">
        <v>514</v>
      </c>
      <c r="E389" t="str">
        <f>IFERROR(IF(OR(HLOOKUP($A389,#REF!,3,FALSE)&gt;2,HLOOKUP(A389,#REF!,3,FALSE)&lt;-2),"",#REF!),"")</f>
        <v/>
      </c>
      <c r="F389" t="str">
        <f>IFERROR(IF(OR(HLOOKUP($A389,#REF!,4,FALSE)&gt;2,HLOOKUP($A389,#REF!,4,FALSE)&lt;-2),"",#REF!),"")</f>
        <v/>
      </c>
      <c r="G389" t="str">
        <f>IFERROR(IF(OR(HLOOKUP($A389,#REF!,5,FALSE)&gt;2,HLOOKUP($A389,#REF!,5,FALSE)&lt;-2),"",#REF!),"")</f>
        <v/>
      </c>
      <c r="H389" t="str">
        <f>IFERROR(IF(OR(HLOOKUP($A389,#REF!,6,FALSE)&gt;2,HLOOKUP($A389,#REF!,6,FALSE)&lt;-2),"",#REF!),"")</f>
        <v/>
      </c>
      <c r="I389" t="str">
        <f>IFERROR(IF(OR(HLOOKUP($A389,#REF!,7,FALSE)&gt;2,HLOOKUP($A389,#REF!,7,FALSE)&lt;-2),"",#REF!),"")</f>
        <v/>
      </c>
      <c r="J389" t="str">
        <f>IFERROR(IF(OR(HLOOKUP($A389,#REF!,8,FALSE)&gt;2,HLOOKUP($A389,#REF!,8,FALSE)&lt;-2),"",#REF!),"")</f>
        <v/>
      </c>
      <c r="K389" t="str">
        <f>IFERROR(IF(OR(HLOOKUP($A389,#REF!,9,FALSE)&gt;2,HLOOKUP($A389,#REF!,9,FALSE)&lt;-2),"",#REF!),"")</f>
        <v/>
      </c>
      <c r="L389" t="str">
        <f>IFERROR(IF(OR(HLOOKUP($A389,#REF!,10,FALSE)&gt;2,HLOOKUP($A389,#REF!,10,FALSE)&lt;-2),"",#REF!),"")</f>
        <v/>
      </c>
      <c r="M389" t="str">
        <f>IFERROR(IF(OR(HLOOKUP($A389,#REF!,11,FALSE)&gt;2,HLOOKUP($A389,#REF!,11,FALSE)&lt;-2),"",#REF!),"")</f>
        <v/>
      </c>
      <c r="N389" t="str">
        <f>IFERROR(IF(OR(HLOOKUP($A389,#REF!,12,FALSE)&gt;2,HLOOKUP($A389,#REF!,12,FALSE)&lt;-2),"",#REF!),"")</f>
        <v/>
      </c>
      <c r="O389" t="str">
        <f>IFERROR(IF(OR(HLOOKUP($A389,#REF!,13,FALSE)&gt;2,HLOOKUP($A389,#REF!,13,FALSE)&lt;-2),"",#REF!),"")</f>
        <v/>
      </c>
      <c r="P389" t="str">
        <f>IFERROR(IF(OR(HLOOKUP($A389,#REF!,14,FALSE)&gt;2,HLOOKUP($A389,#REF!,14,FALSE)&lt;-2),"",#REF!),"")</f>
        <v/>
      </c>
      <c r="Q389" t="str">
        <f>IFERROR(IF(OR(HLOOKUP($A389,#REF!,15,FALSE)&gt;2,HLOOKUP($A389,#REF!,15,FALSE)&lt;-2),"",#REF!),"")</f>
        <v/>
      </c>
      <c r="R389" t="str">
        <f>IFERROR(IF(OR(HLOOKUP($A389,#REF!,16,FALSE)&gt;2,HLOOKUP($A389,#REF!,16,FALSE)&lt;-2),"",#REF!),"")</f>
        <v/>
      </c>
      <c r="S389" t="str">
        <f>IFERROR(IF(OR(HLOOKUP($A389,#REF!,17,FALSE)&gt;2,HLOOKUP($A389,#REF!,17,FALSE)&lt;-2),"",#REF!),"")</f>
        <v/>
      </c>
      <c r="T389" t="str">
        <f>IFERROR(IF(OR(HLOOKUP($A389,#REF!,18,FALSE)&gt;2,HLOOKUP($A389,#REF!,18,FALSE)&lt;-2),"",#REF!),"")</f>
        <v/>
      </c>
      <c r="U389" t="str">
        <f>IFERROR(IF(OR(HLOOKUP($A389,#REF!,19,FALSE)&gt;2,HLOOKUP($A389,#REF!,19,FALSE)&lt;-2),"",#REF!),"")</f>
        <v/>
      </c>
      <c r="V389">
        <f t="shared" si="24"/>
        <v>1</v>
      </c>
      <c r="W389" t="str">
        <f t="shared" si="25"/>
        <v/>
      </c>
      <c r="X389" t="str">
        <f t="shared" si="26"/>
        <v/>
      </c>
      <c r="Y389" t="str">
        <f t="shared" si="27"/>
        <v/>
      </c>
    </row>
    <row r="390" spans="1:25" x14ac:dyDescent="0.35">
      <c r="A390">
        <v>397</v>
      </c>
      <c r="B390" t="s">
        <v>205</v>
      </c>
      <c r="C390">
        <v>109800</v>
      </c>
      <c r="D390">
        <v>863</v>
      </c>
      <c r="E390" t="str">
        <f>IFERROR(IF(OR(HLOOKUP($A390,#REF!,3,FALSE)&gt;2,HLOOKUP(A390,#REF!,3,FALSE)&lt;-2),"",#REF!),"")</f>
        <v/>
      </c>
      <c r="F390" t="str">
        <f>IFERROR(IF(OR(HLOOKUP($A390,#REF!,4,FALSE)&gt;2,HLOOKUP($A390,#REF!,4,FALSE)&lt;-2),"",#REF!),"")</f>
        <v/>
      </c>
      <c r="G390" t="str">
        <f>IFERROR(IF(OR(HLOOKUP($A390,#REF!,5,FALSE)&gt;2,HLOOKUP($A390,#REF!,5,FALSE)&lt;-2),"",#REF!),"")</f>
        <v/>
      </c>
      <c r="H390" t="str">
        <f>IFERROR(IF(OR(HLOOKUP($A390,#REF!,6,FALSE)&gt;2,HLOOKUP($A390,#REF!,6,FALSE)&lt;-2),"",#REF!),"")</f>
        <v/>
      </c>
      <c r="I390" t="str">
        <f>IFERROR(IF(OR(HLOOKUP($A390,#REF!,7,FALSE)&gt;2,HLOOKUP($A390,#REF!,7,FALSE)&lt;-2),"",#REF!),"")</f>
        <v/>
      </c>
      <c r="J390" t="str">
        <f>IFERROR(IF(OR(HLOOKUP($A390,#REF!,8,FALSE)&gt;2,HLOOKUP($A390,#REF!,8,FALSE)&lt;-2),"",#REF!),"")</f>
        <v/>
      </c>
      <c r="K390" t="str">
        <f>IFERROR(IF(OR(HLOOKUP($A390,#REF!,9,FALSE)&gt;2,HLOOKUP($A390,#REF!,9,FALSE)&lt;-2),"",#REF!),"")</f>
        <v/>
      </c>
      <c r="L390" t="str">
        <f>IFERROR(IF(OR(HLOOKUP($A390,#REF!,10,FALSE)&gt;2,HLOOKUP($A390,#REF!,10,FALSE)&lt;-2),"",#REF!),"")</f>
        <v/>
      </c>
      <c r="M390" t="str">
        <f>IFERROR(IF(OR(HLOOKUP($A390,#REF!,11,FALSE)&gt;2,HLOOKUP($A390,#REF!,11,FALSE)&lt;-2),"",#REF!),"")</f>
        <v/>
      </c>
      <c r="N390" t="str">
        <f>IFERROR(IF(OR(HLOOKUP($A390,#REF!,12,FALSE)&gt;2,HLOOKUP($A390,#REF!,12,FALSE)&lt;-2),"",#REF!),"")</f>
        <v/>
      </c>
      <c r="O390" t="str">
        <f>IFERROR(IF(OR(HLOOKUP($A390,#REF!,13,FALSE)&gt;2,HLOOKUP($A390,#REF!,13,FALSE)&lt;-2),"",#REF!),"")</f>
        <v/>
      </c>
      <c r="P390" t="str">
        <f>IFERROR(IF(OR(HLOOKUP($A390,#REF!,14,FALSE)&gt;2,HLOOKUP($A390,#REF!,14,FALSE)&lt;-2),"",#REF!),"")</f>
        <v/>
      </c>
      <c r="Q390" t="str">
        <f>IFERROR(IF(OR(HLOOKUP($A390,#REF!,15,FALSE)&gt;2,HLOOKUP($A390,#REF!,15,FALSE)&lt;-2),"",#REF!),"")</f>
        <v/>
      </c>
      <c r="R390" t="str">
        <f>IFERROR(IF(OR(HLOOKUP($A390,#REF!,16,FALSE)&gt;2,HLOOKUP($A390,#REF!,16,FALSE)&lt;-2),"",#REF!),"")</f>
        <v/>
      </c>
      <c r="S390" t="str">
        <f>IFERROR(IF(OR(HLOOKUP($A390,#REF!,17,FALSE)&gt;2,HLOOKUP($A390,#REF!,17,FALSE)&lt;-2),"",#REF!),"")</f>
        <v/>
      </c>
      <c r="T390" t="str">
        <f>IFERROR(IF(OR(HLOOKUP($A390,#REF!,18,FALSE)&gt;2,HLOOKUP($A390,#REF!,18,FALSE)&lt;-2),"",#REF!),"")</f>
        <v/>
      </c>
      <c r="U390" t="str">
        <f>IFERROR(IF(OR(HLOOKUP($A390,#REF!,19,FALSE)&gt;2,HLOOKUP($A390,#REF!,19,FALSE)&lt;-2),"",#REF!),"")</f>
        <v/>
      </c>
      <c r="V390">
        <f t="shared" si="24"/>
        <v>1</v>
      </c>
      <c r="W390" t="str">
        <f t="shared" si="25"/>
        <v/>
      </c>
      <c r="X390" t="str">
        <f t="shared" si="26"/>
        <v/>
      </c>
      <c r="Y390" t="str">
        <f t="shared" si="27"/>
        <v/>
      </c>
    </row>
    <row r="391" spans="1:25" x14ac:dyDescent="0.35">
      <c r="A391">
        <v>398</v>
      </c>
      <c r="B391" t="s">
        <v>788</v>
      </c>
      <c r="C391">
        <v>86600</v>
      </c>
      <c r="D391">
        <v>1132</v>
      </c>
      <c r="E391" t="str">
        <f>IFERROR(IF(OR(HLOOKUP($A391,#REF!,3,FALSE)&gt;2,HLOOKUP(A391,#REF!,3,FALSE)&lt;-2),"",#REF!),"")</f>
        <v/>
      </c>
      <c r="F391" t="str">
        <f>IFERROR(IF(OR(HLOOKUP($A391,#REF!,4,FALSE)&gt;2,HLOOKUP($A391,#REF!,4,FALSE)&lt;-2),"",#REF!),"")</f>
        <v/>
      </c>
      <c r="G391" t="str">
        <f>IFERROR(IF(OR(HLOOKUP($A391,#REF!,5,FALSE)&gt;2,HLOOKUP($A391,#REF!,5,FALSE)&lt;-2),"",#REF!),"")</f>
        <v/>
      </c>
      <c r="H391" t="str">
        <f>IFERROR(IF(OR(HLOOKUP($A391,#REF!,6,FALSE)&gt;2,HLOOKUP($A391,#REF!,6,FALSE)&lt;-2),"",#REF!),"")</f>
        <v/>
      </c>
      <c r="I391" t="str">
        <f>IFERROR(IF(OR(HLOOKUP($A391,#REF!,7,FALSE)&gt;2,HLOOKUP($A391,#REF!,7,FALSE)&lt;-2),"",#REF!),"")</f>
        <v/>
      </c>
      <c r="J391" t="str">
        <f>IFERROR(IF(OR(HLOOKUP($A391,#REF!,8,FALSE)&gt;2,HLOOKUP($A391,#REF!,8,FALSE)&lt;-2),"",#REF!),"")</f>
        <v/>
      </c>
      <c r="K391" t="str">
        <f>IFERROR(IF(OR(HLOOKUP($A391,#REF!,9,FALSE)&gt;2,HLOOKUP($A391,#REF!,9,FALSE)&lt;-2),"",#REF!),"")</f>
        <v/>
      </c>
      <c r="L391" t="str">
        <f>IFERROR(IF(OR(HLOOKUP($A391,#REF!,10,FALSE)&gt;2,HLOOKUP($A391,#REF!,10,FALSE)&lt;-2),"",#REF!),"")</f>
        <v/>
      </c>
      <c r="M391" t="str">
        <f>IFERROR(IF(OR(HLOOKUP($A391,#REF!,11,FALSE)&gt;2,HLOOKUP($A391,#REF!,11,FALSE)&lt;-2),"",#REF!),"")</f>
        <v/>
      </c>
      <c r="N391" t="str">
        <f>IFERROR(IF(OR(HLOOKUP($A391,#REF!,12,FALSE)&gt;2,HLOOKUP($A391,#REF!,12,FALSE)&lt;-2),"",#REF!),"")</f>
        <v/>
      </c>
      <c r="O391" t="str">
        <f>IFERROR(IF(OR(HLOOKUP($A391,#REF!,13,FALSE)&gt;2,HLOOKUP($A391,#REF!,13,FALSE)&lt;-2),"",#REF!),"")</f>
        <v/>
      </c>
      <c r="P391" t="str">
        <f>IFERROR(IF(OR(HLOOKUP($A391,#REF!,14,FALSE)&gt;2,HLOOKUP($A391,#REF!,14,FALSE)&lt;-2),"",#REF!),"")</f>
        <v/>
      </c>
      <c r="Q391" t="str">
        <f>IFERROR(IF(OR(HLOOKUP($A391,#REF!,15,FALSE)&gt;2,HLOOKUP($A391,#REF!,15,FALSE)&lt;-2),"",#REF!),"")</f>
        <v/>
      </c>
      <c r="R391" t="str">
        <f>IFERROR(IF(OR(HLOOKUP($A391,#REF!,16,FALSE)&gt;2,HLOOKUP($A391,#REF!,16,FALSE)&lt;-2),"",#REF!),"")</f>
        <v/>
      </c>
      <c r="S391" t="str">
        <f>IFERROR(IF(OR(HLOOKUP($A391,#REF!,17,FALSE)&gt;2,HLOOKUP($A391,#REF!,17,FALSE)&lt;-2),"",#REF!),"")</f>
        <v/>
      </c>
      <c r="T391" t="str">
        <f>IFERROR(IF(OR(HLOOKUP($A391,#REF!,18,FALSE)&gt;2,HLOOKUP($A391,#REF!,18,FALSE)&lt;-2),"",#REF!),"")</f>
        <v/>
      </c>
      <c r="U391" t="str">
        <f>IFERROR(IF(OR(HLOOKUP($A391,#REF!,19,FALSE)&gt;2,HLOOKUP($A391,#REF!,19,FALSE)&lt;-2),"",#REF!),"")</f>
        <v/>
      </c>
      <c r="V391">
        <f t="shared" si="24"/>
        <v>1</v>
      </c>
      <c r="W391" t="str">
        <f t="shared" si="25"/>
        <v/>
      </c>
      <c r="X391" t="str">
        <f t="shared" si="26"/>
        <v/>
      </c>
      <c r="Y391" t="str">
        <f t="shared" si="27"/>
        <v/>
      </c>
    </row>
    <row r="392" spans="1:25" x14ac:dyDescent="0.35">
      <c r="A392">
        <v>399</v>
      </c>
      <c r="B392" t="s">
        <v>789</v>
      </c>
      <c r="C392">
        <v>37900</v>
      </c>
      <c r="D392">
        <v>382</v>
      </c>
      <c r="E392" t="str">
        <f>IFERROR(IF(OR(HLOOKUP($A392,#REF!,3,FALSE)&gt;2,HLOOKUP(A392,#REF!,3,FALSE)&lt;-2),"",#REF!),"")</f>
        <v/>
      </c>
      <c r="F392" t="str">
        <f>IFERROR(IF(OR(HLOOKUP($A392,#REF!,4,FALSE)&gt;2,HLOOKUP($A392,#REF!,4,FALSE)&lt;-2),"",#REF!),"")</f>
        <v/>
      </c>
      <c r="G392" t="str">
        <f>IFERROR(IF(OR(HLOOKUP($A392,#REF!,5,FALSE)&gt;2,HLOOKUP($A392,#REF!,5,FALSE)&lt;-2),"",#REF!),"")</f>
        <v/>
      </c>
      <c r="H392" t="str">
        <f>IFERROR(IF(OR(HLOOKUP($A392,#REF!,6,FALSE)&gt;2,HLOOKUP($A392,#REF!,6,FALSE)&lt;-2),"",#REF!),"")</f>
        <v/>
      </c>
      <c r="I392" t="str">
        <f>IFERROR(IF(OR(HLOOKUP($A392,#REF!,7,FALSE)&gt;2,HLOOKUP($A392,#REF!,7,FALSE)&lt;-2),"",#REF!),"")</f>
        <v/>
      </c>
      <c r="J392" t="str">
        <f>IFERROR(IF(OR(HLOOKUP($A392,#REF!,8,FALSE)&gt;2,HLOOKUP($A392,#REF!,8,FALSE)&lt;-2),"",#REF!),"")</f>
        <v/>
      </c>
      <c r="K392" t="str">
        <f>IFERROR(IF(OR(HLOOKUP($A392,#REF!,9,FALSE)&gt;2,HLOOKUP($A392,#REF!,9,FALSE)&lt;-2),"",#REF!),"")</f>
        <v/>
      </c>
      <c r="L392" t="str">
        <f>IFERROR(IF(OR(HLOOKUP($A392,#REF!,10,FALSE)&gt;2,HLOOKUP($A392,#REF!,10,FALSE)&lt;-2),"",#REF!),"")</f>
        <v/>
      </c>
      <c r="M392" t="str">
        <f>IFERROR(IF(OR(HLOOKUP($A392,#REF!,11,FALSE)&gt;2,HLOOKUP($A392,#REF!,11,FALSE)&lt;-2),"",#REF!),"")</f>
        <v/>
      </c>
      <c r="N392" t="str">
        <f>IFERROR(IF(OR(HLOOKUP($A392,#REF!,12,FALSE)&gt;2,HLOOKUP($A392,#REF!,12,FALSE)&lt;-2),"",#REF!),"")</f>
        <v/>
      </c>
      <c r="O392" t="str">
        <f>IFERROR(IF(OR(HLOOKUP($A392,#REF!,13,FALSE)&gt;2,HLOOKUP($A392,#REF!,13,FALSE)&lt;-2),"",#REF!),"")</f>
        <v/>
      </c>
      <c r="P392" t="str">
        <f>IFERROR(IF(OR(HLOOKUP($A392,#REF!,14,FALSE)&gt;2,HLOOKUP($A392,#REF!,14,FALSE)&lt;-2),"",#REF!),"")</f>
        <v/>
      </c>
      <c r="Q392" t="str">
        <f>IFERROR(IF(OR(HLOOKUP($A392,#REF!,15,FALSE)&gt;2,HLOOKUP($A392,#REF!,15,FALSE)&lt;-2),"",#REF!),"")</f>
        <v/>
      </c>
      <c r="R392" t="str">
        <f>IFERROR(IF(OR(HLOOKUP($A392,#REF!,16,FALSE)&gt;2,HLOOKUP($A392,#REF!,16,FALSE)&lt;-2),"",#REF!),"")</f>
        <v/>
      </c>
      <c r="S392" t="str">
        <f>IFERROR(IF(OR(HLOOKUP($A392,#REF!,17,FALSE)&gt;2,HLOOKUP($A392,#REF!,17,FALSE)&lt;-2),"",#REF!),"")</f>
        <v/>
      </c>
      <c r="T392" t="str">
        <f>IFERROR(IF(OR(HLOOKUP($A392,#REF!,18,FALSE)&gt;2,HLOOKUP($A392,#REF!,18,FALSE)&lt;-2),"",#REF!),"")</f>
        <v/>
      </c>
      <c r="U392" t="str">
        <f>IFERROR(IF(OR(HLOOKUP($A392,#REF!,19,FALSE)&gt;2,HLOOKUP($A392,#REF!,19,FALSE)&lt;-2),"",#REF!),"")</f>
        <v/>
      </c>
      <c r="V392">
        <f t="shared" si="24"/>
        <v>1</v>
      </c>
      <c r="W392" t="str">
        <f t="shared" si="25"/>
        <v/>
      </c>
      <c r="X392" t="str">
        <f t="shared" si="26"/>
        <v/>
      </c>
      <c r="Y392" t="str">
        <f t="shared" si="27"/>
        <v/>
      </c>
    </row>
    <row r="393" spans="1:25" x14ac:dyDescent="0.35">
      <c r="A393">
        <v>400</v>
      </c>
      <c r="B393" t="s">
        <v>790</v>
      </c>
      <c r="C393">
        <v>36500</v>
      </c>
      <c r="D393">
        <v>788</v>
      </c>
      <c r="E393" t="str">
        <f>IFERROR(IF(OR(HLOOKUP($A393,#REF!,3,FALSE)&gt;2,HLOOKUP(A393,#REF!,3,FALSE)&lt;-2),"",#REF!),"")</f>
        <v/>
      </c>
      <c r="F393" t="str">
        <f>IFERROR(IF(OR(HLOOKUP($A393,#REF!,4,FALSE)&gt;2,HLOOKUP($A393,#REF!,4,FALSE)&lt;-2),"",#REF!),"")</f>
        <v/>
      </c>
      <c r="G393" t="str">
        <f>IFERROR(IF(OR(HLOOKUP($A393,#REF!,5,FALSE)&gt;2,HLOOKUP($A393,#REF!,5,FALSE)&lt;-2),"",#REF!),"")</f>
        <v/>
      </c>
      <c r="H393" t="str">
        <f>IFERROR(IF(OR(HLOOKUP($A393,#REF!,6,FALSE)&gt;2,HLOOKUP($A393,#REF!,6,FALSE)&lt;-2),"",#REF!),"")</f>
        <v/>
      </c>
      <c r="I393" t="str">
        <f>IFERROR(IF(OR(HLOOKUP($A393,#REF!,7,FALSE)&gt;2,HLOOKUP($A393,#REF!,7,FALSE)&lt;-2),"",#REF!),"")</f>
        <v/>
      </c>
      <c r="J393" t="str">
        <f>IFERROR(IF(OR(HLOOKUP($A393,#REF!,8,FALSE)&gt;2,HLOOKUP($A393,#REF!,8,FALSE)&lt;-2),"",#REF!),"")</f>
        <v/>
      </c>
      <c r="K393" t="str">
        <f>IFERROR(IF(OR(HLOOKUP($A393,#REF!,9,FALSE)&gt;2,HLOOKUP($A393,#REF!,9,FALSE)&lt;-2),"",#REF!),"")</f>
        <v/>
      </c>
      <c r="L393" t="str">
        <f>IFERROR(IF(OR(HLOOKUP($A393,#REF!,10,FALSE)&gt;2,HLOOKUP($A393,#REF!,10,FALSE)&lt;-2),"",#REF!),"")</f>
        <v/>
      </c>
      <c r="M393" t="str">
        <f>IFERROR(IF(OR(HLOOKUP($A393,#REF!,11,FALSE)&gt;2,HLOOKUP($A393,#REF!,11,FALSE)&lt;-2),"",#REF!),"")</f>
        <v/>
      </c>
      <c r="N393" t="str">
        <f>IFERROR(IF(OR(HLOOKUP($A393,#REF!,12,FALSE)&gt;2,HLOOKUP($A393,#REF!,12,FALSE)&lt;-2),"",#REF!),"")</f>
        <v/>
      </c>
      <c r="O393" t="str">
        <f>IFERROR(IF(OR(HLOOKUP($A393,#REF!,13,FALSE)&gt;2,HLOOKUP($A393,#REF!,13,FALSE)&lt;-2),"",#REF!),"")</f>
        <v/>
      </c>
      <c r="P393" t="str">
        <f>IFERROR(IF(OR(HLOOKUP($A393,#REF!,14,FALSE)&gt;2,HLOOKUP($A393,#REF!,14,FALSE)&lt;-2),"",#REF!),"")</f>
        <v/>
      </c>
      <c r="Q393" t="str">
        <f>IFERROR(IF(OR(HLOOKUP($A393,#REF!,15,FALSE)&gt;2,HLOOKUP($A393,#REF!,15,FALSE)&lt;-2),"",#REF!),"")</f>
        <v/>
      </c>
      <c r="R393" t="str">
        <f>IFERROR(IF(OR(HLOOKUP($A393,#REF!,16,FALSE)&gt;2,HLOOKUP($A393,#REF!,16,FALSE)&lt;-2),"",#REF!),"")</f>
        <v/>
      </c>
      <c r="S393" t="str">
        <f>IFERROR(IF(OR(HLOOKUP($A393,#REF!,17,FALSE)&gt;2,HLOOKUP($A393,#REF!,17,FALSE)&lt;-2),"",#REF!),"")</f>
        <v/>
      </c>
      <c r="T393" t="str">
        <f>IFERROR(IF(OR(HLOOKUP($A393,#REF!,18,FALSE)&gt;2,HLOOKUP($A393,#REF!,18,FALSE)&lt;-2),"",#REF!),"")</f>
        <v/>
      </c>
      <c r="U393" t="str">
        <f>IFERROR(IF(OR(HLOOKUP($A393,#REF!,19,FALSE)&gt;2,HLOOKUP($A393,#REF!,19,FALSE)&lt;-2),"",#REF!),"")</f>
        <v/>
      </c>
      <c r="V393">
        <f t="shared" si="24"/>
        <v>1</v>
      </c>
      <c r="W393" t="str">
        <f t="shared" si="25"/>
        <v/>
      </c>
      <c r="X393" t="str">
        <f t="shared" si="26"/>
        <v/>
      </c>
      <c r="Y393" t="str">
        <f t="shared" si="27"/>
        <v/>
      </c>
    </row>
    <row r="394" spans="1:25" x14ac:dyDescent="0.35">
      <c r="A394">
        <v>401</v>
      </c>
      <c r="B394" t="s">
        <v>206</v>
      </c>
      <c r="C394">
        <v>15100</v>
      </c>
      <c r="D394">
        <v>394</v>
      </c>
      <c r="E394" t="str">
        <f>IFERROR(IF(OR(HLOOKUP($A394,#REF!,3,FALSE)&gt;2,HLOOKUP(A394,#REF!,3,FALSE)&lt;-2),"",#REF!),"")</f>
        <v/>
      </c>
      <c r="F394" t="str">
        <f>IFERROR(IF(OR(HLOOKUP($A394,#REF!,4,FALSE)&gt;2,HLOOKUP($A394,#REF!,4,FALSE)&lt;-2),"",#REF!),"")</f>
        <v/>
      </c>
      <c r="G394" t="str">
        <f>IFERROR(IF(OR(HLOOKUP($A394,#REF!,5,FALSE)&gt;2,HLOOKUP($A394,#REF!,5,FALSE)&lt;-2),"",#REF!),"")</f>
        <v/>
      </c>
      <c r="H394" t="str">
        <f>IFERROR(IF(OR(HLOOKUP($A394,#REF!,6,FALSE)&gt;2,HLOOKUP($A394,#REF!,6,FALSE)&lt;-2),"",#REF!),"")</f>
        <v/>
      </c>
      <c r="I394" t="str">
        <f>IFERROR(IF(OR(HLOOKUP($A394,#REF!,7,FALSE)&gt;2,HLOOKUP($A394,#REF!,7,FALSE)&lt;-2),"",#REF!),"")</f>
        <v/>
      </c>
      <c r="J394" t="str">
        <f>IFERROR(IF(OR(HLOOKUP($A394,#REF!,8,FALSE)&gt;2,HLOOKUP($A394,#REF!,8,FALSE)&lt;-2),"",#REF!),"")</f>
        <v/>
      </c>
      <c r="K394" t="str">
        <f>IFERROR(IF(OR(HLOOKUP($A394,#REF!,9,FALSE)&gt;2,HLOOKUP($A394,#REF!,9,FALSE)&lt;-2),"",#REF!),"")</f>
        <v/>
      </c>
      <c r="L394" t="str">
        <f>IFERROR(IF(OR(HLOOKUP($A394,#REF!,10,FALSE)&gt;2,HLOOKUP($A394,#REF!,10,FALSE)&lt;-2),"",#REF!),"")</f>
        <v/>
      </c>
      <c r="M394" t="str">
        <f>IFERROR(IF(OR(HLOOKUP($A394,#REF!,11,FALSE)&gt;2,HLOOKUP($A394,#REF!,11,FALSE)&lt;-2),"",#REF!),"")</f>
        <v/>
      </c>
      <c r="N394" t="str">
        <f>IFERROR(IF(OR(HLOOKUP($A394,#REF!,12,FALSE)&gt;2,HLOOKUP($A394,#REF!,12,FALSE)&lt;-2),"",#REF!),"")</f>
        <v/>
      </c>
      <c r="O394" t="str">
        <f>IFERROR(IF(OR(HLOOKUP($A394,#REF!,13,FALSE)&gt;2,HLOOKUP($A394,#REF!,13,FALSE)&lt;-2),"",#REF!),"")</f>
        <v/>
      </c>
      <c r="P394" t="str">
        <f>IFERROR(IF(OR(HLOOKUP($A394,#REF!,14,FALSE)&gt;2,HLOOKUP($A394,#REF!,14,FALSE)&lt;-2),"",#REF!),"")</f>
        <v/>
      </c>
      <c r="Q394" t="str">
        <f>IFERROR(IF(OR(HLOOKUP($A394,#REF!,15,FALSE)&gt;2,HLOOKUP($A394,#REF!,15,FALSE)&lt;-2),"",#REF!),"")</f>
        <v/>
      </c>
      <c r="R394" t="str">
        <f>IFERROR(IF(OR(HLOOKUP($A394,#REF!,16,FALSE)&gt;2,HLOOKUP($A394,#REF!,16,FALSE)&lt;-2),"",#REF!),"")</f>
        <v/>
      </c>
      <c r="S394" t="str">
        <f>IFERROR(IF(OR(HLOOKUP($A394,#REF!,17,FALSE)&gt;2,HLOOKUP($A394,#REF!,17,FALSE)&lt;-2),"",#REF!),"")</f>
        <v/>
      </c>
      <c r="T394" t="str">
        <f>IFERROR(IF(OR(HLOOKUP($A394,#REF!,18,FALSE)&gt;2,HLOOKUP($A394,#REF!,18,FALSE)&lt;-2),"",#REF!),"")</f>
        <v/>
      </c>
      <c r="U394" t="str">
        <f>IFERROR(IF(OR(HLOOKUP($A394,#REF!,19,FALSE)&gt;2,HLOOKUP($A394,#REF!,19,FALSE)&lt;-2),"",#REF!),"")</f>
        <v/>
      </c>
      <c r="V394">
        <f t="shared" si="24"/>
        <v>1</v>
      </c>
      <c r="W394" t="str">
        <f t="shared" si="25"/>
        <v/>
      </c>
      <c r="X394" t="str">
        <f t="shared" si="26"/>
        <v/>
      </c>
      <c r="Y394" t="str">
        <f t="shared" si="27"/>
        <v/>
      </c>
    </row>
    <row r="395" spans="1:25" x14ac:dyDescent="0.35">
      <c r="A395">
        <v>402</v>
      </c>
      <c r="B395" t="s">
        <v>791</v>
      </c>
      <c r="C395">
        <v>14100</v>
      </c>
      <c r="D395">
        <v>669</v>
      </c>
      <c r="E395" t="str">
        <f>IFERROR(IF(OR(HLOOKUP($A395,#REF!,3,FALSE)&gt;2,HLOOKUP(A395,#REF!,3,FALSE)&lt;-2),"",#REF!),"")</f>
        <v/>
      </c>
      <c r="F395" t="str">
        <f>IFERROR(IF(OR(HLOOKUP($A395,#REF!,4,FALSE)&gt;2,HLOOKUP($A395,#REF!,4,FALSE)&lt;-2),"",#REF!),"")</f>
        <v/>
      </c>
      <c r="G395" t="str">
        <f>IFERROR(IF(OR(HLOOKUP($A395,#REF!,5,FALSE)&gt;2,HLOOKUP($A395,#REF!,5,FALSE)&lt;-2),"",#REF!),"")</f>
        <v/>
      </c>
      <c r="H395" t="str">
        <f>IFERROR(IF(OR(HLOOKUP($A395,#REF!,6,FALSE)&gt;2,HLOOKUP($A395,#REF!,6,FALSE)&lt;-2),"",#REF!),"")</f>
        <v/>
      </c>
      <c r="I395" t="str">
        <f>IFERROR(IF(OR(HLOOKUP($A395,#REF!,7,FALSE)&gt;2,HLOOKUP($A395,#REF!,7,FALSE)&lt;-2),"",#REF!),"")</f>
        <v/>
      </c>
      <c r="J395" t="str">
        <f>IFERROR(IF(OR(HLOOKUP($A395,#REF!,8,FALSE)&gt;2,HLOOKUP($A395,#REF!,8,FALSE)&lt;-2),"",#REF!),"")</f>
        <v/>
      </c>
      <c r="K395" t="str">
        <f>IFERROR(IF(OR(HLOOKUP($A395,#REF!,9,FALSE)&gt;2,HLOOKUP($A395,#REF!,9,FALSE)&lt;-2),"",#REF!),"")</f>
        <v/>
      </c>
      <c r="L395" t="str">
        <f>IFERROR(IF(OR(HLOOKUP($A395,#REF!,10,FALSE)&gt;2,HLOOKUP($A395,#REF!,10,FALSE)&lt;-2),"",#REF!),"")</f>
        <v/>
      </c>
      <c r="M395" t="str">
        <f>IFERROR(IF(OR(HLOOKUP($A395,#REF!,11,FALSE)&gt;2,HLOOKUP($A395,#REF!,11,FALSE)&lt;-2),"",#REF!),"")</f>
        <v/>
      </c>
      <c r="N395" t="str">
        <f>IFERROR(IF(OR(HLOOKUP($A395,#REF!,12,FALSE)&gt;2,HLOOKUP($A395,#REF!,12,FALSE)&lt;-2),"",#REF!),"")</f>
        <v/>
      </c>
      <c r="O395" t="str">
        <f>IFERROR(IF(OR(HLOOKUP($A395,#REF!,13,FALSE)&gt;2,HLOOKUP($A395,#REF!,13,FALSE)&lt;-2),"",#REF!),"")</f>
        <v/>
      </c>
      <c r="P395" t="str">
        <f>IFERROR(IF(OR(HLOOKUP($A395,#REF!,14,FALSE)&gt;2,HLOOKUP($A395,#REF!,14,FALSE)&lt;-2),"",#REF!),"")</f>
        <v/>
      </c>
      <c r="Q395" t="str">
        <f>IFERROR(IF(OR(HLOOKUP($A395,#REF!,15,FALSE)&gt;2,HLOOKUP($A395,#REF!,15,FALSE)&lt;-2),"",#REF!),"")</f>
        <v/>
      </c>
      <c r="R395" t="str">
        <f>IFERROR(IF(OR(HLOOKUP($A395,#REF!,16,FALSE)&gt;2,HLOOKUP($A395,#REF!,16,FALSE)&lt;-2),"",#REF!),"")</f>
        <v/>
      </c>
      <c r="S395" t="str">
        <f>IFERROR(IF(OR(HLOOKUP($A395,#REF!,17,FALSE)&gt;2,HLOOKUP($A395,#REF!,17,FALSE)&lt;-2),"",#REF!),"")</f>
        <v/>
      </c>
      <c r="T395" t="str">
        <f>IFERROR(IF(OR(HLOOKUP($A395,#REF!,18,FALSE)&gt;2,HLOOKUP($A395,#REF!,18,FALSE)&lt;-2),"",#REF!),"")</f>
        <v/>
      </c>
      <c r="U395" t="str">
        <f>IFERROR(IF(OR(HLOOKUP($A395,#REF!,19,FALSE)&gt;2,HLOOKUP($A395,#REF!,19,FALSE)&lt;-2),"",#REF!),"")</f>
        <v/>
      </c>
      <c r="V395">
        <f t="shared" si="24"/>
        <v>1</v>
      </c>
      <c r="W395" t="str">
        <f t="shared" si="25"/>
        <v/>
      </c>
      <c r="X395" t="str">
        <f t="shared" si="26"/>
        <v/>
      </c>
      <c r="Y395" t="str">
        <f t="shared" si="27"/>
        <v/>
      </c>
    </row>
    <row r="396" spans="1:25" x14ac:dyDescent="0.35">
      <c r="A396">
        <v>403</v>
      </c>
      <c r="B396" t="s">
        <v>207</v>
      </c>
      <c r="C396">
        <v>50800</v>
      </c>
      <c r="D396">
        <v>278</v>
      </c>
      <c r="E396" t="str">
        <f>IFERROR(IF(OR(HLOOKUP($A396,#REF!,3,FALSE)&gt;2,HLOOKUP(A396,#REF!,3,FALSE)&lt;-2),"",#REF!),"")</f>
        <v/>
      </c>
      <c r="F396" t="str">
        <f>IFERROR(IF(OR(HLOOKUP($A396,#REF!,4,FALSE)&gt;2,HLOOKUP($A396,#REF!,4,FALSE)&lt;-2),"",#REF!),"")</f>
        <v/>
      </c>
      <c r="G396" t="str">
        <f>IFERROR(IF(OR(HLOOKUP($A396,#REF!,5,FALSE)&gt;2,HLOOKUP($A396,#REF!,5,FALSE)&lt;-2),"",#REF!),"")</f>
        <v/>
      </c>
      <c r="H396" t="str">
        <f>IFERROR(IF(OR(HLOOKUP($A396,#REF!,6,FALSE)&gt;2,HLOOKUP($A396,#REF!,6,FALSE)&lt;-2),"",#REF!),"")</f>
        <v/>
      </c>
      <c r="I396" t="str">
        <f>IFERROR(IF(OR(HLOOKUP($A396,#REF!,7,FALSE)&gt;2,HLOOKUP($A396,#REF!,7,FALSE)&lt;-2),"",#REF!),"")</f>
        <v/>
      </c>
      <c r="J396" t="str">
        <f>IFERROR(IF(OR(HLOOKUP($A396,#REF!,8,FALSE)&gt;2,HLOOKUP($A396,#REF!,8,FALSE)&lt;-2),"",#REF!),"")</f>
        <v/>
      </c>
      <c r="K396" t="str">
        <f>IFERROR(IF(OR(HLOOKUP($A396,#REF!,9,FALSE)&gt;2,HLOOKUP($A396,#REF!,9,FALSE)&lt;-2),"",#REF!),"")</f>
        <v/>
      </c>
      <c r="L396" t="str">
        <f>IFERROR(IF(OR(HLOOKUP($A396,#REF!,10,FALSE)&gt;2,HLOOKUP($A396,#REF!,10,FALSE)&lt;-2),"",#REF!),"")</f>
        <v/>
      </c>
      <c r="M396" t="str">
        <f>IFERROR(IF(OR(HLOOKUP($A396,#REF!,11,FALSE)&gt;2,HLOOKUP($A396,#REF!,11,FALSE)&lt;-2),"",#REF!),"")</f>
        <v/>
      </c>
      <c r="N396" t="str">
        <f>IFERROR(IF(OR(HLOOKUP($A396,#REF!,12,FALSE)&gt;2,HLOOKUP($A396,#REF!,12,FALSE)&lt;-2),"",#REF!),"")</f>
        <v/>
      </c>
      <c r="O396" t="str">
        <f>IFERROR(IF(OR(HLOOKUP($A396,#REF!,13,FALSE)&gt;2,HLOOKUP($A396,#REF!,13,FALSE)&lt;-2),"",#REF!),"")</f>
        <v/>
      </c>
      <c r="P396" t="str">
        <f>IFERROR(IF(OR(HLOOKUP($A396,#REF!,14,FALSE)&gt;2,HLOOKUP($A396,#REF!,14,FALSE)&lt;-2),"",#REF!),"")</f>
        <v/>
      </c>
      <c r="Q396" t="str">
        <f>IFERROR(IF(OR(HLOOKUP($A396,#REF!,15,FALSE)&gt;2,HLOOKUP($A396,#REF!,15,FALSE)&lt;-2),"",#REF!),"")</f>
        <v/>
      </c>
      <c r="R396" t="str">
        <f>IFERROR(IF(OR(HLOOKUP($A396,#REF!,16,FALSE)&gt;2,HLOOKUP($A396,#REF!,16,FALSE)&lt;-2),"",#REF!),"")</f>
        <v/>
      </c>
      <c r="S396" t="str">
        <f>IFERROR(IF(OR(HLOOKUP($A396,#REF!,17,FALSE)&gt;2,HLOOKUP($A396,#REF!,17,FALSE)&lt;-2),"",#REF!),"")</f>
        <v/>
      </c>
      <c r="T396" t="str">
        <f>IFERROR(IF(OR(HLOOKUP($A396,#REF!,18,FALSE)&gt;2,HLOOKUP($A396,#REF!,18,FALSE)&lt;-2),"",#REF!),"")</f>
        <v/>
      </c>
      <c r="U396" t="str">
        <f>IFERROR(IF(OR(HLOOKUP($A396,#REF!,19,FALSE)&gt;2,HLOOKUP($A396,#REF!,19,FALSE)&lt;-2),"",#REF!),"")</f>
        <v/>
      </c>
      <c r="V396">
        <f t="shared" si="24"/>
        <v>1</v>
      </c>
      <c r="W396" t="str">
        <f t="shared" si="25"/>
        <v/>
      </c>
      <c r="X396" t="str">
        <f t="shared" si="26"/>
        <v/>
      </c>
      <c r="Y396" t="str">
        <f t="shared" si="27"/>
        <v/>
      </c>
    </row>
    <row r="397" spans="1:25" x14ac:dyDescent="0.35">
      <c r="A397">
        <v>404</v>
      </c>
      <c r="B397" t="s">
        <v>792</v>
      </c>
      <c r="C397">
        <v>105600</v>
      </c>
      <c r="D397">
        <v>490</v>
      </c>
      <c r="E397" t="str">
        <f>IFERROR(IF(OR(HLOOKUP($A397,#REF!,3,FALSE)&gt;2,HLOOKUP(A397,#REF!,3,FALSE)&lt;-2),"",#REF!),"")</f>
        <v/>
      </c>
      <c r="F397" t="str">
        <f>IFERROR(IF(OR(HLOOKUP($A397,#REF!,4,FALSE)&gt;2,HLOOKUP($A397,#REF!,4,FALSE)&lt;-2),"",#REF!),"")</f>
        <v/>
      </c>
      <c r="G397" t="str">
        <f>IFERROR(IF(OR(HLOOKUP($A397,#REF!,5,FALSE)&gt;2,HLOOKUP($A397,#REF!,5,FALSE)&lt;-2),"",#REF!),"")</f>
        <v/>
      </c>
      <c r="H397" t="str">
        <f>IFERROR(IF(OR(HLOOKUP($A397,#REF!,6,FALSE)&gt;2,HLOOKUP($A397,#REF!,6,FALSE)&lt;-2),"",#REF!),"")</f>
        <v/>
      </c>
      <c r="I397" t="str">
        <f>IFERROR(IF(OR(HLOOKUP($A397,#REF!,7,FALSE)&gt;2,HLOOKUP($A397,#REF!,7,FALSE)&lt;-2),"",#REF!),"")</f>
        <v/>
      </c>
      <c r="J397" t="str">
        <f>IFERROR(IF(OR(HLOOKUP($A397,#REF!,8,FALSE)&gt;2,HLOOKUP($A397,#REF!,8,FALSE)&lt;-2),"",#REF!),"")</f>
        <v/>
      </c>
      <c r="K397" t="str">
        <f>IFERROR(IF(OR(HLOOKUP($A397,#REF!,9,FALSE)&gt;2,HLOOKUP($A397,#REF!,9,FALSE)&lt;-2),"",#REF!),"")</f>
        <v/>
      </c>
      <c r="L397" t="str">
        <f>IFERROR(IF(OR(HLOOKUP($A397,#REF!,10,FALSE)&gt;2,HLOOKUP($A397,#REF!,10,FALSE)&lt;-2),"",#REF!),"")</f>
        <v/>
      </c>
      <c r="M397" t="str">
        <f>IFERROR(IF(OR(HLOOKUP($A397,#REF!,11,FALSE)&gt;2,HLOOKUP($A397,#REF!,11,FALSE)&lt;-2),"",#REF!),"")</f>
        <v/>
      </c>
      <c r="N397" t="str">
        <f>IFERROR(IF(OR(HLOOKUP($A397,#REF!,12,FALSE)&gt;2,HLOOKUP($A397,#REF!,12,FALSE)&lt;-2),"",#REF!),"")</f>
        <v/>
      </c>
      <c r="O397" t="str">
        <f>IFERROR(IF(OR(HLOOKUP($A397,#REF!,13,FALSE)&gt;2,HLOOKUP($A397,#REF!,13,FALSE)&lt;-2),"",#REF!),"")</f>
        <v/>
      </c>
      <c r="P397" t="str">
        <f>IFERROR(IF(OR(HLOOKUP($A397,#REF!,14,FALSE)&gt;2,HLOOKUP($A397,#REF!,14,FALSE)&lt;-2),"",#REF!),"")</f>
        <v/>
      </c>
      <c r="Q397" t="str">
        <f>IFERROR(IF(OR(HLOOKUP($A397,#REF!,15,FALSE)&gt;2,HLOOKUP($A397,#REF!,15,FALSE)&lt;-2),"",#REF!),"")</f>
        <v/>
      </c>
      <c r="R397" t="str">
        <f>IFERROR(IF(OR(HLOOKUP($A397,#REF!,16,FALSE)&gt;2,HLOOKUP($A397,#REF!,16,FALSE)&lt;-2),"",#REF!),"")</f>
        <v/>
      </c>
      <c r="S397" t="str">
        <f>IFERROR(IF(OR(HLOOKUP($A397,#REF!,17,FALSE)&gt;2,HLOOKUP($A397,#REF!,17,FALSE)&lt;-2),"",#REF!),"")</f>
        <v/>
      </c>
      <c r="T397" t="str">
        <f>IFERROR(IF(OR(HLOOKUP($A397,#REF!,18,FALSE)&gt;2,HLOOKUP($A397,#REF!,18,FALSE)&lt;-2),"",#REF!),"")</f>
        <v/>
      </c>
      <c r="U397" t="str">
        <f>IFERROR(IF(OR(HLOOKUP($A397,#REF!,19,FALSE)&gt;2,HLOOKUP($A397,#REF!,19,FALSE)&lt;-2),"",#REF!),"")</f>
        <v/>
      </c>
      <c r="V397">
        <f t="shared" si="24"/>
        <v>1</v>
      </c>
      <c r="W397" t="str">
        <f t="shared" si="25"/>
        <v/>
      </c>
      <c r="X397" t="str">
        <f t="shared" si="26"/>
        <v/>
      </c>
      <c r="Y397" t="str">
        <f t="shared" si="27"/>
        <v/>
      </c>
    </row>
    <row r="398" spans="1:25" x14ac:dyDescent="0.35">
      <c r="A398">
        <v>405</v>
      </c>
      <c r="B398" t="s">
        <v>793</v>
      </c>
      <c r="C398">
        <v>112900</v>
      </c>
      <c r="D398">
        <v>824</v>
      </c>
      <c r="E398" t="str">
        <f>IFERROR(IF(OR(HLOOKUP($A398,#REF!,3,FALSE)&gt;2,HLOOKUP(A398,#REF!,3,FALSE)&lt;-2),"",#REF!),"")</f>
        <v/>
      </c>
      <c r="F398" t="str">
        <f>IFERROR(IF(OR(HLOOKUP($A398,#REF!,4,FALSE)&gt;2,HLOOKUP($A398,#REF!,4,FALSE)&lt;-2),"",#REF!),"")</f>
        <v/>
      </c>
      <c r="G398" t="str">
        <f>IFERROR(IF(OR(HLOOKUP($A398,#REF!,5,FALSE)&gt;2,HLOOKUP($A398,#REF!,5,FALSE)&lt;-2),"",#REF!),"")</f>
        <v/>
      </c>
      <c r="H398" t="str">
        <f>IFERROR(IF(OR(HLOOKUP($A398,#REF!,6,FALSE)&gt;2,HLOOKUP($A398,#REF!,6,FALSE)&lt;-2),"",#REF!),"")</f>
        <v/>
      </c>
      <c r="I398" t="str">
        <f>IFERROR(IF(OR(HLOOKUP($A398,#REF!,7,FALSE)&gt;2,HLOOKUP($A398,#REF!,7,FALSE)&lt;-2),"",#REF!),"")</f>
        <v/>
      </c>
      <c r="J398" t="str">
        <f>IFERROR(IF(OR(HLOOKUP($A398,#REF!,8,FALSE)&gt;2,HLOOKUP($A398,#REF!,8,FALSE)&lt;-2),"",#REF!),"")</f>
        <v/>
      </c>
      <c r="K398" t="str">
        <f>IFERROR(IF(OR(HLOOKUP($A398,#REF!,9,FALSE)&gt;2,HLOOKUP($A398,#REF!,9,FALSE)&lt;-2),"",#REF!),"")</f>
        <v/>
      </c>
      <c r="L398" t="str">
        <f>IFERROR(IF(OR(HLOOKUP($A398,#REF!,10,FALSE)&gt;2,HLOOKUP($A398,#REF!,10,FALSE)&lt;-2),"",#REF!),"")</f>
        <v/>
      </c>
      <c r="M398" t="str">
        <f>IFERROR(IF(OR(HLOOKUP($A398,#REF!,11,FALSE)&gt;2,HLOOKUP($A398,#REF!,11,FALSE)&lt;-2),"",#REF!),"")</f>
        <v/>
      </c>
      <c r="N398" t="str">
        <f>IFERROR(IF(OR(HLOOKUP($A398,#REF!,12,FALSE)&gt;2,HLOOKUP($A398,#REF!,12,FALSE)&lt;-2),"",#REF!),"")</f>
        <v/>
      </c>
      <c r="O398" t="str">
        <f>IFERROR(IF(OR(HLOOKUP($A398,#REF!,13,FALSE)&gt;2,HLOOKUP($A398,#REF!,13,FALSE)&lt;-2),"",#REF!),"")</f>
        <v/>
      </c>
      <c r="P398" t="str">
        <f>IFERROR(IF(OR(HLOOKUP($A398,#REF!,14,FALSE)&gt;2,HLOOKUP($A398,#REF!,14,FALSE)&lt;-2),"",#REF!),"")</f>
        <v/>
      </c>
      <c r="Q398" t="str">
        <f>IFERROR(IF(OR(HLOOKUP($A398,#REF!,15,FALSE)&gt;2,HLOOKUP($A398,#REF!,15,FALSE)&lt;-2),"",#REF!),"")</f>
        <v/>
      </c>
      <c r="R398" t="str">
        <f>IFERROR(IF(OR(HLOOKUP($A398,#REF!,16,FALSE)&gt;2,HLOOKUP($A398,#REF!,16,FALSE)&lt;-2),"",#REF!),"")</f>
        <v/>
      </c>
      <c r="S398" t="str">
        <f>IFERROR(IF(OR(HLOOKUP($A398,#REF!,17,FALSE)&gt;2,HLOOKUP($A398,#REF!,17,FALSE)&lt;-2),"",#REF!),"")</f>
        <v/>
      </c>
      <c r="T398" t="str">
        <f>IFERROR(IF(OR(HLOOKUP($A398,#REF!,18,FALSE)&gt;2,HLOOKUP($A398,#REF!,18,FALSE)&lt;-2),"",#REF!),"")</f>
        <v/>
      </c>
      <c r="U398" t="str">
        <f>IFERROR(IF(OR(HLOOKUP($A398,#REF!,19,FALSE)&gt;2,HLOOKUP($A398,#REF!,19,FALSE)&lt;-2),"",#REF!),"")</f>
        <v/>
      </c>
      <c r="V398">
        <f t="shared" si="24"/>
        <v>1</v>
      </c>
      <c r="W398" t="str">
        <f t="shared" si="25"/>
        <v/>
      </c>
      <c r="X398" t="str">
        <f t="shared" si="26"/>
        <v/>
      </c>
      <c r="Y398" t="str">
        <f t="shared" si="27"/>
        <v/>
      </c>
    </row>
    <row r="399" spans="1:25" x14ac:dyDescent="0.35">
      <c r="A399">
        <v>406</v>
      </c>
      <c r="B399" t="s">
        <v>794</v>
      </c>
      <c r="C399">
        <v>64500</v>
      </c>
      <c r="D399">
        <v>864</v>
      </c>
      <c r="E399" t="str">
        <f>IFERROR(IF(OR(HLOOKUP($A399,#REF!,3,FALSE)&gt;2,HLOOKUP(A399,#REF!,3,FALSE)&lt;-2),"",#REF!),"")</f>
        <v/>
      </c>
      <c r="F399" t="str">
        <f>IFERROR(IF(OR(HLOOKUP($A399,#REF!,4,FALSE)&gt;2,HLOOKUP($A399,#REF!,4,FALSE)&lt;-2),"",#REF!),"")</f>
        <v/>
      </c>
      <c r="G399" t="str">
        <f>IFERROR(IF(OR(HLOOKUP($A399,#REF!,5,FALSE)&gt;2,HLOOKUP($A399,#REF!,5,FALSE)&lt;-2),"",#REF!),"")</f>
        <v/>
      </c>
      <c r="H399" t="str">
        <f>IFERROR(IF(OR(HLOOKUP($A399,#REF!,6,FALSE)&gt;2,HLOOKUP($A399,#REF!,6,FALSE)&lt;-2),"",#REF!),"")</f>
        <v/>
      </c>
      <c r="I399" t="str">
        <f>IFERROR(IF(OR(HLOOKUP($A399,#REF!,7,FALSE)&gt;2,HLOOKUP($A399,#REF!,7,FALSE)&lt;-2),"",#REF!),"")</f>
        <v/>
      </c>
      <c r="J399" t="str">
        <f>IFERROR(IF(OR(HLOOKUP($A399,#REF!,8,FALSE)&gt;2,HLOOKUP($A399,#REF!,8,FALSE)&lt;-2),"",#REF!),"")</f>
        <v/>
      </c>
      <c r="K399" t="str">
        <f>IFERROR(IF(OR(HLOOKUP($A399,#REF!,9,FALSE)&gt;2,HLOOKUP($A399,#REF!,9,FALSE)&lt;-2),"",#REF!),"")</f>
        <v/>
      </c>
      <c r="L399" t="str">
        <f>IFERROR(IF(OR(HLOOKUP($A399,#REF!,10,FALSE)&gt;2,HLOOKUP($A399,#REF!,10,FALSE)&lt;-2),"",#REF!),"")</f>
        <v/>
      </c>
      <c r="M399" t="str">
        <f>IFERROR(IF(OR(HLOOKUP($A399,#REF!,11,FALSE)&gt;2,HLOOKUP($A399,#REF!,11,FALSE)&lt;-2),"",#REF!),"")</f>
        <v/>
      </c>
      <c r="N399" t="str">
        <f>IFERROR(IF(OR(HLOOKUP($A399,#REF!,12,FALSE)&gt;2,HLOOKUP($A399,#REF!,12,FALSE)&lt;-2),"",#REF!),"")</f>
        <v/>
      </c>
      <c r="O399" t="str">
        <f>IFERROR(IF(OR(HLOOKUP($A399,#REF!,13,FALSE)&gt;2,HLOOKUP($A399,#REF!,13,FALSE)&lt;-2),"",#REF!),"")</f>
        <v/>
      </c>
      <c r="P399" t="str">
        <f>IFERROR(IF(OR(HLOOKUP($A399,#REF!,14,FALSE)&gt;2,HLOOKUP($A399,#REF!,14,FALSE)&lt;-2),"",#REF!),"")</f>
        <v/>
      </c>
      <c r="Q399" t="str">
        <f>IFERROR(IF(OR(HLOOKUP($A399,#REF!,15,FALSE)&gt;2,HLOOKUP($A399,#REF!,15,FALSE)&lt;-2),"",#REF!),"")</f>
        <v/>
      </c>
      <c r="R399" t="str">
        <f>IFERROR(IF(OR(HLOOKUP($A399,#REF!,16,FALSE)&gt;2,HLOOKUP($A399,#REF!,16,FALSE)&lt;-2),"",#REF!),"")</f>
        <v/>
      </c>
      <c r="S399" t="str">
        <f>IFERROR(IF(OR(HLOOKUP($A399,#REF!,17,FALSE)&gt;2,HLOOKUP($A399,#REF!,17,FALSE)&lt;-2),"",#REF!),"")</f>
        <v/>
      </c>
      <c r="T399" t="str">
        <f>IFERROR(IF(OR(HLOOKUP($A399,#REF!,18,FALSE)&gt;2,HLOOKUP($A399,#REF!,18,FALSE)&lt;-2),"",#REF!),"")</f>
        <v/>
      </c>
      <c r="U399" t="str">
        <f>IFERROR(IF(OR(HLOOKUP($A399,#REF!,19,FALSE)&gt;2,HLOOKUP($A399,#REF!,19,FALSE)&lt;-2),"",#REF!),"")</f>
        <v/>
      </c>
      <c r="V399">
        <f t="shared" si="24"/>
        <v>1</v>
      </c>
      <c r="W399" t="str">
        <f t="shared" si="25"/>
        <v/>
      </c>
      <c r="X399" t="str">
        <f t="shared" si="26"/>
        <v/>
      </c>
      <c r="Y399" t="str">
        <f t="shared" si="27"/>
        <v/>
      </c>
    </row>
    <row r="400" spans="1:25" x14ac:dyDescent="0.35">
      <c r="A400">
        <v>407</v>
      </c>
      <c r="B400" t="s">
        <v>795</v>
      </c>
      <c r="C400">
        <v>38000</v>
      </c>
      <c r="D400">
        <v>382</v>
      </c>
      <c r="E400" t="str">
        <f>IFERROR(IF(OR(HLOOKUP($A400,#REF!,3,FALSE)&gt;2,HLOOKUP(A400,#REF!,3,FALSE)&lt;-2),"",#REF!),"")</f>
        <v/>
      </c>
      <c r="F400" t="str">
        <f>IFERROR(IF(OR(HLOOKUP($A400,#REF!,4,FALSE)&gt;2,HLOOKUP($A400,#REF!,4,FALSE)&lt;-2),"",#REF!),"")</f>
        <v/>
      </c>
      <c r="G400" t="str">
        <f>IFERROR(IF(OR(HLOOKUP($A400,#REF!,5,FALSE)&gt;2,HLOOKUP($A400,#REF!,5,FALSE)&lt;-2),"",#REF!),"")</f>
        <v/>
      </c>
      <c r="H400" t="str">
        <f>IFERROR(IF(OR(HLOOKUP($A400,#REF!,6,FALSE)&gt;2,HLOOKUP($A400,#REF!,6,FALSE)&lt;-2),"",#REF!),"")</f>
        <v/>
      </c>
      <c r="I400" t="str">
        <f>IFERROR(IF(OR(HLOOKUP($A400,#REF!,7,FALSE)&gt;2,HLOOKUP($A400,#REF!,7,FALSE)&lt;-2),"",#REF!),"")</f>
        <v/>
      </c>
      <c r="J400" t="str">
        <f>IFERROR(IF(OR(HLOOKUP($A400,#REF!,8,FALSE)&gt;2,HLOOKUP($A400,#REF!,8,FALSE)&lt;-2),"",#REF!),"")</f>
        <v/>
      </c>
      <c r="K400" t="str">
        <f>IFERROR(IF(OR(HLOOKUP($A400,#REF!,9,FALSE)&gt;2,HLOOKUP($A400,#REF!,9,FALSE)&lt;-2),"",#REF!),"")</f>
        <v/>
      </c>
      <c r="L400" t="str">
        <f>IFERROR(IF(OR(HLOOKUP($A400,#REF!,10,FALSE)&gt;2,HLOOKUP($A400,#REF!,10,FALSE)&lt;-2),"",#REF!),"")</f>
        <v/>
      </c>
      <c r="M400" t="str">
        <f>IFERROR(IF(OR(HLOOKUP($A400,#REF!,11,FALSE)&gt;2,HLOOKUP($A400,#REF!,11,FALSE)&lt;-2),"",#REF!),"")</f>
        <v/>
      </c>
      <c r="N400" t="str">
        <f>IFERROR(IF(OR(HLOOKUP($A400,#REF!,12,FALSE)&gt;2,HLOOKUP($A400,#REF!,12,FALSE)&lt;-2),"",#REF!),"")</f>
        <v/>
      </c>
      <c r="O400" t="str">
        <f>IFERROR(IF(OR(HLOOKUP($A400,#REF!,13,FALSE)&gt;2,HLOOKUP($A400,#REF!,13,FALSE)&lt;-2),"",#REF!),"")</f>
        <v/>
      </c>
      <c r="P400" t="str">
        <f>IFERROR(IF(OR(HLOOKUP($A400,#REF!,14,FALSE)&gt;2,HLOOKUP($A400,#REF!,14,FALSE)&lt;-2),"",#REF!),"")</f>
        <v/>
      </c>
      <c r="Q400" t="str">
        <f>IFERROR(IF(OR(HLOOKUP($A400,#REF!,15,FALSE)&gt;2,HLOOKUP($A400,#REF!,15,FALSE)&lt;-2),"",#REF!),"")</f>
        <v/>
      </c>
      <c r="R400" t="str">
        <f>IFERROR(IF(OR(HLOOKUP($A400,#REF!,16,FALSE)&gt;2,HLOOKUP($A400,#REF!,16,FALSE)&lt;-2),"",#REF!),"")</f>
        <v/>
      </c>
      <c r="S400" t="str">
        <f>IFERROR(IF(OR(HLOOKUP($A400,#REF!,17,FALSE)&gt;2,HLOOKUP($A400,#REF!,17,FALSE)&lt;-2),"",#REF!),"")</f>
        <v/>
      </c>
      <c r="T400" t="str">
        <f>IFERROR(IF(OR(HLOOKUP($A400,#REF!,18,FALSE)&gt;2,HLOOKUP($A400,#REF!,18,FALSE)&lt;-2),"",#REF!),"")</f>
        <v/>
      </c>
      <c r="U400" t="str">
        <f>IFERROR(IF(OR(HLOOKUP($A400,#REF!,19,FALSE)&gt;2,HLOOKUP($A400,#REF!,19,FALSE)&lt;-2),"",#REF!),"")</f>
        <v/>
      </c>
      <c r="V400">
        <f t="shared" si="24"/>
        <v>1</v>
      </c>
      <c r="W400" t="str">
        <f t="shared" si="25"/>
        <v/>
      </c>
      <c r="X400" t="str">
        <f t="shared" si="26"/>
        <v/>
      </c>
      <c r="Y400" t="str">
        <f t="shared" si="27"/>
        <v/>
      </c>
    </row>
    <row r="401" spans="1:25" x14ac:dyDescent="0.35">
      <c r="A401">
        <v>408</v>
      </c>
      <c r="B401" t="s">
        <v>796</v>
      </c>
      <c r="C401">
        <v>36600</v>
      </c>
      <c r="D401">
        <v>788</v>
      </c>
      <c r="E401" t="str">
        <f>IFERROR(IF(OR(HLOOKUP($A401,#REF!,3,FALSE)&gt;2,HLOOKUP(A401,#REF!,3,FALSE)&lt;-2),"",#REF!),"")</f>
        <v/>
      </c>
      <c r="F401" t="str">
        <f>IFERROR(IF(OR(HLOOKUP($A401,#REF!,4,FALSE)&gt;2,HLOOKUP($A401,#REF!,4,FALSE)&lt;-2),"",#REF!),"")</f>
        <v/>
      </c>
      <c r="G401" t="str">
        <f>IFERROR(IF(OR(HLOOKUP($A401,#REF!,5,FALSE)&gt;2,HLOOKUP($A401,#REF!,5,FALSE)&lt;-2),"",#REF!),"")</f>
        <v/>
      </c>
      <c r="H401" t="str">
        <f>IFERROR(IF(OR(HLOOKUP($A401,#REF!,6,FALSE)&gt;2,HLOOKUP($A401,#REF!,6,FALSE)&lt;-2),"",#REF!),"")</f>
        <v/>
      </c>
      <c r="I401" t="str">
        <f>IFERROR(IF(OR(HLOOKUP($A401,#REF!,7,FALSE)&gt;2,HLOOKUP($A401,#REF!,7,FALSE)&lt;-2),"",#REF!),"")</f>
        <v/>
      </c>
      <c r="J401" t="str">
        <f>IFERROR(IF(OR(HLOOKUP($A401,#REF!,8,FALSE)&gt;2,HLOOKUP($A401,#REF!,8,FALSE)&lt;-2),"",#REF!),"")</f>
        <v/>
      </c>
      <c r="K401" t="str">
        <f>IFERROR(IF(OR(HLOOKUP($A401,#REF!,9,FALSE)&gt;2,HLOOKUP($A401,#REF!,9,FALSE)&lt;-2),"",#REF!),"")</f>
        <v/>
      </c>
      <c r="L401" t="str">
        <f>IFERROR(IF(OR(HLOOKUP($A401,#REF!,10,FALSE)&gt;2,HLOOKUP($A401,#REF!,10,FALSE)&lt;-2),"",#REF!),"")</f>
        <v/>
      </c>
      <c r="M401" t="str">
        <f>IFERROR(IF(OR(HLOOKUP($A401,#REF!,11,FALSE)&gt;2,HLOOKUP($A401,#REF!,11,FALSE)&lt;-2),"",#REF!),"")</f>
        <v/>
      </c>
      <c r="N401" t="str">
        <f>IFERROR(IF(OR(HLOOKUP($A401,#REF!,12,FALSE)&gt;2,HLOOKUP($A401,#REF!,12,FALSE)&lt;-2),"",#REF!),"")</f>
        <v/>
      </c>
      <c r="O401" t="str">
        <f>IFERROR(IF(OR(HLOOKUP($A401,#REF!,13,FALSE)&gt;2,HLOOKUP($A401,#REF!,13,FALSE)&lt;-2),"",#REF!),"")</f>
        <v/>
      </c>
      <c r="P401" t="str">
        <f>IFERROR(IF(OR(HLOOKUP($A401,#REF!,14,FALSE)&gt;2,HLOOKUP($A401,#REF!,14,FALSE)&lt;-2),"",#REF!),"")</f>
        <v/>
      </c>
      <c r="Q401" t="str">
        <f>IFERROR(IF(OR(HLOOKUP($A401,#REF!,15,FALSE)&gt;2,HLOOKUP($A401,#REF!,15,FALSE)&lt;-2),"",#REF!),"")</f>
        <v/>
      </c>
      <c r="R401" t="str">
        <f>IFERROR(IF(OR(HLOOKUP($A401,#REF!,16,FALSE)&gt;2,HLOOKUP($A401,#REF!,16,FALSE)&lt;-2),"",#REF!),"")</f>
        <v/>
      </c>
      <c r="S401" t="str">
        <f>IFERROR(IF(OR(HLOOKUP($A401,#REF!,17,FALSE)&gt;2,HLOOKUP($A401,#REF!,17,FALSE)&lt;-2),"",#REF!),"")</f>
        <v/>
      </c>
      <c r="T401" t="str">
        <f>IFERROR(IF(OR(HLOOKUP($A401,#REF!,18,FALSE)&gt;2,HLOOKUP($A401,#REF!,18,FALSE)&lt;-2),"",#REF!),"")</f>
        <v/>
      </c>
      <c r="U401" t="str">
        <f>IFERROR(IF(OR(HLOOKUP($A401,#REF!,19,FALSE)&gt;2,HLOOKUP($A401,#REF!,19,FALSE)&lt;-2),"",#REF!),"")</f>
        <v/>
      </c>
      <c r="V401">
        <f t="shared" si="24"/>
        <v>1</v>
      </c>
      <c r="W401" t="str">
        <f t="shared" si="25"/>
        <v/>
      </c>
      <c r="X401" t="str">
        <f t="shared" si="26"/>
        <v/>
      </c>
      <c r="Y401" t="str">
        <f t="shared" si="27"/>
        <v/>
      </c>
    </row>
    <row r="402" spans="1:25" x14ac:dyDescent="0.35">
      <c r="A402">
        <v>409</v>
      </c>
      <c r="B402" t="s">
        <v>797</v>
      </c>
      <c r="C402">
        <v>15500</v>
      </c>
      <c r="D402">
        <v>669</v>
      </c>
      <c r="E402" t="str">
        <f>IFERROR(IF(OR(HLOOKUP($A402,#REF!,3,FALSE)&gt;2,HLOOKUP(A402,#REF!,3,FALSE)&lt;-2),"",#REF!),"")</f>
        <v/>
      </c>
      <c r="F402" t="str">
        <f>IFERROR(IF(OR(HLOOKUP($A402,#REF!,4,FALSE)&gt;2,HLOOKUP($A402,#REF!,4,FALSE)&lt;-2),"",#REF!),"")</f>
        <v/>
      </c>
      <c r="G402" t="str">
        <f>IFERROR(IF(OR(HLOOKUP($A402,#REF!,5,FALSE)&gt;2,HLOOKUP($A402,#REF!,5,FALSE)&lt;-2),"",#REF!),"")</f>
        <v/>
      </c>
      <c r="H402" t="str">
        <f>IFERROR(IF(OR(HLOOKUP($A402,#REF!,6,FALSE)&gt;2,HLOOKUP($A402,#REF!,6,FALSE)&lt;-2),"",#REF!),"")</f>
        <v/>
      </c>
      <c r="I402" t="str">
        <f>IFERROR(IF(OR(HLOOKUP($A402,#REF!,7,FALSE)&gt;2,HLOOKUP($A402,#REF!,7,FALSE)&lt;-2),"",#REF!),"")</f>
        <v/>
      </c>
      <c r="J402" t="str">
        <f>IFERROR(IF(OR(HLOOKUP($A402,#REF!,8,FALSE)&gt;2,HLOOKUP($A402,#REF!,8,FALSE)&lt;-2),"",#REF!),"")</f>
        <v/>
      </c>
      <c r="K402" t="str">
        <f>IFERROR(IF(OR(HLOOKUP($A402,#REF!,9,FALSE)&gt;2,HLOOKUP($A402,#REF!,9,FALSE)&lt;-2),"",#REF!),"")</f>
        <v/>
      </c>
      <c r="L402" t="str">
        <f>IFERROR(IF(OR(HLOOKUP($A402,#REF!,10,FALSE)&gt;2,HLOOKUP($A402,#REF!,10,FALSE)&lt;-2),"",#REF!),"")</f>
        <v/>
      </c>
      <c r="M402" t="str">
        <f>IFERROR(IF(OR(HLOOKUP($A402,#REF!,11,FALSE)&gt;2,HLOOKUP($A402,#REF!,11,FALSE)&lt;-2),"",#REF!),"")</f>
        <v/>
      </c>
      <c r="N402" t="str">
        <f>IFERROR(IF(OR(HLOOKUP($A402,#REF!,12,FALSE)&gt;2,HLOOKUP($A402,#REF!,12,FALSE)&lt;-2),"",#REF!),"")</f>
        <v/>
      </c>
      <c r="O402" t="str">
        <f>IFERROR(IF(OR(HLOOKUP($A402,#REF!,13,FALSE)&gt;2,HLOOKUP($A402,#REF!,13,FALSE)&lt;-2),"",#REF!),"")</f>
        <v/>
      </c>
      <c r="P402" t="str">
        <f>IFERROR(IF(OR(HLOOKUP($A402,#REF!,14,FALSE)&gt;2,HLOOKUP($A402,#REF!,14,FALSE)&lt;-2),"",#REF!),"")</f>
        <v/>
      </c>
      <c r="Q402" t="str">
        <f>IFERROR(IF(OR(HLOOKUP($A402,#REF!,15,FALSE)&gt;2,HLOOKUP($A402,#REF!,15,FALSE)&lt;-2),"",#REF!),"")</f>
        <v/>
      </c>
      <c r="R402" t="str">
        <f>IFERROR(IF(OR(HLOOKUP($A402,#REF!,16,FALSE)&gt;2,HLOOKUP($A402,#REF!,16,FALSE)&lt;-2),"",#REF!),"")</f>
        <v/>
      </c>
      <c r="S402" t="str">
        <f>IFERROR(IF(OR(HLOOKUP($A402,#REF!,17,FALSE)&gt;2,HLOOKUP($A402,#REF!,17,FALSE)&lt;-2),"",#REF!),"")</f>
        <v/>
      </c>
      <c r="T402" t="str">
        <f>IFERROR(IF(OR(HLOOKUP($A402,#REF!,18,FALSE)&gt;2,HLOOKUP($A402,#REF!,18,FALSE)&lt;-2),"",#REF!),"")</f>
        <v/>
      </c>
      <c r="U402" t="str">
        <f>IFERROR(IF(OR(HLOOKUP($A402,#REF!,19,FALSE)&gt;2,HLOOKUP($A402,#REF!,19,FALSE)&lt;-2),"",#REF!),"")</f>
        <v/>
      </c>
      <c r="V402">
        <f t="shared" si="24"/>
        <v>1</v>
      </c>
      <c r="W402" t="str">
        <f t="shared" si="25"/>
        <v/>
      </c>
      <c r="X402" t="str">
        <f t="shared" si="26"/>
        <v/>
      </c>
      <c r="Y402" t="str">
        <f t="shared" si="27"/>
        <v/>
      </c>
    </row>
    <row r="403" spans="1:25" x14ac:dyDescent="0.35">
      <c r="A403">
        <v>410</v>
      </c>
      <c r="B403" t="s">
        <v>798</v>
      </c>
      <c r="C403">
        <v>105700</v>
      </c>
      <c r="D403">
        <v>490</v>
      </c>
      <c r="E403" t="str">
        <f>IFERROR(IF(OR(HLOOKUP($A403,#REF!,3,FALSE)&gt;2,HLOOKUP(A403,#REF!,3,FALSE)&lt;-2),"",#REF!),"")</f>
        <v/>
      </c>
      <c r="F403" t="str">
        <f>IFERROR(IF(OR(HLOOKUP($A403,#REF!,4,FALSE)&gt;2,HLOOKUP($A403,#REF!,4,FALSE)&lt;-2),"",#REF!),"")</f>
        <v/>
      </c>
      <c r="G403" t="str">
        <f>IFERROR(IF(OR(HLOOKUP($A403,#REF!,5,FALSE)&gt;2,HLOOKUP($A403,#REF!,5,FALSE)&lt;-2),"",#REF!),"")</f>
        <v/>
      </c>
      <c r="H403" t="str">
        <f>IFERROR(IF(OR(HLOOKUP($A403,#REF!,6,FALSE)&gt;2,HLOOKUP($A403,#REF!,6,FALSE)&lt;-2),"",#REF!),"")</f>
        <v/>
      </c>
      <c r="I403" t="str">
        <f>IFERROR(IF(OR(HLOOKUP($A403,#REF!,7,FALSE)&gt;2,HLOOKUP($A403,#REF!,7,FALSE)&lt;-2),"",#REF!),"")</f>
        <v/>
      </c>
      <c r="J403" t="str">
        <f>IFERROR(IF(OR(HLOOKUP($A403,#REF!,8,FALSE)&gt;2,HLOOKUP($A403,#REF!,8,FALSE)&lt;-2),"",#REF!),"")</f>
        <v/>
      </c>
      <c r="K403" t="str">
        <f>IFERROR(IF(OR(HLOOKUP($A403,#REF!,9,FALSE)&gt;2,HLOOKUP($A403,#REF!,9,FALSE)&lt;-2),"",#REF!),"")</f>
        <v/>
      </c>
      <c r="L403" t="str">
        <f>IFERROR(IF(OR(HLOOKUP($A403,#REF!,10,FALSE)&gt;2,HLOOKUP($A403,#REF!,10,FALSE)&lt;-2),"",#REF!),"")</f>
        <v/>
      </c>
      <c r="M403" t="str">
        <f>IFERROR(IF(OR(HLOOKUP($A403,#REF!,11,FALSE)&gt;2,HLOOKUP($A403,#REF!,11,FALSE)&lt;-2),"",#REF!),"")</f>
        <v/>
      </c>
      <c r="N403" t="str">
        <f>IFERROR(IF(OR(HLOOKUP($A403,#REF!,12,FALSE)&gt;2,HLOOKUP($A403,#REF!,12,FALSE)&lt;-2),"",#REF!),"")</f>
        <v/>
      </c>
      <c r="O403" t="str">
        <f>IFERROR(IF(OR(HLOOKUP($A403,#REF!,13,FALSE)&gt;2,HLOOKUP($A403,#REF!,13,FALSE)&lt;-2),"",#REF!),"")</f>
        <v/>
      </c>
      <c r="P403" t="str">
        <f>IFERROR(IF(OR(HLOOKUP($A403,#REF!,14,FALSE)&gt;2,HLOOKUP($A403,#REF!,14,FALSE)&lt;-2),"",#REF!),"")</f>
        <v/>
      </c>
      <c r="Q403" t="str">
        <f>IFERROR(IF(OR(HLOOKUP($A403,#REF!,15,FALSE)&gt;2,HLOOKUP($A403,#REF!,15,FALSE)&lt;-2),"",#REF!),"")</f>
        <v/>
      </c>
      <c r="R403" t="str">
        <f>IFERROR(IF(OR(HLOOKUP($A403,#REF!,16,FALSE)&gt;2,HLOOKUP($A403,#REF!,16,FALSE)&lt;-2),"",#REF!),"")</f>
        <v/>
      </c>
      <c r="S403" t="str">
        <f>IFERROR(IF(OR(HLOOKUP($A403,#REF!,17,FALSE)&gt;2,HLOOKUP($A403,#REF!,17,FALSE)&lt;-2),"",#REF!),"")</f>
        <v/>
      </c>
      <c r="T403" t="str">
        <f>IFERROR(IF(OR(HLOOKUP($A403,#REF!,18,FALSE)&gt;2,HLOOKUP($A403,#REF!,18,FALSE)&lt;-2),"",#REF!),"")</f>
        <v/>
      </c>
      <c r="U403" t="str">
        <f>IFERROR(IF(OR(HLOOKUP($A403,#REF!,19,FALSE)&gt;2,HLOOKUP($A403,#REF!,19,FALSE)&lt;-2),"",#REF!),"")</f>
        <v/>
      </c>
      <c r="V403">
        <f t="shared" si="24"/>
        <v>1</v>
      </c>
      <c r="W403" t="str">
        <f t="shared" si="25"/>
        <v/>
      </c>
      <c r="X403" t="str">
        <f t="shared" si="26"/>
        <v/>
      </c>
      <c r="Y403" t="str">
        <f t="shared" si="27"/>
        <v/>
      </c>
    </row>
    <row r="404" spans="1:25" x14ac:dyDescent="0.35">
      <c r="A404">
        <v>411</v>
      </c>
      <c r="B404" t="s">
        <v>799</v>
      </c>
      <c r="C404">
        <v>50900</v>
      </c>
      <c r="D404">
        <v>403</v>
      </c>
      <c r="E404" t="str">
        <f>IFERROR(IF(OR(HLOOKUP($A404,#REF!,3,FALSE)&gt;2,HLOOKUP(A404,#REF!,3,FALSE)&lt;-2),"",#REF!),"")</f>
        <v/>
      </c>
      <c r="F404" t="str">
        <f>IFERROR(IF(OR(HLOOKUP($A404,#REF!,4,FALSE)&gt;2,HLOOKUP($A404,#REF!,4,FALSE)&lt;-2),"",#REF!),"")</f>
        <v/>
      </c>
      <c r="G404" t="str">
        <f>IFERROR(IF(OR(HLOOKUP($A404,#REF!,5,FALSE)&gt;2,HLOOKUP($A404,#REF!,5,FALSE)&lt;-2),"",#REF!),"")</f>
        <v/>
      </c>
      <c r="H404" t="str">
        <f>IFERROR(IF(OR(HLOOKUP($A404,#REF!,6,FALSE)&gt;2,HLOOKUP($A404,#REF!,6,FALSE)&lt;-2),"",#REF!),"")</f>
        <v/>
      </c>
      <c r="I404" t="str">
        <f>IFERROR(IF(OR(HLOOKUP($A404,#REF!,7,FALSE)&gt;2,HLOOKUP($A404,#REF!,7,FALSE)&lt;-2),"",#REF!),"")</f>
        <v/>
      </c>
      <c r="J404" t="str">
        <f>IFERROR(IF(OR(HLOOKUP($A404,#REF!,8,FALSE)&gt;2,HLOOKUP($A404,#REF!,8,FALSE)&lt;-2),"",#REF!),"")</f>
        <v/>
      </c>
      <c r="K404" t="str">
        <f>IFERROR(IF(OR(HLOOKUP($A404,#REF!,9,FALSE)&gt;2,HLOOKUP($A404,#REF!,9,FALSE)&lt;-2),"",#REF!),"")</f>
        <v/>
      </c>
      <c r="L404" t="str">
        <f>IFERROR(IF(OR(HLOOKUP($A404,#REF!,10,FALSE)&gt;2,HLOOKUP($A404,#REF!,10,FALSE)&lt;-2),"",#REF!),"")</f>
        <v/>
      </c>
      <c r="M404" t="str">
        <f>IFERROR(IF(OR(HLOOKUP($A404,#REF!,11,FALSE)&gt;2,HLOOKUP($A404,#REF!,11,FALSE)&lt;-2),"",#REF!),"")</f>
        <v/>
      </c>
      <c r="N404" t="str">
        <f>IFERROR(IF(OR(HLOOKUP($A404,#REF!,12,FALSE)&gt;2,HLOOKUP($A404,#REF!,12,FALSE)&lt;-2),"",#REF!),"")</f>
        <v/>
      </c>
      <c r="O404" t="str">
        <f>IFERROR(IF(OR(HLOOKUP($A404,#REF!,13,FALSE)&gt;2,HLOOKUP($A404,#REF!,13,FALSE)&lt;-2),"",#REF!),"")</f>
        <v/>
      </c>
      <c r="P404" t="str">
        <f>IFERROR(IF(OR(HLOOKUP($A404,#REF!,14,FALSE)&gt;2,HLOOKUP($A404,#REF!,14,FALSE)&lt;-2),"",#REF!),"")</f>
        <v/>
      </c>
      <c r="Q404" t="str">
        <f>IFERROR(IF(OR(HLOOKUP($A404,#REF!,15,FALSE)&gt;2,HLOOKUP($A404,#REF!,15,FALSE)&lt;-2),"",#REF!),"")</f>
        <v/>
      </c>
      <c r="R404" t="str">
        <f>IFERROR(IF(OR(HLOOKUP($A404,#REF!,16,FALSE)&gt;2,HLOOKUP($A404,#REF!,16,FALSE)&lt;-2),"",#REF!),"")</f>
        <v/>
      </c>
      <c r="S404" t="str">
        <f>IFERROR(IF(OR(HLOOKUP($A404,#REF!,17,FALSE)&gt;2,HLOOKUP($A404,#REF!,17,FALSE)&lt;-2),"",#REF!),"")</f>
        <v/>
      </c>
      <c r="T404" t="str">
        <f>IFERROR(IF(OR(HLOOKUP($A404,#REF!,18,FALSE)&gt;2,HLOOKUP($A404,#REF!,18,FALSE)&lt;-2),"",#REF!),"")</f>
        <v/>
      </c>
      <c r="U404" t="str">
        <f>IFERROR(IF(OR(HLOOKUP($A404,#REF!,19,FALSE)&gt;2,HLOOKUP($A404,#REF!,19,FALSE)&lt;-2),"",#REF!),"")</f>
        <v/>
      </c>
      <c r="V404">
        <f t="shared" si="24"/>
        <v>1</v>
      </c>
      <c r="W404" t="str">
        <f t="shared" si="25"/>
        <v/>
      </c>
      <c r="X404" t="str">
        <f t="shared" si="26"/>
        <v/>
      </c>
      <c r="Y404" t="str">
        <f t="shared" si="27"/>
        <v/>
      </c>
    </row>
    <row r="405" spans="1:25" x14ac:dyDescent="0.35">
      <c r="A405">
        <v>412</v>
      </c>
      <c r="B405" t="s">
        <v>208</v>
      </c>
      <c r="C405">
        <v>21600</v>
      </c>
      <c r="D405">
        <v>723</v>
      </c>
      <c r="E405" t="str">
        <f>IFERROR(IF(OR(HLOOKUP($A405,#REF!,3,FALSE)&gt;2,HLOOKUP(A405,#REF!,3,FALSE)&lt;-2),"",#REF!),"")</f>
        <v/>
      </c>
      <c r="F405" t="str">
        <f>IFERROR(IF(OR(HLOOKUP($A405,#REF!,4,FALSE)&gt;2,HLOOKUP($A405,#REF!,4,FALSE)&lt;-2),"",#REF!),"")</f>
        <v/>
      </c>
      <c r="G405" t="str">
        <f>IFERROR(IF(OR(HLOOKUP($A405,#REF!,5,FALSE)&gt;2,HLOOKUP($A405,#REF!,5,FALSE)&lt;-2),"",#REF!),"")</f>
        <v/>
      </c>
      <c r="H405" t="str">
        <f>IFERROR(IF(OR(HLOOKUP($A405,#REF!,6,FALSE)&gt;2,HLOOKUP($A405,#REF!,6,FALSE)&lt;-2),"",#REF!),"")</f>
        <v/>
      </c>
      <c r="I405" t="str">
        <f>IFERROR(IF(OR(HLOOKUP($A405,#REF!,7,FALSE)&gt;2,HLOOKUP($A405,#REF!,7,FALSE)&lt;-2),"",#REF!),"")</f>
        <v/>
      </c>
      <c r="J405" t="str">
        <f>IFERROR(IF(OR(HLOOKUP($A405,#REF!,8,FALSE)&gt;2,HLOOKUP($A405,#REF!,8,FALSE)&lt;-2),"",#REF!),"")</f>
        <v/>
      </c>
      <c r="K405" t="str">
        <f>IFERROR(IF(OR(HLOOKUP($A405,#REF!,9,FALSE)&gt;2,HLOOKUP($A405,#REF!,9,FALSE)&lt;-2),"",#REF!),"")</f>
        <v/>
      </c>
      <c r="L405" t="str">
        <f>IFERROR(IF(OR(HLOOKUP($A405,#REF!,10,FALSE)&gt;2,HLOOKUP($A405,#REF!,10,FALSE)&lt;-2),"",#REF!),"")</f>
        <v/>
      </c>
      <c r="M405" t="str">
        <f>IFERROR(IF(OR(HLOOKUP($A405,#REF!,11,FALSE)&gt;2,HLOOKUP($A405,#REF!,11,FALSE)&lt;-2),"",#REF!),"")</f>
        <v/>
      </c>
      <c r="N405" t="str">
        <f>IFERROR(IF(OR(HLOOKUP($A405,#REF!,12,FALSE)&gt;2,HLOOKUP($A405,#REF!,12,FALSE)&lt;-2),"",#REF!),"")</f>
        <v/>
      </c>
      <c r="O405" t="str">
        <f>IFERROR(IF(OR(HLOOKUP($A405,#REF!,13,FALSE)&gt;2,HLOOKUP($A405,#REF!,13,FALSE)&lt;-2),"",#REF!),"")</f>
        <v/>
      </c>
      <c r="P405" t="str">
        <f>IFERROR(IF(OR(HLOOKUP($A405,#REF!,14,FALSE)&gt;2,HLOOKUP($A405,#REF!,14,FALSE)&lt;-2),"",#REF!),"")</f>
        <v/>
      </c>
      <c r="Q405" t="str">
        <f>IFERROR(IF(OR(HLOOKUP($A405,#REF!,15,FALSE)&gt;2,HLOOKUP($A405,#REF!,15,FALSE)&lt;-2),"",#REF!),"")</f>
        <v/>
      </c>
      <c r="R405" t="str">
        <f>IFERROR(IF(OR(HLOOKUP($A405,#REF!,16,FALSE)&gt;2,HLOOKUP($A405,#REF!,16,FALSE)&lt;-2),"",#REF!),"")</f>
        <v/>
      </c>
      <c r="S405" t="str">
        <f>IFERROR(IF(OR(HLOOKUP($A405,#REF!,17,FALSE)&gt;2,HLOOKUP($A405,#REF!,17,FALSE)&lt;-2),"",#REF!),"")</f>
        <v/>
      </c>
      <c r="T405" t="str">
        <f>IFERROR(IF(OR(HLOOKUP($A405,#REF!,18,FALSE)&gt;2,HLOOKUP($A405,#REF!,18,FALSE)&lt;-2),"",#REF!),"")</f>
        <v/>
      </c>
      <c r="U405" t="str">
        <f>IFERROR(IF(OR(HLOOKUP($A405,#REF!,19,FALSE)&gt;2,HLOOKUP($A405,#REF!,19,FALSE)&lt;-2),"",#REF!),"")</f>
        <v/>
      </c>
      <c r="V405">
        <f t="shared" si="24"/>
        <v>1</v>
      </c>
      <c r="W405" t="str">
        <f t="shared" si="25"/>
        <v/>
      </c>
      <c r="X405" t="str">
        <f t="shared" si="26"/>
        <v/>
      </c>
      <c r="Y405" t="str">
        <f t="shared" si="27"/>
        <v/>
      </c>
    </row>
    <row r="406" spans="1:25" x14ac:dyDescent="0.35">
      <c r="A406">
        <v>413</v>
      </c>
      <c r="B406" t="s">
        <v>209</v>
      </c>
      <c r="C406">
        <v>100600</v>
      </c>
      <c r="D406">
        <v>933</v>
      </c>
      <c r="E406" t="str">
        <f>IFERROR(IF(OR(HLOOKUP($A406,#REF!,3,FALSE)&gt;2,HLOOKUP(A406,#REF!,3,FALSE)&lt;-2),"",#REF!),"")</f>
        <v/>
      </c>
      <c r="F406" t="str">
        <f>IFERROR(IF(OR(HLOOKUP($A406,#REF!,4,FALSE)&gt;2,HLOOKUP($A406,#REF!,4,FALSE)&lt;-2),"",#REF!),"")</f>
        <v/>
      </c>
      <c r="G406" t="str">
        <f>IFERROR(IF(OR(HLOOKUP($A406,#REF!,5,FALSE)&gt;2,HLOOKUP($A406,#REF!,5,FALSE)&lt;-2),"",#REF!),"")</f>
        <v/>
      </c>
      <c r="H406" t="str">
        <f>IFERROR(IF(OR(HLOOKUP($A406,#REF!,6,FALSE)&gt;2,HLOOKUP($A406,#REF!,6,FALSE)&lt;-2),"",#REF!),"")</f>
        <v/>
      </c>
      <c r="I406" t="str">
        <f>IFERROR(IF(OR(HLOOKUP($A406,#REF!,7,FALSE)&gt;2,HLOOKUP($A406,#REF!,7,FALSE)&lt;-2),"",#REF!),"")</f>
        <v/>
      </c>
      <c r="J406" t="str">
        <f>IFERROR(IF(OR(HLOOKUP($A406,#REF!,8,FALSE)&gt;2,HLOOKUP($A406,#REF!,8,FALSE)&lt;-2),"",#REF!),"")</f>
        <v/>
      </c>
      <c r="K406" t="str">
        <f>IFERROR(IF(OR(HLOOKUP($A406,#REF!,9,FALSE)&gt;2,HLOOKUP($A406,#REF!,9,FALSE)&lt;-2),"",#REF!),"")</f>
        <v/>
      </c>
      <c r="L406" t="str">
        <f>IFERROR(IF(OR(HLOOKUP($A406,#REF!,10,FALSE)&gt;2,HLOOKUP($A406,#REF!,10,FALSE)&lt;-2),"",#REF!),"")</f>
        <v/>
      </c>
      <c r="M406" t="str">
        <f>IFERROR(IF(OR(HLOOKUP($A406,#REF!,11,FALSE)&gt;2,HLOOKUP($A406,#REF!,11,FALSE)&lt;-2),"",#REF!),"")</f>
        <v/>
      </c>
      <c r="N406" t="str">
        <f>IFERROR(IF(OR(HLOOKUP($A406,#REF!,12,FALSE)&gt;2,HLOOKUP($A406,#REF!,12,FALSE)&lt;-2),"",#REF!),"")</f>
        <v/>
      </c>
      <c r="O406" t="str">
        <f>IFERROR(IF(OR(HLOOKUP($A406,#REF!,13,FALSE)&gt;2,HLOOKUP($A406,#REF!,13,FALSE)&lt;-2),"",#REF!),"")</f>
        <v/>
      </c>
      <c r="P406" t="str">
        <f>IFERROR(IF(OR(HLOOKUP($A406,#REF!,14,FALSE)&gt;2,HLOOKUP($A406,#REF!,14,FALSE)&lt;-2),"",#REF!),"")</f>
        <v/>
      </c>
      <c r="Q406" t="str">
        <f>IFERROR(IF(OR(HLOOKUP($A406,#REF!,15,FALSE)&gt;2,HLOOKUP($A406,#REF!,15,FALSE)&lt;-2),"",#REF!),"")</f>
        <v/>
      </c>
      <c r="R406" t="str">
        <f>IFERROR(IF(OR(HLOOKUP($A406,#REF!,16,FALSE)&gt;2,HLOOKUP($A406,#REF!,16,FALSE)&lt;-2),"",#REF!),"")</f>
        <v/>
      </c>
      <c r="S406" t="str">
        <f>IFERROR(IF(OR(HLOOKUP($A406,#REF!,17,FALSE)&gt;2,HLOOKUP($A406,#REF!,17,FALSE)&lt;-2),"",#REF!),"")</f>
        <v/>
      </c>
      <c r="T406" t="str">
        <f>IFERROR(IF(OR(HLOOKUP($A406,#REF!,18,FALSE)&gt;2,HLOOKUP($A406,#REF!,18,FALSE)&lt;-2),"",#REF!),"")</f>
        <v/>
      </c>
      <c r="U406" t="str">
        <f>IFERROR(IF(OR(HLOOKUP($A406,#REF!,19,FALSE)&gt;2,HLOOKUP($A406,#REF!,19,FALSE)&lt;-2),"",#REF!),"")</f>
        <v/>
      </c>
      <c r="V406">
        <f t="shared" si="24"/>
        <v>1</v>
      </c>
      <c r="W406" t="str">
        <f t="shared" si="25"/>
        <v/>
      </c>
      <c r="X406" t="str">
        <f t="shared" si="26"/>
        <v/>
      </c>
      <c r="Y406" t="str">
        <f t="shared" si="27"/>
        <v/>
      </c>
    </row>
    <row r="407" spans="1:25" x14ac:dyDescent="0.35">
      <c r="A407">
        <v>414</v>
      </c>
      <c r="B407" t="s">
        <v>210</v>
      </c>
      <c r="C407">
        <v>64600</v>
      </c>
      <c r="D407">
        <v>406</v>
      </c>
      <c r="E407" t="str">
        <f>IFERROR(IF(OR(HLOOKUP($A407,#REF!,3,FALSE)&gt;2,HLOOKUP(A407,#REF!,3,FALSE)&lt;-2),"",#REF!),"")</f>
        <v/>
      </c>
      <c r="F407" t="str">
        <f>IFERROR(IF(OR(HLOOKUP($A407,#REF!,4,FALSE)&gt;2,HLOOKUP($A407,#REF!,4,FALSE)&lt;-2),"",#REF!),"")</f>
        <v/>
      </c>
      <c r="G407" t="str">
        <f>IFERROR(IF(OR(HLOOKUP($A407,#REF!,5,FALSE)&gt;2,HLOOKUP($A407,#REF!,5,FALSE)&lt;-2),"",#REF!),"")</f>
        <v/>
      </c>
      <c r="H407" t="str">
        <f>IFERROR(IF(OR(HLOOKUP($A407,#REF!,6,FALSE)&gt;2,HLOOKUP($A407,#REF!,6,FALSE)&lt;-2),"",#REF!),"")</f>
        <v/>
      </c>
      <c r="I407" t="str">
        <f>IFERROR(IF(OR(HLOOKUP($A407,#REF!,7,FALSE)&gt;2,HLOOKUP($A407,#REF!,7,FALSE)&lt;-2),"",#REF!),"")</f>
        <v/>
      </c>
      <c r="J407" t="str">
        <f>IFERROR(IF(OR(HLOOKUP($A407,#REF!,8,FALSE)&gt;2,HLOOKUP($A407,#REF!,8,FALSE)&lt;-2),"",#REF!),"")</f>
        <v/>
      </c>
      <c r="K407" t="str">
        <f>IFERROR(IF(OR(HLOOKUP($A407,#REF!,9,FALSE)&gt;2,HLOOKUP($A407,#REF!,9,FALSE)&lt;-2),"",#REF!),"")</f>
        <v/>
      </c>
      <c r="L407" t="str">
        <f>IFERROR(IF(OR(HLOOKUP($A407,#REF!,10,FALSE)&gt;2,HLOOKUP($A407,#REF!,10,FALSE)&lt;-2),"",#REF!),"")</f>
        <v/>
      </c>
      <c r="M407" t="str">
        <f>IFERROR(IF(OR(HLOOKUP($A407,#REF!,11,FALSE)&gt;2,HLOOKUP($A407,#REF!,11,FALSE)&lt;-2),"",#REF!),"")</f>
        <v/>
      </c>
      <c r="N407" t="str">
        <f>IFERROR(IF(OR(HLOOKUP($A407,#REF!,12,FALSE)&gt;2,HLOOKUP($A407,#REF!,12,FALSE)&lt;-2),"",#REF!),"")</f>
        <v/>
      </c>
      <c r="O407" t="str">
        <f>IFERROR(IF(OR(HLOOKUP($A407,#REF!,13,FALSE)&gt;2,HLOOKUP($A407,#REF!,13,FALSE)&lt;-2),"",#REF!),"")</f>
        <v/>
      </c>
      <c r="P407" t="str">
        <f>IFERROR(IF(OR(HLOOKUP($A407,#REF!,14,FALSE)&gt;2,HLOOKUP($A407,#REF!,14,FALSE)&lt;-2),"",#REF!),"")</f>
        <v/>
      </c>
      <c r="Q407" t="str">
        <f>IFERROR(IF(OR(HLOOKUP($A407,#REF!,15,FALSE)&gt;2,HLOOKUP($A407,#REF!,15,FALSE)&lt;-2),"",#REF!),"")</f>
        <v/>
      </c>
      <c r="R407" t="str">
        <f>IFERROR(IF(OR(HLOOKUP($A407,#REF!,16,FALSE)&gt;2,HLOOKUP($A407,#REF!,16,FALSE)&lt;-2),"",#REF!),"")</f>
        <v/>
      </c>
      <c r="S407" t="str">
        <f>IFERROR(IF(OR(HLOOKUP($A407,#REF!,17,FALSE)&gt;2,HLOOKUP($A407,#REF!,17,FALSE)&lt;-2),"",#REF!),"")</f>
        <v/>
      </c>
      <c r="T407" t="str">
        <f>IFERROR(IF(OR(HLOOKUP($A407,#REF!,18,FALSE)&gt;2,HLOOKUP($A407,#REF!,18,FALSE)&lt;-2),"",#REF!),"")</f>
        <v/>
      </c>
      <c r="U407" t="str">
        <f>IFERROR(IF(OR(HLOOKUP($A407,#REF!,19,FALSE)&gt;2,HLOOKUP($A407,#REF!,19,FALSE)&lt;-2),"",#REF!),"")</f>
        <v/>
      </c>
      <c r="V407">
        <f t="shared" si="24"/>
        <v>1</v>
      </c>
      <c r="W407" t="str">
        <f t="shared" si="25"/>
        <v/>
      </c>
      <c r="X407" t="str">
        <f t="shared" si="26"/>
        <v/>
      </c>
      <c r="Y407" t="str">
        <f t="shared" si="27"/>
        <v/>
      </c>
    </row>
    <row r="408" spans="1:25" x14ac:dyDescent="0.35">
      <c r="A408">
        <v>415</v>
      </c>
      <c r="B408" t="s">
        <v>800</v>
      </c>
      <c r="C408">
        <v>38100</v>
      </c>
      <c r="D408">
        <v>382</v>
      </c>
      <c r="E408" t="str">
        <f>IFERROR(IF(OR(HLOOKUP($A408,#REF!,3,FALSE)&gt;2,HLOOKUP(A408,#REF!,3,FALSE)&lt;-2),"",#REF!),"")</f>
        <v/>
      </c>
      <c r="F408" t="str">
        <f>IFERROR(IF(OR(HLOOKUP($A408,#REF!,4,FALSE)&gt;2,HLOOKUP($A408,#REF!,4,FALSE)&lt;-2),"",#REF!),"")</f>
        <v/>
      </c>
      <c r="G408" t="str">
        <f>IFERROR(IF(OR(HLOOKUP($A408,#REF!,5,FALSE)&gt;2,HLOOKUP($A408,#REF!,5,FALSE)&lt;-2),"",#REF!),"")</f>
        <v/>
      </c>
      <c r="H408" t="str">
        <f>IFERROR(IF(OR(HLOOKUP($A408,#REF!,6,FALSE)&gt;2,HLOOKUP($A408,#REF!,6,FALSE)&lt;-2),"",#REF!),"")</f>
        <v/>
      </c>
      <c r="I408" t="str">
        <f>IFERROR(IF(OR(HLOOKUP($A408,#REF!,7,FALSE)&gt;2,HLOOKUP($A408,#REF!,7,FALSE)&lt;-2),"",#REF!),"")</f>
        <v/>
      </c>
      <c r="J408" t="str">
        <f>IFERROR(IF(OR(HLOOKUP($A408,#REF!,8,FALSE)&gt;2,HLOOKUP($A408,#REF!,8,FALSE)&lt;-2),"",#REF!),"")</f>
        <v/>
      </c>
      <c r="K408" t="str">
        <f>IFERROR(IF(OR(HLOOKUP($A408,#REF!,9,FALSE)&gt;2,HLOOKUP($A408,#REF!,9,FALSE)&lt;-2),"",#REF!),"")</f>
        <v/>
      </c>
      <c r="L408" t="str">
        <f>IFERROR(IF(OR(HLOOKUP($A408,#REF!,10,FALSE)&gt;2,HLOOKUP($A408,#REF!,10,FALSE)&lt;-2),"",#REF!),"")</f>
        <v/>
      </c>
      <c r="M408" t="str">
        <f>IFERROR(IF(OR(HLOOKUP($A408,#REF!,11,FALSE)&gt;2,HLOOKUP($A408,#REF!,11,FALSE)&lt;-2),"",#REF!),"")</f>
        <v/>
      </c>
      <c r="N408" t="str">
        <f>IFERROR(IF(OR(HLOOKUP($A408,#REF!,12,FALSE)&gt;2,HLOOKUP($A408,#REF!,12,FALSE)&lt;-2),"",#REF!),"")</f>
        <v/>
      </c>
      <c r="O408" t="str">
        <f>IFERROR(IF(OR(HLOOKUP($A408,#REF!,13,FALSE)&gt;2,HLOOKUP($A408,#REF!,13,FALSE)&lt;-2),"",#REF!),"")</f>
        <v/>
      </c>
      <c r="P408" t="str">
        <f>IFERROR(IF(OR(HLOOKUP($A408,#REF!,14,FALSE)&gt;2,HLOOKUP($A408,#REF!,14,FALSE)&lt;-2),"",#REF!),"")</f>
        <v/>
      </c>
      <c r="Q408" t="str">
        <f>IFERROR(IF(OR(HLOOKUP($A408,#REF!,15,FALSE)&gt;2,HLOOKUP($A408,#REF!,15,FALSE)&lt;-2),"",#REF!),"")</f>
        <v/>
      </c>
      <c r="R408" t="str">
        <f>IFERROR(IF(OR(HLOOKUP($A408,#REF!,16,FALSE)&gt;2,HLOOKUP($A408,#REF!,16,FALSE)&lt;-2),"",#REF!),"")</f>
        <v/>
      </c>
      <c r="S408" t="str">
        <f>IFERROR(IF(OR(HLOOKUP($A408,#REF!,17,FALSE)&gt;2,HLOOKUP($A408,#REF!,17,FALSE)&lt;-2),"",#REF!),"")</f>
        <v/>
      </c>
      <c r="T408" t="str">
        <f>IFERROR(IF(OR(HLOOKUP($A408,#REF!,18,FALSE)&gt;2,HLOOKUP($A408,#REF!,18,FALSE)&lt;-2),"",#REF!),"")</f>
        <v/>
      </c>
      <c r="U408" t="str">
        <f>IFERROR(IF(OR(HLOOKUP($A408,#REF!,19,FALSE)&gt;2,HLOOKUP($A408,#REF!,19,FALSE)&lt;-2),"",#REF!),"")</f>
        <v/>
      </c>
      <c r="V408">
        <f t="shared" si="24"/>
        <v>1</v>
      </c>
      <c r="W408" t="str">
        <f t="shared" si="25"/>
        <v/>
      </c>
      <c r="X408" t="str">
        <f t="shared" si="26"/>
        <v/>
      </c>
      <c r="Y408" t="str">
        <f t="shared" si="27"/>
        <v/>
      </c>
    </row>
    <row r="409" spans="1:25" x14ac:dyDescent="0.35">
      <c r="A409">
        <v>416</v>
      </c>
      <c r="B409" t="s">
        <v>801</v>
      </c>
      <c r="C409">
        <v>36700</v>
      </c>
      <c r="D409">
        <v>788</v>
      </c>
      <c r="E409" t="str">
        <f>IFERROR(IF(OR(HLOOKUP($A409,#REF!,3,FALSE)&gt;2,HLOOKUP(A409,#REF!,3,FALSE)&lt;-2),"",#REF!),"")</f>
        <v/>
      </c>
      <c r="F409" t="str">
        <f>IFERROR(IF(OR(HLOOKUP($A409,#REF!,4,FALSE)&gt;2,HLOOKUP($A409,#REF!,4,FALSE)&lt;-2),"",#REF!),"")</f>
        <v/>
      </c>
      <c r="G409" t="str">
        <f>IFERROR(IF(OR(HLOOKUP($A409,#REF!,5,FALSE)&gt;2,HLOOKUP($A409,#REF!,5,FALSE)&lt;-2),"",#REF!),"")</f>
        <v/>
      </c>
      <c r="H409" t="str">
        <f>IFERROR(IF(OR(HLOOKUP($A409,#REF!,6,FALSE)&gt;2,HLOOKUP($A409,#REF!,6,FALSE)&lt;-2),"",#REF!),"")</f>
        <v/>
      </c>
      <c r="I409" t="str">
        <f>IFERROR(IF(OR(HLOOKUP($A409,#REF!,7,FALSE)&gt;2,HLOOKUP($A409,#REF!,7,FALSE)&lt;-2),"",#REF!),"")</f>
        <v/>
      </c>
      <c r="J409" t="str">
        <f>IFERROR(IF(OR(HLOOKUP($A409,#REF!,8,FALSE)&gt;2,HLOOKUP($A409,#REF!,8,FALSE)&lt;-2),"",#REF!),"")</f>
        <v/>
      </c>
      <c r="K409" t="str">
        <f>IFERROR(IF(OR(HLOOKUP($A409,#REF!,9,FALSE)&gt;2,HLOOKUP($A409,#REF!,9,FALSE)&lt;-2),"",#REF!),"")</f>
        <v/>
      </c>
      <c r="L409" t="str">
        <f>IFERROR(IF(OR(HLOOKUP($A409,#REF!,10,FALSE)&gt;2,HLOOKUP($A409,#REF!,10,FALSE)&lt;-2),"",#REF!),"")</f>
        <v/>
      </c>
      <c r="M409" t="str">
        <f>IFERROR(IF(OR(HLOOKUP($A409,#REF!,11,FALSE)&gt;2,HLOOKUP($A409,#REF!,11,FALSE)&lt;-2),"",#REF!),"")</f>
        <v/>
      </c>
      <c r="N409" t="str">
        <f>IFERROR(IF(OR(HLOOKUP($A409,#REF!,12,FALSE)&gt;2,HLOOKUP($A409,#REF!,12,FALSE)&lt;-2),"",#REF!),"")</f>
        <v/>
      </c>
      <c r="O409" t="str">
        <f>IFERROR(IF(OR(HLOOKUP($A409,#REF!,13,FALSE)&gt;2,HLOOKUP($A409,#REF!,13,FALSE)&lt;-2),"",#REF!),"")</f>
        <v/>
      </c>
      <c r="P409" t="str">
        <f>IFERROR(IF(OR(HLOOKUP($A409,#REF!,14,FALSE)&gt;2,HLOOKUP($A409,#REF!,14,FALSE)&lt;-2),"",#REF!),"")</f>
        <v/>
      </c>
      <c r="Q409" t="str">
        <f>IFERROR(IF(OR(HLOOKUP($A409,#REF!,15,FALSE)&gt;2,HLOOKUP($A409,#REF!,15,FALSE)&lt;-2),"",#REF!),"")</f>
        <v/>
      </c>
      <c r="R409" t="str">
        <f>IFERROR(IF(OR(HLOOKUP($A409,#REF!,16,FALSE)&gt;2,HLOOKUP($A409,#REF!,16,FALSE)&lt;-2),"",#REF!),"")</f>
        <v/>
      </c>
      <c r="S409" t="str">
        <f>IFERROR(IF(OR(HLOOKUP($A409,#REF!,17,FALSE)&gt;2,HLOOKUP($A409,#REF!,17,FALSE)&lt;-2),"",#REF!),"")</f>
        <v/>
      </c>
      <c r="T409" t="str">
        <f>IFERROR(IF(OR(HLOOKUP($A409,#REF!,18,FALSE)&gt;2,HLOOKUP($A409,#REF!,18,FALSE)&lt;-2),"",#REF!),"")</f>
        <v/>
      </c>
      <c r="U409" t="str">
        <f>IFERROR(IF(OR(HLOOKUP($A409,#REF!,19,FALSE)&gt;2,HLOOKUP($A409,#REF!,19,FALSE)&lt;-2),"",#REF!),"")</f>
        <v/>
      </c>
      <c r="V409">
        <f t="shared" si="24"/>
        <v>1</v>
      </c>
      <c r="W409" t="str">
        <f t="shared" si="25"/>
        <v/>
      </c>
      <c r="X409" t="str">
        <f t="shared" si="26"/>
        <v/>
      </c>
      <c r="Y409" t="str">
        <f t="shared" si="27"/>
        <v/>
      </c>
    </row>
    <row r="410" spans="1:25" x14ac:dyDescent="0.35">
      <c r="A410">
        <v>418</v>
      </c>
      <c r="B410" t="s">
        <v>802</v>
      </c>
      <c r="C410">
        <v>51000</v>
      </c>
      <c r="D410">
        <v>403</v>
      </c>
      <c r="E410" t="str">
        <f>IFERROR(IF(OR(HLOOKUP($A410,#REF!,3,FALSE)&gt;2,HLOOKUP(A410,#REF!,3,FALSE)&lt;-2),"",#REF!),"")</f>
        <v/>
      </c>
      <c r="F410" t="str">
        <f>IFERROR(IF(OR(HLOOKUP($A410,#REF!,4,FALSE)&gt;2,HLOOKUP($A410,#REF!,4,FALSE)&lt;-2),"",#REF!),"")</f>
        <v/>
      </c>
      <c r="G410" t="str">
        <f>IFERROR(IF(OR(HLOOKUP($A410,#REF!,5,FALSE)&gt;2,HLOOKUP($A410,#REF!,5,FALSE)&lt;-2),"",#REF!),"")</f>
        <v/>
      </c>
      <c r="H410" t="str">
        <f>IFERROR(IF(OR(HLOOKUP($A410,#REF!,6,FALSE)&gt;2,HLOOKUP($A410,#REF!,6,FALSE)&lt;-2),"",#REF!),"")</f>
        <v/>
      </c>
      <c r="I410" t="str">
        <f>IFERROR(IF(OR(HLOOKUP($A410,#REF!,7,FALSE)&gt;2,HLOOKUP($A410,#REF!,7,FALSE)&lt;-2),"",#REF!),"")</f>
        <v/>
      </c>
      <c r="J410" t="str">
        <f>IFERROR(IF(OR(HLOOKUP($A410,#REF!,8,FALSE)&gt;2,HLOOKUP($A410,#REF!,8,FALSE)&lt;-2),"",#REF!),"")</f>
        <v/>
      </c>
      <c r="K410" t="str">
        <f>IFERROR(IF(OR(HLOOKUP($A410,#REF!,9,FALSE)&gt;2,HLOOKUP($A410,#REF!,9,FALSE)&lt;-2),"",#REF!),"")</f>
        <v/>
      </c>
      <c r="L410" t="str">
        <f>IFERROR(IF(OR(HLOOKUP($A410,#REF!,10,FALSE)&gt;2,HLOOKUP($A410,#REF!,10,FALSE)&lt;-2),"",#REF!),"")</f>
        <v/>
      </c>
      <c r="M410" t="str">
        <f>IFERROR(IF(OR(HLOOKUP($A410,#REF!,11,FALSE)&gt;2,HLOOKUP($A410,#REF!,11,FALSE)&lt;-2),"",#REF!),"")</f>
        <v/>
      </c>
      <c r="N410" t="str">
        <f>IFERROR(IF(OR(HLOOKUP($A410,#REF!,12,FALSE)&gt;2,HLOOKUP($A410,#REF!,12,FALSE)&lt;-2),"",#REF!),"")</f>
        <v/>
      </c>
      <c r="O410" t="str">
        <f>IFERROR(IF(OR(HLOOKUP($A410,#REF!,13,FALSE)&gt;2,HLOOKUP($A410,#REF!,13,FALSE)&lt;-2),"",#REF!),"")</f>
        <v/>
      </c>
      <c r="P410" t="str">
        <f>IFERROR(IF(OR(HLOOKUP($A410,#REF!,14,FALSE)&gt;2,HLOOKUP($A410,#REF!,14,FALSE)&lt;-2),"",#REF!),"")</f>
        <v/>
      </c>
      <c r="Q410" t="str">
        <f>IFERROR(IF(OR(HLOOKUP($A410,#REF!,15,FALSE)&gt;2,HLOOKUP($A410,#REF!,15,FALSE)&lt;-2),"",#REF!),"")</f>
        <v/>
      </c>
      <c r="R410" t="str">
        <f>IFERROR(IF(OR(HLOOKUP($A410,#REF!,16,FALSE)&gt;2,HLOOKUP($A410,#REF!,16,FALSE)&lt;-2),"",#REF!),"")</f>
        <v/>
      </c>
      <c r="S410" t="str">
        <f>IFERROR(IF(OR(HLOOKUP($A410,#REF!,17,FALSE)&gt;2,HLOOKUP($A410,#REF!,17,FALSE)&lt;-2),"",#REF!),"")</f>
        <v/>
      </c>
      <c r="T410" t="str">
        <f>IFERROR(IF(OR(HLOOKUP($A410,#REF!,18,FALSE)&gt;2,HLOOKUP($A410,#REF!,18,FALSE)&lt;-2),"",#REF!),"")</f>
        <v/>
      </c>
      <c r="U410" t="str">
        <f>IFERROR(IF(OR(HLOOKUP($A410,#REF!,19,FALSE)&gt;2,HLOOKUP($A410,#REF!,19,FALSE)&lt;-2),"",#REF!),"")</f>
        <v/>
      </c>
      <c r="V410">
        <f t="shared" si="24"/>
        <v>1</v>
      </c>
      <c r="W410" t="str">
        <f t="shared" si="25"/>
        <v/>
      </c>
      <c r="X410" t="str">
        <f t="shared" si="26"/>
        <v/>
      </c>
      <c r="Y410" t="str">
        <f t="shared" si="27"/>
        <v/>
      </c>
    </row>
    <row r="411" spans="1:25" x14ac:dyDescent="0.35">
      <c r="A411">
        <v>419</v>
      </c>
      <c r="B411" t="s">
        <v>803</v>
      </c>
      <c r="C411">
        <v>44100</v>
      </c>
      <c r="D411">
        <v>934</v>
      </c>
      <c r="E411" t="str">
        <f>IFERROR(IF(OR(HLOOKUP($A411,#REF!,3,FALSE)&gt;2,HLOOKUP(A411,#REF!,3,FALSE)&lt;-2),"",#REF!),"")</f>
        <v/>
      </c>
      <c r="F411" t="str">
        <f>IFERROR(IF(OR(HLOOKUP($A411,#REF!,4,FALSE)&gt;2,HLOOKUP($A411,#REF!,4,FALSE)&lt;-2),"",#REF!),"")</f>
        <v/>
      </c>
      <c r="G411" t="str">
        <f>IFERROR(IF(OR(HLOOKUP($A411,#REF!,5,FALSE)&gt;2,HLOOKUP($A411,#REF!,5,FALSE)&lt;-2),"",#REF!),"")</f>
        <v/>
      </c>
      <c r="H411" t="str">
        <f>IFERROR(IF(OR(HLOOKUP($A411,#REF!,6,FALSE)&gt;2,HLOOKUP($A411,#REF!,6,FALSE)&lt;-2),"",#REF!),"")</f>
        <v/>
      </c>
      <c r="I411" t="str">
        <f>IFERROR(IF(OR(HLOOKUP($A411,#REF!,7,FALSE)&gt;2,HLOOKUP($A411,#REF!,7,FALSE)&lt;-2),"",#REF!),"")</f>
        <v/>
      </c>
      <c r="J411" t="str">
        <f>IFERROR(IF(OR(HLOOKUP($A411,#REF!,8,FALSE)&gt;2,HLOOKUP($A411,#REF!,8,FALSE)&lt;-2),"",#REF!),"")</f>
        <v/>
      </c>
      <c r="K411" t="str">
        <f>IFERROR(IF(OR(HLOOKUP($A411,#REF!,9,FALSE)&gt;2,HLOOKUP($A411,#REF!,9,FALSE)&lt;-2),"",#REF!),"")</f>
        <v/>
      </c>
      <c r="L411" t="str">
        <f>IFERROR(IF(OR(HLOOKUP($A411,#REF!,10,FALSE)&gt;2,HLOOKUP($A411,#REF!,10,FALSE)&lt;-2),"",#REF!),"")</f>
        <v/>
      </c>
      <c r="M411" t="str">
        <f>IFERROR(IF(OR(HLOOKUP($A411,#REF!,11,FALSE)&gt;2,HLOOKUP($A411,#REF!,11,FALSE)&lt;-2),"",#REF!),"")</f>
        <v/>
      </c>
      <c r="N411" t="str">
        <f>IFERROR(IF(OR(HLOOKUP($A411,#REF!,12,FALSE)&gt;2,HLOOKUP($A411,#REF!,12,FALSE)&lt;-2),"",#REF!),"")</f>
        <v/>
      </c>
      <c r="O411" t="str">
        <f>IFERROR(IF(OR(HLOOKUP($A411,#REF!,13,FALSE)&gt;2,HLOOKUP($A411,#REF!,13,FALSE)&lt;-2),"",#REF!),"")</f>
        <v/>
      </c>
      <c r="P411" t="str">
        <f>IFERROR(IF(OR(HLOOKUP($A411,#REF!,14,FALSE)&gt;2,HLOOKUP($A411,#REF!,14,FALSE)&lt;-2),"",#REF!),"")</f>
        <v/>
      </c>
      <c r="Q411" t="str">
        <f>IFERROR(IF(OR(HLOOKUP($A411,#REF!,15,FALSE)&gt;2,HLOOKUP($A411,#REF!,15,FALSE)&lt;-2),"",#REF!),"")</f>
        <v/>
      </c>
      <c r="R411" t="str">
        <f>IFERROR(IF(OR(HLOOKUP($A411,#REF!,16,FALSE)&gt;2,HLOOKUP($A411,#REF!,16,FALSE)&lt;-2),"",#REF!),"")</f>
        <v/>
      </c>
      <c r="S411" t="str">
        <f>IFERROR(IF(OR(HLOOKUP($A411,#REF!,17,FALSE)&gt;2,HLOOKUP($A411,#REF!,17,FALSE)&lt;-2),"",#REF!),"")</f>
        <v/>
      </c>
      <c r="T411" t="str">
        <f>IFERROR(IF(OR(HLOOKUP($A411,#REF!,18,FALSE)&gt;2,HLOOKUP($A411,#REF!,18,FALSE)&lt;-2),"",#REF!),"")</f>
        <v/>
      </c>
      <c r="U411" t="str">
        <f>IFERROR(IF(OR(HLOOKUP($A411,#REF!,19,FALSE)&gt;2,HLOOKUP($A411,#REF!,19,FALSE)&lt;-2),"",#REF!),"")</f>
        <v/>
      </c>
      <c r="V411">
        <f t="shared" si="24"/>
        <v>1</v>
      </c>
      <c r="W411" t="str">
        <f t="shared" si="25"/>
        <v/>
      </c>
      <c r="X411" t="str">
        <f t="shared" si="26"/>
        <v/>
      </c>
      <c r="Y411" t="str">
        <f t="shared" si="27"/>
        <v/>
      </c>
    </row>
    <row r="412" spans="1:25" x14ac:dyDescent="0.35">
      <c r="A412">
        <v>420</v>
      </c>
      <c r="B412" t="s">
        <v>804</v>
      </c>
      <c r="C412">
        <v>111600</v>
      </c>
      <c r="D412">
        <v>745</v>
      </c>
      <c r="E412" t="str">
        <f>IFERROR(IF(OR(HLOOKUP($A412,#REF!,3,FALSE)&gt;2,HLOOKUP(A412,#REF!,3,FALSE)&lt;-2),"",#REF!),"")</f>
        <v/>
      </c>
      <c r="F412" t="str">
        <f>IFERROR(IF(OR(HLOOKUP($A412,#REF!,4,FALSE)&gt;2,HLOOKUP($A412,#REF!,4,FALSE)&lt;-2),"",#REF!),"")</f>
        <v/>
      </c>
      <c r="G412" t="str">
        <f>IFERROR(IF(OR(HLOOKUP($A412,#REF!,5,FALSE)&gt;2,HLOOKUP($A412,#REF!,5,FALSE)&lt;-2),"",#REF!),"")</f>
        <v/>
      </c>
      <c r="H412" t="str">
        <f>IFERROR(IF(OR(HLOOKUP($A412,#REF!,6,FALSE)&gt;2,HLOOKUP($A412,#REF!,6,FALSE)&lt;-2),"",#REF!),"")</f>
        <v/>
      </c>
      <c r="I412" t="str">
        <f>IFERROR(IF(OR(HLOOKUP($A412,#REF!,7,FALSE)&gt;2,HLOOKUP($A412,#REF!,7,FALSE)&lt;-2),"",#REF!),"")</f>
        <v/>
      </c>
      <c r="J412" t="str">
        <f>IFERROR(IF(OR(HLOOKUP($A412,#REF!,8,FALSE)&gt;2,HLOOKUP($A412,#REF!,8,FALSE)&lt;-2),"",#REF!),"")</f>
        <v/>
      </c>
      <c r="K412" t="str">
        <f>IFERROR(IF(OR(HLOOKUP($A412,#REF!,9,FALSE)&gt;2,HLOOKUP($A412,#REF!,9,FALSE)&lt;-2),"",#REF!),"")</f>
        <v/>
      </c>
      <c r="L412" t="str">
        <f>IFERROR(IF(OR(HLOOKUP($A412,#REF!,10,FALSE)&gt;2,HLOOKUP($A412,#REF!,10,FALSE)&lt;-2),"",#REF!),"")</f>
        <v/>
      </c>
      <c r="M412" t="str">
        <f>IFERROR(IF(OR(HLOOKUP($A412,#REF!,11,FALSE)&gt;2,HLOOKUP($A412,#REF!,11,FALSE)&lt;-2),"",#REF!),"")</f>
        <v/>
      </c>
      <c r="N412" t="str">
        <f>IFERROR(IF(OR(HLOOKUP($A412,#REF!,12,FALSE)&gt;2,HLOOKUP($A412,#REF!,12,FALSE)&lt;-2),"",#REF!),"")</f>
        <v/>
      </c>
      <c r="O412" t="str">
        <f>IFERROR(IF(OR(HLOOKUP($A412,#REF!,13,FALSE)&gt;2,HLOOKUP($A412,#REF!,13,FALSE)&lt;-2),"",#REF!),"")</f>
        <v/>
      </c>
      <c r="P412" t="str">
        <f>IFERROR(IF(OR(HLOOKUP($A412,#REF!,14,FALSE)&gt;2,HLOOKUP($A412,#REF!,14,FALSE)&lt;-2),"",#REF!),"")</f>
        <v/>
      </c>
      <c r="Q412" t="str">
        <f>IFERROR(IF(OR(HLOOKUP($A412,#REF!,15,FALSE)&gt;2,HLOOKUP($A412,#REF!,15,FALSE)&lt;-2),"",#REF!),"")</f>
        <v/>
      </c>
      <c r="R412" t="str">
        <f>IFERROR(IF(OR(HLOOKUP($A412,#REF!,16,FALSE)&gt;2,HLOOKUP($A412,#REF!,16,FALSE)&lt;-2),"",#REF!),"")</f>
        <v/>
      </c>
      <c r="S412" t="str">
        <f>IFERROR(IF(OR(HLOOKUP($A412,#REF!,17,FALSE)&gt;2,HLOOKUP($A412,#REF!,17,FALSE)&lt;-2),"",#REF!),"")</f>
        <v/>
      </c>
      <c r="T412" t="str">
        <f>IFERROR(IF(OR(HLOOKUP($A412,#REF!,18,FALSE)&gt;2,HLOOKUP($A412,#REF!,18,FALSE)&lt;-2),"",#REF!),"")</f>
        <v/>
      </c>
      <c r="U412" t="str">
        <f>IFERROR(IF(OR(HLOOKUP($A412,#REF!,19,FALSE)&gt;2,HLOOKUP($A412,#REF!,19,FALSE)&lt;-2),"",#REF!),"")</f>
        <v/>
      </c>
      <c r="V412">
        <f t="shared" si="24"/>
        <v>1</v>
      </c>
      <c r="W412" t="str">
        <f t="shared" si="25"/>
        <v/>
      </c>
      <c r="X412" t="str">
        <f t="shared" si="26"/>
        <v/>
      </c>
      <c r="Y412" t="str">
        <f t="shared" si="27"/>
        <v/>
      </c>
    </row>
    <row r="413" spans="1:25" x14ac:dyDescent="0.35">
      <c r="A413">
        <v>421</v>
      </c>
      <c r="B413" t="s">
        <v>211</v>
      </c>
      <c r="C413">
        <v>15600</v>
      </c>
      <c r="D413">
        <v>409</v>
      </c>
      <c r="E413" t="str">
        <f>IFERROR(IF(OR(HLOOKUP($A413,#REF!,3,FALSE)&gt;2,HLOOKUP(A413,#REF!,3,FALSE)&lt;-2),"",#REF!),"")</f>
        <v/>
      </c>
      <c r="F413" t="str">
        <f>IFERROR(IF(OR(HLOOKUP($A413,#REF!,4,FALSE)&gt;2,HLOOKUP($A413,#REF!,4,FALSE)&lt;-2),"",#REF!),"")</f>
        <v/>
      </c>
      <c r="G413" t="str">
        <f>IFERROR(IF(OR(HLOOKUP($A413,#REF!,5,FALSE)&gt;2,HLOOKUP($A413,#REF!,5,FALSE)&lt;-2),"",#REF!),"")</f>
        <v/>
      </c>
      <c r="H413" t="str">
        <f>IFERROR(IF(OR(HLOOKUP($A413,#REF!,6,FALSE)&gt;2,HLOOKUP($A413,#REF!,6,FALSE)&lt;-2),"",#REF!),"")</f>
        <v/>
      </c>
      <c r="I413" t="str">
        <f>IFERROR(IF(OR(HLOOKUP($A413,#REF!,7,FALSE)&gt;2,HLOOKUP($A413,#REF!,7,FALSE)&lt;-2),"",#REF!),"")</f>
        <v/>
      </c>
      <c r="J413" t="str">
        <f>IFERROR(IF(OR(HLOOKUP($A413,#REF!,8,FALSE)&gt;2,HLOOKUP($A413,#REF!,8,FALSE)&lt;-2),"",#REF!),"")</f>
        <v/>
      </c>
      <c r="K413" t="str">
        <f>IFERROR(IF(OR(HLOOKUP($A413,#REF!,9,FALSE)&gt;2,HLOOKUP($A413,#REF!,9,FALSE)&lt;-2),"",#REF!),"")</f>
        <v/>
      </c>
      <c r="L413" t="str">
        <f>IFERROR(IF(OR(HLOOKUP($A413,#REF!,10,FALSE)&gt;2,HLOOKUP($A413,#REF!,10,FALSE)&lt;-2),"",#REF!),"")</f>
        <v/>
      </c>
      <c r="M413" t="str">
        <f>IFERROR(IF(OR(HLOOKUP($A413,#REF!,11,FALSE)&gt;2,HLOOKUP($A413,#REF!,11,FALSE)&lt;-2),"",#REF!),"")</f>
        <v/>
      </c>
      <c r="N413" t="str">
        <f>IFERROR(IF(OR(HLOOKUP($A413,#REF!,12,FALSE)&gt;2,HLOOKUP($A413,#REF!,12,FALSE)&lt;-2),"",#REF!),"")</f>
        <v/>
      </c>
      <c r="O413" t="str">
        <f>IFERROR(IF(OR(HLOOKUP($A413,#REF!,13,FALSE)&gt;2,HLOOKUP($A413,#REF!,13,FALSE)&lt;-2),"",#REF!),"")</f>
        <v/>
      </c>
      <c r="P413" t="str">
        <f>IFERROR(IF(OR(HLOOKUP($A413,#REF!,14,FALSE)&gt;2,HLOOKUP($A413,#REF!,14,FALSE)&lt;-2),"",#REF!),"")</f>
        <v/>
      </c>
      <c r="Q413" t="str">
        <f>IFERROR(IF(OR(HLOOKUP($A413,#REF!,15,FALSE)&gt;2,HLOOKUP($A413,#REF!,15,FALSE)&lt;-2),"",#REF!),"")</f>
        <v/>
      </c>
      <c r="R413" t="str">
        <f>IFERROR(IF(OR(HLOOKUP($A413,#REF!,16,FALSE)&gt;2,HLOOKUP($A413,#REF!,16,FALSE)&lt;-2),"",#REF!),"")</f>
        <v/>
      </c>
      <c r="S413" t="str">
        <f>IFERROR(IF(OR(HLOOKUP($A413,#REF!,17,FALSE)&gt;2,HLOOKUP($A413,#REF!,17,FALSE)&lt;-2),"",#REF!),"")</f>
        <v/>
      </c>
      <c r="T413" t="str">
        <f>IFERROR(IF(OR(HLOOKUP($A413,#REF!,18,FALSE)&gt;2,HLOOKUP($A413,#REF!,18,FALSE)&lt;-2),"",#REF!),"")</f>
        <v/>
      </c>
      <c r="U413" t="str">
        <f>IFERROR(IF(OR(HLOOKUP($A413,#REF!,19,FALSE)&gt;2,HLOOKUP($A413,#REF!,19,FALSE)&lt;-2),"",#REF!),"")</f>
        <v/>
      </c>
      <c r="V413">
        <f t="shared" si="24"/>
        <v>1</v>
      </c>
      <c r="W413" t="str">
        <f t="shared" si="25"/>
        <v/>
      </c>
      <c r="X413" t="str">
        <f t="shared" si="26"/>
        <v/>
      </c>
      <c r="Y413" t="str">
        <f t="shared" si="27"/>
        <v/>
      </c>
    </row>
    <row r="414" spans="1:25" x14ac:dyDescent="0.35">
      <c r="A414">
        <v>422</v>
      </c>
      <c r="B414" t="s">
        <v>212</v>
      </c>
      <c r="C414">
        <v>64700</v>
      </c>
      <c r="D414">
        <v>406</v>
      </c>
      <c r="E414" t="str">
        <f>IFERROR(IF(OR(HLOOKUP($A414,#REF!,3,FALSE)&gt;2,HLOOKUP(A414,#REF!,3,FALSE)&lt;-2),"",#REF!),"")</f>
        <v/>
      </c>
      <c r="F414" t="str">
        <f>IFERROR(IF(OR(HLOOKUP($A414,#REF!,4,FALSE)&gt;2,HLOOKUP($A414,#REF!,4,FALSE)&lt;-2),"",#REF!),"")</f>
        <v/>
      </c>
      <c r="G414" t="str">
        <f>IFERROR(IF(OR(HLOOKUP($A414,#REF!,5,FALSE)&gt;2,HLOOKUP($A414,#REF!,5,FALSE)&lt;-2),"",#REF!),"")</f>
        <v/>
      </c>
      <c r="H414" t="str">
        <f>IFERROR(IF(OR(HLOOKUP($A414,#REF!,6,FALSE)&gt;2,HLOOKUP($A414,#REF!,6,FALSE)&lt;-2),"",#REF!),"")</f>
        <v/>
      </c>
      <c r="I414" t="str">
        <f>IFERROR(IF(OR(HLOOKUP($A414,#REF!,7,FALSE)&gt;2,HLOOKUP($A414,#REF!,7,FALSE)&lt;-2),"",#REF!),"")</f>
        <v/>
      </c>
      <c r="J414" t="str">
        <f>IFERROR(IF(OR(HLOOKUP($A414,#REF!,8,FALSE)&gt;2,HLOOKUP($A414,#REF!,8,FALSE)&lt;-2),"",#REF!),"")</f>
        <v/>
      </c>
      <c r="K414" t="str">
        <f>IFERROR(IF(OR(HLOOKUP($A414,#REF!,9,FALSE)&gt;2,HLOOKUP($A414,#REF!,9,FALSE)&lt;-2),"",#REF!),"")</f>
        <v/>
      </c>
      <c r="L414" t="str">
        <f>IFERROR(IF(OR(HLOOKUP($A414,#REF!,10,FALSE)&gt;2,HLOOKUP($A414,#REF!,10,FALSE)&lt;-2),"",#REF!),"")</f>
        <v/>
      </c>
      <c r="M414" t="str">
        <f>IFERROR(IF(OR(HLOOKUP($A414,#REF!,11,FALSE)&gt;2,HLOOKUP($A414,#REF!,11,FALSE)&lt;-2),"",#REF!),"")</f>
        <v/>
      </c>
      <c r="N414" t="str">
        <f>IFERROR(IF(OR(HLOOKUP($A414,#REF!,12,FALSE)&gt;2,HLOOKUP($A414,#REF!,12,FALSE)&lt;-2),"",#REF!),"")</f>
        <v/>
      </c>
      <c r="O414" t="str">
        <f>IFERROR(IF(OR(HLOOKUP($A414,#REF!,13,FALSE)&gt;2,HLOOKUP($A414,#REF!,13,FALSE)&lt;-2),"",#REF!),"")</f>
        <v/>
      </c>
      <c r="P414" t="str">
        <f>IFERROR(IF(OR(HLOOKUP($A414,#REF!,14,FALSE)&gt;2,HLOOKUP($A414,#REF!,14,FALSE)&lt;-2),"",#REF!),"")</f>
        <v/>
      </c>
      <c r="Q414" t="str">
        <f>IFERROR(IF(OR(HLOOKUP($A414,#REF!,15,FALSE)&gt;2,HLOOKUP($A414,#REF!,15,FALSE)&lt;-2),"",#REF!),"")</f>
        <v/>
      </c>
      <c r="R414" t="str">
        <f>IFERROR(IF(OR(HLOOKUP($A414,#REF!,16,FALSE)&gt;2,HLOOKUP($A414,#REF!,16,FALSE)&lt;-2),"",#REF!),"")</f>
        <v/>
      </c>
      <c r="S414" t="str">
        <f>IFERROR(IF(OR(HLOOKUP($A414,#REF!,17,FALSE)&gt;2,HLOOKUP($A414,#REF!,17,FALSE)&lt;-2),"",#REF!),"")</f>
        <v/>
      </c>
      <c r="T414" t="str">
        <f>IFERROR(IF(OR(HLOOKUP($A414,#REF!,18,FALSE)&gt;2,HLOOKUP($A414,#REF!,18,FALSE)&lt;-2),"",#REF!),"")</f>
        <v/>
      </c>
      <c r="U414" t="str">
        <f>IFERROR(IF(OR(HLOOKUP($A414,#REF!,19,FALSE)&gt;2,HLOOKUP($A414,#REF!,19,FALSE)&lt;-2),"",#REF!),"")</f>
        <v/>
      </c>
      <c r="V414">
        <f t="shared" si="24"/>
        <v>1</v>
      </c>
      <c r="W414" t="str">
        <f t="shared" si="25"/>
        <v/>
      </c>
      <c r="X414" t="str">
        <f t="shared" si="26"/>
        <v/>
      </c>
      <c r="Y414" t="str">
        <f t="shared" si="27"/>
        <v/>
      </c>
    </row>
    <row r="415" spans="1:25" x14ac:dyDescent="0.35">
      <c r="A415">
        <v>423</v>
      </c>
      <c r="B415" t="s">
        <v>213</v>
      </c>
      <c r="C415">
        <v>38200</v>
      </c>
      <c r="D415">
        <v>375</v>
      </c>
      <c r="E415" t="str">
        <f>IFERROR(IF(OR(HLOOKUP($A415,#REF!,3,FALSE)&gt;2,HLOOKUP(A415,#REF!,3,FALSE)&lt;-2),"",#REF!),"")</f>
        <v/>
      </c>
      <c r="F415" t="str">
        <f>IFERROR(IF(OR(HLOOKUP($A415,#REF!,4,FALSE)&gt;2,HLOOKUP($A415,#REF!,4,FALSE)&lt;-2),"",#REF!),"")</f>
        <v/>
      </c>
      <c r="G415" t="str">
        <f>IFERROR(IF(OR(HLOOKUP($A415,#REF!,5,FALSE)&gt;2,HLOOKUP($A415,#REF!,5,FALSE)&lt;-2),"",#REF!),"")</f>
        <v/>
      </c>
      <c r="H415" t="str">
        <f>IFERROR(IF(OR(HLOOKUP($A415,#REF!,6,FALSE)&gt;2,HLOOKUP($A415,#REF!,6,FALSE)&lt;-2),"",#REF!),"")</f>
        <v/>
      </c>
      <c r="I415" t="str">
        <f>IFERROR(IF(OR(HLOOKUP($A415,#REF!,7,FALSE)&gt;2,HLOOKUP($A415,#REF!,7,FALSE)&lt;-2),"",#REF!),"")</f>
        <v/>
      </c>
      <c r="J415" t="str">
        <f>IFERROR(IF(OR(HLOOKUP($A415,#REF!,8,FALSE)&gt;2,HLOOKUP($A415,#REF!,8,FALSE)&lt;-2),"",#REF!),"")</f>
        <v/>
      </c>
      <c r="K415" t="str">
        <f>IFERROR(IF(OR(HLOOKUP($A415,#REF!,9,FALSE)&gt;2,HLOOKUP($A415,#REF!,9,FALSE)&lt;-2),"",#REF!),"")</f>
        <v/>
      </c>
      <c r="L415" t="str">
        <f>IFERROR(IF(OR(HLOOKUP($A415,#REF!,10,FALSE)&gt;2,HLOOKUP($A415,#REF!,10,FALSE)&lt;-2),"",#REF!),"")</f>
        <v/>
      </c>
      <c r="M415" t="str">
        <f>IFERROR(IF(OR(HLOOKUP($A415,#REF!,11,FALSE)&gt;2,HLOOKUP($A415,#REF!,11,FALSE)&lt;-2),"",#REF!),"")</f>
        <v/>
      </c>
      <c r="N415" t="str">
        <f>IFERROR(IF(OR(HLOOKUP($A415,#REF!,12,FALSE)&gt;2,HLOOKUP($A415,#REF!,12,FALSE)&lt;-2),"",#REF!),"")</f>
        <v/>
      </c>
      <c r="O415" t="str">
        <f>IFERROR(IF(OR(HLOOKUP($A415,#REF!,13,FALSE)&gt;2,HLOOKUP($A415,#REF!,13,FALSE)&lt;-2),"",#REF!),"")</f>
        <v/>
      </c>
      <c r="P415" t="str">
        <f>IFERROR(IF(OR(HLOOKUP($A415,#REF!,14,FALSE)&gt;2,HLOOKUP($A415,#REF!,14,FALSE)&lt;-2),"",#REF!),"")</f>
        <v/>
      </c>
      <c r="Q415" t="str">
        <f>IFERROR(IF(OR(HLOOKUP($A415,#REF!,15,FALSE)&gt;2,HLOOKUP($A415,#REF!,15,FALSE)&lt;-2),"",#REF!),"")</f>
        <v/>
      </c>
      <c r="R415" t="str">
        <f>IFERROR(IF(OR(HLOOKUP($A415,#REF!,16,FALSE)&gt;2,HLOOKUP($A415,#REF!,16,FALSE)&lt;-2),"",#REF!),"")</f>
        <v/>
      </c>
      <c r="S415" t="str">
        <f>IFERROR(IF(OR(HLOOKUP($A415,#REF!,17,FALSE)&gt;2,HLOOKUP($A415,#REF!,17,FALSE)&lt;-2),"",#REF!),"")</f>
        <v/>
      </c>
      <c r="T415" t="str">
        <f>IFERROR(IF(OR(HLOOKUP($A415,#REF!,18,FALSE)&gt;2,HLOOKUP($A415,#REF!,18,FALSE)&lt;-2),"",#REF!),"")</f>
        <v/>
      </c>
      <c r="U415" t="str">
        <f>IFERROR(IF(OR(HLOOKUP($A415,#REF!,19,FALSE)&gt;2,HLOOKUP($A415,#REF!,19,FALSE)&lt;-2),"",#REF!),"")</f>
        <v/>
      </c>
      <c r="V415">
        <f t="shared" si="24"/>
        <v>1</v>
      </c>
      <c r="W415" t="str">
        <f t="shared" si="25"/>
        <v/>
      </c>
      <c r="X415" t="str">
        <f t="shared" si="26"/>
        <v/>
      </c>
      <c r="Y415" t="str">
        <f t="shared" si="27"/>
        <v/>
      </c>
    </row>
    <row r="416" spans="1:25" x14ac:dyDescent="0.35">
      <c r="A416">
        <v>424</v>
      </c>
      <c r="B416" t="s">
        <v>805</v>
      </c>
      <c r="C416">
        <v>36800</v>
      </c>
      <c r="D416">
        <v>788</v>
      </c>
      <c r="E416" t="str">
        <f>IFERROR(IF(OR(HLOOKUP($A416,#REF!,3,FALSE)&gt;2,HLOOKUP(A416,#REF!,3,FALSE)&lt;-2),"",#REF!),"")</f>
        <v/>
      </c>
      <c r="F416" t="str">
        <f>IFERROR(IF(OR(HLOOKUP($A416,#REF!,4,FALSE)&gt;2,HLOOKUP($A416,#REF!,4,FALSE)&lt;-2),"",#REF!),"")</f>
        <v/>
      </c>
      <c r="G416" t="str">
        <f>IFERROR(IF(OR(HLOOKUP($A416,#REF!,5,FALSE)&gt;2,HLOOKUP($A416,#REF!,5,FALSE)&lt;-2),"",#REF!),"")</f>
        <v/>
      </c>
      <c r="H416" t="str">
        <f>IFERROR(IF(OR(HLOOKUP($A416,#REF!,6,FALSE)&gt;2,HLOOKUP($A416,#REF!,6,FALSE)&lt;-2),"",#REF!),"")</f>
        <v/>
      </c>
      <c r="I416" t="str">
        <f>IFERROR(IF(OR(HLOOKUP($A416,#REF!,7,FALSE)&gt;2,HLOOKUP($A416,#REF!,7,FALSE)&lt;-2),"",#REF!),"")</f>
        <v/>
      </c>
      <c r="J416" t="str">
        <f>IFERROR(IF(OR(HLOOKUP($A416,#REF!,8,FALSE)&gt;2,HLOOKUP($A416,#REF!,8,FALSE)&lt;-2),"",#REF!),"")</f>
        <v/>
      </c>
      <c r="K416" t="str">
        <f>IFERROR(IF(OR(HLOOKUP($A416,#REF!,9,FALSE)&gt;2,HLOOKUP($A416,#REF!,9,FALSE)&lt;-2),"",#REF!),"")</f>
        <v/>
      </c>
      <c r="L416" t="str">
        <f>IFERROR(IF(OR(HLOOKUP($A416,#REF!,10,FALSE)&gt;2,HLOOKUP($A416,#REF!,10,FALSE)&lt;-2),"",#REF!),"")</f>
        <v/>
      </c>
      <c r="M416" t="str">
        <f>IFERROR(IF(OR(HLOOKUP($A416,#REF!,11,FALSE)&gt;2,HLOOKUP($A416,#REF!,11,FALSE)&lt;-2),"",#REF!),"")</f>
        <v/>
      </c>
      <c r="N416" t="str">
        <f>IFERROR(IF(OR(HLOOKUP($A416,#REF!,12,FALSE)&gt;2,HLOOKUP($A416,#REF!,12,FALSE)&lt;-2),"",#REF!),"")</f>
        <v/>
      </c>
      <c r="O416" t="str">
        <f>IFERROR(IF(OR(HLOOKUP($A416,#REF!,13,FALSE)&gt;2,HLOOKUP($A416,#REF!,13,FALSE)&lt;-2),"",#REF!),"")</f>
        <v/>
      </c>
      <c r="P416" t="str">
        <f>IFERROR(IF(OR(HLOOKUP($A416,#REF!,14,FALSE)&gt;2,HLOOKUP($A416,#REF!,14,FALSE)&lt;-2),"",#REF!),"")</f>
        <v/>
      </c>
      <c r="Q416" t="str">
        <f>IFERROR(IF(OR(HLOOKUP($A416,#REF!,15,FALSE)&gt;2,HLOOKUP($A416,#REF!,15,FALSE)&lt;-2),"",#REF!),"")</f>
        <v/>
      </c>
      <c r="R416" t="str">
        <f>IFERROR(IF(OR(HLOOKUP($A416,#REF!,16,FALSE)&gt;2,HLOOKUP($A416,#REF!,16,FALSE)&lt;-2),"",#REF!),"")</f>
        <v/>
      </c>
      <c r="S416" t="str">
        <f>IFERROR(IF(OR(HLOOKUP($A416,#REF!,17,FALSE)&gt;2,HLOOKUP($A416,#REF!,17,FALSE)&lt;-2),"",#REF!),"")</f>
        <v/>
      </c>
      <c r="T416" t="str">
        <f>IFERROR(IF(OR(HLOOKUP($A416,#REF!,18,FALSE)&gt;2,HLOOKUP($A416,#REF!,18,FALSE)&lt;-2),"",#REF!),"")</f>
        <v/>
      </c>
      <c r="U416" t="str">
        <f>IFERROR(IF(OR(HLOOKUP($A416,#REF!,19,FALSE)&gt;2,HLOOKUP($A416,#REF!,19,FALSE)&lt;-2),"",#REF!),"")</f>
        <v/>
      </c>
      <c r="V416">
        <f t="shared" si="24"/>
        <v>1</v>
      </c>
      <c r="W416" t="str">
        <f t="shared" si="25"/>
        <v/>
      </c>
      <c r="X416" t="str">
        <f t="shared" si="26"/>
        <v/>
      </c>
      <c r="Y416" t="str">
        <f t="shared" si="27"/>
        <v/>
      </c>
    </row>
    <row r="417" spans="1:25" x14ac:dyDescent="0.35">
      <c r="A417">
        <v>425</v>
      </c>
      <c r="B417" t="s">
        <v>806</v>
      </c>
      <c r="C417">
        <v>16900</v>
      </c>
      <c r="D417">
        <v>669</v>
      </c>
      <c r="E417" t="str">
        <f>IFERROR(IF(OR(HLOOKUP($A417,#REF!,3,FALSE)&gt;2,HLOOKUP(A417,#REF!,3,FALSE)&lt;-2),"",#REF!),"")</f>
        <v/>
      </c>
      <c r="F417" t="str">
        <f>IFERROR(IF(OR(HLOOKUP($A417,#REF!,4,FALSE)&gt;2,HLOOKUP($A417,#REF!,4,FALSE)&lt;-2),"",#REF!),"")</f>
        <v/>
      </c>
      <c r="G417" t="str">
        <f>IFERROR(IF(OR(HLOOKUP($A417,#REF!,5,FALSE)&gt;2,HLOOKUP($A417,#REF!,5,FALSE)&lt;-2),"",#REF!),"")</f>
        <v/>
      </c>
      <c r="H417" t="str">
        <f>IFERROR(IF(OR(HLOOKUP($A417,#REF!,6,FALSE)&gt;2,HLOOKUP($A417,#REF!,6,FALSE)&lt;-2),"",#REF!),"")</f>
        <v/>
      </c>
      <c r="I417" t="str">
        <f>IFERROR(IF(OR(HLOOKUP($A417,#REF!,7,FALSE)&gt;2,HLOOKUP($A417,#REF!,7,FALSE)&lt;-2),"",#REF!),"")</f>
        <v/>
      </c>
      <c r="J417" t="str">
        <f>IFERROR(IF(OR(HLOOKUP($A417,#REF!,8,FALSE)&gt;2,HLOOKUP($A417,#REF!,8,FALSE)&lt;-2),"",#REF!),"")</f>
        <v/>
      </c>
      <c r="K417" t="str">
        <f>IFERROR(IF(OR(HLOOKUP($A417,#REF!,9,FALSE)&gt;2,HLOOKUP($A417,#REF!,9,FALSE)&lt;-2),"",#REF!),"")</f>
        <v/>
      </c>
      <c r="L417" t="str">
        <f>IFERROR(IF(OR(HLOOKUP($A417,#REF!,10,FALSE)&gt;2,HLOOKUP($A417,#REF!,10,FALSE)&lt;-2),"",#REF!),"")</f>
        <v/>
      </c>
      <c r="M417" t="str">
        <f>IFERROR(IF(OR(HLOOKUP($A417,#REF!,11,FALSE)&gt;2,HLOOKUP($A417,#REF!,11,FALSE)&lt;-2),"",#REF!),"")</f>
        <v/>
      </c>
      <c r="N417" t="str">
        <f>IFERROR(IF(OR(HLOOKUP($A417,#REF!,12,FALSE)&gt;2,HLOOKUP($A417,#REF!,12,FALSE)&lt;-2),"",#REF!),"")</f>
        <v/>
      </c>
      <c r="O417" t="str">
        <f>IFERROR(IF(OR(HLOOKUP($A417,#REF!,13,FALSE)&gt;2,HLOOKUP($A417,#REF!,13,FALSE)&lt;-2),"",#REF!),"")</f>
        <v/>
      </c>
      <c r="P417" t="str">
        <f>IFERROR(IF(OR(HLOOKUP($A417,#REF!,14,FALSE)&gt;2,HLOOKUP($A417,#REF!,14,FALSE)&lt;-2),"",#REF!),"")</f>
        <v/>
      </c>
      <c r="Q417" t="str">
        <f>IFERROR(IF(OR(HLOOKUP($A417,#REF!,15,FALSE)&gt;2,HLOOKUP($A417,#REF!,15,FALSE)&lt;-2),"",#REF!),"")</f>
        <v/>
      </c>
      <c r="R417" t="str">
        <f>IFERROR(IF(OR(HLOOKUP($A417,#REF!,16,FALSE)&gt;2,HLOOKUP($A417,#REF!,16,FALSE)&lt;-2),"",#REF!),"")</f>
        <v/>
      </c>
      <c r="S417" t="str">
        <f>IFERROR(IF(OR(HLOOKUP($A417,#REF!,17,FALSE)&gt;2,HLOOKUP($A417,#REF!,17,FALSE)&lt;-2),"",#REF!),"")</f>
        <v/>
      </c>
      <c r="T417" t="str">
        <f>IFERROR(IF(OR(HLOOKUP($A417,#REF!,18,FALSE)&gt;2,HLOOKUP($A417,#REF!,18,FALSE)&lt;-2),"",#REF!),"")</f>
        <v/>
      </c>
      <c r="U417" t="str">
        <f>IFERROR(IF(OR(HLOOKUP($A417,#REF!,19,FALSE)&gt;2,HLOOKUP($A417,#REF!,19,FALSE)&lt;-2),"",#REF!),"")</f>
        <v/>
      </c>
      <c r="V417">
        <f t="shared" si="24"/>
        <v>1</v>
      </c>
      <c r="W417" t="str">
        <f t="shared" si="25"/>
        <v/>
      </c>
      <c r="X417" t="str">
        <f t="shared" si="26"/>
        <v/>
      </c>
      <c r="Y417" t="str">
        <f t="shared" si="27"/>
        <v/>
      </c>
    </row>
    <row r="418" spans="1:25" x14ac:dyDescent="0.35">
      <c r="A418">
        <v>426</v>
      </c>
      <c r="B418" t="s">
        <v>807</v>
      </c>
      <c r="C418">
        <v>51100</v>
      </c>
      <c r="D418">
        <v>403</v>
      </c>
      <c r="E418" t="str">
        <f>IFERROR(IF(OR(HLOOKUP($A418,#REF!,3,FALSE)&gt;2,HLOOKUP(A418,#REF!,3,FALSE)&lt;-2),"",#REF!),"")</f>
        <v/>
      </c>
      <c r="F418" t="str">
        <f>IFERROR(IF(OR(HLOOKUP($A418,#REF!,4,FALSE)&gt;2,HLOOKUP($A418,#REF!,4,FALSE)&lt;-2),"",#REF!),"")</f>
        <v/>
      </c>
      <c r="G418" t="str">
        <f>IFERROR(IF(OR(HLOOKUP($A418,#REF!,5,FALSE)&gt;2,HLOOKUP($A418,#REF!,5,FALSE)&lt;-2),"",#REF!),"")</f>
        <v/>
      </c>
      <c r="H418" t="str">
        <f>IFERROR(IF(OR(HLOOKUP($A418,#REF!,6,FALSE)&gt;2,HLOOKUP($A418,#REF!,6,FALSE)&lt;-2),"",#REF!),"")</f>
        <v/>
      </c>
      <c r="I418" t="str">
        <f>IFERROR(IF(OR(HLOOKUP($A418,#REF!,7,FALSE)&gt;2,HLOOKUP($A418,#REF!,7,FALSE)&lt;-2),"",#REF!),"")</f>
        <v/>
      </c>
      <c r="J418" t="str">
        <f>IFERROR(IF(OR(HLOOKUP($A418,#REF!,8,FALSE)&gt;2,HLOOKUP($A418,#REF!,8,FALSE)&lt;-2),"",#REF!),"")</f>
        <v/>
      </c>
      <c r="K418" t="str">
        <f>IFERROR(IF(OR(HLOOKUP($A418,#REF!,9,FALSE)&gt;2,HLOOKUP($A418,#REF!,9,FALSE)&lt;-2),"",#REF!),"")</f>
        <v/>
      </c>
      <c r="L418" t="str">
        <f>IFERROR(IF(OR(HLOOKUP($A418,#REF!,10,FALSE)&gt;2,HLOOKUP($A418,#REF!,10,FALSE)&lt;-2),"",#REF!),"")</f>
        <v/>
      </c>
      <c r="M418" t="str">
        <f>IFERROR(IF(OR(HLOOKUP($A418,#REF!,11,FALSE)&gt;2,HLOOKUP($A418,#REF!,11,FALSE)&lt;-2),"",#REF!),"")</f>
        <v/>
      </c>
      <c r="N418" t="str">
        <f>IFERROR(IF(OR(HLOOKUP($A418,#REF!,12,FALSE)&gt;2,HLOOKUP($A418,#REF!,12,FALSE)&lt;-2),"",#REF!),"")</f>
        <v/>
      </c>
      <c r="O418" t="str">
        <f>IFERROR(IF(OR(HLOOKUP($A418,#REF!,13,FALSE)&gt;2,HLOOKUP($A418,#REF!,13,FALSE)&lt;-2),"",#REF!),"")</f>
        <v/>
      </c>
      <c r="P418" t="str">
        <f>IFERROR(IF(OR(HLOOKUP($A418,#REF!,14,FALSE)&gt;2,HLOOKUP($A418,#REF!,14,FALSE)&lt;-2),"",#REF!),"")</f>
        <v/>
      </c>
      <c r="Q418" t="str">
        <f>IFERROR(IF(OR(HLOOKUP($A418,#REF!,15,FALSE)&gt;2,HLOOKUP($A418,#REF!,15,FALSE)&lt;-2),"",#REF!),"")</f>
        <v/>
      </c>
      <c r="R418" t="str">
        <f>IFERROR(IF(OR(HLOOKUP($A418,#REF!,16,FALSE)&gt;2,HLOOKUP($A418,#REF!,16,FALSE)&lt;-2),"",#REF!),"")</f>
        <v/>
      </c>
      <c r="S418" t="str">
        <f>IFERROR(IF(OR(HLOOKUP($A418,#REF!,17,FALSE)&gt;2,HLOOKUP($A418,#REF!,17,FALSE)&lt;-2),"",#REF!),"")</f>
        <v/>
      </c>
      <c r="T418" t="str">
        <f>IFERROR(IF(OR(HLOOKUP($A418,#REF!,18,FALSE)&gt;2,HLOOKUP($A418,#REF!,18,FALSE)&lt;-2),"",#REF!),"")</f>
        <v/>
      </c>
      <c r="U418" t="str">
        <f>IFERROR(IF(OR(HLOOKUP($A418,#REF!,19,FALSE)&gt;2,HLOOKUP($A418,#REF!,19,FALSE)&lt;-2),"",#REF!),"")</f>
        <v/>
      </c>
      <c r="V418">
        <f t="shared" si="24"/>
        <v>1</v>
      </c>
      <c r="W418" t="str">
        <f t="shared" si="25"/>
        <v/>
      </c>
      <c r="X418" t="str">
        <f t="shared" si="26"/>
        <v/>
      </c>
      <c r="Y418" t="str">
        <f t="shared" si="27"/>
        <v/>
      </c>
    </row>
    <row r="419" spans="1:25" x14ac:dyDescent="0.35">
      <c r="A419">
        <v>427</v>
      </c>
      <c r="B419" t="s">
        <v>214</v>
      </c>
      <c r="C419">
        <v>29500</v>
      </c>
      <c r="D419">
        <v>895</v>
      </c>
      <c r="E419" t="str">
        <f>IFERROR(IF(OR(HLOOKUP($A419,#REF!,3,FALSE)&gt;2,HLOOKUP(A419,#REF!,3,FALSE)&lt;-2),"",#REF!),"")</f>
        <v/>
      </c>
      <c r="F419" t="str">
        <f>IFERROR(IF(OR(HLOOKUP($A419,#REF!,4,FALSE)&gt;2,HLOOKUP($A419,#REF!,4,FALSE)&lt;-2),"",#REF!),"")</f>
        <v/>
      </c>
      <c r="G419" t="str">
        <f>IFERROR(IF(OR(HLOOKUP($A419,#REF!,5,FALSE)&gt;2,HLOOKUP($A419,#REF!,5,FALSE)&lt;-2),"",#REF!),"")</f>
        <v/>
      </c>
      <c r="H419" t="str">
        <f>IFERROR(IF(OR(HLOOKUP($A419,#REF!,6,FALSE)&gt;2,HLOOKUP($A419,#REF!,6,FALSE)&lt;-2),"",#REF!),"")</f>
        <v/>
      </c>
      <c r="I419" t="str">
        <f>IFERROR(IF(OR(HLOOKUP($A419,#REF!,7,FALSE)&gt;2,HLOOKUP($A419,#REF!,7,FALSE)&lt;-2),"",#REF!),"")</f>
        <v/>
      </c>
      <c r="J419" t="str">
        <f>IFERROR(IF(OR(HLOOKUP($A419,#REF!,8,FALSE)&gt;2,HLOOKUP($A419,#REF!,8,FALSE)&lt;-2),"",#REF!),"")</f>
        <v/>
      </c>
      <c r="K419" t="str">
        <f>IFERROR(IF(OR(HLOOKUP($A419,#REF!,9,FALSE)&gt;2,HLOOKUP($A419,#REF!,9,FALSE)&lt;-2),"",#REF!),"")</f>
        <v/>
      </c>
      <c r="L419" t="str">
        <f>IFERROR(IF(OR(HLOOKUP($A419,#REF!,10,FALSE)&gt;2,HLOOKUP($A419,#REF!,10,FALSE)&lt;-2),"",#REF!),"")</f>
        <v/>
      </c>
      <c r="M419" t="str">
        <f>IFERROR(IF(OR(HLOOKUP($A419,#REF!,11,FALSE)&gt;2,HLOOKUP($A419,#REF!,11,FALSE)&lt;-2),"",#REF!),"")</f>
        <v/>
      </c>
      <c r="N419" t="str">
        <f>IFERROR(IF(OR(HLOOKUP($A419,#REF!,12,FALSE)&gt;2,HLOOKUP($A419,#REF!,12,FALSE)&lt;-2),"",#REF!),"")</f>
        <v/>
      </c>
      <c r="O419" t="str">
        <f>IFERROR(IF(OR(HLOOKUP($A419,#REF!,13,FALSE)&gt;2,HLOOKUP($A419,#REF!,13,FALSE)&lt;-2),"",#REF!),"")</f>
        <v/>
      </c>
      <c r="P419" t="str">
        <f>IFERROR(IF(OR(HLOOKUP($A419,#REF!,14,FALSE)&gt;2,HLOOKUP($A419,#REF!,14,FALSE)&lt;-2),"",#REF!),"")</f>
        <v/>
      </c>
      <c r="Q419" t="str">
        <f>IFERROR(IF(OR(HLOOKUP($A419,#REF!,15,FALSE)&gt;2,HLOOKUP($A419,#REF!,15,FALSE)&lt;-2),"",#REF!),"")</f>
        <v/>
      </c>
      <c r="R419" t="str">
        <f>IFERROR(IF(OR(HLOOKUP($A419,#REF!,16,FALSE)&gt;2,HLOOKUP($A419,#REF!,16,FALSE)&lt;-2),"",#REF!),"")</f>
        <v/>
      </c>
      <c r="S419" t="str">
        <f>IFERROR(IF(OR(HLOOKUP($A419,#REF!,17,FALSE)&gt;2,HLOOKUP($A419,#REF!,17,FALSE)&lt;-2),"",#REF!),"")</f>
        <v/>
      </c>
      <c r="T419" t="str">
        <f>IFERROR(IF(OR(HLOOKUP($A419,#REF!,18,FALSE)&gt;2,HLOOKUP($A419,#REF!,18,FALSE)&lt;-2),"",#REF!),"")</f>
        <v/>
      </c>
      <c r="U419" t="str">
        <f>IFERROR(IF(OR(HLOOKUP($A419,#REF!,19,FALSE)&gt;2,HLOOKUP($A419,#REF!,19,FALSE)&lt;-2),"",#REF!),"")</f>
        <v/>
      </c>
      <c r="V419">
        <f t="shared" si="24"/>
        <v>1</v>
      </c>
      <c r="W419" t="str">
        <f t="shared" si="25"/>
        <v/>
      </c>
      <c r="X419" t="str">
        <f t="shared" si="26"/>
        <v/>
      </c>
      <c r="Y419" t="str">
        <f t="shared" si="27"/>
        <v/>
      </c>
    </row>
    <row r="420" spans="1:25" x14ac:dyDescent="0.35">
      <c r="A420">
        <v>428</v>
      </c>
      <c r="B420" t="s">
        <v>808</v>
      </c>
      <c r="C420">
        <v>111800</v>
      </c>
      <c r="D420">
        <v>737</v>
      </c>
      <c r="E420" t="str">
        <f>IFERROR(IF(OR(HLOOKUP($A420,#REF!,3,FALSE)&gt;2,HLOOKUP(A420,#REF!,3,FALSE)&lt;-2),"",#REF!),"")</f>
        <v/>
      </c>
      <c r="F420" t="str">
        <f>IFERROR(IF(OR(HLOOKUP($A420,#REF!,4,FALSE)&gt;2,HLOOKUP($A420,#REF!,4,FALSE)&lt;-2),"",#REF!),"")</f>
        <v/>
      </c>
      <c r="G420" t="str">
        <f>IFERROR(IF(OR(HLOOKUP($A420,#REF!,5,FALSE)&gt;2,HLOOKUP($A420,#REF!,5,FALSE)&lt;-2),"",#REF!),"")</f>
        <v/>
      </c>
      <c r="H420" t="str">
        <f>IFERROR(IF(OR(HLOOKUP($A420,#REF!,6,FALSE)&gt;2,HLOOKUP($A420,#REF!,6,FALSE)&lt;-2),"",#REF!),"")</f>
        <v/>
      </c>
      <c r="I420" t="str">
        <f>IFERROR(IF(OR(HLOOKUP($A420,#REF!,7,FALSE)&gt;2,HLOOKUP($A420,#REF!,7,FALSE)&lt;-2),"",#REF!),"")</f>
        <v/>
      </c>
      <c r="J420" t="str">
        <f>IFERROR(IF(OR(HLOOKUP($A420,#REF!,8,FALSE)&gt;2,HLOOKUP($A420,#REF!,8,FALSE)&lt;-2),"",#REF!),"")</f>
        <v/>
      </c>
      <c r="K420" t="str">
        <f>IFERROR(IF(OR(HLOOKUP($A420,#REF!,9,FALSE)&gt;2,HLOOKUP($A420,#REF!,9,FALSE)&lt;-2),"",#REF!),"")</f>
        <v/>
      </c>
      <c r="L420" t="str">
        <f>IFERROR(IF(OR(HLOOKUP($A420,#REF!,10,FALSE)&gt;2,HLOOKUP($A420,#REF!,10,FALSE)&lt;-2),"",#REF!),"")</f>
        <v/>
      </c>
      <c r="M420" t="str">
        <f>IFERROR(IF(OR(HLOOKUP($A420,#REF!,11,FALSE)&gt;2,HLOOKUP($A420,#REF!,11,FALSE)&lt;-2),"",#REF!),"")</f>
        <v/>
      </c>
      <c r="N420" t="str">
        <f>IFERROR(IF(OR(HLOOKUP($A420,#REF!,12,FALSE)&gt;2,HLOOKUP($A420,#REF!,12,FALSE)&lt;-2),"",#REF!),"")</f>
        <v/>
      </c>
      <c r="O420" t="str">
        <f>IFERROR(IF(OR(HLOOKUP($A420,#REF!,13,FALSE)&gt;2,HLOOKUP($A420,#REF!,13,FALSE)&lt;-2),"",#REF!),"")</f>
        <v/>
      </c>
      <c r="P420" t="str">
        <f>IFERROR(IF(OR(HLOOKUP($A420,#REF!,14,FALSE)&gt;2,HLOOKUP($A420,#REF!,14,FALSE)&lt;-2),"",#REF!),"")</f>
        <v/>
      </c>
      <c r="Q420" t="str">
        <f>IFERROR(IF(OR(HLOOKUP($A420,#REF!,15,FALSE)&gt;2,HLOOKUP($A420,#REF!,15,FALSE)&lt;-2),"",#REF!),"")</f>
        <v/>
      </c>
      <c r="R420" t="str">
        <f>IFERROR(IF(OR(HLOOKUP($A420,#REF!,16,FALSE)&gt;2,HLOOKUP($A420,#REF!,16,FALSE)&lt;-2),"",#REF!),"")</f>
        <v/>
      </c>
      <c r="S420" t="str">
        <f>IFERROR(IF(OR(HLOOKUP($A420,#REF!,17,FALSE)&gt;2,HLOOKUP($A420,#REF!,17,FALSE)&lt;-2),"",#REF!),"")</f>
        <v/>
      </c>
      <c r="T420" t="str">
        <f>IFERROR(IF(OR(HLOOKUP($A420,#REF!,18,FALSE)&gt;2,HLOOKUP($A420,#REF!,18,FALSE)&lt;-2),"",#REF!),"")</f>
        <v/>
      </c>
      <c r="U420" t="str">
        <f>IFERROR(IF(OR(HLOOKUP($A420,#REF!,19,FALSE)&gt;2,HLOOKUP($A420,#REF!,19,FALSE)&lt;-2),"",#REF!),"")</f>
        <v/>
      </c>
      <c r="V420">
        <f t="shared" si="24"/>
        <v>1</v>
      </c>
      <c r="W420" t="str">
        <f t="shared" si="25"/>
        <v/>
      </c>
      <c r="X420" t="str">
        <f t="shared" si="26"/>
        <v/>
      </c>
      <c r="Y420" t="str">
        <f t="shared" si="27"/>
        <v/>
      </c>
    </row>
    <row r="421" spans="1:25" x14ac:dyDescent="0.35">
      <c r="A421">
        <v>429</v>
      </c>
      <c r="B421" t="s">
        <v>215</v>
      </c>
      <c r="C421">
        <v>91300</v>
      </c>
      <c r="D421">
        <v>386</v>
      </c>
      <c r="E421" t="str">
        <f>IFERROR(IF(OR(HLOOKUP($A421,#REF!,3,FALSE)&gt;2,HLOOKUP(A421,#REF!,3,FALSE)&lt;-2),"",#REF!),"")</f>
        <v/>
      </c>
      <c r="F421" t="str">
        <f>IFERROR(IF(OR(HLOOKUP($A421,#REF!,4,FALSE)&gt;2,HLOOKUP($A421,#REF!,4,FALSE)&lt;-2),"",#REF!),"")</f>
        <v/>
      </c>
      <c r="G421" t="str">
        <f>IFERROR(IF(OR(HLOOKUP($A421,#REF!,5,FALSE)&gt;2,HLOOKUP($A421,#REF!,5,FALSE)&lt;-2),"",#REF!),"")</f>
        <v/>
      </c>
      <c r="H421" t="str">
        <f>IFERROR(IF(OR(HLOOKUP($A421,#REF!,6,FALSE)&gt;2,HLOOKUP($A421,#REF!,6,FALSE)&lt;-2),"",#REF!),"")</f>
        <v/>
      </c>
      <c r="I421" t="str">
        <f>IFERROR(IF(OR(HLOOKUP($A421,#REF!,7,FALSE)&gt;2,HLOOKUP($A421,#REF!,7,FALSE)&lt;-2),"",#REF!),"")</f>
        <v/>
      </c>
      <c r="J421" t="str">
        <f>IFERROR(IF(OR(HLOOKUP($A421,#REF!,8,FALSE)&gt;2,HLOOKUP($A421,#REF!,8,FALSE)&lt;-2),"",#REF!),"")</f>
        <v/>
      </c>
      <c r="K421" t="str">
        <f>IFERROR(IF(OR(HLOOKUP($A421,#REF!,9,FALSE)&gt;2,HLOOKUP($A421,#REF!,9,FALSE)&lt;-2),"",#REF!),"")</f>
        <v/>
      </c>
      <c r="L421" t="str">
        <f>IFERROR(IF(OR(HLOOKUP($A421,#REF!,10,FALSE)&gt;2,HLOOKUP($A421,#REF!,10,FALSE)&lt;-2),"",#REF!),"")</f>
        <v/>
      </c>
      <c r="M421" t="str">
        <f>IFERROR(IF(OR(HLOOKUP($A421,#REF!,11,FALSE)&gt;2,HLOOKUP($A421,#REF!,11,FALSE)&lt;-2),"",#REF!),"")</f>
        <v/>
      </c>
      <c r="N421" t="str">
        <f>IFERROR(IF(OR(HLOOKUP($A421,#REF!,12,FALSE)&gt;2,HLOOKUP($A421,#REF!,12,FALSE)&lt;-2),"",#REF!),"")</f>
        <v/>
      </c>
      <c r="O421" t="str">
        <f>IFERROR(IF(OR(HLOOKUP($A421,#REF!,13,FALSE)&gt;2,HLOOKUP($A421,#REF!,13,FALSE)&lt;-2),"",#REF!),"")</f>
        <v/>
      </c>
      <c r="P421" t="str">
        <f>IFERROR(IF(OR(HLOOKUP($A421,#REF!,14,FALSE)&gt;2,HLOOKUP($A421,#REF!,14,FALSE)&lt;-2),"",#REF!),"")</f>
        <v/>
      </c>
      <c r="Q421" t="str">
        <f>IFERROR(IF(OR(HLOOKUP($A421,#REF!,15,FALSE)&gt;2,HLOOKUP($A421,#REF!,15,FALSE)&lt;-2),"",#REF!),"")</f>
        <v/>
      </c>
      <c r="R421" t="str">
        <f>IFERROR(IF(OR(HLOOKUP($A421,#REF!,16,FALSE)&gt;2,HLOOKUP($A421,#REF!,16,FALSE)&lt;-2),"",#REF!),"")</f>
        <v/>
      </c>
      <c r="S421" t="str">
        <f>IFERROR(IF(OR(HLOOKUP($A421,#REF!,17,FALSE)&gt;2,HLOOKUP($A421,#REF!,17,FALSE)&lt;-2),"",#REF!),"")</f>
        <v/>
      </c>
      <c r="T421" t="str">
        <f>IFERROR(IF(OR(HLOOKUP($A421,#REF!,18,FALSE)&gt;2,HLOOKUP($A421,#REF!,18,FALSE)&lt;-2),"",#REF!),"")</f>
        <v/>
      </c>
      <c r="U421" t="str">
        <f>IFERROR(IF(OR(HLOOKUP($A421,#REF!,19,FALSE)&gt;2,HLOOKUP($A421,#REF!,19,FALSE)&lt;-2),"",#REF!),"")</f>
        <v/>
      </c>
      <c r="V421">
        <f t="shared" si="24"/>
        <v>1</v>
      </c>
      <c r="W421" t="str">
        <f t="shared" si="25"/>
        <v/>
      </c>
      <c r="X421" t="str">
        <f t="shared" si="26"/>
        <v/>
      </c>
      <c r="Y421" t="str">
        <f t="shared" si="27"/>
        <v/>
      </c>
    </row>
    <row r="422" spans="1:25" x14ac:dyDescent="0.35">
      <c r="A422">
        <v>430</v>
      </c>
      <c r="B422" t="s">
        <v>216</v>
      </c>
      <c r="C422">
        <v>26900</v>
      </c>
      <c r="D422">
        <v>886</v>
      </c>
      <c r="E422" t="str">
        <f>IFERROR(IF(OR(HLOOKUP($A422,#REF!,3,FALSE)&gt;2,HLOOKUP(A422,#REF!,3,FALSE)&lt;-2),"",#REF!),"")</f>
        <v/>
      </c>
      <c r="F422" t="str">
        <f>IFERROR(IF(OR(HLOOKUP($A422,#REF!,4,FALSE)&gt;2,HLOOKUP($A422,#REF!,4,FALSE)&lt;-2),"",#REF!),"")</f>
        <v/>
      </c>
      <c r="G422" t="str">
        <f>IFERROR(IF(OR(HLOOKUP($A422,#REF!,5,FALSE)&gt;2,HLOOKUP($A422,#REF!,5,FALSE)&lt;-2),"",#REF!),"")</f>
        <v/>
      </c>
      <c r="H422" t="str">
        <f>IFERROR(IF(OR(HLOOKUP($A422,#REF!,6,FALSE)&gt;2,HLOOKUP($A422,#REF!,6,FALSE)&lt;-2),"",#REF!),"")</f>
        <v/>
      </c>
      <c r="I422" t="str">
        <f>IFERROR(IF(OR(HLOOKUP($A422,#REF!,7,FALSE)&gt;2,HLOOKUP($A422,#REF!,7,FALSE)&lt;-2),"",#REF!),"")</f>
        <v/>
      </c>
      <c r="J422" t="str">
        <f>IFERROR(IF(OR(HLOOKUP($A422,#REF!,8,FALSE)&gt;2,HLOOKUP($A422,#REF!,8,FALSE)&lt;-2),"",#REF!),"")</f>
        <v/>
      </c>
      <c r="K422" t="str">
        <f>IFERROR(IF(OR(HLOOKUP($A422,#REF!,9,FALSE)&gt;2,HLOOKUP($A422,#REF!,9,FALSE)&lt;-2),"",#REF!),"")</f>
        <v/>
      </c>
      <c r="L422" t="str">
        <f>IFERROR(IF(OR(HLOOKUP($A422,#REF!,10,FALSE)&gt;2,HLOOKUP($A422,#REF!,10,FALSE)&lt;-2),"",#REF!),"")</f>
        <v/>
      </c>
      <c r="M422" t="str">
        <f>IFERROR(IF(OR(HLOOKUP($A422,#REF!,11,FALSE)&gt;2,HLOOKUP($A422,#REF!,11,FALSE)&lt;-2),"",#REF!),"")</f>
        <v/>
      </c>
      <c r="N422" t="str">
        <f>IFERROR(IF(OR(HLOOKUP($A422,#REF!,12,FALSE)&gt;2,HLOOKUP($A422,#REF!,12,FALSE)&lt;-2),"",#REF!),"")</f>
        <v/>
      </c>
      <c r="O422" t="str">
        <f>IFERROR(IF(OR(HLOOKUP($A422,#REF!,13,FALSE)&gt;2,HLOOKUP($A422,#REF!,13,FALSE)&lt;-2),"",#REF!),"")</f>
        <v/>
      </c>
      <c r="P422" t="str">
        <f>IFERROR(IF(OR(HLOOKUP($A422,#REF!,14,FALSE)&gt;2,HLOOKUP($A422,#REF!,14,FALSE)&lt;-2),"",#REF!),"")</f>
        <v/>
      </c>
      <c r="Q422" t="str">
        <f>IFERROR(IF(OR(HLOOKUP($A422,#REF!,15,FALSE)&gt;2,HLOOKUP($A422,#REF!,15,FALSE)&lt;-2),"",#REF!),"")</f>
        <v/>
      </c>
      <c r="R422" t="str">
        <f>IFERROR(IF(OR(HLOOKUP($A422,#REF!,16,FALSE)&gt;2,HLOOKUP($A422,#REF!,16,FALSE)&lt;-2),"",#REF!),"")</f>
        <v/>
      </c>
      <c r="S422" t="str">
        <f>IFERROR(IF(OR(HLOOKUP($A422,#REF!,17,FALSE)&gt;2,HLOOKUP($A422,#REF!,17,FALSE)&lt;-2),"",#REF!),"")</f>
        <v/>
      </c>
      <c r="T422" t="str">
        <f>IFERROR(IF(OR(HLOOKUP($A422,#REF!,18,FALSE)&gt;2,HLOOKUP($A422,#REF!,18,FALSE)&lt;-2),"",#REF!),"")</f>
        <v/>
      </c>
      <c r="U422" t="str">
        <f>IFERROR(IF(OR(HLOOKUP($A422,#REF!,19,FALSE)&gt;2,HLOOKUP($A422,#REF!,19,FALSE)&lt;-2),"",#REF!),"")</f>
        <v/>
      </c>
      <c r="V422">
        <f t="shared" si="24"/>
        <v>1</v>
      </c>
      <c r="W422" t="str">
        <f t="shared" si="25"/>
        <v/>
      </c>
      <c r="X422" t="str">
        <f t="shared" si="26"/>
        <v/>
      </c>
      <c r="Y422" t="str">
        <f t="shared" si="27"/>
        <v/>
      </c>
    </row>
    <row r="423" spans="1:25" x14ac:dyDescent="0.35">
      <c r="A423">
        <v>431</v>
      </c>
      <c r="B423" t="s">
        <v>809</v>
      </c>
      <c r="C423">
        <v>38300</v>
      </c>
      <c r="D423">
        <v>423</v>
      </c>
      <c r="E423" t="str">
        <f>IFERROR(IF(OR(HLOOKUP($A423,#REF!,3,FALSE)&gt;2,HLOOKUP(A423,#REF!,3,FALSE)&lt;-2),"",#REF!),"")</f>
        <v/>
      </c>
      <c r="F423" t="str">
        <f>IFERROR(IF(OR(HLOOKUP($A423,#REF!,4,FALSE)&gt;2,HLOOKUP($A423,#REF!,4,FALSE)&lt;-2),"",#REF!),"")</f>
        <v/>
      </c>
      <c r="G423" t="str">
        <f>IFERROR(IF(OR(HLOOKUP($A423,#REF!,5,FALSE)&gt;2,HLOOKUP($A423,#REF!,5,FALSE)&lt;-2),"",#REF!),"")</f>
        <v/>
      </c>
      <c r="H423" t="str">
        <f>IFERROR(IF(OR(HLOOKUP($A423,#REF!,6,FALSE)&gt;2,HLOOKUP($A423,#REF!,6,FALSE)&lt;-2),"",#REF!),"")</f>
        <v/>
      </c>
      <c r="I423" t="str">
        <f>IFERROR(IF(OR(HLOOKUP($A423,#REF!,7,FALSE)&gt;2,HLOOKUP($A423,#REF!,7,FALSE)&lt;-2),"",#REF!),"")</f>
        <v/>
      </c>
      <c r="J423" t="str">
        <f>IFERROR(IF(OR(HLOOKUP($A423,#REF!,8,FALSE)&gt;2,HLOOKUP($A423,#REF!,8,FALSE)&lt;-2),"",#REF!),"")</f>
        <v/>
      </c>
      <c r="K423" t="str">
        <f>IFERROR(IF(OR(HLOOKUP($A423,#REF!,9,FALSE)&gt;2,HLOOKUP($A423,#REF!,9,FALSE)&lt;-2),"",#REF!),"")</f>
        <v/>
      </c>
      <c r="L423" t="str">
        <f>IFERROR(IF(OR(HLOOKUP($A423,#REF!,10,FALSE)&gt;2,HLOOKUP($A423,#REF!,10,FALSE)&lt;-2),"",#REF!),"")</f>
        <v/>
      </c>
      <c r="M423" t="str">
        <f>IFERROR(IF(OR(HLOOKUP($A423,#REF!,11,FALSE)&gt;2,HLOOKUP($A423,#REF!,11,FALSE)&lt;-2),"",#REF!),"")</f>
        <v/>
      </c>
      <c r="N423" t="str">
        <f>IFERROR(IF(OR(HLOOKUP($A423,#REF!,12,FALSE)&gt;2,HLOOKUP($A423,#REF!,12,FALSE)&lt;-2),"",#REF!),"")</f>
        <v/>
      </c>
      <c r="O423" t="str">
        <f>IFERROR(IF(OR(HLOOKUP($A423,#REF!,13,FALSE)&gt;2,HLOOKUP($A423,#REF!,13,FALSE)&lt;-2),"",#REF!),"")</f>
        <v/>
      </c>
      <c r="P423" t="str">
        <f>IFERROR(IF(OR(HLOOKUP($A423,#REF!,14,FALSE)&gt;2,HLOOKUP($A423,#REF!,14,FALSE)&lt;-2),"",#REF!),"")</f>
        <v/>
      </c>
      <c r="Q423" t="str">
        <f>IFERROR(IF(OR(HLOOKUP($A423,#REF!,15,FALSE)&gt;2,HLOOKUP($A423,#REF!,15,FALSE)&lt;-2),"",#REF!),"")</f>
        <v/>
      </c>
      <c r="R423" t="str">
        <f>IFERROR(IF(OR(HLOOKUP($A423,#REF!,16,FALSE)&gt;2,HLOOKUP($A423,#REF!,16,FALSE)&lt;-2),"",#REF!),"")</f>
        <v/>
      </c>
      <c r="S423" t="str">
        <f>IFERROR(IF(OR(HLOOKUP($A423,#REF!,17,FALSE)&gt;2,HLOOKUP($A423,#REF!,17,FALSE)&lt;-2),"",#REF!),"")</f>
        <v/>
      </c>
      <c r="T423" t="str">
        <f>IFERROR(IF(OR(HLOOKUP($A423,#REF!,18,FALSE)&gt;2,HLOOKUP($A423,#REF!,18,FALSE)&lt;-2),"",#REF!),"")</f>
        <v/>
      </c>
      <c r="U423" t="str">
        <f>IFERROR(IF(OR(HLOOKUP($A423,#REF!,19,FALSE)&gt;2,HLOOKUP($A423,#REF!,19,FALSE)&lt;-2),"",#REF!),"")</f>
        <v/>
      </c>
      <c r="V423">
        <f t="shared" si="24"/>
        <v>1</v>
      </c>
      <c r="W423" t="str">
        <f t="shared" si="25"/>
        <v/>
      </c>
      <c r="X423" t="str">
        <f t="shared" si="26"/>
        <v/>
      </c>
      <c r="Y423" t="str">
        <f t="shared" si="27"/>
        <v/>
      </c>
    </row>
    <row r="424" spans="1:25" x14ac:dyDescent="0.35">
      <c r="A424">
        <v>432</v>
      </c>
      <c r="B424" t="s">
        <v>810</v>
      </c>
      <c r="C424">
        <v>70400</v>
      </c>
      <c r="D424">
        <v>332</v>
      </c>
      <c r="E424" t="str">
        <f>IFERROR(IF(OR(HLOOKUP($A424,#REF!,3,FALSE)&gt;2,HLOOKUP(A424,#REF!,3,FALSE)&lt;-2),"",#REF!),"")</f>
        <v/>
      </c>
      <c r="F424" t="str">
        <f>IFERROR(IF(OR(HLOOKUP($A424,#REF!,4,FALSE)&gt;2,HLOOKUP($A424,#REF!,4,FALSE)&lt;-2),"",#REF!),"")</f>
        <v/>
      </c>
      <c r="G424" t="str">
        <f>IFERROR(IF(OR(HLOOKUP($A424,#REF!,5,FALSE)&gt;2,HLOOKUP($A424,#REF!,5,FALSE)&lt;-2),"",#REF!),"")</f>
        <v/>
      </c>
      <c r="H424" t="str">
        <f>IFERROR(IF(OR(HLOOKUP($A424,#REF!,6,FALSE)&gt;2,HLOOKUP($A424,#REF!,6,FALSE)&lt;-2),"",#REF!),"")</f>
        <v/>
      </c>
      <c r="I424" t="str">
        <f>IFERROR(IF(OR(HLOOKUP($A424,#REF!,7,FALSE)&gt;2,HLOOKUP($A424,#REF!,7,FALSE)&lt;-2),"",#REF!),"")</f>
        <v/>
      </c>
      <c r="J424" t="str">
        <f>IFERROR(IF(OR(HLOOKUP($A424,#REF!,8,FALSE)&gt;2,HLOOKUP($A424,#REF!,8,FALSE)&lt;-2),"",#REF!),"")</f>
        <v/>
      </c>
      <c r="K424" t="str">
        <f>IFERROR(IF(OR(HLOOKUP($A424,#REF!,9,FALSE)&gt;2,HLOOKUP($A424,#REF!,9,FALSE)&lt;-2),"",#REF!),"")</f>
        <v/>
      </c>
      <c r="L424" t="str">
        <f>IFERROR(IF(OR(HLOOKUP($A424,#REF!,10,FALSE)&gt;2,HLOOKUP($A424,#REF!,10,FALSE)&lt;-2),"",#REF!),"")</f>
        <v/>
      </c>
      <c r="M424" t="str">
        <f>IFERROR(IF(OR(HLOOKUP($A424,#REF!,11,FALSE)&gt;2,HLOOKUP($A424,#REF!,11,FALSE)&lt;-2),"",#REF!),"")</f>
        <v/>
      </c>
      <c r="N424" t="str">
        <f>IFERROR(IF(OR(HLOOKUP($A424,#REF!,12,FALSE)&gt;2,HLOOKUP($A424,#REF!,12,FALSE)&lt;-2),"",#REF!),"")</f>
        <v/>
      </c>
      <c r="O424" t="str">
        <f>IFERROR(IF(OR(HLOOKUP($A424,#REF!,13,FALSE)&gt;2,HLOOKUP($A424,#REF!,13,FALSE)&lt;-2),"",#REF!),"")</f>
        <v/>
      </c>
      <c r="P424" t="str">
        <f>IFERROR(IF(OR(HLOOKUP($A424,#REF!,14,FALSE)&gt;2,HLOOKUP($A424,#REF!,14,FALSE)&lt;-2),"",#REF!),"")</f>
        <v/>
      </c>
      <c r="Q424" t="str">
        <f>IFERROR(IF(OR(HLOOKUP($A424,#REF!,15,FALSE)&gt;2,HLOOKUP($A424,#REF!,15,FALSE)&lt;-2),"",#REF!),"")</f>
        <v/>
      </c>
      <c r="R424" t="str">
        <f>IFERROR(IF(OR(HLOOKUP($A424,#REF!,16,FALSE)&gt;2,HLOOKUP($A424,#REF!,16,FALSE)&lt;-2),"",#REF!),"")</f>
        <v/>
      </c>
      <c r="S424" t="str">
        <f>IFERROR(IF(OR(HLOOKUP($A424,#REF!,17,FALSE)&gt;2,HLOOKUP($A424,#REF!,17,FALSE)&lt;-2),"",#REF!),"")</f>
        <v/>
      </c>
      <c r="T424" t="str">
        <f>IFERROR(IF(OR(HLOOKUP($A424,#REF!,18,FALSE)&gt;2,HLOOKUP($A424,#REF!,18,FALSE)&lt;-2),"",#REF!),"")</f>
        <v/>
      </c>
      <c r="U424" t="str">
        <f>IFERROR(IF(OR(HLOOKUP($A424,#REF!,19,FALSE)&gt;2,HLOOKUP($A424,#REF!,19,FALSE)&lt;-2),"",#REF!),"")</f>
        <v/>
      </c>
      <c r="V424">
        <f t="shared" si="24"/>
        <v>1</v>
      </c>
      <c r="W424" t="str">
        <f t="shared" si="25"/>
        <v/>
      </c>
      <c r="X424" t="str">
        <f t="shared" si="26"/>
        <v/>
      </c>
      <c r="Y424" t="str">
        <f t="shared" si="27"/>
        <v/>
      </c>
    </row>
    <row r="425" spans="1:25" x14ac:dyDescent="0.35">
      <c r="A425">
        <v>433</v>
      </c>
      <c r="B425" t="s">
        <v>217</v>
      </c>
      <c r="C425">
        <v>15200</v>
      </c>
      <c r="D425">
        <v>394</v>
      </c>
      <c r="E425" t="str">
        <f>IFERROR(IF(OR(HLOOKUP($A425,#REF!,3,FALSE)&gt;2,HLOOKUP(A425,#REF!,3,FALSE)&lt;-2),"",#REF!),"")</f>
        <v/>
      </c>
      <c r="F425" t="str">
        <f>IFERROR(IF(OR(HLOOKUP($A425,#REF!,4,FALSE)&gt;2,HLOOKUP($A425,#REF!,4,FALSE)&lt;-2),"",#REF!),"")</f>
        <v/>
      </c>
      <c r="G425" t="str">
        <f>IFERROR(IF(OR(HLOOKUP($A425,#REF!,5,FALSE)&gt;2,HLOOKUP($A425,#REF!,5,FALSE)&lt;-2),"",#REF!),"")</f>
        <v/>
      </c>
      <c r="H425" t="str">
        <f>IFERROR(IF(OR(HLOOKUP($A425,#REF!,6,FALSE)&gt;2,HLOOKUP($A425,#REF!,6,FALSE)&lt;-2),"",#REF!),"")</f>
        <v/>
      </c>
      <c r="I425" t="str">
        <f>IFERROR(IF(OR(HLOOKUP($A425,#REF!,7,FALSE)&gt;2,HLOOKUP($A425,#REF!,7,FALSE)&lt;-2),"",#REF!),"")</f>
        <v/>
      </c>
      <c r="J425" t="str">
        <f>IFERROR(IF(OR(HLOOKUP($A425,#REF!,8,FALSE)&gt;2,HLOOKUP($A425,#REF!,8,FALSE)&lt;-2),"",#REF!),"")</f>
        <v/>
      </c>
      <c r="K425" t="str">
        <f>IFERROR(IF(OR(HLOOKUP($A425,#REF!,9,FALSE)&gt;2,HLOOKUP($A425,#REF!,9,FALSE)&lt;-2),"",#REF!),"")</f>
        <v/>
      </c>
      <c r="L425" t="str">
        <f>IFERROR(IF(OR(HLOOKUP($A425,#REF!,10,FALSE)&gt;2,HLOOKUP($A425,#REF!,10,FALSE)&lt;-2),"",#REF!),"")</f>
        <v/>
      </c>
      <c r="M425" t="str">
        <f>IFERROR(IF(OR(HLOOKUP($A425,#REF!,11,FALSE)&gt;2,HLOOKUP($A425,#REF!,11,FALSE)&lt;-2),"",#REF!),"")</f>
        <v/>
      </c>
      <c r="N425" t="str">
        <f>IFERROR(IF(OR(HLOOKUP($A425,#REF!,12,FALSE)&gt;2,HLOOKUP($A425,#REF!,12,FALSE)&lt;-2),"",#REF!),"")</f>
        <v/>
      </c>
      <c r="O425" t="str">
        <f>IFERROR(IF(OR(HLOOKUP($A425,#REF!,13,FALSE)&gt;2,HLOOKUP($A425,#REF!,13,FALSE)&lt;-2),"",#REF!),"")</f>
        <v/>
      </c>
      <c r="P425" t="str">
        <f>IFERROR(IF(OR(HLOOKUP($A425,#REF!,14,FALSE)&gt;2,HLOOKUP($A425,#REF!,14,FALSE)&lt;-2),"",#REF!),"")</f>
        <v/>
      </c>
      <c r="Q425" t="str">
        <f>IFERROR(IF(OR(HLOOKUP($A425,#REF!,15,FALSE)&gt;2,HLOOKUP($A425,#REF!,15,FALSE)&lt;-2),"",#REF!),"")</f>
        <v/>
      </c>
      <c r="R425" t="str">
        <f>IFERROR(IF(OR(HLOOKUP($A425,#REF!,16,FALSE)&gt;2,HLOOKUP($A425,#REF!,16,FALSE)&lt;-2),"",#REF!),"")</f>
        <v/>
      </c>
      <c r="S425" t="str">
        <f>IFERROR(IF(OR(HLOOKUP($A425,#REF!,17,FALSE)&gt;2,HLOOKUP($A425,#REF!,17,FALSE)&lt;-2),"",#REF!),"")</f>
        <v/>
      </c>
      <c r="T425" t="str">
        <f>IFERROR(IF(OR(HLOOKUP($A425,#REF!,18,FALSE)&gt;2,HLOOKUP($A425,#REF!,18,FALSE)&lt;-2),"",#REF!),"")</f>
        <v/>
      </c>
      <c r="U425" t="str">
        <f>IFERROR(IF(OR(HLOOKUP($A425,#REF!,19,FALSE)&gt;2,HLOOKUP($A425,#REF!,19,FALSE)&lt;-2),"",#REF!),"")</f>
        <v/>
      </c>
      <c r="V425">
        <f t="shared" si="24"/>
        <v>1</v>
      </c>
      <c r="W425" t="str">
        <f t="shared" si="25"/>
        <v/>
      </c>
      <c r="X425" t="str">
        <f t="shared" si="26"/>
        <v/>
      </c>
      <c r="Y425" t="str">
        <f t="shared" si="27"/>
        <v/>
      </c>
    </row>
    <row r="426" spans="1:25" x14ac:dyDescent="0.35">
      <c r="A426">
        <v>434</v>
      </c>
      <c r="B426" t="s">
        <v>218</v>
      </c>
      <c r="C426">
        <v>26100</v>
      </c>
      <c r="D426">
        <v>879</v>
      </c>
      <c r="E426" t="str">
        <f>IFERROR(IF(OR(HLOOKUP($A426,#REF!,3,FALSE)&gt;2,HLOOKUP(A426,#REF!,3,FALSE)&lt;-2),"",#REF!),"")</f>
        <v/>
      </c>
      <c r="F426" t="str">
        <f>IFERROR(IF(OR(HLOOKUP($A426,#REF!,4,FALSE)&gt;2,HLOOKUP($A426,#REF!,4,FALSE)&lt;-2),"",#REF!),"")</f>
        <v/>
      </c>
      <c r="G426" t="str">
        <f>IFERROR(IF(OR(HLOOKUP($A426,#REF!,5,FALSE)&gt;2,HLOOKUP($A426,#REF!,5,FALSE)&lt;-2),"",#REF!),"")</f>
        <v/>
      </c>
      <c r="H426" t="str">
        <f>IFERROR(IF(OR(HLOOKUP($A426,#REF!,6,FALSE)&gt;2,HLOOKUP($A426,#REF!,6,FALSE)&lt;-2),"",#REF!),"")</f>
        <v/>
      </c>
      <c r="I426" t="str">
        <f>IFERROR(IF(OR(HLOOKUP($A426,#REF!,7,FALSE)&gt;2,HLOOKUP($A426,#REF!,7,FALSE)&lt;-2),"",#REF!),"")</f>
        <v/>
      </c>
      <c r="J426" t="str">
        <f>IFERROR(IF(OR(HLOOKUP($A426,#REF!,8,FALSE)&gt;2,HLOOKUP($A426,#REF!,8,FALSE)&lt;-2),"",#REF!),"")</f>
        <v/>
      </c>
      <c r="K426" t="str">
        <f>IFERROR(IF(OR(HLOOKUP($A426,#REF!,9,FALSE)&gt;2,HLOOKUP($A426,#REF!,9,FALSE)&lt;-2),"",#REF!),"")</f>
        <v/>
      </c>
      <c r="L426" t="str">
        <f>IFERROR(IF(OR(HLOOKUP($A426,#REF!,10,FALSE)&gt;2,HLOOKUP($A426,#REF!,10,FALSE)&lt;-2),"",#REF!),"")</f>
        <v/>
      </c>
      <c r="M426" t="str">
        <f>IFERROR(IF(OR(HLOOKUP($A426,#REF!,11,FALSE)&gt;2,HLOOKUP($A426,#REF!,11,FALSE)&lt;-2),"",#REF!),"")</f>
        <v/>
      </c>
      <c r="N426" t="str">
        <f>IFERROR(IF(OR(HLOOKUP($A426,#REF!,12,FALSE)&gt;2,HLOOKUP($A426,#REF!,12,FALSE)&lt;-2),"",#REF!),"")</f>
        <v/>
      </c>
      <c r="O426" t="str">
        <f>IFERROR(IF(OR(HLOOKUP($A426,#REF!,13,FALSE)&gt;2,HLOOKUP($A426,#REF!,13,FALSE)&lt;-2),"",#REF!),"")</f>
        <v/>
      </c>
      <c r="P426" t="str">
        <f>IFERROR(IF(OR(HLOOKUP($A426,#REF!,14,FALSE)&gt;2,HLOOKUP($A426,#REF!,14,FALSE)&lt;-2),"",#REF!),"")</f>
        <v/>
      </c>
      <c r="Q426" t="str">
        <f>IFERROR(IF(OR(HLOOKUP($A426,#REF!,15,FALSE)&gt;2,HLOOKUP($A426,#REF!,15,FALSE)&lt;-2),"",#REF!),"")</f>
        <v/>
      </c>
      <c r="R426" t="str">
        <f>IFERROR(IF(OR(HLOOKUP($A426,#REF!,16,FALSE)&gt;2,HLOOKUP($A426,#REF!,16,FALSE)&lt;-2),"",#REF!),"")</f>
        <v/>
      </c>
      <c r="S426" t="str">
        <f>IFERROR(IF(OR(HLOOKUP($A426,#REF!,17,FALSE)&gt;2,HLOOKUP($A426,#REF!,17,FALSE)&lt;-2),"",#REF!),"")</f>
        <v/>
      </c>
      <c r="T426" t="str">
        <f>IFERROR(IF(OR(HLOOKUP($A426,#REF!,18,FALSE)&gt;2,HLOOKUP($A426,#REF!,18,FALSE)&lt;-2),"",#REF!),"")</f>
        <v/>
      </c>
      <c r="U426" t="str">
        <f>IFERROR(IF(OR(HLOOKUP($A426,#REF!,19,FALSE)&gt;2,HLOOKUP($A426,#REF!,19,FALSE)&lt;-2),"",#REF!),"")</f>
        <v/>
      </c>
      <c r="V426">
        <f t="shared" si="24"/>
        <v>1</v>
      </c>
      <c r="W426" t="str">
        <f t="shared" si="25"/>
        <v/>
      </c>
      <c r="X426" t="str">
        <f t="shared" si="26"/>
        <v/>
      </c>
      <c r="Y426" t="str">
        <f t="shared" si="27"/>
        <v/>
      </c>
    </row>
    <row r="427" spans="1:25" x14ac:dyDescent="0.35">
      <c r="A427">
        <v>435</v>
      </c>
      <c r="B427" t="s">
        <v>811</v>
      </c>
      <c r="C427">
        <v>51500</v>
      </c>
      <c r="D427">
        <v>403</v>
      </c>
      <c r="E427" t="str">
        <f>IFERROR(IF(OR(HLOOKUP($A427,#REF!,3,FALSE)&gt;2,HLOOKUP(A427,#REF!,3,FALSE)&lt;-2),"",#REF!),"")</f>
        <v/>
      </c>
      <c r="F427" t="str">
        <f>IFERROR(IF(OR(HLOOKUP($A427,#REF!,4,FALSE)&gt;2,HLOOKUP($A427,#REF!,4,FALSE)&lt;-2),"",#REF!),"")</f>
        <v/>
      </c>
      <c r="G427" t="str">
        <f>IFERROR(IF(OR(HLOOKUP($A427,#REF!,5,FALSE)&gt;2,HLOOKUP($A427,#REF!,5,FALSE)&lt;-2),"",#REF!),"")</f>
        <v/>
      </c>
      <c r="H427" t="str">
        <f>IFERROR(IF(OR(HLOOKUP($A427,#REF!,6,FALSE)&gt;2,HLOOKUP($A427,#REF!,6,FALSE)&lt;-2),"",#REF!),"")</f>
        <v/>
      </c>
      <c r="I427" t="str">
        <f>IFERROR(IF(OR(HLOOKUP($A427,#REF!,7,FALSE)&gt;2,HLOOKUP($A427,#REF!,7,FALSE)&lt;-2),"",#REF!),"")</f>
        <v/>
      </c>
      <c r="J427" t="str">
        <f>IFERROR(IF(OR(HLOOKUP($A427,#REF!,8,FALSE)&gt;2,HLOOKUP($A427,#REF!,8,FALSE)&lt;-2),"",#REF!),"")</f>
        <v/>
      </c>
      <c r="K427" t="str">
        <f>IFERROR(IF(OR(HLOOKUP($A427,#REF!,9,FALSE)&gt;2,HLOOKUP($A427,#REF!,9,FALSE)&lt;-2),"",#REF!),"")</f>
        <v/>
      </c>
      <c r="L427" t="str">
        <f>IFERROR(IF(OR(HLOOKUP($A427,#REF!,10,FALSE)&gt;2,HLOOKUP($A427,#REF!,10,FALSE)&lt;-2),"",#REF!),"")</f>
        <v/>
      </c>
      <c r="M427" t="str">
        <f>IFERROR(IF(OR(HLOOKUP($A427,#REF!,11,FALSE)&gt;2,HLOOKUP($A427,#REF!,11,FALSE)&lt;-2),"",#REF!),"")</f>
        <v/>
      </c>
      <c r="N427" t="str">
        <f>IFERROR(IF(OR(HLOOKUP($A427,#REF!,12,FALSE)&gt;2,HLOOKUP($A427,#REF!,12,FALSE)&lt;-2),"",#REF!),"")</f>
        <v/>
      </c>
      <c r="O427" t="str">
        <f>IFERROR(IF(OR(HLOOKUP($A427,#REF!,13,FALSE)&gt;2,HLOOKUP($A427,#REF!,13,FALSE)&lt;-2),"",#REF!),"")</f>
        <v/>
      </c>
      <c r="P427" t="str">
        <f>IFERROR(IF(OR(HLOOKUP($A427,#REF!,14,FALSE)&gt;2,HLOOKUP($A427,#REF!,14,FALSE)&lt;-2),"",#REF!),"")</f>
        <v/>
      </c>
      <c r="Q427" t="str">
        <f>IFERROR(IF(OR(HLOOKUP($A427,#REF!,15,FALSE)&gt;2,HLOOKUP($A427,#REF!,15,FALSE)&lt;-2),"",#REF!),"")</f>
        <v/>
      </c>
      <c r="R427" t="str">
        <f>IFERROR(IF(OR(HLOOKUP($A427,#REF!,16,FALSE)&gt;2,HLOOKUP($A427,#REF!,16,FALSE)&lt;-2),"",#REF!),"")</f>
        <v/>
      </c>
      <c r="S427" t="str">
        <f>IFERROR(IF(OR(HLOOKUP($A427,#REF!,17,FALSE)&gt;2,HLOOKUP($A427,#REF!,17,FALSE)&lt;-2),"",#REF!),"")</f>
        <v/>
      </c>
      <c r="T427" t="str">
        <f>IFERROR(IF(OR(HLOOKUP($A427,#REF!,18,FALSE)&gt;2,HLOOKUP($A427,#REF!,18,FALSE)&lt;-2),"",#REF!),"")</f>
        <v/>
      </c>
      <c r="U427" t="str">
        <f>IFERROR(IF(OR(HLOOKUP($A427,#REF!,19,FALSE)&gt;2,HLOOKUP($A427,#REF!,19,FALSE)&lt;-2),"",#REF!),"")</f>
        <v/>
      </c>
      <c r="V427">
        <f t="shared" si="24"/>
        <v>1</v>
      </c>
      <c r="W427" t="str">
        <f t="shared" si="25"/>
        <v/>
      </c>
      <c r="X427" t="str">
        <f t="shared" si="26"/>
        <v/>
      </c>
      <c r="Y427" t="str">
        <f t="shared" si="27"/>
        <v/>
      </c>
    </row>
    <row r="428" spans="1:25" x14ac:dyDescent="0.35">
      <c r="A428">
        <v>436</v>
      </c>
      <c r="B428" t="s">
        <v>219</v>
      </c>
      <c r="C428">
        <v>111900</v>
      </c>
      <c r="D428">
        <v>737</v>
      </c>
      <c r="E428" t="str">
        <f>IFERROR(IF(OR(HLOOKUP($A428,#REF!,3,FALSE)&gt;2,HLOOKUP(A428,#REF!,3,FALSE)&lt;-2),"",#REF!),"")</f>
        <v/>
      </c>
      <c r="F428" t="str">
        <f>IFERROR(IF(OR(HLOOKUP($A428,#REF!,4,FALSE)&gt;2,HLOOKUP($A428,#REF!,4,FALSE)&lt;-2),"",#REF!),"")</f>
        <v/>
      </c>
      <c r="G428" t="str">
        <f>IFERROR(IF(OR(HLOOKUP($A428,#REF!,5,FALSE)&gt;2,HLOOKUP($A428,#REF!,5,FALSE)&lt;-2),"",#REF!),"")</f>
        <v/>
      </c>
      <c r="H428" t="str">
        <f>IFERROR(IF(OR(HLOOKUP($A428,#REF!,6,FALSE)&gt;2,HLOOKUP($A428,#REF!,6,FALSE)&lt;-2),"",#REF!),"")</f>
        <v/>
      </c>
      <c r="I428" t="str">
        <f>IFERROR(IF(OR(HLOOKUP($A428,#REF!,7,FALSE)&gt;2,HLOOKUP($A428,#REF!,7,FALSE)&lt;-2),"",#REF!),"")</f>
        <v/>
      </c>
      <c r="J428" t="str">
        <f>IFERROR(IF(OR(HLOOKUP($A428,#REF!,8,FALSE)&gt;2,HLOOKUP($A428,#REF!,8,FALSE)&lt;-2),"",#REF!),"")</f>
        <v/>
      </c>
      <c r="K428" t="str">
        <f>IFERROR(IF(OR(HLOOKUP($A428,#REF!,9,FALSE)&gt;2,HLOOKUP($A428,#REF!,9,FALSE)&lt;-2),"",#REF!),"")</f>
        <v/>
      </c>
      <c r="L428" t="str">
        <f>IFERROR(IF(OR(HLOOKUP($A428,#REF!,10,FALSE)&gt;2,HLOOKUP($A428,#REF!,10,FALSE)&lt;-2),"",#REF!),"")</f>
        <v/>
      </c>
      <c r="M428" t="str">
        <f>IFERROR(IF(OR(HLOOKUP($A428,#REF!,11,FALSE)&gt;2,HLOOKUP($A428,#REF!,11,FALSE)&lt;-2),"",#REF!),"")</f>
        <v/>
      </c>
      <c r="N428" t="str">
        <f>IFERROR(IF(OR(HLOOKUP($A428,#REF!,12,FALSE)&gt;2,HLOOKUP($A428,#REF!,12,FALSE)&lt;-2),"",#REF!),"")</f>
        <v/>
      </c>
      <c r="O428" t="str">
        <f>IFERROR(IF(OR(HLOOKUP($A428,#REF!,13,FALSE)&gt;2,HLOOKUP($A428,#REF!,13,FALSE)&lt;-2),"",#REF!),"")</f>
        <v/>
      </c>
      <c r="P428" t="str">
        <f>IFERROR(IF(OR(HLOOKUP($A428,#REF!,14,FALSE)&gt;2,HLOOKUP($A428,#REF!,14,FALSE)&lt;-2),"",#REF!),"")</f>
        <v/>
      </c>
      <c r="Q428" t="str">
        <f>IFERROR(IF(OR(HLOOKUP($A428,#REF!,15,FALSE)&gt;2,HLOOKUP($A428,#REF!,15,FALSE)&lt;-2),"",#REF!),"")</f>
        <v/>
      </c>
      <c r="R428" t="str">
        <f>IFERROR(IF(OR(HLOOKUP($A428,#REF!,16,FALSE)&gt;2,HLOOKUP($A428,#REF!,16,FALSE)&lt;-2),"",#REF!),"")</f>
        <v/>
      </c>
      <c r="S428" t="str">
        <f>IFERROR(IF(OR(HLOOKUP($A428,#REF!,17,FALSE)&gt;2,HLOOKUP($A428,#REF!,17,FALSE)&lt;-2),"",#REF!),"")</f>
        <v/>
      </c>
      <c r="T428" t="str">
        <f>IFERROR(IF(OR(HLOOKUP($A428,#REF!,18,FALSE)&gt;2,HLOOKUP($A428,#REF!,18,FALSE)&lt;-2),"",#REF!),"")</f>
        <v/>
      </c>
      <c r="U428" t="str">
        <f>IFERROR(IF(OR(HLOOKUP($A428,#REF!,19,FALSE)&gt;2,HLOOKUP($A428,#REF!,19,FALSE)&lt;-2),"",#REF!),"")</f>
        <v/>
      </c>
      <c r="V428">
        <f t="shared" si="24"/>
        <v>1</v>
      </c>
      <c r="W428" t="str">
        <f t="shared" si="25"/>
        <v/>
      </c>
      <c r="X428" t="str">
        <f t="shared" si="26"/>
        <v/>
      </c>
      <c r="Y428" t="str">
        <f t="shared" si="27"/>
        <v/>
      </c>
    </row>
    <row r="429" spans="1:25" x14ac:dyDescent="0.35">
      <c r="A429">
        <v>437</v>
      </c>
      <c r="B429" t="s">
        <v>220</v>
      </c>
      <c r="C429">
        <v>91400</v>
      </c>
      <c r="D429">
        <v>386</v>
      </c>
      <c r="E429" t="str">
        <f>IFERROR(IF(OR(HLOOKUP($A429,#REF!,3,FALSE)&gt;2,HLOOKUP(A429,#REF!,3,FALSE)&lt;-2),"",#REF!),"")</f>
        <v/>
      </c>
      <c r="F429" t="str">
        <f>IFERROR(IF(OR(HLOOKUP($A429,#REF!,4,FALSE)&gt;2,HLOOKUP($A429,#REF!,4,FALSE)&lt;-2),"",#REF!),"")</f>
        <v/>
      </c>
      <c r="G429" t="str">
        <f>IFERROR(IF(OR(HLOOKUP($A429,#REF!,5,FALSE)&gt;2,HLOOKUP($A429,#REF!,5,FALSE)&lt;-2),"",#REF!),"")</f>
        <v/>
      </c>
      <c r="H429" t="str">
        <f>IFERROR(IF(OR(HLOOKUP($A429,#REF!,6,FALSE)&gt;2,HLOOKUP($A429,#REF!,6,FALSE)&lt;-2),"",#REF!),"")</f>
        <v/>
      </c>
      <c r="I429" t="str">
        <f>IFERROR(IF(OR(HLOOKUP($A429,#REF!,7,FALSE)&gt;2,HLOOKUP($A429,#REF!,7,FALSE)&lt;-2),"",#REF!),"")</f>
        <v/>
      </c>
      <c r="J429" t="str">
        <f>IFERROR(IF(OR(HLOOKUP($A429,#REF!,8,FALSE)&gt;2,HLOOKUP($A429,#REF!,8,FALSE)&lt;-2),"",#REF!),"")</f>
        <v/>
      </c>
      <c r="K429" t="str">
        <f>IFERROR(IF(OR(HLOOKUP($A429,#REF!,9,FALSE)&gt;2,HLOOKUP($A429,#REF!,9,FALSE)&lt;-2),"",#REF!),"")</f>
        <v/>
      </c>
      <c r="L429" t="str">
        <f>IFERROR(IF(OR(HLOOKUP($A429,#REF!,10,FALSE)&gt;2,HLOOKUP($A429,#REF!,10,FALSE)&lt;-2),"",#REF!),"")</f>
        <v/>
      </c>
      <c r="M429" t="str">
        <f>IFERROR(IF(OR(HLOOKUP($A429,#REF!,11,FALSE)&gt;2,HLOOKUP($A429,#REF!,11,FALSE)&lt;-2),"",#REF!),"")</f>
        <v/>
      </c>
      <c r="N429" t="str">
        <f>IFERROR(IF(OR(HLOOKUP($A429,#REF!,12,FALSE)&gt;2,HLOOKUP($A429,#REF!,12,FALSE)&lt;-2),"",#REF!),"")</f>
        <v/>
      </c>
      <c r="O429" t="str">
        <f>IFERROR(IF(OR(HLOOKUP($A429,#REF!,13,FALSE)&gt;2,HLOOKUP($A429,#REF!,13,FALSE)&lt;-2),"",#REF!),"")</f>
        <v/>
      </c>
      <c r="P429" t="str">
        <f>IFERROR(IF(OR(HLOOKUP($A429,#REF!,14,FALSE)&gt;2,HLOOKUP($A429,#REF!,14,FALSE)&lt;-2),"",#REF!),"")</f>
        <v/>
      </c>
      <c r="Q429" t="str">
        <f>IFERROR(IF(OR(HLOOKUP($A429,#REF!,15,FALSE)&gt;2,HLOOKUP($A429,#REF!,15,FALSE)&lt;-2),"",#REF!),"")</f>
        <v/>
      </c>
      <c r="R429" t="str">
        <f>IFERROR(IF(OR(HLOOKUP($A429,#REF!,16,FALSE)&gt;2,HLOOKUP($A429,#REF!,16,FALSE)&lt;-2),"",#REF!),"")</f>
        <v/>
      </c>
      <c r="S429" t="str">
        <f>IFERROR(IF(OR(HLOOKUP($A429,#REF!,17,FALSE)&gt;2,HLOOKUP($A429,#REF!,17,FALSE)&lt;-2),"",#REF!),"")</f>
        <v/>
      </c>
      <c r="T429" t="str">
        <f>IFERROR(IF(OR(HLOOKUP($A429,#REF!,18,FALSE)&gt;2,HLOOKUP($A429,#REF!,18,FALSE)&lt;-2),"",#REF!),"")</f>
        <v/>
      </c>
      <c r="U429" t="str">
        <f>IFERROR(IF(OR(HLOOKUP($A429,#REF!,19,FALSE)&gt;2,HLOOKUP($A429,#REF!,19,FALSE)&lt;-2),"",#REF!),"")</f>
        <v/>
      </c>
      <c r="V429">
        <f t="shared" si="24"/>
        <v>1</v>
      </c>
      <c r="W429" t="str">
        <f t="shared" si="25"/>
        <v/>
      </c>
      <c r="X429" t="str">
        <f t="shared" si="26"/>
        <v/>
      </c>
      <c r="Y429" t="str">
        <f t="shared" si="27"/>
        <v/>
      </c>
    </row>
    <row r="430" spans="1:25" x14ac:dyDescent="0.35">
      <c r="A430">
        <v>438</v>
      </c>
      <c r="B430" t="s">
        <v>812</v>
      </c>
      <c r="C430">
        <v>38400</v>
      </c>
      <c r="D430">
        <v>423</v>
      </c>
      <c r="E430" t="str">
        <f>IFERROR(IF(OR(HLOOKUP($A430,#REF!,3,FALSE)&gt;2,HLOOKUP(A430,#REF!,3,FALSE)&lt;-2),"",#REF!),"")</f>
        <v/>
      </c>
      <c r="F430" t="str">
        <f>IFERROR(IF(OR(HLOOKUP($A430,#REF!,4,FALSE)&gt;2,HLOOKUP($A430,#REF!,4,FALSE)&lt;-2),"",#REF!),"")</f>
        <v/>
      </c>
      <c r="G430" t="str">
        <f>IFERROR(IF(OR(HLOOKUP($A430,#REF!,5,FALSE)&gt;2,HLOOKUP($A430,#REF!,5,FALSE)&lt;-2),"",#REF!),"")</f>
        <v/>
      </c>
      <c r="H430" t="str">
        <f>IFERROR(IF(OR(HLOOKUP($A430,#REF!,6,FALSE)&gt;2,HLOOKUP($A430,#REF!,6,FALSE)&lt;-2),"",#REF!),"")</f>
        <v/>
      </c>
      <c r="I430" t="str">
        <f>IFERROR(IF(OR(HLOOKUP($A430,#REF!,7,FALSE)&gt;2,HLOOKUP($A430,#REF!,7,FALSE)&lt;-2),"",#REF!),"")</f>
        <v/>
      </c>
      <c r="J430" t="str">
        <f>IFERROR(IF(OR(HLOOKUP($A430,#REF!,8,FALSE)&gt;2,HLOOKUP($A430,#REF!,8,FALSE)&lt;-2),"",#REF!),"")</f>
        <v/>
      </c>
      <c r="K430" t="str">
        <f>IFERROR(IF(OR(HLOOKUP($A430,#REF!,9,FALSE)&gt;2,HLOOKUP($A430,#REF!,9,FALSE)&lt;-2),"",#REF!),"")</f>
        <v/>
      </c>
      <c r="L430" t="str">
        <f>IFERROR(IF(OR(HLOOKUP($A430,#REF!,10,FALSE)&gt;2,HLOOKUP($A430,#REF!,10,FALSE)&lt;-2),"",#REF!),"")</f>
        <v/>
      </c>
      <c r="M430" t="str">
        <f>IFERROR(IF(OR(HLOOKUP($A430,#REF!,11,FALSE)&gt;2,HLOOKUP($A430,#REF!,11,FALSE)&lt;-2),"",#REF!),"")</f>
        <v/>
      </c>
      <c r="N430" t="str">
        <f>IFERROR(IF(OR(HLOOKUP($A430,#REF!,12,FALSE)&gt;2,HLOOKUP($A430,#REF!,12,FALSE)&lt;-2),"",#REF!),"")</f>
        <v/>
      </c>
      <c r="O430" t="str">
        <f>IFERROR(IF(OR(HLOOKUP($A430,#REF!,13,FALSE)&gt;2,HLOOKUP($A430,#REF!,13,FALSE)&lt;-2),"",#REF!),"")</f>
        <v/>
      </c>
      <c r="P430" t="str">
        <f>IFERROR(IF(OR(HLOOKUP($A430,#REF!,14,FALSE)&gt;2,HLOOKUP($A430,#REF!,14,FALSE)&lt;-2),"",#REF!),"")</f>
        <v/>
      </c>
      <c r="Q430" t="str">
        <f>IFERROR(IF(OR(HLOOKUP($A430,#REF!,15,FALSE)&gt;2,HLOOKUP($A430,#REF!,15,FALSE)&lt;-2),"",#REF!),"")</f>
        <v/>
      </c>
      <c r="R430" t="str">
        <f>IFERROR(IF(OR(HLOOKUP($A430,#REF!,16,FALSE)&gt;2,HLOOKUP($A430,#REF!,16,FALSE)&lt;-2),"",#REF!),"")</f>
        <v/>
      </c>
      <c r="S430" t="str">
        <f>IFERROR(IF(OR(HLOOKUP($A430,#REF!,17,FALSE)&gt;2,HLOOKUP($A430,#REF!,17,FALSE)&lt;-2),"",#REF!),"")</f>
        <v/>
      </c>
      <c r="T430" t="str">
        <f>IFERROR(IF(OR(HLOOKUP($A430,#REF!,18,FALSE)&gt;2,HLOOKUP($A430,#REF!,18,FALSE)&lt;-2),"",#REF!),"")</f>
        <v/>
      </c>
      <c r="U430" t="str">
        <f>IFERROR(IF(OR(HLOOKUP($A430,#REF!,19,FALSE)&gt;2,HLOOKUP($A430,#REF!,19,FALSE)&lt;-2),"",#REF!),"")</f>
        <v/>
      </c>
      <c r="V430">
        <f t="shared" si="24"/>
        <v>1</v>
      </c>
      <c r="W430" t="str">
        <f t="shared" si="25"/>
        <v/>
      </c>
      <c r="X430" t="str">
        <f t="shared" si="26"/>
        <v/>
      </c>
      <c r="Y430" t="str">
        <f t="shared" si="27"/>
        <v/>
      </c>
    </row>
    <row r="431" spans="1:25" x14ac:dyDescent="0.35">
      <c r="A431">
        <v>439</v>
      </c>
      <c r="B431" t="s">
        <v>813</v>
      </c>
      <c r="C431">
        <v>76300</v>
      </c>
      <c r="D431">
        <v>63</v>
      </c>
      <c r="E431" t="str">
        <f>IFERROR(IF(OR(HLOOKUP($A431,#REF!,3,FALSE)&gt;2,HLOOKUP(A431,#REF!,3,FALSE)&lt;-2),"",#REF!),"")</f>
        <v/>
      </c>
      <c r="F431" t="str">
        <f>IFERROR(IF(OR(HLOOKUP($A431,#REF!,4,FALSE)&gt;2,HLOOKUP($A431,#REF!,4,FALSE)&lt;-2),"",#REF!),"")</f>
        <v/>
      </c>
      <c r="G431" t="str">
        <f>IFERROR(IF(OR(HLOOKUP($A431,#REF!,5,FALSE)&gt;2,HLOOKUP($A431,#REF!,5,FALSE)&lt;-2),"",#REF!),"")</f>
        <v/>
      </c>
      <c r="H431" t="str">
        <f>IFERROR(IF(OR(HLOOKUP($A431,#REF!,6,FALSE)&gt;2,HLOOKUP($A431,#REF!,6,FALSE)&lt;-2),"",#REF!),"")</f>
        <v/>
      </c>
      <c r="I431" t="str">
        <f>IFERROR(IF(OR(HLOOKUP($A431,#REF!,7,FALSE)&gt;2,HLOOKUP($A431,#REF!,7,FALSE)&lt;-2),"",#REF!),"")</f>
        <v/>
      </c>
      <c r="J431" t="str">
        <f>IFERROR(IF(OR(HLOOKUP($A431,#REF!,8,FALSE)&gt;2,HLOOKUP($A431,#REF!,8,FALSE)&lt;-2),"",#REF!),"")</f>
        <v/>
      </c>
      <c r="K431" t="str">
        <f>IFERROR(IF(OR(HLOOKUP($A431,#REF!,9,FALSE)&gt;2,HLOOKUP($A431,#REF!,9,FALSE)&lt;-2),"",#REF!),"")</f>
        <v/>
      </c>
      <c r="L431" t="str">
        <f>IFERROR(IF(OR(HLOOKUP($A431,#REF!,10,FALSE)&gt;2,HLOOKUP($A431,#REF!,10,FALSE)&lt;-2),"",#REF!),"")</f>
        <v/>
      </c>
      <c r="M431" t="str">
        <f>IFERROR(IF(OR(HLOOKUP($A431,#REF!,11,FALSE)&gt;2,HLOOKUP($A431,#REF!,11,FALSE)&lt;-2),"",#REF!),"")</f>
        <v/>
      </c>
      <c r="N431" t="str">
        <f>IFERROR(IF(OR(HLOOKUP($A431,#REF!,12,FALSE)&gt;2,HLOOKUP($A431,#REF!,12,FALSE)&lt;-2),"",#REF!),"")</f>
        <v/>
      </c>
      <c r="O431" t="str">
        <f>IFERROR(IF(OR(HLOOKUP($A431,#REF!,13,FALSE)&gt;2,HLOOKUP($A431,#REF!,13,FALSE)&lt;-2),"",#REF!),"")</f>
        <v/>
      </c>
      <c r="P431" t="str">
        <f>IFERROR(IF(OR(HLOOKUP($A431,#REF!,14,FALSE)&gt;2,HLOOKUP($A431,#REF!,14,FALSE)&lt;-2),"",#REF!),"")</f>
        <v/>
      </c>
      <c r="Q431" t="str">
        <f>IFERROR(IF(OR(HLOOKUP($A431,#REF!,15,FALSE)&gt;2,HLOOKUP($A431,#REF!,15,FALSE)&lt;-2),"",#REF!),"")</f>
        <v/>
      </c>
      <c r="R431" t="str">
        <f>IFERROR(IF(OR(HLOOKUP($A431,#REF!,16,FALSE)&gt;2,HLOOKUP($A431,#REF!,16,FALSE)&lt;-2),"",#REF!),"")</f>
        <v/>
      </c>
      <c r="S431" t="str">
        <f>IFERROR(IF(OR(HLOOKUP($A431,#REF!,17,FALSE)&gt;2,HLOOKUP($A431,#REF!,17,FALSE)&lt;-2),"",#REF!),"")</f>
        <v/>
      </c>
      <c r="T431" t="str">
        <f>IFERROR(IF(OR(HLOOKUP($A431,#REF!,18,FALSE)&gt;2,HLOOKUP($A431,#REF!,18,FALSE)&lt;-2),"",#REF!),"")</f>
        <v/>
      </c>
      <c r="U431" t="str">
        <f>IFERROR(IF(OR(HLOOKUP($A431,#REF!,19,FALSE)&gt;2,HLOOKUP($A431,#REF!,19,FALSE)&lt;-2),"",#REF!),"")</f>
        <v/>
      </c>
      <c r="V431">
        <f t="shared" si="24"/>
        <v>1</v>
      </c>
      <c r="W431" t="str">
        <f t="shared" si="25"/>
        <v/>
      </c>
      <c r="X431" t="str">
        <f t="shared" si="26"/>
        <v/>
      </c>
      <c r="Y431" t="str">
        <f t="shared" si="27"/>
        <v/>
      </c>
    </row>
    <row r="432" spans="1:25" x14ac:dyDescent="0.35">
      <c r="A432">
        <v>440</v>
      </c>
      <c r="B432" t="s">
        <v>221</v>
      </c>
      <c r="C432">
        <v>21800</v>
      </c>
      <c r="D432">
        <v>723</v>
      </c>
      <c r="E432" t="str">
        <f>IFERROR(IF(OR(HLOOKUP($A432,#REF!,3,FALSE)&gt;2,HLOOKUP(A432,#REF!,3,FALSE)&lt;-2),"",#REF!),"")</f>
        <v/>
      </c>
      <c r="F432" t="str">
        <f>IFERROR(IF(OR(HLOOKUP($A432,#REF!,4,FALSE)&gt;2,HLOOKUP($A432,#REF!,4,FALSE)&lt;-2),"",#REF!),"")</f>
        <v/>
      </c>
      <c r="G432" t="str">
        <f>IFERROR(IF(OR(HLOOKUP($A432,#REF!,5,FALSE)&gt;2,HLOOKUP($A432,#REF!,5,FALSE)&lt;-2),"",#REF!),"")</f>
        <v/>
      </c>
      <c r="H432" t="str">
        <f>IFERROR(IF(OR(HLOOKUP($A432,#REF!,6,FALSE)&gt;2,HLOOKUP($A432,#REF!,6,FALSE)&lt;-2),"",#REF!),"")</f>
        <v/>
      </c>
      <c r="I432" t="str">
        <f>IFERROR(IF(OR(HLOOKUP($A432,#REF!,7,FALSE)&gt;2,HLOOKUP($A432,#REF!,7,FALSE)&lt;-2),"",#REF!),"")</f>
        <v/>
      </c>
      <c r="J432" t="str">
        <f>IFERROR(IF(OR(HLOOKUP($A432,#REF!,8,FALSE)&gt;2,HLOOKUP($A432,#REF!,8,FALSE)&lt;-2),"",#REF!),"")</f>
        <v/>
      </c>
      <c r="K432" t="str">
        <f>IFERROR(IF(OR(HLOOKUP($A432,#REF!,9,FALSE)&gt;2,HLOOKUP($A432,#REF!,9,FALSE)&lt;-2),"",#REF!),"")</f>
        <v/>
      </c>
      <c r="L432" t="str">
        <f>IFERROR(IF(OR(HLOOKUP($A432,#REF!,10,FALSE)&gt;2,HLOOKUP($A432,#REF!,10,FALSE)&lt;-2),"",#REF!),"")</f>
        <v/>
      </c>
      <c r="M432" t="str">
        <f>IFERROR(IF(OR(HLOOKUP($A432,#REF!,11,FALSE)&gt;2,HLOOKUP($A432,#REF!,11,FALSE)&lt;-2),"",#REF!),"")</f>
        <v/>
      </c>
      <c r="N432" t="str">
        <f>IFERROR(IF(OR(HLOOKUP($A432,#REF!,12,FALSE)&gt;2,HLOOKUP($A432,#REF!,12,FALSE)&lt;-2),"",#REF!),"")</f>
        <v/>
      </c>
      <c r="O432" t="str">
        <f>IFERROR(IF(OR(HLOOKUP($A432,#REF!,13,FALSE)&gt;2,HLOOKUP($A432,#REF!,13,FALSE)&lt;-2),"",#REF!),"")</f>
        <v/>
      </c>
      <c r="P432" t="str">
        <f>IFERROR(IF(OR(HLOOKUP($A432,#REF!,14,FALSE)&gt;2,HLOOKUP($A432,#REF!,14,FALSE)&lt;-2),"",#REF!),"")</f>
        <v/>
      </c>
      <c r="Q432" t="str">
        <f>IFERROR(IF(OR(HLOOKUP($A432,#REF!,15,FALSE)&gt;2,HLOOKUP($A432,#REF!,15,FALSE)&lt;-2),"",#REF!),"")</f>
        <v/>
      </c>
      <c r="R432" t="str">
        <f>IFERROR(IF(OR(HLOOKUP($A432,#REF!,16,FALSE)&gt;2,HLOOKUP($A432,#REF!,16,FALSE)&lt;-2),"",#REF!),"")</f>
        <v/>
      </c>
      <c r="S432" t="str">
        <f>IFERROR(IF(OR(HLOOKUP($A432,#REF!,17,FALSE)&gt;2,HLOOKUP($A432,#REF!,17,FALSE)&lt;-2),"",#REF!),"")</f>
        <v/>
      </c>
      <c r="T432" t="str">
        <f>IFERROR(IF(OR(HLOOKUP($A432,#REF!,18,FALSE)&gt;2,HLOOKUP($A432,#REF!,18,FALSE)&lt;-2),"",#REF!),"")</f>
        <v/>
      </c>
      <c r="U432" t="str">
        <f>IFERROR(IF(OR(HLOOKUP($A432,#REF!,19,FALSE)&gt;2,HLOOKUP($A432,#REF!,19,FALSE)&lt;-2),"",#REF!),"")</f>
        <v/>
      </c>
      <c r="V432">
        <f t="shared" si="24"/>
        <v>1</v>
      </c>
      <c r="W432" t="str">
        <f t="shared" si="25"/>
        <v/>
      </c>
      <c r="X432" t="str">
        <f t="shared" si="26"/>
        <v/>
      </c>
      <c r="Y432" t="str">
        <f t="shared" si="27"/>
        <v/>
      </c>
    </row>
    <row r="433" spans="1:25" x14ac:dyDescent="0.35">
      <c r="A433">
        <v>441</v>
      </c>
      <c r="B433" t="s">
        <v>222</v>
      </c>
      <c r="C433">
        <v>15400</v>
      </c>
      <c r="D433">
        <v>394</v>
      </c>
      <c r="E433" t="str">
        <f>IFERROR(IF(OR(HLOOKUP($A433,#REF!,3,FALSE)&gt;2,HLOOKUP(A433,#REF!,3,FALSE)&lt;-2),"",#REF!),"")</f>
        <v/>
      </c>
      <c r="F433" t="str">
        <f>IFERROR(IF(OR(HLOOKUP($A433,#REF!,4,FALSE)&gt;2,HLOOKUP($A433,#REF!,4,FALSE)&lt;-2),"",#REF!),"")</f>
        <v/>
      </c>
      <c r="G433" t="str">
        <f>IFERROR(IF(OR(HLOOKUP($A433,#REF!,5,FALSE)&gt;2,HLOOKUP($A433,#REF!,5,FALSE)&lt;-2),"",#REF!),"")</f>
        <v/>
      </c>
      <c r="H433" t="str">
        <f>IFERROR(IF(OR(HLOOKUP($A433,#REF!,6,FALSE)&gt;2,HLOOKUP($A433,#REF!,6,FALSE)&lt;-2),"",#REF!),"")</f>
        <v/>
      </c>
      <c r="I433" t="str">
        <f>IFERROR(IF(OR(HLOOKUP($A433,#REF!,7,FALSE)&gt;2,HLOOKUP($A433,#REF!,7,FALSE)&lt;-2),"",#REF!),"")</f>
        <v/>
      </c>
      <c r="J433" t="str">
        <f>IFERROR(IF(OR(HLOOKUP($A433,#REF!,8,FALSE)&gt;2,HLOOKUP($A433,#REF!,8,FALSE)&lt;-2),"",#REF!),"")</f>
        <v/>
      </c>
      <c r="K433" t="str">
        <f>IFERROR(IF(OR(HLOOKUP($A433,#REF!,9,FALSE)&gt;2,HLOOKUP($A433,#REF!,9,FALSE)&lt;-2),"",#REF!),"")</f>
        <v/>
      </c>
      <c r="L433" t="str">
        <f>IFERROR(IF(OR(HLOOKUP($A433,#REF!,10,FALSE)&gt;2,HLOOKUP($A433,#REF!,10,FALSE)&lt;-2),"",#REF!),"")</f>
        <v/>
      </c>
      <c r="M433" t="str">
        <f>IFERROR(IF(OR(HLOOKUP($A433,#REF!,11,FALSE)&gt;2,HLOOKUP($A433,#REF!,11,FALSE)&lt;-2),"",#REF!),"")</f>
        <v/>
      </c>
      <c r="N433" t="str">
        <f>IFERROR(IF(OR(HLOOKUP($A433,#REF!,12,FALSE)&gt;2,HLOOKUP($A433,#REF!,12,FALSE)&lt;-2),"",#REF!),"")</f>
        <v/>
      </c>
      <c r="O433" t="str">
        <f>IFERROR(IF(OR(HLOOKUP($A433,#REF!,13,FALSE)&gt;2,HLOOKUP($A433,#REF!,13,FALSE)&lt;-2),"",#REF!),"")</f>
        <v/>
      </c>
      <c r="P433" t="str">
        <f>IFERROR(IF(OR(HLOOKUP($A433,#REF!,14,FALSE)&gt;2,HLOOKUP($A433,#REF!,14,FALSE)&lt;-2),"",#REF!),"")</f>
        <v/>
      </c>
      <c r="Q433" t="str">
        <f>IFERROR(IF(OR(HLOOKUP($A433,#REF!,15,FALSE)&gt;2,HLOOKUP($A433,#REF!,15,FALSE)&lt;-2),"",#REF!),"")</f>
        <v/>
      </c>
      <c r="R433" t="str">
        <f>IFERROR(IF(OR(HLOOKUP($A433,#REF!,16,FALSE)&gt;2,HLOOKUP($A433,#REF!,16,FALSE)&lt;-2),"",#REF!),"")</f>
        <v/>
      </c>
      <c r="S433" t="str">
        <f>IFERROR(IF(OR(HLOOKUP($A433,#REF!,17,FALSE)&gt;2,HLOOKUP($A433,#REF!,17,FALSE)&lt;-2),"",#REF!),"")</f>
        <v/>
      </c>
      <c r="T433" t="str">
        <f>IFERROR(IF(OR(HLOOKUP($A433,#REF!,18,FALSE)&gt;2,HLOOKUP($A433,#REF!,18,FALSE)&lt;-2),"",#REF!),"")</f>
        <v/>
      </c>
      <c r="U433" t="str">
        <f>IFERROR(IF(OR(HLOOKUP($A433,#REF!,19,FALSE)&gt;2,HLOOKUP($A433,#REF!,19,FALSE)&lt;-2),"",#REF!),"")</f>
        <v/>
      </c>
      <c r="V433">
        <f t="shared" si="24"/>
        <v>1</v>
      </c>
      <c r="W433" t="str">
        <f t="shared" si="25"/>
        <v/>
      </c>
      <c r="X433" t="str">
        <f t="shared" si="26"/>
        <v/>
      </c>
      <c r="Y433" t="str">
        <f t="shared" si="27"/>
        <v/>
      </c>
    </row>
    <row r="434" spans="1:25" x14ac:dyDescent="0.35">
      <c r="A434">
        <v>442</v>
      </c>
      <c r="B434" t="s">
        <v>223</v>
      </c>
      <c r="C434">
        <v>26000</v>
      </c>
      <c r="D434">
        <v>879</v>
      </c>
      <c r="E434" t="str">
        <f>IFERROR(IF(OR(HLOOKUP($A434,#REF!,3,FALSE)&gt;2,HLOOKUP(A434,#REF!,3,FALSE)&lt;-2),"",#REF!),"")</f>
        <v/>
      </c>
      <c r="F434" t="str">
        <f>IFERROR(IF(OR(HLOOKUP($A434,#REF!,4,FALSE)&gt;2,HLOOKUP($A434,#REF!,4,FALSE)&lt;-2),"",#REF!),"")</f>
        <v/>
      </c>
      <c r="G434" t="str">
        <f>IFERROR(IF(OR(HLOOKUP($A434,#REF!,5,FALSE)&gt;2,HLOOKUP($A434,#REF!,5,FALSE)&lt;-2),"",#REF!),"")</f>
        <v/>
      </c>
      <c r="H434" t="str">
        <f>IFERROR(IF(OR(HLOOKUP($A434,#REF!,6,FALSE)&gt;2,HLOOKUP($A434,#REF!,6,FALSE)&lt;-2),"",#REF!),"")</f>
        <v/>
      </c>
      <c r="I434" t="str">
        <f>IFERROR(IF(OR(HLOOKUP($A434,#REF!,7,FALSE)&gt;2,HLOOKUP($A434,#REF!,7,FALSE)&lt;-2),"",#REF!),"")</f>
        <v/>
      </c>
      <c r="J434" t="str">
        <f>IFERROR(IF(OR(HLOOKUP($A434,#REF!,8,FALSE)&gt;2,HLOOKUP($A434,#REF!,8,FALSE)&lt;-2),"",#REF!),"")</f>
        <v/>
      </c>
      <c r="K434" t="str">
        <f>IFERROR(IF(OR(HLOOKUP($A434,#REF!,9,FALSE)&gt;2,HLOOKUP($A434,#REF!,9,FALSE)&lt;-2),"",#REF!),"")</f>
        <v/>
      </c>
      <c r="L434" t="str">
        <f>IFERROR(IF(OR(HLOOKUP($A434,#REF!,10,FALSE)&gt;2,HLOOKUP($A434,#REF!,10,FALSE)&lt;-2),"",#REF!),"")</f>
        <v/>
      </c>
      <c r="M434" t="str">
        <f>IFERROR(IF(OR(HLOOKUP($A434,#REF!,11,FALSE)&gt;2,HLOOKUP($A434,#REF!,11,FALSE)&lt;-2),"",#REF!),"")</f>
        <v/>
      </c>
      <c r="N434" t="str">
        <f>IFERROR(IF(OR(HLOOKUP($A434,#REF!,12,FALSE)&gt;2,HLOOKUP($A434,#REF!,12,FALSE)&lt;-2),"",#REF!),"")</f>
        <v/>
      </c>
      <c r="O434" t="str">
        <f>IFERROR(IF(OR(HLOOKUP($A434,#REF!,13,FALSE)&gt;2,HLOOKUP($A434,#REF!,13,FALSE)&lt;-2),"",#REF!),"")</f>
        <v/>
      </c>
      <c r="P434" t="str">
        <f>IFERROR(IF(OR(HLOOKUP($A434,#REF!,14,FALSE)&gt;2,HLOOKUP($A434,#REF!,14,FALSE)&lt;-2),"",#REF!),"")</f>
        <v/>
      </c>
      <c r="Q434" t="str">
        <f>IFERROR(IF(OR(HLOOKUP($A434,#REF!,15,FALSE)&gt;2,HLOOKUP($A434,#REF!,15,FALSE)&lt;-2),"",#REF!),"")</f>
        <v/>
      </c>
      <c r="R434" t="str">
        <f>IFERROR(IF(OR(HLOOKUP($A434,#REF!,16,FALSE)&gt;2,HLOOKUP($A434,#REF!,16,FALSE)&lt;-2),"",#REF!),"")</f>
        <v/>
      </c>
      <c r="S434" t="str">
        <f>IFERROR(IF(OR(HLOOKUP($A434,#REF!,17,FALSE)&gt;2,HLOOKUP($A434,#REF!,17,FALSE)&lt;-2),"",#REF!),"")</f>
        <v/>
      </c>
      <c r="T434" t="str">
        <f>IFERROR(IF(OR(HLOOKUP($A434,#REF!,18,FALSE)&gt;2,HLOOKUP($A434,#REF!,18,FALSE)&lt;-2),"",#REF!),"")</f>
        <v/>
      </c>
      <c r="U434" t="str">
        <f>IFERROR(IF(OR(HLOOKUP($A434,#REF!,19,FALSE)&gt;2,HLOOKUP($A434,#REF!,19,FALSE)&lt;-2),"",#REF!),"")</f>
        <v/>
      </c>
      <c r="V434">
        <f t="shared" si="24"/>
        <v>1</v>
      </c>
      <c r="W434" t="str">
        <f t="shared" si="25"/>
        <v/>
      </c>
      <c r="X434" t="str">
        <f t="shared" si="26"/>
        <v/>
      </c>
      <c r="Y434" t="str">
        <f t="shared" si="27"/>
        <v/>
      </c>
    </row>
    <row r="435" spans="1:25" x14ac:dyDescent="0.35">
      <c r="A435">
        <v>443</v>
      </c>
      <c r="B435" t="s">
        <v>224</v>
      </c>
      <c r="C435">
        <v>112100</v>
      </c>
      <c r="D435">
        <v>618</v>
      </c>
      <c r="E435" t="str">
        <f>IFERROR(IF(OR(HLOOKUP($A435,#REF!,3,FALSE)&gt;2,HLOOKUP(A435,#REF!,3,FALSE)&lt;-2),"",#REF!),"")</f>
        <v/>
      </c>
      <c r="F435" t="str">
        <f>IFERROR(IF(OR(HLOOKUP($A435,#REF!,4,FALSE)&gt;2,HLOOKUP($A435,#REF!,4,FALSE)&lt;-2),"",#REF!),"")</f>
        <v/>
      </c>
      <c r="G435" t="str">
        <f>IFERROR(IF(OR(HLOOKUP($A435,#REF!,5,FALSE)&gt;2,HLOOKUP($A435,#REF!,5,FALSE)&lt;-2),"",#REF!),"")</f>
        <v/>
      </c>
      <c r="H435" t="str">
        <f>IFERROR(IF(OR(HLOOKUP($A435,#REF!,6,FALSE)&gt;2,HLOOKUP($A435,#REF!,6,FALSE)&lt;-2),"",#REF!),"")</f>
        <v/>
      </c>
      <c r="I435" t="str">
        <f>IFERROR(IF(OR(HLOOKUP($A435,#REF!,7,FALSE)&gt;2,HLOOKUP($A435,#REF!,7,FALSE)&lt;-2),"",#REF!),"")</f>
        <v/>
      </c>
      <c r="J435" t="str">
        <f>IFERROR(IF(OR(HLOOKUP($A435,#REF!,8,FALSE)&gt;2,HLOOKUP($A435,#REF!,8,FALSE)&lt;-2),"",#REF!),"")</f>
        <v/>
      </c>
      <c r="K435" t="str">
        <f>IFERROR(IF(OR(HLOOKUP($A435,#REF!,9,FALSE)&gt;2,HLOOKUP($A435,#REF!,9,FALSE)&lt;-2),"",#REF!),"")</f>
        <v/>
      </c>
      <c r="L435" t="str">
        <f>IFERROR(IF(OR(HLOOKUP($A435,#REF!,10,FALSE)&gt;2,HLOOKUP($A435,#REF!,10,FALSE)&lt;-2),"",#REF!),"")</f>
        <v/>
      </c>
      <c r="M435" t="str">
        <f>IFERROR(IF(OR(HLOOKUP($A435,#REF!,11,FALSE)&gt;2,HLOOKUP($A435,#REF!,11,FALSE)&lt;-2),"",#REF!),"")</f>
        <v/>
      </c>
      <c r="N435" t="str">
        <f>IFERROR(IF(OR(HLOOKUP($A435,#REF!,12,FALSE)&gt;2,HLOOKUP($A435,#REF!,12,FALSE)&lt;-2),"",#REF!),"")</f>
        <v/>
      </c>
      <c r="O435" t="str">
        <f>IFERROR(IF(OR(HLOOKUP($A435,#REF!,13,FALSE)&gt;2,HLOOKUP($A435,#REF!,13,FALSE)&lt;-2),"",#REF!),"")</f>
        <v/>
      </c>
      <c r="P435" t="str">
        <f>IFERROR(IF(OR(HLOOKUP($A435,#REF!,14,FALSE)&gt;2,HLOOKUP($A435,#REF!,14,FALSE)&lt;-2),"",#REF!),"")</f>
        <v/>
      </c>
      <c r="Q435" t="str">
        <f>IFERROR(IF(OR(HLOOKUP($A435,#REF!,15,FALSE)&gt;2,HLOOKUP($A435,#REF!,15,FALSE)&lt;-2),"",#REF!),"")</f>
        <v/>
      </c>
      <c r="R435" t="str">
        <f>IFERROR(IF(OR(HLOOKUP($A435,#REF!,16,FALSE)&gt;2,HLOOKUP($A435,#REF!,16,FALSE)&lt;-2),"",#REF!),"")</f>
        <v/>
      </c>
      <c r="S435" t="str">
        <f>IFERROR(IF(OR(HLOOKUP($A435,#REF!,17,FALSE)&gt;2,HLOOKUP($A435,#REF!,17,FALSE)&lt;-2),"",#REF!),"")</f>
        <v/>
      </c>
      <c r="T435" t="str">
        <f>IFERROR(IF(OR(HLOOKUP($A435,#REF!,18,FALSE)&gt;2,HLOOKUP($A435,#REF!,18,FALSE)&lt;-2),"",#REF!),"")</f>
        <v/>
      </c>
      <c r="U435" t="str">
        <f>IFERROR(IF(OR(HLOOKUP($A435,#REF!,19,FALSE)&gt;2,HLOOKUP($A435,#REF!,19,FALSE)&lt;-2),"",#REF!),"")</f>
        <v/>
      </c>
      <c r="V435">
        <f t="shared" si="24"/>
        <v>1</v>
      </c>
      <c r="W435" t="str">
        <f t="shared" si="25"/>
        <v/>
      </c>
      <c r="X435" t="str">
        <f t="shared" si="26"/>
        <v/>
      </c>
      <c r="Y435" t="str">
        <f t="shared" si="27"/>
        <v/>
      </c>
    </row>
    <row r="436" spans="1:25" x14ac:dyDescent="0.35">
      <c r="A436">
        <v>444</v>
      </c>
      <c r="B436" t="s">
        <v>814</v>
      </c>
      <c r="C436">
        <v>67100</v>
      </c>
      <c r="D436">
        <v>856</v>
      </c>
      <c r="E436" t="str">
        <f>IFERROR(IF(OR(HLOOKUP($A436,#REF!,3,FALSE)&gt;2,HLOOKUP(A436,#REF!,3,FALSE)&lt;-2),"",#REF!),"")</f>
        <v/>
      </c>
      <c r="F436" t="str">
        <f>IFERROR(IF(OR(HLOOKUP($A436,#REF!,4,FALSE)&gt;2,HLOOKUP($A436,#REF!,4,FALSE)&lt;-2),"",#REF!),"")</f>
        <v/>
      </c>
      <c r="G436" t="str">
        <f>IFERROR(IF(OR(HLOOKUP($A436,#REF!,5,FALSE)&gt;2,HLOOKUP($A436,#REF!,5,FALSE)&lt;-2),"",#REF!),"")</f>
        <v/>
      </c>
      <c r="H436" t="str">
        <f>IFERROR(IF(OR(HLOOKUP($A436,#REF!,6,FALSE)&gt;2,HLOOKUP($A436,#REF!,6,FALSE)&lt;-2),"",#REF!),"")</f>
        <v/>
      </c>
      <c r="I436" t="str">
        <f>IFERROR(IF(OR(HLOOKUP($A436,#REF!,7,FALSE)&gt;2,HLOOKUP($A436,#REF!,7,FALSE)&lt;-2),"",#REF!),"")</f>
        <v/>
      </c>
      <c r="J436" t="str">
        <f>IFERROR(IF(OR(HLOOKUP($A436,#REF!,8,FALSE)&gt;2,HLOOKUP($A436,#REF!,8,FALSE)&lt;-2),"",#REF!),"")</f>
        <v/>
      </c>
      <c r="K436" t="str">
        <f>IFERROR(IF(OR(HLOOKUP($A436,#REF!,9,FALSE)&gt;2,HLOOKUP($A436,#REF!,9,FALSE)&lt;-2),"",#REF!),"")</f>
        <v/>
      </c>
      <c r="L436" t="str">
        <f>IFERROR(IF(OR(HLOOKUP($A436,#REF!,10,FALSE)&gt;2,HLOOKUP($A436,#REF!,10,FALSE)&lt;-2),"",#REF!),"")</f>
        <v/>
      </c>
      <c r="M436" t="str">
        <f>IFERROR(IF(OR(HLOOKUP($A436,#REF!,11,FALSE)&gt;2,HLOOKUP($A436,#REF!,11,FALSE)&lt;-2),"",#REF!),"")</f>
        <v/>
      </c>
      <c r="N436" t="str">
        <f>IFERROR(IF(OR(HLOOKUP($A436,#REF!,12,FALSE)&gt;2,HLOOKUP($A436,#REF!,12,FALSE)&lt;-2),"",#REF!),"")</f>
        <v/>
      </c>
      <c r="O436" t="str">
        <f>IFERROR(IF(OR(HLOOKUP($A436,#REF!,13,FALSE)&gt;2,HLOOKUP($A436,#REF!,13,FALSE)&lt;-2),"",#REF!),"")</f>
        <v/>
      </c>
      <c r="P436" t="str">
        <f>IFERROR(IF(OR(HLOOKUP($A436,#REF!,14,FALSE)&gt;2,HLOOKUP($A436,#REF!,14,FALSE)&lt;-2),"",#REF!),"")</f>
        <v/>
      </c>
      <c r="Q436" t="str">
        <f>IFERROR(IF(OR(HLOOKUP($A436,#REF!,15,FALSE)&gt;2,HLOOKUP($A436,#REF!,15,FALSE)&lt;-2),"",#REF!),"")</f>
        <v/>
      </c>
      <c r="R436" t="str">
        <f>IFERROR(IF(OR(HLOOKUP($A436,#REF!,16,FALSE)&gt;2,HLOOKUP($A436,#REF!,16,FALSE)&lt;-2),"",#REF!),"")</f>
        <v/>
      </c>
      <c r="S436" t="str">
        <f>IFERROR(IF(OR(HLOOKUP($A436,#REF!,17,FALSE)&gt;2,HLOOKUP($A436,#REF!,17,FALSE)&lt;-2),"",#REF!),"")</f>
        <v/>
      </c>
      <c r="T436" t="str">
        <f>IFERROR(IF(OR(HLOOKUP($A436,#REF!,18,FALSE)&gt;2,HLOOKUP($A436,#REF!,18,FALSE)&lt;-2),"",#REF!),"")</f>
        <v/>
      </c>
      <c r="U436" t="str">
        <f>IFERROR(IF(OR(HLOOKUP($A436,#REF!,19,FALSE)&gt;2,HLOOKUP($A436,#REF!,19,FALSE)&lt;-2),"",#REF!),"")</f>
        <v/>
      </c>
      <c r="V436">
        <f t="shared" si="24"/>
        <v>1</v>
      </c>
      <c r="W436" t="str">
        <f t="shared" si="25"/>
        <v/>
      </c>
      <c r="X436" t="str">
        <f t="shared" si="26"/>
        <v/>
      </c>
      <c r="Y436" t="str">
        <f t="shared" si="27"/>
        <v/>
      </c>
    </row>
    <row r="437" spans="1:25" x14ac:dyDescent="0.35">
      <c r="A437">
        <v>445</v>
      </c>
      <c r="B437" t="s">
        <v>225</v>
      </c>
      <c r="C437">
        <v>91500</v>
      </c>
      <c r="D437">
        <v>386</v>
      </c>
      <c r="E437" t="str">
        <f>IFERROR(IF(OR(HLOOKUP($A437,#REF!,3,FALSE)&gt;2,HLOOKUP(A437,#REF!,3,FALSE)&lt;-2),"",#REF!),"")</f>
        <v/>
      </c>
      <c r="F437" t="str">
        <f>IFERROR(IF(OR(HLOOKUP($A437,#REF!,4,FALSE)&gt;2,HLOOKUP($A437,#REF!,4,FALSE)&lt;-2),"",#REF!),"")</f>
        <v/>
      </c>
      <c r="G437" t="str">
        <f>IFERROR(IF(OR(HLOOKUP($A437,#REF!,5,FALSE)&gt;2,HLOOKUP($A437,#REF!,5,FALSE)&lt;-2),"",#REF!),"")</f>
        <v/>
      </c>
      <c r="H437" t="str">
        <f>IFERROR(IF(OR(HLOOKUP($A437,#REF!,6,FALSE)&gt;2,HLOOKUP($A437,#REF!,6,FALSE)&lt;-2),"",#REF!),"")</f>
        <v/>
      </c>
      <c r="I437" t="str">
        <f>IFERROR(IF(OR(HLOOKUP($A437,#REF!,7,FALSE)&gt;2,HLOOKUP($A437,#REF!,7,FALSE)&lt;-2),"",#REF!),"")</f>
        <v/>
      </c>
      <c r="J437" t="str">
        <f>IFERROR(IF(OR(HLOOKUP($A437,#REF!,8,FALSE)&gt;2,HLOOKUP($A437,#REF!,8,FALSE)&lt;-2),"",#REF!),"")</f>
        <v/>
      </c>
      <c r="K437" t="str">
        <f>IFERROR(IF(OR(HLOOKUP($A437,#REF!,9,FALSE)&gt;2,HLOOKUP($A437,#REF!,9,FALSE)&lt;-2),"",#REF!),"")</f>
        <v/>
      </c>
      <c r="L437" t="str">
        <f>IFERROR(IF(OR(HLOOKUP($A437,#REF!,10,FALSE)&gt;2,HLOOKUP($A437,#REF!,10,FALSE)&lt;-2),"",#REF!),"")</f>
        <v/>
      </c>
      <c r="M437" t="str">
        <f>IFERROR(IF(OR(HLOOKUP($A437,#REF!,11,FALSE)&gt;2,HLOOKUP($A437,#REF!,11,FALSE)&lt;-2),"",#REF!),"")</f>
        <v/>
      </c>
      <c r="N437" t="str">
        <f>IFERROR(IF(OR(HLOOKUP($A437,#REF!,12,FALSE)&gt;2,HLOOKUP($A437,#REF!,12,FALSE)&lt;-2),"",#REF!),"")</f>
        <v/>
      </c>
      <c r="O437" t="str">
        <f>IFERROR(IF(OR(HLOOKUP($A437,#REF!,13,FALSE)&gt;2,HLOOKUP($A437,#REF!,13,FALSE)&lt;-2),"",#REF!),"")</f>
        <v/>
      </c>
      <c r="P437" t="str">
        <f>IFERROR(IF(OR(HLOOKUP($A437,#REF!,14,FALSE)&gt;2,HLOOKUP($A437,#REF!,14,FALSE)&lt;-2),"",#REF!),"")</f>
        <v/>
      </c>
      <c r="Q437" t="str">
        <f>IFERROR(IF(OR(HLOOKUP($A437,#REF!,15,FALSE)&gt;2,HLOOKUP($A437,#REF!,15,FALSE)&lt;-2),"",#REF!),"")</f>
        <v/>
      </c>
      <c r="R437" t="str">
        <f>IFERROR(IF(OR(HLOOKUP($A437,#REF!,16,FALSE)&gt;2,HLOOKUP($A437,#REF!,16,FALSE)&lt;-2),"",#REF!),"")</f>
        <v/>
      </c>
      <c r="S437" t="str">
        <f>IFERROR(IF(OR(HLOOKUP($A437,#REF!,17,FALSE)&gt;2,HLOOKUP($A437,#REF!,17,FALSE)&lt;-2),"",#REF!),"")</f>
        <v/>
      </c>
      <c r="T437" t="str">
        <f>IFERROR(IF(OR(HLOOKUP($A437,#REF!,18,FALSE)&gt;2,HLOOKUP($A437,#REF!,18,FALSE)&lt;-2),"",#REF!),"")</f>
        <v/>
      </c>
      <c r="U437" t="str">
        <f>IFERROR(IF(OR(HLOOKUP($A437,#REF!,19,FALSE)&gt;2,HLOOKUP($A437,#REF!,19,FALSE)&lt;-2),"",#REF!),"")</f>
        <v/>
      </c>
      <c r="V437">
        <f t="shared" si="24"/>
        <v>1</v>
      </c>
      <c r="W437" t="str">
        <f t="shared" si="25"/>
        <v/>
      </c>
      <c r="X437" t="str">
        <f t="shared" si="26"/>
        <v/>
      </c>
      <c r="Y437" t="str">
        <f t="shared" si="27"/>
        <v/>
      </c>
    </row>
    <row r="438" spans="1:25" x14ac:dyDescent="0.35">
      <c r="A438">
        <v>446</v>
      </c>
      <c r="B438" t="s">
        <v>815</v>
      </c>
      <c r="C438">
        <v>38500</v>
      </c>
      <c r="D438">
        <v>423</v>
      </c>
      <c r="E438" t="str">
        <f>IFERROR(IF(OR(HLOOKUP($A438,#REF!,3,FALSE)&gt;2,HLOOKUP(A438,#REF!,3,FALSE)&lt;-2),"",#REF!),"")</f>
        <v/>
      </c>
      <c r="F438" t="str">
        <f>IFERROR(IF(OR(HLOOKUP($A438,#REF!,4,FALSE)&gt;2,HLOOKUP($A438,#REF!,4,FALSE)&lt;-2),"",#REF!),"")</f>
        <v/>
      </c>
      <c r="G438" t="str">
        <f>IFERROR(IF(OR(HLOOKUP($A438,#REF!,5,FALSE)&gt;2,HLOOKUP($A438,#REF!,5,FALSE)&lt;-2),"",#REF!),"")</f>
        <v/>
      </c>
      <c r="H438" t="str">
        <f>IFERROR(IF(OR(HLOOKUP($A438,#REF!,6,FALSE)&gt;2,HLOOKUP($A438,#REF!,6,FALSE)&lt;-2),"",#REF!),"")</f>
        <v/>
      </c>
      <c r="I438" t="str">
        <f>IFERROR(IF(OR(HLOOKUP($A438,#REF!,7,FALSE)&gt;2,HLOOKUP($A438,#REF!,7,FALSE)&lt;-2),"",#REF!),"")</f>
        <v/>
      </c>
      <c r="J438" t="str">
        <f>IFERROR(IF(OR(HLOOKUP($A438,#REF!,8,FALSE)&gt;2,HLOOKUP($A438,#REF!,8,FALSE)&lt;-2),"",#REF!),"")</f>
        <v/>
      </c>
      <c r="K438" t="str">
        <f>IFERROR(IF(OR(HLOOKUP($A438,#REF!,9,FALSE)&gt;2,HLOOKUP($A438,#REF!,9,FALSE)&lt;-2),"",#REF!),"")</f>
        <v/>
      </c>
      <c r="L438" t="str">
        <f>IFERROR(IF(OR(HLOOKUP($A438,#REF!,10,FALSE)&gt;2,HLOOKUP($A438,#REF!,10,FALSE)&lt;-2),"",#REF!),"")</f>
        <v/>
      </c>
      <c r="M438" t="str">
        <f>IFERROR(IF(OR(HLOOKUP($A438,#REF!,11,FALSE)&gt;2,HLOOKUP($A438,#REF!,11,FALSE)&lt;-2),"",#REF!),"")</f>
        <v/>
      </c>
      <c r="N438" t="str">
        <f>IFERROR(IF(OR(HLOOKUP($A438,#REF!,12,FALSE)&gt;2,HLOOKUP($A438,#REF!,12,FALSE)&lt;-2),"",#REF!),"")</f>
        <v/>
      </c>
      <c r="O438" t="str">
        <f>IFERROR(IF(OR(HLOOKUP($A438,#REF!,13,FALSE)&gt;2,HLOOKUP($A438,#REF!,13,FALSE)&lt;-2),"",#REF!),"")</f>
        <v/>
      </c>
      <c r="P438" t="str">
        <f>IFERROR(IF(OR(HLOOKUP($A438,#REF!,14,FALSE)&gt;2,HLOOKUP($A438,#REF!,14,FALSE)&lt;-2),"",#REF!),"")</f>
        <v/>
      </c>
      <c r="Q438" t="str">
        <f>IFERROR(IF(OR(HLOOKUP($A438,#REF!,15,FALSE)&gt;2,HLOOKUP($A438,#REF!,15,FALSE)&lt;-2),"",#REF!),"")</f>
        <v/>
      </c>
      <c r="R438" t="str">
        <f>IFERROR(IF(OR(HLOOKUP($A438,#REF!,16,FALSE)&gt;2,HLOOKUP($A438,#REF!,16,FALSE)&lt;-2),"",#REF!),"")</f>
        <v/>
      </c>
      <c r="S438" t="str">
        <f>IFERROR(IF(OR(HLOOKUP($A438,#REF!,17,FALSE)&gt;2,HLOOKUP($A438,#REF!,17,FALSE)&lt;-2),"",#REF!),"")</f>
        <v/>
      </c>
      <c r="T438" t="str">
        <f>IFERROR(IF(OR(HLOOKUP($A438,#REF!,18,FALSE)&gt;2,HLOOKUP($A438,#REF!,18,FALSE)&lt;-2),"",#REF!),"")</f>
        <v/>
      </c>
      <c r="U438" t="str">
        <f>IFERROR(IF(OR(HLOOKUP($A438,#REF!,19,FALSE)&gt;2,HLOOKUP($A438,#REF!,19,FALSE)&lt;-2),"",#REF!),"")</f>
        <v/>
      </c>
      <c r="V438">
        <f t="shared" si="24"/>
        <v>1</v>
      </c>
      <c r="W438" t="str">
        <f t="shared" si="25"/>
        <v/>
      </c>
      <c r="X438" t="str">
        <f t="shared" si="26"/>
        <v/>
      </c>
      <c r="Y438" t="str">
        <f t="shared" si="27"/>
        <v/>
      </c>
    </row>
    <row r="439" spans="1:25" x14ac:dyDescent="0.35">
      <c r="A439">
        <v>447</v>
      </c>
      <c r="B439" t="s">
        <v>816</v>
      </c>
      <c r="C439">
        <v>76400</v>
      </c>
      <c r="D439">
        <v>63</v>
      </c>
      <c r="E439" t="str">
        <f>IFERROR(IF(OR(HLOOKUP($A439,#REF!,3,FALSE)&gt;2,HLOOKUP(A439,#REF!,3,FALSE)&lt;-2),"",#REF!),"")</f>
        <v/>
      </c>
      <c r="F439" t="str">
        <f>IFERROR(IF(OR(HLOOKUP($A439,#REF!,4,FALSE)&gt;2,HLOOKUP($A439,#REF!,4,FALSE)&lt;-2),"",#REF!),"")</f>
        <v/>
      </c>
      <c r="G439" t="str">
        <f>IFERROR(IF(OR(HLOOKUP($A439,#REF!,5,FALSE)&gt;2,HLOOKUP($A439,#REF!,5,FALSE)&lt;-2),"",#REF!),"")</f>
        <v/>
      </c>
      <c r="H439" t="str">
        <f>IFERROR(IF(OR(HLOOKUP($A439,#REF!,6,FALSE)&gt;2,HLOOKUP($A439,#REF!,6,FALSE)&lt;-2),"",#REF!),"")</f>
        <v/>
      </c>
      <c r="I439" t="str">
        <f>IFERROR(IF(OR(HLOOKUP($A439,#REF!,7,FALSE)&gt;2,HLOOKUP($A439,#REF!,7,FALSE)&lt;-2),"",#REF!),"")</f>
        <v/>
      </c>
      <c r="J439" t="str">
        <f>IFERROR(IF(OR(HLOOKUP($A439,#REF!,8,FALSE)&gt;2,HLOOKUP($A439,#REF!,8,FALSE)&lt;-2),"",#REF!),"")</f>
        <v/>
      </c>
      <c r="K439" t="str">
        <f>IFERROR(IF(OR(HLOOKUP($A439,#REF!,9,FALSE)&gt;2,HLOOKUP($A439,#REF!,9,FALSE)&lt;-2),"",#REF!),"")</f>
        <v/>
      </c>
      <c r="L439" t="str">
        <f>IFERROR(IF(OR(HLOOKUP($A439,#REF!,10,FALSE)&gt;2,HLOOKUP($A439,#REF!,10,FALSE)&lt;-2),"",#REF!),"")</f>
        <v/>
      </c>
      <c r="M439" t="str">
        <f>IFERROR(IF(OR(HLOOKUP($A439,#REF!,11,FALSE)&gt;2,HLOOKUP($A439,#REF!,11,FALSE)&lt;-2),"",#REF!),"")</f>
        <v/>
      </c>
      <c r="N439" t="str">
        <f>IFERROR(IF(OR(HLOOKUP($A439,#REF!,12,FALSE)&gt;2,HLOOKUP($A439,#REF!,12,FALSE)&lt;-2),"",#REF!),"")</f>
        <v/>
      </c>
      <c r="O439" t="str">
        <f>IFERROR(IF(OR(HLOOKUP($A439,#REF!,13,FALSE)&gt;2,HLOOKUP($A439,#REF!,13,FALSE)&lt;-2),"",#REF!),"")</f>
        <v/>
      </c>
      <c r="P439" t="str">
        <f>IFERROR(IF(OR(HLOOKUP($A439,#REF!,14,FALSE)&gt;2,HLOOKUP($A439,#REF!,14,FALSE)&lt;-2),"",#REF!),"")</f>
        <v/>
      </c>
      <c r="Q439" t="str">
        <f>IFERROR(IF(OR(HLOOKUP($A439,#REF!,15,FALSE)&gt;2,HLOOKUP($A439,#REF!,15,FALSE)&lt;-2),"",#REF!),"")</f>
        <v/>
      </c>
      <c r="R439" t="str">
        <f>IFERROR(IF(OR(HLOOKUP($A439,#REF!,16,FALSE)&gt;2,HLOOKUP($A439,#REF!,16,FALSE)&lt;-2),"",#REF!),"")</f>
        <v/>
      </c>
      <c r="S439" t="str">
        <f>IFERROR(IF(OR(HLOOKUP($A439,#REF!,17,FALSE)&gt;2,HLOOKUP($A439,#REF!,17,FALSE)&lt;-2),"",#REF!),"")</f>
        <v/>
      </c>
      <c r="T439" t="str">
        <f>IFERROR(IF(OR(HLOOKUP($A439,#REF!,18,FALSE)&gt;2,HLOOKUP($A439,#REF!,18,FALSE)&lt;-2),"",#REF!),"")</f>
        <v/>
      </c>
      <c r="U439" t="str">
        <f>IFERROR(IF(OR(HLOOKUP($A439,#REF!,19,FALSE)&gt;2,HLOOKUP($A439,#REF!,19,FALSE)&lt;-2),"",#REF!),"")</f>
        <v/>
      </c>
      <c r="V439">
        <f t="shared" si="24"/>
        <v>1</v>
      </c>
      <c r="W439" t="str">
        <f t="shared" si="25"/>
        <v/>
      </c>
      <c r="X439" t="str">
        <f t="shared" si="26"/>
        <v/>
      </c>
      <c r="Y439" t="str">
        <f t="shared" si="27"/>
        <v/>
      </c>
    </row>
    <row r="440" spans="1:25" x14ac:dyDescent="0.35">
      <c r="A440">
        <v>448</v>
      </c>
      <c r="B440" t="s">
        <v>226</v>
      </c>
      <c r="C440">
        <v>21500</v>
      </c>
      <c r="D440">
        <v>723</v>
      </c>
      <c r="E440" t="str">
        <f>IFERROR(IF(OR(HLOOKUP($A440,#REF!,3,FALSE)&gt;2,HLOOKUP(A440,#REF!,3,FALSE)&lt;-2),"",#REF!),"")</f>
        <v/>
      </c>
      <c r="F440" t="str">
        <f>IFERROR(IF(OR(HLOOKUP($A440,#REF!,4,FALSE)&gt;2,HLOOKUP($A440,#REF!,4,FALSE)&lt;-2),"",#REF!),"")</f>
        <v/>
      </c>
      <c r="G440" t="str">
        <f>IFERROR(IF(OR(HLOOKUP($A440,#REF!,5,FALSE)&gt;2,HLOOKUP($A440,#REF!,5,FALSE)&lt;-2),"",#REF!),"")</f>
        <v/>
      </c>
      <c r="H440" t="str">
        <f>IFERROR(IF(OR(HLOOKUP($A440,#REF!,6,FALSE)&gt;2,HLOOKUP($A440,#REF!,6,FALSE)&lt;-2),"",#REF!),"")</f>
        <v/>
      </c>
      <c r="I440" t="str">
        <f>IFERROR(IF(OR(HLOOKUP($A440,#REF!,7,FALSE)&gt;2,HLOOKUP($A440,#REF!,7,FALSE)&lt;-2),"",#REF!),"")</f>
        <v/>
      </c>
      <c r="J440" t="str">
        <f>IFERROR(IF(OR(HLOOKUP($A440,#REF!,8,FALSE)&gt;2,HLOOKUP($A440,#REF!,8,FALSE)&lt;-2),"",#REF!),"")</f>
        <v/>
      </c>
      <c r="K440" t="str">
        <f>IFERROR(IF(OR(HLOOKUP($A440,#REF!,9,FALSE)&gt;2,HLOOKUP($A440,#REF!,9,FALSE)&lt;-2),"",#REF!),"")</f>
        <v/>
      </c>
      <c r="L440" t="str">
        <f>IFERROR(IF(OR(HLOOKUP($A440,#REF!,10,FALSE)&gt;2,HLOOKUP($A440,#REF!,10,FALSE)&lt;-2),"",#REF!),"")</f>
        <v/>
      </c>
      <c r="M440" t="str">
        <f>IFERROR(IF(OR(HLOOKUP($A440,#REF!,11,FALSE)&gt;2,HLOOKUP($A440,#REF!,11,FALSE)&lt;-2),"",#REF!),"")</f>
        <v/>
      </c>
      <c r="N440" t="str">
        <f>IFERROR(IF(OR(HLOOKUP($A440,#REF!,12,FALSE)&gt;2,HLOOKUP($A440,#REF!,12,FALSE)&lt;-2),"",#REF!),"")</f>
        <v/>
      </c>
      <c r="O440" t="str">
        <f>IFERROR(IF(OR(HLOOKUP($A440,#REF!,13,FALSE)&gt;2,HLOOKUP($A440,#REF!,13,FALSE)&lt;-2),"",#REF!),"")</f>
        <v/>
      </c>
      <c r="P440" t="str">
        <f>IFERROR(IF(OR(HLOOKUP($A440,#REF!,14,FALSE)&gt;2,HLOOKUP($A440,#REF!,14,FALSE)&lt;-2),"",#REF!),"")</f>
        <v/>
      </c>
      <c r="Q440" t="str">
        <f>IFERROR(IF(OR(HLOOKUP($A440,#REF!,15,FALSE)&gt;2,HLOOKUP($A440,#REF!,15,FALSE)&lt;-2),"",#REF!),"")</f>
        <v/>
      </c>
      <c r="R440" t="str">
        <f>IFERROR(IF(OR(HLOOKUP($A440,#REF!,16,FALSE)&gt;2,HLOOKUP($A440,#REF!,16,FALSE)&lt;-2),"",#REF!),"")</f>
        <v/>
      </c>
      <c r="S440" t="str">
        <f>IFERROR(IF(OR(HLOOKUP($A440,#REF!,17,FALSE)&gt;2,HLOOKUP($A440,#REF!,17,FALSE)&lt;-2),"",#REF!),"")</f>
        <v/>
      </c>
      <c r="T440" t="str">
        <f>IFERROR(IF(OR(HLOOKUP($A440,#REF!,18,FALSE)&gt;2,HLOOKUP($A440,#REF!,18,FALSE)&lt;-2),"",#REF!),"")</f>
        <v/>
      </c>
      <c r="U440" t="str">
        <f>IFERROR(IF(OR(HLOOKUP($A440,#REF!,19,FALSE)&gt;2,HLOOKUP($A440,#REF!,19,FALSE)&lt;-2),"",#REF!),"")</f>
        <v/>
      </c>
      <c r="V440">
        <f t="shared" si="24"/>
        <v>1</v>
      </c>
      <c r="W440" t="str">
        <f t="shared" si="25"/>
        <v/>
      </c>
      <c r="X440" t="str">
        <f t="shared" si="26"/>
        <v/>
      </c>
      <c r="Y440" t="str">
        <f t="shared" si="27"/>
        <v/>
      </c>
    </row>
    <row r="441" spans="1:25" x14ac:dyDescent="0.35">
      <c r="A441">
        <v>449</v>
      </c>
      <c r="B441" t="s">
        <v>227</v>
      </c>
      <c r="C441">
        <v>112200</v>
      </c>
      <c r="D441">
        <v>618</v>
      </c>
      <c r="E441" t="str">
        <f>IFERROR(IF(OR(HLOOKUP($A441,#REF!,3,FALSE)&gt;2,HLOOKUP(A441,#REF!,3,FALSE)&lt;-2),"",#REF!),"")</f>
        <v/>
      </c>
      <c r="F441" t="str">
        <f>IFERROR(IF(OR(HLOOKUP($A441,#REF!,4,FALSE)&gt;2,HLOOKUP($A441,#REF!,4,FALSE)&lt;-2),"",#REF!),"")</f>
        <v/>
      </c>
      <c r="G441" t="str">
        <f>IFERROR(IF(OR(HLOOKUP($A441,#REF!,5,FALSE)&gt;2,HLOOKUP($A441,#REF!,5,FALSE)&lt;-2),"",#REF!),"")</f>
        <v/>
      </c>
      <c r="H441" t="str">
        <f>IFERROR(IF(OR(HLOOKUP($A441,#REF!,6,FALSE)&gt;2,HLOOKUP($A441,#REF!,6,FALSE)&lt;-2),"",#REF!),"")</f>
        <v/>
      </c>
      <c r="I441" t="str">
        <f>IFERROR(IF(OR(HLOOKUP($A441,#REF!,7,FALSE)&gt;2,HLOOKUP($A441,#REF!,7,FALSE)&lt;-2),"",#REF!),"")</f>
        <v/>
      </c>
      <c r="J441" t="str">
        <f>IFERROR(IF(OR(HLOOKUP($A441,#REF!,8,FALSE)&gt;2,HLOOKUP($A441,#REF!,8,FALSE)&lt;-2),"",#REF!),"")</f>
        <v/>
      </c>
      <c r="K441" t="str">
        <f>IFERROR(IF(OR(HLOOKUP($A441,#REF!,9,FALSE)&gt;2,HLOOKUP($A441,#REF!,9,FALSE)&lt;-2),"",#REF!),"")</f>
        <v/>
      </c>
      <c r="L441" t="str">
        <f>IFERROR(IF(OR(HLOOKUP($A441,#REF!,10,FALSE)&gt;2,HLOOKUP($A441,#REF!,10,FALSE)&lt;-2),"",#REF!),"")</f>
        <v/>
      </c>
      <c r="M441" t="str">
        <f>IFERROR(IF(OR(HLOOKUP($A441,#REF!,11,FALSE)&gt;2,HLOOKUP($A441,#REF!,11,FALSE)&lt;-2),"",#REF!),"")</f>
        <v/>
      </c>
      <c r="N441" t="str">
        <f>IFERROR(IF(OR(HLOOKUP($A441,#REF!,12,FALSE)&gt;2,HLOOKUP($A441,#REF!,12,FALSE)&lt;-2),"",#REF!),"")</f>
        <v/>
      </c>
      <c r="O441" t="str">
        <f>IFERROR(IF(OR(HLOOKUP($A441,#REF!,13,FALSE)&gt;2,HLOOKUP($A441,#REF!,13,FALSE)&lt;-2),"",#REF!),"")</f>
        <v/>
      </c>
      <c r="P441" t="str">
        <f>IFERROR(IF(OR(HLOOKUP($A441,#REF!,14,FALSE)&gt;2,HLOOKUP($A441,#REF!,14,FALSE)&lt;-2),"",#REF!),"")</f>
        <v/>
      </c>
      <c r="Q441" t="str">
        <f>IFERROR(IF(OR(HLOOKUP($A441,#REF!,15,FALSE)&gt;2,HLOOKUP($A441,#REF!,15,FALSE)&lt;-2),"",#REF!),"")</f>
        <v/>
      </c>
      <c r="R441" t="str">
        <f>IFERROR(IF(OR(HLOOKUP($A441,#REF!,16,FALSE)&gt;2,HLOOKUP($A441,#REF!,16,FALSE)&lt;-2),"",#REF!),"")</f>
        <v/>
      </c>
      <c r="S441" t="str">
        <f>IFERROR(IF(OR(HLOOKUP($A441,#REF!,17,FALSE)&gt;2,HLOOKUP($A441,#REF!,17,FALSE)&lt;-2),"",#REF!),"")</f>
        <v/>
      </c>
      <c r="T441" t="str">
        <f>IFERROR(IF(OR(HLOOKUP($A441,#REF!,18,FALSE)&gt;2,HLOOKUP($A441,#REF!,18,FALSE)&lt;-2),"",#REF!),"")</f>
        <v/>
      </c>
      <c r="U441" t="str">
        <f>IFERROR(IF(OR(HLOOKUP($A441,#REF!,19,FALSE)&gt;2,HLOOKUP($A441,#REF!,19,FALSE)&lt;-2),"",#REF!),"")</f>
        <v/>
      </c>
      <c r="V441">
        <f t="shared" si="24"/>
        <v>1</v>
      </c>
      <c r="W441" t="str">
        <f t="shared" si="25"/>
        <v/>
      </c>
      <c r="X441" t="str">
        <f t="shared" si="26"/>
        <v/>
      </c>
      <c r="Y441" t="str">
        <f t="shared" si="27"/>
        <v/>
      </c>
    </row>
    <row r="442" spans="1:25" x14ac:dyDescent="0.35">
      <c r="A442">
        <v>450</v>
      </c>
      <c r="B442" t="s">
        <v>228</v>
      </c>
      <c r="C442">
        <v>6400</v>
      </c>
      <c r="D442">
        <v>369</v>
      </c>
      <c r="E442" t="str">
        <f>IFERROR(IF(OR(HLOOKUP($A442,#REF!,3,FALSE)&gt;2,HLOOKUP(A442,#REF!,3,FALSE)&lt;-2),"",#REF!),"")</f>
        <v/>
      </c>
      <c r="F442" t="str">
        <f>IFERROR(IF(OR(HLOOKUP($A442,#REF!,4,FALSE)&gt;2,HLOOKUP($A442,#REF!,4,FALSE)&lt;-2),"",#REF!),"")</f>
        <v/>
      </c>
      <c r="G442" t="str">
        <f>IFERROR(IF(OR(HLOOKUP($A442,#REF!,5,FALSE)&gt;2,HLOOKUP($A442,#REF!,5,FALSE)&lt;-2),"",#REF!),"")</f>
        <v/>
      </c>
      <c r="H442" t="str">
        <f>IFERROR(IF(OR(HLOOKUP($A442,#REF!,6,FALSE)&gt;2,HLOOKUP($A442,#REF!,6,FALSE)&lt;-2),"",#REF!),"")</f>
        <v/>
      </c>
      <c r="I442" t="str">
        <f>IFERROR(IF(OR(HLOOKUP($A442,#REF!,7,FALSE)&gt;2,HLOOKUP($A442,#REF!,7,FALSE)&lt;-2),"",#REF!),"")</f>
        <v/>
      </c>
      <c r="J442" t="str">
        <f>IFERROR(IF(OR(HLOOKUP($A442,#REF!,8,FALSE)&gt;2,HLOOKUP($A442,#REF!,8,FALSE)&lt;-2),"",#REF!),"")</f>
        <v/>
      </c>
      <c r="K442" t="str">
        <f>IFERROR(IF(OR(HLOOKUP($A442,#REF!,9,FALSE)&gt;2,HLOOKUP($A442,#REF!,9,FALSE)&lt;-2),"",#REF!),"")</f>
        <v/>
      </c>
      <c r="L442" t="str">
        <f>IFERROR(IF(OR(HLOOKUP($A442,#REF!,10,FALSE)&gt;2,HLOOKUP($A442,#REF!,10,FALSE)&lt;-2),"",#REF!),"")</f>
        <v/>
      </c>
      <c r="M442" t="str">
        <f>IFERROR(IF(OR(HLOOKUP($A442,#REF!,11,FALSE)&gt;2,HLOOKUP($A442,#REF!,11,FALSE)&lt;-2),"",#REF!),"")</f>
        <v/>
      </c>
      <c r="N442" t="str">
        <f>IFERROR(IF(OR(HLOOKUP($A442,#REF!,12,FALSE)&gt;2,HLOOKUP($A442,#REF!,12,FALSE)&lt;-2),"",#REF!),"")</f>
        <v/>
      </c>
      <c r="O442" t="str">
        <f>IFERROR(IF(OR(HLOOKUP($A442,#REF!,13,FALSE)&gt;2,HLOOKUP($A442,#REF!,13,FALSE)&lt;-2),"",#REF!),"")</f>
        <v/>
      </c>
      <c r="P442" t="str">
        <f>IFERROR(IF(OR(HLOOKUP($A442,#REF!,14,FALSE)&gt;2,HLOOKUP($A442,#REF!,14,FALSE)&lt;-2),"",#REF!),"")</f>
        <v/>
      </c>
      <c r="Q442" t="str">
        <f>IFERROR(IF(OR(HLOOKUP($A442,#REF!,15,FALSE)&gt;2,HLOOKUP($A442,#REF!,15,FALSE)&lt;-2),"",#REF!),"")</f>
        <v/>
      </c>
      <c r="R442" t="str">
        <f>IFERROR(IF(OR(HLOOKUP($A442,#REF!,16,FALSE)&gt;2,HLOOKUP($A442,#REF!,16,FALSE)&lt;-2),"",#REF!),"")</f>
        <v/>
      </c>
      <c r="S442" t="str">
        <f>IFERROR(IF(OR(HLOOKUP($A442,#REF!,17,FALSE)&gt;2,HLOOKUP($A442,#REF!,17,FALSE)&lt;-2),"",#REF!),"")</f>
        <v/>
      </c>
      <c r="T442" t="str">
        <f>IFERROR(IF(OR(HLOOKUP($A442,#REF!,18,FALSE)&gt;2,HLOOKUP($A442,#REF!,18,FALSE)&lt;-2),"",#REF!),"")</f>
        <v/>
      </c>
      <c r="U442" t="str">
        <f>IFERROR(IF(OR(HLOOKUP($A442,#REF!,19,FALSE)&gt;2,HLOOKUP($A442,#REF!,19,FALSE)&lt;-2),"",#REF!),"")</f>
        <v/>
      </c>
      <c r="V442">
        <f t="shared" si="24"/>
        <v>1</v>
      </c>
      <c r="W442" t="str">
        <f t="shared" si="25"/>
        <v/>
      </c>
      <c r="X442" t="str">
        <f t="shared" si="26"/>
        <v/>
      </c>
      <c r="Y442" t="str">
        <f t="shared" si="27"/>
        <v/>
      </c>
    </row>
    <row r="443" spans="1:25" x14ac:dyDescent="0.35">
      <c r="A443">
        <v>451</v>
      </c>
      <c r="B443" t="s">
        <v>229</v>
      </c>
      <c r="C443">
        <v>47400</v>
      </c>
      <c r="D443">
        <v>295</v>
      </c>
      <c r="E443" t="str">
        <f>IFERROR(IF(OR(HLOOKUP($A443,#REF!,3,FALSE)&gt;2,HLOOKUP(A443,#REF!,3,FALSE)&lt;-2),"",#REF!),"")</f>
        <v/>
      </c>
      <c r="F443" t="str">
        <f>IFERROR(IF(OR(HLOOKUP($A443,#REF!,4,FALSE)&gt;2,HLOOKUP($A443,#REF!,4,FALSE)&lt;-2),"",#REF!),"")</f>
        <v/>
      </c>
      <c r="G443" t="str">
        <f>IFERROR(IF(OR(HLOOKUP($A443,#REF!,5,FALSE)&gt;2,HLOOKUP($A443,#REF!,5,FALSE)&lt;-2),"",#REF!),"")</f>
        <v/>
      </c>
      <c r="H443" t="str">
        <f>IFERROR(IF(OR(HLOOKUP($A443,#REF!,6,FALSE)&gt;2,HLOOKUP($A443,#REF!,6,FALSE)&lt;-2),"",#REF!),"")</f>
        <v/>
      </c>
      <c r="I443" t="str">
        <f>IFERROR(IF(OR(HLOOKUP($A443,#REF!,7,FALSE)&gt;2,HLOOKUP($A443,#REF!,7,FALSE)&lt;-2),"",#REF!),"")</f>
        <v/>
      </c>
      <c r="J443" t="str">
        <f>IFERROR(IF(OR(HLOOKUP($A443,#REF!,8,FALSE)&gt;2,HLOOKUP($A443,#REF!,8,FALSE)&lt;-2),"",#REF!),"")</f>
        <v/>
      </c>
      <c r="K443" t="str">
        <f>IFERROR(IF(OR(HLOOKUP($A443,#REF!,9,FALSE)&gt;2,HLOOKUP($A443,#REF!,9,FALSE)&lt;-2),"",#REF!),"")</f>
        <v/>
      </c>
      <c r="L443" t="str">
        <f>IFERROR(IF(OR(HLOOKUP($A443,#REF!,10,FALSE)&gt;2,HLOOKUP($A443,#REF!,10,FALSE)&lt;-2),"",#REF!),"")</f>
        <v/>
      </c>
      <c r="M443" t="str">
        <f>IFERROR(IF(OR(HLOOKUP($A443,#REF!,11,FALSE)&gt;2,HLOOKUP($A443,#REF!,11,FALSE)&lt;-2),"",#REF!),"")</f>
        <v/>
      </c>
      <c r="N443" t="str">
        <f>IFERROR(IF(OR(HLOOKUP($A443,#REF!,12,FALSE)&gt;2,HLOOKUP($A443,#REF!,12,FALSE)&lt;-2),"",#REF!),"")</f>
        <v/>
      </c>
      <c r="O443" t="str">
        <f>IFERROR(IF(OR(HLOOKUP($A443,#REF!,13,FALSE)&gt;2,HLOOKUP($A443,#REF!,13,FALSE)&lt;-2),"",#REF!),"")</f>
        <v/>
      </c>
      <c r="P443" t="str">
        <f>IFERROR(IF(OR(HLOOKUP($A443,#REF!,14,FALSE)&gt;2,HLOOKUP($A443,#REF!,14,FALSE)&lt;-2),"",#REF!),"")</f>
        <v/>
      </c>
      <c r="Q443" t="str">
        <f>IFERROR(IF(OR(HLOOKUP($A443,#REF!,15,FALSE)&gt;2,HLOOKUP($A443,#REF!,15,FALSE)&lt;-2),"",#REF!),"")</f>
        <v/>
      </c>
      <c r="R443" t="str">
        <f>IFERROR(IF(OR(HLOOKUP($A443,#REF!,16,FALSE)&gt;2,HLOOKUP($A443,#REF!,16,FALSE)&lt;-2),"",#REF!),"")</f>
        <v/>
      </c>
      <c r="S443" t="str">
        <f>IFERROR(IF(OR(HLOOKUP($A443,#REF!,17,FALSE)&gt;2,HLOOKUP($A443,#REF!,17,FALSE)&lt;-2),"",#REF!),"")</f>
        <v/>
      </c>
      <c r="T443" t="str">
        <f>IFERROR(IF(OR(HLOOKUP($A443,#REF!,18,FALSE)&gt;2,HLOOKUP($A443,#REF!,18,FALSE)&lt;-2),"",#REF!),"")</f>
        <v/>
      </c>
      <c r="U443" t="str">
        <f>IFERROR(IF(OR(HLOOKUP($A443,#REF!,19,FALSE)&gt;2,HLOOKUP($A443,#REF!,19,FALSE)&lt;-2),"",#REF!),"")</f>
        <v/>
      </c>
      <c r="V443">
        <f t="shared" si="24"/>
        <v>1</v>
      </c>
      <c r="W443" t="str">
        <f t="shared" si="25"/>
        <v/>
      </c>
      <c r="X443" t="str">
        <f t="shared" si="26"/>
        <v/>
      </c>
      <c r="Y443" t="str">
        <f t="shared" si="27"/>
        <v/>
      </c>
    </row>
    <row r="444" spans="1:25" x14ac:dyDescent="0.35">
      <c r="A444">
        <v>452</v>
      </c>
      <c r="B444" t="s">
        <v>230</v>
      </c>
      <c r="C444">
        <v>72800</v>
      </c>
      <c r="D444">
        <v>141</v>
      </c>
      <c r="E444" t="str">
        <f>IFERROR(IF(OR(HLOOKUP($A444,#REF!,3,FALSE)&gt;2,HLOOKUP(A444,#REF!,3,FALSE)&lt;-2),"",#REF!),"")</f>
        <v/>
      </c>
      <c r="F444" t="str">
        <f>IFERROR(IF(OR(HLOOKUP($A444,#REF!,4,FALSE)&gt;2,HLOOKUP($A444,#REF!,4,FALSE)&lt;-2),"",#REF!),"")</f>
        <v/>
      </c>
      <c r="G444" t="str">
        <f>IFERROR(IF(OR(HLOOKUP($A444,#REF!,5,FALSE)&gt;2,HLOOKUP($A444,#REF!,5,FALSE)&lt;-2),"",#REF!),"")</f>
        <v/>
      </c>
      <c r="H444" t="str">
        <f>IFERROR(IF(OR(HLOOKUP($A444,#REF!,6,FALSE)&gt;2,HLOOKUP($A444,#REF!,6,FALSE)&lt;-2),"",#REF!),"")</f>
        <v/>
      </c>
      <c r="I444" t="str">
        <f>IFERROR(IF(OR(HLOOKUP($A444,#REF!,7,FALSE)&gt;2,HLOOKUP($A444,#REF!,7,FALSE)&lt;-2),"",#REF!),"")</f>
        <v/>
      </c>
      <c r="J444" t="str">
        <f>IFERROR(IF(OR(HLOOKUP($A444,#REF!,8,FALSE)&gt;2,HLOOKUP($A444,#REF!,8,FALSE)&lt;-2),"",#REF!),"")</f>
        <v/>
      </c>
      <c r="K444" t="str">
        <f>IFERROR(IF(OR(HLOOKUP($A444,#REF!,9,FALSE)&gt;2,HLOOKUP($A444,#REF!,9,FALSE)&lt;-2),"",#REF!),"")</f>
        <v/>
      </c>
      <c r="L444" t="str">
        <f>IFERROR(IF(OR(HLOOKUP($A444,#REF!,10,FALSE)&gt;2,HLOOKUP($A444,#REF!,10,FALSE)&lt;-2),"",#REF!),"")</f>
        <v/>
      </c>
      <c r="M444" t="str">
        <f>IFERROR(IF(OR(HLOOKUP($A444,#REF!,11,FALSE)&gt;2,HLOOKUP($A444,#REF!,11,FALSE)&lt;-2),"",#REF!),"")</f>
        <v/>
      </c>
      <c r="N444" t="str">
        <f>IFERROR(IF(OR(HLOOKUP($A444,#REF!,12,FALSE)&gt;2,HLOOKUP($A444,#REF!,12,FALSE)&lt;-2),"",#REF!),"")</f>
        <v/>
      </c>
      <c r="O444" t="str">
        <f>IFERROR(IF(OR(HLOOKUP($A444,#REF!,13,FALSE)&gt;2,HLOOKUP($A444,#REF!,13,FALSE)&lt;-2),"",#REF!),"")</f>
        <v/>
      </c>
      <c r="P444" t="str">
        <f>IFERROR(IF(OR(HLOOKUP($A444,#REF!,14,FALSE)&gt;2,HLOOKUP($A444,#REF!,14,FALSE)&lt;-2),"",#REF!),"")</f>
        <v/>
      </c>
      <c r="Q444" t="str">
        <f>IFERROR(IF(OR(HLOOKUP($A444,#REF!,15,FALSE)&gt;2,HLOOKUP($A444,#REF!,15,FALSE)&lt;-2),"",#REF!),"")</f>
        <v/>
      </c>
      <c r="R444" t="str">
        <f>IFERROR(IF(OR(HLOOKUP($A444,#REF!,16,FALSE)&gt;2,HLOOKUP($A444,#REF!,16,FALSE)&lt;-2),"",#REF!),"")</f>
        <v/>
      </c>
      <c r="S444" t="str">
        <f>IFERROR(IF(OR(HLOOKUP($A444,#REF!,17,FALSE)&gt;2,HLOOKUP($A444,#REF!,17,FALSE)&lt;-2),"",#REF!),"")</f>
        <v/>
      </c>
      <c r="T444" t="str">
        <f>IFERROR(IF(OR(HLOOKUP($A444,#REF!,18,FALSE)&gt;2,HLOOKUP($A444,#REF!,18,FALSE)&lt;-2),"",#REF!),"")</f>
        <v/>
      </c>
      <c r="U444" t="str">
        <f>IFERROR(IF(OR(HLOOKUP($A444,#REF!,19,FALSE)&gt;2,HLOOKUP($A444,#REF!,19,FALSE)&lt;-2),"",#REF!),"")</f>
        <v/>
      </c>
      <c r="V444">
        <f t="shared" si="24"/>
        <v>1</v>
      </c>
      <c r="W444" t="str">
        <f t="shared" si="25"/>
        <v/>
      </c>
      <c r="X444" t="str">
        <f t="shared" si="26"/>
        <v/>
      </c>
      <c r="Y444" t="str">
        <f t="shared" si="27"/>
        <v/>
      </c>
    </row>
    <row r="445" spans="1:25" x14ac:dyDescent="0.35">
      <c r="A445">
        <v>453</v>
      </c>
      <c r="B445" t="s">
        <v>817</v>
      </c>
      <c r="C445">
        <v>2700</v>
      </c>
      <c r="D445">
        <v>315</v>
      </c>
      <c r="E445" t="str">
        <f>IFERROR(IF(OR(HLOOKUP($A445,#REF!,3,FALSE)&gt;2,HLOOKUP(A445,#REF!,3,FALSE)&lt;-2),"",#REF!),"")</f>
        <v/>
      </c>
      <c r="F445" t="str">
        <f>IFERROR(IF(OR(HLOOKUP($A445,#REF!,4,FALSE)&gt;2,HLOOKUP($A445,#REF!,4,FALSE)&lt;-2),"",#REF!),"")</f>
        <v/>
      </c>
      <c r="G445" t="str">
        <f>IFERROR(IF(OR(HLOOKUP($A445,#REF!,5,FALSE)&gt;2,HLOOKUP($A445,#REF!,5,FALSE)&lt;-2),"",#REF!),"")</f>
        <v/>
      </c>
      <c r="H445" t="str">
        <f>IFERROR(IF(OR(HLOOKUP($A445,#REF!,6,FALSE)&gt;2,HLOOKUP($A445,#REF!,6,FALSE)&lt;-2),"",#REF!),"")</f>
        <v/>
      </c>
      <c r="I445" t="str">
        <f>IFERROR(IF(OR(HLOOKUP($A445,#REF!,7,FALSE)&gt;2,HLOOKUP($A445,#REF!,7,FALSE)&lt;-2),"",#REF!),"")</f>
        <v/>
      </c>
      <c r="J445" t="str">
        <f>IFERROR(IF(OR(HLOOKUP($A445,#REF!,8,FALSE)&gt;2,HLOOKUP($A445,#REF!,8,FALSE)&lt;-2),"",#REF!),"")</f>
        <v/>
      </c>
      <c r="K445" t="str">
        <f>IFERROR(IF(OR(HLOOKUP($A445,#REF!,9,FALSE)&gt;2,HLOOKUP($A445,#REF!,9,FALSE)&lt;-2),"",#REF!),"")</f>
        <v/>
      </c>
      <c r="L445" t="str">
        <f>IFERROR(IF(OR(HLOOKUP($A445,#REF!,10,FALSE)&gt;2,HLOOKUP($A445,#REF!,10,FALSE)&lt;-2),"",#REF!),"")</f>
        <v/>
      </c>
      <c r="M445" t="str">
        <f>IFERROR(IF(OR(HLOOKUP($A445,#REF!,11,FALSE)&gt;2,HLOOKUP($A445,#REF!,11,FALSE)&lt;-2),"",#REF!),"")</f>
        <v/>
      </c>
      <c r="N445" t="str">
        <f>IFERROR(IF(OR(HLOOKUP($A445,#REF!,12,FALSE)&gt;2,HLOOKUP($A445,#REF!,12,FALSE)&lt;-2),"",#REF!),"")</f>
        <v/>
      </c>
      <c r="O445" t="str">
        <f>IFERROR(IF(OR(HLOOKUP($A445,#REF!,13,FALSE)&gt;2,HLOOKUP($A445,#REF!,13,FALSE)&lt;-2),"",#REF!),"")</f>
        <v/>
      </c>
      <c r="P445" t="str">
        <f>IFERROR(IF(OR(HLOOKUP($A445,#REF!,14,FALSE)&gt;2,HLOOKUP($A445,#REF!,14,FALSE)&lt;-2),"",#REF!),"")</f>
        <v/>
      </c>
      <c r="Q445" t="str">
        <f>IFERROR(IF(OR(HLOOKUP($A445,#REF!,15,FALSE)&gt;2,HLOOKUP($A445,#REF!,15,FALSE)&lt;-2),"",#REF!),"")</f>
        <v/>
      </c>
      <c r="R445" t="str">
        <f>IFERROR(IF(OR(HLOOKUP($A445,#REF!,16,FALSE)&gt;2,HLOOKUP($A445,#REF!,16,FALSE)&lt;-2),"",#REF!),"")</f>
        <v/>
      </c>
      <c r="S445" t="str">
        <f>IFERROR(IF(OR(HLOOKUP($A445,#REF!,17,FALSE)&gt;2,HLOOKUP($A445,#REF!,17,FALSE)&lt;-2),"",#REF!),"")</f>
        <v/>
      </c>
      <c r="T445" t="str">
        <f>IFERROR(IF(OR(HLOOKUP($A445,#REF!,18,FALSE)&gt;2,HLOOKUP($A445,#REF!,18,FALSE)&lt;-2),"",#REF!),"")</f>
        <v/>
      </c>
      <c r="U445" t="str">
        <f>IFERROR(IF(OR(HLOOKUP($A445,#REF!,19,FALSE)&gt;2,HLOOKUP($A445,#REF!,19,FALSE)&lt;-2),"",#REF!),"")</f>
        <v/>
      </c>
      <c r="V445">
        <f t="shared" si="24"/>
        <v>1</v>
      </c>
      <c r="W445" t="str">
        <f t="shared" si="25"/>
        <v/>
      </c>
      <c r="X445" t="str">
        <f t="shared" si="26"/>
        <v/>
      </c>
      <c r="Y445" t="str">
        <f t="shared" si="27"/>
        <v/>
      </c>
    </row>
    <row r="446" spans="1:25" x14ac:dyDescent="0.35">
      <c r="A446">
        <v>454</v>
      </c>
      <c r="B446" t="s">
        <v>818</v>
      </c>
      <c r="C446">
        <v>38600</v>
      </c>
      <c r="D446">
        <v>423</v>
      </c>
      <c r="E446" t="str">
        <f>IFERROR(IF(OR(HLOOKUP($A446,#REF!,3,FALSE)&gt;2,HLOOKUP(A446,#REF!,3,FALSE)&lt;-2),"",#REF!),"")</f>
        <v/>
      </c>
      <c r="F446" t="str">
        <f>IFERROR(IF(OR(HLOOKUP($A446,#REF!,4,FALSE)&gt;2,HLOOKUP($A446,#REF!,4,FALSE)&lt;-2),"",#REF!),"")</f>
        <v/>
      </c>
      <c r="G446" t="str">
        <f>IFERROR(IF(OR(HLOOKUP($A446,#REF!,5,FALSE)&gt;2,HLOOKUP($A446,#REF!,5,FALSE)&lt;-2),"",#REF!),"")</f>
        <v/>
      </c>
      <c r="H446" t="str">
        <f>IFERROR(IF(OR(HLOOKUP($A446,#REF!,6,FALSE)&gt;2,HLOOKUP($A446,#REF!,6,FALSE)&lt;-2),"",#REF!),"")</f>
        <v/>
      </c>
      <c r="I446" t="str">
        <f>IFERROR(IF(OR(HLOOKUP($A446,#REF!,7,FALSE)&gt;2,HLOOKUP($A446,#REF!,7,FALSE)&lt;-2),"",#REF!),"")</f>
        <v/>
      </c>
      <c r="J446" t="str">
        <f>IFERROR(IF(OR(HLOOKUP($A446,#REF!,8,FALSE)&gt;2,HLOOKUP($A446,#REF!,8,FALSE)&lt;-2),"",#REF!),"")</f>
        <v/>
      </c>
      <c r="K446" t="str">
        <f>IFERROR(IF(OR(HLOOKUP($A446,#REF!,9,FALSE)&gt;2,HLOOKUP($A446,#REF!,9,FALSE)&lt;-2),"",#REF!),"")</f>
        <v/>
      </c>
      <c r="L446" t="str">
        <f>IFERROR(IF(OR(HLOOKUP($A446,#REF!,10,FALSE)&gt;2,HLOOKUP($A446,#REF!,10,FALSE)&lt;-2),"",#REF!),"")</f>
        <v/>
      </c>
      <c r="M446" t="str">
        <f>IFERROR(IF(OR(HLOOKUP($A446,#REF!,11,FALSE)&gt;2,HLOOKUP($A446,#REF!,11,FALSE)&lt;-2),"",#REF!),"")</f>
        <v/>
      </c>
      <c r="N446" t="str">
        <f>IFERROR(IF(OR(HLOOKUP($A446,#REF!,12,FALSE)&gt;2,HLOOKUP($A446,#REF!,12,FALSE)&lt;-2),"",#REF!),"")</f>
        <v/>
      </c>
      <c r="O446" t="str">
        <f>IFERROR(IF(OR(HLOOKUP($A446,#REF!,13,FALSE)&gt;2,HLOOKUP($A446,#REF!,13,FALSE)&lt;-2),"",#REF!),"")</f>
        <v/>
      </c>
      <c r="P446" t="str">
        <f>IFERROR(IF(OR(HLOOKUP($A446,#REF!,14,FALSE)&gt;2,HLOOKUP($A446,#REF!,14,FALSE)&lt;-2),"",#REF!),"")</f>
        <v/>
      </c>
      <c r="Q446" t="str">
        <f>IFERROR(IF(OR(HLOOKUP($A446,#REF!,15,FALSE)&gt;2,HLOOKUP($A446,#REF!,15,FALSE)&lt;-2),"",#REF!),"")</f>
        <v/>
      </c>
      <c r="R446" t="str">
        <f>IFERROR(IF(OR(HLOOKUP($A446,#REF!,16,FALSE)&gt;2,HLOOKUP($A446,#REF!,16,FALSE)&lt;-2),"",#REF!),"")</f>
        <v/>
      </c>
      <c r="S446" t="str">
        <f>IFERROR(IF(OR(HLOOKUP($A446,#REF!,17,FALSE)&gt;2,HLOOKUP($A446,#REF!,17,FALSE)&lt;-2),"",#REF!),"")</f>
        <v/>
      </c>
      <c r="T446" t="str">
        <f>IFERROR(IF(OR(HLOOKUP($A446,#REF!,18,FALSE)&gt;2,HLOOKUP($A446,#REF!,18,FALSE)&lt;-2),"",#REF!),"")</f>
        <v/>
      </c>
      <c r="U446" t="str">
        <f>IFERROR(IF(OR(HLOOKUP($A446,#REF!,19,FALSE)&gt;2,HLOOKUP($A446,#REF!,19,FALSE)&lt;-2),"",#REF!),"")</f>
        <v/>
      </c>
      <c r="V446">
        <f t="shared" si="24"/>
        <v>1</v>
      </c>
      <c r="W446" t="str">
        <f t="shared" si="25"/>
        <v/>
      </c>
      <c r="X446" t="str">
        <f t="shared" si="26"/>
        <v/>
      </c>
      <c r="Y446" t="str">
        <f t="shared" si="27"/>
        <v/>
      </c>
    </row>
    <row r="447" spans="1:25" x14ac:dyDescent="0.35">
      <c r="A447">
        <v>455</v>
      </c>
      <c r="B447" t="s">
        <v>819</v>
      </c>
      <c r="C447">
        <v>76500</v>
      </c>
      <c r="D447">
        <v>63</v>
      </c>
      <c r="E447" t="str">
        <f>IFERROR(IF(OR(HLOOKUP($A447,#REF!,3,FALSE)&gt;2,HLOOKUP(A447,#REF!,3,FALSE)&lt;-2),"",#REF!),"")</f>
        <v/>
      </c>
      <c r="F447" t="str">
        <f>IFERROR(IF(OR(HLOOKUP($A447,#REF!,4,FALSE)&gt;2,HLOOKUP($A447,#REF!,4,FALSE)&lt;-2),"",#REF!),"")</f>
        <v/>
      </c>
      <c r="G447" t="str">
        <f>IFERROR(IF(OR(HLOOKUP($A447,#REF!,5,FALSE)&gt;2,HLOOKUP($A447,#REF!,5,FALSE)&lt;-2),"",#REF!),"")</f>
        <v/>
      </c>
      <c r="H447" t="str">
        <f>IFERROR(IF(OR(HLOOKUP($A447,#REF!,6,FALSE)&gt;2,HLOOKUP($A447,#REF!,6,FALSE)&lt;-2),"",#REF!),"")</f>
        <v/>
      </c>
      <c r="I447" t="str">
        <f>IFERROR(IF(OR(HLOOKUP($A447,#REF!,7,FALSE)&gt;2,HLOOKUP($A447,#REF!,7,FALSE)&lt;-2),"",#REF!),"")</f>
        <v/>
      </c>
      <c r="J447" t="str">
        <f>IFERROR(IF(OR(HLOOKUP($A447,#REF!,8,FALSE)&gt;2,HLOOKUP($A447,#REF!,8,FALSE)&lt;-2),"",#REF!),"")</f>
        <v/>
      </c>
      <c r="K447" t="str">
        <f>IFERROR(IF(OR(HLOOKUP($A447,#REF!,9,FALSE)&gt;2,HLOOKUP($A447,#REF!,9,FALSE)&lt;-2),"",#REF!),"")</f>
        <v/>
      </c>
      <c r="L447" t="str">
        <f>IFERROR(IF(OR(HLOOKUP($A447,#REF!,10,FALSE)&gt;2,HLOOKUP($A447,#REF!,10,FALSE)&lt;-2),"",#REF!),"")</f>
        <v/>
      </c>
      <c r="M447" t="str">
        <f>IFERROR(IF(OR(HLOOKUP($A447,#REF!,11,FALSE)&gt;2,HLOOKUP($A447,#REF!,11,FALSE)&lt;-2),"",#REF!),"")</f>
        <v/>
      </c>
      <c r="N447" t="str">
        <f>IFERROR(IF(OR(HLOOKUP($A447,#REF!,12,FALSE)&gt;2,HLOOKUP($A447,#REF!,12,FALSE)&lt;-2),"",#REF!),"")</f>
        <v/>
      </c>
      <c r="O447" t="str">
        <f>IFERROR(IF(OR(HLOOKUP($A447,#REF!,13,FALSE)&gt;2,HLOOKUP($A447,#REF!,13,FALSE)&lt;-2),"",#REF!),"")</f>
        <v/>
      </c>
      <c r="P447" t="str">
        <f>IFERROR(IF(OR(HLOOKUP($A447,#REF!,14,FALSE)&gt;2,HLOOKUP($A447,#REF!,14,FALSE)&lt;-2),"",#REF!),"")</f>
        <v/>
      </c>
      <c r="Q447" t="str">
        <f>IFERROR(IF(OR(HLOOKUP($A447,#REF!,15,FALSE)&gt;2,HLOOKUP($A447,#REF!,15,FALSE)&lt;-2),"",#REF!),"")</f>
        <v/>
      </c>
      <c r="R447" t="str">
        <f>IFERROR(IF(OR(HLOOKUP($A447,#REF!,16,FALSE)&gt;2,HLOOKUP($A447,#REF!,16,FALSE)&lt;-2),"",#REF!),"")</f>
        <v/>
      </c>
      <c r="S447" t="str">
        <f>IFERROR(IF(OR(HLOOKUP($A447,#REF!,17,FALSE)&gt;2,HLOOKUP($A447,#REF!,17,FALSE)&lt;-2),"",#REF!),"")</f>
        <v/>
      </c>
      <c r="T447" t="str">
        <f>IFERROR(IF(OR(HLOOKUP($A447,#REF!,18,FALSE)&gt;2,HLOOKUP($A447,#REF!,18,FALSE)&lt;-2),"",#REF!),"")</f>
        <v/>
      </c>
      <c r="U447" t="str">
        <f>IFERROR(IF(OR(HLOOKUP($A447,#REF!,19,FALSE)&gt;2,HLOOKUP($A447,#REF!,19,FALSE)&lt;-2),"",#REF!),"")</f>
        <v/>
      </c>
      <c r="V447">
        <f t="shared" si="24"/>
        <v>1</v>
      </c>
      <c r="W447" t="str">
        <f t="shared" si="25"/>
        <v/>
      </c>
      <c r="X447" t="str">
        <f t="shared" si="26"/>
        <v/>
      </c>
      <c r="Y447" t="str">
        <f t="shared" si="27"/>
        <v/>
      </c>
    </row>
    <row r="448" spans="1:25" x14ac:dyDescent="0.35">
      <c r="A448">
        <v>456</v>
      </c>
      <c r="B448" t="s">
        <v>231</v>
      </c>
      <c r="C448">
        <v>12600</v>
      </c>
      <c r="D448">
        <v>1027</v>
      </c>
      <c r="E448" t="str">
        <f>IFERROR(IF(OR(HLOOKUP($A448,#REF!,3,FALSE)&gt;2,HLOOKUP(A448,#REF!,3,FALSE)&lt;-2),"",#REF!),"")</f>
        <v/>
      </c>
      <c r="F448" t="str">
        <f>IFERROR(IF(OR(HLOOKUP($A448,#REF!,4,FALSE)&gt;2,HLOOKUP($A448,#REF!,4,FALSE)&lt;-2),"",#REF!),"")</f>
        <v/>
      </c>
      <c r="G448" t="str">
        <f>IFERROR(IF(OR(HLOOKUP($A448,#REF!,5,FALSE)&gt;2,HLOOKUP($A448,#REF!,5,FALSE)&lt;-2),"",#REF!),"")</f>
        <v/>
      </c>
      <c r="H448" t="str">
        <f>IFERROR(IF(OR(HLOOKUP($A448,#REF!,6,FALSE)&gt;2,HLOOKUP($A448,#REF!,6,FALSE)&lt;-2),"",#REF!),"")</f>
        <v/>
      </c>
      <c r="I448" t="str">
        <f>IFERROR(IF(OR(HLOOKUP($A448,#REF!,7,FALSE)&gt;2,HLOOKUP($A448,#REF!,7,FALSE)&lt;-2),"",#REF!),"")</f>
        <v/>
      </c>
      <c r="J448" t="str">
        <f>IFERROR(IF(OR(HLOOKUP($A448,#REF!,8,FALSE)&gt;2,HLOOKUP($A448,#REF!,8,FALSE)&lt;-2),"",#REF!),"")</f>
        <v/>
      </c>
      <c r="K448" t="str">
        <f>IFERROR(IF(OR(HLOOKUP($A448,#REF!,9,FALSE)&gt;2,HLOOKUP($A448,#REF!,9,FALSE)&lt;-2),"",#REF!),"")</f>
        <v/>
      </c>
      <c r="L448" t="str">
        <f>IFERROR(IF(OR(HLOOKUP($A448,#REF!,10,FALSE)&gt;2,HLOOKUP($A448,#REF!,10,FALSE)&lt;-2),"",#REF!),"")</f>
        <v/>
      </c>
      <c r="M448" t="str">
        <f>IFERROR(IF(OR(HLOOKUP($A448,#REF!,11,FALSE)&gt;2,HLOOKUP($A448,#REF!,11,FALSE)&lt;-2),"",#REF!),"")</f>
        <v/>
      </c>
      <c r="N448" t="str">
        <f>IFERROR(IF(OR(HLOOKUP($A448,#REF!,12,FALSE)&gt;2,HLOOKUP($A448,#REF!,12,FALSE)&lt;-2),"",#REF!),"")</f>
        <v/>
      </c>
      <c r="O448" t="str">
        <f>IFERROR(IF(OR(HLOOKUP($A448,#REF!,13,FALSE)&gt;2,HLOOKUP($A448,#REF!,13,FALSE)&lt;-2),"",#REF!),"")</f>
        <v/>
      </c>
      <c r="P448" t="str">
        <f>IFERROR(IF(OR(HLOOKUP($A448,#REF!,14,FALSE)&gt;2,HLOOKUP($A448,#REF!,14,FALSE)&lt;-2),"",#REF!),"")</f>
        <v/>
      </c>
      <c r="Q448" t="str">
        <f>IFERROR(IF(OR(HLOOKUP($A448,#REF!,15,FALSE)&gt;2,HLOOKUP($A448,#REF!,15,FALSE)&lt;-2),"",#REF!),"")</f>
        <v/>
      </c>
      <c r="R448" t="str">
        <f>IFERROR(IF(OR(HLOOKUP($A448,#REF!,16,FALSE)&gt;2,HLOOKUP($A448,#REF!,16,FALSE)&lt;-2),"",#REF!),"")</f>
        <v/>
      </c>
      <c r="S448" t="str">
        <f>IFERROR(IF(OR(HLOOKUP($A448,#REF!,17,FALSE)&gt;2,HLOOKUP($A448,#REF!,17,FALSE)&lt;-2),"",#REF!),"")</f>
        <v/>
      </c>
      <c r="T448" t="str">
        <f>IFERROR(IF(OR(HLOOKUP($A448,#REF!,18,FALSE)&gt;2,HLOOKUP($A448,#REF!,18,FALSE)&lt;-2),"",#REF!),"")</f>
        <v/>
      </c>
      <c r="U448" t="str">
        <f>IFERROR(IF(OR(HLOOKUP($A448,#REF!,19,FALSE)&gt;2,HLOOKUP($A448,#REF!,19,FALSE)&lt;-2),"",#REF!),"")</f>
        <v/>
      </c>
      <c r="V448">
        <f t="shared" si="24"/>
        <v>1</v>
      </c>
      <c r="W448" t="str">
        <f t="shared" si="25"/>
        <v/>
      </c>
      <c r="X448" t="str">
        <f t="shared" si="26"/>
        <v/>
      </c>
      <c r="Y448" t="str">
        <f t="shared" si="27"/>
        <v/>
      </c>
    </row>
    <row r="449" spans="1:25" x14ac:dyDescent="0.35">
      <c r="A449">
        <v>457</v>
      </c>
      <c r="B449" t="s">
        <v>820</v>
      </c>
      <c r="C449">
        <v>13900</v>
      </c>
      <c r="D449">
        <v>669</v>
      </c>
      <c r="E449" t="str">
        <f>IFERROR(IF(OR(HLOOKUP($A449,#REF!,3,FALSE)&gt;2,HLOOKUP(A449,#REF!,3,FALSE)&lt;-2),"",#REF!),"")</f>
        <v/>
      </c>
      <c r="F449" t="str">
        <f>IFERROR(IF(OR(HLOOKUP($A449,#REF!,4,FALSE)&gt;2,HLOOKUP($A449,#REF!,4,FALSE)&lt;-2),"",#REF!),"")</f>
        <v/>
      </c>
      <c r="G449" t="str">
        <f>IFERROR(IF(OR(HLOOKUP($A449,#REF!,5,FALSE)&gt;2,HLOOKUP($A449,#REF!,5,FALSE)&lt;-2),"",#REF!),"")</f>
        <v/>
      </c>
      <c r="H449" t="str">
        <f>IFERROR(IF(OR(HLOOKUP($A449,#REF!,6,FALSE)&gt;2,HLOOKUP($A449,#REF!,6,FALSE)&lt;-2),"",#REF!),"")</f>
        <v/>
      </c>
      <c r="I449" t="str">
        <f>IFERROR(IF(OR(HLOOKUP($A449,#REF!,7,FALSE)&gt;2,HLOOKUP($A449,#REF!,7,FALSE)&lt;-2),"",#REF!),"")</f>
        <v/>
      </c>
      <c r="J449" t="str">
        <f>IFERROR(IF(OR(HLOOKUP($A449,#REF!,8,FALSE)&gt;2,HLOOKUP($A449,#REF!,8,FALSE)&lt;-2),"",#REF!),"")</f>
        <v/>
      </c>
      <c r="K449" t="str">
        <f>IFERROR(IF(OR(HLOOKUP($A449,#REF!,9,FALSE)&gt;2,HLOOKUP($A449,#REF!,9,FALSE)&lt;-2),"",#REF!),"")</f>
        <v/>
      </c>
      <c r="L449" t="str">
        <f>IFERROR(IF(OR(HLOOKUP($A449,#REF!,10,FALSE)&gt;2,HLOOKUP($A449,#REF!,10,FALSE)&lt;-2),"",#REF!),"")</f>
        <v/>
      </c>
      <c r="M449" t="str">
        <f>IFERROR(IF(OR(HLOOKUP($A449,#REF!,11,FALSE)&gt;2,HLOOKUP($A449,#REF!,11,FALSE)&lt;-2),"",#REF!),"")</f>
        <v/>
      </c>
      <c r="N449" t="str">
        <f>IFERROR(IF(OR(HLOOKUP($A449,#REF!,12,FALSE)&gt;2,HLOOKUP($A449,#REF!,12,FALSE)&lt;-2),"",#REF!),"")</f>
        <v/>
      </c>
      <c r="O449" t="str">
        <f>IFERROR(IF(OR(HLOOKUP($A449,#REF!,13,FALSE)&gt;2,HLOOKUP($A449,#REF!,13,FALSE)&lt;-2),"",#REF!),"")</f>
        <v/>
      </c>
      <c r="P449" t="str">
        <f>IFERROR(IF(OR(HLOOKUP($A449,#REF!,14,FALSE)&gt;2,HLOOKUP($A449,#REF!,14,FALSE)&lt;-2),"",#REF!),"")</f>
        <v/>
      </c>
      <c r="Q449" t="str">
        <f>IFERROR(IF(OR(HLOOKUP($A449,#REF!,15,FALSE)&gt;2,HLOOKUP($A449,#REF!,15,FALSE)&lt;-2),"",#REF!),"")</f>
        <v/>
      </c>
      <c r="R449" t="str">
        <f>IFERROR(IF(OR(HLOOKUP($A449,#REF!,16,FALSE)&gt;2,HLOOKUP($A449,#REF!,16,FALSE)&lt;-2),"",#REF!),"")</f>
        <v/>
      </c>
      <c r="S449" t="str">
        <f>IFERROR(IF(OR(HLOOKUP($A449,#REF!,17,FALSE)&gt;2,HLOOKUP($A449,#REF!,17,FALSE)&lt;-2),"",#REF!),"")</f>
        <v/>
      </c>
      <c r="T449" t="str">
        <f>IFERROR(IF(OR(HLOOKUP($A449,#REF!,18,FALSE)&gt;2,HLOOKUP($A449,#REF!,18,FALSE)&lt;-2),"",#REF!),"")</f>
        <v/>
      </c>
      <c r="U449" t="str">
        <f>IFERROR(IF(OR(HLOOKUP($A449,#REF!,19,FALSE)&gt;2,HLOOKUP($A449,#REF!,19,FALSE)&lt;-2),"",#REF!),"")</f>
        <v/>
      </c>
      <c r="V449">
        <f t="shared" si="24"/>
        <v>1</v>
      </c>
      <c r="W449" t="str">
        <f t="shared" si="25"/>
        <v/>
      </c>
      <c r="X449" t="str">
        <f t="shared" si="26"/>
        <v/>
      </c>
      <c r="Y449" t="str">
        <f t="shared" si="27"/>
        <v/>
      </c>
    </row>
    <row r="450" spans="1:25" x14ac:dyDescent="0.35">
      <c r="A450">
        <v>458</v>
      </c>
      <c r="B450" t="s">
        <v>821</v>
      </c>
      <c r="C450">
        <v>49000</v>
      </c>
      <c r="D450">
        <v>754</v>
      </c>
      <c r="E450" t="str">
        <f>IFERROR(IF(OR(HLOOKUP($A450,#REF!,3,FALSE)&gt;2,HLOOKUP(A450,#REF!,3,FALSE)&lt;-2),"",#REF!),"")</f>
        <v/>
      </c>
      <c r="F450" t="str">
        <f>IFERROR(IF(OR(HLOOKUP($A450,#REF!,4,FALSE)&gt;2,HLOOKUP($A450,#REF!,4,FALSE)&lt;-2),"",#REF!),"")</f>
        <v/>
      </c>
      <c r="G450" t="str">
        <f>IFERROR(IF(OR(HLOOKUP($A450,#REF!,5,FALSE)&gt;2,HLOOKUP($A450,#REF!,5,FALSE)&lt;-2),"",#REF!),"")</f>
        <v/>
      </c>
      <c r="H450" t="str">
        <f>IFERROR(IF(OR(HLOOKUP($A450,#REF!,6,FALSE)&gt;2,HLOOKUP($A450,#REF!,6,FALSE)&lt;-2),"",#REF!),"")</f>
        <v/>
      </c>
      <c r="I450" t="str">
        <f>IFERROR(IF(OR(HLOOKUP($A450,#REF!,7,FALSE)&gt;2,HLOOKUP($A450,#REF!,7,FALSE)&lt;-2),"",#REF!),"")</f>
        <v/>
      </c>
      <c r="J450" t="str">
        <f>IFERROR(IF(OR(HLOOKUP($A450,#REF!,8,FALSE)&gt;2,HLOOKUP($A450,#REF!,8,FALSE)&lt;-2),"",#REF!),"")</f>
        <v/>
      </c>
      <c r="K450" t="str">
        <f>IFERROR(IF(OR(HLOOKUP($A450,#REF!,9,FALSE)&gt;2,HLOOKUP($A450,#REF!,9,FALSE)&lt;-2),"",#REF!),"")</f>
        <v/>
      </c>
      <c r="L450" t="str">
        <f>IFERROR(IF(OR(HLOOKUP($A450,#REF!,10,FALSE)&gt;2,HLOOKUP($A450,#REF!,10,FALSE)&lt;-2),"",#REF!),"")</f>
        <v/>
      </c>
      <c r="M450" t="str">
        <f>IFERROR(IF(OR(HLOOKUP($A450,#REF!,11,FALSE)&gt;2,HLOOKUP($A450,#REF!,11,FALSE)&lt;-2),"",#REF!),"")</f>
        <v/>
      </c>
      <c r="N450" t="str">
        <f>IFERROR(IF(OR(HLOOKUP($A450,#REF!,12,FALSE)&gt;2,HLOOKUP($A450,#REF!,12,FALSE)&lt;-2),"",#REF!),"")</f>
        <v/>
      </c>
      <c r="O450" t="str">
        <f>IFERROR(IF(OR(HLOOKUP($A450,#REF!,13,FALSE)&gt;2,HLOOKUP($A450,#REF!,13,FALSE)&lt;-2),"",#REF!),"")</f>
        <v/>
      </c>
      <c r="P450" t="str">
        <f>IFERROR(IF(OR(HLOOKUP($A450,#REF!,14,FALSE)&gt;2,HLOOKUP($A450,#REF!,14,FALSE)&lt;-2),"",#REF!),"")</f>
        <v/>
      </c>
      <c r="Q450" t="str">
        <f>IFERROR(IF(OR(HLOOKUP($A450,#REF!,15,FALSE)&gt;2,HLOOKUP($A450,#REF!,15,FALSE)&lt;-2),"",#REF!),"")</f>
        <v/>
      </c>
      <c r="R450" t="str">
        <f>IFERROR(IF(OR(HLOOKUP($A450,#REF!,16,FALSE)&gt;2,HLOOKUP($A450,#REF!,16,FALSE)&lt;-2),"",#REF!),"")</f>
        <v/>
      </c>
      <c r="S450" t="str">
        <f>IFERROR(IF(OR(HLOOKUP($A450,#REF!,17,FALSE)&gt;2,HLOOKUP($A450,#REF!,17,FALSE)&lt;-2),"",#REF!),"")</f>
        <v/>
      </c>
      <c r="T450" t="str">
        <f>IFERROR(IF(OR(HLOOKUP($A450,#REF!,18,FALSE)&gt;2,HLOOKUP($A450,#REF!,18,FALSE)&lt;-2),"",#REF!),"")</f>
        <v/>
      </c>
      <c r="U450" t="str">
        <f>IFERROR(IF(OR(HLOOKUP($A450,#REF!,19,FALSE)&gt;2,HLOOKUP($A450,#REF!,19,FALSE)&lt;-2),"",#REF!),"")</f>
        <v/>
      </c>
      <c r="V450">
        <f t="shared" si="24"/>
        <v>1</v>
      </c>
      <c r="W450" t="str">
        <f t="shared" si="25"/>
        <v/>
      </c>
      <c r="X450" t="str">
        <f t="shared" si="26"/>
        <v/>
      </c>
      <c r="Y450" t="str">
        <f t="shared" si="27"/>
        <v/>
      </c>
    </row>
    <row r="451" spans="1:25" x14ac:dyDescent="0.35">
      <c r="A451">
        <v>459</v>
      </c>
      <c r="B451" t="s">
        <v>822</v>
      </c>
      <c r="C451">
        <v>98100</v>
      </c>
      <c r="D451">
        <v>21</v>
      </c>
      <c r="E451" t="str">
        <f>IFERROR(IF(OR(HLOOKUP($A451,#REF!,3,FALSE)&gt;2,HLOOKUP(A451,#REF!,3,FALSE)&lt;-2),"",#REF!),"")</f>
        <v/>
      </c>
      <c r="F451" t="str">
        <f>IFERROR(IF(OR(HLOOKUP($A451,#REF!,4,FALSE)&gt;2,HLOOKUP($A451,#REF!,4,FALSE)&lt;-2),"",#REF!),"")</f>
        <v/>
      </c>
      <c r="G451" t="str">
        <f>IFERROR(IF(OR(HLOOKUP($A451,#REF!,5,FALSE)&gt;2,HLOOKUP($A451,#REF!,5,FALSE)&lt;-2),"",#REF!),"")</f>
        <v/>
      </c>
      <c r="H451" t="str">
        <f>IFERROR(IF(OR(HLOOKUP($A451,#REF!,6,FALSE)&gt;2,HLOOKUP($A451,#REF!,6,FALSE)&lt;-2),"",#REF!),"")</f>
        <v/>
      </c>
      <c r="I451" t="str">
        <f>IFERROR(IF(OR(HLOOKUP($A451,#REF!,7,FALSE)&gt;2,HLOOKUP($A451,#REF!,7,FALSE)&lt;-2),"",#REF!),"")</f>
        <v/>
      </c>
      <c r="J451" t="str">
        <f>IFERROR(IF(OR(HLOOKUP($A451,#REF!,8,FALSE)&gt;2,HLOOKUP($A451,#REF!,8,FALSE)&lt;-2),"",#REF!),"")</f>
        <v/>
      </c>
      <c r="K451" t="str">
        <f>IFERROR(IF(OR(HLOOKUP($A451,#REF!,9,FALSE)&gt;2,HLOOKUP($A451,#REF!,9,FALSE)&lt;-2),"",#REF!),"")</f>
        <v/>
      </c>
      <c r="L451" t="str">
        <f>IFERROR(IF(OR(HLOOKUP($A451,#REF!,10,FALSE)&gt;2,HLOOKUP($A451,#REF!,10,FALSE)&lt;-2),"",#REF!),"")</f>
        <v/>
      </c>
      <c r="M451" t="str">
        <f>IFERROR(IF(OR(HLOOKUP($A451,#REF!,11,FALSE)&gt;2,HLOOKUP($A451,#REF!,11,FALSE)&lt;-2),"",#REF!),"")</f>
        <v/>
      </c>
      <c r="N451" t="str">
        <f>IFERROR(IF(OR(HLOOKUP($A451,#REF!,12,FALSE)&gt;2,HLOOKUP($A451,#REF!,12,FALSE)&lt;-2),"",#REF!),"")</f>
        <v/>
      </c>
      <c r="O451" t="str">
        <f>IFERROR(IF(OR(HLOOKUP($A451,#REF!,13,FALSE)&gt;2,HLOOKUP($A451,#REF!,13,FALSE)&lt;-2),"",#REF!),"")</f>
        <v/>
      </c>
      <c r="P451" t="str">
        <f>IFERROR(IF(OR(HLOOKUP($A451,#REF!,14,FALSE)&gt;2,HLOOKUP($A451,#REF!,14,FALSE)&lt;-2),"",#REF!),"")</f>
        <v/>
      </c>
      <c r="Q451" t="str">
        <f>IFERROR(IF(OR(HLOOKUP($A451,#REF!,15,FALSE)&gt;2,HLOOKUP($A451,#REF!,15,FALSE)&lt;-2),"",#REF!),"")</f>
        <v/>
      </c>
      <c r="R451" t="str">
        <f>IFERROR(IF(OR(HLOOKUP($A451,#REF!,16,FALSE)&gt;2,HLOOKUP($A451,#REF!,16,FALSE)&lt;-2),"",#REF!),"")</f>
        <v/>
      </c>
      <c r="S451" t="str">
        <f>IFERROR(IF(OR(HLOOKUP($A451,#REF!,17,FALSE)&gt;2,HLOOKUP($A451,#REF!,17,FALSE)&lt;-2),"",#REF!),"")</f>
        <v/>
      </c>
      <c r="T451" t="str">
        <f>IFERROR(IF(OR(HLOOKUP($A451,#REF!,18,FALSE)&gt;2,HLOOKUP($A451,#REF!,18,FALSE)&lt;-2),"",#REF!),"")</f>
        <v/>
      </c>
      <c r="U451" t="str">
        <f>IFERROR(IF(OR(HLOOKUP($A451,#REF!,19,FALSE)&gt;2,HLOOKUP($A451,#REF!,19,FALSE)&lt;-2),"",#REF!),"")</f>
        <v/>
      </c>
      <c r="V451">
        <f t="shared" si="24"/>
        <v>1</v>
      </c>
      <c r="W451" t="str">
        <f t="shared" si="25"/>
        <v/>
      </c>
      <c r="X451" t="str">
        <f t="shared" si="26"/>
        <v/>
      </c>
      <c r="Y451" t="str">
        <f t="shared" si="27"/>
        <v/>
      </c>
    </row>
    <row r="452" spans="1:25" x14ac:dyDescent="0.35">
      <c r="A452">
        <v>460</v>
      </c>
      <c r="B452" t="s">
        <v>232</v>
      </c>
      <c r="C452">
        <v>79800</v>
      </c>
      <c r="D452">
        <v>339</v>
      </c>
      <c r="E452" t="str">
        <f>IFERROR(IF(OR(HLOOKUP($A452,#REF!,3,FALSE)&gt;2,HLOOKUP(A452,#REF!,3,FALSE)&lt;-2),"",#REF!),"")</f>
        <v/>
      </c>
      <c r="F452" t="str">
        <f>IFERROR(IF(OR(HLOOKUP($A452,#REF!,4,FALSE)&gt;2,HLOOKUP($A452,#REF!,4,FALSE)&lt;-2),"",#REF!),"")</f>
        <v/>
      </c>
      <c r="G452" t="str">
        <f>IFERROR(IF(OR(HLOOKUP($A452,#REF!,5,FALSE)&gt;2,HLOOKUP($A452,#REF!,5,FALSE)&lt;-2),"",#REF!),"")</f>
        <v/>
      </c>
      <c r="H452" t="str">
        <f>IFERROR(IF(OR(HLOOKUP($A452,#REF!,6,FALSE)&gt;2,HLOOKUP($A452,#REF!,6,FALSE)&lt;-2),"",#REF!),"")</f>
        <v/>
      </c>
      <c r="I452" t="str">
        <f>IFERROR(IF(OR(HLOOKUP($A452,#REF!,7,FALSE)&gt;2,HLOOKUP($A452,#REF!,7,FALSE)&lt;-2),"",#REF!),"")</f>
        <v/>
      </c>
      <c r="J452" t="str">
        <f>IFERROR(IF(OR(HLOOKUP($A452,#REF!,8,FALSE)&gt;2,HLOOKUP($A452,#REF!,8,FALSE)&lt;-2),"",#REF!),"")</f>
        <v/>
      </c>
      <c r="K452" t="str">
        <f>IFERROR(IF(OR(HLOOKUP($A452,#REF!,9,FALSE)&gt;2,HLOOKUP($A452,#REF!,9,FALSE)&lt;-2),"",#REF!),"")</f>
        <v/>
      </c>
      <c r="L452" t="str">
        <f>IFERROR(IF(OR(HLOOKUP($A452,#REF!,10,FALSE)&gt;2,HLOOKUP($A452,#REF!,10,FALSE)&lt;-2),"",#REF!),"")</f>
        <v/>
      </c>
      <c r="M452" t="str">
        <f>IFERROR(IF(OR(HLOOKUP($A452,#REF!,11,FALSE)&gt;2,HLOOKUP($A452,#REF!,11,FALSE)&lt;-2),"",#REF!),"")</f>
        <v/>
      </c>
      <c r="N452" t="str">
        <f>IFERROR(IF(OR(HLOOKUP($A452,#REF!,12,FALSE)&gt;2,HLOOKUP($A452,#REF!,12,FALSE)&lt;-2),"",#REF!),"")</f>
        <v/>
      </c>
      <c r="O452" t="str">
        <f>IFERROR(IF(OR(HLOOKUP($A452,#REF!,13,FALSE)&gt;2,HLOOKUP($A452,#REF!,13,FALSE)&lt;-2),"",#REF!),"")</f>
        <v/>
      </c>
      <c r="P452" t="str">
        <f>IFERROR(IF(OR(HLOOKUP($A452,#REF!,14,FALSE)&gt;2,HLOOKUP($A452,#REF!,14,FALSE)&lt;-2),"",#REF!),"")</f>
        <v/>
      </c>
      <c r="Q452" t="str">
        <f>IFERROR(IF(OR(HLOOKUP($A452,#REF!,15,FALSE)&gt;2,HLOOKUP($A452,#REF!,15,FALSE)&lt;-2),"",#REF!),"")</f>
        <v/>
      </c>
      <c r="R452" t="str">
        <f>IFERROR(IF(OR(HLOOKUP($A452,#REF!,16,FALSE)&gt;2,HLOOKUP($A452,#REF!,16,FALSE)&lt;-2),"",#REF!),"")</f>
        <v/>
      </c>
      <c r="S452" t="str">
        <f>IFERROR(IF(OR(HLOOKUP($A452,#REF!,17,FALSE)&gt;2,HLOOKUP($A452,#REF!,17,FALSE)&lt;-2),"",#REF!),"")</f>
        <v/>
      </c>
      <c r="T452" t="str">
        <f>IFERROR(IF(OR(HLOOKUP($A452,#REF!,18,FALSE)&gt;2,HLOOKUP($A452,#REF!,18,FALSE)&lt;-2),"",#REF!),"")</f>
        <v/>
      </c>
      <c r="U452" t="str">
        <f>IFERROR(IF(OR(HLOOKUP($A452,#REF!,19,FALSE)&gt;2,HLOOKUP($A452,#REF!,19,FALSE)&lt;-2),"",#REF!),"")</f>
        <v/>
      </c>
      <c r="V452">
        <f t="shared" ref="V452:V515" si="28">IFERROR(IF(AND(X452=0,Y452=0),0,1),0)</f>
        <v>1</v>
      </c>
      <c r="W452" t="str">
        <f t="shared" ref="W452:W515" si="29">IFERROR(_xlfn.T.TEST(E452:M452,N452:U452,2,2),"")</f>
        <v/>
      </c>
      <c r="X452" t="str">
        <f t="shared" ref="X452:X515" si="30">IFERROR(AVERAGE(E452:M452),"")</f>
        <v/>
      </c>
      <c r="Y452" t="str">
        <f t="shared" ref="Y452:Y515" si="31">IFERROR(AVERAGE(N452:U452),"")</f>
        <v/>
      </c>
    </row>
    <row r="453" spans="1:25" x14ac:dyDescent="0.35">
      <c r="A453">
        <v>461</v>
      </c>
      <c r="B453" t="s">
        <v>233</v>
      </c>
      <c r="C453">
        <v>7600</v>
      </c>
      <c r="D453">
        <v>361</v>
      </c>
      <c r="E453" t="str">
        <f>IFERROR(IF(OR(HLOOKUP($A453,#REF!,3,FALSE)&gt;2,HLOOKUP(A453,#REF!,3,FALSE)&lt;-2),"",#REF!),"")</f>
        <v/>
      </c>
      <c r="F453" t="str">
        <f>IFERROR(IF(OR(HLOOKUP($A453,#REF!,4,FALSE)&gt;2,HLOOKUP($A453,#REF!,4,FALSE)&lt;-2),"",#REF!),"")</f>
        <v/>
      </c>
      <c r="G453" t="str">
        <f>IFERROR(IF(OR(HLOOKUP($A453,#REF!,5,FALSE)&gt;2,HLOOKUP($A453,#REF!,5,FALSE)&lt;-2),"",#REF!),"")</f>
        <v/>
      </c>
      <c r="H453" t="str">
        <f>IFERROR(IF(OR(HLOOKUP($A453,#REF!,6,FALSE)&gt;2,HLOOKUP($A453,#REF!,6,FALSE)&lt;-2),"",#REF!),"")</f>
        <v/>
      </c>
      <c r="I453" t="str">
        <f>IFERROR(IF(OR(HLOOKUP($A453,#REF!,7,FALSE)&gt;2,HLOOKUP($A453,#REF!,7,FALSE)&lt;-2),"",#REF!),"")</f>
        <v/>
      </c>
      <c r="J453" t="str">
        <f>IFERROR(IF(OR(HLOOKUP($A453,#REF!,8,FALSE)&gt;2,HLOOKUP($A453,#REF!,8,FALSE)&lt;-2),"",#REF!),"")</f>
        <v/>
      </c>
      <c r="K453" t="str">
        <f>IFERROR(IF(OR(HLOOKUP($A453,#REF!,9,FALSE)&gt;2,HLOOKUP($A453,#REF!,9,FALSE)&lt;-2),"",#REF!),"")</f>
        <v/>
      </c>
      <c r="L453" t="str">
        <f>IFERROR(IF(OR(HLOOKUP($A453,#REF!,10,FALSE)&gt;2,HLOOKUP($A453,#REF!,10,FALSE)&lt;-2),"",#REF!),"")</f>
        <v/>
      </c>
      <c r="M453" t="str">
        <f>IFERROR(IF(OR(HLOOKUP($A453,#REF!,11,FALSE)&gt;2,HLOOKUP($A453,#REF!,11,FALSE)&lt;-2),"",#REF!),"")</f>
        <v/>
      </c>
      <c r="N453" t="str">
        <f>IFERROR(IF(OR(HLOOKUP($A453,#REF!,12,FALSE)&gt;2,HLOOKUP($A453,#REF!,12,FALSE)&lt;-2),"",#REF!),"")</f>
        <v/>
      </c>
      <c r="O453" t="str">
        <f>IFERROR(IF(OR(HLOOKUP($A453,#REF!,13,FALSE)&gt;2,HLOOKUP($A453,#REF!,13,FALSE)&lt;-2),"",#REF!),"")</f>
        <v/>
      </c>
      <c r="P453" t="str">
        <f>IFERROR(IF(OR(HLOOKUP($A453,#REF!,14,FALSE)&gt;2,HLOOKUP($A453,#REF!,14,FALSE)&lt;-2),"",#REF!),"")</f>
        <v/>
      </c>
      <c r="Q453" t="str">
        <f>IFERROR(IF(OR(HLOOKUP($A453,#REF!,15,FALSE)&gt;2,HLOOKUP($A453,#REF!,15,FALSE)&lt;-2),"",#REF!),"")</f>
        <v/>
      </c>
      <c r="R453" t="str">
        <f>IFERROR(IF(OR(HLOOKUP($A453,#REF!,16,FALSE)&gt;2,HLOOKUP($A453,#REF!,16,FALSE)&lt;-2),"",#REF!),"")</f>
        <v/>
      </c>
      <c r="S453" t="str">
        <f>IFERROR(IF(OR(HLOOKUP($A453,#REF!,17,FALSE)&gt;2,HLOOKUP($A453,#REF!,17,FALSE)&lt;-2),"",#REF!),"")</f>
        <v/>
      </c>
      <c r="T453" t="str">
        <f>IFERROR(IF(OR(HLOOKUP($A453,#REF!,18,FALSE)&gt;2,HLOOKUP($A453,#REF!,18,FALSE)&lt;-2),"",#REF!),"")</f>
        <v/>
      </c>
      <c r="U453" t="str">
        <f>IFERROR(IF(OR(HLOOKUP($A453,#REF!,19,FALSE)&gt;2,HLOOKUP($A453,#REF!,19,FALSE)&lt;-2),"",#REF!),"")</f>
        <v/>
      </c>
      <c r="V453">
        <f t="shared" si="28"/>
        <v>1</v>
      </c>
      <c r="W453" t="str">
        <f t="shared" si="29"/>
        <v/>
      </c>
      <c r="X453" t="str">
        <f t="shared" si="30"/>
        <v/>
      </c>
      <c r="Y453" t="str">
        <f t="shared" si="31"/>
        <v/>
      </c>
    </row>
    <row r="454" spans="1:25" x14ac:dyDescent="0.35">
      <c r="A454">
        <v>462</v>
      </c>
      <c r="B454" t="s">
        <v>823</v>
      </c>
      <c r="C454">
        <v>87900</v>
      </c>
      <c r="D454">
        <v>987</v>
      </c>
      <c r="E454" t="str">
        <f>IFERROR(IF(OR(HLOOKUP($A454,#REF!,3,FALSE)&gt;2,HLOOKUP(A454,#REF!,3,FALSE)&lt;-2),"",#REF!),"")</f>
        <v/>
      </c>
      <c r="F454" t="str">
        <f>IFERROR(IF(OR(HLOOKUP($A454,#REF!,4,FALSE)&gt;2,HLOOKUP($A454,#REF!,4,FALSE)&lt;-2),"",#REF!),"")</f>
        <v/>
      </c>
      <c r="G454" t="str">
        <f>IFERROR(IF(OR(HLOOKUP($A454,#REF!,5,FALSE)&gt;2,HLOOKUP($A454,#REF!,5,FALSE)&lt;-2),"",#REF!),"")</f>
        <v/>
      </c>
      <c r="H454" t="str">
        <f>IFERROR(IF(OR(HLOOKUP($A454,#REF!,6,FALSE)&gt;2,HLOOKUP($A454,#REF!,6,FALSE)&lt;-2),"",#REF!),"")</f>
        <v/>
      </c>
      <c r="I454" t="str">
        <f>IFERROR(IF(OR(HLOOKUP($A454,#REF!,7,FALSE)&gt;2,HLOOKUP($A454,#REF!,7,FALSE)&lt;-2),"",#REF!),"")</f>
        <v/>
      </c>
      <c r="J454" t="str">
        <f>IFERROR(IF(OR(HLOOKUP($A454,#REF!,8,FALSE)&gt;2,HLOOKUP($A454,#REF!,8,FALSE)&lt;-2),"",#REF!),"")</f>
        <v/>
      </c>
      <c r="K454" t="str">
        <f>IFERROR(IF(OR(HLOOKUP($A454,#REF!,9,FALSE)&gt;2,HLOOKUP($A454,#REF!,9,FALSE)&lt;-2),"",#REF!),"")</f>
        <v/>
      </c>
      <c r="L454" t="str">
        <f>IFERROR(IF(OR(HLOOKUP($A454,#REF!,10,FALSE)&gt;2,HLOOKUP($A454,#REF!,10,FALSE)&lt;-2),"",#REF!),"")</f>
        <v/>
      </c>
      <c r="M454" t="str">
        <f>IFERROR(IF(OR(HLOOKUP($A454,#REF!,11,FALSE)&gt;2,HLOOKUP($A454,#REF!,11,FALSE)&lt;-2),"",#REF!),"")</f>
        <v/>
      </c>
      <c r="N454" t="str">
        <f>IFERROR(IF(OR(HLOOKUP($A454,#REF!,12,FALSE)&gt;2,HLOOKUP($A454,#REF!,12,FALSE)&lt;-2),"",#REF!),"")</f>
        <v/>
      </c>
      <c r="O454" t="str">
        <f>IFERROR(IF(OR(HLOOKUP($A454,#REF!,13,FALSE)&gt;2,HLOOKUP($A454,#REF!,13,FALSE)&lt;-2),"",#REF!),"")</f>
        <v/>
      </c>
      <c r="P454" t="str">
        <f>IFERROR(IF(OR(HLOOKUP($A454,#REF!,14,FALSE)&gt;2,HLOOKUP($A454,#REF!,14,FALSE)&lt;-2),"",#REF!),"")</f>
        <v/>
      </c>
      <c r="Q454" t="str">
        <f>IFERROR(IF(OR(HLOOKUP($A454,#REF!,15,FALSE)&gt;2,HLOOKUP($A454,#REF!,15,FALSE)&lt;-2),"",#REF!),"")</f>
        <v/>
      </c>
      <c r="R454" t="str">
        <f>IFERROR(IF(OR(HLOOKUP($A454,#REF!,16,FALSE)&gt;2,HLOOKUP($A454,#REF!,16,FALSE)&lt;-2),"",#REF!),"")</f>
        <v/>
      </c>
      <c r="S454" t="str">
        <f>IFERROR(IF(OR(HLOOKUP($A454,#REF!,17,FALSE)&gt;2,HLOOKUP($A454,#REF!,17,FALSE)&lt;-2),"",#REF!),"")</f>
        <v/>
      </c>
      <c r="T454" t="str">
        <f>IFERROR(IF(OR(HLOOKUP($A454,#REF!,18,FALSE)&gt;2,HLOOKUP($A454,#REF!,18,FALSE)&lt;-2),"",#REF!),"")</f>
        <v/>
      </c>
      <c r="U454" t="str">
        <f>IFERROR(IF(OR(HLOOKUP($A454,#REF!,19,FALSE)&gt;2,HLOOKUP($A454,#REF!,19,FALSE)&lt;-2),"",#REF!),"")</f>
        <v/>
      </c>
      <c r="V454">
        <f t="shared" si="28"/>
        <v>1</v>
      </c>
      <c r="W454" t="str">
        <f t="shared" si="29"/>
        <v/>
      </c>
      <c r="X454" t="str">
        <f t="shared" si="30"/>
        <v/>
      </c>
      <c r="Y454" t="str">
        <f t="shared" si="31"/>
        <v/>
      </c>
    </row>
    <row r="455" spans="1:25" x14ac:dyDescent="0.35">
      <c r="A455">
        <v>463</v>
      </c>
      <c r="B455" t="s">
        <v>234</v>
      </c>
      <c r="C455">
        <v>38700</v>
      </c>
      <c r="D455">
        <v>375</v>
      </c>
      <c r="E455" t="str">
        <f>IFERROR(IF(OR(HLOOKUP($A455,#REF!,3,FALSE)&gt;2,HLOOKUP(A455,#REF!,3,FALSE)&lt;-2),"",#REF!),"")</f>
        <v/>
      </c>
      <c r="F455" t="str">
        <f>IFERROR(IF(OR(HLOOKUP($A455,#REF!,4,FALSE)&gt;2,HLOOKUP($A455,#REF!,4,FALSE)&lt;-2),"",#REF!),"")</f>
        <v/>
      </c>
      <c r="G455" t="str">
        <f>IFERROR(IF(OR(HLOOKUP($A455,#REF!,5,FALSE)&gt;2,HLOOKUP($A455,#REF!,5,FALSE)&lt;-2),"",#REF!),"")</f>
        <v/>
      </c>
      <c r="H455" t="str">
        <f>IFERROR(IF(OR(HLOOKUP($A455,#REF!,6,FALSE)&gt;2,HLOOKUP($A455,#REF!,6,FALSE)&lt;-2),"",#REF!),"")</f>
        <v/>
      </c>
      <c r="I455" t="str">
        <f>IFERROR(IF(OR(HLOOKUP($A455,#REF!,7,FALSE)&gt;2,HLOOKUP($A455,#REF!,7,FALSE)&lt;-2),"",#REF!),"")</f>
        <v/>
      </c>
      <c r="J455" t="str">
        <f>IFERROR(IF(OR(HLOOKUP($A455,#REF!,8,FALSE)&gt;2,HLOOKUP($A455,#REF!,8,FALSE)&lt;-2),"",#REF!),"")</f>
        <v/>
      </c>
      <c r="K455" t="str">
        <f>IFERROR(IF(OR(HLOOKUP($A455,#REF!,9,FALSE)&gt;2,HLOOKUP($A455,#REF!,9,FALSE)&lt;-2),"",#REF!),"")</f>
        <v/>
      </c>
      <c r="L455" t="str">
        <f>IFERROR(IF(OR(HLOOKUP($A455,#REF!,10,FALSE)&gt;2,HLOOKUP($A455,#REF!,10,FALSE)&lt;-2),"",#REF!),"")</f>
        <v/>
      </c>
      <c r="M455" t="str">
        <f>IFERROR(IF(OR(HLOOKUP($A455,#REF!,11,FALSE)&gt;2,HLOOKUP($A455,#REF!,11,FALSE)&lt;-2),"",#REF!),"")</f>
        <v/>
      </c>
      <c r="N455" t="str">
        <f>IFERROR(IF(OR(HLOOKUP($A455,#REF!,12,FALSE)&gt;2,HLOOKUP($A455,#REF!,12,FALSE)&lt;-2),"",#REF!),"")</f>
        <v/>
      </c>
      <c r="O455" t="str">
        <f>IFERROR(IF(OR(HLOOKUP($A455,#REF!,13,FALSE)&gt;2,HLOOKUP($A455,#REF!,13,FALSE)&lt;-2),"",#REF!),"")</f>
        <v/>
      </c>
      <c r="P455" t="str">
        <f>IFERROR(IF(OR(HLOOKUP($A455,#REF!,14,FALSE)&gt;2,HLOOKUP($A455,#REF!,14,FALSE)&lt;-2),"",#REF!),"")</f>
        <v/>
      </c>
      <c r="Q455" t="str">
        <f>IFERROR(IF(OR(HLOOKUP($A455,#REF!,15,FALSE)&gt;2,HLOOKUP($A455,#REF!,15,FALSE)&lt;-2),"",#REF!),"")</f>
        <v/>
      </c>
      <c r="R455" t="str">
        <f>IFERROR(IF(OR(HLOOKUP($A455,#REF!,16,FALSE)&gt;2,HLOOKUP($A455,#REF!,16,FALSE)&lt;-2),"",#REF!),"")</f>
        <v/>
      </c>
      <c r="S455" t="str">
        <f>IFERROR(IF(OR(HLOOKUP($A455,#REF!,17,FALSE)&gt;2,HLOOKUP($A455,#REF!,17,FALSE)&lt;-2),"",#REF!),"")</f>
        <v/>
      </c>
      <c r="T455" t="str">
        <f>IFERROR(IF(OR(HLOOKUP($A455,#REF!,18,FALSE)&gt;2,HLOOKUP($A455,#REF!,18,FALSE)&lt;-2),"",#REF!),"")</f>
        <v/>
      </c>
      <c r="U455" t="str">
        <f>IFERROR(IF(OR(HLOOKUP($A455,#REF!,19,FALSE)&gt;2,HLOOKUP($A455,#REF!,19,FALSE)&lt;-2),"",#REF!),"")</f>
        <v/>
      </c>
      <c r="V455">
        <f t="shared" si="28"/>
        <v>1</v>
      </c>
      <c r="W455" t="str">
        <f t="shared" si="29"/>
        <v/>
      </c>
      <c r="X455" t="str">
        <f t="shared" si="30"/>
        <v/>
      </c>
      <c r="Y455" t="str">
        <f t="shared" si="31"/>
        <v/>
      </c>
    </row>
    <row r="456" spans="1:25" x14ac:dyDescent="0.35">
      <c r="A456">
        <v>464</v>
      </c>
      <c r="B456" t="s">
        <v>824</v>
      </c>
      <c r="C456">
        <v>76600</v>
      </c>
      <c r="D456">
        <v>63</v>
      </c>
      <c r="E456" t="str">
        <f>IFERROR(IF(OR(HLOOKUP($A456,#REF!,3,FALSE)&gt;2,HLOOKUP(A456,#REF!,3,FALSE)&lt;-2),"",#REF!),"")</f>
        <v/>
      </c>
      <c r="F456" t="str">
        <f>IFERROR(IF(OR(HLOOKUP($A456,#REF!,4,FALSE)&gt;2,HLOOKUP($A456,#REF!,4,FALSE)&lt;-2),"",#REF!),"")</f>
        <v/>
      </c>
      <c r="G456" t="str">
        <f>IFERROR(IF(OR(HLOOKUP($A456,#REF!,5,FALSE)&gt;2,HLOOKUP($A456,#REF!,5,FALSE)&lt;-2),"",#REF!),"")</f>
        <v/>
      </c>
      <c r="H456" t="str">
        <f>IFERROR(IF(OR(HLOOKUP($A456,#REF!,6,FALSE)&gt;2,HLOOKUP($A456,#REF!,6,FALSE)&lt;-2),"",#REF!),"")</f>
        <v/>
      </c>
      <c r="I456" t="str">
        <f>IFERROR(IF(OR(HLOOKUP($A456,#REF!,7,FALSE)&gt;2,HLOOKUP($A456,#REF!,7,FALSE)&lt;-2),"",#REF!),"")</f>
        <v/>
      </c>
      <c r="J456" t="str">
        <f>IFERROR(IF(OR(HLOOKUP($A456,#REF!,8,FALSE)&gt;2,HLOOKUP($A456,#REF!,8,FALSE)&lt;-2),"",#REF!),"")</f>
        <v/>
      </c>
      <c r="K456" t="str">
        <f>IFERROR(IF(OR(HLOOKUP($A456,#REF!,9,FALSE)&gt;2,HLOOKUP($A456,#REF!,9,FALSE)&lt;-2),"",#REF!),"")</f>
        <v/>
      </c>
      <c r="L456" t="str">
        <f>IFERROR(IF(OR(HLOOKUP($A456,#REF!,10,FALSE)&gt;2,HLOOKUP($A456,#REF!,10,FALSE)&lt;-2),"",#REF!),"")</f>
        <v/>
      </c>
      <c r="M456" t="str">
        <f>IFERROR(IF(OR(HLOOKUP($A456,#REF!,11,FALSE)&gt;2,HLOOKUP($A456,#REF!,11,FALSE)&lt;-2),"",#REF!),"")</f>
        <v/>
      </c>
      <c r="N456" t="str">
        <f>IFERROR(IF(OR(HLOOKUP($A456,#REF!,12,FALSE)&gt;2,HLOOKUP($A456,#REF!,12,FALSE)&lt;-2),"",#REF!),"")</f>
        <v/>
      </c>
      <c r="O456" t="str">
        <f>IFERROR(IF(OR(HLOOKUP($A456,#REF!,13,FALSE)&gt;2,HLOOKUP($A456,#REF!,13,FALSE)&lt;-2),"",#REF!),"")</f>
        <v/>
      </c>
      <c r="P456" t="str">
        <f>IFERROR(IF(OR(HLOOKUP($A456,#REF!,14,FALSE)&gt;2,HLOOKUP($A456,#REF!,14,FALSE)&lt;-2),"",#REF!),"")</f>
        <v/>
      </c>
      <c r="Q456" t="str">
        <f>IFERROR(IF(OR(HLOOKUP($A456,#REF!,15,FALSE)&gt;2,HLOOKUP($A456,#REF!,15,FALSE)&lt;-2),"",#REF!),"")</f>
        <v/>
      </c>
      <c r="R456" t="str">
        <f>IFERROR(IF(OR(HLOOKUP($A456,#REF!,16,FALSE)&gt;2,HLOOKUP($A456,#REF!,16,FALSE)&lt;-2),"",#REF!),"")</f>
        <v/>
      </c>
      <c r="S456" t="str">
        <f>IFERROR(IF(OR(HLOOKUP($A456,#REF!,17,FALSE)&gt;2,HLOOKUP($A456,#REF!,17,FALSE)&lt;-2),"",#REF!),"")</f>
        <v/>
      </c>
      <c r="T456" t="str">
        <f>IFERROR(IF(OR(HLOOKUP($A456,#REF!,18,FALSE)&gt;2,HLOOKUP($A456,#REF!,18,FALSE)&lt;-2),"",#REF!),"")</f>
        <v/>
      </c>
      <c r="U456" t="str">
        <f>IFERROR(IF(OR(HLOOKUP($A456,#REF!,19,FALSE)&gt;2,HLOOKUP($A456,#REF!,19,FALSE)&lt;-2),"",#REF!),"")</f>
        <v/>
      </c>
      <c r="V456">
        <f t="shared" si="28"/>
        <v>1</v>
      </c>
      <c r="W456" t="str">
        <f t="shared" si="29"/>
        <v/>
      </c>
      <c r="X456" t="str">
        <f t="shared" si="30"/>
        <v/>
      </c>
      <c r="Y456" t="str">
        <f t="shared" si="31"/>
        <v/>
      </c>
    </row>
    <row r="457" spans="1:25" x14ac:dyDescent="0.35">
      <c r="A457">
        <v>465</v>
      </c>
      <c r="B457" t="s">
        <v>825</v>
      </c>
      <c r="C457">
        <v>49100</v>
      </c>
      <c r="D457">
        <v>754</v>
      </c>
      <c r="E457" t="str">
        <f>IFERROR(IF(OR(HLOOKUP($A457,#REF!,3,FALSE)&gt;2,HLOOKUP(A457,#REF!,3,FALSE)&lt;-2),"",#REF!),"")</f>
        <v/>
      </c>
      <c r="F457" t="str">
        <f>IFERROR(IF(OR(HLOOKUP($A457,#REF!,4,FALSE)&gt;2,HLOOKUP($A457,#REF!,4,FALSE)&lt;-2),"",#REF!),"")</f>
        <v/>
      </c>
      <c r="G457" t="str">
        <f>IFERROR(IF(OR(HLOOKUP($A457,#REF!,5,FALSE)&gt;2,HLOOKUP($A457,#REF!,5,FALSE)&lt;-2),"",#REF!),"")</f>
        <v/>
      </c>
      <c r="H457" t="str">
        <f>IFERROR(IF(OR(HLOOKUP($A457,#REF!,6,FALSE)&gt;2,HLOOKUP($A457,#REF!,6,FALSE)&lt;-2),"",#REF!),"")</f>
        <v/>
      </c>
      <c r="I457" t="str">
        <f>IFERROR(IF(OR(HLOOKUP($A457,#REF!,7,FALSE)&gt;2,HLOOKUP($A457,#REF!,7,FALSE)&lt;-2),"",#REF!),"")</f>
        <v/>
      </c>
      <c r="J457" t="str">
        <f>IFERROR(IF(OR(HLOOKUP($A457,#REF!,8,FALSE)&gt;2,HLOOKUP($A457,#REF!,8,FALSE)&lt;-2),"",#REF!),"")</f>
        <v/>
      </c>
      <c r="K457" t="str">
        <f>IFERROR(IF(OR(HLOOKUP($A457,#REF!,9,FALSE)&gt;2,HLOOKUP($A457,#REF!,9,FALSE)&lt;-2),"",#REF!),"")</f>
        <v/>
      </c>
      <c r="L457" t="str">
        <f>IFERROR(IF(OR(HLOOKUP($A457,#REF!,10,FALSE)&gt;2,HLOOKUP($A457,#REF!,10,FALSE)&lt;-2),"",#REF!),"")</f>
        <v/>
      </c>
      <c r="M457" t="str">
        <f>IFERROR(IF(OR(HLOOKUP($A457,#REF!,11,FALSE)&gt;2,HLOOKUP($A457,#REF!,11,FALSE)&lt;-2),"",#REF!),"")</f>
        <v/>
      </c>
      <c r="N457" t="str">
        <f>IFERROR(IF(OR(HLOOKUP($A457,#REF!,12,FALSE)&gt;2,HLOOKUP($A457,#REF!,12,FALSE)&lt;-2),"",#REF!),"")</f>
        <v/>
      </c>
      <c r="O457" t="str">
        <f>IFERROR(IF(OR(HLOOKUP($A457,#REF!,13,FALSE)&gt;2,HLOOKUP($A457,#REF!,13,FALSE)&lt;-2),"",#REF!),"")</f>
        <v/>
      </c>
      <c r="P457" t="str">
        <f>IFERROR(IF(OR(HLOOKUP($A457,#REF!,14,FALSE)&gt;2,HLOOKUP($A457,#REF!,14,FALSE)&lt;-2),"",#REF!),"")</f>
        <v/>
      </c>
      <c r="Q457" t="str">
        <f>IFERROR(IF(OR(HLOOKUP($A457,#REF!,15,FALSE)&gt;2,HLOOKUP($A457,#REF!,15,FALSE)&lt;-2),"",#REF!),"")</f>
        <v/>
      </c>
      <c r="R457" t="str">
        <f>IFERROR(IF(OR(HLOOKUP($A457,#REF!,16,FALSE)&gt;2,HLOOKUP($A457,#REF!,16,FALSE)&lt;-2),"",#REF!),"")</f>
        <v/>
      </c>
      <c r="S457" t="str">
        <f>IFERROR(IF(OR(HLOOKUP($A457,#REF!,17,FALSE)&gt;2,HLOOKUP($A457,#REF!,17,FALSE)&lt;-2),"",#REF!),"")</f>
        <v/>
      </c>
      <c r="T457" t="str">
        <f>IFERROR(IF(OR(HLOOKUP($A457,#REF!,18,FALSE)&gt;2,HLOOKUP($A457,#REF!,18,FALSE)&lt;-2),"",#REF!),"")</f>
        <v/>
      </c>
      <c r="U457" t="str">
        <f>IFERROR(IF(OR(HLOOKUP($A457,#REF!,19,FALSE)&gt;2,HLOOKUP($A457,#REF!,19,FALSE)&lt;-2),"",#REF!),"")</f>
        <v/>
      </c>
      <c r="V457">
        <f t="shared" si="28"/>
        <v>1</v>
      </c>
      <c r="W457" t="str">
        <f t="shared" si="29"/>
        <v/>
      </c>
      <c r="X457" t="str">
        <f t="shared" si="30"/>
        <v/>
      </c>
      <c r="Y457" t="str">
        <f t="shared" si="31"/>
        <v/>
      </c>
    </row>
    <row r="458" spans="1:25" x14ac:dyDescent="0.35">
      <c r="A458">
        <v>466</v>
      </c>
      <c r="B458" t="s">
        <v>235</v>
      </c>
      <c r="C458">
        <v>111200</v>
      </c>
      <c r="D458">
        <v>1099</v>
      </c>
      <c r="E458" t="str">
        <f>IFERROR(IF(OR(HLOOKUP($A458,#REF!,3,FALSE)&gt;2,HLOOKUP(A458,#REF!,3,FALSE)&lt;-2),"",#REF!),"")</f>
        <v/>
      </c>
      <c r="F458" t="str">
        <f>IFERROR(IF(OR(HLOOKUP($A458,#REF!,4,FALSE)&gt;2,HLOOKUP($A458,#REF!,4,FALSE)&lt;-2),"",#REF!),"")</f>
        <v/>
      </c>
      <c r="G458" t="str">
        <f>IFERROR(IF(OR(HLOOKUP($A458,#REF!,5,FALSE)&gt;2,HLOOKUP($A458,#REF!,5,FALSE)&lt;-2),"",#REF!),"")</f>
        <v/>
      </c>
      <c r="H458" t="str">
        <f>IFERROR(IF(OR(HLOOKUP($A458,#REF!,6,FALSE)&gt;2,HLOOKUP($A458,#REF!,6,FALSE)&lt;-2),"",#REF!),"")</f>
        <v/>
      </c>
      <c r="I458" t="str">
        <f>IFERROR(IF(OR(HLOOKUP($A458,#REF!,7,FALSE)&gt;2,HLOOKUP($A458,#REF!,7,FALSE)&lt;-2),"",#REF!),"")</f>
        <v/>
      </c>
      <c r="J458" t="str">
        <f>IFERROR(IF(OR(HLOOKUP($A458,#REF!,8,FALSE)&gt;2,HLOOKUP($A458,#REF!,8,FALSE)&lt;-2),"",#REF!),"")</f>
        <v/>
      </c>
      <c r="K458" t="str">
        <f>IFERROR(IF(OR(HLOOKUP($A458,#REF!,9,FALSE)&gt;2,HLOOKUP($A458,#REF!,9,FALSE)&lt;-2),"",#REF!),"")</f>
        <v/>
      </c>
      <c r="L458" t="str">
        <f>IFERROR(IF(OR(HLOOKUP($A458,#REF!,10,FALSE)&gt;2,HLOOKUP($A458,#REF!,10,FALSE)&lt;-2),"",#REF!),"")</f>
        <v/>
      </c>
      <c r="M458" t="str">
        <f>IFERROR(IF(OR(HLOOKUP($A458,#REF!,11,FALSE)&gt;2,HLOOKUP($A458,#REF!,11,FALSE)&lt;-2),"",#REF!),"")</f>
        <v/>
      </c>
      <c r="N458" t="str">
        <f>IFERROR(IF(OR(HLOOKUP($A458,#REF!,12,FALSE)&gt;2,HLOOKUP($A458,#REF!,12,FALSE)&lt;-2),"",#REF!),"")</f>
        <v/>
      </c>
      <c r="O458" t="str">
        <f>IFERROR(IF(OR(HLOOKUP($A458,#REF!,13,FALSE)&gt;2,HLOOKUP($A458,#REF!,13,FALSE)&lt;-2),"",#REF!),"")</f>
        <v/>
      </c>
      <c r="P458" t="str">
        <f>IFERROR(IF(OR(HLOOKUP($A458,#REF!,14,FALSE)&gt;2,HLOOKUP($A458,#REF!,14,FALSE)&lt;-2),"",#REF!),"")</f>
        <v/>
      </c>
      <c r="Q458" t="str">
        <f>IFERROR(IF(OR(HLOOKUP($A458,#REF!,15,FALSE)&gt;2,HLOOKUP($A458,#REF!,15,FALSE)&lt;-2),"",#REF!),"")</f>
        <v/>
      </c>
      <c r="R458" t="str">
        <f>IFERROR(IF(OR(HLOOKUP($A458,#REF!,16,FALSE)&gt;2,HLOOKUP($A458,#REF!,16,FALSE)&lt;-2),"",#REF!),"")</f>
        <v/>
      </c>
      <c r="S458" t="str">
        <f>IFERROR(IF(OR(HLOOKUP($A458,#REF!,17,FALSE)&gt;2,HLOOKUP($A458,#REF!,17,FALSE)&lt;-2),"",#REF!),"")</f>
        <v/>
      </c>
      <c r="T458" t="str">
        <f>IFERROR(IF(OR(HLOOKUP($A458,#REF!,18,FALSE)&gt;2,HLOOKUP($A458,#REF!,18,FALSE)&lt;-2),"",#REF!),"")</f>
        <v/>
      </c>
      <c r="U458" t="str">
        <f>IFERROR(IF(OR(HLOOKUP($A458,#REF!,19,FALSE)&gt;2,HLOOKUP($A458,#REF!,19,FALSE)&lt;-2),"",#REF!),"")</f>
        <v/>
      </c>
      <c r="V458">
        <f t="shared" si="28"/>
        <v>1</v>
      </c>
      <c r="W458" t="str">
        <f t="shared" si="29"/>
        <v/>
      </c>
      <c r="X458" t="str">
        <f t="shared" si="30"/>
        <v/>
      </c>
      <c r="Y458" t="str">
        <f t="shared" si="31"/>
        <v/>
      </c>
    </row>
    <row r="459" spans="1:25" x14ac:dyDescent="0.35">
      <c r="A459">
        <v>467</v>
      </c>
      <c r="B459" t="s">
        <v>826</v>
      </c>
      <c r="C459">
        <v>74000</v>
      </c>
      <c r="D459">
        <v>1097</v>
      </c>
      <c r="E459" t="str">
        <f>IFERROR(IF(OR(HLOOKUP($A459,#REF!,3,FALSE)&gt;2,HLOOKUP(A459,#REF!,3,FALSE)&lt;-2),"",#REF!),"")</f>
        <v/>
      </c>
      <c r="F459" t="str">
        <f>IFERROR(IF(OR(HLOOKUP($A459,#REF!,4,FALSE)&gt;2,HLOOKUP($A459,#REF!,4,FALSE)&lt;-2),"",#REF!),"")</f>
        <v/>
      </c>
      <c r="G459" t="str">
        <f>IFERROR(IF(OR(HLOOKUP($A459,#REF!,5,FALSE)&gt;2,HLOOKUP($A459,#REF!,5,FALSE)&lt;-2),"",#REF!),"")</f>
        <v/>
      </c>
      <c r="H459" t="str">
        <f>IFERROR(IF(OR(HLOOKUP($A459,#REF!,6,FALSE)&gt;2,HLOOKUP($A459,#REF!,6,FALSE)&lt;-2),"",#REF!),"")</f>
        <v/>
      </c>
      <c r="I459" t="str">
        <f>IFERROR(IF(OR(HLOOKUP($A459,#REF!,7,FALSE)&gt;2,HLOOKUP($A459,#REF!,7,FALSE)&lt;-2),"",#REF!),"")</f>
        <v/>
      </c>
      <c r="J459" t="str">
        <f>IFERROR(IF(OR(HLOOKUP($A459,#REF!,8,FALSE)&gt;2,HLOOKUP($A459,#REF!,8,FALSE)&lt;-2),"",#REF!),"")</f>
        <v/>
      </c>
      <c r="K459" t="str">
        <f>IFERROR(IF(OR(HLOOKUP($A459,#REF!,9,FALSE)&gt;2,HLOOKUP($A459,#REF!,9,FALSE)&lt;-2),"",#REF!),"")</f>
        <v/>
      </c>
      <c r="L459" t="str">
        <f>IFERROR(IF(OR(HLOOKUP($A459,#REF!,10,FALSE)&gt;2,HLOOKUP($A459,#REF!,10,FALSE)&lt;-2),"",#REF!),"")</f>
        <v/>
      </c>
      <c r="M459" t="str">
        <f>IFERROR(IF(OR(HLOOKUP($A459,#REF!,11,FALSE)&gt;2,HLOOKUP($A459,#REF!,11,FALSE)&lt;-2),"",#REF!),"")</f>
        <v/>
      </c>
      <c r="N459" t="str">
        <f>IFERROR(IF(OR(HLOOKUP($A459,#REF!,12,FALSE)&gt;2,HLOOKUP($A459,#REF!,12,FALSE)&lt;-2),"",#REF!),"")</f>
        <v/>
      </c>
      <c r="O459" t="str">
        <f>IFERROR(IF(OR(HLOOKUP($A459,#REF!,13,FALSE)&gt;2,HLOOKUP($A459,#REF!,13,FALSE)&lt;-2),"",#REF!),"")</f>
        <v/>
      </c>
      <c r="P459" t="str">
        <f>IFERROR(IF(OR(HLOOKUP($A459,#REF!,14,FALSE)&gt;2,HLOOKUP($A459,#REF!,14,FALSE)&lt;-2),"",#REF!),"")</f>
        <v/>
      </c>
      <c r="Q459" t="str">
        <f>IFERROR(IF(OR(HLOOKUP($A459,#REF!,15,FALSE)&gt;2,HLOOKUP($A459,#REF!,15,FALSE)&lt;-2),"",#REF!),"")</f>
        <v/>
      </c>
      <c r="R459" t="str">
        <f>IFERROR(IF(OR(HLOOKUP($A459,#REF!,16,FALSE)&gt;2,HLOOKUP($A459,#REF!,16,FALSE)&lt;-2),"",#REF!),"")</f>
        <v/>
      </c>
      <c r="S459" t="str">
        <f>IFERROR(IF(OR(HLOOKUP($A459,#REF!,17,FALSE)&gt;2,HLOOKUP($A459,#REF!,17,FALSE)&lt;-2),"",#REF!),"")</f>
        <v/>
      </c>
      <c r="T459" t="str">
        <f>IFERROR(IF(OR(HLOOKUP($A459,#REF!,18,FALSE)&gt;2,HLOOKUP($A459,#REF!,18,FALSE)&lt;-2),"",#REF!),"")</f>
        <v/>
      </c>
      <c r="U459" t="str">
        <f>IFERROR(IF(OR(HLOOKUP($A459,#REF!,19,FALSE)&gt;2,HLOOKUP($A459,#REF!,19,FALSE)&lt;-2),"",#REF!),"")</f>
        <v/>
      </c>
      <c r="V459">
        <f t="shared" si="28"/>
        <v>1</v>
      </c>
      <c r="W459" t="str">
        <f t="shared" si="29"/>
        <v/>
      </c>
      <c r="X459" t="str">
        <f t="shared" si="30"/>
        <v/>
      </c>
      <c r="Y459" t="str">
        <f t="shared" si="31"/>
        <v/>
      </c>
    </row>
    <row r="460" spans="1:25" x14ac:dyDescent="0.35">
      <c r="A460">
        <v>468</v>
      </c>
      <c r="B460" t="s">
        <v>827</v>
      </c>
      <c r="C460">
        <v>43000</v>
      </c>
      <c r="D460">
        <v>926</v>
      </c>
      <c r="E460" t="str">
        <f>IFERROR(IF(OR(HLOOKUP($A460,#REF!,3,FALSE)&gt;2,HLOOKUP(A460,#REF!,3,FALSE)&lt;-2),"",#REF!),"")</f>
        <v/>
      </c>
      <c r="F460" t="str">
        <f>IFERROR(IF(OR(HLOOKUP($A460,#REF!,4,FALSE)&gt;2,HLOOKUP($A460,#REF!,4,FALSE)&lt;-2),"",#REF!),"")</f>
        <v/>
      </c>
      <c r="G460" t="str">
        <f>IFERROR(IF(OR(HLOOKUP($A460,#REF!,5,FALSE)&gt;2,HLOOKUP($A460,#REF!,5,FALSE)&lt;-2),"",#REF!),"")</f>
        <v/>
      </c>
      <c r="H460" t="str">
        <f>IFERROR(IF(OR(HLOOKUP($A460,#REF!,6,FALSE)&gt;2,HLOOKUP($A460,#REF!,6,FALSE)&lt;-2),"",#REF!),"")</f>
        <v/>
      </c>
      <c r="I460" t="str">
        <f>IFERROR(IF(OR(HLOOKUP($A460,#REF!,7,FALSE)&gt;2,HLOOKUP($A460,#REF!,7,FALSE)&lt;-2),"",#REF!),"")</f>
        <v/>
      </c>
      <c r="J460" t="str">
        <f>IFERROR(IF(OR(HLOOKUP($A460,#REF!,8,FALSE)&gt;2,HLOOKUP($A460,#REF!,8,FALSE)&lt;-2),"",#REF!),"")</f>
        <v/>
      </c>
      <c r="K460" t="str">
        <f>IFERROR(IF(OR(HLOOKUP($A460,#REF!,9,FALSE)&gt;2,HLOOKUP($A460,#REF!,9,FALSE)&lt;-2),"",#REF!),"")</f>
        <v/>
      </c>
      <c r="L460" t="str">
        <f>IFERROR(IF(OR(HLOOKUP($A460,#REF!,10,FALSE)&gt;2,HLOOKUP($A460,#REF!,10,FALSE)&lt;-2),"",#REF!),"")</f>
        <v/>
      </c>
      <c r="M460" t="str">
        <f>IFERROR(IF(OR(HLOOKUP($A460,#REF!,11,FALSE)&gt;2,HLOOKUP($A460,#REF!,11,FALSE)&lt;-2),"",#REF!),"")</f>
        <v/>
      </c>
      <c r="N460" t="str">
        <f>IFERROR(IF(OR(HLOOKUP($A460,#REF!,12,FALSE)&gt;2,HLOOKUP($A460,#REF!,12,FALSE)&lt;-2),"",#REF!),"")</f>
        <v/>
      </c>
      <c r="O460" t="str">
        <f>IFERROR(IF(OR(HLOOKUP($A460,#REF!,13,FALSE)&gt;2,HLOOKUP($A460,#REF!,13,FALSE)&lt;-2),"",#REF!),"")</f>
        <v/>
      </c>
      <c r="P460" t="str">
        <f>IFERROR(IF(OR(HLOOKUP($A460,#REF!,14,FALSE)&gt;2,HLOOKUP($A460,#REF!,14,FALSE)&lt;-2),"",#REF!),"")</f>
        <v/>
      </c>
      <c r="Q460" t="str">
        <f>IFERROR(IF(OR(HLOOKUP($A460,#REF!,15,FALSE)&gt;2,HLOOKUP($A460,#REF!,15,FALSE)&lt;-2),"",#REF!),"")</f>
        <v/>
      </c>
      <c r="R460" t="str">
        <f>IFERROR(IF(OR(HLOOKUP($A460,#REF!,16,FALSE)&gt;2,HLOOKUP($A460,#REF!,16,FALSE)&lt;-2),"",#REF!),"")</f>
        <v/>
      </c>
      <c r="S460" t="str">
        <f>IFERROR(IF(OR(HLOOKUP($A460,#REF!,17,FALSE)&gt;2,HLOOKUP($A460,#REF!,17,FALSE)&lt;-2),"",#REF!),"")</f>
        <v/>
      </c>
      <c r="T460" t="str">
        <f>IFERROR(IF(OR(HLOOKUP($A460,#REF!,18,FALSE)&gt;2,HLOOKUP($A460,#REF!,18,FALSE)&lt;-2),"",#REF!),"")</f>
        <v/>
      </c>
      <c r="U460" t="str">
        <f>IFERROR(IF(OR(HLOOKUP($A460,#REF!,19,FALSE)&gt;2,HLOOKUP($A460,#REF!,19,FALSE)&lt;-2),"",#REF!),"")</f>
        <v/>
      </c>
      <c r="V460">
        <f t="shared" si="28"/>
        <v>1</v>
      </c>
      <c r="W460" t="str">
        <f t="shared" si="29"/>
        <v/>
      </c>
      <c r="X460" t="str">
        <f t="shared" si="30"/>
        <v/>
      </c>
      <c r="Y460" t="str">
        <f t="shared" si="31"/>
        <v/>
      </c>
    </row>
    <row r="461" spans="1:25" x14ac:dyDescent="0.35">
      <c r="A461">
        <v>469</v>
      </c>
      <c r="B461" t="s">
        <v>236</v>
      </c>
      <c r="C461">
        <v>18200</v>
      </c>
      <c r="D461">
        <v>533</v>
      </c>
      <c r="E461" t="str">
        <f>IFERROR(IF(OR(HLOOKUP($A461,#REF!,3,FALSE)&gt;2,HLOOKUP(A461,#REF!,3,FALSE)&lt;-2),"",#REF!),"")</f>
        <v/>
      </c>
      <c r="F461" t="str">
        <f>IFERROR(IF(OR(HLOOKUP($A461,#REF!,4,FALSE)&gt;2,HLOOKUP($A461,#REF!,4,FALSE)&lt;-2),"",#REF!),"")</f>
        <v/>
      </c>
      <c r="G461" t="str">
        <f>IFERROR(IF(OR(HLOOKUP($A461,#REF!,5,FALSE)&gt;2,HLOOKUP($A461,#REF!,5,FALSE)&lt;-2),"",#REF!),"")</f>
        <v/>
      </c>
      <c r="H461" t="str">
        <f>IFERROR(IF(OR(HLOOKUP($A461,#REF!,6,FALSE)&gt;2,HLOOKUP($A461,#REF!,6,FALSE)&lt;-2),"",#REF!),"")</f>
        <v/>
      </c>
      <c r="I461" t="str">
        <f>IFERROR(IF(OR(HLOOKUP($A461,#REF!,7,FALSE)&gt;2,HLOOKUP($A461,#REF!,7,FALSE)&lt;-2),"",#REF!),"")</f>
        <v/>
      </c>
      <c r="J461" t="str">
        <f>IFERROR(IF(OR(HLOOKUP($A461,#REF!,8,FALSE)&gt;2,HLOOKUP($A461,#REF!,8,FALSE)&lt;-2),"",#REF!),"")</f>
        <v/>
      </c>
      <c r="K461" t="str">
        <f>IFERROR(IF(OR(HLOOKUP($A461,#REF!,9,FALSE)&gt;2,HLOOKUP($A461,#REF!,9,FALSE)&lt;-2),"",#REF!),"")</f>
        <v/>
      </c>
      <c r="L461" t="str">
        <f>IFERROR(IF(OR(HLOOKUP($A461,#REF!,10,FALSE)&gt;2,HLOOKUP($A461,#REF!,10,FALSE)&lt;-2),"",#REF!),"")</f>
        <v/>
      </c>
      <c r="M461" t="str">
        <f>IFERROR(IF(OR(HLOOKUP($A461,#REF!,11,FALSE)&gt;2,HLOOKUP($A461,#REF!,11,FALSE)&lt;-2),"",#REF!),"")</f>
        <v/>
      </c>
      <c r="N461" t="str">
        <f>IFERROR(IF(OR(HLOOKUP($A461,#REF!,12,FALSE)&gt;2,HLOOKUP($A461,#REF!,12,FALSE)&lt;-2),"",#REF!),"")</f>
        <v/>
      </c>
      <c r="O461" t="str">
        <f>IFERROR(IF(OR(HLOOKUP($A461,#REF!,13,FALSE)&gt;2,HLOOKUP($A461,#REF!,13,FALSE)&lt;-2),"",#REF!),"")</f>
        <v/>
      </c>
      <c r="P461" t="str">
        <f>IFERROR(IF(OR(HLOOKUP($A461,#REF!,14,FALSE)&gt;2,HLOOKUP($A461,#REF!,14,FALSE)&lt;-2),"",#REF!),"")</f>
        <v/>
      </c>
      <c r="Q461" t="str">
        <f>IFERROR(IF(OR(HLOOKUP($A461,#REF!,15,FALSE)&gt;2,HLOOKUP($A461,#REF!,15,FALSE)&lt;-2),"",#REF!),"")</f>
        <v/>
      </c>
      <c r="R461" t="str">
        <f>IFERROR(IF(OR(HLOOKUP($A461,#REF!,16,FALSE)&gt;2,HLOOKUP($A461,#REF!,16,FALSE)&lt;-2),"",#REF!),"")</f>
        <v/>
      </c>
      <c r="S461" t="str">
        <f>IFERROR(IF(OR(HLOOKUP($A461,#REF!,17,FALSE)&gt;2,HLOOKUP($A461,#REF!,17,FALSE)&lt;-2),"",#REF!),"")</f>
        <v/>
      </c>
      <c r="T461" t="str">
        <f>IFERROR(IF(OR(HLOOKUP($A461,#REF!,18,FALSE)&gt;2,HLOOKUP($A461,#REF!,18,FALSE)&lt;-2),"",#REF!),"")</f>
        <v/>
      </c>
      <c r="U461" t="str">
        <f>IFERROR(IF(OR(HLOOKUP($A461,#REF!,19,FALSE)&gt;2,HLOOKUP($A461,#REF!,19,FALSE)&lt;-2),"",#REF!),"")</f>
        <v/>
      </c>
      <c r="V461">
        <f t="shared" si="28"/>
        <v>1</v>
      </c>
      <c r="W461" t="str">
        <f t="shared" si="29"/>
        <v/>
      </c>
      <c r="X461" t="str">
        <f t="shared" si="30"/>
        <v/>
      </c>
      <c r="Y461" t="str">
        <f t="shared" si="31"/>
        <v/>
      </c>
    </row>
    <row r="462" spans="1:25" x14ac:dyDescent="0.35">
      <c r="A462">
        <v>470</v>
      </c>
      <c r="B462" t="s">
        <v>237</v>
      </c>
      <c r="C462">
        <v>77900</v>
      </c>
      <c r="D462">
        <v>290</v>
      </c>
      <c r="E462" t="str">
        <f>IFERROR(IF(OR(HLOOKUP($A462,#REF!,3,FALSE)&gt;2,HLOOKUP(A462,#REF!,3,FALSE)&lt;-2),"",#REF!),"")</f>
        <v/>
      </c>
      <c r="F462" t="str">
        <f>IFERROR(IF(OR(HLOOKUP($A462,#REF!,4,FALSE)&gt;2,HLOOKUP($A462,#REF!,4,FALSE)&lt;-2),"",#REF!),"")</f>
        <v/>
      </c>
      <c r="G462" t="str">
        <f>IFERROR(IF(OR(HLOOKUP($A462,#REF!,5,FALSE)&gt;2,HLOOKUP($A462,#REF!,5,FALSE)&lt;-2),"",#REF!),"")</f>
        <v/>
      </c>
      <c r="H462" t="str">
        <f>IFERROR(IF(OR(HLOOKUP($A462,#REF!,6,FALSE)&gt;2,HLOOKUP($A462,#REF!,6,FALSE)&lt;-2),"",#REF!),"")</f>
        <v/>
      </c>
      <c r="I462" t="str">
        <f>IFERROR(IF(OR(HLOOKUP($A462,#REF!,7,FALSE)&gt;2,HLOOKUP($A462,#REF!,7,FALSE)&lt;-2),"",#REF!),"")</f>
        <v/>
      </c>
      <c r="J462" t="str">
        <f>IFERROR(IF(OR(HLOOKUP($A462,#REF!,8,FALSE)&gt;2,HLOOKUP($A462,#REF!,8,FALSE)&lt;-2),"",#REF!),"")</f>
        <v/>
      </c>
      <c r="K462" t="str">
        <f>IFERROR(IF(OR(HLOOKUP($A462,#REF!,9,FALSE)&gt;2,HLOOKUP($A462,#REF!,9,FALSE)&lt;-2),"",#REF!),"")</f>
        <v/>
      </c>
      <c r="L462" t="str">
        <f>IFERROR(IF(OR(HLOOKUP($A462,#REF!,10,FALSE)&gt;2,HLOOKUP($A462,#REF!,10,FALSE)&lt;-2),"",#REF!),"")</f>
        <v/>
      </c>
      <c r="M462" t="str">
        <f>IFERROR(IF(OR(HLOOKUP($A462,#REF!,11,FALSE)&gt;2,HLOOKUP($A462,#REF!,11,FALSE)&lt;-2),"",#REF!),"")</f>
        <v/>
      </c>
      <c r="N462" t="str">
        <f>IFERROR(IF(OR(HLOOKUP($A462,#REF!,12,FALSE)&gt;2,HLOOKUP($A462,#REF!,12,FALSE)&lt;-2),"",#REF!),"")</f>
        <v/>
      </c>
      <c r="O462" t="str">
        <f>IFERROR(IF(OR(HLOOKUP($A462,#REF!,13,FALSE)&gt;2,HLOOKUP($A462,#REF!,13,FALSE)&lt;-2),"",#REF!),"")</f>
        <v/>
      </c>
      <c r="P462" t="str">
        <f>IFERROR(IF(OR(HLOOKUP($A462,#REF!,14,FALSE)&gt;2,HLOOKUP($A462,#REF!,14,FALSE)&lt;-2),"",#REF!),"")</f>
        <v/>
      </c>
      <c r="Q462" t="str">
        <f>IFERROR(IF(OR(HLOOKUP($A462,#REF!,15,FALSE)&gt;2,HLOOKUP($A462,#REF!,15,FALSE)&lt;-2),"",#REF!),"")</f>
        <v/>
      </c>
      <c r="R462" t="str">
        <f>IFERROR(IF(OR(HLOOKUP($A462,#REF!,16,FALSE)&gt;2,HLOOKUP($A462,#REF!,16,FALSE)&lt;-2),"",#REF!),"")</f>
        <v/>
      </c>
      <c r="S462" t="str">
        <f>IFERROR(IF(OR(HLOOKUP($A462,#REF!,17,FALSE)&gt;2,HLOOKUP($A462,#REF!,17,FALSE)&lt;-2),"",#REF!),"")</f>
        <v/>
      </c>
      <c r="T462" t="str">
        <f>IFERROR(IF(OR(HLOOKUP($A462,#REF!,18,FALSE)&gt;2,HLOOKUP($A462,#REF!,18,FALSE)&lt;-2),"",#REF!),"")</f>
        <v/>
      </c>
      <c r="U462" t="str">
        <f>IFERROR(IF(OR(HLOOKUP($A462,#REF!,19,FALSE)&gt;2,HLOOKUP($A462,#REF!,19,FALSE)&lt;-2),"",#REF!),"")</f>
        <v/>
      </c>
      <c r="V462">
        <f t="shared" si="28"/>
        <v>1</v>
      </c>
      <c r="W462" t="str">
        <f t="shared" si="29"/>
        <v/>
      </c>
      <c r="X462" t="str">
        <f t="shared" si="30"/>
        <v/>
      </c>
      <c r="Y462" t="str">
        <f t="shared" si="31"/>
        <v/>
      </c>
    </row>
    <row r="463" spans="1:25" x14ac:dyDescent="0.35">
      <c r="A463">
        <v>471</v>
      </c>
      <c r="B463" t="s">
        <v>828</v>
      </c>
      <c r="C463">
        <v>38800</v>
      </c>
      <c r="D463">
        <v>463</v>
      </c>
      <c r="E463" t="str">
        <f>IFERROR(IF(OR(HLOOKUP($A463,#REF!,3,FALSE)&gt;2,HLOOKUP(A463,#REF!,3,FALSE)&lt;-2),"",#REF!),"")</f>
        <v/>
      </c>
      <c r="F463" t="str">
        <f>IFERROR(IF(OR(HLOOKUP($A463,#REF!,4,FALSE)&gt;2,HLOOKUP($A463,#REF!,4,FALSE)&lt;-2),"",#REF!),"")</f>
        <v/>
      </c>
      <c r="G463" t="str">
        <f>IFERROR(IF(OR(HLOOKUP($A463,#REF!,5,FALSE)&gt;2,HLOOKUP($A463,#REF!,5,FALSE)&lt;-2),"",#REF!),"")</f>
        <v/>
      </c>
      <c r="H463" t="str">
        <f>IFERROR(IF(OR(HLOOKUP($A463,#REF!,6,FALSE)&gt;2,HLOOKUP($A463,#REF!,6,FALSE)&lt;-2),"",#REF!),"")</f>
        <v/>
      </c>
      <c r="I463" t="str">
        <f>IFERROR(IF(OR(HLOOKUP($A463,#REF!,7,FALSE)&gt;2,HLOOKUP($A463,#REF!,7,FALSE)&lt;-2),"",#REF!),"")</f>
        <v/>
      </c>
      <c r="J463" t="str">
        <f>IFERROR(IF(OR(HLOOKUP($A463,#REF!,8,FALSE)&gt;2,HLOOKUP($A463,#REF!,8,FALSE)&lt;-2),"",#REF!),"")</f>
        <v/>
      </c>
      <c r="K463" t="str">
        <f>IFERROR(IF(OR(HLOOKUP($A463,#REF!,9,FALSE)&gt;2,HLOOKUP($A463,#REF!,9,FALSE)&lt;-2),"",#REF!),"")</f>
        <v/>
      </c>
      <c r="L463" t="str">
        <f>IFERROR(IF(OR(HLOOKUP($A463,#REF!,10,FALSE)&gt;2,HLOOKUP($A463,#REF!,10,FALSE)&lt;-2),"",#REF!),"")</f>
        <v/>
      </c>
      <c r="M463" t="str">
        <f>IFERROR(IF(OR(HLOOKUP($A463,#REF!,11,FALSE)&gt;2,HLOOKUP($A463,#REF!,11,FALSE)&lt;-2),"",#REF!),"")</f>
        <v/>
      </c>
      <c r="N463" t="str">
        <f>IFERROR(IF(OR(HLOOKUP($A463,#REF!,12,FALSE)&gt;2,HLOOKUP($A463,#REF!,12,FALSE)&lt;-2),"",#REF!),"")</f>
        <v/>
      </c>
      <c r="O463" t="str">
        <f>IFERROR(IF(OR(HLOOKUP($A463,#REF!,13,FALSE)&gt;2,HLOOKUP($A463,#REF!,13,FALSE)&lt;-2),"",#REF!),"")</f>
        <v/>
      </c>
      <c r="P463" t="str">
        <f>IFERROR(IF(OR(HLOOKUP($A463,#REF!,14,FALSE)&gt;2,HLOOKUP($A463,#REF!,14,FALSE)&lt;-2),"",#REF!),"")</f>
        <v/>
      </c>
      <c r="Q463" t="str">
        <f>IFERROR(IF(OR(HLOOKUP($A463,#REF!,15,FALSE)&gt;2,HLOOKUP($A463,#REF!,15,FALSE)&lt;-2),"",#REF!),"")</f>
        <v/>
      </c>
      <c r="R463" t="str">
        <f>IFERROR(IF(OR(HLOOKUP($A463,#REF!,16,FALSE)&gt;2,HLOOKUP($A463,#REF!,16,FALSE)&lt;-2),"",#REF!),"")</f>
        <v/>
      </c>
      <c r="S463" t="str">
        <f>IFERROR(IF(OR(HLOOKUP($A463,#REF!,17,FALSE)&gt;2,HLOOKUP($A463,#REF!,17,FALSE)&lt;-2),"",#REF!),"")</f>
        <v/>
      </c>
      <c r="T463" t="str">
        <f>IFERROR(IF(OR(HLOOKUP($A463,#REF!,18,FALSE)&gt;2,HLOOKUP($A463,#REF!,18,FALSE)&lt;-2),"",#REF!),"")</f>
        <v/>
      </c>
      <c r="U463" t="str">
        <f>IFERROR(IF(OR(HLOOKUP($A463,#REF!,19,FALSE)&gt;2,HLOOKUP($A463,#REF!,19,FALSE)&lt;-2),"",#REF!),"")</f>
        <v/>
      </c>
      <c r="V463">
        <f t="shared" si="28"/>
        <v>1</v>
      </c>
      <c r="W463" t="str">
        <f t="shared" si="29"/>
        <v/>
      </c>
      <c r="X463" t="str">
        <f t="shared" si="30"/>
        <v/>
      </c>
      <c r="Y463" t="str">
        <f t="shared" si="31"/>
        <v/>
      </c>
    </row>
    <row r="464" spans="1:25" x14ac:dyDescent="0.35">
      <c r="A464">
        <v>472</v>
      </c>
      <c r="B464" t="s">
        <v>829</v>
      </c>
      <c r="C464">
        <v>51200</v>
      </c>
      <c r="D464">
        <v>426</v>
      </c>
      <c r="E464" t="str">
        <f>IFERROR(IF(OR(HLOOKUP($A464,#REF!,3,FALSE)&gt;2,HLOOKUP(A464,#REF!,3,FALSE)&lt;-2),"",#REF!),"")</f>
        <v/>
      </c>
      <c r="F464" t="str">
        <f>IFERROR(IF(OR(HLOOKUP($A464,#REF!,4,FALSE)&gt;2,HLOOKUP($A464,#REF!,4,FALSE)&lt;-2),"",#REF!),"")</f>
        <v/>
      </c>
      <c r="G464" t="str">
        <f>IFERROR(IF(OR(HLOOKUP($A464,#REF!,5,FALSE)&gt;2,HLOOKUP($A464,#REF!,5,FALSE)&lt;-2),"",#REF!),"")</f>
        <v/>
      </c>
      <c r="H464" t="str">
        <f>IFERROR(IF(OR(HLOOKUP($A464,#REF!,6,FALSE)&gt;2,HLOOKUP($A464,#REF!,6,FALSE)&lt;-2),"",#REF!),"")</f>
        <v/>
      </c>
      <c r="I464" t="str">
        <f>IFERROR(IF(OR(HLOOKUP($A464,#REF!,7,FALSE)&gt;2,HLOOKUP($A464,#REF!,7,FALSE)&lt;-2),"",#REF!),"")</f>
        <v/>
      </c>
      <c r="J464" t="str">
        <f>IFERROR(IF(OR(HLOOKUP($A464,#REF!,8,FALSE)&gt;2,HLOOKUP($A464,#REF!,8,FALSE)&lt;-2),"",#REF!),"")</f>
        <v/>
      </c>
      <c r="K464" t="str">
        <f>IFERROR(IF(OR(HLOOKUP($A464,#REF!,9,FALSE)&gt;2,HLOOKUP($A464,#REF!,9,FALSE)&lt;-2),"",#REF!),"")</f>
        <v/>
      </c>
      <c r="L464" t="str">
        <f>IFERROR(IF(OR(HLOOKUP($A464,#REF!,10,FALSE)&gt;2,HLOOKUP($A464,#REF!,10,FALSE)&lt;-2),"",#REF!),"")</f>
        <v/>
      </c>
      <c r="M464" t="str">
        <f>IFERROR(IF(OR(HLOOKUP($A464,#REF!,11,FALSE)&gt;2,HLOOKUP($A464,#REF!,11,FALSE)&lt;-2),"",#REF!),"")</f>
        <v/>
      </c>
      <c r="N464" t="str">
        <f>IFERROR(IF(OR(HLOOKUP($A464,#REF!,12,FALSE)&gt;2,HLOOKUP($A464,#REF!,12,FALSE)&lt;-2),"",#REF!),"")</f>
        <v/>
      </c>
      <c r="O464" t="str">
        <f>IFERROR(IF(OR(HLOOKUP($A464,#REF!,13,FALSE)&gt;2,HLOOKUP($A464,#REF!,13,FALSE)&lt;-2),"",#REF!),"")</f>
        <v/>
      </c>
      <c r="P464" t="str">
        <f>IFERROR(IF(OR(HLOOKUP($A464,#REF!,14,FALSE)&gt;2,HLOOKUP($A464,#REF!,14,FALSE)&lt;-2),"",#REF!),"")</f>
        <v/>
      </c>
      <c r="Q464" t="str">
        <f>IFERROR(IF(OR(HLOOKUP($A464,#REF!,15,FALSE)&gt;2,HLOOKUP($A464,#REF!,15,FALSE)&lt;-2),"",#REF!),"")</f>
        <v/>
      </c>
      <c r="R464" t="str">
        <f>IFERROR(IF(OR(HLOOKUP($A464,#REF!,16,FALSE)&gt;2,HLOOKUP($A464,#REF!,16,FALSE)&lt;-2),"",#REF!),"")</f>
        <v/>
      </c>
      <c r="S464" t="str">
        <f>IFERROR(IF(OR(HLOOKUP($A464,#REF!,17,FALSE)&gt;2,HLOOKUP($A464,#REF!,17,FALSE)&lt;-2),"",#REF!),"")</f>
        <v/>
      </c>
      <c r="T464" t="str">
        <f>IFERROR(IF(OR(HLOOKUP($A464,#REF!,18,FALSE)&gt;2,HLOOKUP($A464,#REF!,18,FALSE)&lt;-2),"",#REF!),"")</f>
        <v/>
      </c>
      <c r="U464" t="str">
        <f>IFERROR(IF(OR(HLOOKUP($A464,#REF!,19,FALSE)&gt;2,HLOOKUP($A464,#REF!,19,FALSE)&lt;-2),"",#REF!),"")</f>
        <v/>
      </c>
      <c r="V464">
        <f t="shared" si="28"/>
        <v>1</v>
      </c>
      <c r="W464" t="str">
        <f t="shared" si="29"/>
        <v/>
      </c>
      <c r="X464" t="str">
        <f t="shared" si="30"/>
        <v/>
      </c>
      <c r="Y464" t="str">
        <f t="shared" si="31"/>
        <v/>
      </c>
    </row>
    <row r="465" spans="1:25" x14ac:dyDescent="0.35">
      <c r="A465">
        <v>473</v>
      </c>
      <c r="B465" t="s">
        <v>830</v>
      </c>
      <c r="C465">
        <v>49200</v>
      </c>
      <c r="D465">
        <v>754</v>
      </c>
      <c r="E465" t="str">
        <f>IFERROR(IF(OR(HLOOKUP($A465,#REF!,3,FALSE)&gt;2,HLOOKUP(A465,#REF!,3,FALSE)&lt;-2),"",#REF!),"")</f>
        <v/>
      </c>
      <c r="F465" t="str">
        <f>IFERROR(IF(OR(HLOOKUP($A465,#REF!,4,FALSE)&gt;2,HLOOKUP($A465,#REF!,4,FALSE)&lt;-2),"",#REF!),"")</f>
        <v/>
      </c>
      <c r="G465" t="str">
        <f>IFERROR(IF(OR(HLOOKUP($A465,#REF!,5,FALSE)&gt;2,HLOOKUP($A465,#REF!,5,FALSE)&lt;-2),"",#REF!),"")</f>
        <v/>
      </c>
      <c r="H465" t="str">
        <f>IFERROR(IF(OR(HLOOKUP($A465,#REF!,6,FALSE)&gt;2,HLOOKUP($A465,#REF!,6,FALSE)&lt;-2),"",#REF!),"")</f>
        <v/>
      </c>
      <c r="I465" t="str">
        <f>IFERROR(IF(OR(HLOOKUP($A465,#REF!,7,FALSE)&gt;2,HLOOKUP($A465,#REF!,7,FALSE)&lt;-2),"",#REF!),"")</f>
        <v/>
      </c>
      <c r="J465" t="str">
        <f>IFERROR(IF(OR(HLOOKUP($A465,#REF!,8,FALSE)&gt;2,HLOOKUP($A465,#REF!,8,FALSE)&lt;-2),"",#REF!),"")</f>
        <v/>
      </c>
      <c r="K465" t="str">
        <f>IFERROR(IF(OR(HLOOKUP($A465,#REF!,9,FALSE)&gt;2,HLOOKUP($A465,#REF!,9,FALSE)&lt;-2),"",#REF!),"")</f>
        <v/>
      </c>
      <c r="L465" t="str">
        <f>IFERROR(IF(OR(HLOOKUP($A465,#REF!,10,FALSE)&gt;2,HLOOKUP($A465,#REF!,10,FALSE)&lt;-2),"",#REF!),"")</f>
        <v/>
      </c>
      <c r="M465" t="str">
        <f>IFERROR(IF(OR(HLOOKUP($A465,#REF!,11,FALSE)&gt;2,HLOOKUP($A465,#REF!,11,FALSE)&lt;-2),"",#REF!),"")</f>
        <v/>
      </c>
      <c r="N465" t="str">
        <f>IFERROR(IF(OR(HLOOKUP($A465,#REF!,12,FALSE)&gt;2,HLOOKUP($A465,#REF!,12,FALSE)&lt;-2),"",#REF!),"")</f>
        <v/>
      </c>
      <c r="O465" t="str">
        <f>IFERROR(IF(OR(HLOOKUP($A465,#REF!,13,FALSE)&gt;2,HLOOKUP($A465,#REF!,13,FALSE)&lt;-2),"",#REF!),"")</f>
        <v/>
      </c>
      <c r="P465" t="str">
        <f>IFERROR(IF(OR(HLOOKUP($A465,#REF!,14,FALSE)&gt;2,HLOOKUP($A465,#REF!,14,FALSE)&lt;-2),"",#REF!),"")</f>
        <v/>
      </c>
      <c r="Q465" t="str">
        <f>IFERROR(IF(OR(HLOOKUP($A465,#REF!,15,FALSE)&gt;2,HLOOKUP($A465,#REF!,15,FALSE)&lt;-2),"",#REF!),"")</f>
        <v/>
      </c>
      <c r="R465" t="str">
        <f>IFERROR(IF(OR(HLOOKUP($A465,#REF!,16,FALSE)&gt;2,HLOOKUP($A465,#REF!,16,FALSE)&lt;-2),"",#REF!),"")</f>
        <v/>
      </c>
      <c r="S465" t="str">
        <f>IFERROR(IF(OR(HLOOKUP($A465,#REF!,17,FALSE)&gt;2,HLOOKUP($A465,#REF!,17,FALSE)&lt;-2),"",#REF!),"")</f>
        <v/>
      </c>
      <c r="T465" t="str">
        <f>IFERROR(IF(OR(HLOOKUP($A465,#REF!,18,FALSE)&gt;2,HLOOKUP($A465,#REF!,18,FALSE)&lt;-2),"",#REF!),"")</f>
        <v/>
      </c>
      <c r="U465" t="str">
        <f>IFERROR(IF(OR(HLOOKUP($A465,#REF!,19,FALSE)&gt;2,HLOOKUP($A465,#REF!,19,FALSE)&lt;-2),"",#REF!),"")</f>
        <v/>
      </c>
      <c r="V465">
        <f t="shared" si="28"/>
        <v>1</v>
      </c>
      <c r="W465" t="str">
        <f t="shared" si="29"/>
        <v/>
      </c>
      <c r="X465" t="str">
        <f t="shared" si="30"/>
        <v/>
      </c>
      <c r="Y465" t="str">
        <f t="shared" si="31"/>
        <v/>
      </c>
    </row>
    <row r="466" spans="1:25" x14ac:dyDescent="0.35">
      <c r="A466">
        <v>474</v>
      </c>
      <c r="B466" t="s">
        <v>831</v>
      </c>
      <c r="C466">
        <v>112400</v>
      </c>
      <c r="D466">
        <v>1099</v>
      </c>
      <c r="E466" t="str">
        <f>IFERROR(IF(OR(HLOOKUP($A466,#REF!,3,FALSE)&gt;2,HLOOKUP(A466,#REF!,3,FALSE)&lt;-2),"",#REF!),"")</f>
        <v/>
      </c>
      <c r="F466" t="str">
        <f>IFERROR(IF(OR(HLOOKUP($A466,#REF!,4,FALSE)&gt;2,HLOOKUP($A466,#REF!,4,FALSE)&lt;-2),"",#REF!),"")</f>
        <v/>
      </c>
      <c r="G466" t="str">
        <f>IFERROR(IF(OR(HLOOKUP($A466,#REF!,5,FALSE)&gt;2,HLOOKUP($A466,#REF!,5,FALSE)&lt;-2),"",#REF!),"")</f>
        <v/>
      </c>
      <c r="H466" t="str">
        <f>IFERROR(IF(OR(HLOOKUP($A466,#REF!,6,FALSE)&gt;2,HLOOKUP($A466,#REF!,6,FALSE)&lt;-2),"",#REF!),"")</f>
        <v/>
      </c>
      <c r="I466" t="str">
        <f>IFERROR(IF(OR(HLOOKUP($A466,#REF!,7,FALSE)&gt;2,HLOOKUP($A466,#REF!,7,FALSE)&lt;-2),"",#REF!),"")</f>
        <v/>
      </c>
      <c r="J466" t="str">
        <f>IFERROR(IF(OR(HLOOKUP($A466,#REF!,8,FALSE)&gt;2,HLOOKUP($A466,#REF!,8,FALSE)&lt;-2),"",#REF!),"")</f>
        <v/>
      </c>
      <c r="K466" t="str">
        <f>IFERROR(IF(OR(HLOOKUP($A466,#REF!,9,FALSE)&gt;2,HLOOKUP($A466,#REF!,9,FALSE)&lt;-2),"",#REF!),"")</f>
        <v/>
      </c>
      <c r="L466" t="str">
        <f>IFERROR(IF(OR(HLOOKUP($A466,#REF!,10,FALSE)&gt;2,HLOOKUP($A466,#REF!,10,FALSE)&lt;-2),"",#REF!),"")</f>
        <v/>
      </c>
      <c r="M466" t="str">
        <f>IFERROR(IF(OR(HLOOKUP($A466,#REF!,11,FALSE)&gt;2,HLOOKUP($A466,#REF!,11,FALSE)&lt;-2),"",#REF!),"")</f>
        <v/>
      </c>
      <c r="N466" t="str">
        <f>IFERROR(IF(OR(HLOOKUP($A466,#REF!,12,FALSE)&gt;2,HLOOKUP($A466,#REF!,12,FALSE)&lt;-2),"",#REF!),"")</f>
        <v/>
      </c>
      <c r="O466" t="str">
        <f>IFERROR(IF(OR(HLOOKUP($A466,#REF!,13,FALSE)&gt;2,HLOOKUP($A466,#REF!,13,FALSE)&lt;-2),"",#REF!),"")</f>
        <v/>
      </c>
      <c r="P466" t="str">
        <f>IFERROR(IF(OR(HLOOKUP($A466,#REF!,14,FALSE)&gt;2,HLOOKUP($A466,#REF!,14,FALSE)&lt;-2),"",#REF!),"")</f>
        <v/>
      </c>
      <c r="Q466" t="str">
        <f>IFERROR(IF(OR(HLOOKUP($A466,#REF!,15,FALSE)&gt;2,HLOOKUP($A466,#REF!,15,FALSE)&lt;-2),"",#REF!),"")</f>
        <v/>
      </c>
      <c r="R466" t="str">
        <f>IFERROR(IF(OR(HLOOKUP($A466,#REF!,16,FALSE)&gt;2,HLOOKUP($A466,#REF!,16,FALSE)&lt;-2),"",#REF!),"")</f>
        <v/>
      </c>
      <c r="S466" t="str">
        <f>IFERROR(IF(OR(HLOOKUP($A466,#REF!,17,FALSE)&gt;2,HLOOKUP($A466,#REF!,17,FALSE)&lt;-2),"",#REF!),"")</f>
        <v/>
      </c>
      <c r="T466" t="str">
        <f>IFERROR(IF(OR(HLOOKUP($A466,#REF!,18,FALSE)&gt;2,HLOOKUP($A466,#REF!,18,FALSE)&lt;-2),"",#REF!),"")</f>
        <v/>
      </c>
      <c r="U466" t="str">
        <f>IFERROR(IF(OR(HLOOKUP($A466,#REF!,19,FALSE)&gt;2,HLOOKUP($A466,#REF!,19,FALSE)&lt;-2),"",#REF!),"")</f>
        <v/>
      </c>
      <c r="V466">
        <f t="shared" si="28"/>
        <v>1</v>
      </c>
      <c r="W466" t="str">
        <f t="shared" si="29"/>
        <v/>
      </c>
      <c r="X466" t="str">
        <f t="shared" si="30"/>
        <v/>
      </c>
      <c r="Y466" t="str">
        <f t="shared" si="31"/>
        <v/>
      </c>
    </row>
    <row r="467" spans="1:25" x14ac:dyDescent="0.35">
      <c r="A467">
        <v>475</v>
      </c>
      <c r="B467" t="s">
        <v>238</v>
      </c>
      <c r="C467">
        <v>65100</v>
      </c>
      <c r="D467">
        <v>1008</v>
      </c>
      <c r="E467" t="str">
        <f>IFERROR(IF(OR(HLOOKUP($A467,#REF!,3,FALSE)&gt;2,HLOOKUP(A467,#REF!,3,FALSE)&lt;-2),"",#REF!),"")</f>
        <v/>
      </c>
      <c r="F467" t="str">
        <f>IFERROR(IF(OR(HLOOKUP($A467,#REF!,4,FALSE)&gt;2,HLOOKUP($A467,#REF!,4,FALSE)&lt;-2),"",#REF!),"")</f>
        <v/>
      </c>
      <c r="G467" t="str">
        <f>IFERROR(IF(OR(HLOOKUP($A467,#REF!,5,FALSE)&gt;2,HLOOKUP($A467,#REF!,5,FALSE)&lt;-2),"",#REF!),"")</f>
        <v/>
      </c>
      <c r="H467" t="str">
        <f>IFERROR(IF(OR(HLOOKUP($A467,#REF!,6,FALSE)&gt;2,HLOOKUP($A467,#REF!,6,FALSE)&lt;-2),"",#REF!),"")</f>
        <v/>
      </c>
      <c r="I467" t="str">
        <f>IFERROR(IF(OR(HLOOKUP($A467,#REF!,7,FALSE)&gt;2,HLOOKUP($A467,#REF!,7,FALSE)&lt;-2),"",#REF!),"")</f>
        <v/>
      </c>
      <c r="J467" t="str">
        <f>IFERROR(IF(OR(HLOOKUP($A467,#REF!,8,FALSE)&gt;2,HLOOKUP($A467,#REF!,8,FALSE)&lt;-2),"",#REF!),"")</f>
        <v/>
      </c>
      <c r="K467" t="str">
        <f>IFERROR(IF(OR(HLOOKUP($A467,#REF!,9,FALSE)&gt;2,HLOOKUP($A467,#REF!,9,FALSE)&lt;-2),"",#REF!),"")</f>
        <v/>
      </c>
      <c r="L467" t="str">
        <f>IFERROR(IF(OR(HLOOKUP($A467,#REF!,10,FALSE)&gt;2,HLOOKUP($A467,#REF!,10,FALSE)&lt;-2),"",#REF!),"")</f>
        <v/>
      </c>
      <c r="M467" t="str">
        <f>IFERROR(IF(OR(HLOOKUP($A467,#REF!,11,FALSE)&gt;2,HLOOKUP($A467,#REF!,11,FALSE)&lt;-2),"",#REF!),"")</f>
        <v/>
      </c>
      <c r="N467" t="str">
        <f>IFERROR(IF(OR(HLOOKUP($A467,#REF!,12,FALSE)&gt;2,HLOOKUP($A467,#REF!,12,FALSE)&lt;-2),"",#REF!),"")</f>
        <v/>
      </c>
      <c r="O467" t="str">
        <f>IFERROR(IF(OR(HLOOKUP($A467,#REF!,13,FALSE)&gt;2,HLOOKUP($A467,#REF!,13,FALSE)&lt;-2),"",#REF!),"")</f>
        <v/>
      </c>
      <c r="P467" t="str">
        <f>IFERROR(IF(OR(HLOOKUP($A467,#REF!,14,FALSE)&gt;2,HLOOKUP($A467,#REF!,14,FALSE)&lt;-2),"",#REF!),"")</f>
        <v/>
      </c>
      <c r="Q467" t="str">
        <f>IFERROR(IF(OR(HLOOKUP($A467,#REF!,15,FALSE)&gt;2,HLOOKUP($A467,#REF!,15,FALSE)&lt;-2),"",#REF!),"")</f>
        <v/>
      </c>
      <c r="R467" t="str">
        <f>IFERROR(IF(OR(HLOOKUP($A467,#REF!,16,FALSE)&gt;2,HLOOKUP($A467,#REF!,16,FALSE)&lt;-2),"",#REF!),"")</f>
        <v/>
      </c>
      <c r="S467" t="str">
        <f>IFERROR(IF(OR(HLOOKUP($A467,#REF!,17,FALSE)&gt;2,HLOOKUP($A467,#REF!,17,FALSE)&lt;-2),"",#REF!),"")</f>
        <v/>
      </c>
      <c r="T467" t="str">
        <f>IFERROR(IF(OR(HLOOKUP($A467,#REF!,18,FALSE)&gt;2,HLOOKUP($A467,#REF!,18,FALSE)&lt;-2),"",#REF!),"")</f>
        <v/>
      </c>
      <c r="U467" t="str">
        <f>IFERROR(IF(OR(HLOOKUP($A467,#REF!,19,FALSE)&gt;2,HLOOKUP($A467,#REF!,19,FALSE)&lt;-2),"",#REF!),"")</f>
        <v/>
      </c>
      <c r="V467">
        <f t="shared" si="28"/>
        <v>1</v>
      </c>
      <c r="W467" t="str">
        <f t="shared" si="29"/>
        <v/>
      </c>
      <c r="X467" t="str">
        <f t="shared" si="30"/>
        <v/>
      </c>
      <c r="Y467" t="str">
        <f t="shared" si="31"/>
        <v/>
      </c>
    </row>
    <row r="468" spans="1:25" x14ac:dyDescent="0.35">
      <c r="A468">
        <v>476</v>
      </c>
      <c r="B468" t="s">
        <v>832</v>
      </c>
      <c r="C468">
        <v>21200</v>
      </c>
      <c r="D468">
        <v>714</v>
      </c>
      <c r="E468" t="str">
        <f>IFERROR(IF(OR(HLOOKUP($A468,#REF!,3,FALSE)&gt;2,HLOOKUP(A468,#REF!,3,FALSE)&lt;-2),"",#REF!),"")</f>
        <v/>
      </c>
      <c r="F468" t="str">
        <f>IFERROR(IF(OR(HLOOKUP($A468,#REF!,4,FALSE)&gt;2,HLOOKUP($A468,#REF!,4,FALSE)&lt;-2),"",#REF!),"")</f>
        <v/>
      </c>
      <c r="G468" t="str">
        <f>IFERROR(IF(OR(HLOOKUP($A468,#REF!,5,FALSE)&gt;2,HLOOKUP($A468,#REF!,5,FALSE)&lt;-2),"",#REF!),"")</f>
        <v/>
      </c>
      <c r="H468" t="str">
        <f>IFERROR(IF(OR(HLOOKUP($A468,#REF!,6,FALSE)&gt;2,HLOOKUP($A468,#REF!,6,FALSE)&lt;-2),"",#REF!),"")</f>
        <v/>
      </c>
      <c r="I468" t="str">
        <f>IFERROR(IF(OR(HLOOKUP($A468,#REF!,7,FALSE)&gt;2,HLOOKUP($A468,#REF!,7,FALSE)&lt;-2),"",#REF!),"")</f>
        <v/>
      </c>
      <c r="J468" t="str">
        <f>IFERROR(IF(OR(HLOOKUP($A468,#REF!,8,FALSE)&gt;2,HLOOKUP($A468,#REF!,8,FALSE)&lt;-2),"",#REF!),"")</f>
        <v/>
      </c>
      <c r="K468" t="str">
        <f>IFERROR(IF(OR(HLOOKUP($A468,#REF!,9,FALSE)&gt;2,HLOOKUP($A468,#REF!,9,FALSE)&lt;-2),"",#REF!),"")</f>
        <v/>
      </c>
      <c r="L468" t="str">
        <f>IFERROR(IF(OR(HLOOKUP($A468,#REF!,10,FALSE)&gt;2,HLOOKUP($A468,#REF!,10,FALSE)&lt;-2),"",#REF!),"")</f>
        <v/>
      </c>
      <c r="M468" t="str">
        <f>IFERROR(IF(OR(HLOOKUP($A468,#REF!,11,FALSE)&gt;2,HLOOKUP($A468,#REF!,11,FALSE)&lt;-2),"",#REF!),"")</f>
        <v/>
      </c>
      <c r="N468" t="str">
        <f>IFERROR(IF(OR(HLOOKUP($A468,#REF!,12,FALSE)&gt;2,HLOOKUP($A468,#REF!,12,FALSE)&lt;-2),"",#REF!),"")</f>
        <v/>
      </c>
      <c r="O468" t="str">
        <f>IFERROR(IF(OR(HLOOKUP($A468,#REF!,13,FALSE)&gt;2,HLOOKUP($A468,#REF!,13,FALSE)&lt;-2),"",#REF!),"")</f>
        <v/>
      </c>
      <c r="P468" t="str">
        <f>IFERROR(IF(OR(HLOOKUP($A468,#REF!,14,FALSE)&gt;2,HLOOKUP($A468,#REF!,14,FALSE)&lt;-2),"",#REF!),"")</f>
        <v/>
      </c>
      <c r="Q468" t="str">
        <f>IFERROR(IF(OR(HLOOKUP($A468,#REF!,15,FALSE)&gt;2,HLOOKUP($A468,#REF!,15,FALSE)&lt;-2),"",#REF!),"")</f>
        <v/>
      </c>
      <c r="R468" t="str">
        <f>IFERROR(IF(OR(HLOOKUP($A468,#REF!,16,FALSE)&gt;2,HLOOKUP($A468,#REF!,16,FALSE)&lt;-2),"",#REF!),"")</f>
        <v/>
      </c>
      <c r="S468" t="str">
        <f>IFERROR(IF(OR(HLOOKUP($A468,#REF!,17,FALSE)&gt;2,HLOOKUP($A468,#REF!,17,FALSE)&lt;-2),"",#REF!),"")</f>
        <v/>
      </c>
      <c r="T468" t="str">
        <f>IFERROR(IF(OR(HLOOKUP($A468,#REF!,18,FALSE)&gt;2,HLOOKUP($A468,#REF!,18,FALSE)&lt;-2),"",#REF!),"")</f>
        <v/>
      </c>
      <c r="U468" t="str">
        <f>IFERROR(IF(OR(HLOOKUP($A468,#REF!,19,FALSE)&gt;2,HLOOKUP($A468,#REF!,19,FALSE)&lt;-2),"",#REF!),"")</f>
        <v/>
      </c>
      <c r="V468">
        <f t="shared" si="28"/>
        <v>1</v>
      </c>
      <c r="W468" t="str">
        <f t="shared" si="29"/>
        <v/>
      </c>
      <c r="X468" t="str">
        <f t="shared" si="30"/>
        <v/>
      </c>
      <c r="Y468" t="str">
        <f t="shared" si="31"/>
        <v/>
      </c>
    </row>
    <row r="469" spans="1:25" x14ac:dyDescent="0.35">
      <c r="A469">
        <v>477</v>
      </c>
      <c r="B469" t="s">
        <v>239</v>
      </c>
      <c r="C469">
        <v>48000</v>
      </c>
      <c r="D469">
        <v>623</v>
      </c>
      <c r="E469" t="str">
        <f>IFERROR(IF(OR(HLOOKUP($A469,#REF!,3,FALSE)&gt;2,HLOOKUP(A469,#REF!,3,FALSE)&lt;-2),"",#REF!),"")</f>
        <v/>
      </c>
      <c r="F469" t="str">
        <f>IFERROR(IF(OR(HLOOKUP($A469,#REF!,4,FALSE)&gt;2,HLOOKUP($A469,#REF!,4,FALSE)&lt;-2),"",#REF!),"")</f>
        <v/>
      </c>
      <c r="G469" t="str">
        <f>IFERROR(IF(OR(HLOOKUP($A469,#REF!,5,FALSE)&gt;2,HLOOKUP($A469,#REF!,5,FALSE)&lt;-2),"",#REF!),"")</f>
        <v/>
      </c>
      <c r="H469" t="str">
        <f>IFERROR(IF(OR(HLOOKUP($A469,#REF!,6,FALSE)&gt;2,HLOOKUP($A469,#REF!,6,FALSE)&lt;-2),"",#REF!),"")</f>
        <v/>
      </c>
      <c r="I469" t="str">
        <f>IFERROR(IF(OR(HLOOKUP($A469,#REF!,7,FALSE)&gt;2,HLOOKUP($A469,#REF!,7,FALSE)&lt;-2),"",#REF!),"")</f>
        <v/>
      </c>
      <c r="J469" t="str">
        <f>IFERROR(IF(OR(HLOOKUP($A469,#REF!,8,FALSE)&gt;2,HLOOKUP($A469,#REF!,8,FALSE)&lt;-2),"",#REF!),"")</f>
        <v/>
      </c>
      <c r="K469" t="str">
        <f>IFERROR(IF(OR(HLOOKUP($A469,#REF!,9,FALSE)&gt;2,HLOOKUP($A469,#REF!,9,FALSE)&lt;-2),"",#REF!),"")</f>
        <v/>
      </c>
      <c r="L469" t="str">
        <f>IFERROR(IF(OR(HLOOKUP($A469,#REF!,10,FALSE)&gt;2,HLOOKUP($A469,#REF!,10,FALSE)&lt;-2),"",#REF!),"")</f>
        <v/>
      </c>
      <c r="M469" t="str">
        <f>IFERROR(IF(OR(HLOOKUP($A469,#REF!,11,FALSE)&gt;2,HLOOKUP($A469,#REF!,11,FALSE)&lt;-2),"",#REF!),"")</f>
        <v/>
      </c>
      <c r="N469" t="str">
        <f>IFERROR(IF(OR(HLOOKUP($A469,#REF!,12,FALSE)&gt;2,HLOOKUP($A469,#REF!,12,FALSE)&lt;-2),"",#REF!),"")</f>
        <v/>
      </c>
      <c r="O469" t="str">
        <f>IFERROR(IF(OR(HLOOKUP($A469,#REF!,13,FALSE)&gt;2,HLOOKUP($A469,#REF!,13,FALSE)&lt;-2),"",#REF!),"")</f>
        <v/>
      </c>
      <c r="P469" t="str">
        <f>IFERROR(IF(OR(HLOOKUP($A469,#REF!,14,FALSE)&gt;2,HLOOKUP($A469,#REF!,14,FALSE)&lt;-2),"",#REF!),"")</f>
        <v/>
      </c>
      <c r="Q469" t="str">
        <f>IFERROR(IF(OR(HLOOKUP($A469,#REF!,15,FALSE)&gt;2,HLOOKUP($A469,#REF!,15,FALSE)&lt;-2),"",#REF!),"")</f>
        <v/>
      </c>
      <c r="R469" t="str">
        <f>IFERROR(IF(OR(HLOOKUP($A469,#REF!,16,FALSE)&gt;2,HLOOKUP($A469,#REF!,16,FALSE)&lt;-2),"",#REF!),"")</f>
        <v/>
      </c>
      <c r="S469" t="str">
        <f>IFERROR(IF(OR(HLOOKUP($A469,#REF!,17,FALSE)&gt;2,HLOOKUP($A469,#REF!,17,FALSE)&lt;-2),"",#REF!),"")</f>
        <v/>
      </c>
      <c r="T469" t="str">
        <f>IFERROR(IF(OR(HLOOKUP($A469,#REF!,18,FALSE)&gt;2,HLOOKUP($A469,#REF!,18,FALSE)&lt;-2),"",#REF!),"")</f>
        <v/>
      </c>
      <c r="U469" t="str">
        <f>IFERROR(IF(OR(HLOOKUP($A469,#REF!,19,FALSE)&gt;2,HLOOKUP($A469,#REF!,19,FALSE)&lt;-2),"",#REF!),"")</f>
        <v/>
      </c>
      <c r="V469">
        <f t="shared" si="28"/>
        <v>1</v>
      </c>
      <c r="W469" t="str">
        <f t="shared" si="29"/>
        <v/>
      </c>
      <c r="X469" t="str">
        <f t="shared" si="30"/>
        <v/>
      </c>
      <c r="Y469" t="str">
        <f t="shared" si="31"/>
        <v/>
      </c>
    </row>
    <row r="470" spans="1:25" x14ac:dyDescent="0.35">
      <c r="A470">
        <v>478</v>
      </c>
      <c r="B470" t="s">
        <v>240</v>
      </c>
      <c r="C470">
        <v>5400</v>
      </c>
      <c r="D470">
        <v>337</v>
      </c>
      <c r="E470" t="str">
        <f>IFERROR(IF(OR(HLOOKUP($A470,#REF!,3,FALSE)&gt;2,HLOOKUP(A470,#REF!,3,FALSE)&lt;-2),"",#REF!),"")</f>
        <v/>
      </c>
      <c r="F470" t="str">
        <f>IFERROR(IF(OR(HLOOKUP($A470,#REF!,4,FALSE)&gt;2,HLOOKUP($A470,#REF!,4,FALSE)&lt;-2),"",#REF!),"")</f>
        <v/>
      </c>
      <c r="G470" t="str">
        <f>IFERROR(IF(OR(HLOOKUP($A470,#REF!,5,FALSE)&gt;2,HLOOKUP($A470,#REF!,5,FALSE)&lt;-2),"",#REF!),"")</f>
        <v/>
      </c>
      <c r="H470" t="str">
        <f>IFERROR(IF(OR(HLOOKUP($A470,#REF!,6,FALSE)&gt;2,HLOOKUP($A470,#REF!,6,FALSE)&lt;-2),"",#REF!),"")</f>
        <v/>
      </c>
      <c r="I470" t="str">
        <f>IFERROR(IF(OR(HLOOKUP($A470,#REF!,7,FALSE)&gt;2,HLOOKUP($A470,#REF!,7,FALSE)&lt;-2),"",#REF!),"")</f>
        <v/>
      </c>
      <c r="J470" t="str">
        <f>IFERROR(IF(OR(HLOOKUP($A470,#REF!,8,FALSE)&gt;2,HLOOKUP($A470,#REF!,8,FALSE)&lt;-2),"",#REF!),"")</f>
        <v/>
      </c>
      <c r="K470" t="str">
        <f>IFERROR(IF(OR(HLOOKUP($A470,#REF!,9,FALSE)&gt;2,HLOOKUP($A470,#REF!,9,FALSE)&lt;-2),"",#REF!),"")</f>
        <v/>
      </c>
      <c r="L470" t="str">
        <f>IFERROR(IF(OR(HLOOKUP($A470,#REF!,10,FALSE)&gt;2,HLOOKUP($A470,#REF!,10,FALSE)&lt;-2),"",#REF!),"")</f>
        <v/>
      </c>
      <c r="M470" t="str">
        <f>IFERROR(IF(OR(HLOOKUP($A470,#REF!,11,FALSE)&gt;2,HLOOKUP($A470,#REF!,11,FALSE)&lt;-2),"",#REF!),"")</f>
        <v/>
      </c>
      <c r="N470" t="str">
        <f>IFERROR(IF(OR(HLOOKUP($A470,#REF!,12,FALSE)&gt;2,HLOOKUP($A470,#REF!,12,FALSE)&lt;-2),"",#REF!),"")</f>
        <v/>
      </c>
      <c r="O470" t="str">
        <f>IFERROR(IF(OR(HLOOKUP($A470,#REF!,13,FALSE)&gt;2,HLOOKUP($A470,#REF!,13,FALSE)&lt;-2),"",#REF!),"")</f>
        <v/>
      </c>
      <c r="P470" t="str">
        <f>IFERROR(IF(OR(HLOOKUP($A470,#REF!,14,FALSE)&gt;2,HLOOKUP($A470,#REF!,14,FALSE)&lt;-2),"",#REF!),"")</f>
        <v/>
      </c>
      <c r="Q470" t="str">
        <f>IFERROR(IF(OR(HLOOKUP($A470,#REF!,15,FALSE)&gt;2,HLOOKUP($A470,#REF!,15,FALSE)&lt;-2),"",#REF!),"")</f>
        <v/>
      </c>
      <c r="R470" t="str">
        <f>IFERROR(IF(OR(HLOOKUP($A470,#REF!,16,FALSE)&gt;2,HLOOKUP($A470,#REF!,16,FALSE)&lt;-2),"",#REF!),"")</f>
        <v/>
      </c>
      <c r="S470" t="str">
        <f>IFERROR(IF(OR(HLOOKUP($A470,#REF!,17,FALSE)&gt;2,HLOOKUP($A470,#REF!,17,FALSE)&lt;-2),"",#REF!),"")</f>
        <v/>
      </c>
      <c r="T470" t="str">
        <f>IFERROR(IF(OR(HLOOKUP($A470,#REF!,18,FALSE)&gt;2,HLOOKUP($A470,#REF!,18,FALSE)&lt;-2),"",#REF!),"")</f>
        <v/>
      </c>
      <c r="U470" t="str">
        <f>IFERROR(IF(OR(HLOOKUP($A470,#REF!,19,FALSE)&gt;2,HLOOKUP($A470,#REF!,19,FALSE)&lt;-2),"",#REF!),"")</f>
        <v/>
      </c>
      <c r="V470">
        <f t="shared" si="28"/>
        <v>1</v>
      </c>
      <c r="W470" t="str">
        <f t="shared" si="29"/>
        <v/>
      </c>
      <c r="X470" t="str">
        <f t="shared" si="30"/>
        <v/>
      </c>
      <c r="Y470" t="str">
        <f t="shared" si="31"/>
        <v/>
      </c>
    </row>
    <row r="471" spans="1:25" x14ac:dyDescent="0.35">
      <c r="A471">
        <v>479</v>
      </c>
      <c r="B471" t="s">
        <v>833</v>
      </c>
      <c r="C471">
        <v>38900</v>
      </c>
      <c r="D471">
        <v>463</v>
      </c>
      <c r="E471" t="str">
        <f>IFERROR(IF(OR(HLOOKUP($A471,#REF!,3,FALSE)&gt;2,HLOOKUP(A471,#REF!,3,FALSE)&lt;-2),"",#REF!),"")</f>
        <v/>
      </c>
      <c r="F471" t="str">
        <f>IFERROR(IF(OR(HLOOKUP($A471,#REF!,4,FALSE)&gt;2,HLOOKUP($A471,#REF!,4,FALSE)&lt;-2),"",#REF!),"")</f>
        <v/>
      </c>
      <c r="G471" t="str">
        <f>IFERROR(IF(OR(HLOOKUP($A471,#REF!,5,FALSE)&gt;2,HLOOKUP($A471,#REF!,5,FALSE)&lt;-2),"",#REF!),"")</f>
        <v/>
      </c>
      <c r="H471" t="str">
        <f>IFERROR(IF(OR(HLOOKUP($A471,#REF!,6,FALSE)&gt;2,HLOOKUP($A471,#REF!,6,FALSE)&lt;-2),"",#REF!),"")</f>
        <v/>
      </c>
      <c r="I471" t="str">
        <f>IFERROR(IF(OR(HLOOKUP($A471,#REF!,7,FALSE)&gt;2,HLOOKUP($A471,#REF!,7,FALSE)&lt;-2),"",#REF!),"")</f>
        <v/>
      </c>
      <c r="J471" t="str">
        <f>IFERROR(IF(OR(HLOOKUP($A471,#REF!,8,FALSE)&gt;2,HLOOKUP($A471,#REF!,8,FALSE)&lt;-2),"",#REF!),"")</f>
        <v/>
      </c>
      <c r="K471" t="str">
        <f>IFERROR(IF(OR(HLOOKUP($A471,#REF!,9,FALSE)&gt;2,HLOOKUP($A471,#REF!,9,FALSE)&lt;-2),"",#REF!),"")</f>
        <v/>
      </c>
      <c r="L471" t="str">
        <f>IFERROR(IF(OR(HLOOKUP($A471,#REF!,10,FALSE)&gt;2,HLOOKUP($A471,#REF!,10,FALSE)&lt;-2),"",#REF!),"")</f>
        <v/>
      </c>
      <c r="M471" t="str">
        <f>IFERROR(IF(OR(HLOOKUP($A471,#REF!,11,FALSE)&gt;2,HLOOKUP($A471,#REF!,11,FALSE)&lt;-2),"",#REF!),"")</f>
        <v/>
      </c>
      <c r="N471" t="str">
        <f>IFERROR(IF(OR(HLOOKUP($A471,#REF!,12,FALSE)&gt;2,HLOOKUP($A471,#REF!,12,FALSE)&lt;-2),"",#REF!),"")</f>
        <v/>
      </c>
      <c r="O471" t="str">
        <f>IFERROR(IF(OR(HLOOKUP($A471,#REF!,13,FALSE)&gt;2,HLOOKUP($A471,#REF!,13,FALSE)&lt;-2),"",#REF!),"")</f>
        <v/>
      </c>
      <c r="P471" t="str">
        <f>IFERROR(IF(OR(HLOOKUP($A471,#REF!,14,FALSE)&gt;2,HLOOKUP($A471,#REF!,14,FALSE)&lt;-2),"",#REF!),"")</f>
        <v/>
      </c>
      <c r="Q471" t="str">
        <f>IFERROR(IF(OR(HLOOKUP($A471,#REF!,15,FALSE)&gt;2,HLOOKUP($A471,#REF!,15,FALSE)&lt;-2),"",#REF!),"")</f>
        <v/>
      </c>
      <c r="R471" t="str">
        <f>IFERROR(IF(OR(HLOOKUP($A471,#REF!,16,FALSE)&gt;2,HLOOKUP($A471,#REF!,16,FALSE)&lt;-2),"",#REF!),"")</f>
        <v/>
      </c>
      <c r="S471" t="str">
        <f>IFERROR(IF(OR(HLOOKUP($A471,#REF!,17,FALSE)&gt;2,HLOOKUP($A471,#REF!,17,FALSE)&lt;-2),"",#REF!),"")</f>
        <v/>
      </c>
      <c r="T471" t="str">
        <f>IFERROR(IF(OR(HLOOKUP($A471,#REF!,18,FALSE)&gt;2,HLOOKUP($A471,#REF!,18,FALSE)&lt;-2),"",#REF!),"")</f>
        <v/>
      </c>
      <c r="U471" t="str">
        <f>IFERROR(IF(OR(HLOOKUP($A471,#REF!,19,FALSE)&gt;2,HLOOKUP($A471,#REF!,19,FALSE)&lt;-2),"",#REF!),"")</f>
        <v/>
      </c>
      <c r="V471">
        <f t="shared" si="28"/>
        <v>1</v>
      </c>
      <c r="W471" t="str">
        <f t="shared" si="29"/>
        <v/>
      </c>
      <c r="X471" t="str">
        <f t="shared" si="30"/>
        <v/>
      </c>
      <c r="Y471" t="str">
        <f t="shared" si="31"/>
        <v/>
      </c>
    </row>
    <row r="472" spans="1:25" x14ac:dyDescent="0.35">
      <c r="A472">
        <v>480</v>
      </c>
      <c r="B472" t="s">
        <v>834</v>
      </c>
      <c r="C472">
        <v>51300</v>
      </c>
      <c r="D472">
        <v>426</v>
      </c>
      <c r="E472" t="str">
        <f>IFERROR(IF(OR(HLOOKUP($A472,#REF!,3,FALSE)&gt;2,HLOOKUP(A472,#REF!,3,FALSE)&lt;-2),"",#REF!),"")</f>
        <v/>
      </c>
      <c r="F472" t="str">
        <f>IFERROR(IF(OR(HLOOKUP($A472,#REF!,4,FALSE)&gt;2,HLOOKUP($A472,#REF!,4,FALSE)&lt;-2),"",#REF!),"")</f>
        <v/>
      </c>
      <c r="G472" t="str">
        <f>IFERROR(IF(OR(HLOOKUP($A472,#REF!,5,FALSE)&gt;2,HLOOKUP($A472,#REF!,5,FALSE)&lt;-2),"",#REF!),"")</f>
        <v/>
      </c>
      <c r="H472" t="str">
        <f>IFERROR(IF(OR(HLOOKUP($A472,#REF!,6,FALSE)&gt;2,HLOOKUP($A472,#REF!,6,FALSE)&lt;-2),"",#REF!),"")</f>
        <v/>
      </c>
      <c r="I472" t="str">
        <f>IFERROR(IF(OR(HLOOKUP($A472,#REF!,7,FALSE)&gt;2,HLOOKUP($A472,#REF!,7,FALSE)&lt;-2),"",#REF!),"")</f>
        <v/>
      </c>
      <c r="J472" t="str">
        <f>IFERROR(IF(OR(HLOOKUP($A472,#REF!,8,FALSE)&gt;2,HLOOKUP($A472,#REF!,8,FALSE)&lt;-2),"",#REF!),"")</f>
        <v/>
      </c>
      <c r="K472" t="str">
        <f>IFERROR(IF(OR(HLOOKUP($A472,#REF!,9,FALSE)&gt;2,HLOOKUP($A472,#REF!,9,FALSE)&lt;-2),"",#REF!),"")</f>
        <v/>
      </c>
      <c r="L472" t="str">
        <f>IFERROR(IF(OR(HLOOKUP($A472,#REF!,10,FALSE)&gt;2,HLOOKUP($A472,#REF!,10,FALSE)&lt;-2),"",#REF!),"")</f>
        <v/>
      </c>
      <c r="M472" t="str">
        <f>IFERROR(IF(OR(HLOOKUP($A472,#REF!,11,FALSE)&gt;2,HLOOKUP($A472,#REF!,11,FALSE)&lt;-2),"",#REF!),"")</f>
        <v/>
      </c>
      <c r="N472" t="str">
        <f>IFERROR(IF(OR(HLOOKUP($A472,#REF!,12,FALSE)&gt;2,HLOOKUP($A472,#REF!,12,FALSE)&lt;-2),"",#REF!),"")</f>
        <v/>
      </c>
      <c r="O472" t="str">
        <f>IFERROR(IF(OR(HLOOKUP($A472,#REF!,13,FALSE)&gt;2,HLOOKUP($A472,#REF!,13,FALSE)&lt;-2),"",#REF!),"")</f>
        <v/>
      </c>
      <c r="P472" t="str">
        <f>IFERROR(IF(OR(HLOOKUP($A472,#REF!,14,FALSE)&gt;2,HLOOKUP($A472,#REF!,14,FALSE)&lt;-2),"",#REF!),"")</f>
        <v/>
      </c>
      <c r="Q472" t="str">
        <f>IFERROR(IF(OR(HLOOKUP($A472,#REF!,15,FALSE)&gt;2,HLOOKUP($A472,#REF!,15,FALSE)&lt;-2),"",#REF!),"")</f>
        <v/>
      </c>
      <c r="R472" t="str">
        <f>IFERROR(IF(OR(HLOOKUP($A472,#REF!,16,FALSE)&gt;2,HLOOKUP($A472,#REF!,16,FALSE)&lt;-2),"",#REF!),"")</f>
        <v/>
      </c>
      <c r="S472" t="str">
        <f>IFERROR(IF(OR(HLOOKUP($A472,#REF!,17,FALSE)&gt;2,HLOOKUP($A472,#REF!,17,FALSE)&lt;-2),"",#REF!),"")</f>
        <v/>
      </c>
      <c r="T472" t="str">
        <f>IFERROR(IF(OR(HLOOKUP($A472,#REF!,18,FALSE)&gt;2,HLOOKUP($A472,#REF!,18,FALSE)&lt;-2),"",#REF!),"")</f>
        <v/>
      </c>
      <c r="U472" t="str">
        <f>IFERROR(IF(OR(HLOOKUP($A472,#REF!,19,FALSE)&gt;2,HLOOKUP($A472,#REF!,19,FALSE)&lt;-2),"",#REF!),"")</f>
        <v/>
      </c>
      <c r="V472">
        <f t="shared" si="28"/>
        <v>1</v>
      </c>
      <c r="W472" t="str">
        <f t="shared" si="29"/>
        <v/>
      </c>
      <c r="X472" t="str">
        <f t="shared" si="30"/>
        <v/>
      </c>
      <c r="Y472" t="str">
        <f t="shared" si="31"/>
        <v/>
      </c>
    </row>
    <row r="473" spans="1:25" x14ac:dyDescent="0.35">
      <c r="A473">
        <v>481</v>
      </c>
      <c r="B473" t="s">
        <v>835</v>
      </c>
      <c r="C473">
        <v>48700</v>
      </c>
      <c r="D473">
        <v>754</v>
      </c>
      <c r="E473" t="str">
        <f>IFERROR(IF(OR(HLOOKUP($A473,#REF!,3,FALSE)&gt;2,HLOOKUP(A473,#REF!,3,FALSE)&lt;-2),"",#REF!),"")</f>
        <v/>
      </c>
      <c r="F473" t="str">
        <f>IFERROR(IF(OR(HLOOKUP($A473,#REF!,4,FALSE)&gt;2,HLOOKUP($A473,#REF!,4,FALSE)&lt;-2),"",#REF!),"")</f>
        <v/>
      </c>
      <c r="G473" t="str">
        <f>IFERROR(IF(OR(HLOOKUP($A473,#REF!,5,FALSE)&gt;2,HLOOKUP($A473,#REF!,5,FALSE)&lt;-2),"",#REF!),"")</f>
        <v/>
      </c>
      <c r="H473" t="str">
        <f>IFERROR(IF(OR(HLOOKUP($A473,#REF!,6,FALSE)&gt;2,HLOOKUP($A473,#REF!,6,FALSE)&lt;-2),"",#REF!),"")</f>
        <v/>
      </c>
      <c r="I473" t="str">
        <f>IFERROR(IF(OR(HLOOKUP($A473,#REF!,7,FALSE)&gt;2,HLOOKUP($A473,#REF!,7,FALSE)&lt;-2),"",#REF!),"")</f>
        <v/>
      </c>
      <c r="J473" t="str">
        <f>IFERROR(IF(OR(HLOOKUP($A473,#REF!,8,FALSE)&gt;2,HLOOKUP($A473,#REF!,8,FALSE)&lt;-2),"",#REF!),"")</f>
        <v/>
      </c>
      <c r="K473" t="str">
        <f>IFERROR(IF(OR(HLOOKUP($A473,#REF!,9,FALSE)&gt;2,HLOOKUP($A473,#REF!,9,FALSE)&lt;-2),"",#REF!),"")</f>
        <v/>
      </c>
      <c r="L473" t="str">
        <f>IFERROR(IF(OR(HLOOKUP($A473,#REF!,10,FALSE)&gt;2,HLOOKUP($A473,#REF!,10,FALSE)&lt;-2),"",#REF!),"")</f>
        <v/>
      </c>
      <c r="M473" t="str">
        <f>IFERROR(IF(OR(HLOOKUP($A473,#REF!,11,FALSE)&gt;2,HLOOKUP($A473,#REF!,11,FALSE)&lt;-2),"",#REF!),"")</f>
        <v/>
      </c>
      <c r="N473" t="str">
        <f>IFERROR(IF(OR(HLOOKUP($A473,#REF!,12,FALSE)&gt;2,HLOOKUP($A473,#REF!,12,FALSE)&lt;-2),"",#REF!),"")</f>
        <v/>
      </c>
      <c r="O473" t="str">
        <f>IFERROR(IF(OR(HLOOKUP($A473,#REF!,13,FALSE)&gt;2,HLOOKUP($A473,#REF!,13,FALSE)&lt;-2),"",#REF!),"")</f>
        <v/>
      </c>
      <c r="P473" t="str">
        <f>IFERROR(IF(OR(HLOOKUP($A473,#REF!,14,FALSE)&gt;2,HLOOKUP($A473,#REF!,14,FALSE)&lt;-2),"",#REF!),"")</f>
        <v/>
      </c>
      <c r="Q473" t="str">
        <f>IFERROR(IF(OR(HLOOKUP($A473,#REF!,15,FALSE)&gt;2,HLOOKUP($A473,#REF!,15,FALSE)&lt;-2),"",#REF!),"")</f>
        <v/>
      </c>
      <c r="R473" t="str">
        <f>IFERROR(IF(OR(HLOOKUP($A473,#REF!,16,FALSE)&gt;2,HLOOKUP($A473,#REF!,16,FALSE)&lt;-2),"",#REF!),"")</f>
        <v/>
      </c>
      <c r="S473" t="str">
        <f>IFERROR(IF(OR(HLOOKUP($A473,#REF!,17,FALSE)&gt;2,HLOOKUP($A473,#REF!,17,FALSE)&lt;-2),"",#REF!),"")</f>
        <v/>
      </c>
      <c r="T473" t="str">
        <f>IFERROR(IF(OR(HLOOKUP($A473,#REF!,18,FALSE)&gt;2,HLOOKUP($A473,#REF!,18,FALSE)&lt;-2),"",#REF!),"")</f>
        <v/>
      </c>
      <c r="U473" t="str">
        <f>IFERROR(IF(OR(HLOOKUP($A473,#REF!,19,FALSE)&gt;2,HLOOKUP($A473,#REF!,19,FALSE)&lt;-2),"",#REF!),"")</f>
        <v/>
      </c>
      <c r="V473">
        <f t="shared" si="28"/>
        <v>1</v>
      </c>
      <c r="W473" t="str">
        <f t="shared" si="29"/>
        <v/>
      </c>
      <c r="X473" t="str">
        <f t="shared" si="30"/>
        <v/>
      </c>
      <c r="Y473" t="str">
        <f t="shared" si="31"/>
        <v/>
      </c>
    </row>
    <row r="474" spans="1:25" x14ac:dyDescent="0.35">
      <c r="A474">
        <v>482</v>
      </c>
      <c r="B474" t="s">
        <v>241</v>
      </c>
      <c r="C474">
        <v>101300</v>
      </c>
      <c r="D474">
        <v>948</v>
      </c>
      <c r="E474" t="str">
        <f>IFERROR(IF(OR(HLOOKUP($A474,#REF!,3,FALSE)&gt;2,HLOOKUP(A474,#REF!,3,FALSE)&lt;-2),"",#REF!),"")</f>
        <v/>
      </c>
      <c r="F474" t="str">
        <f>IFERROR(IF(OR(HLOOKUP($A474,#REF!,4,FALSE)&gt;2,HLOOKUP($A474,#REF!,4,FALSE)&lt;-2),"",#REF!),"")</f>
        <v/>
      </c>
      <c r="G474" t="str">
        <f>IFERROR(IF(OR(HLOOKUP($A474,#REF!,5,FALSE)&gt;2,HLOOKUP($A474,#REF!,5,FALSE)&lt;-2),"",#REF!),"")</f>
        <v/>
      </c>
      <c r="H474" t="str">
        <f>IFERROR(IF(OR(HLOOKUP($A474,#REF!,6,FALSE)&gt;2,HLOOKUP($A474,#REF!,6,FALSE)&lt;-2),"",#REF!),"")</f>
        <v/>
      </c>
      <c r="I474" t="str">
        <f>IFERROR(IF(OR(HLOOKUP($A474,#REF!,7,FALSE)&gt;2,HLOOKUP($A474,#REF!,7,FALSE)&lt;-2),"",#REF!),"")</f>
        <v/>
      </c>
      <c r="J474" t="str">
        <f>IFERROR(IF(OR(HLOOKUP($A474,#REF!,8,FALSE)&gt;2,HLOOKUP($A474,#REF!,8,FALSE)&lt;-2),"",#REF!),"")</f>
        <v/>
      </c>
      <c r="K474" t="str">
        <f>IFERROR(IF(OR(HLOOKUP($A474,#REF!,9,FALSE)&gt;2,HLOOKUP($A474,#REF!,9,FALSE)&lt;-2),"",#REF!),"")</f>
        <v/>
      </c>
      <c r="L474" t="str">
        <f>IFERROR(IF(OR(HLOOKUP($A474,#REF!,10,FALSE)&gt;2,HLOOKUP($A474,#REF!,10,FALSE)&lt;-2),"",#REF!),"")</f>
        <v/>
      </c>
      <c r="M474" t="str">
        <f>IFERROR(IF(OR(HLOOKUP($A474,#REF!,11,FALSE)&gt;2,HLOOKUP($A474,#REF!,11,FALSE)&lt;-2),"",#REF!),"")</f>
        <v/>
      </c>
      <c r="N474" t="str">
        <f>IFERROR(IF(OR(HLOOKUP($A474,#REF!,12,FALSE)&gt;2,HLOOKUP($A474,#REF!,12,FALSE)&lt;-2),"",#REF!),"")</f>
        <v/>
      </c>
      <c r="O474" t="str">
        <f>IFERROR(IF(OR(HLOOKUP($A474,#REF!,13,FALSE)&gt;2,HLOOKUP($A474,#REF!,13,FALSE)&lt;-2),"",#REF!),"")</f>
        <v/>
      </c>
      <c r="P474" t="str">
        <f>IFERROR(IF(OR(HLOOKUP($A474,#REF!,14,FALSE)&gt;2,HLOOKUP($A474,#REF!,14,FALSE)&lt;-2),"",#REF!),"")</f>
        <v/>
      </c>
      <c r="Q474" t="str">
        <f>IFERROR(IF(OR(HLOOKUP($A474,#REF!,15,FALSE)&gt;2,HLOOKUP($A474,#REF!,15,FALSE)&lt;-2),"",#REF!),"")</f>
        <v/>
      </c>
      <c r="R474" t="str">
        <f>IFERROR(IF(OR(HLOOKUP($A474,#REF!,16,FALSE)&gt;2,HLOOKUP($A474,#REF!,16,FALSE)&lt;-2),"",#REF!),"")</f>
        <v/>
      </c>
      <c r="S474" t="str">
        <f>IFERROR(IF(OR(HLOOKUP($A474,#REF!,17,FALSE)&gt;2,HLOOKUP($A474,#REF!,17,FALSE)&lt;-2),"",#REF!),"")</f>
        <v/>
      </c>
      <c r="T474" t="str">
        <f>IFERROR(IF(OR(HLOOKUP($A474,#REF!,18,FALSE)&gt;2,HLOOKUP($A474,#REF!,18,FALSE)&lt;-2),"",#REF!),"")</f>
        <v/>
      </c>
      <c r="U474" t="str">
        <f>IFERROR(IF(OR(HLOOKUP($A474,#REF!,19,FALSE)&gt;2,HLOOKUP($A474,#REF!,19,FALSE)&lt;-2),"",#REF!),"")</f>
        <v/>
      </c>
      <c r="V474">
        <f t="shared" si="28"/>
        <v>1</v>
      </c>
      <c r="W474" t="str">
        <f t="shared" si="29"/>
        <v/>
      </c>
      <c r="X474" t="str">
        <f t="shared" si="30"/>
        <v/>
      </c>
      <c r="Y474" t="str">
        <f t="shared" si="31"/>
        <v/>
      </c>
    </row>
    <row r="475" spans="1:25" x14ac:dyDescent="0.35">
      <c r="A475">
        <v>483</v>
      </c>
      <c r="B475" t="s">
        <v>242</v>
      </c>
      <c r="C475">
        <v>69700</v>
      </c>
      <c r="D475">
        <v>958</v>
      </c>
      <c r="E475" t="str">
        <f>IFERROR(IF(OR(HLOOKUP($A475,#REF!,3,FALSE)&gt;2,HLOOKUP(A475,#REF!,3,FALSE)&lt;-2),"",#REF!),"")</f>
        <v/>
      </c>
      <c r="F475" t="str">
        <f>IFERROR(IF(OR(HLOOKUP($A475,#REF!,4,FALSE)&gt;2,HLOOKUP($A475,#REF!,4,FALSE)&lt;-2),"",#REF!),"")</f>
        <v/>
      </c>
      <c r="G475" t="str">
        <f>IFERROR(IF(OR(HLOOKUP($A475,#REF!,5,FALSE)&gt;2,HLOOKUP($A475,#REF!,5,FALSE)&lt;-2),"",#REF!),"")</f>
        <v/>
      </c>
      <c r="H475" t="str">
        <f>IFERROR(IF(OR(HLOOKUP($A475,#REF!,6,FALSE)&gt;2,HLOOKUP($A475,#REF!,6,FALSE)&lt;-2),"",#REF!),"")</f>
        <v/>
      </c>
      <c r="I475" t="str">
        <f>IFERROR(IF(OR(HLOOKUP($A475,#REF!,7,FALSE)&gt;2,HLOOKUP($A475,#REF!,7,FALSE)&lt;-2),"",#REF!),"")</f>
        <v/>
      </c>
      <c r="J475" t="str">
        <f>IFERROR(IF(OR(HLOOKUP($A475,#REF!,8,FALSE)&gt;2,HLOOKUP($A475,#REF!,8,FALSE)&lt;-2),"",#REF!),"")</f>
        <v/>
      </c>
      <c r="K475" t="str">
        <f>IFERROR(IF(OR(HLOOKUP($A475,#REF!,9,FALSE)&gt;2,HLOOKUP($A475,#REF!,9,FALSE)&lt;-2),"",#REF!),"")</f>
        <v/>
      </c>
      <c r="L475" t="str">
        <f>IFERROR(IF(OR(HLOOKUP($A475,#REF!,10,FALSE)&gt;2,HLOOKUP($A475,#REF!,10,FALSE)&lt;-2),"",#REF!),"")</f>
        <v/>
      </c>
      <c r="M475" t="str">
        <f>IFERROR(IF(OR(HLOOKUP($A475,#REF!,11,FALSE)&gt;2,HLOOKUP($A475,#REF!,11,FALSE)&lt;-2),"",#REF!),"")</f>
        <v/>
      </c>
      <c r="N475" t="str">
        <f>IFERROR(IF(OR(HLOOKUP($A475,#REF!,12,FALSE)&gt;2,HLOOKUP($A475,#REF!,12,FALSE)&lt;-2),"",#REF!),"")</f>
        <v/>
      </c>
      <c r="O475" t="str">
        <f>IFERROR(IF(OR(HLOOKUP($A475,#REF!,13,FALSE)&gt;2,HLOOKUP($A475,#REF!,13,FALSE)&lt;-2),"",#REF!),"")</f>
        <v/>
      </c>
      <c r="P475" t="str">
        <f>IFERROR(IF(OR(HLOOKUP($A475,#REF!,14,FALSE)&gt;2,HLOOKUP($A475,#REF!,14,FALSE)&lt;-2),"",#REF!),"")</f>
        <v/>
      </c>
      <c r="Q475" t="str">
        <f>IFERROR(IF(OR(HLOOKUP($A475,#REF!,15,FALSE)&gt;2,HLOOKUP($A475,#REF!,15,FALSE)&lt;-2),"",#REF!),"")</f>
        <v/>
      </c>
      <c r="R475" t="str">
        <f>IFERROR(IF(OR(HLOOKUP($A475,#REF!,16,FALSE)&gt;2,HLOOKUP($A475,#REF!,16,FALSE)&lt;-2),"",#REF!),"")</f>
        <v/>
      </c>
      <c r="S475" t="str">
        <f>IFERROR(IF(OR(HLOOKUP($A475,#REF!,17,FALSE)&gt;2,HLOOKUP($A475,#REF!,17,FALSE)&lt;-2),"",#REF!),"")</f>
        <v/>
      </c>
      <c r="T475" t="str">
        <f>IFERROR(IF(OR(HLOOKUP($A475,#REF!,18,FALSE)&gt;2,HLOOKUP($A475,#REF!,18,FALSE)&lt;-2),"",#REF!),"")</f>
        <v/>
      </c>
      <c r="U475" t="str">
        <f>IFERROR(IF(OR(HLOOKUP($A475,#REF!,19,FALSE)&gt;2,HLOOKUP($A475,#REF!,19,FALSE)&lt;-2),"",#REF!),"")</f>
        <v/>
      </c>
      <c r="V475">
        <f t="shared" si="28"/>
        <v>1</v>
      </c>
      <c r="W475" t="str">
        <f t="shared" si="29"/>
        <v/>
      </c>
      <c r="X475" t="str">
        <f t="shared" si="30"/>
        <v/>
      </c>
      <c r="Y475" t="str">
        <f t="shared" si="31"/>
        <v/>
      </c>
    </row>
    <row r="476" spans="1:25" x14ac:dyDescent="0.35">
      <c r="A476">
        <v>484</v>
      </c>
      <c r="B476" t="s">
        <v>243</v>
      </c>
      <c r="C476">
        <v>22100</v>
      </c>
      <c r="D476">
        <v>731</v>
      </c>
      <c r="E476" t="str">
        <f>IFERROR(IF(OR(HLOOKUP($A476,#REF!,3,FALSE)&gt;2,HLOOKUP(A476,#REF!,3,FALSE)&lt;-2),"",#REF!),"")</f>
        <v/>
      </c>
      <c r="F476" t="str">
        <f>IFERROR(IF(OR(HLOOKUP($A476,#REF!,4,FALSE)&gt;2,HLOOKUP($A476,#REF!,4,FALSE)&lt;-2),"",#REF!),"")</f>
        <v/>
      </c>
      <c r="G476" t="str">
        <f>IFERROR(IF(OR(HLOOKUP($A476,#REF!,5,FALSE)&gt;2,HLOOKUP($A476,#REF!,5,FALSE)&lt;-2),"",#REF!),"")</f>
        <v/>
      </c>
      <c r="H476" t="str">
        <f>IFERROR(IF(OR(HLOOKUP($A476,#REF!,6,FALSE)&gt;2,HLOOKUP($A476,#REF!,6,FALSE)&lt;-2),"",#REF!),"")</f>
        <v/>
      </c>
      <c r="I476" t="str">
        <f>IFERROR(IF(OR(HLOOKUP($A476,#REF!,7,FALSE)&gt;2,HLOOKUP($A476,#REF!,7,FALSE)&lt;-2),"",#REF!),"")</f>
        <v/>
      </c>
      <c r="J476" t="str">
        <f>IFERROR(IF(OR(HLOOKUP($A476,#REF!,8,FALSE)&gt;2,HLOOKUP($A476,#REF!,8,FALSE)&lt;-2),"",#REF!),"")</f>
        <v/>
      </c>
      <c r="K476" t="str">
        <f>IFERROR(IF(OR(HLOOKUP($A476,#REF!,9,FALSE)&gt;2,HLOOKUP($A476,#REF!,9,FALSE)&lt;-2),"",#REF!),"")</f>
        <v/>
      </c>
      <c r="L476" t="str">
        <f>IFERROR(IF(OR(HLOOKUP($A476,#REF!,10,FALSE)&gt;2,HLOOKUP($A476,#REF!,10,FALSE)&lt;-2),"",#REF!),"")</f>
        <v/>
      </c>
      <c r="M476" t="str">
        <f>IFERROR(IF(OR(HLOOKUP($A476,#REF!,11,FALSE)&gt;2,HLOOKUP($A476,#REF!,11,FALSE)&lt;-2),"",#REF!),"")</f>
        <v/>
      </c>
      <c r="N476" t="str">
        <f>IFERROR(IF(OR(HLOOKUP($A476,#REF!,12,FALSE)&gt;2,HLOOKUP($A476,#REF!,12,FALSE)&lt;-2),"",#REF!),"")</f>
        <v/>
      </c>
      <c r="O476" t="str">
        <f>IFERROR(IF(OR(HLOOKUP($A476,#REF!,13,FALSE)&gt;2,HLOOKUP($A476,#REF!,13,FALSE)&lt;-2),"",#REF!),"")</f>
        <v/>
      </c>
      <c r="P476" t="str">
        <f>IFERROR(IF(OR(HLOOKUP($A476,#REF!,14,FALSE)&gt;2,HLOOKUP($A476,#REF!,14,FALSE)&lt;-2),"",#REF!),"")</f>
        <v/>
      </c>
      <c r="Q476" t="str">
        <f>IFERROR(IF(OR(HLOOKUP($A476,#REF!,15,FALSE)&gt;2,HLOOKUP($A476,#REF!,15,FALSE)&lt;-2),"",#REF!),"")</f>
        <v/>
      </c>
      <c r="R476" t="str">
        <f>IFERROR(IF(OR(HLOOKUP($A476,#REF!,16,FALSE)&gt;2,HLOOKUP($A476,#REF!,16,FALSE)&lt;-2),"",#REF!),"")</f>
        <v/>
      </c>
      <c r="S476" t="str">
        <f>IFERROR(IF(OR(HLOOKUP($A476,#REF!,17,FALSE)&gt;2,HLOOKUP($A476,#REF!,17,FALSE)&lt;-2),"",#REF!),"")</f>
        <v/>
      </c>
      <c r="T476" t="str">
        <f>IFERROR(IF(OR(HLOOKUP($A476,#REF!,18,FALSE)&gt;2,HLOOKUP($A476,#REF!,18,FALSE)&lt;-2),"",#REF!),"")</f>
        <v/>
      </c>
      <c r="U476" t="str">
        <f>IFERROR(IF(OR(HLOOKUP($A476,#REF!,19,FALSE)&gt;2,HLOOKUP($A476,#REF!,19,FALSE)&lt;-2),"",#REF!),"")</f>
        <v/>
      </c>
      <c r="V476">
        <f t="shared" si="28"/>
        <v>1</v>
      </c>
      <c r="W476" t="str">
        <f t="shared" si="29"/>
        <v/>
      </c>
      <c r="X476" t="str">
        <f t="shared" si="30"/>
        <v/>
      </c>
      <c r="Y476" t="str">
        <f t="shared" si="31"/>
        <v/>
      </c>
    </row>
    <row r="477" spans="1:25" x14ac:dyDescent="0.35">
      <c r="A477">
        <v>485</v>
      </c>
      <c r="B477" t="s">
        <v>836</v>
      </c>
      <c r="C477">
        <v>48100</v>
      </c>
      <c r="D477">
        <v>477</v>
      </c>
      <c r="E477" t="str">
        <f>IFERROR(IF(OR(HLOOKUP($A477,#REF!,3,FALSE)&gt;2,HLOOKUP(A477,#REF!,3,FALSE)&lt;-2),"",#REF!),"")</f>
        <v/>
      </c>
      <c r="F477" t="str">
        <f>IFERROR(IF(OR(HLOOKUP($A477,#REF!,4,FALSE)&gt;2,HLOOKUP($A477,#REF!,4,FALSE)&lt;-2),"",#REF!),"")</f>
        <v/>
      </c>
      <c r="G477" t="str">
        <f>IFERROR(IF(OR(HLOOKUP($A477,#REF!,5,FALSE)&gt;2,HLOOKUP($A477,#REF!,5,FALSE)&lt;-2),"",#REF!),"")</f>
        <v/>
      </c>
      <c r="H477" t="str">
        <f>IFERROR(IF(OR(HLOOKUP($A477,#REF!,6,FALSE)&gt;2,HLOOKUP($A477,#REF!,6,FALSE)&lt;-2),"",#REF!),"")</f>
        <v/>
      </c>
      <c r="I477" t="str">
        <f>IFERROR(IF(OR(HLOOKUP($A477,#REF!,7,FALSE)&gt;2,HLOOKUP($A477,#REF!,7,FALSE)&lt;-2),"",#REF!),"")</f>
        <v/>
      </c>
      <c r="J477" t="str">
        <f>IFERROR(IF(OR(HLOOKUP($A477,#REF!,8,FALSE)&gt;2,HLOOKUP($A477,#REF!,8,FALSE)&lt;-2),"",#REF!),"")</f>
        <v/>
      </c>
      <c r="K477" t="str">
        <f>IFERROR(IF(OR(HLOOKUP($A477,#REF!,9,FALSE)&gt;2,HLOOKUP($A477,#REF!,9,FALSE)&lt;-2),"",#REF!),"")</f>
        <v/>
      </c>
      <c r="L477" t="str">
        <f>IFERROR(IF(OR(HLOOKUP($A477,#REF!,10,FALSE)&gt;2,HLOOKUP($A477,#REF!,10,FALSE)&lt;-2),"",#REF!),"")</f>
        <v/>
      </c>
      <c r="M477" t="str">
        <f>IFERROR(IF(OR(HLOOKUP($A477,#REF!,11,FALSE)&gt;2,HLOOKUP($A477,#REF!,11,FALSE)&lt;-2),"",#REF!),"")</f>
        <v/>
      </c>
      <c r="N477" t="str">
        <f>IFERROR(IF(OR(HLOOKUP($A477,#REF!,12,FALSE)&gt;2,HLOOKUP($A477,#REF!,12,FALSE)&lt;-2),"",#REF!),"")</f>
        <v/>
      </c>
      <c r="O477" t="str">
        <f>IFERROR(IF(OR(HLOOKUP($A477,#REF!,13,FALSE)&gt;2,HLOOKUP($A477,#REF!,13,FALSE)&lt;-2),"",#REF!),"")</f>
        <v/>
      </c>
      <c r="P477" t="str">
        <f>IFERROR(IF(OR(HLOOKUP($A477,#REF!,14,FALSE)&gt;2,HLOOKUP($A477,#REF!,14,FALSE)&lt;-2),"",#REF!),"")</f>
        <v/>
      </c>
      <c r="Q477" t="str">
        <f>IFERROR(IF(OR(HLOOKUP($A477,#REF!,15,FALSE)&gt;2,HLOOKUP($A477,#REF!,15,FALSE)&lt;-2),"",#REF!),"")</f>
        <v/>
      </c>
      <c r="R477" t="str">
        <f>IFERROR(IF(OR(HLOOKUP($A477,#REF!,16,FALSE)&gt;2,HLOOKUP($A477,#REF!,16,FALSE)&lt;-2),"",#REF!),"")</f>
        <v/>
      </c>
      <c r="S477" t="str">
        <f>IFERROR(IF(OR(HLOOKUP($A477,#REF!,17,FALSE)&gt;2,HLOOKUP($A477,#REF!,17,FALSE)&lt;-2),"",#REF!),"")</f>
        <v/>
      </c>
      <c r="T477" t="str">
        <f>IFERROR(IF(OR(HLOOKUP($A477,#REF!,18,FALSE)&gt;2,HLOOKUP($A477,#REF!,18,FALSE)&lt;-2),"",#REF!),"")</f>
        <v/>
      </c>
      <c r="U477" t="str">
        <f>IFERROR(IF(OR(HLOOKUP($A477,#REF!,19,FALSE)&gt;2,HLOOKUP($A477,#REF!,19,FALSE)&lt;-2),"",#REF!),"")</f>
        <v/>
      </c>
      <c r="V477">
        <f t="shared" si="28"/>
        <v>1</v>
      </c>
      <c r="W477" t="str">
        <f t="shared" si="29"/>
        <v/>
      </c>
      <c r="X477" t="str">
        <f t="shared" si="30"/>
        <v/>
      </c>
      <c r="Y477" t="str">
        <f t="shared" si="31"/>
        <v/>
      </c>
    </row>
    <row r="478" spans="1:25" x14ac:dyDescent="0.35">
      <c r="A478">
        <v>486</v>
      </c>
      <c r="B478" t="s">
        <v>837</v>
      </c>
      <c r="C478">
        <v>39000</v>
      </c>
      <c r="D478">
        <v>463</v>
      </c>
      <c r="E478" t="str">
        <f>IFERROR(IF(OR(HLOOKUP($A478,#REF!,3,FALSE)&gt;2,HLOOKUP(A478,#REF!,3,FALSE)&lt;-2),"",#REF!),"")</f>
        <v/>
      </c>
      <c r="F478" t="str">
        <f>IFERROR(IF(OR(HLOOKUP($A478,#REF!,4,FALSE)&gt;2,HLOOKUP($A478,#REF!,4,FALSE)&lt;-2),"",#REF!),"")</f>
        <v/>
      </c>
      <c r="G478" t="str">
        <f>IFERROR(IF(OR(HLOOKUP($A478,#REF!,5,FALSE)&gt;2,HLOOKUP($A478,#REF!,5,FALSE)&lt;-2),"",#REF!),"")</f>
        <v/>
      </c>
      <c r="H478" t="str">
        <f>IFERROR(IF(OR(HLOOKUP($A478,#REF!,6,FALSE)&gt;2,HLOOKUP($A478,#REF!,6,FALSE)&lt;-2),"",#REF!),"")</f>
        <v/>
      </c>
      <c r="I478" t="str">
        <f>IFERROR(IF(OR(HLOOKUP($A478,#REF!,7,FALSE)&gt;2,HLOOKUP($A478,#REF!,7,FALSE)&lt;-2),"",#REF!),"")</f>
        <v/>
      </c>
      <c r="J478" t="str">
        <f>IFERROR(IF(OR(HLOOKUP($A478,#REF!,8,FALSE)&gt;2,HLOOKUP($A478,#REF!,8,FALSE)&lt;-2),"",#REF!),"")</f>
        <v/>
      </c>
      <c r="K478" t="str">
        <f>IFERROR(IF(OR(HLOOKUP($A478,#REF!,9,FALSE)&gt;2,HLOOKUP($A478,#REF!,9,FALSE)&lt;-2),"",#REF!),"")</f>
        <v/>
      </c>
      <c r="L478" t="str">
        <f>IFERROR(IF(OR(HLOOKUP($A478,#REF!,10,FALSE)&gt;2,HLOOKUP($A478,#REF!,10,FALSE)&lt;-2),"",#REF!),"")</f>
        <v/>
      </c>
      <c r="M478" t="str">
        <f>IFERROR(IF(OR(HLOOKUP($A478,#REF!,11,FALSE)&gt;2,HLOOKUP($A478,#REF!,11,FALSE)&lt;-2),"",#REF!),"")</f>
        <v/>
      </c>
      <c r="N478" t="str">
        <f>IFERROR(IF(OR(HLOOKUP($A478,#REF!,12,FALSE)&gt;2,HLOOKUP($A478,#REF!,12,FALSE)&lt;-2),"",#REF!),"")</f>
        <v/>
      </c>
      <c r="O478" t="str">
        <f>IFERROR(IF(OR(HLOOKUP($A478,#REF!,13,FALSE)&gt;2,HLOOKUP($A478,#REF!,13,FALSE)&lt;-2),"",#REF!),"")</f>
        <v/>
      </c>
      <c r="P478" t="str">
        <f>IFERROR(IF(OR(HLOOKUP($A478,#REF!,14,FALSE)&gt;2,HLOOKUP($A478,#REF!,14,FALSE)&lt;-2),"",#REF!),"")</f>
        <v/>
      </c>
      <c r="Q478" t="str">
        <f>IFERROR(IF(OR(HLOOKUP($A478,#REF!,15,FALSE)&gt;2,HLOOKUP($A478,#REF!,15,FALSE)&lt;-2),"",#REF!),"")</f>
        <v/>
      </c>
      <c r="R478" t="str">
        <f>IFERROR(IF(OR(HLOOKUP($A478,#REF!,16,FALSE)&gt;2,HLOOKUP($A478,#REF!,16,FALSE)&lt;-2),"",#REF!),"")</f>
        <v/>
      </c>
      <c r="S478" t="str">
        <f>IFERROR(IF(OR(HLOOKUP($A478,#REF!,17,FALSE)&gt;2,HLOOKUP($A478,#REF!,17,FALSE)&lt;-2),"",#REF!),"")</f>
        <v/>
      </c>
      <c r="T478" t="str">
        <f>IFERROR(IF(OR(HLOOKUP($A478,#REF!,18,FALSE)&gt;2,HLOOKUP($A478,#REF!,18,FALSE)&lt;-2),"",#REF!),"")</f>
        <v/>
      </c>
      <c r="U478" t="str">
        <f>IFERROR(IF(OR(HLOOKUP($A478,#REF!,19,FALSE)&gt;2,HLOOKUP($A478,#REF!,19,FALSE)&lt;-2),"",#REF!),"")</f>
        <v/>
      </c>
      <c r="V478">
        <f t="shared" si="28"/>
        <v>1</v>
      </c>
      <c r="W478" t="str">
        <f t="shared" si="29"/>
        <v/>
      </c>
      <c r="X478" t="str">
        <f t="shared" si="30"/>
        <v/>
      </c>
      <c r="Y478" t="str">
        <f t="shared" si="31"/>
        <v/>
      </c>
    </row>
    <row r="479" spans="1:25" x14ac:dyDescent="0.35">
      <c r="A479">
        <v>487</v>
      </c>
      <c r="B479" t="s">
        <v>838</v>
      </c>
      <c r="C479">
        <v>51400</v>
      </c>
      <c r="D479">
        <v>426</v>
      </c>
      <c r="E479" t="str">
        <f>IFERROR(IF(OR(HLOOKUP($A479,#REF!,3,FALSE)&gt;2,HLOOKUP(A479,#REF!,3,FALSE)&lt;-2),"",#REF!),"")</f>
        <v/>
      </c>
      <c r="F479" t="str">
        <f>IFERROR(IF(OR(HLOOKUP($A479,#REF!,4,FALSE)&gt;2,HLOOKUP($A479,#REF!,4,FALSE)&lt;-2),"",#REF!),"")</f>
        <v/>
      </c>
      <c r="G479" t="str">
        <f>IFERROR(IF(OR(HLOOKUP($A479,#REF!,5,FALSE)&gt;2,HLOOKUP($A479,#REF!,5,FALSE)&lt;-2),"",#REF!),"")</f>
        <v/>
      </c>
      <c r="H479" t="str">
        <f>IFERROR(IF(OR(HLOOKUP($A479,#REF!,6,FALSE)&gt;2,HLOOKUP($A479,#REF!,6,FALSE)&lt;-2),"",#REF!),"")</f>
        <v/>
      </c>
      <c r="I479" t="str">
        <f>IFERROR(IF(OR(HLOOKUP($A479,#REF!,7,FALSE)&gt;2,HLOOKUP($A479,#REF!,7,FALSE)&lt;-2),"",#REF!),"")</f>
        <v/>
      </c>
      <c r="J479" t="str">
        <f>IFERROR(IF(OR(HLOOKUP($A479,#REF!,8,FALSE)&gt;2,HLOOKUP($A479,#REF!,8,FALSE)&lt;-2),"",#REF!),"")</f>
        <v/>
      </c>
      <c r="K479" t="str">
        <f>IFERROR(IF(OR(HLOOKUP($A479,#REF!,9,FALSE)&gt;2,HLOOKUP($A479,#REF!,9,FALSE)&lt;-2),"",#REF!),"")</f>
        <v/>
      </c>
      <c r="L479" t="str">
        <f>IFERROR(IF(OR(HLOOKUP($A479,#REF!,10,FALSE)&gt;2,HLOOKUP($A479,#REF!,10,FALSE)&lt;-2),"",#REF!),"")</f>
        <v/>
      </c>
      <c r="M479" t="str">
        <f>IFERROR(IF(OR(HLOOKUP($A479,#REF!,11,FALSE)&gt;2,HLOOKUP($A479,#REF!,11,FALSE)&lt;-2),"",#REF!),"")</f>
        <v/>
      </c>
      <c r="N479" t="str">
        <f>IFERROR(IF(OR(HLOOKUP($A479,#REF!,12,FALSE)&gt;2,HLOOKUP($A479,#REF!,12,FALSE)&lt;-2),"",#REF!),"")</f>
        <v/>
      </c>
      <c r="O479" t="str">
        <f>IFERROR(IF(OR(HLOOKUP($A479,#REF!,13,FALSE)&gt;2,HLOOKUP($A479,#REF!,13,FALSE)&lt;-2),"",#REF!),"")</f>
        <v/>
      </c>
      <c r="P479" t="str">
        <f>IFERROR(IF(OR(HLOOKUP($A479,#REF!,14,FALSE)&gt;2,HLOOKUP($A479,#REF!,14,FALSE)&lt;-2),"",#REF!),"")</f>
        <v/>
      </c>
      <c r="Q479" t="str">
        <f>IFERROR(IF(OR(HLOOKUP($A479,#REF!,15,FALSE)&gt;2,HLOOKUP($A479,#REF!,15,FALSE)&lt;-2),"",#REF!),"")</f>
        <v/>
      </c>
      <c r="R479" t="str">
        <f>IFERROR(IF(OR(HLOOKUP($A479,#REF!,16,FALSE)&gt;2,HLOOKUP($A479,#REF!,16,FALSE)&lt;-2),"",#REF!),"")</f>
        <v/>
      </c>
      <c r="S479" t="str">
        <f>IFERROR(IF(OR(HLOOKUP($A479,#REF!,17,FALSE)&gt;2,HLOOKUP($A479,#REF!,17,FALSE)&lt;-2),"",#REF!),"")</f>
        <v/>
      </c>
      <c r="T479" t="str">
        <f>IFERROR(IF(OR(HLOOKUP($A479,#REF!,18,FALSE)&gt;2,HLOOKUP($A479,#REF!,18,FALSE)&lt;-2),"",#REF!),"")</f>
        <v/>
      </c>
      <c r="U479" t="str">
        <f>IFERROR(IF(OR(HLOOKUP($A479,#REF!,19,FALSE)&gt;2,HLOOKUP($A479,#REF!,19,FALSE)&lt;-2),"",#REF!),"")</f>
        <v/>
      </c>
      <c r="V479">
        <f t="shared" si="28"/>
        <v>1</v>
      </c>
      <c r="W479" t="str">
        <f t="shared" si="29"/>
        <v/>
      </c>
      <c r="X479" t="str">
        <f t="shared" si="30"/>
        <v/>
      </c>
      <c r="Y479" t="str">
        <f t="shared" si="31"/>
        <v/>
      </c>
    </row>
    <row r="480" spans="1:25" x14ac:dyDescent="0.35">
      <c r="A480">
        <v>488</v>
      </c>
      <c r="B480" t="s">
        <v>244</v>
      </c>
      <c r="C480">
        <v>21900</v>
      </c>
      <c r="D480">
        <v>723</v>
      </c>
      <c r="E480" t="str">
        <f>IFERROR(IF(OR(HLOOKUP($A480,#REF!,3,FALSE)&gt;2,HLOOKUP(A480,#REF!,3,FALSE)&lt;-2),"",#REF!),"")</f>
        <v/>
      </c>
      <c r="F480" t="str">
        <f>IFERROR(IF(OR(HLOOKUP($A480,#REF!,4,FALSE)&gt;2,HLOOKUP($A480,#REF!,4,FALSE)&lt;-2),"",#REF!),"")</f>
        <v/>
      </c>
      <c r="G480" t="str">
        <f>IFERROR(IF(OR(HLOOKUP($A480,#REF!,5,FALSE)&gt;2,HLOOKUP($A480,#REF!,5,FALSE)&lt;-2),"",#REF!),"")</f>
        <v/>
      </c>
      <c r="H480" t="str">
        <f>IFERROR(IF(OR(HLOOKUP($A480,#REF!,6,FALSE)&gt;2,HLOOKUP($A480,#REF!,6,FALSE)&lt;-2),"",#REF!),"")</f>
        <v/>
      </c>
      <c r="I480" t="str">
        <f>IFERROR(IF(OR(HLOOKUP($A480,#REF!,7,FALSE)&gt;2,HLOOKUP($A480,#REF!,7,FALSE)&lt;-2),"",#REF!),"")</f>
        <v/>
      </c>
      <c r="J480" t="str">
        <f>IFERROR(IF(OR(HLOOKUP($A480,#REF!,8,FALSE)&gt;2,HLOOKUP($A480,#REF!,8,FALSE)&lt;-2),"",#REF!),"")</f>
        <v/>
      </c>
      <c r="K480" t="str">
        <f>IFERROR(IF(OR(HLOOKUP($A480,#REF!,9,FALSE)&gt;2,HLOOKUP($A480,#REF!,9,FALSE)&lt;-2),"",#REF!),"")</f>
        <v/>
      </c>
      <c r="L480" t="str">
        <f>IFERROR(IF(OR(HLOOKUP($A480,#REF!,10,FALSE)&gt;2,HLOOKUP($A480,#REF!,10,FALSE)&lt;-2),"",#REF!),"")</f>
        <v/>
      </c>
      <c r="M480" t="str">
        <f>IFERROR(IF(OR(HLOOKUP($A480,#REF!,11,FALSE)&gt;2,HLOOKUP($A480,#REF!,11,FALSE)&lt;-2),"",#REF!),"")</f>
        <v/>
      </c>
      <c r="N480" t="str">
        <f>IFERROR(IF(OR(HLOOKUP($A480,#REF!,12,FALSE)&gt;2,HLOOKUP($A480,#REF!,12,FALSE)&lt;-2),"",#REF!),"")</f>
        <v/>
      </c>
      <c r="O480" t="str">
        <f>IFERROR(IF(OR(HLOOKUP($A480,#REF!,13,FALSE)&gt;2,HLOOKUP($A480,#REF!,13,FALSE)&lt;-2),"",#REF!),"")</f>
        <v/>
      </c>
      <c r="P480" t="str">
        <f>IFERROR(IF(OR(HLOOKUP($A480,#REF!,14,FALSE)&gt;2,HLOOKUP($A480,#REF!,14,FALSE)&lt;-2),"",#REF!),"")</f>
        <v/>
      </c>
      <c r="Q480" t="str">
        <f>IFERROR(IF(OR(HLOOKUP($A480,#REF!,15,FALSE)&gt;2,HLOOKUP($A480,#REF!,15,FALSE)&lt;-2),"",#REF!),"")</f>
        <v/>
      </c>
      <c r="R480" t="str">
        <f>IFERROR(IF(OR(HLOOKUP($A480,#REF!,16,FALSE)&gt;2,HLOOKUP($A480,#REF!,16,FALSE)&lt;-2),"",#REF!),"")</f>
        <v/>
      </c>
      <c r="S480" t="str">
        <f>IFERROR(IF(OR(HLOOKUP($A480,#REF!,17,FALSE)&gt;2,HLOOKUP($A480,#REF!,17,FALSE)&lt;-2),"",#REF!),"")</f>
        <v/>
      </c>
      <c r="T480" t="str">
        <f>IFERROR(IF(OR(HLOOKUP($A480,#REF!,18,FALSE)&gt;2,HLOOKUP($A480,#REF!,18,FALSE)&lt;-2),"",#REF!),"")</f>
        <v/>
      </c>
      <c r="U480" t="str">
        <f>IFERROR(IF(OR(HLOOKUP($A480,#REF!,19,FALSE)&gt;2,HLOOKUP($A480,#REF!,19,FALSE)&lt;-2),"",#REF!),"")</f>
        <v/>
      </c>
      <c r="V480">
        <f t="shared" si="28"/>
        <v>1</v>
      </c>
      <c r="W480" t="str">
        <f t="shared" si="29"/>
        <v/>
      </c>
      <c r="X480" t="str">
        <f t="shared" si="30"/>
        <v/>
      </c>
      <c r="Y480" t="str">
        <f t="shared" si="31"/>
        <v/>
      </c>
    </row>
    <row r="481" spans="1:25" x14ac:dyDescent="0.35">
      <c r="A481">
        <v>489</v>
      </c>
      <c r="B481" t="s">
        <v>839</v>
      </c>
      <c r="C481">
        <v>48800</v>
      </c>
      <c r="D481">
        <v>754</v>
      </c>
      <c r="E481" t="str">
        <f>IFERROR(IF(OR(HLOOKUP($A481,#REF!,3,FALSE)&gt;2,HLOOKUP(A481,#REF!,3,FALSE)&lt;-2),"",#REF!),"")</f>
        <v/>
      </c>
      <c r="F481" t="str">
        <f>IFERROR(IF(OR(HLOOKUP($A481,#REF!,4,FALSE)&gt;2,HLOOKUP($A481,#REF!,4,FALSE)&lt;-2),"",#REF!),"")</f>
        <v/>
      </c>
      <c r="G481" t="str">
        <f>IFERROR(IF(OR(HLOOKUP($A481,#REF!,5,FALSE)&gt;2,HLOOKUP($A481,#REF!,5,FALSE)&lt;-2),"",#REF!),"")</f>
        <v/>
      </c>
      <c r="H481" t="str">
        <f>IFERROR(IF(OR(HLOOKUP($A481,#REF!,6,FALSE)&gt;2,HLOOKUP($A481,#REF!,6,FALSE)&lt;-2),"",#REF!),"")</f>
        <v/>
      </c>
      <c r="I481" t="str">
        <f>IFERROR(IF(OR(HLOOKUP($A481,#REF!,7,FALSE)&gt;2,HLOOKUP($A481,#REF!,7,FALSE)&lt;-2),"",#REF!),"")</f>
        <v/>
      </c>
      <c r="J481" t="str">
        <f>IFERROR(IF(OR(HLOOKUP($A481,#REF!,8,FALSE)&gt;2,HLOOKUP($A481,#REF!,8,FALSE)&lt;-2),"",#REF!),"")</f>
        <v/>
      </c>
      <c r="K481" t="str">
        <f>IFERROR(IF(OR(HLOOKUP($A481,#REF!,9,FALSE)&gt;2,HLOOKUP($A481,#REF!,9,FALSE)&lt;-2),"",#REF!),"")</f>
        <v/>
      </c>
      <c r="L481" t="str">
        <f>IFERROR(IF(OR(HLOOKUP($A481,#REF!,10,FALSE)&gt;2,HLOOKUP($A481,#REF!,10,FALSE)&lt;-2),"",#REF!),"")</f>
        <v/>
      </c>
      <c r="M481" t="str">
        <f>IFERROR(IF(OR(HLOOKUP($A481,#REF!,11,FALSE)&gt;2,HLOOKUP($A481,#REF!,11,FALSE)&lt;-2),"",#REF!),"")</f>
        <v/>
      </c>
      <c r="N481" t="str">
        <f>IFERROR(IF(OR(HLOOKUP($A481,#REF!,12,FALSE)&gt;2,HLOOKUP($A481,#REF!,12,FALSE)&lt;-2),"",#REF!),"")</f>
        <v/>
      </c>
      <c r="O481" t="str">
        <f>IFERROR(IF(OR(HLOOKUP($A481,#REF!,13,FALSE)&gt;2,HLOOKUP($A481,#REF!,13,FALSE)&lt;-2),"",#REF!),"")</f>
        <v/>
      </c>
      <c r="P481" t="str">
        <f>IFERROR(IF(OR(HLOOKUP($A481,#REF!,14,FALSE)&gt;2,HLOOKUP($A481,#REF!,14,FALSE)&lt;-2),"",#REF!),"")</f>
        <v/>
      </c>
      <c r="Q481" t="str">
        <f>IFERROR(IF(OR(HLOOKUP($A481,#REF!,15,FALSE)&gt;2,HLOOKUP($A481,#REF!,15,FALSE)&lt;-2),"",#REF!),"")</f>
        <v/>
      </c>
      <c r="R481" t="str">
        <f>IFERROR(IF(OR(HLOOKUP($A481,#REF!,16,FALSE)&gt;2,HLOOKUP($A481,#REF!,16,FALSE)&lt;-2),"",#REF!),"")</f>
        <v/>
      </c>
      <c r="S481" t="str">
        <f>IFERROR(IF(OR(HLOOKUP($A481,#REF!,17,FALSE)&gt;2,HLOOKUP($A481,#REF!,17,FALSE)&lt;-2),"",#REF!),"")</f>
        <v/>
      </c>
      <c r="T481" t="str">
        <f>IFERROR(IF(OR(HLOOKUP($A481,#REF!,18,FALSE)&gt;2,HLOOKUP($A481,#REF!,18,FALSE)&lt;-2),"",#REF!),"")</f>
        <v/>
      </c>
      <c r="U481" t="str">
        <f>IFERROR(IF(OR(HLOOKUP($A481,#REF!,19,FALSE)&gt;2,HLOOKUP($A481,#REF!,19,FALSE)&lt;-2),"",#REF!),"")</f>
        <v/>
      </c>
      <c r="V481">
        <f t="shared" si="28"/>
        <v>1</v>
      </c>
      <c r="W481" t="str">
        <f t="shared" si="29"/>
        <v/>
      </c>
      <c r="X481" t="str">
        <f t="shared" si="30"/>
        <v/>
      </c>
      <c r="Y481" t="str">
        <f t="shared" si="31"/>
        <v/>
      </c>
    </row>
    <row r="482" spans="1:25" x14ac:dyDescent="0.35">
      <c r="A482">
        <v>490</v>
      </c>
      <c r="B482" t="s">
        <v>840</v>
      </c>
      <c r="C482">
        <v>105500</v>
      </c>
      <c r="D482">
        <v>1123</v>
      </c>
      <c r="E482" t="str">
        <f>IFERROR(IF(OR(HLOOKUP($A482,#REF!,3,FALSE)&gt;2,HLOOKUP(A482,#REF!,3,FALSE)&lt;-2),"",#REF!),"")</f>
        <v/>
      </c>
      <c r="F482" t="str">
        <f>IFERROR(IF(OR(HLOOKUP($A482,#REF!,4,FALSE)&gt;2,HLOOKUP($A482,#REF!,4,FALSE)&lt;-2),"",#REF!),"")</f>
        <v/>
      </c>
      <c r="G482" t="str">
        <f>IFERROR(IF(OR(HLOOKUP($A482,#REF!,5,FALSE)&gt;2,HLOOKUP($A482,#REF!,5,FALSE)&lt;-2),"",#REF!),"")</f>
        <v/>
      </c>
      <c r="H482" t="str">
        <f>IFERROR(IF(OR(HLOOKUP($A482,#REF!,6,FALSE)&gt;2,HLOOKUP($A482,#REF!,6,FALSE)&lt;-2),"",#REF!),"")</f>
        <v/>
      </c>
      <c r="I482" t="str">
        <f>IFERROR(IF(OR(HLOOKUP($A482,#REF!,7,FALSE)&gt;2,HLOOKUP($A482,#REF!,7,FALSE)&lt;-2),"",#REF!),"")</f>
        <v/>
      </c>
      <c r="J482" t="str">
        <f>IFERROR(IF(OR(HLOOKUP($A482,#REF!,8,FALSE)&gt;2,HLOOKUP($A482,#REF!,8,FALSE)&lt;-2),"",#REF!),"")</f>
        <v/>
      </c>
      <c r="K482" t="str">
        <f>IFERROR(IF(OR(HLOOKUP($A482,#REF!,9,FALSE)&gt;2,HLOOKUP($A482,#REF!,9,FALSE)&lt;-2),"",#REF!),"")</f>
        <v/>
      </c>
      <c r="L482" t="str">
        <f>IFERROR(IF(OR(HLOOKUP($A482,#REF!,10,FALSE)&gt;2,HLOOKUP($A482,#REF!,10,FALSE)&lt;-2),"",#REF!),"")</f>
        <v/>
      </c>
      <c r="M482" t="str">
        <f>IFERROR(IF(OR(HLOOKUP($A482,#REF!,11,FALSE)&gt;2,HLOOKUP($A482,#REF!,11,FALSE)&lt;-2),"",#REF!),"")</f>
        <v/>
      </c>
      <c r="N482" t="str">
        <f>IFERROR(IF(OR(HLOOKUP($A482,#REF!,12,FALSE)&gt;2,HLOOKUP($A482,#REF!,12,FALSE)&lt;-2),"",#REF!),"")</f>
        <v/>
      </c>
      <c r="O482" t="str">
        <f>IFERROR(IF(OR(HLOOKUP($A482,#REF!,13,FALSE)&gt;2,HLOOKUP($A482,#REF!,13,FALSE)&lt;-2),"",#REF!),"")</f>
        <v/>
      </c>
      <c r="P482" t="str">
        <f>IFERROR(IF(OR(HLOOKUP($A482,#REF!,14,FALSE)&gt;2,HLOOKUP($A482,#REF!,14,FALSE)&lt;-2),"",#REF!),"")</f>
        <v/>
      </c>
      <c r="Q482" t="str">
        <f>IFERROR(IF(OR(HLOOKUP($A482,#REF!,15,FALSE)&gt;2,HLOOKUP($A482,#REF!,15,FALSE)&lt;-2),"",#REF!),"")</f>
        <v/>
      </c>
      <c r="R482" t="str">
        <f>IFERROR(IF(OR(HLOOKUP($A482,#REF!,16,FALSE)&gt;2,HLOOKUP($A482,#REF!,16,FALSE)&lt;-2),"",#REF!),"")</f>
        <v/>
      </c>
      <c r="S482" t="str">
        <f>IFERROR(IF(OR(HLOOKUP($A482,#REF!,17,FALSE)&gt;2,HLOOKUP($A482,#REF!,17,FALSE)&lt;-2),"",#REF!),"")</f>
        <v/>
      </c>
      <c r="T482" t="str">
        <f>IFERROR(IF(OR(HLOOKUP($A482,#REF!,18,FALSE)&gt;2,HLOOKUP($A482,#REF!,18,FALSE)&lt;-2),"",#REF!),"")</f>
        <v/>
      </c>
      <c r="U482" t="str">
        <f>IFERROR(IF(OR(HLOOKUP($A482,#REF!,19,FALSE)&gt;2,HLOOKUP($A482,#REF!,19,FALSE)&lt;-2),"",#REF!),"")</f>
        <v/>
      </c>
      <c r="V482">
        <f t="shared" si="28"/>
        <v>1</v>
      </c>
      <c r="W482" t="str">
        <f t="shared" si="29"/>
        <v/>
      </c>
      <c r="X482" t="str">
        <f t="shared" si="30"/>
        <v/>
      </c>
      <c r="Y482" t="str">
        <f t="shared" si="31"/>
        <v/>
      </c>
    </row>
    <row r="483" spans="1:25" x14ac:dyDescent="0.35">
      <c r="A483">
        <v>491</v>
      </c>
      <c r="B483" t="s">
        <v>245</v>
      </c>
      <c r="C483">
        <v>74800</v>
      </c>
      <c r="D483">
        <v>331</v>
      </c>
      <c r="E483" t="str">
        <f>IFERROR(IF(OR(HLOOKUP($A483,#REF!,3,FALSE)&gt;2,HLOOKUP(A483,#REF!,3,FALSE)&lt;-2),"",#REF!),"")</f>
        <v/>
      </c>
      <c r="F483" t="str">
        <f>IFERROR(IF(OR(HLOOKUP($A483,#REF!,4,FALSE)&gt;2,HLOOKUP($A483,#REF!,4,FALSE)&lt;-2),"",#REF!),"")</f>
        <v/>
      </c>
      <c r="G483" t="str">
        <f>IFERROR(IF(OR(HLOOKUP($A483,#REF!,5,FALSE)&gt;2,HLOOKUP($A483,#REF!,5,FALSE)&lt;-2),"",#REF!),"")</f>
        <v/>
      </c>
      <c r="H483" t="str">
        <f>IFERROR(IF(OR(HLOOKUP($A483,#REF!,6,FALSE)&gt;2,HLOOKUP($A483,#REF!,6,FALSE)&lt;-2),"",#REF!),"")</f>
        <v/>
      </c>
      <c r="I483" t="str">
        <f>IFERROR(IF(OR(HLOOKUP($A483,#REF!,7,FALSE)&gt;2,HLOOKUP($A483,#REF!,7,FALSE)&lt;-2),"",#REF!),"")</f>
        <v/>
      </c>
      <c r="J483" t="str">
        <f>IFERROR(IF(OR(HLOOKUP($A483,#REF!,8,FALSE)&gt;2,HLOOKUP($A483,#REF!,8,FALSE)&lt;-2),"",#REF!),"")</f>
        <v/>
      </c>
      <c r="K483" t="str">
        <f>IFERROR(IF(OR(HLOOKUP($A483,#REF!,9,FALSE)&gt;2,HLOOKUP($A483,#REF!,9,FALSE)&lt;-2),"",#REF!),"")</f>
        <v/>
      </c>
      <c r="L483" t="str">
        <f>IFERROR(IF(OR(HLOOKUP($A483,#REF!,10,FALSE)&gt;2,HLOOKUP($A483,#REF!,10,FALSE)&lt;-2),"",#REF!),"")</f>
        <v/>
      </c>
      <c r="M483" t="str">
        <f>IFERROR(IF(OR(HLOOKUP($A483,#REF!,11,FALSE)&gt;2,HLOOKUP($A483,#REF!,11,FALSE)&lt;-2),"",#REF!),"")</f>
        <v/>
      </c>
      <c r="N483" t="str">
        <f>IFERROR(IF(OR(HLOOKUP($A483,#REF!,12,FALSE)&gt;2,HLOOKUP($A483,#REF!,12,FALSE)&lt;-2),"",#REF!),"")</f>
        <v/>
      </c>
      <c r="O483" t="str">
        <f>IFERROR(IF(OR(HLOOKUP($A483,#REF!,13,FALSE)&gt;2,HLOOKUP($A483,#REF!,13,FALSE)&lt;-2),"",#REF!),"")</f>
        <v/>
      </c>
      <c r="P483" t="str">
        <f>IFERROR(IF(OR(HLOOKUP($A483,#REF!,14,FALSE)&gt;2,HLOOKUP($A483,#REF!,14,FALSE)&lt;-2),"",#REF!),"")</f>
        <v/>
      </c>
      <c r="Q483" t="str">
        <f>IFERROR(IF(OR(HLOOKUP($A483,#REF!,15,FALSE)&gt;2,HLOOKUP($A483,#REF!,15,FALSE)&lt;-2),"",#REF!),"")</f>
        <v/>
      </c>
      <c r="R483" t="str">
        <f>IFERROR(IF(OR(HLOOKUP($A483,#REF!,16,FALSE)&gt;2,HLOOKUP($A483,#REF!,16,FALSE)&lt;-2),"",#REF!),"")</f>
        <v/>
      </c>
      <c r="S483" t="str">
        <f>IFERROR(IF(OR(HLOOKUP($A483,#REF!,17,FALSE)&gt;2,HLOOKUP($A483,#REF!,17,FALSE)&lt;-2),"",#REF!),"")</f>
        <v/>
      </c>
      <c r="T483" t="str">
        <f>IFERROR(IF(OR(HLOOKUP($A483,#REF!,18,FALSE)&gt;2,HLOOKUP($A483,#REF!,18,FALSE)&lt;-2),"",#REF!),"")</f>
        <v/>
      </c>
      <c r="U483" t="str">
        <f>IFERROR(IF(OR(HLOOKUP($A483,#REF!,19,FALSE)&gt;2,HLOOKUP($A483,#REF!,19,FALSE)&lt;-2),"",#REF!),"")</f>
        <v/>
      </c>
      <c r="V483">
        <f t="shared" si="28"/>
        <v>1</v>
      </c>
      <c r="W483" t="str">
        <f t="shared" si="29"/>
        <v/>
      </c>
      <c r="X483" t="str">
        <f t="shared" si="30"/>
        <v/>
      </c>
      <c r="Y483" t="str">
        <f t="shared" si="31"/>
        <v/>
      </c>
    </row>
    <row r="484" spans="1:25" x14ac:dyDescent="0.35">
      <c r="A484">
        <v>492</v>
      </c>
      <c r="B484" t="s">
        <v>841</v>
      </c>
      <c r="C484">
        <v>21000</v>
      </c>
      <c r="D484">
        <v>714</v>
      </c>
      <c r="E484" t="str">
        <f>IFERROR(IF(OR(HLOOKUP($A484,#REF!,3,FALSE)&gt;2,HLOOKUP(A484,#REF!,3,FALSE)&lt;-2),"",#REF!),"")</f>
        <v/>
      </c>
      <c r="F484" t="str">
        <f>IFERROR(IF(OR(HLOOKUP($A484,#REF!,4,FALSE)&gt;2,HLOOKUP($A484,#REF!,4,FALSE)&lt;-2),"",#REF!),"")</f>
        <v/>
      </c>
      <c r="G484" t="str">
        <f>IFERROR(IF(OR(HLOOKUP($A484,#REF!,5,FALSE)&gt;2,HLOOKUP($A484,#REF!,5,FALSE)&lt;-2),"",#REF!),"")</f>
        <v/>
      </c>
      <c r="H484" t="str">
        <f>IFERROR(IF(OR(HLOOKUP($A484,#REF!,6,FALSE)&gt;2,HLOOKUP($A484,#REF!,6,FALSE)&lt;-2),"",#REF!),"")</f>
        <v/>
      </c>
      <c r="I484" t="str">
        <f>IFERROR(IF(OR(HLOOKUP($A484,#REF!,7,FALSE)&gt;2,HLOOKUP($A484,#REF!,7,FALSE)&lt;-2),"",#REF!),"")</f>
        <v/>
      </c>
      <c r="J484" t="str">
        <f>IFERROR(IF(OR(HLOOKUP($A484,#REF!,8,FALSE)&gt;2,HLOOKUP($A484,#REF!,8,FALSE)&lt;-2),"",#REF!),"")</f>
        <v/>
      </c>
      <c r="K484" t="str">
        <f>IFERROR(IF(OR(HLOOKUP($A484,#REF!,9,FALSE)&gt;2,HLOOKUP($A484,#REF!,9,FALSE)&lt;-2),"",#REF!),"")</f>
        <v/>
      </c>
      <c r="L484" t="str">
        <f>IFERROR(IF(OR(HLOOKUP($A484,#REF!,10,FALSE)&gt;2,HLOOKUP($A484,#REF!,10,FALSE)&lt;-2),"",#REF!),"")</f>
        <v/>
      </c>
      <c r="M484" t="str">
        <f>IFERROR(IF(OR(HLOOKUP($A484,#REF!,11,FALSE)&gt;2,HLOOKUP($A484,#REF!,11,FALSE)&lt;-2),"",#REF!),"")</f>
        <v/>
      </c>
      <c r="N484" t="str">
        <f>IFERROR(IF(OR(HLOOKUP($A484,#REF!,12,FALSE)&gt;2,HLOOKUP($A484,#REF!,12,FALSE)&lt;-2),"",#REF!),"")</f>
        <v/>
      </c>
      <c r="O484" t="str">
        <f>IFERROR(IF(OR(HLOOKUP($A484,#REF!,13,FALSE)&gt;2,HLOOKUP($A484,#REF!,13,FALSE)&lt;-2),"",#REF!),"")</f>
        <v/>
      </c>
      <c r="P484" t="str">
        <f>IFERROR(IF(OR(HLOOKUP($A484,#REF!,14,FALSE)&gt;2,HLOOKUP($A484,#REF!,14,FALSE)&lt;-2),"",#REF!),"")</f>
        <v/>
      </c>
      <c r="Q484" t="str">
        <f>IFERROR(IF(OR(HLOOKUP($A484,#REF!,15,FALSE)&gt;2,HLOOKUP($A484,#REF!,15,FALSE)&lt;-2),"",#REF!),"")</f>
        <v/>
      </c>
      <c r="R484" t="str">
        <f>IFERROR(IF(OR(HLOOKUP($A484,#REF!,16,FALSE)&gt;2,HLOOKUP($A484,#REF!,16,FALSE)&lt;-2),"",#REF!),"")</f>
        <v/>
      </c>
      <c r="S484" t="str">
        <f>IFERROR(IF(OR(HLOOKUP($A484,#REF!,17,FALSE)&gt;2,HLOOKUP($A484,#REF!,17,FALSE)&lt;-2),"",#REF!),"")</f>
        <v/>
      </c>
      <c r="T484" t="str">
        <f>IFERROR(IF(OR(HLOOKUP($A484,#REF!,18,FALSE)&gt;2,HLOOKUP($A484,#REF!,18,FALSE)&lt;-2),"",#REF!),"")</f>
        <v/>
      </c>
      <c r="U484" t="str">
        <f>IFERROR(IF(OR(HLOOKUP($A484,#REF!,19,FALSE)&gt;2,HLOOKUP($A484,#REF!,19,FALSE)&lt;-2),"",#REF!),"")</f>
        <v/>
      </c>
      <c r="V484">
        <f t="shared" si="28"/>
        <v>1</v>
      </c>
      <c r="W484" t="str">
        <f t="shared" si="29"/>
        <v/>
      </c>
      <c r="X484" t="str">
        <f t="shared" si="30"/>
        <v/>
      </c>
      <c r="Y484" t="str">
        <f t="shared" si="31"/>
        <v/>
      </c>
    </row>
    <row r="485" spans="1:25" x14ac:dyDescent="0.35">
      <c r="A485">
        <v>493</v>
      </c>
      <c r="B485" t="s">
        <v>842</v>
      </c>
      <c r="C485">
        <v>48300</v>
      </c>
      <c r="D485">
        <v>477</v>
      </c>
      <c r="E485" t="str">
        <f>IFERROR(IF(OR(HLOOKUP($A485,#REF!,3,FALSE)&gt;2,HLOOKUP(A485,#REF!,3,FALSE)&lt;-2),"",#REF!),"")</f>
        <v/>
      </c>
      <c r="F485" t="str">
        <f>IFERROR(IF(OR(HLOOKUP($A485,#REF!,4,FALSE)&gt;2,HLOOKUP($A485,#REF!,4,FALSE)&lt;-2),"",#REF!),"")</f>
        <v/>
      </c>
      <c r="G485" t="str">
        <f>IFERROR(IF(OR(HLOOKUP($A485,#REF!,5,FALSE)&gt;2,HLOOKUP($A485,#REF!,5,FALSE)&lt;-2),"",#REF!),"")</f>
        <v/>
      </c>
      <c r="H485" t="str">
        <f>IFERROR(IF(OR(HLOOKUP($A485,#REF!,6,FALSE)&gt;2,HLOOKUP($A485,#REF!,6,FALSE)&lt;-2),"",#REF!),"")</f>
        <v/>
      </c>
      <c r="I485" t="str">
        <f>IFERROR(IF(OR(HLOOKUP($A485,#REF!,7,FALSE)&gt;2,HLOOKUP($A485,#REF!,7,FALSE)&lt;-2),"",#REF!),"")</f>
        <v/>
      </c>
      <c r="J485" t="str">
        <f>IFERROR(IF(OR(HLOOKUP($A485,#REF!,8,FALSE)&gt;2,HLOOKUP($A485,#REF!,8,FALSE)&lt;-2),"",#REF!),"")</f>
        <v/>
      </c>
      <c r="K485" t="str">
        <f>IFERROR(IF(OR(HLOOKUP($A485,#REF!,9,FALSE)&gt;2,HLOOKUP($A485,#REF!,9,FALSE)&lt;-2),"",#REF!),"")</f>
        <v/>
      </c>
      <c r="L485" t="str">
        <f>IFERROR(IF(OR(HLOOKUP($A485,#REF!,10,FALSE)&gt;2,HLOOKUP($A485,#REF!,10,FALSE)&lt;-2),"",#REF!),"")</f>
        <v/>
      </c>
      <c r="M485" t="str">
        <f>IFERROR(IF(OR(HLOOKUP($A485,#REF!,11,FALSE)&gt;2,HLOOKUP($A485,#REF!,11,FALSE)&lt;-2),"",#REF!),"")</f>
        <v/>
      </c>
      <c r="N485" t="str">
        <f>IFERROR(IF(OR(HLOOKUP($A485,#REF!,12,FALSE)&gt;2,HLOOKUP($A485,#REF!,12,FALSE)&lt;-2),"",#REF!),"")</f>
        <v/>
      </c>
      <c r="O485" t="str">
        <f>IFERROR(IF(OR(HLOOKUP($A485,#REF!,13,FALSE)&gt;2,HLOOKUP($A485,#REF!,13,FALSE)&lt;-2),"",#REF!),"")</f>
        <v/>
      </c>
      <c r="P485" t="str">
        <f>IFERROR(IF(OR(HLOOKUP($A485,#REF!,14,FALSE)&gt;2,HLOOKUP($A485,#REF!,14,FALSE)&lt;-2),"",#REF!),"")</f>
        <v/>
      </c>
      <c r="Q485" t="str">
        <f>IFERROR(IF(OR(HLOOKUP($A485,#REF!,15,FALSE)&gt;2,HLOOKUP($A485,#REF!,15,FALSE)&lt;-2),"",#REF!),"")</f>
        <v/>
      </c>
      <c r="R485" t="str">
        <f>IFERROR(IF(OR(HLOOKUP($A485,#REF!,16,FALSE)&gt;2,HLOOKUP($A485,#REF!,16,FALSE)&lt;-2),"",#REF!),"")</f>
        <v/>
      </c>
      <c r="S485" t="str">
        <f>IFERROR(IF(OR(HLOOKUP($A485,#REF!,17,FALSE)&gt;2,HLOOKUP($A485,#REF!,17,FALSE)&lt;-2),"",#REF!),"")</f>
        <v/>
      </c>
      <c r="T485" t="str">
        <f>IFERROR(IF(OR(HLOOKUP($A485,#REF!,18,FALSE)&gt;2,HLOOKUP($A485,#REF!,18,FALSE)&lt;-2),"",#REF!),"")</f>
        <v/>
      </c>
      <c r="U485" t="str">
        <f>IFERROR(IF(OR(HLOOKUP($A485,#REF!,19,FALSE)&gt;2,HLOOKUP($A485,#REF!,19,FALSE)&lt;-2),"",#REF!),"")</f>
        <v/>
      </c>
      <c r="V485">
        <f t="shared" si="28"/>
        <v>1</v>
      </c>
      <c r="W485" t="str">
        <f t="shared" si="29"/>
        <v/>
      </c>
      <c r="X485" t="str">
        <f t="shared" si="30"/>
        <v/>
      </c>
      <c r="Y485" t="str">
        <f t="shared" si="31"/>
        <v/>
      </c>
    </row>
    <row r="486" spans="1:25" x14ac:dyDescent="0.35">
      <c r="A486">
        <v>494</v>
      </c>
      <c r="B486" t="s">
        <v>246</v>
      </c>
      <c r="C486">
        <v>81200</v>
      </c>
      <c r="D486">
        <v>10</v>
      </c>
      <c r="E486" t="str">
        <f>IFERROR(IF(OR(HLOOKUP($A486,#REF!,3,FALSE)&gt;2,HLOOKUP(A486,#REF!,3,FALSE)&lt;-2),"",#REF!),"")</f>
        <v/>
      </c>
      <c r="F486" t="str">
        <f>IFERROR(IF(OR(HLOOKUP($A486,#REF!,4,FALSE)&gt;2,HLOOKUP($A486,#REF!,4,FALSE)&lt;-2),"",#REF!),"")</f>
        <v/>
      </c>
      <c r="G486" t="str">
        <f>IFERROR(IF(OR(HLOOKUP($A486,#REF!,5,FALSE)&gt;2,HLOOKUP($A486,#REF!,5,FALSE)&lt;-2),"",#REF!),"")</f>
        <v/>
      </c>
      <c r="H486" t="str">
        <f>IFERROR(IF(OR(HLOOKUP($A486,#REF!,6,FALSE)&gt;2,HLOOKUP($A486,#REF!,6,FALSE)&lt;-2),"",#REF!),"")</f>
        <v/>
      </c>
      <c r="I486" t="str">
        <f>IFERROR(IF(OR(HLOOKUP($A486,#REF!,7,FALSE)&gt;2,HLOOKUP($A486,#REF!,7,FALSE)&lt;-2),"",#REF!),"")</f>
        <v/>
      </c>
      <c r="J486" t="str">
        <f>IFERROR(IF(OR(HLOOKUP($A486,#REF!,8,FALSE)&gt;2,HLOOKUP($A486,#REF!,8,FALSE)&lt;-2),"",#REF!),"")</f>
        <v/>
      </c>
      <c r="K486" t="str">
        <f>IFERROR(IF(OR(HLOOKUP($A486,#REF!,9,FALSE)&gt;2,HLOOKUP($A486,#REF!,9,FALSE)&lt;-2),"",#REF!),"")</f>
        <v/>
      </c>
      <c r="L486" t="str">
        <f>IFERROR(IF(OR(HLOOKUP($A486,#REF!,10,FALSE)&gt;2,HLOOKUP($A486,#REF!,10,FALSE)&lt;-2),"",#REF!),"")</f>
        <v/>
      </c>
      <c r="M486" t="str">
        <f>IFERROR(IF(OR(HLOOKUP($A486,#REF!,11,FALSE)&gt;2,HLOOKUP($A486,#REF!,11,FALSE)&lt;-2),"",#REF!),"")</f>
        <v/>
      </c>
      <c r="N486" t="str">
        <f>IFERROR(IF(OR(HLOOKUP($A486,#REF!,12,FALSE)&gt;2,HLOOKUP($A486,#REF!,12,FALSE)&lt;-2),"",#REF!),"")</f>
        <v/>
      </c>
      <c r="O486" t="str">
        <f>IFERROR(IF(OR(HLOOKUP($A486,#REF!,13,FALSE)&gt;2,HLOOKUP($A486,#REF!,13,FALSE)&lt;-2),"",#REF!),"")</f>
        <v/>
      </c>
      <c r="P486" t="str">
        <f>IFERROR(IF(OR(HLOOKUP($A486,#REF!,14,FALSE)&gt;2,HLOOKUP($A486,#REF!,14,FALSE)&lt;-2),"",#REF!),"")</f>
        <v/>
      </c>
      <c r="Q486" t="str">
        <f>IFERROR(IF(OR(HLOOKUP($A486,#REF!,15,FALSE)&gt;2,HLOOKUP($A486,#REF!,15,FALSE)&lt;-2),"",#REF!),"")</f>
        <v/>
      </c>
      <c r="R486" t="str">
        <f>IFERROR(IF(OR(HLOOKUP($A486,#REF!,16,FALSE)&gt;2,HLOOKUP($A486,#REF!,16,FALSE)&lt;-2),"",#REF!),"")</f>
        <v/>
      </c>
      <c r="S486" t="str">
        <f>IFERROR(IF(OR(HLOOKUP($A486,#REF!,17,FALSE)&gt;2,HLOOKUP($A486,#REF!,17,FALSE)&lt;-2),"",#REF!),"")</f>
        <v/>
      </c>
      <c r="T486" t="str">
        <f>IFERROR(IF(OR(HLOOKUP($A486,#REF!,18,FALSE)&gt;2,HLOOKUP($A486,#REF!,18,FALSE)&lt;-2),"",#REF!),"")</f>
        <v/>
      </c>
      <c r="U486" t="str">
        <f>IFERROR(IF(OR(HLOOKUP($A486,#REF!,19,FALSE)&gt;2,HLOOKUP($A486,#REF!,19,FALSE)&lt;-2),"",#REF!),"")</f>
        <v/>
      </c>
      <c r="V486">
        <f t="shared" si="28"/>
        <v>1</v>
      </c>
      <c r="W486" t="str">
        <f t="shared" si="29"/>
        <v/>
      </c>
      <c r="X486" t="str">
        <f t="shared" si="30"/>
        <v/>
      </c>
      <c r="Y486" t="str">
        <f t="shared" si="31"/>
        <v/>
      </c>
    </row>
    <row r="487" spans="1:25" x14ac:dyDescent="0.35">
      <c r="A487">
        <v>495</v>
      </c>
      <c r="B487" t="s">
        <v>843</v>
      </c>
      <c r="C487">
        <v>39100</v>
      </c>
      <c r="D487">
        <v>463</v>
      </c>
      <c r="E487" t="str">
        <f>IFERROR(IF(OR(HLOOKUP($A487,#REF!,3,FALSE)&gt;2,HLOOKUP(A487,#REF!,3,FALSE)&lt;-2),"",#REF!),"")</f>
        <v/>
      </c>
      <c r="F487" t="str">
        <f>IFERROR(IF(OR(HLOOKUP($A487,#REF!,4,FALSE)&gt;2,HLOOKUP($A487,#REF!,4,FALSE)&lt;-2),"",#REF!),"")</f>
        <v/>
      </c>
      <c r="G487" t="str">
        <f>IFERROR(IF(OR(HLOOKUP($A487,#REF!,5,FALSE)&gt;2,HLOOKUP($A487,#REF!,5,FALSE)&lt;-2),"",#REF!),"")</f>
        <v/>
      </c>
      <c r="H487" t="str">
        <f>IFERROR(IF(OR(HLOOKUP($A487,#REF!,6,FALSE)&gt;2,HLOOKUP($A487,#REF!,6,FALSE)&lt;-2),"",#REF!),"")</f>
        <v/>
      </c>
      <c r="I487" t="str">
        <f>IFERROR(IF(OR(HLOOKUP($A487,#REF!,7,FALSE)&gt;2,HLOOKUP($A487,#REF!,7,FALSE)&lt;-2),"",#REF!),"")</f>
        <v/>
      </c>
      <c r="J487" t="str">
        <f>IFERROR(IF(OR(HLOOKUP($A487,#REF!,8,FALSE)&gt;2,HLOOKUP($A487,#REF!,8,FALSE)&lt;-2),"",#REF!),"")</f>
        <v/>
      </c>
      <c r="K487" t="str">
        <f>IFERROR(IF(OR(HLOOKUP($A487,#REF!,9,FALSE)&gt;2,HLOOKUP($A487,#REF!,9,FALSE)&lt;-2),"",#REF!),"")</f>
        <v/>
      </c>
      <c r="L487" t="str">
        <f>IFERROR(IF(OR(HLOOKUP($A487,#REF!,10,FALSE)&gt;2,HLOOKUP($A487,#REF!,10,FALSE)&lt;-2),"",#REF!),"")</f>
        <v/>
      </c>
      <c r="M487" t="str">
        <f>IFERROR(IF(OR(HLOOKUP($A487,#REF!,11,FALSE)&gt;2,HLOOKUP($A487,#REF!,11,FALSE)&lt;-2),"",#REF!),"")</f>
        <v/>
      </c>
      <c r="N487" t="str">
        <f>IFERROR(IF(OR(HLOOKUP($A487,#REF!,12,FALSE)&gt;2,HLOOKUP($A487,#REF!,12,FALSE)&lt;-2),"",#REF!),"")</f>
        <v/>
      </c>
      <c r="O487" t="str">
        <f>IFERROR(IF(OR(HLOOKUP($A487,#REF!,13,FALSE)&gt;2,HLOOKUP($A487,#REF!,13,FALSE)&lt;-2),"",#REF!),"")</f>
        <v/>
      </c>
      <c r="P487" t="str">
        <f>IFERROR(IF(OR(HLOOKUP($A487,#REF!,14,FALSE)&gt;2,HLOOKUP($A487,#REF!,14,FALSE)&lt;-2),"",#REF!),"")</f>
        <v/>
      </c>
      <c r="Q487" t="str">
        <f>IFERROR(IF(OR(HLOOKUP($A487,#REF!,15,FALSE)&gt;2,HLOOKUP($A487,#REF!,15,FALSE)&lt;-2),"",#REF!),"")</f>
        <v/>
      </c>
      <c r="R487" t="str">
        <f>IFERROR(IF(OR(HLOOKUP($A487,#REF!,16,FALSE)&gt;2,HLOOKUP($A487,#REF!,16,FALSE)&lt;-2),"",#REF!),"")</f>
        <v/>
      </c>
      <c r="S487" t="str">
        <f>IFERROR(IF(OR(HLOOKUP($A487,#REF!,17,FALSE)&gt;2,HLOOKUP($A487,#REF!,17,FALSE)&lt;-2),"",#REF!),"")</f>
        <v/>
      </c>
      <c r="T487" t="str">
        <f>IFERROR(IF(OR(HLOOKUP($A487,#REF!,18,FALSE)&gt;2,HLOOKUP($A487,#REF!,18,FALSE)&lt;-2),"",#REF!),"")</f>
        <v/>
      </c>
      <c r="U487" t="str">
        <f>IFERROR(IF(OR(HLOOKUP($A487,#REF!,19,FALSE)&gt;2,HLOOKUP($A487,#REF!,19,FALSE)&lt;-2),"",#REF!),"")</f>
        <v/>
      </c>
      <c r="V487">
        <f t="shared" si="28"/>
        <v>1</v>
      </c>
      <c r="W487" t="str">
        <f t="shared" si="29"/>
        <v/>
      </c>
      <c r="X487" t="str">
        <f t="shared" si="30"/>
        <v/>
      </c>
      <c r="Y487" t="str">
        <f t="shared" si="31"/>
        <v/>
      </c>
    </row>
    <row r="488" spans="1:25" x14ac:dyDescent="0.35">
      <c r="A488">
        <v>496</v>
      </c>
      <c r="B488" t="s">
        <v>844</v>
      </c>
      <c r="C488">
        <v>33100</v>
      </c>
      <c r="D488">
        <v>814</v>
      </c>
      <c r="E488" t="str">
        <f>IFERROR(IF(OR(HLOOKUP($A488,#REF!,3,FALSE)&gt;2,HLOOKUP(A488,#REF!,3,FALSE)&lt;-2),"",#REF!),"")</f>
        <v/>
      </c>
      <c r="F488" t="str">
        <f>IFERROR(IF(OR(HLOOKUP($A488,#REF!,4,FALSE)&gt;2,HLOOKUP($A488,#REF!,4,FALSE)&lt;-2),"",#REF!),"")</f>
        <v/>
      </c>
      <c r="G488" t="str">
        <f>IFERROR(IF(OR(HLOOKUP($A488,#REF!,5,FALSE)&gt;2,HLOOKUP($A488,#REF!,5,FALSE)&lt;-2),"",#REF!),"")</f>
        <v/>
      </c>
      <c r="H488" t="str">
        <f>IFERROR(IF(OR(HLOOKUP($A488,#REF!,6,FALSE)&gt;2,HLOOKUP($A488,#REF!,6,FALSE)&lt;-2),"",#REF!),"")</f>
        <v/>
      </c>
      <c r="I488" t="str">
        <f>IFERROR(IF(OR(HLOOKUP($A488,#REF!,7,FALSE)&gt;2,HLOOKUP($A488,#REF!,7,FALSE)&lt;-2),"",#REF!),"")</f>
        <v/>
      </c>
      <c r="J488" t="str">
        <f>IFERROR(IF(OR(HLOOKUP($A488,#REF!,8,FALSE)&gt;2,HLOOKUP($A488,#REF!,8,FALSE)&lt;-2),"",#REF!),"")</f>
        <v/>
      </c>
      <c r="K488" t="str">
        <f>IFERROR(IF(OR(HLOOKUP($A488,#REF!,9,FALSE)&gt;2,HLOOKUP($A488,#REF!,9,FALSE)&lt;-2),"",#REF!),"")</f>
        <v/>
      </c>
      <c r="L488" t="str">
        <f>IFERROR(IF(OR(HLOOKUP($A488,#REF!,10,FALSE)&gt;2,HLOOKUP($A488,#REF!,10,FALSE)&lt;-2),"",#REF!),"")</f>
        <v/>
      </c>
      <c r="M488" t="str">
        <f>IFERROR(IF(OR(HLOOKUP($A488,#REF!,11,FALSE)&gt;2,HLOOKUP($A488,#REF!,11,FALSE)&lt;-2),"",#REF!),"")</f>
        <v/>
      </c>
      <c r="N488" t="str">
        <f>IFERROR(IF(OR(HLOOKUP($A488,#REF!,12,FALSE)&gt;2,HLOOKUP($A488,#REF!,12,FALSE)&lt;-2),"",#REF!),"")</f>
        <v/>
      </c>
      <c r="O488" t="str">
        <f>IFERROR(IF(OR(HLOOKUP($A488,#REF!,13,FALSE)&gt;2,HLOOKUP($A488,#REF!,13,FALSE)&lt;-2),"",#REF!),"")</f>
        <v/>
      </c>
      <c r="P488" t="str">
        <f>IFERROR(IF(OR(HLOOKUP($A488,#REF!,14,FALSE)&gt;2,HLOOKUP($A488,#REF!,14,FALSE)&lt;-2),"",#REF!),"")</f>
        <v/>
      </c>
      <c r="Q488" t="str">
        <f>IFERROR(IF(OR(HLOOKUP($A488,#REF!,15,FALSE)&gt;2,HLOOKUP($A488,#REF!,15,FALSE)&lt;-2),"",#REF!),"")</f>
        <v/>
      </c>
      <c r="R488" t="str">
        <f>IFERROR(IF(OR(HLOOKUP($A488,#REF!,16,FALSE)&gt;2,HLOOKUP($A488,#REF!,16,FALSE)&lt;-2),"",#REF!),"")</f>
        <v/>
      </c>
      <c r="S488" t="str">
        <f>IFERROR(IF(OR(HLOOKUP($A488,#REF!,17,FALSE)&gt;2,HLOOKUP($A488,#REF!,17,FALSE)&lt;-2),"",#REF!),"")</f>
        <v/>
      </c>
      <c r="T488" t="str">
        <f>IFERROR(IF(OR(HLOOKUP($A488,#REF!,18,FALSE)&gt;2,HLOOKUP($A488,#REF!,18,FALSE)&lt;-2),"",#REF!),"")</f>
        <v/>
      </c>
      <c r="U488" t="str">
        <f>IFERROR(IF(OR(HLOOKUP($A488,#REF!,19,FALSE)&gt;2,HLOOKUP($A488,#REF!,19,FALSE)&lt;-2),"",#REF!),"")</f>
        <v/>
      </c>
      <c r="V488">
        <f t="shared" si="28"/>
        <v>1</v>
      </c>
      <c r="W488" t="str">
        <f t="shared" si="29"/>
        <v/>
      </c>
      <c r="X488" t="str">
        <f t="shared" si="30"/>
        <v/>
      </c>
      <c r="Y488" t="str">
        <f t="shared" si="31"/>
        <v/>
      </c>
    </row>
    <row r="489" spans="1:25" x14ac:dyDescent="0.35">
      <c r="A489">
        <v>497</v>
      </c>
      <c r="B489" t="s">
        <v>845</v>
      </c>
      <c r="C489">
        <v>14000</v>
      </c>
      <c r="D489">
        <v>669</v>
      </c>
      <c r="E489" t="str">
        <f>IFERROR(IF(OR(HLOOKUP($A489,#REF!,3,FALSE)&gt;2,HLOOKUP(A489,#REF!,3,FALSE)&lt;-2),"",#REF!),"")</f>
        <v/>
      </c>
      <c r="F489" t="str">
        <f>IFERROR(IF(OR(HLOOKUP($A489,#REF!,4,FALSE)&gt;2,HLOOKUP($A489,#REF!,4,FALSE)&lt;-2),"",#REF!),"")</f>
        <v/>
      </c>
      <c r="G489" t="str">
        <f>IFERROR(IF(OR(HLOOKUP($A489,#REF!,5,FALSE)&gt;2,HLOOKUP($A489,#REF!,5,FALSE)&lt;-2),"",#REF!),"")</f>
        <v/>
      </c>
      <c r="H489" t="str">
        <f>IFERROR(IF(OR(HLOOKUP($A489,#REF!,6,FALSE)&gt;2,HLOOKUP($A489,#REF!,6,FALSE)&lt;-2),"",#REF!),"")</f>
        <v/>
      </c>
      <c r="I489" t="str">
        <f>IFERROR(IF(OR(HLOOKUP($A489,#REF!,7,FALSE)&gt;2,HLOOKUP($A489,#REF!,7,FALSE)&lt;-2),"",#REF!),"")</f>
        <v/>
      </c>
      <c r="J489" t="str">
        <f>IFERROR(IF(OR(HLOOKUP($A489,#REF!,8,FALSE)&gt;2,HLOOKUP($A489,#REF!,8,FALSE)&lt;-2),"",#REF!),"")</f>
        <v/>
      </c>
      <c r="K489" t="str">
        <f>IFERROR(IF(OR(HLOOKUP($A489,#REF!,9,FALSE)&gt;2,HLOOKUP($A489,#REF!,9,FALSE)&lt;-2),"",#REF!),"")</f>
        <v/>
      </c>
      <c r="L489" t="str">
        <f>IFERROR(IF(OR(HLOOKUP($A489,#REF!,10,FALSE)&gt;2,HLOOKUP($A489,#REF!,10,FALSE)&lt;-2),"",#REF!),"")</f>
        <v/>
      </c>
      <c r="M489" t="str">
        <f>IFERROR(IF(OR(HLOOKUP($A489,#REF!,11,FALSE)&gt;2,HLOOKUP($A489,#REF!,11,FALSE)&lt;-2),"",#REF!),"")</f>
        <v/>
      </c>
      <c r="N489" t="str">
        <f>IFERROR(IF(OR(HLOOKUP($A489,#REF!,12,FALSE)&gt;2,HLOOKUP($A489,#REF!,12,FALSE)&lt;-2),"",#REF!),"")</f>
        <v/>
      </c>
      <c r="O489" t="str">
        <f>IFERROR(IF(OR(HLOOKUP($A489,#REF!,13,FALSE)&gt;2,HLOOKUP($A489,#REF!,13,FALSE)&lt;-2),"",#REF!),"")</f>
        <v/>
      </c>
      <c r="P489" t="str">
        <f>IFERROR(IF(OR(HLOOKUP($A489,#REF!,14,FALSE)&gt;2,HLOOKUP($A489,#REF!,14,FALSE)&lt;-2),"",#REF!),"")</f>
        <v/>
      </c>
      <c r="Q489" t="str">
        <f>IFERROR(IF(OR(HLOOKUP($A489,#REF!,15,FALSE)&gt;2,HLOOKUP($A489,#REF!,15,FALSE)&lt;-2),"",#REF!),"")</f>
        <v/>
      </c>
      <c r="R489" t="str">
        <f>IFERROR(IF(OR(HLOOKUP($A489,#REF!,16,FALSE)&gt;2,HLOOKUP($A489,#REF!,16,FALSE)&lt;-2),"",#REF!),"")</f>
        <v/>
      </c>
      <c r="S489" t="str">
        <f>IFERROR(IF(OR(HLOOKUP($A489,#REF!,17,FALSE)&gt;2,HLOOKUP($A489,#REF!,17,FALSE)&lt;-2),"",#REF!),"")</f>
        <v/>
      </c>
      <c r="T489" t="str">
        <f>IFERROR(IF(OR(HLOOKUP($A489,#REF!,18,FALSE)&gt;2,HLOOKUP($A489,#REF!,18,FALSE)&lt;-2),"",#REF!),"")</f>
        <v/>
      </c>
      <c r="U489" t="str">
        <f>IFERROR(IF(OR(HLOOKUP($A489,#REF!,19,FALSE)&gt;2,HLOOKUP($A489,#REF!,19,FALSE)&lt;-2),"",#REF!),"")</f>
        <v/>
      </c>
      <c r="V489">
        <f t="shared" si="28"/>
        <v>1</v>
      </c>
      <c r="W489" t="str">
        <f t="shared" si="29"/>
        <v/>
      </c>
      <c r="X489" t="str">
        <f t="shared" si="30"/>
        <v/>
      </c>
      <c r="Y489" t="str">
        <f t="shared" si="31"/>
        <v/>
      </c>
    </row>
    <row r="490" spans="1:25" x14ac:dyDescent="0.35">
      <c r="A490">
        <v>498</v>
      </c>
      <c r="B490" t="s">
        <v>846</v>
      </c>
      <c r="C490">
        <v>53200</v>
      </c>
      <c r="D490">
        <v>359</v>
      </c>
      <c r="E490" t="str">
        <f>IFERROR(IF(OR(HLOOKUP($A490,#REF!,3,FALSE)&gt;2,HLOOKUP(A490,#REF!,3,FALSE)&lt;-2),"",#REF!),"")</f>
        <v/>
      </c>
      <c r="F490" t="str">
        <f>IFERROR(IF(OR(HLOOKUP($A490,#REF!,4,FALSE)&gt;2,HLOOKUP($A490,#REF!,4,FALSE)&lt;-2),"",#REF!),"")</f>
        <v/>
      </c>
      <c r="G490" t="str">
        <f>IFERROR(IF(OR(HLOOKUP($A490,#REF!,5,FALSE)&gt;2,HLOOKUP($A490,#REF!,5,FALSE)&lt;-2),"",#REF!),"")</f>
        <v/>
      </c>
      <c r="H490" t="str">
        <f>IFERROR(IF(OR(HLOOKUP($A490,#REF!,6,FALSE)&gt;2,HLOOKUP($A490,#REF!,6,FALSE)&lt;-2),"",#REF!),"")</f>
        <v/>
      </c>
      <c r="I490" t="str">
        <f>IFERROR(IF(OR(HLOOKUP($A490,#REF!,7,FALSE)&gt;2,HLOOKUP($A490,#REF!,7,FALSE)&lt;-2),"",#REF!),"")</f>
        <v/>
      </c>
      <c r="J490" t="str">
        <f>IFERROR(IF(OR(HLOOKUP($A490,#REF!,8,FALSE)&gt;2,HLOOKUP($A490,#REF!,8,FALSE)&lt;-2),"",#REF!),"")</f>
        <v/>
      </c>
      <c r="K490" t="str">
        <f>IFERROR(IF(OR(HLOOKUP($A490,#REF!,9,FALSE)&gt;2,HLOOKUP($A490,#REF!,9,FALSE)&lt;-2),"",#REF!),"")</f>
        <v/>
      </c>
      <c r="L490" t="str">
        <f>IFERROR(IF(OR(HLOOKUP($A490,#REF!,10,FALSE)&gt;2,HLOOKUP($A490,#REF!,10,FALSE)&lt;-2),"",#REF!),"")</f>
        <v/>
      </c>
      <c r="M490" t="str">
        <f>IFERROR(IF(OR(HLOOKUP($A490,#REF!,11,FALSE)&gt;2,HLOOKUP($A490,#REF!,11,FALSE)&lt;-2),"",#REF!),"")</f>
        <v/>
      </c>
      <c r="N490" t="str">
        <f>IFERROR(IF(OR(HLOOKUP($A490,#REF!,12,FALSE)&gt;2,HLOOKUP($A490,#REF!,12,FALSE)&lt;-2),"",#REF!),"")</f>
        <v/>
      </c>
      <c r="O490" t="str">
        <f>IFERROR(IF(OR(HLOOKUP($A490,#REF!,13,FALSE)&gt;2,HLOOKUP($A490,#REF!,13,FALSE)&lt;-2),"",#REF!),"")</f>
        <v/>
      </c>
      <c r="P490" t="str">
        <f>IFERROR(IF(OR(HLOOKUP($A490,#REF!,14,FALSE)&gt;2,HLOOKUP($A490,#REF!,14,FALSE)&lt;-2),"",#REF!),"")</f>
        <v/>
      </c>
      <c r="Q490" t="str">
        <f>IFERROR(IF(OR(HLOOKUP($A490,#REF!,15,FALSE)&gt;2,HLOOKUP($A490,#REF!,15,FALSE)&lt;-2),"",#REF!),"")</f>
        <v/>
      </c>
      <c r="R490" t="str">
        <f>IFERROR(IF(OR(HLOOKUP($A490,#REF!,16,FALSE)&gt;2,HLOOKUP($A490,#REF!,16,FALSE)&lt;-2),"",#REF!),"")</f>
        <v/>
      </c>
      <c r="S490" t="str">
        <f>IFERROR(IF(OR(HLOOKUP($A490,#REF!,17,FALSE)&gt;2,HLOOKUP($A490,#REF!,17,FALSE)&lt;-2),"",#REF!),"")</f>
        <v/>
      </c>
      <c r="T490" t="str">
        <f>IFERROR(IF(OR(HLOOKUP($A490,#REF!,18,FALSE)&gt;2,HLOOKUP($A490,#REF!,18,FALSE)&lt;-2),"",#REF!),"")</f>
        <v/>
      </c>
      <c r="U490" t="str">
        <f>IFERROR(IF(OR(HLOOKUP($A490,#REF!,19,FALSE)&gt;2,HLOOKUP($A490,#REF!,19,FALSE)&lt;-2),"",#REF!),"")</f>
        <v/>
      </c>
      <c r="V490">
        <f t="shared" si="28"/>
        <v>1</v>
      </c>
      <c r="W490" t="str">
        <f t="shared" si="29"/>
        <v/>
      </c>
      <c r="X490" t="str">
        <f t="shared" si="30"/>
        <v/>
      </c>
      <c r="Y490" t="str">
        <f t="shared" si="31"/>
        <v/>
      </c>
    </row>
    <row r="491" spans="1:25" x14ac:dyDescent="0.35">
      <c r="A491">
        <v>499</v>
      </c>
      <c r="B491" t="s">
        <v>847</v>
      </c>
      <c r="C491">
        <v>105300</v>
      </c>
      <c r="D491">
        <v>1123</v>
      </c>
      <c r="E491" t="str">
        <f>IFERROR(IF(OR(HLOOKUP($A491,#REF!,3,FALSE)&gt;2,HLOOKUP(A491,#REF!,3,FALSE)&lt;-2),"",#REF!),"")</f>
        <v/>
      </c>
      <c r="F491" t="str">
        <f>IFERROR(IF(OR(HLOOKUP($A491,#REF!,4,FALSE)&gt;2,HLOOKUP($A491,#REF!,4,FALSE)&lt;-2),"",#REF!),"")</f>
        <v/>
      </c>
      <c r="G491" t="str">
        <f>IFERROR(IF(OR(HLOOKUP($A491,#REF!,5,FALSE)&gt;2,HLOOKUP($A491,#REF!,5,FALSE)&lt;-2),"",#REF!),"")</f>
        <v/>
      </c>
      <c r="H491" t="str">
        <f>IFERROR(IF(OR(HLOOKUP($A491,#REF!,6,FALSE)&gt;2,HLOOKUP($A491,#REF!,6,FALSE)&lt;-2),"",#REF!),"")</f>
        <v/>
      </c>
      <c r="I491" t="str">
        <f>IFERROR(IF(OR(HLOOKUP($A491,#REF!,7,FALSE)&gt;2,HLOOKUP($A491,#REF!,7,FALSE)&lt;-2),"",#REF!),"")</f>
        <v/>
      </c>
      <c r="J491" t="str">
        <f>IFERROR(IF(OR(HLOOKUP($A491,#REF!,8,FALSE)&gt;2,HLOOKUP($A491,#REF!,8,FALSE)&lt;-2),"",#REF!),"")</f>
        <v/>
      </c>
      <c r="K491" t="str">
        <f>IFERROR(IF(OR(HLOOKUP($A491,#REF!,9,FALSE)&gt;2,HLOOKUP($A491,#REF!,9,FALSE)&lt;-2),"",#REF!),"")</f>
        <v/>
      </c>
      <c r="L491" t="str">
        <f>IFERROR(IF(OR(HLOOKUP($A491,#REF!,10,FALSE)&gt;2,HLOOKUP($A491,#REF!,10,FALSE)&lt;-2),"",#REF!),"")</f>
        <v/>
      </c>
      <c r="M491" t="str">
        <f>IFERROR(IF(OR(HLOOKUP($A491,#REF!,11,FALSE)&gt;2,HLOOKUP($A491,#REF!,11,FALSE)&lt;-2),"",#REF!),"")</f>
        <v/>
      </c>
      <c r="N491" t="str">
        <f>IFERROR(IF(OR(HLOOKUP($A491,#REF!,12,FALSE)&gt;2,HLOOKUP($A491,#REF!,12,FALSE)&lt;-2),"",#REF!),"")</f>
        <v/>
      </c>
      <c r="O491" t="str">
        <f>IFERROR(IF(OR(HLOOKUP($A491,#REF!,13,FALSE)&gt;2,HLOOKUP($A491,#REF!,13,FALSE)&lt;-2),"",#REF!),"")</f>
        <v/>
      </c>
      <c r="P491" t="str">
        <f>IFERROR(IF(OR(HLOOKUP($A491,#REF!,14,FALSE)&gt;2,HLOOKUP($A491,#REF!,14,FALSE)&lt;-2),"",#REF!),"")</f>
        <v/>
      </c>
      <c r="Q491" t="str">
        <f>IFERROR(IF(OR(HLOOKUP($A491,#REF!,15,FALSE)&gt;2,HLOOKUP($A491,#REF!,15,FALSE)&lt;-2),"",#REF!),"")</f>
        <v/>
      </c>
      <c r="R491" t="str">
        <f>IFERROR(IF(OR(HLOOKUP($A491,#REF!,16,FALSE)&gt;2,HLOOKUP($A491,#REF!,16,FALSE)&lt;-2),"",#REF!),"")</f>
        <v/>
      </c>
      <c r="S491" t="str">
        <f>IFERROR(IF(OR(HLOOKUP($A491,#REF!,17,FALSE)&gt;2,HLOOKUP($A491,#REF!,17,FALSE)&lt;-2),"",#REF!),"")</f>
        <v/>
      </c>
      <c r="T491" t="str">
        <f>IFERROR(IF(OR(HLOOKUP($A491,#REF!,18,FALSE)&gt;2,HLOOKUP($A491,#REF!,18,FALSE)&lt;-2),"",#REF!),"")</f>
        <v/>
      </c>
      <c r="U491" t="str">
        <f>IFERROR(IF(OR(HLOOKUP($A491,#REF!,19,FALSE)&gt;2,HLOOKUP($A491,#REF!,19,FALSE)&lt;-2),"",#REF!),"")</f>
        <v/>
      </c>
      <c r="V491">
        <f t="shared" si="28"/>
        <v>1</v>
      </c>
      <c r="W491" t="str">
        <f t="shared" si="29"/>
        <v/>
      </c>
      <c r="X491" t="str">
        <f t="shared" si="30"/>
        <v/>
      </c>
      <c r="Y491" t="str">
        <f t="shared" si="31"/>
        <v/>
      </c>
    </row>
    <row r="492" spans="1:25" x14ac:dyDescent="0.35">
      <c r="A492">
        <v>500</v>
      </c>
      <c r="B492" t="s">
        <v>848</v>
      </c>
      <c r="C492">
        <v>900</v>
      </c>
      <c r="D492">
        <v>315</v>
      </c>
      <c r="E492" t="str">
        <f>IFERROR(IF(OR(HLOOKUP($A492,#REF!,3,FALSE)&gt;2,HLOOKUP(A492,#REF!,3,FALSE)&lt;-2),"",#REF!),"")</f>
        <v/>
      </c>
      <c r="F492" t="str">
        <f>IFERROR(IF(OR(HLOOKUP($A492,#REF!,4,FALSE)&gt;2,HLOOKUP($A492,#REF!,4,FALSE)&lt;-2),"",#REF!),"")</f>
        <v/>
      </c>
      <c r="G492" t="str">
        <f>IFERROR(IF(OR(HLOOKUP($A492,#REF!,5,FALSE)&gt;2,HLOOKUP($A492,#REF!,5,FALSE)&lt;-2),"",#REF!),"")</f>
        <v/>
      </c>
      <c r="H492" t="str">
        <f>IFERROR(IF(OR(HLOOKUP($A492,#REF!,6,FALSE)&gt;2,HLOOKUP($A492,#REF!,6,FALSE)&lt;-2),"",#REF!),"")</f>
        <v/>
      </c>
      <c r="I492" t="str">
        <f>IFERROR(IF(OR(HLOOKUP($A492,#REF!,7,FALSE)&gt;2,HLOOKUP($A492,#REF!,7,FALSE)&lt;-2),"",#REF!),"")</f>
        <v/>
      </c>
      <c r="J492" t="str">
        <f>IFERROR(IF(OR(HLOOKUP($A492,#REF!,8,FALSE)&gt;2,HLOOKUP($A492,#REF!,8,FALSE)&lt;-2),"",#REF!),"")</f>
        <v/>
      </c>
      <c r="K492" t="str">
        <f>IFERROR(IF(OR(HLOOKUP($A492,#REF!,9,FALSE)&gt;2,HLOOKUP($A492,#REF!,9,FALSE)&lt;-2),"",#REF!),"")</f>
        <v/>
      </c>
      <c r="L492" t="str">
        <f>IFERROR(IF(OR(HLOOKUP($A492,#REF!,10,FALSE)&gt;2,HLOOKUP($A492,#REF!,10,FALSE)&lt;-2),"",#REF!),"")</f>
        <v/>
      </c>
      <c r="M492" t="str">
        <f>IFERROR(IF(OR(HLOOKUP($A492,#REF!,11,FALSE)&gt;2,HLOOKUP($A492,#REF!,11,FALSE)&lt;-2),"",#REF!),"")</f>
        <v/>
      </c>
      <c r="N492" t="str">
        <f>IFERROR(IF(OR(HLOOKUP($A492,#REF!,12,FALSE)&gt;2,HLOOKUP($A492,#REF!,12,FALSE)&lt;-2),"",#REF!),"")</f>
        <v/>
      </c>
      <c r="O492" t="str">
        <f>IFERROR(IF(OR(HLOOKUP($A492,#REF!,13,FALSE)&gt;2,HLOOKUP($A492,#REF!,13,FALSE)&lt;-2),"",#REF!),"")</f>
        <v/>
      </c>
      <c r="P492" t="str">
        <f>IFERROR(IF(OR(HLOOKUP($A492,#REF!,14,FALSE)&gt;2,HLOOKUP($A492,#REF!,14,FALSE)&lt;-2),"",#REF!),"")</f>
        <v/>
      </c>
      <c r="Q492" t="str">
        <f>IFERROR(IF(OR(HLOOKUP($A492,#REF!,15,FALSE)&gt;2,HLOOKUP($A492,#REF!,15,FALSE)&lt;-2),"",#REF!),"")</f>
        <v/>
      </c>
      <c r="R492" t="str">
        <f>IFERROR(IF(OR(HLOOKUP($A492,#REF!,16,FALSE)&gt;2,HLOOKUP($A492,#REF!,16,FALSE)&lt;-2),"",#REF!),"")</f>
        <v/>
      </c>
      <c r="S492" t="str">
        <f>IFERROR(IF(OR(HLOOKUP($A492,#REF!,17,FALSE)&gt;2,HLOOKUP($A492,#REF!,17,FALSE)&lt;-2),"",#REF!),"")</f>
        <v/>
      </c>
      <c r="T492" t="str">
        <f>IFERROR(IF(OR(HLOOKUP($A492,#REF!,18,FALSE)&gt;2,HLOOKUP($A492,#REF!,18,FALSE)&lt;-2),"",#REF!),"")</f>
        <v/>
      </c>
      <c r="U492" t="str">
        <f>IFERROR(IF(OR(HLOOKUP($A492,#REF!,19,FALSE)&gt;2,HLOOKUP($A492,#REF!,19,FALSE)&lt;-2),"",#REF!),"")</f>
        <v/>
      </c>
      <c r="V492">
        <f t="shared" si="28"/>
        <v>1</v>
      </c>
      <c r="W492" t="str">
        <f t="shared" si="29"/>
        <v/>
      </c>
      <c r="X492" t="str">
        <f t="shared" si="30"/>
        <v/>
      </c>
      <c r="Y492" t="str">
        <f t="shared" si="31"/>
        <v/>
      </c>
    </row>
    <row r="493" spans="1:25" x14ac:dyDescent="0.35">
      <c r="A493">
        <v>501</v>
      </c>
      <c r="B493" t="s">
        <v>247</v>
      </c>
      <c r="C493">
        <v>17900</v>
      </c>
      <c r="D493">
        <v>533</v>
      </c>
      <c r="E493" t="str">
        <f>IFERROR(IF(OR(HLOOKUP($A493,#REF!,3,FALSE)&gt;2,HLOOKUP(A493,#REF!,3,FALSE)&lt;-2),"",#REF!),"")</f>
        <v/>
      </c>
      <c r="F493" t="str">
        <f>IFERROR(IF(OR(HLOOKUP($A493,#REF!,4,FALSE)&gt;2,HLOOKUP($A493,#REF!,4,FALSE)&lt;-2),"",#REF!),"")</f>
        <v/>
      </c>
      <c r="G493" t="str">
        <f>IFERROR(IF(OR(HLOOKUP($A493,#REF!,5,FALSE)&gt;2,HLOOKUP($A493,#REF!,5,FALSE)&lt;-2),"",#REF!),"")</f>
        <v/>
      </c>
      <c r="H493" t="str">
        <f>IFERROR(IF(OR(HLOOKUP($A493,#REF!,6,FALSE)&gt;2,HLOOKUP($A493,#REF!,6,FALSE)&lt;-2),"",#REF!),"")</f>
        <v/>
      </c>
      <c r="I493" t="str">
        <f>IFERROR(IF(OR(HLOOKUP($A493,#REF!,7,FALSE)&gt;2,HLOOKUP($A493,#REF!,7,FALSE)&lt;-2),"",#REF!),"")</f>
        <v/>
      </c>
      <c r="J493" t="str">
        <f>IFERROR(IF(OR(HLOOKUP($A493,#REF!,8,FALSE)&gt;2,HLOOKUP($A493,#REF!,8,FALSE)&lt;-2),"",#REF!),"")</f>
        <v/>
      </c>
      <c r="K493" t="str">
        <f>IFERROR(IF(OR(HLOOKUP($A493,#REF!,9,FALSE)&gt;2,HLOOKUP($A493,#REF!,9,FALSE)&lt;-2),"",#REF!),"")</f>
        <v/>
      </c>
      <c r="L493" t="str">
        <f>IFERROR(IF(OR(HLOOKUP($A493,#REF!,10,FALSE)&gt;2,HLOOKUP($A493,#REF!,10,FALSE)&lt;-2),"",#REF!),"")</f>
        <v/>
      </c>
      <c r="M493" t="str">
        <f>IFERROR(IF(OR(HLOOKUP($A493,#REF!,11,FALSE)&gt;2,HLOOKUP($A493,#REF!,11,FALSE)&lt;-2),"",#REF!),"")</f>
        <v/>
      </c>
      <c r="N493" t="str">
        <f>IFERROR(IF(OR(HLOOKUP($A493,#REF!,12,FALSE)&gt;2,HLOOKUP($A493,#REF!,12,FALSE)&lt;-2),"",#REF!),"")</f>
        <v/>
      </c>
      <c r="O493" t="str">
        <f>IFERROR(IF(OR(HLOOKUP($A493,#REF!,13,FALSE)&gt;2,HLOOKUP($A493,#REF!,13,FALSE)&lt;-2),"",#REF!),"")</f>
        <v/>
      </c>
      <c r="P493" t="str">
        <f>IFERROR(IF(OR(HLOOKUP($A493,#REF!,14,FALSE)&gt;2,HLOOKUP($A493,#REF!,14,FALSE)&lt;-2),"",#REF!),"")</f>
        <v/>
      </c>
      <c r="Q493" t="str">
        <f>IFERROR(IF(OR(HLOOKUP($A493,#REF!,15,FALSE)&gt;2,HLOOKUP($A493,#REF!,15,FALSE)&lt;-2),"",#REF!),"")</f>
        <v/>
      </c>
      <c r="R493" t="str">
        <f>IFERROR(IF(OR(HLOOKUP($A493,#REF!,16,FALSE)&gt;2,HLOOKUP($A493,#REF!,16,FALSE)&lt;-2),"",#REF!),"")</f>
        <v/>
      </c>
      <c r="S493" t="str">
        <f>IFERROR(IF(OR(HLOOKUP($A493,#REF!,17,FALSE)&gt;2,HLOOKUP($A493,#REF!,17,FALSE)&lt;-2),"",#REF!),"")</f>
        <v/>
      </c>
      <c r="T493" t="str">
        <f>IFERROR(IF(OR(HLOOKUP($A493,#REF!,18,FALSE)&gt;2,HLOOKUP($A493,#REF!,18,FALSE)&lt;-2),"",#REF!),"")</f>
        <v/>
      </c>
      <c r="U493" t="str">
        <f>IFERROR(IF(OR(HLOOKUP($A493,#REF!,19,FALSE)&gt;2,HLOOKUP($A493,#REF!,19,FALSE)&lt;-2),"",#REF!),"")</f>
        <v/>
      </c>
      <c r="V493">
        <f t="shared" si="28"/>
        <v>1</v>
      </c>
      <c r="W493" t="str">
        <f t="shared" si="29"/>
        <v/>
      </c>
      <c r="X493" t="str">
        <f t="shared" si="30"/>
        <v/>
      </c>
      <c r="Y493" t="str">
        <f t="shared" si="31"/>
        <v/>
      </c>
    </row>
    <row r="494" spans="1:25" x14ac:dyDescent="0.35">
      <c r="A494">
        <v>502</v>
      </c>
      <c r="B494" t="s">
        <v>248</v>
      </c>
      <c r="C494">
        <v>45500</v>
      </c>
      <c r="D494">
        <v>822</v>
      </c>
      <c r="E494" t="str">
        <f>IFERROR(IF(OR(HLOOKUP($A494,#REF!,3,FALSE)&gt;2,HLOOKUP(A494,#REF!,3,FALSE)&lt;-2),"",#REF!),"")</f>
        <v/>
      </c>
      <c r="F494" t="str">
        <f>IFERROR(IF(OR(HLOOKUP($A494,#REF!,4,FALSE)&gt;2,HLOOKUP($A494,#REF!,4,FALSE)&lt;-2),"",#REF!),"")</f>
        <v/>
      </c>
      <c r="G494" t="str">
        <f>IFERROR(IF(OR(HLOOKUP($A494,#REF!,5,FALSE)&gt;2,HLOOKUP($A494,#REF!,5,FALSE)&lt;-2),"",#REF!),"")</f>
        <v/>
      </c>
      <c r="H494" t="str">
        <f>IFERROR(IF(OR(HLOOKUP($A494,#REF!,6,FALSE)&gt;2,HLOOKUP($A494,#REF!,6,FALSE)&lt;-2),"",#REF!),"")</f>
        <v/>
      </c>
      <c r="I494" t="str">
        <f>IFERROR(IF(OR(HLOOKUP($A494,#REF!,7,FALSE)&gt;2,HLOOKUP($A494,#REF!,7,FALSE)&lt;-2),"",#REF!),"")</f>
        <v/>
      </c>
      <c r="J494" t="str">
        <f>IFERROR(IF(OR(HLOOKUP($A494,#REF!,8,FALSE)&gt;2,HLOOKUP($A494,#REF!,8,FALSE)&lt;-2),"",#REF!),"")</f>
        <v/>
      </c>
      <c r="K494" t="str">
        <f>IFERROR(IF(OR(HLOOKUP($A494,#REF!,9,FALSE)&gt;2,HLOOKUP($A494,#REF!,9,FALSE)&lt;-2),"",#REF!),"")</f>
        <v/>
      </c>
      <c r="L494" t="str">
        <f>IFERROR(IF(OR(HLOOKUP($A494,#REF!,10,FALSE)&gt;2,HLOOKUP($A494,#REF!,10,FALSE)&lt;-2),"",#REF!),"")</f>
        <v/>
      </c>
      <c r="M494" t="str">
        <f>IFERROR(IF(OR(HLOOKUP($A494,#REF!,11,FALSE)&gt;2,HLOOKUP($A494,#REF!,11,FALSE)&lt;-2),"",#REF!),"")</f>
        <v/>
      </c>
      <c r="N494" t="str">
        <f>IFERROR(IF(OR(HLOOKUP($A494,#REF!,12,FALSE)&gt;2,HLOOKUP($A494,#REF!,12,FALSE)&lt;-2),"",#REF!),"")</f>
        <v/>
      </c>
      <c r="O494" t="str">
        <f>IFERROR(IF(OR(HLOOKUP($A494,#REF!,13,FALSE)&gt;2,HLOOKUP($A494,#REF!,13,FALSE)&lt;-2),"",#REF!),"")</f>
        <v/>
      </c>
      <c r="P494" t="str">
        <f>IFERROR(IF(OR(HLOOKUP($A494,#REF!,14,FALSE)&gt;2,HLOOKUP($A494,#REF!,14,FALSE)&lt;-2),"",#REF!),"")</f>
        <v/>
      </c>
      <c r="Q494" t="str">
        <f>IFERROR(IF(OR(HLOOKUP($A494,#REF!,15,FALSE)&gt;2,HLOOKUP($A494,#REF!,15,FALSE)&lt;-2),"",#REF!),"")</f>
        <v/>
      </c>
      <c r="R494" t="str">
        <f>IFERROR(IF(OR(HLOOKUP($A494,#REF!,16,FALSE)&gt;2,HLOOKUP($A494,#REF!,16,FALSE)&lt;-2),"",#REF!),"")</f>
        <v/>
      </c>
      <c r="S494" t="str">
        <f>IFERROR(IF(OR(HLOOKUP($A494,#REF!,17,FALSE)&gt;2,HLOOKUP($A494,#REF!,17,FALSE)&lt;-2),"",#REF!),"")</f>
        <v/>
      </c>
      <c r="T494" t="str">
        <f>IFERROR(IF(OR(HLOOKUP($A494,#REF!,18,FALSE)&gt;2,HLOOKUP($A494,#REF!,18,FALSE)&lt;-2),"",#REF!),"")</f>
        <v/>
      </c>
      <c r="U494" t="str">
        <f>IFERROR(IF(OR(HLOOKUP($A494,#REF!,19,FALSE)&gt;2,HLOOKUP($A494,#REF!,19,FALSE)&lt;-2),"",#REF!),"")</f>
        <v/>
      </c>
      <c r="V494">
        <f t="shared" si="28"/>
        <v>1</v>
      </c>
      <c r="W494" t="str">
        <f t="shared" si="29"/>
        <v/>
      </c>
      <c r="X494" t="str">
        <f t="shared" si="30"/>
        <v/>
      </c>
      <c r="Y494" t="str">
        <f t="shared" si="31"/>
        <v/>
      </c>
    </row>
    <row r="495" spans="1:25" x14ac:dyDescent="0.35">
      <c r="A495">
        <v>503</v>
      </c>
      <c r="B495" t="s">
        <v>249</v>
      </c>
      <c r="C495">
        <v>81300</v>
      </c>
      <c r="D495">
        <v>10</v>
      </c>
      <c r="E495" t="str">
        <f>IFERROR(IF(OR(HLOOKUP($A495,#REF!,3,FALSE)&gt;2,HLOOKUP(A495,#REF!,3,FALSE)&lt;-2),"",#REF!),"")</f>
        <v/>
      </c>
      <c r="F495" t="str">
        <f>IFERROR(IF(OR(HLOOKUP($A495,#REF!,4,FALSE)&gt;2,HLOOKUP($A495,#REF!,4,FALSE)&lt;-2),"",#REF!),"")</f>
        <v/>
      </c>
      <c r="G495" t="str">
        <f>IFERROR(IF(OR(HLOOKUP($A495,#REF!,5,FALSE)&gt;2,HLOOKUP($A495,#REF!,5,FALSE)&lt;-2),"",#REF!),"")</f>
        <v/>
      </c>
      <c r="H495" t="str">
        <f>IFERROR(IF(OR(HLOOKUP($A495,#REF!,6,FALSE)&gt;2,HLOOKUP($A495,#REF!,6,FALSE)&lt;-2),"",#REF!),"")</f>
        <v/>
      </c>
      <c r="I495" t="str">
        <f>IFERROR(IF(OR(HLOOKUP($A495,#REF!,7,FALSE)&gt;2,HLOOKUP($A495,#REF!,7,FALSE)&lt;-2),"",#REF!),"")</f>
        <v/>
      </c>
      <c r="J495" t="str">
        <f>IFERROR(IF(OR(HLOOKUP($A495,#REF!,8,FALSE)&gt;2,HLOOKUP($A495,#REF!,8,FALSE)&lt;-2),"",#REF!),"")</f>
        <v/>
      </c>
      <c r="K495" t="str">
        <f>IFERROR(IF(OR(HLOOKUP($A495,#REF!,9,FALSE)&gt;2,HLOOKUP($A495,#REF!,9,FALSE)&lt;-2),"",#REF!),"")</f>
        <v/>
      </c>
      <c r="L495" t="str">
        <f>IFERROR(IF(OR(HLOOKUP($A495,#REF!,10,FALSE)&gt;2,HLOOKUP($A495,#REF!,10,FALSE)&lt;-2),"",#REF!),"")</f>
        <v/>
      </c>
      <c r="M495" t="str">
        <f>IFERROR(IF(OR(HLOOKUP($A495,#REF!,11,FALSE)&gt;2,HLOOKUP($A495,#REF!,11,FALSE)&lt;-2),"",#REF!),"")</f>
        <v/>
      </c>
      <c r="N495" t="str">
        <f>IFERROR(IF(OR(HLOOKUP($A495,#REF!,12,FALSE)&gt;2,HLOOKUP($A495,#REF!,12,FALSE)&lt;-2),"",#REF!),"")</f>
        <v/>
      </c>
      <c r="O495" t="str">
        <f>IFERROR(IF(OR(HLOOKUP($A495,#REF!,13,FALSE)&gt;2,HLOOKUP($A495,#REF!,13,FALSE)&lt;-2),"",#REF!),"")</f>
        <v/>
      </c>
      <c r="P495" t="str">
        <f>IFERROR(IF(OR(HLOOKUP($A495,#REF!,14,FALSE)&gt;2,HLOOKUP($A495,#REF!,14,FALSE)&lt;-2),"",#REF!),"")</f>
        <v/>
      </c>
      <c r="Q495" t="str">
        <f>IFERROR(IF(OR(HLOOKUP($A495,#REF!,15,FALSE)&gt;2,HLOOKUP($A495,#REF!,15,FALSE)&lt;-2),"",#REF!),"")</f>
        <v/>
      </c>
      <c r="R495" t="str">
        <f>IFERROR(IF(OR(HLOOKUP($A495,#REF!,16,FALSE)&gt;2,HLOOKUP($A495,#REF!,16,FALSE)&lt;-2),"",#REF!),"")</f>
        <v/>
      </c>
      <c r="S495" t="str">
        <f>IFERROR(IF(OR(HLOOKUP($A495,#REF!,17,FALSE)&gt;2,HLOOKUP($A495,#REF!,17,FALSE)&lt;-2),"",#REF!),"")</f>
        <v/>
      </c>
      <c r="T495" t="str">
        <f>IFERROR(IF(OR(HLOOKUP($A495,#REF!,18,FALSE)&gt;2,HLOOKUP($A495,#REF!,18,FALSE)&lt;-2),"",#REF!),"")</f>
        <v/>
      </c>
      <c r="U495" t="str">
        <f>IFERROR(IF(OR(HLOOKUP($A495,#REF!,19,FALSE)&gt;2,HLOOKUP($A495,#REF!,19,FALSE)&lt;-2),"",#REF!),"")</f>
        <v/>
      </c>
      <c r="V495">
        <f t="shared" si="28"/>
        <v>1</v>
      </c>
      <c r="W495" t="str">
        <f t="shared" si="29"/>
        <v/>
      </c>
      <c r="X495" t="str">
        <f t="shared" si="30"/>
        <v/>
      </c>
      <c r="Y495" t="str">
        <f t="shared" si="31"/>
        <v/>
      </c>
    </row>
    <row r="496" spans="1:25" x14ac:dyDescent="0.35">
      <c r="A496">
        <v>504</v>
      </c>
      <c r="B496" t="s">
        <v>849</v>
      </c>
      <c r="C496">
        <v>39200</v>
      </c>
      <c r="D496">
        <v>463</v>
      </c>
      <c r="E496" t="str">
        <f>IFERROR(IF(OR(HLOOKUP($A496,#REF!,3,FALSE)&gt;2,HLOOKUP(A496,#REF!,3,FALSE)&lt;-2),"",#REF!),"")</f>
        <v/>
      </c>
      <c r="F496" t="str">
        <f>IFERROR(IF(OR(HLOOKUP($A496,#REF!,4,FALSE)&gt;2,HLOOKUP($A496,#REF!,4,FALSE)&lt;-2),"",#REF!),"")</f>
        <v/>
      </c>
      <c r="G496" t="str">
        <f>IFERROR(IF(OR(HLOOKUP($A496,#REF!,5,FALSE)&gt;2,HLOOKUP($A496,#REF!,5,FALSE)&lt;-2),"",#REF!),"")</f>
        <v/>
      </c>
      <c r="H496" t="str">
        <f>IFERROR(IF(OR(HLOOKUP($A496,#REF!,6,FALSE)&gt;2,HLOOKUP($A496,#REF!,6,FALSE)&lt;-2),"",#REF!),"")</f>
        <v/>
      </c>
      <c r="I496" t="str">
        <f>IFERROR(IF(OR(HLOOKUP($A496,#REF!,7,FALSE)&gt;2,HLOOKUP($A496,#REF!,7,FALSE)&lt;-2),"",#REF!),"")</f>
        <v/>
      </c>
      <c r="J496" t="str">
        <f>IFERROR(IF(OR(HLOOKUP($A496,#REF!,8,FALSE)&gt;2,HLOOKUP($A496,#REF!,8,FALSE)&lt;-2),"",#REF!),"")</f>
        <v/>
      </c>
      <c r="K496" t="str">
        <f>IFERROR(IF(OR(HLOOKUP($A496,#REF!,9,FALSE)&gt;2,HLOOKUP($A496,#REF!,9,FALSE)&lt;-2),"",#REF!),"")</f>
        <v/>
      </c>
      <c r="L496" t="str">
        <f>IFERROR(IF(OR(HLOOKUP($A496,#REF!,10,FALSE)&gt;2,HLOOKUP($A496,#REF!,10,FALSE)&lt;-2),"",#REF!),"")</f>
        <v/>
      </c>
      <c r="M496" t="str">
        <f>IFERROR(IF(OR(HLOOKUP($A496,#REF!,11,FALSE)&gt;2,HLOOKUP($A496,#REF!,11,FALSE)&lt;-2),"",#REF!),"")</f>
        <v/>
      </c>
      <c r="N496" t="str">
        <f>IFERROR(IF(OR(HLOOKUP($A496,#REF!,12,FALSE)&gt;2,HLOOKUP($A496,#REF!,12,FALSE)&lt;-2),"",#REF!),"")</f>
        <v/>
      </c>
      <c r="O496" t="str">
        <f>IFERROR(IF(OR(HLOOKUP($A496,#REF!,13,FALSE)&gt;2,HLOOKUP($A496,#REF!,13,FALSE)&lt;-2),"",#REF!),"")</f>
        <v/>
      </c>
      <c r="P496" t="str">
        <f>IFERROR(IF(OR(HLOOKUP($A496,#REF!,14,FALSE)&gt;2,HLOOKUP($A496,#REF!,14,FALSE)&lt;-2),"",#REF!),"")</f>
        <v/>
      </c>
      <c r="Q496" t="str">
        <f>IFERROR(IF(OR(HLOOKUP($A496,#REF!,15,FALSE)&gt;2,HLOOKUP($A496,#REF!,15,FALSE)&lt;-2),"",#REF!),"")</f>
        <v/>
      </c>
      <c r="R496" t="str">
        <f>IFERROR(IF(OR(HLOOKUP($A496,#REF!,16,FALSE)&gt;2,HLOOKUP($A496,#REF!,16,FALSE)&lt;-2),"",#REF!),"")</f>
        <v/>
      </c>
      <c r="S496" t="str">
        <f>IFERROR(IF(OR(HLOOKUP($A496,#REF!,17,FALSE)&gt;2,HLOOKUP($A496,#REF!,17,FALSE)&lt;-2),"",#REF!),"")</f>
        <v/>
      </c>
      <c r="T496" t="str">
        <f>IFERROR(IF(OR(HLOOKUP($A496,#REF!,18,FALSE)&gt;2,HLOOKUP($A496,#REF!,18,FALSE)&lt;-2),"",#REF!),"")</f>
        <v/>
      </c>
      <c r="U496" t="str">
        <f>IFERROR(IF(OR(HLOOKUP($A496,#REF!,19,FALSE)&gt;2,HLOOKUP($A496,#REF!,19,FALSE)&lt;-2),"",#REF!),"")</f>
        <v/>
      </c>
      <c r="V496">
        <f t="shared" si="28"/>
        <v>1</v>
      </c>
      <c r="W496" t="str">
        <f t="shared" si="29"/>
        <v/>
      </c>
      <c r="X496" t="str">
        <f t="shared" si="30"/>
        <v/>
      </c>
      <c r="Y496" t="str">
        <f t="shared" si="31"/>
        <v/>
      </c>
    </row>
    <row r="497" spans="1:25" x14ac:dyDescent="0.35">
      <c r="A497">
        <v>505</v>
      </c>
      <c r="B497" t="s">
        <v>850</v>
      </c>
      <c r="C497">
        <v>53300</v>
      </c>
      <c r="D497">
        <v>359</v>
      </c>
      <c r="E497" t="str">
        <f>IFERROR(IF(OR(HLOOKUP($A497,#REF!,3,FALSE)&gt;2,HLOOKUP(A497,#REF!,3,FALSE)&lt;-2),"",#REF!),"")</f>
        <v/>
      </c>
      <c r="F497" t="str">
        <f>IFERROR(IF(OR(HLOOKUP($A497,#REF!,4,FALSE)&gt;2,HLOOKUP($A497,#REF!,4,FALSE)&lt;-2),"",#REF!),"")</f>
        <v/>
      </c>
      <c r="G497" t="str">
        <f>IFERROR(IF(OR(HLOOKUP($A497,#REF!,5,FALSE)&gt;2,HLOOKUP($A497,#REF!,5,FALSE)&lt;-2),"",#REF!),"")</f>
        <v/>
      </c>
      <c r="H497" t="str">
        <f>IFERROR(IF(OR(HLOOKUP($A497,#REF!,6,FALSE)&gt;2,HLOOKUP($A497,#REF!,6,FALSE)&lt;-2),"",#REF!),"")</f>
        <v/>
      </c>
      <c r="I497" t="str">
        <f>IFERROR(IF(OR(HLOOKUP($A497,#REF!,7,FALSE)&gt;2,HLOOKUP($A497,#REF!,7,FALSE)&lt;-2),"",#REF!),"")</f>
        <v/>
      </c>
      <c r="J497" t="str">
        <f>IFERROR(IF(OR(HLOOKUP($A497,#REF!,8,FALSE)&gt;2,HLOOKUP($A497,#REF!,8,FALSE)&lt;-2),"",#REF!),"")</f>
        <v/>
      </c>
      <c r="K497" t="str">
        <f>IFERROR(IF(OR(HLOOKUP($A497,#REF!,9,FALSE)&gt;2,HLOOKUP($A497,#REF!,9,FALSE)&lt;-2),"",#REF!),"")</f>
        <v/>
      </c>
      <c r="L497" t="str">
        <f>IFERROR(IF(OR(HLOOKUP($A497,#REF!,10,FALSE)&gt;2,HLOOKUP($A497,#REF!,10,FALSE)&lt;-2),"",#REF!),"")</f>
        <v/>
      </c>
      <c r="M497" t="str">
        <f>IFERROR(IF(OR(HLOOKUP($A497,#REF!,11,FALSE)&gt;2,HLOOKUP($A497,#REF!,11,FALSE)&lt;-2),"",#REF!),"")</f>
        <v/>
      </c>
      <c r="N497" t="str">
        <f>IFERROR(IF(OR(HLOOKUP($A497,#REF!,12,FALSE)&gt;2,HLOOKUP($A497,#REF!,12,FALSE)&lt;-2),"",#REF!),"")</f>
        <v/>
      </c>
      <c r="O497" t="str">
        <f>IFERROR(IF(OR(HLOOKUP($A497,#REF!,13,FALSE)&gt;2,HLOOKUP($A497,#REF!,13,FALSE)&lt;-2),"",#REF!),"")</f>
        <v/>
      </c>
      <c r="P497" t="str">
        <f>IFERROR(IF(OR(HLOOKUP($A497,#REF!,14,FALSE)&gt;2,HLOOKUP($A497,#REF!,14,FALSE)&lt;-2),"",#REF!),"")</f>
        <v/>
      </c>
      <c r="Q497" t="str">
        <f>IFERROR(IF(OR(HLOOKUP($A497,#REF!,15,FALSE)&gt;2,HLOOKUP($A497,#REF!,15,FALSE)&lt;-2),"",#REF!),"")</f>
        <v/>
      </c>
      <c r="R497" t="str">
        <f>IFERROR(IF(OR(HLOOKUP($A497,#REF!,16,FALSE)&gt;2,HLOOKUP($A497,#REF!,16,FALSE)&lt;-2),"",#REF!),"")</f>
        <v/>
      </c>
      <c r="S497" t="str">
        <f>IFERROR(IF(OR(HLOOKUP($A497,#REF!,17,FALSE)&gt;2,HLOOKUP($A497,#REF!,17,FALSE)&lt;-2),"",#REF!),"")</f>
        <v/>
      </c>
      <c r="T497" t="str">
        <f>IFERROR(IF(OR(HLOOKUP($A497,#REF!,18,FALSE)&gt;2,HLOOKUP($A497,#REF!,18,FALSE)&lt;-2),"",#REF!),"")</f>
        <v/>
      </c>
      <c r="U497" t="str">
        <f>IFERROR(IF(OR(HLOOKUP($A497,#REF!,19,FALSE)&gt;2,HLOOKUP($A497,#REF!,19,FALSE)&lt;-2),"",#REF!),"")</f>
        <v/>
      </c>
      <c r="V497">
        <f t="shared" si="28"/>
        <v>1</v>
      </c>
      <c r="W497" t="str">
        <f t="shared" si="29"/>
        <v/>
      </c>
      <c r="X497" t="str">
        <f t="shared" si="30"/>
        <v/>
      </c>
      <c r="Y497" t="str">
        <f t="shared" si="31"/>
        <v/>
      </c>
    </row>
    <row r="498" spans="1:25" x14ac:dyDescent="0.35">
      <c r="A498">
        <v>506</v>
      </c>
      <c r="B498" t="s">
        <v>851</v>
      </c>
      <c r="C498">
        <v>101000</v>
      </c>
      <c r="D498">
        <v>948</v>
      </c>
      <c r="E498" t="str">
        <f>IFERROR(IF(OR(HLOOKUP($A498,#REF!,3,FALSE)&gt;2,HLOOKUP(A498,#REF!,3,FALSE)&lt;-2),"",#REF!),"")</f>
        <v/>
      </c>
      <c r="F498" t="str">
        <f>IFERROR(IF(OR(HLOOKUP($A498,#REF!,4,FALSE)&gt;2,HLOOKUP($A498,#REF!,4,FALSE)&lt;-2),"",#REF!),"")</f>
        <v/>
      </c>
      <c r="G498" t="str">
        <f>IFERROR(IF(OR(HLOOKUP($A498,#REF!,5,FALSE)&gt;2,HLOOKUP($A498,#REF!,5,FALSE)&lt;-2),"",#REF!),"")</f>
        <v/>
      </c>
      <c r="H498" t="str">
        <f>IFERROR(IF(OR(HLOOKUP($A498,#REF!,6,FALSE)&gt;2,HLOOKUP($A498,#REF!,6,FALSE)&lt;-2),"",#REF!),"")</f>
        <v/>
      </c>
      <c r="I498" t="str">
        <f>IFERROR(IF(OR(HLOOKUP($A498,#REF!,7,FALSE)&gt;2,HLOOKUP($A498,#REF!,7,FALSE)&lt;-2),"",#REF!),"")</f>
        <v/>
      </c>
      <c r="J498" t="str">
        <f>IFERROR(IF(OR(HLOOKUP($A498,#REF!,8,FALSE)&gt;2,HLOOKUP($A498,#REF!,8,FALSE)&lt;-2),"",#REF!),"")</f>
        <v/>
      </c>
      <c r="K498" t="str">
        <f>IFERROR(IF(OR(HLOOKUP($A498,#REF!,9,FALSE)&gt;2,HLOOKUP($A498,#REF!,9,FALSE)&lt;-2),"",#REF!),"")</f>
        <v/>
      </c>
      <c r="L498" t="str">
        <f>IFERROR(IF(OR(HLOOKUP($A498,#REF!,10,FALSE)&gt;2,HLOOKUP($A498,#REF!,10,FALSE)&lt;-2),"",#REF!),"")</f>
        <v/>
      </c>
      <c r="M498" t="str">
        <f>IFERROR(IF(OR(HLOOKUP($A498,#REF!,11,FALSE)&gt;2,HLOOKUP($A498,#REF!,11,FALSE)&lt;-2),"",#REF!),"")</f>
        <v/>
      </c>
      <c r="N498" t="str">
        <f>IFERROR(IF(OR(HLOOKUP($A498,#REF!,12,FALSE)&gt;2,HLOOKUP($A498,#REF!,12,FALSE)&lt;-2),"",#REF!),"")</f>
        <v/>
      </c>
      <c r="O498" t="str">
        <f>IFERROR(IF(OR(HLOOKUP($A498,#REF!,13,FALSE)&gt;2,HLOOKUP($A498,#REF!,13,FALSE)&lt;-2),"",#REF!),"")</f>
        <v/>
      </c>
      <c r="P498" t="str">
        <f>IFERROR(IF(OR(HLOOKUP($A498,#REF!,14,FALSE)&gt;2,HLOOKUP($A498,#REF!,14,FALSE)&lt;-2),"",#REF!),"")</f>
        <v/>
      </c>
      <c r="Q498" t="str">
        <f>IFERROR(IF(OR(HLOOKUP($A498,#REF!,15,FALSE)&gt;2,HLOOKUP($A498,#REF!,15,FALSE)&lt;-2),"",#REF!),"")</f>
        <v/>
      </c>
      <c r="R498" t="str">
        <f>IFERROR(IF(OR(HLOOKUP($A498,#REF!,16,FALSE)&gt;2,HLOOKUP($A498,#REF!,16,FALSE)&lt;-2),"",#REF!),"")</f>
        <v/>
      </c>
      <c r="S498" t="str">
        <f>IFERROR(IF(OR(HLOOKUP($A498,#REF!,17,FALSE)&gt;2,HLOOKUP($A498,#REF!,17,FALSE)&lt;-2),"",#REF!),"")</f>
        <v/>
      </c>
      <c r="T498" t="str">
        <f>IFERROR(IF(OR(HLOOKUP($A498,#REF!,18,FALSE)&gt;2,HLOOKUP($A498,#REF!,18,FALSE)&lt;-2),"",#REF!),"")</f>
        <v/>
      </c>
      <c r="U498" t="str">
        <f>IFERROR(IF(OR(HLOOKUP($A498,#REF!,19,FALSE)&gt;2,HLOOKUP($A498,#REF!,19,FALSE)&lt;-2),"",#REF!),"")</f>
        <v/>
      </c>
      <c r="V498">
        <f t="shared" si="28"/>
        <v>1</v>
      </c>
      <c r="W498" t="str">
        <f t="shared" si="29"/>
        <v/>
      </c>
      <c r="X498" t="str">
        <f t="shared" si="30"/>
        <v/>
      </c>
      <c r="Y498" t="str">
        <f t="shared" si="31"/>
        <v/>
      </c>
    </row>
    <row r="499" spans="1:25" x14ac:dyDescent="0.35">
      <c r="A499">
        <v>507</v>
      </c>
      <c r="B499" t="s">
        <v>250</v>
      </c>
      <c r="C499">
        <v>30000</v>
      </c>
      <c r="D499">
        <v>698</v>
      </c>
      <c r="E499" t="str">
        <f>IFERROR(IF(OR(HLOOKUP($A499,#REF!,3,FALSE)&gt;2,HLOOKUP(A499,#REF!,3,FALSE)&lt;-2),"",#REF!),"")</f>
        <v/>
      </c>
      <c r="F499" t="str">
        <f>IFERROR(IF(OR(HLOOKUP($A499,#REF!,4,FALSE)&gt;2,HLOOKUP($A499,#REF!,4,FALSE)&lt;-2),"",#REF!),"")</f>
        <v/>
      </c>
      <c r="G499" t="str">
        <f>IFERROR(IF(OR(HLOOKUP($A499,#REF!,5,FALSE)&gt;2,HLOOKUP($A499,#REF!,5,FALSE)&lt;-2),"",#REF!),"")</f>
        <v/>
      </c>
      <c r="H499" t="str">
        <f>IFERROR(IF(OR(HLOOKUP($A499,#REF!,6,FALSE)&gt;2,HLOOKUP($A499,#REF!,6,FALSE)&lt;-2),"",#REF!),"")</f>
        <v/>
      </c>
      <c r="I499" t="str">
        <f>IFERROR(IF(OR(HLOOKUP($A499,#REF!,7,FALSE)&gt;2,HLOOKUP($A499,#REF!,7,FALSE)&lt;-2),"",#REF!),"")</f>
        <v/>
      </c>
      <c r="J499" t="str">
        <f>IFERROR(IF(OR(HLOOKUP($A499,#REF!,8,FALSE)&gt;2,HLOOKUP($A499,#REF!,8,FALSE)&lt;-2),"",#REF!),"")</f>
        <v/>
      </c>
      <c r="K499" t="str">
        <f>IFERROR(IF(OR(HLOOKUP($A499,#REF!,9,FALSE)&gt;2,HLOOKUP($A499,#REF!,9,FALSE)&lt;-2),"",#REF!),"")</f>
        <v/>
      </c>
      <c r="L499" t="str">
        <f>IFERROR(IF(OR(HLOOKUP($A499,#REF!,10,FALSE)&gt;2,HLOOKUP($A499,#REF!,10,FALSE)&lt;-2),"",#REF!),"")</f>
        <v/>
      </c>
      <c r="M499" t="str">
        <f>IFERROR(IF(OR(HLOOKUP($A499,#REF!,11,FALSE)&gt;2,HLOOKUP($A499,#REF!,11,FALSE)&lt;-2),"",#REF!),"")</f>
        <v/>
      </c>
      <c r="N499" t="str">
        <f>IFERROR(IF(OR(HLOOKUP($A499,#REF!,12,FALSE)&gt;2,HLOOKUP($A499,#REF!,12,FALSE)&lt;-2),"",#REF!),"")</f>
        <v/>
      </c>
      <c r="O499" t="str">
        <f>IFERROR(IF(OR(HLOOKUP($A499,#REF!,13,FALSE)&gt;2,HLOOKUP($A499,#REF!,13,FALSE)&lt;-2),"",#REF!),"")</f>
        <v/>
      </c>
      <c r="P499" t="str">
        <f>IFERROR(IF(OR(HLOOKUP($A499,#REF!,14,FALSE)&gt;2,HLOOKUP($A499,#REF!,14,FALSE)&lt;-2),"",#REF!),"")</f>
        <v/>
      </c>
      <c r="Q499" t="str">
        <f>IFERROR(IF(OR(HLOOKUP($A499,#REF!,15,FALSE)&gt;2,HLOOKUP($A499,#REF!,15,FALSE)&lt;-2),"",#REF!),"")</f>
        <v/>
      </c>
      <c r="R499" t="str">
        <f>IFERROR(IF(OR(HLOOKUP($A499,#REF!,16,FALSE)&gt;2,HLOOKUP($A499,#REF!,16,FALSE)&lt;-2),"",#REF!),"")</f>
        <v/>
      </c>
      <c r="S499" t="str">
        <f>IFERROR(IF(OR(HLOOKUP($A499,#REF!,17,FALSE)&gt;2,HLOOKUP($A499,#REF!,17,FALSE)&lt;-2),"",#REF!),"")</f>
        <v/>
      </c>
      <c r="T499" t="str">
        <f>IFERROR(IF(OR(HLOOKUP($A499,#REF!,18,FALSE)&gt;2,HLOOKUP($A499,#REF!,18,FALSE)&lt;-2),"",#REF!),"")</f>
        <v/>
      </c>
      <c r="U499" t="str">
        <f>IFERROR(IF(OR(HLOOKUP($A499,#REF!,19,FALSE)&gt;2,HLOOKUP($A499,#REF!,19,FALSE)&lt;-2),"",#REF!),"")</f>
        <v/>
      </c>
      <c r="V499">
        <f t="shared" si="28"/>
        <v>1</v>
      </c>
      <c r="W499" t="str">
        <f t="shared" si="29"/>
        <v/>
      </c>
      <c r="X499" t="str">
        <f t="shared" si="30"/>
        <v/>
      </c>
      <c r="Y499" t="str">
        <f t="shared" si="31"/>
        <v/>
      </c>
    </row>
    <row r="500" spans="1:25" x14ac:dyDescent="0.35">
      <c r="A500">
        <v>508</v>
      </c>
      <c r="B500" t="s">
        <v>852</v>
      </c>
      <c r="C500">
        <v>43100</v>
      </c>
      <c r="D500">
        <v>926</v>
      </c>
      <c r="E500" t="str">
        <f>IFERROR(IF(OR(HLOOKUP($A500,#REF!,3,FALSE)&gt;2,HLOOKUP(A500,#REF!,3,FALSE)&lt;-2),"",#REF!),"")</f>
        <v/>
      </c>
      <c r="F500" t="str">
        <f>IFERROR(IF(OR(HLOOKUP($A500,#REF!,4,FALSE)&gt;2,HLOOKUP($A500,#REF!,4,FALSE)&lt;-2),"",#REF!),"")</f>
        <v/>
      </c>
      <c r="G500" t="str">
        <f>IFERROR(IF(OR(HLOOKUP($A500,#REF!,5,FALSE)&gt;2,HLOOKUP($A500,#REF!,5,FALSE)&lt;-2),"",#REF!),"")</f>
        <v/>
      </c>
      <c r="H500" t="str">
        <f>IFERROR(IF(OR(HLOOKUP($A500,#REF!,6,FALSE)&gt;2,HLOOKUP($A500,#REF!,6,FALSE)&lt;-2),"",#REF!),"")</f>
        <v/>
      </c>
      <c r="I500" t="str">
        <f>IFERROR(IF(OR(HLOOKUP($A500,#REF!,7,FALSE)&gt;2,HLOOKUP($A500,#REF!,7,FALSE)&lt;-2),"",#REF!),"")</f>
        <v/>
      </c>
      <c r="J500" t="str">
        <f>IFERROR(IF(OR(HLOOKUP($A500,#REF!,8,FALSE)&gt;2,HLOOKUP($A500,#REF!,8,FALSE)&lt;-2),"",#REF!),"")</f>
        <v/>
      </c>
      <c r="K500" t="str">
        <f>IFERROR(IF(OR(HLOOKUP($A500,#REF!,9,FALSE)&gt;2,HLOOKUP($A500,#REF!,9,FALSE)&lt;-2),"",#REF!),"")</f>
        <v/>
      </c>
      <c r="L500" t="str">
        <f>IFERROR(IF(OR(HLOOKUP($A500,#REF!,10,FALSE)&gt;2,HLOOKUP($A500,#REF!,10,FALSE)&lt;-2),"",#REF!),"")</f>
        <v/>
      </c>
      <c r="M500" t="str">
        <f>IFERROR(IF(OR(HLOOKUP($A500,#REF!,11,FALSE)&gt;2,HLOOKUP($A500,#REF!,11,FALSE)&lt;-2),"",#REF!),"")</f>
        <v/>
      </c>
      <c r="N500" t="str">
        <f>IFERROR(IF(OR(HLOOKUP($A500,#REF!,12,FALSE)&gt;2,HLOOKUP($A500,#REF!,12,FALSE)&lt;-2),"",#REF!),"")</f>
        <v/>
      </c>
      <c r="O500" t="str">
        <f>IFERROR(IF(OR(HLOOKUP($A500,#REF!,13,FALSE)&gt;2,HLOOKUP($A500,#REF!,13,FALSE)&lt;-2),"",#REF!),"")</f>
        <v/>
      </c>
      <c r="P500" t="str">
        <f>IFERROR(IF(OR(HLOOKUP($A500,#REF!,14,FALSE)&gt;2,HLOOKUP($A500,#REF!,14,FALSE)&lt;-2),"",#REF!),"")</f>
        <v/>
      </c>
      <c r="Q500" t="str">
        <f>IFERROR(IF(OR(HLOOKUP($A500,#REF!,15,FALSE)&gt;2,HLOOKUP($A500,#REF!,15,FALSE)&lt;-2),"",#REF!),"")</f>
        <v/>
      </c>
      <c r="R500" t="str">
        <f>IFERROR(IF(OR(HLOOKUP($A500,#REF!,16,FALSE)&gt;2,HLOOKUP($A500,#REF!,16,FALSE)&lt;-2),"",#REF!),"")</f>
        <v/>
      </c>
      <c r="S500" t="str">
        <f>IFERROR(IF(OR(HLOOKUP($A500,#REF!,17,FALSE)&gt;2,HLOOKUP($A500,#REF!,17,FALSE)&lt;-2),"",#REF!),"")</f>
        <v/>
      </c>
      <c r="T500" t="str">
        <f>IFERROR(IF(OR(HLOOKUP($A500,#REF!,18,FALSE)&gt;2,HLOOKUP($A500,#REF!,18,FALSE)&lt;-2),"",#REF!),"")</f>
        <v/>
      </c>
      <c r="U500" t="str">
        <f>IFERROR(IF(OR(HLOOKUP($A500,#REF!,19,FALSE)&gt;2,HLOOKUP($A500,#REF!,19,FALSE)&lt;-2),"",#REF!),"")</f>
        <v/>
      </c>
      <c r="V500">
        <f t="shared" si="28"/>
        <v>1</v>
      </c>
      <c r="W500" t="str">
        <f t="shared" si="29"/>
        <v/>
      </c>
      <c r="X500" t="str">
        <f t="shared" si="30"/>
        <v/>
      </c>
      <c r="Y500" t="str">
        <f t="shared" si="31"/>
        <v/>
      </c>
    </row>
    <row r="501" spans="1:25" x14ac:dyDescent="0.35">
      <c r="A501">
        <v>509</v>
      </c>
      <c r="B501" t="s">
        <v>853</v>
      </c>
      <c r="C501">
        <v>45600</v>
      </c>
      <c r="D501">
        <v>502</v>
      </c>
      <c r="E501" t="str">
        <f>IFERROR(IF(OR(HLOOKUP($A501,#REF!,3,FALSE)&gt;2,HLOOKUP(A501,#REF!,3,FALSE)&lt;-2),"",#REF!),"")</f>
        <v/>
      </c>
      <c r="F501" t="str">
        <f>IFERROR(IF(OR(HLOOKUP($A501,#REF!,4,FALSE)&gt;2,HLOOKUP($A501,#REF!,4,FALSE)&lt;-2),"",#REF!),"")</f>
        <v/>
      </c>
      <c r="G501" t="str">
        <f>IFERROR(IF(OR(HLOOKUP($A501,#REF!,5,FALSE)&gt;2,HLOOKUP($A501,#REF!,5,FALSE)&lt;-2),"",#REF!),"")</f>
        <v/>
      </c>
      <c r="H501" t="str">
        <f>IFERROR(IF(OR(HLOOKUP($A501,#REF!,6,FALSE)&gt;2,HLOOKUP($A501,#REF!,6,FALSE)&lt;-2),"",#REF!),"")</f>
        <v/>
      </c>
      <c r="I501" t="str">
        <f>IFERROR(IF(OR(HLOOKUP($A501,#REF!,7,FALSE)&gt;2,HLOOKUP($A501,#REF!,7,FALSE)&lt;-2),"",#REF!),"")</f>
        <v/>
      </c>
      <c r="J501" t="str">
        <f>IFERROR(IF(OR(HLOOKUP($A501,#REF!,8,FALSE)&gt;2,HLOOKUP($A501,#REF!,8,FALSE)&lt;-2),"",#REF!),"")</f>
        <v/>
      </c>
      <c r="K501" t="str">
        <f>IFERROR(IF(OR(HLOOKUP($A501,#REF!,9,FALSE)&gt;2,HLOOKUP($A501,#REF!,9,FALSE)&lt;-2),"",#REF!),"")</f>
        <v/>
      </c>
      <c r="L501" t="str">
        <f>IFERROR(IF(OR(HLOOKUP($A501,#REF!,10,FALSE)&gt;2,HLOOKUP($A501,#REF!,10,FALSE)&lt;-2),"",#REF!),"")</f>
        <v/>
      </c>
      <c r="M501" t="str">
        <f>IFERROR(IF(OR(HLOOKUP($A501,#REF!,11,FALSE)&gt;2,HLOOKUP($A501,#REF!,11,FALSE)&lt;-2),"",#REF!),"")</f>
        <v/>
      </c>
      <c r="N501" t="str">
        <f>IFERROR(IF(OR(HLOOKUP($A501,#REF!,12,FALSE)&gt;2,HLOOKUP($A501,#REF!,12,FALSE)&lt;-2),"",#REF!),"")</f>
        <v/>
      </c>
      <c r="O501" t="str">
        <f>IFERROR(IF(OR(HLOOKUP($A501,#REF!,13,FALSE)&gt;2,HLOOKUP($A501,#REF!,13,FALSE)&lt;-2),"",#REF!),"")</f>
        <v/>
      </c>
      <c r="P501" t="str">
        <f>IFERROR(IF(OR(HLOOKUP($A501,#REF!,14,FALSE)&gt;2,HLOOKUP($A501,#REF!,14,FALSE)&lt;-2),"",#REF!),"")</f>
        <v/>
      </c>
      <c r="Q501" t="str">
        <f>IFERROR(IF(OR(HLOOKUP($A501,#REF!,15,FALSE)&gt;2,HLOOKUP($A501,#REF!,15,FALSE)&lt;-2),"",#REF!),"")</f>
        <v/>
      </c>
      <c r="R501" t="str">
        <f>IFERROR(IF(OR(HLOOKUP($A501,#REF!,16,FALSE)&gt;2,HLOOKUP($A501,#REF!,16,FALSE)&lt;-2),"",#REF!),"")</f>
        <v/>
      </c>
      <c r="S501" t="str">
        <f>IFERROR(IF(OR(HLOOKUP($A501,#REF!,17,FALSE)&gt;2,HLOOKUP($A501,#REF!,17,FALSE)&lt;-2),"",#REF!),"")</f>
        <v/>
      </c>
      <c r="T501" t="str">
        <f>IFERROR(IF(OR(HLOOKUP($A501,#REF!,18,FALSE)&gt;2,HLOOKUP($A501,#REF!,18,FALSE)&lt;-2),"",#REF!),"")</f>
        <v/>
      </c>
      <c r="U501" t="str">
        <f>IFERROR(IF(OR(HLOOKUP($A501,#REF!,19,FALSE)&gt;2,HLOOKUP($A501,#REF!,19,FALSE)&lt;-2),"",#REF!),"")</f>
        <v/>
      </c>
      <c r="V501">
        <f t="shared" si="28"/>
        <v>1</v>
      </c>
      <c r="W501" t="str">
        <f t="shared" si="29"/>
        <v/>
      </c>
      <c r="X501" t="str">
        <f t="shared" si="30"/>
        <v/>
      </c>
      <c r="Y501" t="str">
        <f t="shared" si="31"/>
        <v/>
      </c>
    </row>
    <row r="502" spans="1:25" x14ac:dyDescent="0.35">
      <c r="A502">
        <v>510</v>
      </c>
      <c r="B502" t="s">
        <v>251</v>
      </c>
      <c r="C502">
        <v>5500</v>
      </c>
      <c r="D502">
        <v>337</v>
      </c>
      <c r="E502" t="str">
        <f>IFERROR(IF(OR(HLOOKUP($A502,#REF!,3,FALSE)&gt;2,HLOOKUP(A502,#REF!,3,FALSE)&lt;-2),"",#REF!),"")</f>
        <v/>
      </c>
      <c r="F502" t="str">
        <f>IFERROR(IF(OR(HLOOKUP($A502,#REF!,4,FALSE)&gt;2,HLOOKUP($A502,#REF!,4,FALSE)&lt;-2),"",#REF!),"")</f>
        <v/>
      </c>
      <c r="G502" t="str">
        <f>IFERROR(IF(OR(HLOOKUP($A502,#REF!,5,FALSE)&gt;2,HLOOKUP($A502,#REF!,5,FALSE)&lt;-2),"",#REF!),"")</f>
        <v/>
      </c>
      <c r="H502" t="str">
        <f>IFERROR(IF(OR(HLOOKUP($A502,#REF!,6,FALSE)&gt;2,HLOOKUP($A502,#REF!,6,FALSE)&lt;-2),"",#REF!),"")</f>
        <v/>
      </c>
      <c r="I502" t="str">
        <f>IFERROR(IF(OR(HLOOKUP($A502,#REF!,7,FALSE)&gt;2,HLOOKUP($A502,#REF!,7,FALSE)&lt;-2),"",#REF!),"")</f>
        <v/>
      </c>
      <c r="J502" t="str">
        <f>IFERROR(IF(OR(HLOOKUP($A502,#REF!,8,FALSE)&gt;2,HLOOKUP($A502,#REF!,8,FALSE)&lt;-2),"",#REF!),"")</f>
        <v/>
      </c>
      <c r="K502" t="str">
        <f>IFERROR(IF(OR(HLOOKUP($A502,#REF!,9,FALSE)&gt;2,HLOOKUP($A502,#REF!,9,FALSE)&lt;-2),"",#REF!),"")</f>
        <v/>
      </c>
      <c r="L502" t="str">
        <f>IFERROR(IF(OR(HLOOKUP($A502,#REF!,10,FALSE)&gt;2,HLOOKUP($A502,#REF!,10,FALSE)&lt;-2),"",#REF!),"")</f>
        <v/>
      </c>
      <c r="M502" t="str">
        <f>IFERROR(IF(OR(HLOOKUP($A502,#REF!,11,FALSE)&gt;2,HLOOKUP($A502,#REF!,11,FALSE)&lt;-2),"",#REF!),"")</f>
        <v/>
      </c>
      <c r="N502" t="str">
        <f>IFERROR(IF(OR(HLOOKUP($A502,#REF!,12,FALSE)&gt;2,HLOOKUP($A502,#REF!,12,FALSE)&lt;-2),"",#REF!),"")</f>
        <v/>
      </c>
      <c r="O502" t="str">
        <f>IFERROR(IF(OR(HLOOKUP($A502,#REF!,13,FALSE)&gt;2,HLOOKUP($A502,#REF!,13,FALSE)&lt;-2),"",#REF!),"")</f>
        <v/>
      </c>
      <c r="P502" t="str">
        <f>IFERROR(IF(OR(HLOOKUP($A502,#REF!,14,FALSE)&gt;2,HLOOKUP($A502,#REF!,14,FALSE)&lt;-2),"",#REF!),"")</f>
        <v/>
      </c>
      <c r="Q502" t="str">
        <f>IFERROR(IF(OR(HLOOKUP($A502,#REF!,15,FALSE)&gt;2,HLOOKUP($A502,#REF!,15,FALSE)&lt;-2),"",#REF!),"")</f>
        <v/>
      </c>
      <c r="R502" t="str">
        <f>IFERROR(IF(OR(HLOOKUP($A502,#REF!,16,FALSE)&gt;2,HLOOKUP($A502,#REF!,16,FALSE)&lt;-2),"",#REF!),"")</f>
        <v/>
      </c>
      <c r="S502" t="str">
        <f>IFERROR(IF(OR(HLOOKUP($A502,#REF!,17,FALSE)&gt;2,HLOOKUP($A502,#REF!,17,FALSE)&lt;-2),"",#REF!),"")</f>
        <v/>
      </c>
      <c r="T502" t="str">
        <f>IFERROR(IF(OR(HLOOKUP($A502,#REF!,18,FALSE)&gt;2,HLOOKUP($A502,#REF!,18,FALSE)&lt;-2),"",#REF!),"")</f>
        <v/>
      </c>
      <c r="U502" t="str">
        <f>IFERROR(IF(OR(HLOOKUP($A502,#REF!,19,FALSE)&gt;2,HLOOKUP($A502,#REF!,19,FALSE)&lt;-2),"",#REF!),"")</f>
        <v/>
      </c>
      <c r="V502">
        <f t="shared" si="28"/>
        <v>1</v>
      </c>
      <c r="W502" t="str">
        <f t="shared" si="29"/>
        <v/>
      </c>
      <c r="X502" t="str">
        <f t="shared" si="30"/>
        <v/>
      </c>
      <c r="Y502" t="str">
        <f t="shared" si="31"/>
        <v/>
      </c>
    </row>
    <row r="503" spans="1:25" x14ac:dyDescent="0.35">
      <c r="A503">
        <v>511</v>
      </c>
      <c r="B503" t="s">
        <v>252</v>
      </c>
      <c r="C503">
        <v>81400</v>
      </c>
      <c r="D503">
        <v>10</v>
      </c>
      <c r="E503" t="str">
        <f>IFERROR(IF(OR(HLOOKUP($A503,#REF!,3,FALSE)&gt;2,HLOOKUP(A503,#REF!,3,FALSE)&lt;-2),"",#REF!),"")</f>
        <v/>
      </c>
      <c r="F503" t="str">
        <f>IFERROR(IF(OR(HLOOKUP($A503,#REF!,4,FALSE)&gt;2,HLOOKUP($A503,#REF!,4,FALSE)&lt;-2),"",#REF!),"")</f>
        <v/>
      </c>
      <c r="G503" t="str">
        <f>IFERROR(IF(OR(HLOOKUP($A503,#REF!,5,FALSE)&gt;2,HLOOKUP($A503,#REF!,5,FALSE)&lt;-2),"",#REF!),"")</f>
        <v/>
      </c>
      <c r="H503" t="str">
        <f>IFERROR(IF(OR(HLOOKUP($A503,#REF!,6,FALSE)&gt;2,HLOOKUP($A503,#REF!,6,FALSE)&lt;-2),"",#REF!),"")</f>
        <v/>
      </c>
      <c r="I503" t="str">
        <f>IFERROR(IF(OR(HLOOKUP($A503,#REF!,7,FALSE)&gt;2,HLOOKUP($A503,#REF!,7,FALSE)&lt;-2),"",#REF!),"")</f>
        <v/>
      </c>
      <c r="J503" t="str">
        <f>IFERROR(IF(OR(HLOOKUP($A503,#REF!,8,FALSE)&gt;2,HLOOKUP($A503,#REF!,8,FALSE)&lt;-2),"",#REF!),"")</f>
        <v/>
      </c>
      <c r="K503" t="str">
        <f>IFERROR(IF(OR(HLOOKUP($A503,#REF!,9,FALSE)&gt;2,HLOOKUP($A503,#REF!,9,FALSE)&lt;-2),"",#REF!),"")</f>
        <v/>
      </c>
      <c r="L503" t="str">
        <f>IFERROR(IF(OR(HLOOKUP($A503,#REF!,10,FALSE)&gt;2,HLOOKUP($A503,#REF!,10,FALSE)&lt;-2),"",#REF!),"")</f>
        <v/>
      </c>
      <c r="M503" t="str">
        <f>IFERROR(IF(OR(HLOOKUP($A503,#REF!,11,FALSE)&gt;2,HLOOKUP($A503,#REF!,11,FALSE)&lt;-2),"",#REF!),"")</f>
        <v/>
      </c>
      <c r="N503" t="str">
        <f>IFERROR(IF(OR(HLOOKUP($A503,#REF!,12,FALSE)&gt;2,HLOOKUP($A503,#REF!,12,FALSE)&lt;-2),"",#REF!),"")</f>
        <v/>
      </c>
      <c r="O503" t="str">
        <f>IFERROR(IF(OR(HLOOKUP($A503,#REF!,13,FALSE)&gt;2,HLOOKUP($A503,#REF!,13,FALSE)&lt;-2),"",#REF!),"")</f>
        <v/>
      </c>
      <c r="P503" t="str">
        <f>IFERROR(IF(OR(HLOOKUP($A503,#REF!,14,FALSE)&gt;2,HLOOKUP($A503,#REF!,14,FALSE)&lt;-2),"",#REF!),"")</f>
        <v/>
      </c>
      <c r="Q503" t="str">
        <f>IFERROR(IF(OR(HLOOKUP($A503,#REF!,15,FALSE)&gt;2,HLOOKUP($A503,#REF!,15,FALSE)&lt;-2),"",#REF!),"")</f>
        <v/>
      </c>
      <c r="R503" t="str">
        <f>IFERROR(IF(OR(HLOOKUP($A503,#REF!,16,FALSE)&gt;2,HLOOKUP($A503,#REF!,16,FALSE)&lt;-2),"",#REF!),"")</f>
        <v/>
      </c>
      <c r="S503" t="str">
        <f>IFERROR(IF(OR(HLOOKUP($A503,#REF!,17,FALSE)&gt;2,HLOOKUP($A503,#REF!,17,FALSE)&lt;-2),"",#REF!),"")</f>
        <v/>
      </c>
      <c r="T503" t="str">
        <f>IFERROR(IF(OR(HLOOKUP($A503,#REF!,18,FALSE)&gt;2,HLOOKUP($A503,#REF!,18,FALSE)&lt;-2),"",#REF!),"")</f>
        <v/>
      </c>
      <c r="U503" t="str">
        <f>IFERROR(IF(OR(HLOOKUP($A503,#REF!,19,FALSE)&gt;2,HLOOKUP($A503,#REF!,19,FALSE)&lt;-2),"",#REF!),"")</f>
        <v/>
      </c>
      <c r="V503">
        <f t="shared" si="28"/>
        <v>1</v>
      </c>
      <c r="W503" t="str">
        <f t="shared" si="29"/>
        <v/>
      </c>
      <c r="X503" t="str">
        <f t="shared" si="30"/>
        <v/>
      </c>
      <c r="Y503" t="str">
        <f t="shared" si="31"/>
        <v/>
      </c>
    </row>
    <row r="504" spans="1:25" x14ac:dyDescent="0.35">
      <c r="A504">
        <v>512</v>
      </c>
      <c r="B504" t="s">
        <v>854</v>
      </c>
      <c r="C504">
        <v>54700</v>
      </c>
      <c r="D504">
        <v>8</v>
      </c>
      <c r="E504" t="str">
        <f>IFERROR(IF(OR(HLOOKUP($A504,#REF!,3,FALSE)&gt;2,HLOOKUP(A504,#REF!,3,FALSE)&lt;-2),"",#REF!),"")</f>
        <v/>
      </c>
      <c r="F504" t="str">
        <f>IFERROR(IF(OR(HLOOKUP($A504,#REF!,4,FALSE)&gt;2,HLOOKUP($A504,#REF!,4,FALSE)&lt;-2),"",#REF!),"")</f>
        <v/>
      </c>
      <c r="G504" t="str">
        <f>IFERROR(IF(OR(HLOOKUP($A504,#REF!,5,FALSE)&gt;2,HLOOKUP($A504,#REF!,5,FALSE)&lt;-2),"",#REF!),"")</f>
        <v/>
      </c>
      <c r="H504" t="str">
        <f>IFERROR(IF(OR(HLOOKUP($A504,#REF!,6,FALSE)&gt;2,HLOOKUP($A504,#REF!,6,FALSE)&lt;-2),"",#REF!),"")</f>
        <v/>
      </c>
      <c r="I504" t="str">
        <f>IFERROR(IF(OR(HLOOKUP($A504,#REF!,7,FALSE)&gt;2,HLOOKUP($A504,#REF!,7,FALSE)&lt;-2),"",#REF!),"")</f>
        <v/>
      </c>
      <c r="J504" t="str">
        <f>IFERROR(IF(OR(HLOOKUP($A504,#REF!,8,FALSE)&gt;2,HLOOKUP($A504,#REF!,8,FALSE)&lt;-2),"",#REF!),"")</f>
        <v/>
      </c>
      <c r="K504" t="str">
        <f>IFERROR(IF(OR(HLOOKUP($A504,#REF!,9,FALSE)&gt;2,HLOOKUP($A504,#REF!,9,FALSE)&lt;-2),"",#REF!),"")</f>
        <v/>
      </c>
      <c r="L504" t="str">
        <f>IFERROR(IF(OR(HLOOKUP($A504,#REF!,10,FALSE)&gt;2,HLOOKUP($A504,#REF!,10,FALSE)&lt;-2),"",#REF!),"")</f>
        <v/>
      </c>
      <c r="M504" t="str">
        <f>IFERROR(IF(OR(HLOOKUP($A504,#REF!,11,FALSE)&gt;2,HLOOKUP($A504,#REF!,11,FALSE)&lt;-2),"",#REF!),"")</f>
        <v/>
      </c>
      <c r="N504" t="str">
        <f>IFERROR(IF(OR(HLOOKUP($A504,#REF!,12,FALSE)&gt;2,HLOOKUP($A504,#REF!,12,FALSE)&lt;-2),"",#REF!),"")</f>
        <v/>
      </c>
      <c r="O504" t="str">
        <f>IFERROR(IF(OR(HLOOKUP($A504,#REF!,13,FALSE)&gt;2,HLOOKUP($A504,#REF!,13,FALSE)&lt;-2),"",#REF!),"")</f>
        <v/>
      </c>
      <c r="P504" t="str">
        <f>IFERROR(IF(OR(HLOOKUP($A504,#REF!,14,FALSE)&gt;2,HLOOKUP($A504,#REF!,14,FALSE)&lt;-2),"",#REF!),"")</f>
        <v/>
      </c>
      <c r="Q504" t="str">
        <f>IFERROR(IF(OR(HLOOKUP($A504,#REF!,15,FALSE)&gt;2,HLOOKUP($A504,#REF!,15,FALSE)&lt;-2),"",#REF!),"")</f>
        <v/>
      </c>
      <c r="R504" t="str">
        <f>IFERROR(IF(OR(HLOOKUP($A504,#REF!,16,FALSE)&gt;2,HLOOKUP($A504,#REF!,16,FALSE)&lt;-2),"",#REF!),"")</f>
        <v/>
      </c>
      <c r="S504" t="str">
        <f>IFERROR(IF(OR(HLOOKUP($A504,#REF!,17,FALSE)&gt;2,HLOOKUP($A504,#REF!,17,FALSE)&lt;-2),"",#REF!),"")</f>
        <v/>
      </c>
      <c r="T504" t="str">
        <f>IFERROR(IF(OR(HLOOKUP($A504,#REF!,18,FALSE)&gt;2,HLOOKUP($A504,#REF!,18,FALSE)&lt;-2),"",#REF!),"")</f>
        <v/>
      </c>
      <c r="U504" t="str">
        <f>IFERROR(IF(OR(HLOOKUP($A504,#REF!,19,FALSE)&gt;2,HLOOKUP($A504,#REF!,19,FALSE)&lt;-2),"",#REF!),"")</f>
        <v/>
      </c>
      <c r="V504">
        <f t="shared" si="28"/>
        <v>1</v>
      </c>
      <c r="W504" t="str">
        <f t="shared" si="29"/>
        <v/>
      </c>
      <c r="X504" t="str">
        <f t="shared" si="30"/>
        <v/>
      </c>
      <c r="Y504" t="str">
        <f t="shared" si="31"/>
        <v/>
      </c>
    </row>
    <row r="505" spans="1:25" x14ac:dyDescent="0.35">
      <c r="A505">
        <v>513</v>
      </c>
      <c r="B505" t="s">
        <v>855</v>
      </c>
      <c r="C505">
        <v>53400</v>
      </c>
      <c r="D505">
        <v>359</v>
      </c>
      <c r="E505" t="str">
        <f>IFERROR(IF(OR(HLOOKUP($A505,#REF!,3,FALSE)&gt;2,HLOOKUP(A505,#REF!,3,FALSE)&lt;-2),"",#REF!),"")</f>
        <v/>
      </c>
      <c r="F505" t="str">
        <f>IFERROR(IF(OR(HLOOKUP($A505,#REF!,4,FALSE)&gt;2,HLOOKUP($A505,#REF!,4,FALSE)&lt;-2),"",#REF!),"")</f>
        <v/>
      </c>
      <c r="G505" t="str">
        <f>IFERROR(IF(OR(HLOOKUP($A505,#REF!,5,FALSE)&gt;2,HLOOKUP($A505,#REF!,5,FALSE)&lt;-2),"",#REF!),"")</f>
        <v/>
      </c>
      <c r="H505" t="str">
        <f>IFERROR(IF(OR(HLOOKUP($A505,#REF!,6,FALSE)&gt;2,HLOOKUP($A505,#REF!,6,FALSE)&lt;-2),"",#REF!),"")</f>
        <v/>
      </c>
      <c r="I505" t="str">
        <f>IFERROR(IF(OR(HLOOKUP($A505,#REF!,7,FALSE)&gt;2,HLOOKUP($A505,#REF!,7,FALSE)&lt;-2),"",#REF!),"")</f>
        <v/>
      </c>
      <c r="J505" t="str">
        <f>IFERROR(IF(OR(HLOOKUP($A505,#REF!,8,FALSE)&gt;2,HLOOKUP($A505,#REF!,8,FALSE)&lt;-2),"",#REF!),"")</f>
        <v/>
      </c>
      <c r="K505" t="str">
        <f>IFERROR(IF(OR(HLOOKUP($A505,#REF!,9,FALSE)&gt;2,HLOOKUP($A505,#REF!,9,FALSE)&lt;-2),"",#REF!),"")</f>
        <v/>
      </c>
      <c r="L505" t="str">
        <f>IFERROR(IF(OR(HLOOKUP($A505,#REF!,10,FALSE)&gt;2,HLOOKUP($A505,#REF!,10,FALSE)&lt;-2),"",#REF!),"")</f>
        <v/>
      </c>
      <c r="M505" t="str">
        <f>IFERROR(IF(OR(HLOOKUP($A505,#REF!,11,FALSE)&gt;2,HLOOKUP($A505,#REF!,11,FALSE)&lt;-2),"",#REF!),"")</f>
        <v/>
      </c>
      <c r="N505" t="str">
        <f>IFERROR(IF(OR(HLOOKUP($A505,#REF!,12,FALSE)&gt;2,HLOOKUP($A505,#REF!,12,FALSE)&lt;-2),"",#REF!),"")</f>
        <v/>
      </c>
      <c r="O505" t="str">
        <f>IFERROR(IF(OR(HLOOKUP($A505,#REF!,13,FALSE)&gt;2,HLOOKUP($A505,#REF!,13,FALSE)&lt;-2),"",#REF!),"")</f>
        <v/>
      </c>
      <c r="P505" t="str">
        <f>IFERROR(IF(OR(HLOOKUP($A505,#REF!,14,FALSE)&gt;2,HLOOKUP($A505,#REF!,14,FALSE)&lt;-2),"",#REF!),"")</f>
        <v/>
      </c>
      <c r="Q505" t="str">
        <f>IFERROR(IF(OR(HLOOKUP($A505,#REF!,15,FALSE)&gt;2,HLOOKUP($A505,#REF!,15,FALSE)&lt;-2),"",#REF!),"")</f>
        <v/>
      </c>
      <c r="R505" t="str">
        <f>IFERROR(IF(OR(HLOOKUP($A505,#REF!,16,FALSE)&gt;2,HLOOKUP($A505,#REF!,16,FALSE)&lt;-2),"",#REF!),"")</f>
        <v/>
      </c>
      <c r="S505" t="str">
        <f>IFERROR(IF(OR(HLOOKUP($A505,#REF!,17,FALSE)&gt;2,HLOOKUP($A505,#REF!,17,FALSE)&lt;-2),"",#REF!),"")</f>
        <v/>
      </c>
      <c r="T505" t="str">
        <f>IFERROR(IF(OR(HLOOKUP($A505,#REF!,18,FALSE)&gt;2,HLOOKUP($A505,#REF!,18,FALSE)&lt;-2),"",#REF!),"")</f>
        <v/>
      </c>
      <c r="U505" t="str">
        <f>IFERROR(IF(OR(HLOOKUP($A505,#REF!,19,FALSE)&gt;2,HLOOKUP($A505,#REF!,19,FALSE)&lt;-2),"",#REF!),"")</f>
        <v/>
      </c>
      <c r="V505">
        <f t="shared" si="28"/>
        <v>1</v>
      </c>
      <c r="W505" t="str">
        <f t="shared" si="29"/>
        <v/>
      </c>
      <c r="X505" t="str">
        <f t="shared" si="30"/>
        <v/>
      </c>
      <c r="Y505" t="str">
        <f t="shared" si="31"/>
        <v/>
      </c>
    </row>
    <row r="506" spans="1:25" x14ac:dyDescent="0.35">
      <c r="A506">
        <v>514</v>
      </c>
      <c r="B506" t="s">
        <v>856</v>
      </c>
      <c r="C506">
        <v>102600</v>
      </c>
      <c r="D506">
        <v>932</v>
      </c>
      <c r="E506" t="str">
        <f>IFERROR(IF(OR(HLOOKUP($A506,#REF!,3,FALSE)&gt;2,HLOOKUP(A506,#REF!,3,FALSE)&lt;-2),"",#REF!),"")</f>
        <v/>
      </c>
      <c r="F506" t="str">
        <f>IFERROR(IF(OR(HLOOKUP($A506,#REF!,4,FALSE)&gt;2,HLOOKUP($A506,#REF!,4,FALSE)&lt;-2),"",#REF!),"")</f>
        <v/>
      </c>
      <c r="G506" t="str">
        <f>IFERROR(IF(OR(HLOOKUP($A506,#REF!,5,FALSE)&gt;2,HLOOKUP($A506,#REF!,5,FALSE)&lt;-2),"",#REF!),"")</f>
        <v/>
      </c>
      <c r="H506" t="str">
        <f>IFERROR(IF(OR(HLOOKUP($A506,#REF!,6,FALSE)&gt;2,HLOOKUP($A506,#REF!,6,FALSE)&lt;-2),"",#REF!),"")</f>
        <v/>
      </c>
      <c r="I506" t="str">
        <f>IFERROR(IF(OR(HLOOKUP($A506,#REF!,7,FALSE)&gt;2,HLOOKUP($A506,#REF!,7,FALSE)&lt;-2),"",#REF!),"")</f>
        <v/>
      </c>
      <c r="J506" t="str">
        <f>IFERROR(IF(OR(HLOOKUP($A506,#REF!,8,FALSE)&gt;2,HLOOKUP($A506,#REF!,8,FALSE)&lt;-2),"",#REF!),"")</f>
        <v/>
      </c>
      <c r="K506" t="str">
        <f>IFERROR(IF(OR(HLOOKUP($A506,#REF!,9,FALSE)&gt;2,HLOOKUP($A506,#REF!,9,FALSE)&lt;-2),"",#REF!),"")</f>
        <v/>
      </c>
      <c r="L506" t="str">
        <f>IFERROR(IF(OR(HLOOKUP($A506,#REF!,10,FALSE)&gt;2,HLOOKUP($A506,#REF!,10,FALSE)&lt;-2),"",#REF!),"")</f>
        <v/>
      </c>
      <c r="M506" t="str">
        <f>IFERROR(IF(OR(HLOOKUP($A506,#REF!,11,FALSE)&gt;2,HLOOKUP($A506,#REF!,11,FALSE)&lt;-2),"",#REF!),"")</f>
        <v/>
      </c>
      <c r="N506" t="str">
        <f>IFERROR(IF(OR(HLOOKUP($A506,#REF!,12,FALSE)&gt;2,HLOOKUP($A506,#REF!,12,FALSE)&lt;-2),"",#REF!),"")</f>
        <v/>
      </c>
      <c r="O506" t="str">
        <f>IFERROR(IF(OR(HLOOKUP($A506,#REF!,13,FALSE)&gt;2,HLOOKUP($A506,#REF!,13,FALSE)&lt;-2),"",#REF!),"")</f>
        <v/>
      </c>
      <c r="P506" t="str">
        <f>IFERROR(IF(OR(HLOOKUP($A506,#REF!,14,FALSE)&gt;2,HLOOKUP($A506,#REF!,14,FALSE)&lt;-2),"",#REF!),"")</f>
        <v/>
      </c>
      <c r="Q506" t="str">
        <f>IFERROR(IF(OR(HLOOKUP($A506,#REF!,15,FALSE)&gt;2,HLOOKUP($A506,#REF!,15,FALSE)&lt;-2),"",#REF!),"")</f>
        <v/>
      </c>
      <c r="R506" t="str">
        <f>IFERROR(IF(OR(HLOOKUP($A506,#REF!,16,FALSE)&gt;2,HLOOKUP($A506,#REF!,16,FALSE)&lt;-2),"",#REF!),"")</f>
        <v/>
      </c>
      <c r="S506" t="str">
        <f>IFERROR(IF(OR(HLOOKUP($A506,#REF!,17,FALSE)&gt;2,HLOOKUP($A506,#REF!,17,FALSE)&lt;-2),"",#REF!),"")</f>
        <v/>
      </c>
      <c r="T506" t="str">
        <f>IFERROR(IF(OR(HLOOKUP($A506,#REF!,18,FALSE)&gt;2,HLOOKUP($A506,#REF!,18,FALSE)&lt;-2),"",#REF!),"")</f>
        <v/>
      </c>
      <c r="U506" t="str">
        <f>IFERROR(IF(OR(HLOOKUP($A506,#REF!,19,FALSE)&gt;2,HLOOKUP($A506,#REF!,19,FALSE)&lt;-2),"",#REF!),"")</f>
        <v/>
      </c>
      <c r="V506">
        <f t="shared" si="28"/>
        <v>1</v>
      </c>
      <c r="W506" t="str">
        <f t="shared" si="29"/>
        <v/>
      </c>
      <c r="X506" t="str">
        <f t="shared" si="30"/>
        <v/>
      </c>
      <c r="Y506" t="str">
        <f t="shared" si="31"/>
        <v/>
      </c>
    </row>
    <row r="507" spans="1:25" x14ac:dyDescent="0.35">
      <c r="A507">
        <v>515</v>
      </c>
      <c r="B507" t="s">
        <v>253</v>
      </c>
      <c r="C507">
        <v>75600</v>
      </c>
      <c r="D507">
        <v>467</v>
      </c>
      <c r="E507" t="str">
        <f>IFERROR(IF(OR(HLOOKUP($A507,#REF!,3,FALSE)&gt;2,HLOOKUP(A507,#REF!,3,FALSE)&lt;-2),"",#REF!),"")</f>
        <v/>
      </c>
      <c r="F507" t="str">
        <f>IFERROR(IF(OR(HLOOKUP($A507,#REF!,4,FALSE)&gt;2,HLOOKUP($A507,#REF!,4,FALSE)&lt;-2),"",#REF!),"")</f>
        <v/>
      </c>
      <c r="G507" t="str">
        <f>IFERROR(IF(OR(HLOOKUP($A507,#REF!,5,FALSE)&gt;2,HLOOKUP($A507,#REF!,5,FALSE)&lt;-2),"",#REF!),"")</f>
        <v/>
      </c>
      <c r="H507" t="str">
        <f>IFERROR(IF(OR(HLOOKUP($A507,#REF!,6,FALSE)&gt;2,HLOOKUP($A507,#REF!,6,FALSE)&lt;-2),"",#REF!),"")</f>
        <v/>
      </c>
      <c r="I507" t="str">
        <f>IFERROR(IF(OR(HLOOKUP($A507,#REF!,7,FALSE)&gt;2,HLOOKUP($A507,#REF!,7,FALSE)&lt;-2),"",#REF!),"")</f>
        <v/>
      </c>
      <c r="J507" t="str">
        <f>IFERROR(IF(OR(HLOOKUP($A507,#REF!,8,FALSE)&gt;2,HLOOKUP($A507,#REF!,8,FALSE)&lt;-2),"",#REF!),"")</f>
        <v/>
      </c>
      <c r="K507" t="str">
        <f>IFERROR(IF(OR(HLOOKUP($A507,#REF!,9,FALSE)&gt;2,HLOOKUP($A507,#REF!,9,FALSE)&lt;-2),"",#REF!),"")</f>
        <v/>
      </c>
      <c r="L507" t="str">
        <f>IFERROR(IF(OR(HLOOKUP($A507,#REF!,10,FALSE)&gt;2,HLOOKUP($A507,#REF!,10,FALSE)&lt;-2),"",#REF!),"")</f>
        <v/>
      </c>
      <c r="M507" t="str">
        <f>IFERROR(IF(OR(HLOOKUP($A507,#REF!,11,FALSE)&gt;2,HLOOKUP($A507,#REF!,11,FALSE)&lt;-2),"",#REF!),"")</f>
        <v/>
      </c>
      <c r="N507" t="str">
        <f>IFERROR(IF(OR(HLOOKUP($A507,#REF!,12,FALSE)&gt;2,HLOOKUP($A507,#REF!,12,FALSE)&lt;-2),"",#REF!),"")</f>
        <v/>
      </c>
      <c r="O507" t="str">
        <f>IFERROR(IF(OR(HLOOKUP($A507,#REF!,13,FALSE)&gt;2,HLOOKUP($A507,#REF!,13,FALSE)&lt;-2),"",#REF!),"")</f>
        <v/>
      </c>
      <c r="P507" t="str">
        <f>IFERROR(IF(OR(HLOOKUP($A507,#REF!,14,FALSE)&gt;2,HLOOKUP($A507,#REF!,14,FALSE)&lt;-2),"",#REF!),"")</f>
        <v/>
      </c>
      <c r="Q507" t="str">
        <f>IFERROR(IF(OR(HLOOKUP($A507,#REF!,15,FALSE)&gt;2,HLOOKUP($A507,#REF!,15,FALSE)&lt;-2),"",#REF!),"")</f>
        <v/>
      </c>
      <c r="R507" t="str">
        <f>IFERROR(IF(OR(HLOOKUP($A507,#REF!,16,FALSE)&gt;2,HLOOKUP($A507,#REF!,16,FALSE)&lt;-2),"",#REF!),"")</f>
        <v/>
      </c>
      <c r="S507" t="str">
        <f>IFERROR(IF(OR(HLOOKUP($A507,#REF!,17,FALSE)&gt;2,HLOOKUP($A507,#REF!,17,FALSE)&lt;-2),"",#REF!),"")</f>
        <v/>
      </c>
      <c r="T507" t="str">
        <f>IFERROR(IF(OR(HLOOKUP($A507,#REF!,18,FALSE)&gt;2,HLOOKUP($A507,#REF!,18,FALSE)&lt;-2),"",#REF!),"")</f>
        <v/>
      </c>
      <c r="U507" t="str">
        <f>IFERROR(IF(OR(HLOOKUP($A507,#REF!,19,FALSE)&gt;2,HLOOKUP($A507,#REF!,19,FALSE)&lt;-2),"",#REF!),"")</f>
        <v/>
      </c>
      <c r="V507">
        <f t="shared" si="28"/>
        <v>1</v>
      </c>
      <c r="W507" t="str">
        <f t="shared" si="29"/>
        <v/>
      </c>
      <c r="X507" t="str">
        <f t="shared" si="30"/>
        <v/>
      </c>
      <c r="Y507" t="str">
        <f t="shared" si="31"/>
        <v/>
      </c>
    </row>
    <row r="508" spans="1:25" x14ac:dyDescent="0.35">
      <c r="A508">
        <v>516</v>
      </c>
      <c r="B508" t="s">
        <v>857</v>
      </c>
      <c r="C508">
        <v>21300</v>
      </c>
      <c r="D508">
        <v>714</v>
      </c>
      <c r="E508" t="str">
        <f>IFERROR(IF(OR(HLOOKUP($A508,#REF!,3,FALSE)&gt;2,HLOOKUP(A508,#REF!,3,FALSE)&lt;-2),"",#REF!),"")</f>
        <v/>
      </c>
      <c r="F508" t="str">
        <f>IFERROR(IF(OR(HLOOKUP($A508,#REF!,4,FALSE)&gt;2,HLOOKUP($A508,#REF!,4,FALSE)&lt;-2),"",#REF!),"")</f>
        <v/>
      </c>
      <c r="G508" t="str">
        <f>IFERROR(IF(OR(HLOOKUP($A508,#REF!,5,FALSE)&gt;2,HLOOKUP($A508,#REF!,5,FALSE)&lt;-2),"",#REF!),"")</f>
        <v/>
      </c>
      <c r="H508" t="str">
        <f>IFERROR(IF(OR(HLOOKUP($A508,#REF!,6,FALSE)&gt;2,HLOOKUP($A508,#REF!,6,FALSE)&lt;-2),"",#REF!),"")</f>
        <v/>
      </c>
      <c r="I508" t="str">
        <f>IFERROR(IF(OR(HLOOKUP($A508,#REF!,7,FALSE)&gt;2,HLOOKUP($A508,#REF!,7,FALSE)&lt;-2),"",#REF!),"")</f>
        <v/>
      </c>
      <c r="J508" t="str">
        <f>IFERROR(IF(OR(HLOOKUP($A508,#REF!,8,FALSE)&gt;2,HLOOKUP($A508,#REF!,8,FALSE)&lt;-2),"",#REF!),"")</f>
        <v/>
      </c>
      <c r="K508" t="str">
        <f>IFERROR(IF(OR(HLOOKUP($A508,#REF!,9,FALSE)&gt;2,HLOOKUP($A508,#REF!,9,FALSE)&lt;-2),"",#REF!),"")</f>
        <v/>
      </c>
      <c r="L508" t="str">
        <f>IFERROR(IF(OR(HLOOKUP($A508,#REF!,10,FALSE)&gt;2,HLOOKUP($A508,#REF!,10,FALSE)&lt;-2),"",#REF!),"")</f>
        <v/>
      </c>
      <c r="M508" t="str">
        <f>IFERROR(IF(OR(HLOOKUP($A508,#REF!,11,FALSE)&gt;2,HLOOKUP($A508,#REF!,11,FALSE)&lt;-2),"",#REF!),"")</f>
        <v/>
      </c>
      <c r="N508" t="str">
        <f>IFERROR(IF(OR(HLOOKUP($A508,#REF!,12,FALSE)&gt;2,HLOOKUP($A508,#REF!,12,FALSE)&lt;-2),"",#REF!),"")</f>
        <v/>
      </c>
      <c r="O508" t="str">
        <f>IFERROR(IF(OR(HLOOKUP($A508,#REF!,13,FALSE)&gt;2,HLOOKUP($A508,#REF!,13,FALSE)&lt;-2),"",#REF!),"")</f>
        <v/>
      </c>
      <c r="P508" t="str">
        <f>IFERROR(IF(OR(HLOOKUP($A508,#REF!,14,FALSE)&gt;2,HLOOKUP($A508,#REF!,14,FALSE)&lt;-2),"",#REF!),"")</f>
        <v/>
      </c>
      <c r="Q508" t="str">
        <f>IFERROR(IF(OR(HLOOKUP($A508,#REF!,15,FALSE)&gt;2,HLOOKUP($A508,#REF!,15,FALSE)&lt;-2),"",#REF!),"")</f>
        <v/>
      </c>
      <c r="R508" t="str">
        <f>IFERROR(IF(OR(HLOOKUP($A508,#REF!,16,FALSE)&gt;2,HLOOKUP($A508,#REF!,16,FALSE)&lt;-2),"",#REF!),"")</f>
        <v/>
      </c>
      <c r="S508" t="str">
        <f>IFERROR(IF(OR(HLOOKUP($A508,#REF!,17,FALSE)&gt;2,HLOOKUP($A508,#REF!,17,FALSE)&lt;-2),"",#REF!),"")</f>
        <v/>
      </c>
      <c r="T508" t="str">
        <f>IFERROR(IF(OR(HLOOKUP($A508,#REF!,18,FALSE)&gt;2,HLOOKUP($A508,#REF!,18,FALSE)&lt;-2),"",#REF!),"")</f>
        <v/>
      </c>
      <c r="U508" t="str">
        <f>IFERROR(IF(OR(HLOOKUP($A508,#REF!,19,FALSE)&gt;2,HLOOKUP($A508,#REF!,19,FALSE)&lt;-2),"",#REF!),"")</f>
        <v/>
      </c>
      <c r="V508">
        <f t="shared" si="28"/>
        <v>1</v>
      </c>
      <c r="W508" t="str">
        <f t="shared" si="29"/>
        <v/>
      </c>
      <c r="X508" t="str">
        <f t="shared" si="30"/>
        <v/>
      </c>
      <c r="Y508" t="str">
        <f t="shared" si="31"/>
        <v/>
      </c>
    </row>
    <row r="509" spans="1:25" x14ac:dyDescent="0.35">
      <c r="A509">
        <v>517</v>
      </c>
      <c r="B509" t="s">
        <v>858</v>
      </c>
      <c r="C509">
        <v>37000</v>
      </c>
      <c r="D509">
        <v>566</v>
      </c>
      <c r="E509" t="str">
        <f>IFERROR(IF(OR(HLOOKUP($A509,#REF!,3,FALSE)&gt;2,HLOOKUP(A509,#REF!,3,FALSE)&lt;-2),"",#REF!),"")</f>
        <v/>
      </c>
      <c r="F509" t="str">
        <f>IFERROR(IF(OR(HLOOKUP($A509,#REF!,4,FALSE)&gt;2,HLOOKUP($A509,#REF!,4,FALSE)&lt;-2),"",#REF!),"")</f>
        <v/>
      </c>
      <c r="G509" t="str">
        <f>IFERROR(IF(OR(HLOOKUP($A509,#REF!,5,FALSE)&gt;2,HLOOKUP($A509,#REF!,5,FALSE)&lt;-2),"",#REF!),"")</f>
        <v/>
      </c>
      <c r="H509" t="str">
        <f>IFERROR(IF(OR(HLOOKUP($A509,#REF!,6,FALSE)&gt;2,HLOOKUP($A509,#REF!,6,FALSE)&lt;-2),"",#REF!),"")</f>
        <v/>
      </c>
      <c r="I509" t="str">
        <f>IFERROR(IF(OR(HLOOKUP($A509,#REF!,7,FALSE)&gt;2,HLOOKUP($A509,#REF!,7,FALSE)&lt;-2),"",#REF!),"")</f>
        <v/>
      </c>
      <c r="J509" t="str">
        <f>IFERROR(IF(OR(HLOOKUP($A509,#REF!,8,FALSE)&gt;2,HLOOKUP($A509,#REF!,8,FALSE)&lt;-2),"",#REF!),"")</f>
        <v/>
      </c>
      <c r="K509" t="str">
        <f>IFERROR(IF(OR(HLOOKUP($A509,#REF!,9,FALSE)&gt;2,HLOOKUP($A509,#REF!,9,FALSE)&lt;-2),"",#REF!),"")</f>
        <v/>
      </c>
      <c r="L509" t="str">
        <f>IFERROR(IF(OR(HLOOKUP($A509,#REF!,10,FALSE)&gt;2,HLOOKUP($A509,#REF!,10,FALSE)&lt;-2),"",#REF!),"")</f>
        <v/>
      </c>
      <c r="M509" t="str">
        <f>IFERROR(IF(OR(HLOOKUP($A509,#REF!,11,FALSE)&gt;2,HLOOKUP($A509,#REF!,11,FALSE)&lt;-2),"",#REF!),"")</f>
        <v/>
      </c>
      <c r="N509" t="str">
        <f>IFERROR(IF(OR(HLOOKUP($A509,#REF!,12,FALSE)&gt;2,HLOOKUP($A509,#REF!,12,FALSE)&lt;-2),"",#REF!),"")</f>
        <v/>
      </c>
      <c r="O509" t="str">
        <f>IFERROR(IF(OR(HLOOKUP($A509,#REF!,13,FALSE)&gt;2,HLOOKUP($A509,#REF!,13,FALSE)&lt;-2),"",#REF!),"")</f>
        <v/>
      </c>
      <c r="P509" t="str">
        <f>IFERROR(IF(OR(HLOOKUP($A509,#REF!,14,FALSE)&gt;2,HLOOKUP($A509,#REF!,14,FALSE)&lt;-2),"",#REF!),"")</f>
        <v/>
      </c>
      <c r="Q509" t="str">
        <f>IFERROR(IF(OR(HLOOKUP($A509,#REF!,15,FALSE)&gt;2,HLOOKUP($A509,#REF!,15,FALSE)&lt;-2),"",#REF!),"")</f>
        <v/>
      </c>
      <c r="R509" t="str">
        <f>IFERROR(IF(OR(HLOOKUP($A509,#REF!,16,FALSE)&gt;2,HLOOKUP($A509,#REF!,16,FALSE)&lt;-2),"",#REF!),"")</f>
        <v/>
      </c>
      <c r="S509" t="str">
        <f>IFERROR(IF(OR(HLOOKUP($A509,#REF!,17,FALSE)&gt;2,HLOOKUP($A509,#REF!,17,FALSE)&lt;-2),"",#REF!),"")</f>
        <v/>
      </c>
      <c r="T509" t="str">
        <f>IFERROR(IF(OR(HLOOKUP($A509,#REF!,18,FALSE)&gt;2,HLOOKUP($A509,#REF!,18,FALSE)&lt;-2),"",#REF!),"")</f>
        <v/>
      </c>
      <c r="U509" t="str">
        <f>IFERROR(IF(OR(HLOOKUP($A509,#REF!,19,FALSE)&gt;2,HLOOKUP($A509,#REF!,19,FALSE)&lt;-2),"",#REF!),"")</f>
        <v/>
      </c>
      <c r="V509">
        <f t="shared" si="28"/>
        <v>1</v>
      </c>
      <c r="W509" t="str">
        <f t="shared" si="29"/>
        <v/>
      </c>
      <c r="X509" t="str">
        <f t="shared" si="30"/>
        <v/>
      </c>
      <c r="Y509" t="str">
        <f t="shared" si="31"/>
        <v/>
      </c>
    </row>
    <row r="510" spans="1:25" x14ac:dyDescent="0.35">
      <c r="A510">
        <v>518</v>
      </c>
      <c r="B510" t="s">
        <v>859</v>
      </c>
      <c r="C510">
        <v>46000</v>
      </c>
      <c r="D510">
        <v>502</v>
      </c>
      <c r="E510" t="str">
        <f>IFERROR(IF(OR(HLOOKUP($A510,#REF!,3,FALSE)&gt;2,HLOOKUP(A510,#REF!,3,FALSE)&lt;-2),"",#REF!),"")</f>
        <v/>
      </c>
      <c r="F510" t="str">
        <f>IFERROR(IF(OR(HLOOKUP($A510,#REF!,4,FALSE)&gt;2,HLOOKUP($A510,#REF!,4,FALSE)&lt;-2),"",#REF!),"")</f>
        <v/>
      </c>
      <c r="G510" t="str">
        <f>IFERROR(IF(OR(HLOOKUP($A510,#REF!,5,FALSE)&gt;2,HLOOKUP($A510,#REF!,5,FALSE)&lt;-2),"",#REF!),"")</f>
        <v/>
      </c>
      <c r="H510" t="str">
        <f>IFERROR(IF(OR(HLOOKUP($A510,#REF!,6,FALSE)&gt;2,HLOOKUP($A510,#REF!,6,FALSE)&lt;-2),"",#REF!),"")</f>
        <v/>
      </c>
      <c r="I510" t="str">
        <f>IFERROR(IF(OR(HLOOKUP($A510,#REF!,7,FALSE)&gt;2,HLOOKUP($A510,#REF!,7,FALSE)&lt;-2),"",#REF!),"")</f>
        <v/>
      </c>
      <c r="J510" t="str">
        <f>IFERROR(IF(OR(HLOOKUP($A510,#REF!,8,FALSE)&gt;2,HLOOKUP($A510,#REF!,8,FALSE)&lt;-2),"",#REF!),"")</f>
        <v/>
      </c>
      <c r="K510" t="str">
        <f>IFERROR(IF(OR(HLOOKUP($A510,#REF!,9,FALSE)&gt;2,HLOOKUP($A510,#REF!,9,FALSE)&lt;-2),"",#REF!),"")</f>
        <v/>
      </c>
      <c r="L510" t="str">
        <f>IFERROR(IF(OR(HLOOKUP($A510,#REF!,10,FALSE)&gt;2,HLOOKUP($A510,#REF!,10,FALSE)&lt;-2),"",#REF!),"")</f>
        <v/>
      </c>
      <c r="M510" t="str">
        <f>IFERROR(IF(OR(HLOOKUP($A510,#REF!,11,FALSE)&gt;2,HLOOKUP($A510,#REF!,11,FALSE)&lt;-2),"",#REF!),"")</f>
        <v/>
      </c>
      <c r="N510" t="str">
        <f>IFERROR(IF(OR(HLOOKUP($A510,#REF!,12,FALSE)&gt;2,HLOOKUP($A510,#REF!,12,FALSE)&lt;-2),"",#REF!),"")</f>
        <v/>
      </c>
      <c r="O510" t="str">
        <f>IFERROR(IF(OR(HLOOKUP($A510,#REF!,13,FALSE)&gt;2,HLOOKUP($A510,#REF!,13,FALSE)&lt;-2),"",#REF!),"")</f>
        <v/>
      </c>
      <c r="P510" t="str">
        <f>IFERROR(IF(OR(HLOOKUP($A510,#REF!,14,FALSE)&gt;2,HLOOKUP($A510,#REF!,14,FALSE)&lt;-2),"",#REF!),"")</f>
        <v/>
      </c>
      <c r="Q510" t="str">
        <f>IFERROR(IF(OR(HLOOKUP($A510,#REF!,15,FALSE)&gt;2,HLOOKUP($A510,#REF!,15,FALSE)&lt;-2),"",#REF!),"")</f>
        <v/>
      </c>
      <c r="R510" t="str">
        <f>IFERROR(IF(OR(HLOOKUP($A510,#REF!,16,FALSE)&gt;2,HLOOKUP($A510,#REF!,16,FALSE)&lt;-2),"",#REF!),"")</f>
        <v/>
      </c>
      <c r="S510" t="str">
        <f>IFERROR(IF(OR(HLOOKUP($A510,#REF!,17,FALSE)&gt;2,HLOOKUP($A510,#REF!,17,FALSE)&lt;-2),"",#REF!),"")</f>
        <v/>
      </c>
      <c r="T510" t="str">
        <f>IFERROR(IF(OR(HLOOKUP($A510,#REF!,18,FALSE)&gt;2,HLOOKUP($A510,#REF!,18,FALSE)&lt;-2),"",#REF!),"")</f>
        <v/>
      </c>
      <c r="U510" t="str">
        <f>IFERROR(IF(OR(HLOOKUP($A510,#REF!,19,FALSE)&gt;2,HLOOKUP($A510,#REF!,19,FALSE)&lt;-2),"",#REF!),"")</f>
        <v/>
      </c>
      <c r="V510">
        <f t="shared" si="28"/>
        <v>1</v>
      </c>
      <c r="W510" t="str">
        <f t="shared" si="29"/>
        <v/>
      </c>
      <c r="X510" t="str">
        <f t="shared" si="30"/>
        <v/>
      </c>
      <c r="Y510" t="str">
        <f t="shared" si="31"/>
        <v/>
      </c>
    </row>
    <row r="511" spans="1:25" x14ac:dyDescent="0.35">
      <c r="A511">
        <v>519</v>
      </c>
      <c r="B511" t="s">
        <v>860</v>
      </c>
      <c r="C511">
        <v>62900</v>
      </c>
      <c r="D511">
        <v>512</v>
      </c>
      <c r="E511" t="str">
        <f>IFERROR(IF(OR(HLOOKUP($A511,#REF!,3,FALSE)&gt;2,HLOOKUP(A511,#REF!,3,FALSE)&lt;-2),"",#REF!),"")</f>
        <v/>
      </c>
      <c r="F511" t="str">
        <f>IFERROR(IF(OR(HLOOKUP($A511,#REF!,4,FALSE)&gt;2,HLOOKUP($A511,#REF!,4,FALSE)&lt;-2),"",#REF!),"")</f>
        <v/>
      </c>
      <c r="G511" t="str">
        <f>IFERROR(IF(OR(HLOOKUP($A511,#REF!,5,FALSE)&gt;2,HLOOKUP($A511,#REF!,5,FALSE)&lt;-2),"",#REF!),"")</f>
        <v/>
      </c>
      <c r="H511" t="str">
        <f>IFERROR(IF(OR(HLOOKUP($A511,#REF!,6,FALSE)&gt;2,HLOOKUP($A511,#REF!,6,FALSE)&lt;-2),"",#REF!),"")</f>
        <v/>
      </c>
      <c r="I511" t="str">
        <f>IFERROR(IF(OR(HLOOKUP($A511,#REF!,7,FALSE)&gt;2,HLOOKUP($A511,#REF!,7,FALSE)&lt;-2),"",#REF!),"")</f>
        <v/>
      </c>
      <c r="J511" t="str">
        <f>IFERROR(IF(OR(HLOOKUP($A511,#REF!,8,FALSE)&gt;2,HLOOKUP($A511,#REF!,8,FALSE)&lt;-2),"",#REF!),"")</f>
        <v/>
      </c>
      <c r="K511" t="str">
        <f>IFERROR(IF(OR(HLOOKUP($A511,#REF!,9,FALSE)&gt;2,HLOOKUP($A511,#REF!,9,FALSE)&lt;-2),"",#REF!),"")</f>
        <v/>
      </c>
      <c r="L511" t="str">
        <f>IFERROR(IF(OR(HLOOKUP($A511,#REF!,10,FALSE)&gt;2,HLOOKUP($A511,#REF!,10,FALSE)&lt;-2),"",#REF!),"")</f>
        <v/>
      </c>
      <c r="M511" t="str">
        <f>IFERROR(IF(OR(HLOOKUP($A511,#REF!,11,FALSE)&gt;2,HLOOKUP($A511,#REF!,11,FALSE)&lt;-2),"",#REF!),"")</f>
        <v/>
      </c>
      <c r="N511" t="str">
        <f>IFERROR(IF(OR(HLOOKUP($A511,#REF!,12,FALSE)&gt;2,HLOOKUP($A511,#REF!,12,FALSE)&lt;-2),"",#REF!),"")</f>
        <v/>
      </c>
      <c r="O511" t="str">
        <f>IFERROR(IF(OR(HLOOKUP($A511,#REF!,13,FALSE)&gt;2,HLOOKUP($A511,#REF!,13,FALSE)&lt;-2),"",#REF!),"")</f>
        <v/>
      </c>
      <c r="P511" t="str">
        <f>IFERROR(IF(OR(HLOOKUP($A511,#REF!,14,FALSE)&gt;2,HLOOKUP($A511,#REF!,14,FALSE)&lt;-2),"",#REF!),"")</f>
        <v/>
      </c>
      <c r="Q511" t="str">
        <f>IFERROR(IF(OR(HLOOKUP($A511,#REF!,15,FALSE)&gt;2,HLOOKUP($A511,#REF!,15,FALSE)&lt;-2),"",#REF!),"")</f>
        <v/>
      </c>
      <c r="R511" t="str">
        <f>IFERROR(IF(OR(HLOOKUP($A511,#REF!,16,FALSE)&gt;2,HLOOKUP($A511,#REF!,16,FALSE)&lt;-2),"",#REF!),"")</f>
        <v/>
      </c>
      <c r="S511" t="str">
        <f>IFERROR(IF(OR(HLOOKUP($A511,#REF!,17,FALSE)&gt;2,HLOOKUP($A511,#REF!,17,FALSE)&lt;-2),"",#REF!),"")</f>
        <v/>
      </c>
      <c r="T511" t="str">
        <f>IFERROR(IF(OR(HLOOKUP($A511,#REF!,18,FALSE)&gt;2,HLOOKUP($A511,#REF!,18,FALSE)&lt;-2),"",#REF!),"")</f>
        <v/>
      </c>
      <c r="U511" t="str">
        <f>IFERROR(IF(OR(HLOOKUP($A511,#REF!,19,FALSE)&gt;2,HLOOKUP($A511,#REF!,19,FALSE)&lt;-2),"",#REF!),"")</f>
        <v/>
      </c>
      <c r="V511">
        <f t="shared" si="28"/>
        <v>1</v>
      </c>
      <c r="W511" t="str">
        <f t="shared" si="29"/>
        <v/>
      </c>
      <c r="X511" t="str">
        <f t="shared" si="30"/>
        <v/>
      </c>
      <c r="Y511" t="str">
        <f t="shared" si="31"/>
        <v/>
      </c>
    </row>
    <row r="512" spans="1:25" x14ac:dyDescent="0.35">
      <c r="A512">
        <v>520</v>
      </c>
      <c r="B512" t="s">
        <v>254</v>
      </c>
      <c r="C512">
        <v>13200</v>
      </c>
      <c r="D512">
        <v>1018</v>
      </c>
      <c r="E512" t="str">
        <f>IFERROR(IF(OR(HLOOKUP($A512,#REF!,3,FALSE)&gt;2,HLOOKUP(A512,#REF!,3,FALSE)&lt;-2),"",#REF!),"")</f>
        <v/>
      </c>
      <c r="F512" t="str">
        <f>IFERROR(IF(OR(HLOOKUP($A512,#REF!,4,FALSE)&gt;2,HLOOKUP($A512,#REF!,4,FALSE)&lt;-2),"",#REF!),"")</f>
        <v/>
      </c>
      <c r="G512" t="str">
        <f>IFERROR(IF(OR(HLOOKUP($A512,#REF!,5,FALSE)&gt;2,HLOOKUP($A512,#REF!,5,FALSE)&lt;-2),"",#REF!),"")</f>
        <v/>
      </c>
      <c r="H512" t="str">
        <f>IFERROR(IF(OR(HLOOKUP($A512,#REF!,6,FALSE)&gt;2,HLOOKUP($A512,#REF!,6,FALSE)&lt;-2),"",#REF!),"")</f>
        <v/>
      </c>
      <c r="I512" t="str">
        <f>IFERROR(IF(OR(HLOOKUP($A512,#REF!,7,FALSE)&gt;2,HLOOKUP($A512,#REF!,7,FALSE)&lt;-2),"",#REF!),"")</f>
        <v/>
      </c>
      <c r="J512" t="str">
        <f>IFERROR(IF(OR(HLOOKUP($A512,#REF!,8,FALSE)&gt;2,HLOOKUP($A512,#REF!,8,FALSE)&lt;-2),"",#REF!),"")</f>
        <v/>
      </c>
      <c r="K512" t="str">
        <f>IFERROR(IF(OR(HLOOKUP($A512,#REF!,9,FALSE)&gt;2,HLOOKUP($A512,#REF!,9,FALSE)&lt;-2),"",#REF!),"")</f>
        <v/>
      </c>
      <c r="L512" t="str">
        <f>IFERROR(IF(OR(HLOOKUP($A512,#REF!,10,FALSE)&gt;2,HLOOKUP($A512,#REF!,10,FALSE)&lt;-2),"",#REF!),"")</f>
        <v/>
      </c>
      <c r="M512" t="str">
        <f>IFERROR(IF(OR(HLOOKUP($A512,#REF!,11,FALSE)&gt;2,HLOOKUP($A512,#REF!,11,FALSE)&lt;-2),"",#REF!),"")</f>
        <v/>
      </c>
      <c r="N512" t="str">
        <f>IFERROR(IF(OR(HLOOKUP($A512,#REF!,12,FALSE)&gt;2,HLOOKUP($A512,#REF!,12,FALSE)&lt;-2),"",#REF!),"")</f>
        <v/>
      </c>
      <c r="O512" t="str">
        <f>IFERROR(IF(OR(HLOOKUP($A512,#REF!,13,FALSE)&gt;2,HLOOKUP($A512,#REF!,13,FALSE)&lt;-2),"",#REF!),"")</f>
        <v/>
      </c>
      <c r="P512" t="str">
        <f>IFERROR(IF(OR(HLOOKUP($A512,#REF!,14,FALSE)&gt;2,HLOOKUP($A512,#REF!,14,FALSE)&lt;-2),"",#REF!),"")</f>
        <v/>
      </c>
      <c r="Q512" t="str">
        <f>IFERROR(IF(OR(HLOOKUP($A512,#REF!,15,FALSE)&gt;2,HLOOKUP($A512,#REF!,15,FALSE)&lt;-2),"",#REF!),"")</f>
        <v/>
      </c>
      <c r="R512" t="str">
        <f>IFERROR(IF(OR(HLOOKUP($A512,#REF!,16,FALSE)&gt;2,HLOOKUP($A512,#REF!,16,FALSE)&lt;-2),"",#REF!),"")</f>
        <v/>
      </c>
      <c r="S512" t="str">
        <f>IFERROR(IF(OR(HLOOKUP($A512,#REF!,17,FALSE)&gt;2,HLOOKUP($A512,#REF!,17,FALSE)&lt;-2),"",#REF!),"")</f>
        <v/>
      </c>
      <c r="T512" t="str">
        <f>IFERROR(IF(OR(HLOOKUP($A512,#REF!,18,FALSE)&gt;2,HLOOKUP($A512,#REF!,18,FALSE)&lt;-2),"",#REF!),"")</f>
        <v/>
      </c>
      <c r="U512" t="str">
        <f>IFERROR(IF(OR(HLOOKUP($A512,#REF!,19,FALSE)&gt;2,HLOOKUP($A512,#REF!,19,FALSE)&lt;-2),"",#REF!),"")</f>
        <v/>
      </c>
      <c r="V512">
        <f t="shared" si="28"/>
        <v>1</v>
      </c>
      <c r="W512" t="str">
        <f t="shared" si="29"/>
        <v/>
      </c>
      <c r="X512" t="str">
        <f t="shared" si="30"/>
        <v/>
      </c>
      <c r="Y512" t="str">
        <f t="shared" si="31"/>
        <v/>
      </c>
    </row>
    <row r="513" spans="1:25" x14ac:dyDescent="0.35">
      <c r="A513">
        <v>521</v>
      </c>
      <c r="B513" t="s">
        <v>861</v>
      </c>
      <c r="C513">
        <v>53600</v>
      </c>
      <c r="D513">
        <v>359</v>
      </c>
      <c r="E513" t="str">
        <f>IFERROR(IF(OR(HLOOKUP($A513,#REF!,3,FALSE)&gt;2,HLOOKUP(A513,#REF!,3,FALSE)&lt;-2),"",#REF!),"")</f>
        <v/>
      </c>
      <c r="F513" t="str">
        <f>IFERROR(IF(OR(HLOOKUP($A513,#REF!,4,FALSE)&gt;2,HLOOKUP($A513,#REF!,4,FALSE)&lt;-2),"",#REF!),"")</f>
        <v/>
      </c>
      <c r="G513" t="str">
        <f>IFERROR(IF(OR(HLOOKUP($A513,#REF!,5,FALSE)&gt;2,HLOOKUP($A513,#REF!,5,FALSE)&lt;-2),"",#REF!),"")</f>
        <v/>
      </c>
      <c r="H513" t="str">
        <f>IFERROR(IF(OR(HLOOKUP($A513,#REF!,6,FALSE)&gt;2,HLOOKUP($A513,#REF!,6,FALSE)&lt;-2),"",#REF!),"")</f>
        <v/>
      </c>
      <c r="I513" t="str">
        <f>IFERROR(IF(OR(HLOOKUP($A513,#REF!,7,FALSE)&gt;2,HLOOKUP($A513,#REF!,7,FALSE)&lt;-2),"",#REF!),"")</f>
        <v/>
      </c>
      <c r="J513" t="str">
        <f>IFERROR(IF(OR(HLOOKUP($A513,#REF!,8,FALSE)&gt;2,HLOOKUP($A513,#REF!,8,FALSE)&lt;-2),"",#REF!),"")</f>
        <v/>
      </c>
      <c r="K513" t="str">
        <f>IFERROR(IF(OR(HLOOKUP($A513,#REF!,9,FALSE)&gt;2,HLOOKUP($A513,#REF!,9,FALSE)&lt;-2),"",#REF!),"")</f>
        <v/>
      </c>
      <c r="L513" t="str">
        <f>IFERROR(IF(OR(HLOOKUP($A513,#REF!,10,FALSE)&gt;2,HLOOKUP($A513,#REF!,10,FALSE)&lt;-2),"",#REF!),"")</f>
        <v/>
      </c>
      <c r="M513" t="str">
        <f>IFERROR(IF(OR(HLOOKUP($A513,#REF!,11,FALSE)&gt;2,HLOOKUP($A513,#REF!,11,FALSE)&lt;-2),"",#REF!),"")</f>
        <v/>
      </c>
      <c r="N513" t="str">
        <f>IFERROR(IF(OR(HLOOKUP($A513,#REF!,12,FALSE)&gt;2,HLOOKUP($A513,#REF!,12,FALSE)&lt;-2),"",#REF!),"")</f>
        <v/>
      </c>
      <c r="O513" t="str">
        <f>IFERROR(IF(OR(HLOOKUP($A513,#REF!,13,FALSE)&gt;2,HLOOKUP($A513,#REF!,13,FALSE)&lt;-2),"",#REF!),"")</f>
        <v/>
      </c>
      <c r="P513" t="str">
        <f>IFERROR(IF(OR(HLOOKUP($A513,#REF!,14,FALSE)&gt;2,HLOOKUP($A513,#REF!,14,FALSE)&lt;-2),"",#REF!),"")</f>
        <v/>
      </c>
      <c r="Q513" t="str">
        <f>IFERROR(IF(OR(HLOOKUP($A513,#REF!,15,FALSE)&gt;2,HLOOKUP($A513,#REF!,15,FALSE)&lt;-2),"",#REF!),"")</f>
        <v/>
      </c>
      <c r="R513" t="str">
        <f>IFERROR(IF(OR(HLOOKUP($A513,#REF!,16,FALSE)&gt;2,HLOOKUP($A513,#REF!,16,FALSE)&lt;-2),"",#REF!),"")</f>
        <v/>
      </c>
      <c r="S513" t="str">
        <f>IFERROR(IF(OR(HLOOKUP($A513,#REF!,17,FALSE)&gt;2,HLOOKUP($A513,#REF!,17,FALSE)&lt;-2),"",#REF!),"")</f>
        <v/>
      </c>
      <c r="T513" t="str">
        <f>IFERROR(IF(OR(HLOOKUP($A513,#REF!,18,FALSE)&gt;2,HLOOKUP($A513,#REF!,18,FALSE)&lt;-2),"",#REF!),"")</f>
        <v/>
      </c>
      <c r="U513" t="str">
        <f>IFERROR(IF(OR(HLOOKUP($A513,#REF!,19,FALSE)&gt;2,HLOOKUP($A513,#REF!,19,FALSE)&lt;-2),"",#REF!),"")</f>
        <v/>
      </c>
      <c r="V513">
        <f t="shared" si="28"/>
        <v>1</v>
      </c>
      <c r="W513" t="str">
        <f t="shared" si="29"/>
        <v/>
      </c>
      <c r="X513" t="str">
        <f t="shared" si="30"/>
        <v/>
      </c>
      <c r="Y513" t="str">
        <f t="shared" si="31"/>
        <v/>
      </c>
    </row>
    <row r="514" spans="1:25" x14ac:dyDescent="0.35">
      <c r="A514">
        <v>522</v>
      </c>
      <c r="B514" t="s">
        <v>862</v>
      </c>
      <c r="C514">
        <v>102300</v>
      </c>
      <c r="D514">
        <v>932</v>
      </c>
      <c r="E514" t="str">
        <f>IFERROR(IF(OR(HLOOKUP($A514,#REF!,3,FALSE)&gt;2,HLOOKUP(A514,#REF!,3,FALSE)&lt;-2),"",#REF!),"")</f>
        <v/>
      </c>
      <c r="F514" t="str">
        <f>IFERROR(IF(OR(HLOOKUP($A514,#REF!,4,FALSE)&gt;2,HLOOKUP($A514,#REF!,4,FALSE)&lt;-2),"",#REF!),"")</f>
        <v/>
      </c>
      <c r="G514" t="str">
        <f>IFERROR(IF(OR(HLOOKUP($A514,#REF!,5,FALSE)&gt;2,HLOOKUP($A514,#REF!,5,FALSE)&lt;-2),"",#REF!),"")</f>
        <v/>
      </c>
      <c r="H514" t="str">
        <f>IFERROR(IF(OR(HLOOKUP($A514,#REF!,6,FALSE)&gt;2,HLOOKUP($A514,#REF!,6,FALSE)&lt;-2),"",#REF!),"")</f>
        <v/>
      </c>
      <c r="I514" t="str">
        <f>IFERROR(IF(OR(HLOOKUP($A514,#REF!,7,FALSE)&gt;2,HLOOKUP($A514,#REF!,7,FALSE)&lt;-2),"",#REF!),"")</f>
        <v/>
      </c>
      <c r="J514" t="str">
        <f>IFERROR(IF(OR(HLOOKUP($A514,#REF!,8,FALSE)&gt;2,HLOOKUP($A514,#REF!,8,FALSE)&lt;-2),"",#REF!),"")</f>
        <v/>
      </c>
      <c r="K514" t="str">
        <f>IFERROR(IF(OR(HLOOKUP($A514,#REF!,9,FALSE)&gt;2,HLOOKUP($A514,#REF!,9,FALSE)&lt;-2),"",#REF!),"")</f>
        <v/>
      </c>
      <c r="L514" t="str">
        <f>IFERROR(IF(OR(HLOOKUP($A514,#REF!,10,FALSE)&gt;2,HLOOKUP($A514,#REF!,10,FALSE)&lt;-2),"",#REF!),"")</f>
        <v/>
      </c>
      <c r="M514" t="str">
        <f>IFERROR(IF(OR(HLOOKUP($A514,#REF!,11,FALSE)&gt;2,HLOOKUP($A514,#REF!,11,FALSE)&lt;-2),"",#REF!),"")</f>
        <v/>
      </c>
      <c r="N514" t="str">
        <f>IFERROR(IF(OR(HLOOKUP($A514,#REF!,12,FALSE)&gt;2,HLOOKUP($A514,#REF!,12,FALSE)&lt;-2),"",#REF!),"")</f>
        <v/>
      </c>
      <c r="O514" t="str">
        <f>IFERROR(IF(OR(HLOOKUP($A514,#REF!,13,FALSE)&gt;2,HLOOKUP($A514,#REF!,13,FALSE)&lt;-2),"",#REF!),"")</f>
        <v/>
      </c>
      <c r="P514" t="str">
        <f>IFERROR(IF(OR(HLOOKUP($A514,#REF!,14,FALSE)&gt;2,HLOOKUP($A514,#REF!,14,FALSE)&lt;-2),"",#REF!),"")</f>
        <v/>
      </c>
      <c r="Q514" t="str">
        <f>IFERROR(IF(OR(HLOOKUP($A514,#REF!,15,FALSE)&gt;2,HLOOKUP($A514,#REF!,15,FALSE)&lt;-2),"",#REF!),"")</f>
        <v/>
      </c>
      <c r="R514" t="str">
        <f>IFERROR(IF(OR(HLOOKUP($A514,#REF!,16,FALSE)&gt;2,HLOOKUP($A514,#REF!,16,FALSE)&lt;-2),"",#REF!),"")</f>
        <v/>
      </c>
      <c r="S514" t="str">
        <f>IFERROR(IF(OR(HLOOKUP($A514,#REF!,17,FALSE)&gt;2,HLOOKUP($A514,#REF!,17,FALSE)&lt;-2),"",#REF!),"")</f>
        <v/>
      </c>
      <c r="T514" t="str">
        <f>IFERROR(IF(OR(HLOOKUP($A514,#REF!,18,FALSE)&gt;2,HLOOKUP($A514,#REF!,18,FALSE)&lt;-2),"",#REF!),"")</f>
        <v/>
      </c>
      <c r="U514" t="str">
        <f>IFERROR(IF(OR(HLOOKUP($A514,#REF!,19,FALSE)&gt;2,HLOOKUP($A514,#REF!,19,FALSE)&lt;-2),"",#REF!),"")</f>
        <v/>
      </c>
      <c r="V514">
        <f t="shared" si="28"/>
        <v>1</v>
      </c>
      <c r="W514" t="str">
        <f t="shared" si="29"/>
        <v/>
      </c>
      <c r="X514" t="str">
        <f t="shared" si="30"/>
        <v/>
      </c>
      <c r="Y514" t="str">
        <f t="shared" si="31"/>
        <v/>
      </c>
    </row>
    <row r="515" spans="1:25" x14ac:dyDescent="0.35">
      <c r="A515">
        <v>523</v>
      </c>
      <c r="B515" t="s">
        <v>255</v>
      </c>
      <c r="C515">
        <v>72900</v>
      </c>
      <c r="D515">
        <v>141</v>
      </c>
      <c r="E515" t="str">
        <f>IFERROR(IF(OR(HLOOKUP($A515,#REF!,3,FALSE)&gt;2,HLOOKUP(A515,#REF!,3,FALSE)&lt;-2),"",#REF!),"")</f>
        <v/>
      </c>
      <c r="F515" t="str">
        <f>IFERROR(IF(OR(HLOOKUP($A515,#REF!,4,FALSE)&gt;2,HLOOKUP($A515,#REF!,4,FALSE)&lt;-2),"",#REF!),"")</f>
        <v/>
      </c>
      <c r="G515" t="str">
        <f>IFERROR(IF(OR(HLOOKUP($A515,#REF!,5,FALSE)&gt;2,HLOOKUP($A515,#REF!,5,FALSE)&lt;-2),"",#REF!),"")</f>
        <v/>
      </c>
      <c r="H515" t="str">
        <f>IFERROR(IF(OR(HLOOKUP($A515,#REF!,6,FALSE)&gt;2,HLOOKUP($A515,#REF!,6,FALSE)&lt;-2),"",#REF!),"")</f>
        <v/>
      </c>
      <c r="I515" t="str">
        <f>IFERROR(IF(OR(HLOOKUP($A515,#REF!,7,FALSE)&gt;2,HLOOKUP($A515,#REF!,7,FALSE)&lt;-2),"",#REF!),"")</f>
        <v/>
      </c>
      <c r="J515" t="str">
        <f>IFERROR(IF(OR(HLOOKUP($A515,#REF!,8,FALSE)&gt;2,HLOOKUP($A515,#REF!,8,FALSE)&lt;-2),"",#REF!),"")</f>
        <v/>
      </c>
      <c r="K515" t="str">
        <f>IFERROR(IF(OR(HLOOKUP($A515,#REF!,9,FALSE)&gt;2,HLOOKUP($A515,#REF!,9,FALSE)&lt;-2),"",#REF!),"")</f>
        <v/>
      </c>
      <c r="L515" t="str">
        <f>IFERROR(IF(OR(HLOOKUP($A515,#REF!,10,FALSE)&gt;2,HLOOKUP($A515,#REF!,10,FALSE)&lt;-2),"",#REF!),"")</f>
        <v/>
      </c>
      <c r="M515" t="str">
        <f>IFERROR(IF(OR(HLOOKUP($A515,#REF!,11,FALSE)&gt;2,HLOOKUP($A515,#REF!,11,FALSE)&lt;-2),"",#REF!),"")</f>
        <v/>
      </c>
      <c r="N515" t="str">
        <f>IFERROR(IF(OR(HLOOKUP($A515,#REF!,12,FALSE)&gt;2,HLOOKUP($A515,#REF!,12,FALSE)&lt;-2),"",#REF!),"")</f>
        <v/>
      </c>
      <c r="O515" t="str">
        <f>IFERROR(IF(OR(HLOOKUP($A515,#REF!,13,FALSE)&gt;2,HLOOKUP($A515,#REF!,13,FALSE)&lt;-2),"",#REF!),"")</f>
        <v/>
      </c>
      <c r="P515" t="str">
        <f>IFERROR(IF(OR(HLOOKUP($A515,#REF!,14,FALSE)&gt;2,HLOOKUP($A515,#REF!,14,FALSE)&lt;-2),"",#REF!),"")</f>
        <v/>
      </c>
      <c r="Q515" t="str">
        <f>IFERROR(IF(OR(HLOOKUP($A515,#REF!,15,FALSE)&gt;2,HLOOKUP($A515,#REF!,15,FALSE)&lt;-2),"",#REF!),"")</f>
        <v/>
      </c>
      <c r="R515" t="str">
        <f>IFERROR(IF(OR(HLOOKUP($A515,#REF!,16,FALSE)&gt;2,HLOOKUP($A515,#REF!,16,FALSE)&lt;-2),"",#REF!),"")</f>
        <v/>
      </c>
      <c r="S515" t="str">
        <f>IFERROR(IF(OR(HLOOKUP($A515,#REF!,17,FALSE)&gt;2,HLOOKUP($A515,#REF!,17,FALSE)&lt;-2),"",#REF!),"")</f>
        <v/>
      </c>
      <c r="T515" t="str">
        <f>IFERROR(IF(OR(HLOOKUP($A515,#REF!,18,FALSE)&gt;2,HLOOKUP($A515,#REF!,18,FALSE)&lt;-2),"",#REF!),"")</f>
        <v/>
      </c>
      <c r="U515" t="str">
        <f>IFERROR(IF(OR(HLOOKUP($A515,#REF!,19,FALSE)&gt;2,HLOOKUP($A515,#REF!,19,FALSE)&lt;-2),"",#REF!),"")</f>
        <v/>
      </c>
      <c r="V515">
        <f t="shared" si="28"/>
        <v>1</v>
      </c>
      <c r="W515" t="str">
        <f t="shared" si="29"/>
        <v/>
      </c>
      <c r="X515" t="str">
        <f t="shared" si="30"/>
        <v/>
      </c>
      <c r="Y515" t="str">
        <f t="shared" si="31"/>
        <v/>
      </c>
    </row>
    <row r="516" spans="1:25" x14ac:dyDescent="0.35">
      <c r="A516">
        <v>524</v>
      </c>
      <c r="B516" t="s">
        <v>863</v>
      </c>
      <c r="C516">
        <v>22200</v>
      </c>
      <c r="D516">
        <v>731</v>
      </c>
      <c r="E516" t="str">
        <f>IFERROR(IF(OR(HLOOKUP($A516,#REF!,3,FALSE)&gt;2,HLOOKUP(A516,#REF!,3,FALSE)&lt;-2),"",#REF!),"")</f>
        <v/>
      </c>
      <c r="F516" t="str">
        <f>IFERROR(IF(OR(HLOOKUP($A516,#REF!,4,FALSE)&gt;2,HLOOKUP($A516,#REF!,4,FALSE)&lt;-2),"",#REF!),"")</f>
        <v/>
      </c>
      <c r="G516" t="str">
        <f>IFERROR(IF(OR(HLOOKUP($A516,#REF!,5,FALSE)&gt;2,HLOOKUP($A516,#REF!,5,FALSE)&lt;-2),"",#REF!),"")</f>
        <v/>
      </c>
      <c r="H516" t="str">
        <f>IFERROR(IF(OR(HLOOKUP($A516,#REF!,6,FALSE)&gt;2,HLOOKUP($A516,#REF!,6,FALSE)&lt;-2),"",#REF!),"")</f>
        <v/>
      </c>
      <c r="I516" t="str">
        <f>IFERROR(IF(OR(HLOOKUP($A516,#REF!,7,FALSE)&gt;2,HLOOKUP($A516,#REF!,7,FALSE)&lt;-2),"",#REF!),"")</f>
        <v/>
      </c>
      <c r="J516" t="str">
        <f>IFERROR(IF(OR(HLOOKUP($A516,#REF!,8,FALSE)&gt;2,HLOOKUP($A516,#REF!,8,FALSE)&lt;-2),"",#REF!),"")</f>
        <v/>
      </c>
      <c r="K516" t="str">
        <f>IFERROR(IF(OR(HLOOKUP($A516,#REF!,9,FALSE)&gt;2,HLOOKUP($A516,#REF!,9,FALSE)&lt;-2),"",#REF!),"")</f>
        <v/>
      </c>
      <c r="L516" t="str">
        <f>IFERROR(IF(OR(HLOOKUP($A516,#REF!,10,FALSE)&gt;2,HLOOKUP($A516,#REF!,10,FALSE)&lt;-2),"",#REF!),"")</f>
        <v/>
      </c>
      <c r="M516" t="str">
        <f>IFERROR(IF(OR(HLOOKUP($A516,#REF!,11,FALSE)&gt;2,HLOOKUP($A516,#REF!,11,FALSE)&lt;-2),"",#REF!),"")</f>
        <v/>
      </c>
      <c r="N516" t="str">
        <f>IFERROR(IF(OR(HLOOKUP($A516,#REF!,12,FALSE)&gt;2,HLOOKUP($A516,#REF!,12,FALSE)&lt;-2),"",#REF!),"")</f>
        <v/>
      </c>
      <c r="O516" t="str">
        <f>IFERROR(IF(OR(HLOOKUP($A516,#REF!,13,FALSE)&gt;2,HLOOKUP($A516,#REF!,13,FALSE)&lt;-2),"",#REF!),"")</f>
        <v/>
      </c>
      <c r="P516" t="str">
        <f>IFERROR(IF(OR(HLOOKUP($A516,#REF!,14,FALSE)&gt;2,HLOOKUP($A516,#REF!,14,FALSE)&lt;-2),"",#REF!),"")</f>
        <v/>
      </c>
      <c r="Q516" t="str">
        <f>IFERROR(IF(OR(HLOOKUP($A516,#REF!,15,FALSE)&gt;2,HLOOKUP($A516,#REF!,15,FALSE)&lt;-2),"",#REF!),"")</f>
        <v/>
      </c>
      <c r="R516" t="str">
        <f>IFERROR(IF(OR(HLOOKUP($A516,#REF!,16,FALSE)&gt;2,HLOOKUP($A516,#REF!,16,FALSE)&lt;-2),"",#REF!),"")</f>
        <v/>
      </c>
      <c r="S516" t="str">
        <f>IFERROR(IF(OR(HLOOKUP($A516,#REF!,17,FALSE)&gt;2,HLOOKUP($A516,#REF!,17,FALSE)&lt;-2),"",#REF!),"")</f>
        <v/>
      </c>
      <c r="T516" t="str">
        <f>IFERROR(IF(OR(HLOOKUP($A516,#REF!,18,FALSE)&gt;2,HLOOKUP($A516,#REF!,18,FALSE)&lt;-2),"",#REF!),"")</f>
        <v/>
      </c>
      <c r="U516" t="str">
        <f>IFERROR(IF(OR(HLOOKUP($A516,#REF!,19,FALSE)&gt;2,HLOOKUP($A516,#REF!,19,FALSE)&lt;-2),"",#REF!),"")</f>
        <v/>
      </c>
      <c r="V516">
        <f t="shared" ref="V516:V579" si="32">IFERROR(IF(AND(X516=0,Y516=0),0,1),0)</f>
        <v>1</v>
      </c>
      <c r="W516" t="str">
        <f t="shared" ref="W516:W579" si="33">IFERROR(_xlfn.T.TEST(E516:M516,N516:U516,2,2),"")</f>
        <v/>
      </c>
      <c r="X516" t="str">
        <f t="shared" ref="X516:X579" si="34">IFERROR(AVERAGE(E516:M516),"")</f>
        <v/>
      </c>
      <c r="Y516" t="str">
        <f t="shared" ref="Y516:Y579" si="35">IFERROR(AVERAGE(N516:U516),"")</f>
        <v/>
      </c>
    </row>
    <row r="517" spans="1:25" x14ac:dyDescent="0.35">
      <c r="A517">
        <v>525</v>
      </c>
      <c r="B517" t="s">
        <v>256</v>
      </c>
      <c r="C517">
        <v>75000</v>
      </c>
      <c r="D517">
        <v>331</v>
      </c>
      <c r="E517" t="str">
        <f>IFERROR(IF(OR(HLOOKUP($A517,#REF!,3,FALSE)&gt;2,HLOOKUP(A517,#REF!,3,FALSE)&lt;-2),"",#REF!),"")</f>
        <v/>
      </c>
      <c r="F517" t="str">
        <f>IFERROR(IF(OR(HLOOKUP($A517,#REF!,4,FALSE)&gt;2,HLOOKUP($A517,#REF!,4,FALSE)&lt;-2),"",#REF!),"")</f>
        <v/>
      </c>
      <c r="G517" t="str">
        <f>IFERROR(IF(OR(HLOOKUP($A517,#REF!,5,FALSE)&gt;2,HLOOKUP($A517,#REF!,5,FALSE)&lt;-2),"",#REF!),"")</f>
        <v/>
      </c>
      <c r="H517" t="str">
        <f>IFERROR(IF(OR(HLOOKUP($A517,#REF!,6,FALSE)&gt;2,HLOOKUP($A517,#REF!,6,FALSE)&lt;-2),"",#REF!),"")</f>
        <v/>
      </c>
      <c r="I517" t="str">
        <f>IFERROR(IF(OR(HLOOKUP($A517,#REF!,7,FALSE)&gt;2,HLOOKUP($A517,#REF!,7,FALSE)&lt;-2),"",#REF!),"")</f>
        <v/>
      </c>
      <c r="J517" t="str">
        <f>IFERROR(IF(OR(HLOOKUP($A517,#REF!,8,FALSE)&gt;2,HLOOKUP($A517,#REF!,8,FALSE)&lt;-2),"",#REF!),"")</f>
        <v/>
      </c>
      <c r="K517" t="str">
        <f>IFERROR(IF(OR(HLOOKUP($A517,#REF!,9,FALSE)&gt;2,HLOOKUP($A517,#REF!,9,FALSE)&lt;-2),"",#REF!),"")</f>
        <v/>
      </c>
      <c r="L517" t="str">
        <f>IFERROR(IF(OR(HLOOKUP($A517,#REF!,10,FALSE)&gt;2,HLOOKUP($A517,#REF!,10,FALSE)&lt;-2),"",#REF!),"")</f>
        <v/>
      </c>
      <c r="M517" t="str">
        <f>IFERROR(IF(OR(HLOOKUP($A517,#REF!,11,FALSE)&gt;2,HLOOKUP($A517,#REF!,11,FALSE)&lt;-2),"",#REF!),"")</f>
        <v/>
      </c>
      <c r="N517" t="str">
        <f>IFERROR(IF(OR(HLOOKUP($A517,#REF!,12,FALSE)&gt;2,HLOOKUP($A517,#REF!,12,FALSE)&lt;-2),"",#REF!),"")</f>
        <v/>
      </c>
      <c r="O517" t="str">
        <f>IFERROR(IF(OR(HLOOKUP($A517,#REF!,13,FALSE)&gt;2,HLOOKUP($A517,#REF!,13,FALSE)&lt;-2),"",#REF!),"")</f>
        <v/>
      </c>
      <c r="P517" t="str">
        <f>IFERROR(IF(OR(HLOOKUP($A517,#REF!,14,FALSE)&gt;2,HLOOKUP($A517,#REF!,14,FALSE)&lt;-2),"",#REF!),"")</f>
        <v/>
      </c>
      <c r="Q517" t="str">
        <f>IFERROR(IF(OR(HLOOKUP($A517,#REF!,15,FALSE)&gt;2,HLOOKUP($A517,#REF!,15,FALSE)&lt;-2),"",#REF!),"")</f>
        <v/>
      </c>
      <c r="R517" t="str">
        <f>IFERROR(IF(OR(HLOOKUP($A517,#REF!,16,FALSE)&gt;2,HLOOKUP($A517,#REF!,16,FALSE)&lt;-2),"",#REF!),"")</f>
        <v/>
      </c>
      <c r="S517" t="str">
        <f>IFERROR(IF(OR(HLOOKUP($A517,#REF!,17,FALSE)&gt;2,HLOOKUP($A517,#REF!,17,FALSE)&lt;-2),"",#REF!),"")</f>
        <v/>
      </c>
      <c r="T517" t="str">
        <f>IFERROR(IF(OR(HLOOKUP($A517,#REF!,18,FALSE)&gt;2,HLOOKUP($A517,#REF!,18,FALSE)&lt;-2),"",#REF!),"")</f>
        <v/>
      </c>
      <c r="U517" t="str">
        <f>IFERROR(IF(OR(HLOOKUP($A517,#REF!,19,FALSE)&gt;2,HLOOKUP($A517,#REF!,19,FALSE)&lt;-2),"",#REF!),"")</f>
        <v/>
      </c>
      <c r="V517">
        <f t="shared" si="32"/>
        <v>1</v>
      </c>
      <c r="W517" t="str">
        <f t="shared" si="33"/>
        <v/>
      </c>
      <c r="X517" t="str">
        <f t="shared" si="34"/>
        <v/>
      </c>
      <c r="Y517" t="str">
        <f t="shared" si="35"/>
        <v/>
      </c>
    </row>
    <row r="518" spans="1:25" x14ac:dyDescent="0.35">
      <c r="A518">
        <v>526</v>
      </c>
      <c r="B518" t="s">
        <v>864</v>
      </c>
      <c r="C518">
        <v>42800</v>
      </c>
      <c r="D518">
        <v>926</v>
      </c>
      <c r="E518" t="str">
        <f>IFERROR(IF(OR(HLOOKUP($A518,#REF!,3,FALSE)&gt;2,HLOOKUP(A518,#REF!,3,FALSE)&lt;-2),"",#REF!),"")</f>
        <v/>
      </c>
      <c r="F518" t="str">
        <f>IFERROR(IF(OR(HLOOKUP($A518,#REF!,4,FALSE)&gt;2,HLOOKUP($A518,#REF!,4,FALSE)&lt;-2),"",#REF!),"")</f>
        <v/>
      </c>
      <c r="G518" t="str">
        <f>IFERROR(IF(OR(HLOOKUP($A518,#REF!,5,FALSE)&gt;2,HLOOKUP($A518,#REF!,5,FALSE)&lt;-2),"",#REF!),"")</f>
        <v/>
      </c>
      <c r="H518" t="str">
        <f>IFERROR(IF(OR(HLOOKUP($A518,#REF!,6,FALSE)&gt;2,HLOOKUP($A518,#REF!,6,FALSE)&lt;-2),"",#REF!),"")</f>
        <v/>
      </c>
      <c r="I518" t="str">
        <f>IFERROR(IF(OR(HLOOKUP($A518,#REF!,7,FALSE)&gt;2,HLOOKUP($A518,#REF!,7,FALSE)&lt;-2),"",#REF!),"")</f>
        <v/>
      </c>
      <c r="J518" t="str">
        <f>IFERROR(IF(OR(HLOOKUP($A518,#REF!,8,FALSE)&gt;2,HLOOKUP($A518,#REF!,8,FALSE)&lt;-2),"",#REF!),"")</f>
        <v/>
      </c>
      <c r="K518" t="str">
        <f>IFERROR(IF(OR(HLOOKUP($A518,#REF!,9,FALSE)&gt;2,HLOOKUP($A518,#REF!,9,FALSE)&lt;-2),"",#REF!),"")</f>
        <v/>
      </c>
      <c r="L518" t="str">
        <f>IFERROR(IF(OR(HLOOKUP($A518,#REF!,10,FALSE)&gt;2,HLOOKUP($A518,#REF!,10,FALSE)&lt;-2),"",#REF!),"")</f>
        <v/>
      </c>
      <c r="M518" t="str">
        <f>IFERROR(IF(OR(HLOOKUP($A518,#REF!,11,FALSE)&gt;2,HLOOKUP($A518,#REF!,11,FALSE)&lt;-2),"",#REF!),"")</f>
        <v/>
      </c>
      <c r="N518" t="str">
        <f>IFERROR(IF(OR(HLOOKUP($A518,#REF!,12,FALSE)&gt;2,HLOOKUP($A518,#REF!,12,FALSE)&lt;-2),"",#REF!),"")</f>
        <v/>
      </c>
      <c r="O518" t="str">
        <f>IFERROR(IF(OR(HLOOKUP($A518,#REF!,13,FALSE)&gt;2,HLOOKUP($A518,#REF!,13,FALSE)&lt;-2),"",#REF!),"")</f>
        <v/>
      </c>
      <c r="P518" t="str">
        <f>IFERROR(IF(OR(HLOOKUP($A518,#REF!,14,FALSE)&gt;2,HLOOKUP($A518,#REF!,14,FALSE)&lt;-2),"",#REF!),"")</f>
        <v/>
      </c>
      <c r="Q518" t="str">
        <f>IFERROR(IF(OR(HLOOKUP($A518,#REF!,15,FALSE)&gt;2,HLOOKUP($A518,#REF!,15,FALSE)&lt;-2),"",#REF!),"")</f>
        <v/>
      </c>
      <c r="R518" t="str">
        <f>IFERROR(IF(OR(HLOOKUP($A518,#REF!,16,FALSE)&gt;2,HLOOKUP($A518,#REF!,16,FALSE)&lt;-2),"",#REF!),"")</f>
        <v/>
      </c>
      <c r="S518" t="str">
        <f>IFERROR(IF(OR(HLOOKUP($A518,#REF!,17,FALSE)&gt;2,HLOOKUP($A518,#REF!,17,FALSE)&lt;-2),"",#REF!),"")</f>
        <v/>
      </c>
      <c r="T518" t="str">
        <f>IFERROR(IF(OR(HLOOKUP($A518,#REF!,18,FALSE)&gt;2,HLOOKUP($A518,#REF!,18,FALSE)&lt;-2),"",#REF!),"")</f>
        <v/>
      </c>
      <c r="U518" t="str">
        <f>IFERROR(IF(OR(HLOOKUP($A518,#REF!,19,FALSE)&gt;2,HLOOKUP($A518,#REF!,19,FALSE)&lt;-2),"",#REF!),"")</f>
        <v/>
      </c>
      <c r="V518">
        <f t="shared" si="32"/>
        <v>1</v>
      </c>
      <c r="W518" t="str">
        <f t="shared" si="33"/>
        <v/>
      </c>
      <c r="X518" t="str">
        <f t="shared" si="34"/>
        <v/>
      </c>
      <c r="Y518" t="str">
        <f t="shared" si="35"/>
        <v/>
      </c>
    </row>
    <row r="519" spans="1:25" x14ac:dyDescent="0.35">
      <c r="A519">
        <v>527</v>
      </c>
      <c r="B519" t="s">
        <v>257</v>
      </c>
      <c r="C519">
        <v>10700</v>
      </c>
      <c r="D519">
        <v>1011</v>
      </c>
      <c r="E519" t="str">
        <f>IFERROR(IF(OR(HLOOKUP($A519,#REF!,3,FALSE)&gt;2,HLOOKUP(A519,#REF!,3,FALSE)&lt;-2),"",#REF!),"")</f>
        <v/>
      </c>
      <c r="F519" t="str">
        <f>IFERROR(IF(OR(HLOOKUP($A519,#REF!,4,FALSE)&gt;2,HLOOKUP($A519,#REF!,4,FALSE)&lt;-2),"",#REF!),"")</f>
        <v/>
      </c>
      <c r="G519" t="str">
        <f>IFERROR(IF(OR(HLOOKUP($A519,#REF!,5,FALSE)&gt;2,HLOOKUP($A519,#REF!,5,FALSE)&lt;-2),"",#REF!),"")</f>
        <v/>
      </c>
      <c r="H519" t="str">
        <f>IFERROR(IF(OR(HLOOKUP($A519,#REF!,6,FALSE)&gt;2,HLOOKUP($A519,#REF!,6,FALSE)&lt;-2),"",#REF!),"")</f>
        <v/>
      </c>
      <c r="I519" t="str">
        <f>IFERROR(IF(OR(HLOOKUP($A519,#REF!,7,FALSE)&gt;2,HLOOKUP($A519,#REF!,7,FALSE)&lt;-2),"",#REF!),"")</f>
        <v/>
      </c>
      <c r="J519" t="str">
        <f>IFERROR(IF(OR(HLOOKUP($A519,#REF!,8,FALSE)&gt;2,HLOOKUP($A519,#REF!,8,FALSE)&lt;-2),"",#REF!),"")</f>
        <v/>
      </c>
      <c r="K519" t="str">
        <f>IFERROR(IF(OR(HLOOKUP($A519,#REF!,9,FALSE)&gt;2,HLOOKUP($A519,#REF!,9,FALSE)&lt;-2),"",#REF!),"")</f>
        <v/>
      </c>
      <c r="L519" t="str">
        <f>IFERROR(IF(OR(HLOOKUP($A519,#REF!,10,FALSE)&gt;2,HLOOKUP($A519,#REF!,10,FALSE)&lt;-2),"",#REF!),"")</f>
        <v/>
      </c>
      <c r="M519" t="str">
        <f>IFERROR(IF(OR(HLOOKUP($A519,#REF!,11,FALSE)&gt;2,HLOOKUP($A519,#REF!,11,FALSE)&lt;-2),"",#REF!),"")</f>
        <v/>
      </c>
      <c r="N519" t="str">
        <f>IFERROR(IF(OR(HLOOKUP($A519,#REF!,12,FALSE)&gt;2,HLOOKUP($A519,#REF!,12,FALSE)&lt;-2),"",#REF!),"")</f>
        <v/>
      </c>
      <c r="O519" t="str">
        <f>IFERROR(IF(OR(HLOOKUP($A519,#REF!,13,FALSE)&gt;2,HLOOKUP($A519,#REF!,13,FALSE)&lt;-2),"",#REF!),"")</f>
        <v/>
      </c>
      <c r="P519" t="str">
        <f>IFERROR(IF(OR(HLOOKUP($A519,#REF!,14,FALSE)&gt;2,HLOOKUP($A519,#REF!,14,FALSE)&lt;-2),"",#REF!),"")</f>
        <v/>
      </c>
      <c r="Q519" t="str">
        <f>IFERROR(IF(OR(HLOOKUP($A519,#REF!,15,FALSE)&gt;2,HLOOKUP($A519,#REF!,15,FALSE)&lt;-2),"",#REF!),"")</f>
        <v/>
      </c>
      <c r="R519" t="str">
        <f>IFERROR(IF(OR(HLOOKUP($A519,#REF!,16,FALSE)&gt;2,HLOOKUP($A519,#REF!,16,FALSE)&lt;-2),"",#REF!),"")</f>
        <v/>
      </c>
      <c r="S519" t="str">
        <f>IFERROR(IF(OR(HLOOKUP($A519,#REF!,17,FALSE)&gt;2,HLOOKUP($A519,#REF!,17,FALSE)&lt;-2),"",#REF!),"")</f>
        <v/>
      </c>
      <c r="T519" t="str">
        <f>IFERROR(IF(OR(HLOOKUP($A519,#REF!,18,FALSE)&gt;2,HLOOKUP($A519,#REF!,18,FALSE)&lt;-2),"",#REF!),"")</f>
        <v/>
      </c>
      <c r="U519" t="str">
        <f>IFERROR(IF(OR(HLOOKUP($A519,#REF!,19,FALSE)&gt;2,HLOOKUP($A519,#REF!,19,FALSE)&lt;-2),"",#REF!),"")</f>
        <v/>
      </c>
      <c r="V519">
        <f t="shared" si="32"/>
        <v>1</v>
      </c>
      <c r="W519" t="str">
        <f t="shared" si="33"/>
        <v/>
      </c>
      <c r="X519" t="str">
        <f t="shared" si="34"/>
        <v/>
      </c>
      <c r="Y519" t="str">
        <f t="shared" si="35"/>
        <v/>
      </c>
    </row>
    <row r="520" spans="1:25" x14ac:dyDescent="0.35">
      <c r="A520">
        <v>528</v>
      </c>
      <c r="B520" t="s">
        <v>865</v>
      </c>
      <c r="C520">
        <v>54800</v>
      </c>
      <c r="D520">
        <v>512</v>
      </c>
      <c r="E520" t="str">
        <f>IFERROR(IF(OR(HLOOKUP($A520,#REF!,3,FALSE)&gt;2,HLOOKUP(A520,#REF!,3,FALSE)&lt;-2),"",#REF!),"")</f>
        <v/>
      </c>
      <c r="F520" t="str">
        <f>IFERROR(IF(OR(HLOOKUP($A520,#REF!,4,FALSE)&gt;2,HLOOKUP($A520,#REF!,4,FALSE)&lt;-2),"",#REF!),"")</f>
        <v/>
      </c>
      <c r="G520" t="str">
        <f>IFERROR(IF(OR(HLOOKUP($A520,#REF!,5,FALSE)&gt;2,HLOOKUP($A520,#REF!,5,FALSE)&lt;-2),"",#REF!),"")</f>
        <v/>
      </c>
      <c r="H520" t="str">
        <f>IFERROR(IF(OR(HLOOKUP($A520,#REF!,6,FALSE)&gt;2,HLOOKUP($A520,#REF!,6,FALSE)&lt;-2),"",#REF!),"")</f>
        <v/>
      </c>
      <c r="I520" t="str">
        <f>IFERROR(IF(OR(HLOOKUP($A520,#REF!,7,FALSE)&gt;2,HLOOKUP($A520,#REF!,7,FALSE)&lt;-2),"",#REF!),"")</f>
        <v/>
      </c>
      <c r="J520" t="str">
        <f>IFERROR(IF(OR(HLOOKUP($A520,#REF!,8,FALSE)&gt;2,HLOOKUP($A520,#REF!,8,FALSE)&lt;-2),"",#REF!),"")</f>
        <v/>
      </c>
      <c r="K520" t="str">
        <f>IFERROR(IF(OR(HLOOKUP($A520,#REF!,9,FALSE)&gt;2,HLOOKUP($A520,#REF!,9,FALSE)&lt;-2),"",#REF!),"")</f>
        <v/>
      </c>
      <c r="L520" t="str">
        <f>IFERROR(IF(OR(HLOOKUP($A520,#REF!,10,FALSE)&gt;2,HLOOKUP($A520,#REF!,10,FALSE)&lt;-2),"",#REF!),"")</f>
        <v/>
      </c>
      <c r="M520" t="str">
        <f>IFERROR(IF(OR(HLOOKUP($A520,#REF!,11,FALSE)&gt;2,HLOOKUP($A520,#REF!,11,FALSE)&lt;-2),"",#REF!),"")</f>
        <v/>
      </c>
      <c r="N520" t="str">
        <f>IFERROR(IF(OR(HLOOKUP($A520,#REF!,12,FALSE)&gt;2,HLOOKUP($A520,#REF!,12,FALSE)&lt;-2),"",#REF!),"")</f>
        <v/>
      </c>
      <c r="O520" t="str">
        <f>IFERROR(IF(OR(HLOOKUP($A520,#REF!,13,FALSE)&gt;2,HLOOKUP($A520,#REF!,13,FALSE)&lt;-2),"",#REF!),"")</f>
        <v/>
      </c>
      <c r="P520" t="str">
        <f>IFERROR(IF(OR(HLOOKUP($A520,#REF!,14,FALSE)&gt;2,HLOOKUP($A520,#REF!,14,FALSE)&lt;-2),"",#REF!),"")</f>
        <v/>
      </c>
      <c r="Q520" t="str">
        <f>IFERROR(IF(OR(HLOOKUP($A520,#REF!,15,FALSE)&gt;2,HLOOKUP($A520,#REF!,15,FALSE)&lt;-2),"",#REF!),"")</f>
        <v/>
      </c>
      <c r="R520" t="str">
        <f>IFERROR(IF(OR(HLOOKUP($A520,#REF!,16,FALSE)&gt;2,HLOOKUP($A520,#REF!,16,FALSE)&lt;-2),"",#REF!),"")</f>
        <v/>
      </c>
      <c r="S520" t="str">
        <f>IFERROR(IF(OR(HLOOKUP($A520,#REF!,17,FALSE)&gt;2,HLOOKUP($A520,#REF!,17,FALSE)&lt;-2),"",#REF!),"")</f>
        <v/>
      </c>
      <c r="T520" t="str">
        <f>IFERROR(IF(OR(HLOOKUP($A520,#REF!,18,FALSE)&gt;2,HLOOKUP($A520,#REF!,18,FALSE)&lt;-2),"",#REF!),"")</f>
        <v/>
      </c>
      <c r="U520" t="str">
        <f>IFERROR(IF(OR(HLOOKUP($A520,#REF!,19,FALSE)&gt;2,HLOOKUP($A520,#REF!,19,FALSE)&lt;-2),"",#REF!),"")</f>
        <v/>
      </c>
      <c r="V520">
        <f t="shared" si="32"/>
        <v>1</v>
      </c>
      <c r="W520" t="str">
        <f t="shared" si="33"/>
        <v/>
      </c>
      <c r="X520" t="str">
        <f t="shared" si="34"/>
        <v/>
      </c>
      <c r="Y520" t="str">
        <f t="shared" si="35"/>
        <v/>
      </c>
    </row>
    <row r="521" spans="1:25" x14ac:dyDescent="0.35">
      <c r="A521">
        <v>529</v>
      </c>
      <c r="B521" t="s">
        <v>866</v>
      </c>
      <c r="C521">
        <v>53900</v>
      </c>
      <c r="D521">
        <v>359</v>
      </c>
      <c r="E521" t="str">
        <f>IFERROR(IF(OR(HLOOKUP($A521,#REF!,3,FALSE)&gt;2,HLOOKUP(A521,#REF!,3,FALSE)&lt;-2),"",#REF!),"")</f>
        <v/>
      </c>
      <c r="F521" t="str">
        <f>IFERROR(IF(OR(HLOOKUP($A521,#REF!,4,FALSE)&gt;2,HLOOKUP($A521,#REF!,4,FALSE)&lt;-2),"",#REF!),"")</f>
        <v/>
      </c>
      <c r="G521" t="str">
        <f>IFERROR(IF(OR(HLOOKUP($A521,#REF!,5,FALSE)&gt;2,HLOOKUP($A521,#REF!,5,FALSE)&lt;-2),"",#REF!),"")</f>
        <v/>
      </c>
      <c r="H521" t="str">
        <f>IFERROR(IF(OR(HLOOKUP($A521,#REF!,6,FALSE)&gt;2,HLOOKUP($A521,#REF!,6,FALSE)&lt;-2),"",#REF!),"")</f>
        <v/>
      </c>
      <c r="I521" t="str">
        <f>IFERROR(IF(OR(HLOOKUP($A521,#REF!,7,FALSE)&gt;2,HLOOKUP($A521,#REF!,7,FALSE)&lt;-2),"",#REF!),"")</f>
        <v/>
      </c>
      <c r="J521" t="str">
        <f>IFERROR(IF(OR(HLOOKUP($A521,#REF!,8,FALSE)&gt;2,HLOOKUP($A521,#REF!,8,FALSE)&lt;-2),"",#REF!),"")</f>
        <v/>
      </c>
      <c r="K521" t="str">
        <f>IFERROR(IF(OR(HLOOKUP($A521,#REF!,9,FALSE)&gt;2,HLOOKUP($A521,#REF!,9,FALSE)&lt;-2),"",#REF!),"")</f>
        <v/>
      </c>
      <c r="L521" t="str">
        <f>IFERROR(IF(OR(HLOOKUP($A521,#REF!,10,FALSE)&gt;2,HLOOKUP($A521,#REF!,10,FALSE)&lt;-2),"",#REF!),"")</f>
        <v/>
      </c>
      <c r="M521" t="str">
        <f>IFERROR(IF(OR(HLOOKUP($A521,#REF!,11,FALSE)&gt;2,HLOOKUP($A521,#REF!,11,FALSE)&lt;-2),"",#REF!),"")</f>
        <v/>
      </c>
      <c r="N521" t="str">
        <f>IFERROR(IF(OR(HLOOKUP($A521,#REF!,12,FALSE)&gt;2,HLOOKUP($A521,#REF!,12,FALSE)&lt;-2),"",#REF!),"")</f>
        <v/>
      </c>
      <c r="O521" t="str">
        <f>IFERROR(IF(OR(HLOOKUP($A521,#REF!,13,FALSE)&gt;2,HLOOKUP($A521,#REF!,13,FALSE)&lt;-2),"",#REF!),"")</f>
        <v/>
      </c>
      <c r="P521" t="str">
        <f>IFERROR(IF(OR(HLOOKUP($A521,#REF!,14,FALSE)&gt;2,HLOOKUP($A521,#REF!,14,FALSE)&lt;-2),"",#REF!),"")</f>
        <v/>
      </c>
      <c r="Q521" t="str">
        <f>IFERROR(IF(OR(HLOOKUP($A521,#REF!,15,FALSE)&gt;2,HLOOKUP($A521,#REF!,15,FALSE)&lt;-2),"",#REF!),"")</f>
        <v/>
      </c>
      <c r="R521" t="str">
        <f>IFERROR(IF(OR(HLOOKUP($A521,#REF!,16,FALSE)&gt;2,HLOOKUP($A521,#REF!,16,FALSE)&lt;-2),"",#REF!),"")</f>
        <v/>
      </c>
      <c r="S521" t="str">
        <f>IFERROR(IF(OR(HLOOKUP($A521,#REF!,17,FALSE)&gt;2,HLOOKUP($A521,#REF!,17,FALSE)&lt;-2),"",#REF!),"")</f>
        <v/>
      </c>
      <c r="T521" t="str">
        <f>IFERROR(IF(OR(HLOOKUP($A521,#REF!,18,FALSE)&gt;2,HLOOKUP($A521,#REF!,18,FALSE)&lt;-2),"",#REF!),"")</f>
        <v/>
      </c>
      <c r="U521" t="str">
        <f>IFERROR(IF(OR(HLOOKUP($A521,#REF!,19,FALSE)&gt;2,HLOOKUP($A521,#REF!,19,FALSE)&lt;-2),"",#REF!),"")</f>
        <v/>
      </c>
      <c r="V521">
        <f t="shared" si="32"/>
        <v>1</v>
      </c>
      <c r="W521" t="str">
        <f t="shared" si="33"/>
        <v/>
      </c>
      <c r="X521" t="str">
        <f t="shared" si="34"/>
        <v/>
      </c>
      <c r="Y521" t="str">
        <f t="shared" si="35"/>
        <v/>
      </c>
    </row>
    <row r="522" spans="1:25" x14ac:dyDescent="0.35">
      <c r="A522">
        <v>530</v>
      </c>
      <c r="B522" t="s">
        <v>258</v>
      </c>
      <c r="C522">
        <v>111300</v>
      </c>
      <c r="D522">
        <v>1099</v>
      </c>
      <c r="E522" t="str">
        <f>IFERROR(IF(OR(HLOOKUP($A522,#REF!,3,FALSE)&gt;2,HLOOKUP(A522,#REF!,3,FALSE)&lt;-2),"",#REF!),"")</f>
        <v/>
      </c>
      <c r="F522" t="str">
        <f>IFERROR(IF(OR(HLOOKUP($A522,#REF!,4,FALSE)&gt;2,HLOOKUP($A522,#REF!,4,FALSE)&lt;-2),"",#REF!),"")</f>
        <v/>
      </c>
      <c r="G522" t="str">
        <f>IFERROR(IF(OR(HLOOKUP($A522,#REF!,5,FALSE)&gt;2,HLOOKUP($A522,#REF!,5,FALSE)&lt;-2),"",#REF!),"")</f>
        <v/>
      </c>
      <c r="H522" t="str">
        <f>IFERROR(IF(OR(HLOOKUP($A522,#REF!,6,FALSE)&gt;2,HLOOKUP($A522,#REF!,6,FALSE)&lt;-2),"",#REF!),"")</f>
        <v/>
      </c>
      <c r="I522" t="str">
        <f>IFERROR(IF(OR(HLOOKUP($A522,#REF!,7,FALSE)&gt;2,HLOOKUP($A522,#REF!,7,FALSE)&lt;-2),"",#REF!),"")</f>
        <v/>
      </c>
      <c r="J522" t="str">
        <f>IFERROR(IF(OR(HLOOKUP($A522,#REF!,8,FALSE)&gt;2,HLOOKUP($A522,#REF!,8,FALSE)&lt;-2),"",#REF!),"")</f>
        <v/>
      </c>
      <c r="K522" t="str">
        <f>IFERROR(IF(OR(HLOOKUP($A522,#REF!,9,FALSE)&gt;2,HLOOKUP($A522,#REF!,9,FALSE)&lt;-2),"",#REF!),"")</f>
        <v/>
      </c>
      <c r="L522" t="str">
        <f>IFERROR(IF(OR(HLOOKUP($A522,#REF!,10,FALSE)&gt;2,HLOOKUP($A522,#REF!,10,FALSE)&lt;-2),"",#REF!),"")</f>
        <v/>
      </c>
      <c r="M522" t="str">
        <f>IFERROR(IF(OR(HLOOKUP($A522,#REF!,11,FALSE)&gt;2,HLOOKUP($A522,#REF!,11,FALSE)&lt;-2),"",#REF!),"")</f>
        <v/>
      </c>
      <c r="N522" t="str">
        <f>IFERROR(IF(OR(HLOOKUP($A522,#REF!,12,FALSE)&gt;2,HLOOKUP($A522,#REF!,12,FALSE)&lt;-2),"",#REF!),"")</f>
        <v/>
      </c>
      <c r="O522" t="str">
        <f>IFERROR(IF(OR(HLOOKUP($A522,#REF!,13,FALSE)&gt;2,HLOOKUP($A522,#REF!,13,FALSE)&lt;-2),"",#REF!),"")</f>
        <v/>
      </c>
      <c r="P522" t="str">
        <f>IFERROR(IF(OR(HLOOKUP($A522,#REF!,14,FALSE)&gt;2,HLOOKUP($A522,#REF!,14,FALSE)&lt;-2),"",#REF!),"")</f>
        <v/>
      </c>
      <c r="Q522" t="str">
        <f>IFERROR(IF(OR(HLOOKUP($A522,#REF!,15,FALSE)&gt;2,HLOOKUP($A522,#REF!,15,FALSE)&lt;-2),"",#REF!),"")</f>
        <v/>
      </c>
      <c r="R522" t="str">
        <f>IFERROR(IF(OR(HLOOKUP($A522,#REF!,16,FALSE)&gt;2,HLOOKUP($A522,#REF!,16,FALSE)&lt;-2),"",#REF!),"")</f>
        <v/>
      </c>
      <c r="S522" t="str">
        <f>IFERROR(IF(OR(HLOOKUP($A522,#REF!,17,FALSE)&gt;2,HLOOKUP($A522,#REF!,17,FALSE)&lt;-2),"",#REF!),"")</f>
        <v/>
      </c>
      <c r="T522" t="str">
        <f>IFERROR(IF(OR(HLOOKUP($A522,#REF!,18,FALSE)&gt;2,HLOOKUP($A522,#REF!,18,FALSE)&lt;-2),"",#REF!),"")</f>
        <v/>
      </c>
      <c r="U522" t="str">
        <f>IFERROR(IF(OR(HLOOKUP($A522,#REF!,19,FALSE)&gt;2,HLOOKUP($A522,#REF!,19,FALSE)&lt;-2),"",#REF!),"")</f>
        <v/>
      </c>
      <c r="V522">
        <f t="shared" si="32"/>
        <v>1</v>
      </c>
      <c r="W522" t="str">
        <f t="shared" si="33"/>
        <v/>
      </c>
      <c r="X522" t="str">
        <f t="shared" si="34"/>
        <v/>
      </c>
      <c r="Y522" t="str">
        <f t="shared" si="35"/>
        <v/>
      </c>
    </row>
    <row r="523" spans="1:25" x14ac:dyDescent="0.35">
      <c r="A523">
        <v>531</v>
      </c>
      <c r="B523" t="s">
        <v>259</v>
      </c>
      <c r="C523">
        <v>82100</v>
      </c>
      <c r="D523">
        <v>1100</v>
      </c>
      <c r="E523" t="str">
        <f>IFERROR(IF(OR(HLOOKUP($A523,#REF!,3,FALSE)&gt;2,HLOOKUP(A523,#REF!,3,FALSE)&lt;-2),"",#REF!),"")</f>
        <v/>
      </c>
      <c r="F523" t="str">
        <f>IFERROR(IF(OR(HLOOKUP($A523,#REF!,4,FALSE)&gt;2,HLOOKUP($A523,#REF!,4,FALSE)&lt;-2),"",#REF!),"")</f>
        <v/>
      </c>
      <c r="G523" t="str">
        <f>IFERROR(IF(OR(HLOOKUP($A523,#REF!,5,FALSE)&gt;2,HLOOKUP($A523,#REF!,5,FALSE)&lt;-2),"",#REF!),"")</f>
        <v/>
      </c>
      <c r="H523" t="str">
        <f>IFERROR(IF(OR(HLOOKUP($A523,#REF!,6,FALSE)&gt;2,HLOOKUP($A523,#REF!,6,FALSE)&lt;-2),"",#REF!),"")</f>
        <v/>
      </c>
      <c r="I523" t="str">
        <f>IFERROR(IF(OR(HLOOKUP($A523,#REF!,7,FALSE)&gt;2,HLOOKUP($A523,#REF!,7,FALSE)&lt;-2),"",#REF!),"")</f>
        <v/>
      </c>
      <c r="J523" t="str">
        <f>IFERROR(IF(OR(HLOOKUP($A523,#REF!,8,FALSE)&gt;2,HLOOKUP($A523,#REF!,8,FALSE)&lt;-2),"",#REF!),"")</f>
        <v/>
      </c>
      <c r="K523" t="str">
        <f>IFERROR(IF(OR(HLOOKUP($A523,#REF!,9,FALSE)&gt;2,HLOOKUP($A523,#REF!,9,FALSE)&lt;-2),"",#REF!),"")</f>
        <v/>
      </c>
      <c r="L523" t="str">
        <f>IFERROR(IF(OR(HLOOKUP($A523,#REF!,10,FALSE)&gt;2,HLOOKUP($A523,#REF!,10,FALSE)&lt;-2),"",#REF!),"")</f>
        <v/>
      </c>
      <c r="M523" t="str">
        <f>IFERROR(IF(OR(HLOOKUP($A523,#REF!,11,FALSE)&gt;2,HLOOKUP($A523,#REF!,11,FALSE)&lt;-2),"",#REF!),"")</f>
        <v/>
      </c>
      <c r="N523" t="str">
        <f>IFERROR(IF(OR(HLOOKUP($A523,#REF!,12,FALSE)&gt;2,HLOOKUP($A523,#REF!,12,FALSE)&lt;-2),"",#REF!),"")</f>
        <v/>
      </c>
      <c r="O523" t="str">
        <f>IFERROR(IF(OR(HLOOKUP($A523,#REF!,13,FALSE)&gt;2,HLOOKUP($A523,#REF!,13,FALSE)&lt;-2),"",#REF!),"")</f>
        <v/>
      </c>
      <c r="P523" t="str">
        <f>IFERROR(IF(OR(HLOOKUP($A523,#REF!,14,FALSE)&gt;2,HLOOKUP($A523,#REF!,14,FALSE)&lt;-2),"",#REF!),"")</f>
        <v/>
      </c>
      <c r="Q523" t="str">
        <f>IFERROR(IF(OR(HLOOKUP($A523,#REF!,15,FALSE)&gt;2,HLOOKUP($A523,#REF!,15,FALSE)&lt;-2),"",#REF!),"")</f>
        <v/>
      </c>
      <c r="R523" t="str">
        <f>IFERROR(IF(OR(HLOOKUP($A523,#REF!,16,FALSE)&gt;2,HLOOKUP($A523,#REF!,16,FALSE)&lt;-2),"",#REF!),"")</f>
        <v/>
      </c>
      <c r="S523" t="str">
        <f>IFERROR(IF(OR(HLOOKUP($A523,#REF!,17,FALSE)&gt;2,HLOOKUP($A523,#REF!,17,FALSE)&lt;-2),"",#REF!),"")</f>
        <v/>
      </c>
      <c r="T523" t="str">
        <f>IFERROR(IF(OR(HLOOKUP($A523,#REF!,18,FALSE)&gt;2,HLOOKUP($A523,#REF!,18,FALSE)&lt;-2),"",#REF!),"")</f>
        <v/>
      </c>
      <c r="U523" t="str">
        <f>IFERROR(IF(OR(HLOOKUP($A523,#REF!,19,FALSE)&gt;2,HLOOKUP($A523,#REF!,19,FALSE)&lt;-2),"",#REF!),"")</f>
        <v/>
      </c>
      <c r="V523">
        <f t="shared" si="32"/>
        <v>1</v>
      </c>
      <c r="W523" t="str">
        <f t="shared" si="33"/>
        <v/>
      </c>
      <c r="X523" t="str">
        <f t="shared" si="34"/>
        <v/>
      </c>
      <c r="Y523" t="str">
        <f t="shared" si="35"/>
        <v/>
      </c>
    </row>
    <row r="524" spans="1:25" x14ac:dyDescent="0.35">
      <c r="A524">
        <v>532</v>
      </c>
      <c r="B524" t="s">
        <v>867</v>
      </c>
      <c r="C524">
        <v>27400</v>
      </c>
      <c r="D524">
        <v>22</v>
      </c>
      <c r="E524" t="str">
        <f>IFERROR(IF(OR(HLOOKUP($A524,#REF!,3,FALSE)&gt;2,HLOOKUP(A524,#REF!,3,FALSE)&lt;-2),"",#REF!),"")</f>
        <v/>
      </c>
      <c r="F524" t="str">
        <f>IFERROR(IF(OR(HLOOKUP($A524,#REF!,4,FALSE)&gt;2,HLOOKUP($A524,#REF!,4,FALSE)&lt;-2),"",#REF!),"")</f>
        <v/>
      </c>
      <c r="G524" t="str">
        <f>IFERROR(IF(OR(HLOOKUP($A524,#REF!,5,FALSE)&gt;2,HLOOKUP($A524,#REF!,5,FALSE)&lt;-2),"",#REF!),"")</f>
        <v/>
      </c>
      <c r="H524" t="str">
        <f>IFERROR(IF(OR(HLOOKUP($A524,#REF!,6,FALSE)&gt;2,HLOOKUP($A524,#REF!,6,FALSE)&lt;-2),"",#REF!),"")</f>
        <v/>
      </c>
      <c r="I524" t="str">
        <f>IFERROR(IF(OR(HLOOKUP($A524,#REF!,7,FALSE)&gt;2,HLOOKUP($A524,#REF!,7,FALSE)&lt;-2),"",#REF!),"")</f>
        <v/>
      </c>
      <c r="J524" t="str">
        <f>IFERROR(IF(OR(HLOOKUP($A524,#REF!,8,FALSE)&gt;2,HLOOKUP($A524,#REF!,8,FALSE)&lt;-2),"",#REF!),"")</f>
        <v/>
      </c>
      <c r="K524" t="str">
        <f>IFERROR(IF(OR(HLOOKUP($A524,#REF!,9,FALSE)&gt;2,HLOOKUP($A524,#REF!,9,FALSE)&lt;-2),"",#REF!),"")</f>
        <v/>
      </c>
      <c r="L524" t="str">
        <f>IFERROR(IF(OR(HLOOKUP($A524,#REF!,10,FALSE)&gt;2,HLOOKUP($A524,#REF!,10,FALSE)&lt;-2),"",#REF!),"")</f>
        <v/>
      </c>
      <c r="M524" t="str">
        <f>IFERROR(IF(OR(HLOOKUP($A524,#REF!,11,FALSE)&gt;2,HLOOKUP($A524,#REF!,11,FALSE)&lt;-2),"",#REF!),"")</f>
        <v/>
      </c>
      <c r="N524" t="str">
        <f>IFERROR(IF(OR(HLOOKUP($A524,#REF!,12,FALSE)&gt;2,HLOOKUP($A524,#REF!,12,FALSE)&lt;-2),"",#REF!),"")</f>
        <v/>
      </c>
      <c r="O524" t="str">
        <f>IFERROR(IF(OR(HLOOKUP($A524,#REF!,13,FALSE)&gt;2,HLOOKUP($A524,#REF!,13,FALSE)&lt;-2),"",#REF!),"")</f>
        <v/>
      </c>
      <c r="P524" t="str">
        <f>IFERROR(IF(OR(HLOOKUP($A524,#REF!,14,FALSE)&gt;2,HLOOKUP($A524,#REF!,14,FALSE)&lt;-2),"",#REF!),"")</f>
        <v/>
      </c>
      <c r="Q524" t="str">
        <f>IFERROR(IF(OR(HLOOKUP($A524,#REF!,15,FALSE)&gt;2,HLOOKUP($A524,#REF!,15,FALSE)&lt;-2),"",#REF!),"")</f>
        <v/>
      </c>
      <c r="R524" t="str">
        <f>IFERROR(IF(OR(HLOOKUP($A524,#REF!,16,FALSE)&gt;2,HLOOKUP($A524,#REF!,16,FALSE)&lt;-2),"",#REF!),"")</f>
        <v/>
      </c>
      <c r="S524" t="str">
        <f>IFERROR(IF(OR(HLOOKUP($A524,#REF!,17,FALSE)&gt;2,HLOOKUP($A524,#REF!,17,FALSE)&lt;-2),"",#REF!),"")</f>
        <v/>
      </c>
      <c r="T524" t="str">
        <f>IFERROR(IF(OR(HLOOKUP($A524,#REF!,18,FALSE)&gt;2,HLOOKUP($A524,#REF!,18,FALSE)&lt;-2),"",#REF!),"")</f>
        <v/>
      </c>
      <c r="U524" t="str">
        <f>IFERROR(IF(OR(HLOOKUP($A524,#REF!,19,FALSE)&gt;2,HLOOKUP($A524,#REF!,19,FALSE)&lt;-2),"",#REF!),"")</f>
        <v/>
      </c>
      <c r="V524">
        <f t="shared" si="32"/>
        <v>1</v>
      </c>
      <c r="W524" t="str">
        <f t="shared" si="33"/>
        <v/>
      </c>
      <c r="X524" t="str">
        <f t="shared" si="34"/>
        <v/>
      </c>
      <c r="Y524" t="str">
        <f t="shared" si="35"/>
        <v/>
      </c>
    </row>
    <row r="525" spans="1:25" x14ac:dyDescent="0.35">
      <c r="A525">
        <v>533</v>
      </c>
      <c r="B525" t="s">
        <v>868</v>
      </c>
      <c r="C525">
        <v>17600</v>
      </c>
      <c r="D525">
        <v>669</v>
      </c>
      <c r="E525" t="str">
        <f>IFERROR(IF(OR(HLOOKUP($A525,#REF!,3,FALSE)&gt;2,HLOOKUP(A525,#REF!,3,FALSE)&lt;-2),"",#REF!),"")</f>
        <v/>
      </c>
      <c r="F525" t="str">
        <f>IFERROR(IF(OR(HLOOKUP($A525,#REF!,4,FALSE)&gt;2,HLOOKUP($A525,#REF!,4,FALSE)&lt;-2),"",#REF!),"")</f>
        <v/>
      </c>
      <c r="G525" t="str">
        <f>IFERROR(IF(OR(HLOOKUP($A525,#REF!,5,FALSE)&gt;2,HLOOKUP($A525,#REF!,5,FALSE)&lt;-2),"",#REF!),"")</f>
        <v/>
      </c>
      <c r="H525" t="str">
        <f>IFERROR(IF(OR(HLOOKUP($A525,#REF!,6,FALSE)&gt;2,HLOOKUP($A525,#REF!,6,FALSE)&lt;-2),"",#REF!),"")</f>
        <v/>
      </c>
      <c r="I525" t="str">
        <f>IFERROR(IF(OR(HLOOKUP($A525,#REF!,7,FALSE)&gt;2,HLOOKUP($A525,#REF!,7,FALSE)&lt;-2),"",#REF!),"")</f>
        <v/>
      </c>
      <c r="J525" t="str">
        <f>IFERROR(IF(OR(HLOOKUP($A525,#REF!,8,FALSE)&gt;2,HLOOKUP($A525,#REF!,8,FALSE)&lt;-2),"",#REF!),"")</f>
        <v/>
      </c>
      <c r="K525" t="str">
        <f>IFERROR(IF(OR(HLOOKUP($A525,#REF!,9,FALSE)&gt;2,HLOOKUP($A525,#REF!,9,FALSE)&lt;-2),"",#REF!),"")</f>
        <v/>
      </c>
      <c r="L525" t="str">
        <f>IFERROR(IF(OR(HLOOKUP($A525,#REF!,10,FALSE)&gt;2,HLOOKUP($A525,#REF!,10,FALSE)&lt;-2),"",#REF!),"")</f>
        <v/>
      </c>
      <c r="M525" t="str">
        <f>IFERROR(IF(OR(HLOOKUP($A525,#REF!,11,FALSE)&gt;2,HLOOKUP($A525,#REF!,11,FALSE)&lt;-2),"",#REF!),"")</f>
        <v/>
      </c>
      <c r="N525" t="str">
        <f>IFERROR(IF(OR(HLOOKUP($A525,#REF!,12,FALSE)&gt;2,HLOOKUP($A525,#REF!,12,FALSE)&lt;-2),"",#REF!),"")</f>
        <v/>
      </c>
      <c r="O525" t="str">
        <f>IFERROR(IF(OR(HLOOKUP($A525,#REF!,13,FALSE)&gt;2,HLOOKUP($A525,#REF!,13,FALSE)&lt;-2),"",#REF!),"")</f>
        <v/>
      </c>
      <c r="P525" t="str">
        <f>IFERROR(IF(OR(HLOOKUP($A525,#REF!,14,FALSE)&gt;2,HLOOKUP($A525,#REF!,14,FALSE)&lt;-2),"",#REF!),"")</f>
        <v/>
      </c>
      <c r="Q525" t="str">
        <f>IFERROR(IF(OR(HLOOKUP($A525,#REF!,15,FALSE)&gt;2,HLOOKUP($A525,#REF!,15,FALSE)&lt;-2),"",#REF!),"")</f>
        <v/>
      </c>
      <c r="R525" t="str">
        <f>IFERROR(IF(OR(HLOOKUP($A525,#REF!,16,FALSE)&gt;2,HLOOKUP($A525,#REF!,16,FALSE)&lt;-2),"",#REF!),"")</f>
        <v/>
      </c>
      <c r="S525" t="str">
        <f>IFERROR(IF(OR(HLOOKUP($A525,#REF!,17,FALSE)&gt;2,HLOOKUP($A525,#REF!,17,FALSE)&lt;-2),"",#REF!),"")</f>
        <v/>
      </c>
      <c r="T525" t="str">
        <f>IFERROR(IF(OR(HLOOKUP($A525,#REF!,18,FALSE)&gt;2,HLOOKUP($A525,#REF!,18,FALSE)&lt;-2),"",#REF!),"")</f>
        <v/>
      </c>
      <c r="U525" t="str">
        <f>IFERROR(IF(OR(HLOOKUP($A525,#REF!,19,FALSE)&gt;2,HLOOKUP($A525,#REF!,19,FALSE)&lt;-2),"",#REF!),"")</f>
        <v/>
      </c>
      <c r="V525">
        <f t="shared" si="32"/>
        <v>1</v>
      </c>
      <c r="W525" t="str">
        <f t="shared" si="33"/>
        <v/>
      </c>
      <c r="X525" t="str">
        <f t="shared" si="34"/>
        <v/>
      </c>
      <c r="Y525" t="str">
        <f t="shared" si="35"/>
        <v/>
      </c>
    </row>
    <row r="526" spans="1:25" x14ac:dyDescent="0.35">
      <c r="A526">
        <v>534</v>
      </c>
      <c r="B526" t="s">
        <v>260</v>
      </c>
      <c r="C526">
        <v>88000</v>
      </c>
      <c r="D526">
        <v>987</v>
      </c>
      <c r="E526" t="str">
        <f>IFERROR(IF(OR(HLOOKUP($A526,#REF!,3,FALSE)&gt;2,HLOOKUP(A526,#REF!,3,FALSE)&lt;-2),"",#REF!),"")</f>
        <v/>
      </c>
      <c r="F526" t="str">
        <f>IFERROR(IF(OR(HLOOKUP($A526,#REF!,4,FALSE)&gt;2,HLOOKUP($A526,#REF!,4,FALSE)&lt;-2),"",#REF!),"")</f>
        <v/>
      </c>
      <c r="G526" t="str">
        <f>IFERROR(IF(OR(HLOOKUP($A526,#REF!,5,FALSE)&gt;2,HLOOKUP($A526,#REF!,5,FALSE)&lt;-2),"",#REF!),"")</f>
        <v/>
      </c>
      <c r="H526" t="str">
        <f>IFERROR(IF(OR(HLOOKUP($A526,#REF!,6,FALSE)&gt;2,HLOOKUP($A526,#REF!,6,FALSE)&lt;-2),"",#REF!),"")</f>
        <v/>
      </c>
      <c r="I526" t="str">
        <f>IFERROR(IF(OR(HLOOKUP($A526,#REF!,7,FALSE)&gt;2,HLOOKUP($A526,#REF!,7,FALSE)&lt;-2),"",#REF!),"")</f>
        <v/>
      </c>
      <c r="J526" t="str">
        <f>IFERROR(IF(OR(HLOOKUP($A526,#REF!,8,FALSE)&gt;2,HLOOKUP($A526,#REF!,8,FALSE)&lt;-2),"",#REF!),"")</f>
        <v/>
      </c>
      <c r="K526" t="str">
        <f>IFERROR(IF(OR(HLOOKUP($A526,#REF!,9,FALSE)&gt;2,HLOOKUP($A526,#REF!,9,FALSE)&lt;-2),"",#REF!),"")</f>
        <v/>
      </c>
      <c r="L526" t="str">
        <f>IFERROR(IF(OR(HLOOKUP($A526,#REF!,10,FALSE)&gt;2,HLOOKUP($A526,#REF!,10,FALSE)&lt;-2),"",#REF!),"")</f>
        <v/>
      </c>
      <c r="M526" t="str">
        <f>IFERROR(IF(OR(HLOOKUP($A526,#REF!,11,FALSE)&gt;2,HLOOKUP($A526,#REF!,11,FALSE)&lt;-2),"",#REF!),"")</f>
        <v/>
      </c>
      <c r="N526" t="str">
        <f>IFERROR(IF(OR(HLOOKUP($A526,#REF!,12,FALSE)&gt;2,HLOOKUP($A526,#REF!,12,FALSE)&lt;-2),"",#REF!),"")</f>
        <v/>
      </c>
      <c r="O526" t="str">
        <f>IFERROR(IF(OR(HLOOKUP($A526,#REF!,13,FALSE)&gt;2,HLOOKUP($A526,#REF!,13,FALSE)&lt;-2),"",#REF!),"")</f>
        <v/>
      </c>
      <c r="P526" t="str">
        <f>IFERROR(IF(OR(HLOOKUP($A526,#REF!,14,FALSE)&gt;2,HLOOKUP($A526,#REF!,14,FALSE)&lt;-2),"",#REF!),"")</f>
        <v/>
      </c>
      <c r="Q526" t="str">
        <f>IFERROR(IF(OR(HLOOKUP($A526,#REF!,15,FALSE)&gt;2,HLOOKUP($A526,#REF!,15,FALSE)&lt;-2),"",#REF!),"")</f>
        <v/>
      </c>
      <c r="R526" t="str">
        <f>IFERROR(IF(OR(HLOOKUP($A526,#REF!,16,FALSE)&gt;2,HLOOKUP($A526,#REF!,16,FALSE)&lt;-2),"",#REF!),"")</f>
        <v/>
      </c>
      <c r="S526" t="str">
        <f>IFERROR(IF(OR(HLOOKUP($A526,#REF!,17,FALSE)&gt;2,HLOOKUP($A526,#REF!,17,FALSE)&lt;-2),"",#REF!),"")</f>
        <v/>
      </c>
      <c r="T526" t="str">
        <f>IFERROR(IF(OR(HLOOKUP($A526,#REF!,18,FALSE)&gt;2,HLOOKUP($A526,#REF!,18,FALSE)&lt;-2),"",#REF!),"")</f>
        <v/>
      </c>
      <c r="U526" t="str">
        <f>IFERROR(IF(OR(HLOOKUP($A526,#REF!,19,FALSE)&gt;2,HLOOKUP($A526,#REF!,19,FALSE)&lt;-2),"",#REF!),"")</f>
        <v/>
      </c>
      <c r="V526">
        <f t="shared" si="32"/>
        <v>1</v>
      </c>
      <c r="W526" t="str">
        <f t="shared" si="33"/>
        <v/>
      </c>
      <c r="X526" t="str">
        <f t="shared" si="34"/>
        <v/>
      </c>
      <c r="Y526" t="str">
        <f t="shared" si="35"/>
        <v/>
      </c>
    </row>
    <row r="527" spans="1:25" x14ac:dyDescent="0.35">
      <c r="A527">
        <v>535</v>
      </c>
      <c r="B527" t="s">
        <v>869</v>
      </c>
      <c r="C527">
        <v>33200</v>
      </c>
      <c r="D527">
        <v>814</v>
      </c>
      <c r="E527" t="str">
        <f>IFERROR(IF(OR(HLOOKUP($A527,#REF!,3,FALSE)&gt;2,HLOOKUP(A527,#REF!,3,FALSE)&lt;-2),"",#REF!),"")</f>
        <v/>
      </c>
      <c r="F527" t="str">
        <f>IFERROR(IF(OR(HLOOKUP($A527,#REF!,4,FALSE)&gt;2,HLOOKUP($A527,#REF!,4,FALSE)&lt;-2),"",#REF!),"")</f>
        <v/>
      </c>
      <c r="G527" t="str">
        <f>IFERROR(IF(OR(HLOOKUP($A527,#REF!,5,FALSE)&gt;2,HLOOKUP($A527,#REF!,5,FALSE)&lt;-2),"",#REF!),"")</f>
        <v/>
      </c>
      <c r="H527" t="str">
        <f>IFERROR(IF(OR(HLOOKUP($A527,#REF!,6,FALSE)&gt;2,HLOOKUP($A527,#REF!,6,FALSE)&lt;-2),"",#REF!),"")</f>
        <v/>
      </c>
      <c r="I527" t="str">
        <f>IFERROR(IF(OR(HLOOKUP($A527,#REF!,7,FALSE)&gt;2,HLOOKUP($A527,#REF!,7,FALSE)&lt;-2),"",#REF!),"")</f>
        <v/>
      </c>
      <c r="J527" t="str">
        <f>IFERROR(IF(OR(HLOOKUP($A527,#REF!,8,FALSE)&gt;2,HLOOKUP($A527,#REF!,8,FALSE)&lt;-2),"",#REF!),"")</f>
        <v/>
      </c>
      <c r="K527" t="str">
        <f>IFERROR(IF(OR(HLOOKUP($A527,#REF!,9,FALSE)&gt;2,HLOOKUP($A527,#REF!,9,FALSE)&lt;-2),"",#REF!),"")</f>
        <v/>
      </c>
      <c r="L527" t="str">
        <f>IFERROR(IF(OR(HLOOKUP($A527,#REF!,10,FALSE)&gt;2,HLOOKUP($A527,#REF!,10,FALSE)&lt;-2),"",#REF!),"")</f>
        <v/>
      </c>
      <c r="M527" t="str">
        <f>IFERROR(IF(OR(HLOOKUP($A527,#REF!,11,FALSE)&gt;2,HLOOKUP($A527,#REF!,11,FALSE)&lt;-2),"",#REF!),"")</f>
        <v/>
      </c>
      <c r="N527" t="str">
        <f>IFERROR(IF(OR(HLOOKUP($A527,#REF!,12,FALSE)&gt;2,HLOOKUP($A527,#REF!,12,FALSE)&lt;-2),"",#REF!),"")</f>
        <v/>
      </c>
      <c r="O527" t="str">
        <f>IFERROR(IF(OR(HLOOKUP($A527,#REF!,13,FALSE)&gt;2,HLOOKUP($A527,#REF!,13,FALSE)&lt;-2),"",#REF!),"")</f>
        <v/>
      </c>
      <c r="P527" t="str">
        <f>IFERROR(IF(OR(HLOOKUP($A527,#REF!,14,FALSE)&gt;2,HLOOKUP($A527,#REF!,14,FALSE)&lt;-2),"",#REF!),"")</f>
        <v/>
      </c>
      <c r="Q527" t="str">
        <f>IFERROR(IF(OR(HLOOKUP($A527,#REF!,15,FALSE)&gt;2,HLOOKUP($A527,#REF!,15,FALSE)&lt;-2),"",#REF!),"")</f>
        <v/>
      </c>
      <c r="R527" t="str">
        <f>IFERROR(IF(OR(HLOOKUP($A527,#REF!,16,FALSE)&gt;2,HLOOKUP($A527,#REF!,16,FALSE)&lt;-2),"",#REF!),"")</f>
        <v/>
      </c>
      <c r="S527" t="str">
        <f>IFERROR(IF(OR(HLOOKUP($A527,#REF!,17,FALSE)&gt;2,HLOOKUP($A527,#REF!,17,FALSE)&lt;-2),"",#REF!),"")</f>
        <v/>
      </c>
      <c r="T527" t="str">
        <f>IFERROR(IF(OR(HLOOKUP($A527,#REF!,18,FALSE)&gt;2,HLOOKUP($A527,#REF!,18,FALSE)&lt;-2),"",#REF!),"")</f>
        <v/>
      </c>
      <c r="U527" t="str">
        <f>IFERROR(IF(OR(HLOOKUP($A527,#REF!,19,FALSE)&gt;2,HLOOKUP($A527,#REF!,19,FALSE)&lt;-2),"",#REF!),"")</f>
        <v/>
      </c>
      <c r="V527">
        <f t="shared" si="32"/>
        <v>1</v>
      </c>
      <c r="W527" t="str">
        <f t="shared" si="33"/>
        <v/>
      </c>
      <c r="X527" t="str">
        <f t="shared" si="34"/>
        <v/>
      </c>
      <c r="Y527" t="str">
        <f t="shared" si="35"/>
        <v/>
      </c>
    </row>
    <row r="528" spans="1:25" x14ac:dyDescent="0.35">
      <c r="A528">
        <v>536</v>
      </c>
      <c r="B528" t="s">
        <v>261</v>
      </c>
      <c r="C528">
        <v>50300</v>
      </c>
      <c r="D528">
        <v>278</v>
      </c>
      <c r="E528" t="str">
        <f>IFERROR(IF(OR(HLOOKUP($A528,#REF!,3,FALSE)&gt;2,HLOOKUP(A528,#REF!,3,FALSE)&lt;-2),"",#REF!),"")</f>
        <v/>
      </c>
      <c r="F528" t="str">
        <f>IFERROR(IF(OR(HLOOKUP($A528,#REF!,4,FALSE)&gt;2,HLOOKUP($A528,#REF!,4,FALSE)&lt;-2),"",#REF!),"")</f>
        <v/>
      </c>
      <c r="G528" t="str">
        <f>IFERROR(IF(OR(HLOOKUP($A528,#REF!,5,FALSE)&gt;2,HLOOKUP($A528,#REF!,5,FALSE)&lt;-2),"",#REF!),"")</f>
        <v/>
      </c>
      <c r="H528" t="str">
        <f>IFERROR(IF(OR(HLOOKUP($A528,#REF!,6,FALSE)&gt;2,HLOOKUP($A528,#REF!,6,FALSE)&lt;-2),"",#REF!),"")</f>
        <v/>
      </c>
      <c r="I528" t="str">
        <f>IFERROR(IF(OR(HLOOKUP($A528,#REF!,7,FALSE)&gt;2,HLOOKUP($A528,#REF!,7,FALSE)&lt;-2),"",#REF!),"")</f>
        <v/>
      </c>
      <c r="J528" t="str">
        <f>IFERROR(IF(OR(HLOOKUP($A528,#REF!,8,FALSE)&gt;2,HLOOKUP($A528,#REF!,8,FALSE)&lt;-2),"",#REF!),"")</f>
        <v/>
      </c>
      <c r="K528" t="str">
        <f>IFERROR(IF(OR(HLOOKUP($A528,#REF!,9,FALSE)&gt;2,HLOOKUP($A528,#REF!,9,FALSE)&lt;-2),"",#REF!),"")</f>
        <v/>
      </c>
      <c r="L528" t="str">
        <f>IFERROR(IF(OR(HLOOKUP($A528,#REF!,10,FALSE)&gt;2,HLOOKUP($A528,#REF!,10,FALSE)&lt;-2),"",#REF!),"")</f>
        <v/>
      </c>
      <c r="M528" t="str">
        <f>IFERROR(IF(OR(HLOOKUP($A528,#REF!,11,FALSE)&gt;2,HLOOKUP($A528,#REF!,11,FALSE)&lt;-2),"",#REF!),"")</f>
        <v/>
      </c>
      <c r="N528" t="str">
        <f>IFERROR(IF(OR(HLOOKUP($A528,#REF!,12,FALSE)&gt;2,HLOOKUP($A528,#REF!,12,FALSE)&lt;-2),"",#REF!),"")</f>
        <v/>
      </c>
      <c r="O528" t="str">
        <f>IFERROR(IF(OR(HLOOKUP($A528,#REF!,13,FALSE)&gt;2,HLOOKUP($A528,#REF!,13,FALSE)&lt;-2),"",#REF!),"")</f>
        <v/>
      </c>
      <c r="P528" t="str">
        <f>IFERROR(IF(OR(HLOOKUP($A528,#REF!,14,FALSE)&gt;2,HLOOKUP($A528,#REF!,14,FALSE)&lt;-2),"",#REF!),"")</f>
        <v/>
      </c>
      <c r="Q528" t="str">
        <f>IFERROR(IF(OR(HLOOKUP($A528,#REF!,15,FALSE)&gt;2,HLOOKUP($A528,#REF!,15,FALSE)&lt;-2),"",#REF!),"")</f>
        <v/>
      </c>
      <c r="R528" t="str">
        <f>IFERROR(IF(OR(HLOOKUP($A528,#REF!,16,FALSE)&gt;2,HLOOKUP($A528,#REF!,16,FALSE)&lt;-2),"",#REF!),"")</f>
        <v/>
      </c>
      <c r="S528" t="str">
        <f>IFERROR(IF(OR(HLOOKUP($A528,#REF!,17,FALSE)&gt;2,HLOOKUP($A528,#REF!,17,FALSE)&lt;-2),"",#REF!),"")</f>
        <v/>
      </c>
      <c r="T528" t="str">
        <f>IFERROR(IF(OR(HLOOKUP($A528,#REF!,18,FALSE)&gt;2,HLOOKUP($A528,#REF!,18,FALSE)&lt;-2),"",#REF!),"")</f>
        <v/>
      </c>
      <c r="U528" t="str">
        <f>IFERROR(IF(OR(HLOOKUP($A528,#REF!,19,FALSE)&gt;2,HLOOKUP($A528,#REF!,19,FALSE)&lt;-2),"",#REF!),"")</f>
        <v/>
      </c>
      <c r="V528">
        <f t="shared" si="32"/>
        <v>1</v>
      </c>
      <c r="W528" t="str">
        <f t="shared" si="33"/>
        <v/>
      </c>
      <c r="X528" t="str">
        <f t="shared" si="34"/>
        <v/>
      </c>
      <c r="Y528" t="str">
        <f t="shared" si="35"/>
        <v/>
      </c>
    </row>
    <row r="529" spans="1:25" x14ac:dyDescent="0.35">
      <c r="A529">
        <v>537</v>
      </c>
      <c r="B529" t="s">
        <v>870</v>
      </c>
      <c r="C529">
        <v>53100</v>
      </c>
      <c r="D529">
        <v>359</v>
      </c>
      <c r="E529" t="str">
        <f>IFERROR(IF(OR(HLOOKUP($A529,#REF!,3,FALSE)&gt;2,HLOOKUP(A529,#REF!,3,FALSE)&lt;-2),"",#REF!),"")</f>
        <v/>
      </c>
      <c r="F529" t="str">
        <f>IFERROR(IF(OR(HLOOKUP($A529,#REF!,4,FALSE)&gt;2,HLOOKUP($A529,#REF!,4,FALSE)&lt;-2),"",#REF!),"")</f>
        <v/>
      </c>
      <c r="G529" t="str">
        <f>IFERROR(IF(OR(HLOOKUP($A529,#REF!,5,FALSE)&gt;2,HLOOKUP($A529,#REF!,5,FALSE)&lt;-2),"",#REF!),"")</f>
        <v/>
      </c>
      <c r="H529" t="str">
        <f>IFERROR(IF(OR(HLOOKUP($A529,#REF!,6,FALSE)&gt;2,HLOOKUP($A529,#REF!,6,FALSE)&lt;-2),"",#REF!),"")</f>
        <v/>
      </c>
      <c r="I529" t="str">
        <f>IFERROR(IF(OR(HLOOKUP($A529,#REF!,7,FALSE)&gt;2,HLOOKUP($A529,#REF!,7,FALSE)&lt;-2),"",#REF!),"")</f>
        <v/>
      </c>
      <c r="J529" t="str">
        <f>IFERROR(IF(OR(HLOOKUP($A529,#REF!,8,FALSE)&gt;2,HLOOKUP($A529,#REF!,8,FALSE)&lt;-2),"",#REF!),"")</f>
        <v/>
      </c>
      <c r="K529" t="str">
        <f>IFERROR(IF(OR(HLOOKUP($A529,#REF!,9,FALSE)&gt;2,HLOOKUP($A529,#REF!,9,FALSE)&lt;-2),"",#REF!),"")</f>
        <v/>
      </c>
      <c r="L529" t="str">
        <f>IFERROR(IF(OR(HLOOKUP($A529,#REF!,10,FALSE)&gt;2,HLOOKUP($A529,#REF!,10,FALSE)&lt;-2),"",#REF!),"")</f>
        <v/>
      </c>
      <c r="M529" t="str">
        <f>IFERROR(IF(OR(HLOOKUP($A529,#REF!,11,FALSE)&gt;2,HLOOKUP($A529,#REF!,11,FALSE)&lt;-2),"",#REF!),"")</f>
        <v/>
      </c>
      <c r="N529" t="str">
        <f>IFERROR(IF(OR(HLOOKUP($A529,#REF!,12,FALSE)&gt;2,HLOOKUP($A529,#REF!,12,FALSE)&lt;-2),"",#REF!),"")</f>
        <v/>
      </c>
      <c r="O529" t="str">
        <f>IFERROR(IF(OR(HLOOKUP($A529,#REF!,13,FALSE)&gt;2,HLOOKUP($A529,#REF!,13,FALSE)&lt;-2),"",#REF!),"")</f>
        <v/>
      </c>
      <c r="P529" t="str">
        <f>IFERROR(IF(OR(HLOOKUP($A529,#REF!,14,FALSE)&gt;2,HLOOKUP($A529,#REF!,14,FALSE)&lt;-2),"",#REF!),"")</f>
        <v/>
      </c>
      <c r="Q529" t="str">
        <f>IFERROR(IF(OR(HLOOKUP($A529,#REF!,15,FALSE)&gt;2,HLOOKUP($A529,#REF!,15,FALSE)&lt;-2),"",#REF!),"")</f>
        <v/>
      </c>
      <c r="R529" t="str">
        <f>IFERROR(IF(OR(HLOOKUP($A529,#REF!,16,FALSE)&gt;2,HLOOKUP($A529,#REF!,16,FALSE)&lt;-2),"",#REF!),"")</f>
        <v/>
      </c>
      <c r="S529" t="str">
        <f>IFERROR(IF(OR(HLOOKUP($A529,#REF!,17,FALSE)&gt;2,HLOOKUP($A529,#REF!,17,FALSE)&lt;-2),"",#REF!),"")</f>
        <v/>
      </c>
      <c r="T529" t="str">
        <f>IFERROR(IF(OR(HLOOKUP($A529,#REF!,18,FALSE)&gt;2,HLOOKUP($A529,#REF!,18,FALSE)&lt;-2),"",#REF!),"")</f>
        <v/>
      </c>
      <c r="U529" t="str">
        <f>IFERROR(IF(OR(HLOOKUP($A529,#REF!,19,FALSE)&gt;2,HLOOKUP($A529,#REF!,19,FALSE)&lt;-2),"",#REF!),"")</f>
        <v/>
      </c>
      <c r="V529">
        <f t="shared" si="32"/>
        <v>1</v>
      </c>
      <c r="W529" t="str">
        <f t="shared" si="33"/>
        <v/>
      </c>
      <c r="X529" t="str">
        <f t="shared" si="34"/>
        <v/>
      </c>
      <c r="Y529" t="str">
        <f t="shared" si="35"/>
        <v/>
      </c>
    </row>
    <row r="530" spans="1:25" x14ac:dyDescent="0.35">
      <c r="A530">
        <v>538</v>
      </c>
      <c r="B530" t="s">
        <v>871</v>
      </c>
      <c r="C530">
        <v>98000</v>
      </c>
      <c r="D530">
        <v>21</v>
      </c>
      <c r="E530" t="str">
        <f>IFERROR(IF(OR(HLOOKUP($A530,#REF!,3,FALSE)&gt;2,HLOOKUP(A530,#REF!,3,FALSE)&lt;-2),"",#REF!),"")</f>
        <v/>
      </c>
      <c r="F530" t="str">
        <f>IFERROR(IF(OR(HLOOKUP($A530,#REF!,4,FALSE)&gt;2,HLOOKUP($A530,#REF!,4,FALSE)&lt;-2),"",#REF!),"")</f>
        <v/>
      </c>
      <c r="G530" t="str">
        <f>IFERROR(IF(OR(HLOOKUP($A530,#REF!,5,FALSE)&gt;2,HLOOKUP($A530,#REF!,5,FALSE)&lt;-2),"",#REF!),"")</f>
        <v/>
      </c>
      <c r="H530" t="str">
        <f>IFERROR(IF(OR(HLOOKUP($A530,#REF!,6,FALSE)&gt;2,HLOOKUP($A530,#REF!,6,FALSE)&lt;-2),"",#REF!),"")</f>
        <v/>
      </c>
      <c r="I530" t="str">
        <f>IFERROR(IF(OR(HLOOKUP($A530,#REF!,7,FALSE)&gt;2,HLOOKUP($A530,#REF!,7,FALSE)&lt;-2),"",#REF!),"")</f>
        <v/>
      </c>
      <c r="J530" t="str">
        <f>IFERROR(IF(OR(HLOOKUP($A530,#REF!,8,FALSE)&gt;2,HLOOKUP($A530,#REF!,8,FALSE)&lt;-2),"",#REF!),"")</f>
        <v/>
      </c>
      <c r="K530" t="str">
        <f>IFERROR(IF(OR(HLOOKUP($A530,#REF!,9,FALSE)&gt;2,HLOOKUP($A530,#REF!,9,FALSE)&lt;-2),"",#REF!),"")</f>
        <v/>
      </c>
      <c r="L530" t="str">
        <f>IFERROR(IF(OR(HLOOKUP($A530,#REF!,10,FALSE)&gt;2,HLOOKUP($A530,#REF!,10,FALSE)&lt;-2),"",#REF!),"")</f>
        <v/>
      </c>
      <c r="M530" t="str">
        <f>IFERROR(IF(OR(HLOOKUP($A530,#REF!,11,FALSE)&gt;2,HLOOKUP($A530,#REF!,11,FALSE)&lt;-2),"",#REF!),"")</f>
        <v/>
      </c>
      <c r="N530" t="str">
        <f>IFERROR(IF(OR(HLOOKUP($A530,#REF!,12,FALSE)&gt;2,HLOOKUP($A530,#REF!,12,FALSE)&lt;-2),"",#REF!),"")</f>
        <v/>
      </c>
      <c r="O530" t="str">
        <f>IFERROR(IF(OR(HLOOKUP($A530,#REF!,13,FALSE)&gt;2,HLOOKUP($A530,#REF!,13,FALSE)&lt;-2),"",#REF!),"")</f>
        <v/>
      </c>
      <c r="P530" t="str">
        <f>IFERROR(IF(OR(HLOOKUP($A530,#REF!,14,FALSE)&gt;2,HLOOKUP($A530,#REF!,14,FALSE)&lt;-2),"",#REF!),"")</f>
        <v/>
      </c>
      <c r="Q530" t="str">
        <f>IFERROR(IF(OR(HLOOKUP($A530,#REF!,15,FALSE)&gt;2,HLOOKUP($A530,#REF!,15,FALSE)&lt;-2),"",#REF!),"")</f>
        <v/>
      </c>
      <c r="R530" t="str">
        <f>IFERROR(IF(OR(HLOOKUP($A530,#REF!,16,FALSE)&gt;2,HLOOKUP($A530,#REF!,16,FALSE)&lt;-2),"",#REF!),"")</f>
        <v/>
      </c>
      <c r="S530" t="str">
        <f>IFERROR(IF(OR(HLOOKUP($A530,#REF!,17,FALSE)&gt;2,HLOOKUP($A530,#REF!,17,FALSE)&lt;-2),"",#REF!),"")</f>
        <v/>
      </c>
      <c r="T530" t="str">
        <f>IFERROR(IF(OR(HLOOKUP($A530,#REF!,18,FALSE)&gt;2,HLOOKUP($A530,#REF!,18,FALSE)&lt;-2),"",#REF!),"")</f>
        <v/>
      </c>
      <c r="U530" t="str">
        <f>IFERROR(IF(OR(HLOOKUP($A530,#REF!,19,FALSE)&gt;2,HLOOKUP($A530,#REF!,19,FALSE)&lt;-2),"",#REF!),"")</f>
        <v/>
      </c>
      <c r="V530">
        <f t="shared" si="32"/>
        <v>1</v>
      </c>
      <c r="W530" t="str">
        <f t="shared" si="33"/>
        <v/>
      </c>
      <c r="X530" t="str">
        <f t="shared" si="34"/>
        <v/>
      </c>
      <c r="Y530" t="str">
        <f t="shared" si="35"/>
        <v/>
      </c>
    </row>
    <row r="531" spans="1:25" x14ac:dyDescent="0.35">
      <c r="A531">
        <v>539</v>
      </c>
      <c r="B531" t="s">
        <v>872</v>
      </c>
      <c r="C531">
        <v>80400</v>
      </c>
      <c r="D531">
        <v>128</v>
      </c>
      <c r="E531" t="str">
        <f>IFERROR(IF(OR(HLOOKUP($A531,#REF!,3,FALSE)&gt;2,HLOOKUP(A531,#REF!,3,FALSE)&lt;-2),"",#REF!),"")</f>
        <v/>
      </c>
      <c r="F531" t="str">
        <f>IFERROR(IF(OR(HLOOKUP($A531,#REF!,4,FALSE)&gt;2,HLOOKUP($A531,#REF!,4,FALSE)&lt;-2),"",#REF!),"")</f>
        <v/>
      </c>
      <c r="G531" t="str">
        <f>IFERROR(IF(OR(HLOOKUP($A531,#REF!,5,FALSE)&gt;2,HLOOKUP($A531,#REF!,5,FALSE)&lt;-2),"",#REF!),"")</f>
        <v/>
      </c>
      <c r="H531" t="str">
        <f>IFERROR(IF(OR(HLOOKUP($A531,#REF!,6,FALSE)&gt;2,HLOOKUP($A531,#REF!,6,FALSE)&lt;-2),"",#REF!),"")</f>
        <v/>
      </c>
      <c r="I531" t="str">
        <f>IFERROR(IF(OR(HLOOKUP($A531,#REF!,7,FALSE)&gt;2,HLOOKUP($A531,#REF!,7,FALSE)&lt;-2),"",#REF!),"")</f>
        <v/>
      </c>
      <c r="J531" t="str">
        <f>IFERROR(IF(OR(HLOOKUP($A531,#REF!,8,FALSE)&gt;2,HLOOKUP($A531,#REF!,8,FALSE)&lt;-2),"",#REF!),"")</f>
        <v/>
      </c>
      <c r="K531" t="str">
        <f>IFERROR(IF(OR(HLOOKUP($A531,#REF!,9,FALSE)&gt;2,HLOOKUP($A531,#REF!,9,FALSE)&lt;-2),"",#REF!),"")</f>
        <v/>
      </c>
      <c r="L531" t="str">
        <f>IFERROR(IF(OR(HLOOKUP($A531,#REF!,10,FALSE)&gt;2,HLOOKUP($A531,#REF!,10,FALSE)&lt;-2),"",#REF!),"")</f>
        <v/>
      </c>
      <c r="M531" t="str">
        <f>IFERROR(IF(OR(HLOOKUP($A531,#REF!,11,FALSE)&gt;2,HLOOKUP($A531,#REF!,11,FALSE)&lt;-2),"",#REF!),"")</f>
        <v/>
      </c>
      <c r="N531" t="str">
        <f>IFERROR(IF(OR(HLOOKUP($A531,#REF!,12,FALSE)&gt;2,HLOOKUP($A531,#REF!,12,FALSE)&lt;-2),"",#REF!),"")</f>
        <v/>
      </c>
      <c r="O531" t="str">
        <f>IFERROR(IF(OR(HLOOKUP($A531,#REF!,13,FALSE)&gt;2,HLOOKUP($A531,#REF!,13,FALSE)&lt;-2),"",#REF!),"")</f>
        <v/>
      </c>
      <c r="P531" t="str">
        <f>IFERROR(IF(OR(HLOOKUP($A531,#REF!,14,FALSE)&gt;2,HLOOKUP($A531,#REF!,14,FALSE)&lt;-2),"",#REF!),"")</f>
        <v/>
      </c>
      <c r="Q531" t="str">
        <f>IFERROR(IF(OR(HLOOKUP($A531,#REF!,15,FALSE)&gt;2,HLOOKUP($A531,#REF!,15,FALSE)&lt;-2),"",#REF!),"")</f>
        <v/>
      </c>
      <c r="R531" t="str">
        <f>IFERROR(IF(OR(HLOOKUP($A531,#REF!,16,FALSE)&gt;2,HLOOKUP($A531,#REF!,16,FALSE)&lt;-2),"",#REF!),"")</f>
        <v/>
      </c>
      <c r="S531" t="str">
        <f>IFERROR(IF(OR(HLOOKUP($A531,#REF!,17,FALSE)&gt;2,HLOOKUP($A531,#REF!,17,FALSE)&lt;-2),"",#REF!),"")</f>
        <v/>
      </c>
      <c r="T531" t="str">
        <f>IFERROR(IF(OR(HLOOKUP($A531,#REF!,18,FALSE)&gt;2,HLOOKUP($A531,#REF!,18,FALSE)&lt;-2),"",#REF!),"")</f>
        <v/>
      </c>
      <c r="U531" t="str">
        <f>IFERROR(IF(OR(HLOOKUP($A531,#REF!,19,FALSE)&gt;2,HLOOKUP($A531,#REF!,19,FALSE)&lt;-2),"",#REF!),"")</f>
        <v/>
      </c>
      <c r="V531">
        <f t="shared" si="32"/>
        <v>1</v>
      </c>
      <c r="W531" t="str">
        <f t="shared" si="33"/>
        <v/>
      </c>
      <c r="X531" t="str">
        <f t="shared" si="34"/>
        <v/>
      </c>
      <c r="Y531" t="str">
        <f t="shared" si="35"/>
        <v/>
      </c>
    </row>
    <row r="532" spans="1:25" x14ac:dyDescent="0.35">
      <c r="A532">
        <v>540</v>
      </c>
      <c r="B532" t="s">
        <v>262</v>
      </c>
      <c r="C532">
        <v>29000</v>
      </c>
      <c r="D532">
        <v>922</v>
      </c>
      <c r="E532" t="str">
        <f>IFERROR(IF(OR(HLOOKUP($A532,#REF!,3,FALSE)&gt;2,HLOOKUP(A532,#REF!,3,FALSE)&lt;-2),"",#REF!),"")</f>
        <v/>
      </c>
      <c r="F532" t="str">
        <f>IFERROR(IF(OR(HLOOKUP($A532,#REF!,4,FALSE)&gt;2,HLOOKUP($A532,#REF!,4,FALSE)&lt;-2),"",#REF!),"")</f>
        <v/>
      </c>
      <c r="G532" t="str">
        <f>IFERROR(IF(OR(HLOOKUP($A532,#REF!,5,FALSE)&gt;2,HLOOKUP($A532,#REF!,5,FALSE)&lt;-2),"",#REF!),"")</f>
        <v/>
      </c>
      <c r="H532" t="str">
        <f>IFERROR(IF(OR(HLOOKUP($A532,#REF!,6,FALSE)&gt;2,HLOOKUP($A532,#REF!,6,FALSE)&lt;-2),"",#REF!),"")</f>
        <v/>
      </c>
      <c r="I532" t="str">
        <f>IFERROR(IF(OR(HLOOKUP($A532,#REF!,7,FALSE)&gt;2,HLOOKUP($A532,#REF!,7,FALSE)&lt;-2),"",#REF!),"")</f>
        <v/>
      </c>
      <c r="J532" t="str">
        <f>IFERROR(IF(OR(HLOOKUP($A532,#REF!,8,FALSE)&gt;2,HLOOKUP($A532,#REF!,8,FALSE)&lt;-2),"",#REF!),"")</f>
        <v/>
      </c>
      <c r="K532" t="str">
        <f>IFERROR(IF(OR(HLOOKUP($A532,#REF!,9,FALSE)&gt;2,HLOOKUP($A532,#REF!,9,FALSE)&lt;-2),"",#REF!),"")</f>
        <v/>
      </c>
      <c r="L532" t="str">
        <f>IFERROR(IF(OR(HLOOKUP($A532,#REF!,10,FALSE)&gt;2,HLOOKUP($A532,#REF!,10,FALSE)&lt;-2),"",#REF!),"")</f>
        <v/>
      </c>
      <c r="M532" t="str">
        <f>IFERROR(IF(OR(HLOOKUP($A532,#REF!,11,FALSE)&gt;2,HLOOKUP($A532,#REF!,11,FALSE)&lt;-2),"",#REF!),"")</f>
        <v/>
      </c>
      <c r="N532" t="str">
        <f>IFERROR(IF(OR(HLOOKUP($A532,#REF!,12,FALSE)&gt;2,HLOOKUP($A532,#REF!,12,FALSE)&lt;-2),"",#REF!),"")</f>
        <v/>
      </c>
      <c r="O532" t="str">
        <f>IFERROR(IF(OR(HLOOKUP($A532,#REF!,13,FALSE)&gt;2,HLOOKUP($A532,#REF!,13,FALSE)&lt;-2),"",#REF!),"")</f>
        <v/>
      </c>
      <c r="P532" t="str">
        <f>IFERROR(IF(OR(HLOOKUP($A532,#REF!,14,FALSE)&gt;2,HLOOKUP($A532,#REF!,14,FALSE)&lt;-2),"",#REF!),"")</f>
        <v/>
      </c>
      <c r="Q532" t="str">
        <f>IFERROR(IF(OR(HLOOKUP($A532,#REF!,15,FALSE)&gt;2,HLOOKUP($A532,#REF!,15,FALSE)&lt;-2),"",#REF!),"")</f>
        <v/>
      </c>
      <c r="R532" t="str">
        <f>IFERROR(IF(OR(HLOOKUP($A532,#REF!,16,FALSE)&gt;2,HLOOKUP($A532,#REF!,16,FALSE)&lt;-2),"",#REF!),"")</f>
        <v/>
      </c>
      <c r="S532" t="str">
        <f>IFERROR(IF(OR(HLOOKUP($A532,#REF!,17,FALSE)&gt;2,HLOOKUP($A532,#REF!,17,FALSE)&lt;-2),"",#REF!),"")</f>
        <v/>
      </c>
      <c r="T532" t="str">
        <f>IFERROR(IF(OR(HLOOKUP($A532,#REF!,18,FALSE)&gt;2,HLOOKUP($A532,#REF!,18,FALSE)&lt;-2),"",#REF!),"")</f>
        <v/>
      </c>
      <c r="U532" t="str">
        <f>IFERROR(IF(OR(HLOOKUP($A532,#REF!,19,FALSE)&gt;2,HLOOKUP($A532,#REF!,19,FALSE)&lt;-2),"",#REF!),"")</f>
        <v/>
      </c>
      <c r="V532">
        <f t="shared" si="32"/>
        <v>1</v>
      </c>
      <c r="W532" t="str">
        <f t="shared" si="33"/>
        <v/>
      </c>
      <c r="X532" t="str">
        <f t="shared" si="34"/>
        <v/>
      </c>
      <c r="Y532" t="str">
        <f t="shared" si="35"/>
        <v/>
      </c>
    </row>
    <row r="533" spans="1:25" x14ac:dyDescent="0.35">
      <c r="A533">
        <v>541</v>
      </c>
      <c r="B533" t="s">
        <v>873</v>
      </c>
      <c r="C533">
        <v>28000</v>
      </c>
      <c r="D533">
        <v>315</v>
      </c>
      <c r="E533" t="str">
        <f>IFERROR(IF(OR(HLOOKUP($A533,#REF!,3,FALSE)&gt;2,HLOOKUP(A533,#REF!,3,FALSE)&lt;-2),"",#REF!),"")</f>
        <v/>
      </c>
      <c r="F533" t="str">
        <f>IFERROR(IF(OR(HLOOKUP($A533,#REF!,4,FALSE)&gt;2,HLOOKUP($A533,#REF!,4,FALSE)&lt;-2),"",#REF!),"")</f>
        <v/>
      </c>
      <c r="G533" t="str">
        <f>IFERROR(IF(OR(HLOOKUP($A533,#REF!,5,FALSE)&gt;2,HLOOKUP($A533,#REF!,5,FALSE)&lt;-2),"",#REF!),"")</f>
        <v/>
      </c>
      <c r="H533" t="str">
        <f>IFERROR(IF(OR(HLOOKUP($A533,#REF!,6,FALSE)&gt;2,HLOOKUP($A533,#REF!,6,FALSE)&lt;-2),"",#REF!),"")</f>
        <v/>
      </c>
      <c r="I533" t="str">
        <f>IFERROR(IF(OR(HLOOKUP($A533,#REF!,7,FALSE)&gt;2,HLOOKUP($A533,#REF!,7,FALSE)&lt;-2),"",#REF!),"")</f>
        <v/>
      </c>
      <c r="J533" t="str">
        <f>IFERROR(IF(OR(HLOOKUP($A533,#REF!,8,FALSE)&gt;2,HLOOKUP($A533,#REF!,8,FALSE)&lt;-2),"",#REF!),"")</f>
        <v/>
      </c>
      <c r="K533" t="str">
        <f>IFERROR(IF(OR(HLOOKUP($A533,#REF!,9,FALSE)&gt;2,HLOOKUP($A533,#REF!,9,FALSE)&lt;-2),"",#REF!),"")</f>
        <v/>
      </c>
      <c r="L533" t="str">
        <f>IFERROR(IF(OR(HLOOKUP($A533,#REF!,10,FALSE)&gt;2,HLOOKUP($A533,#REF!,10,FALSE)&lt;-2),"",#REF!),"")</f>
        <v/>
      </c>
      <c r="M533" t="str">
        <f>IFERROR(IF(OR(HLOOKUP($A533,#REF!,11,FALSE)&gt;2,HLOOKUP($A533,#REF!,11,FALSE)&lt;-2),"",#REF!),"")</f>
        <v/>
      </c>
      <c r="N533" t="str">
        <f>IFERROR(IF(OR(HLOOKUP($A533,#REF!,12,FALSE)&gt;2,HLOOKUP($A533,#REF!,12,FALSE)&lt;-2),"",#REF!),"")</f>
        <v/>
      </c>
      <c r="O533" t="str">
        <f>IFERROR(IF(OR(HLOOKUP($A533,#REF!,13,FALSE)&gt;2,HLOOKUP($A533,#REF!,13,FALSE)&lt;-2),"",#REF!),"")</f>
        <v/>
      </c>
      <c r="P533" t="str">
        <f>IFERROR(IF(OR(HLOOKUP($A533,#REF!,14,FALSE)&gt;2,HLOOKUP($A533,#REF!,14,FALSE)&lt;-2),"",#REF!),"")</f>
        <v/>
      </c>
      <c r="Q533" t="str">
        <f>IFERROR(IF(OR(HLOOKUP($A533,#REF!,15,FALSE)&gt;2,HLOOKUP($A533,#REF!,15,FALSE)&lt;-2),"",#REF!),"")</f>
        <v/>
      </c>
      <c r="R533" t="str">
        <f>IFERROR(IF(OR(HLOOKUP($A533,#REF!,16,FALSE)&gt;2,HLOOKUP($A533,#REF!,16,FALSE)&lt;-2),"",#REF!),"")</f>
        <v/>
      </c>
      <c r="S533" t="str">
        <f>IFERROR(IF(OR(HLOOKUP($A533,#REF!,17,FALSE)&gt;2,HLOOKUP($A533,#REF!,17,FALSE)&lt;-2),"",#REF!),"")</f>
        <v/>
      </c>
      <c r="T533" t="str">
        <f>IFERROR(IF(OR(HLOOKUP($A533,#REF!,18,FALSE)&gt;2,HLOOKUP($A533,#REF!,18,FALSE)&lt;-2),"",#REF!),"")</f>
        <v/>
      </c>
      <c r="U533" t="str">
        <f>IFERROR(IF(OR(HLOOKUP($A533,#REF!,19,FALSE)&gt;2,HLOOKUP($A533,#REF!,19,FALSE)&lt;-2),"",#REF!),"")</f>
        <v/>
      </c>
      <c r="V533">
        <f t="shared" si="32"/>
        <v>1</v>
      </c>
      <c r="W533" t="str">
        <f t="shared" si="33"/>
        <v/>
      </c>
      <c r="X533" t="str">
        <f t="shared" si="34"/>
        <v/>
      </c>
      <c r="Y533" t="str">
        <f t="shared" si="35"/>
        <v/>
      </c>
    </row>
    <row r="534" spans="1:25" x14ac:dyDescent="0.35">
      <c r="A534">
        <v>542</v>
      </c>
      <c r="B534" t="s">
        <v>263</v>
      </c>
      <c r="C534">
        <v>26700</v>
      </c>
      <c r="D534">
        <v>886</v>
      </c>
      <c r="E534" t="str">
        <f>IFERROR(IF(OR(HLOOKUP($A534,#REF!,3,FALSE)&gt;2,HLOOKUP(A534,#REF!,3,FALSE)&lt;-2),"",#REF!),"")</f>
        <v/>
      </c>
      <c r="F534" t="str">
        <f>IFERROR(IF(OR(HLOOKUP($A534,#REF!,4,FALSE)&gt;2,HLOOKUP($A534,#REF!,4,FALSE)&lt;-2),"",#REF!),"")</f>
        <v/>
      </c>
      <c r="G534" t="str">
        <f>IFERROR(IF(OR(HLOOKUP($A534,#REF!,5,FALSE)&gt;2,HLOOKUP($A534,#REF!,5,FALSE)&lt;-2),"",#REF!),"")</f>
        <v/>
      </c>
      <c r="H534" t="str">
        <f>IFERROR(IF(OR(HLOOKUP($A534,#REF!,6,FALSE)&gt;2,HLOOKUP($A534,#REF!,6,FALSE)&lt;-2),"",#REF!),"")</f>
        <v/>
      </c>
      <c r="I534" t="str">
        <f>IFERROR(IF(OR(HLOOKUP($A534,#REF!,7,FALSE)&gt;2,HLOOKUP($A534,#REF!,7,FALSE)&lt;-2),"",#REF!),"")</f>
        <v/>
      </c>
      <c r="J534" t="str">
        <f>IFERROR(IF(OR(HLOOKUP($A534,#REF!,8,FALSE)&gt;2,HLOOKUP($A534,#REF!,8,FALSE)&lt;-2),"",#REF!),"")</f>
        <v/>
      </c>
      <c r="K534" t="str">
        <f>IFERROR(IF(OR(HLOOKUP($A534,#REF!,9,FALSE)&gt;2,HLOOKUP($A534,#REF!,9,FALSE)&lt;-2),"",#REF!),"")</f>
        <v/>
      </c>
      <c r="L534" t="str">
        <f>IFERROR(IF(OR(HLOOKUP($A534,#REF!,10,FALSE)&gt;2,HLOOKUP($A534,#REF!,10,FALSE)&lt;-2),"",#REF!),"")</f>
        <v/>
      </c>
      <c r="M534" t="str">
        <f>IFERROR(IF(OR(HLOOKUP($A534,#REF!,11,FALSE)&gt;2,HLOOKUP($A534,#REF!,11,FALSE)&lt;-2),"",#REF!),"")</f>
        <v/>
      </c>
      <c r="N534" t="str">
        <f>IFERROR(IF(OR(HLOOKUP($A534,#REF!,12,FALSE)&gt;2,HLOOKUP($A534,#REF!,12,FALSE)&lt;-2),"",#REF!),"")</f>
        <v/>
      </c>
      <c r="O534" t="str">
        <f>IFERROR(IF(OR(HLOOKUP($A534,#REF!,13,FALSE)&gt;2,HLOOKUP($A534,#REF!,13,FALSE)&lt;-2),"",#REF!),"")</f>
        <v/>
      </c>
      <c r="P534" t="str">
        <f>IFERROR(IF(OR(HLOOKUP($A534,#REF!,14,FALSE)&gt;2,HLOOKUP($A534,#REF!,14,FALSE)&lt;-2),"",#REF!),"")</f>
        <v/>
      </c>
      <c r="Q534" t="str">
        <f>IFERROR(IF(OR(HLOOKUP($A534,#REF!,15,FALSE)&gt;2,HLOOKUP($A534,#REF!,15,FALSE)&lt;-2),"",#REF!),"")</f>
        <v/>
      </c>
      <c r="R534" t="str">
        <f>IFERROR(IF(OR(HLOOKUP($A534,#REF!,16,FALSE)&gt;2,HLOOKUP($A534,#REF!,16,FALSE)&lt;-2),"",#REF!),"")</f>
        <v/>
      </c>
      <c r="S534" t="str">
        <f>IFERROR(IF(OR(HLOOKUP($A534,#REF!,17,FALSE)&gt;2,HLOOKUP($A534,#REF!,17,FALSE)&lt;-2),"",#REF!),"")</f>
        <v/>
      </c>
      <c r="T534" t="str">
        <f>IFERROR(IF(OR(HLOOKUP($A534,#REF!,18,FALSE)&gt;2,HLOOKUP($A534,#REF!,18,FALSE)&lt;-2),"",#REF!),"")</f>
        <v/>
      </c>
      <c r="U534" t="str">
        <f>IFERROR(IF(OR(HLOOKUP($A534,#REF!,19,FALSE)&gt;2,HLOOKUP($A534,#REF!,19,FALSE)&lt;-2),"",#REF!),"")</f>
        <v/>
      </c>
      <c r="V534">
        <f t="shared" si="32"/>
        <v>1</v>
      </c>
      <c r="W534" t="str">
        <f t="shared" si="33"/>
        <v/>
      </c>
      <c r="X534" t="str">
        <f t="shared" si="34"/>
        <v/>
      </c>
      <c r="Y534" t="str">
        <f t="shared" si="35"/>
        <v/>
      </c>
    </row>
    <row r="535" spans="1:25" x14ac:dyDescent="0.35">
      <c r="A535">
        <v>543</v>
      </c>
      <c r="B535" t="s">
        <v>874</v>
      </c>
      <c r="C535">
        <v>42900</v>
      </c>
      <c r="D535">
        <v>926</v>
      </c>
      <c r="E535" t="str">
        <f>IFERROR(IF(OR(HLOOKUP($A535,#REF!,3,FALSE)&gt;2,HLOOKUP(A535,#REF!,3,FALSE)&lt;-2),"",#REF!),"")</f>
        <v/>
      </c>
      <c r="F535" t="str">
        <f>IFERROR(IF(OR(HLOOKUP($A535,#REF!,4,FALSE)&gt;2,HLOOKUP($A535,#REF!,4,FALSE)&lt;-2),"",#REF!),"")</f>
        <v/>
      </c>
      <c r="G535" t="str">
        <f>IFERROR(IF(OR(HLOOKUP($A535,#REF!,5,FALSE)&gt;2,HLOOKUP($A535,#REF!,5,FALSE)&lt;-2),"",#REF!),"")</f>
        <v/>
      </c>
      <c r="H535" t="str">
        <f>IFERROR(IF(OR(HLOOKUP($A535,#REF!,6,FALSE)&gt;2,HLOOKUP($A535,#REF!,6,FALSE)&lt;-2),"",#REF!),"")</f>
        <v/>
      </c>
      <c r="I535" t="str">
        <f>IFERROR(IF(OR(HLOOKUP($A535,#REF!,7,FALSE)&gt;2,HLOOKUP($A535,#REF!,7,FALSE)&lt;-2),"",#REF!),"")</f>
        <v/>
      </c>
      <c r="J535" t="str">
        <f>IFERROR(IF(OR(HLOOKUP($A535,#REF!,8,FALSE)&gt;2,HLOOKUP($A535,#REF!,8,FALSE)&lt;-2),"",#REF!),"")</f>
        <v/>
      </c>
      <c r="K535" t="str">
        <f>IFERROR(IF(OR(HLOOKUP($A535,#REF!,9,FALSE)&gt;2,HLOOKUP($A535,#REF!,9,FALSE)&lt;-2),"",#REF!),"")</f>
        <v/>
      </c>
      <c r="L535" t="str">
        <f>IFERROR(IF(OR(HLOOKUP($A535,#REF!,10,FALSE)&gt;2,HLOOKUP($A535,#REF!,10,FALSE)&lt;-2),"",#REF!),"")</f>
        <v/>
      </c>
      <c r="M535" t="str">
        <f>IFERROR(IF(OR(HLOOKUP($A535,#REF!,11,FALSE)&gt;2,HLOOKUP($A535,#REF!,11,FALSE)&lt;-2),"",#REF!),"")</f>
        <v/>
      </c>
      <c r="N535" t="str">
        <f>IFERROR(IF(OR(HLOOKUP($A535,#REF!,12,FALSE)&gt;2,HLOOKUP($A535,#REF!,12,FALSE)&lt;-2),"",#REF!),"")</f>
        <v/>
      </c>
      <c r="O535" t="str">
        <f>IFERROR(IF(OR(HLOOKUP($A535,#REF!,13,FALSE)&gt;2,HLOOKUP($A535,#REF!,13,FALSE)&lt;-2),"",#REF!),"")</f>
        <v/>
      </c>
      <c r="P535" t="str">
        <f>IFERROR(IF(OR(HLOOKUP($A535,#REF!,14,FALSE)&gt;2,HLOOKUP($A535,#REF!,14,FALSE)&lt;-2),"",#REF!),"")</f>
        <v/>
      </c>
      <c r="Q535" t="str">
        <f>IFERROR(IF(OR(HLOOKUP($A535,#REF!,15,FALSE)&gt;2,HLOOKUP($A535,#REF!,15,FALSE)&lt;-2),"",#REF!),"")</f>
        <v/>
      </c>
      <c r="R535" t="str">
        <f>IFERROR(IF(OR(HLOOKUP($A535,#REF!,16,FALSE)&gt;2,HLOOKUP($A535,#REF!,16,FALSE)&lt;-2),"",#REF!),"")</f>
        <v/>
      </c>
      <c r="S535" t="str">
        <f>IFERROR(IF(OR(HLOOKUP($A535,#REF!,17,FALSE)&gt;2,HLOOKUP($A535,#REF!,17,FALSE)&lt;-2),"",#REF!),"")</f>
        <v/>
      </c>
      <c r="T535" t="str">
        <f>IFERROR(IF(OR(HLOOKUP($A535,#REF!,18,FALSE)&gt;2,HLOOKUP($A535,#REF!,18,FALSE)&lt;-2),"",#REF!),"")</f>
        <v/>
      </c>
      <c r="U535" t="str">
        <f>IFERROR(IF(OR(HLOOKUP($A535,#REF!,19,FALSE)&gt;2,HLOOKUP($A535,#REF!,19,FALSE)&lt;-2),"",#REF!),"")</f>
        <v/>
      </c>
      <c r="V535">
        <f t="shared" si="32"/>
        <v>1</v>
      </c>
      <c r="W535" t="str">
        <f t="shared" si="33"/>
        <v/>
      </c>
      <c r="X535" t="str">
        <f t="shared" si="34"/>
        <v/>
      </c>
      <c r="Y535" t="str">
        <f t="shared" si="35"/>
        <v/>
      </c>
    </row>
    <row r="536" spans="1:25" x14ac:dyDescent="0.35">
      <c r="A536">
        <v>544</v>
      </c>
      <c r="B536" t="s">
        <v>875</v>
      </c>
      <c r="C536">
        <v>50400</v>
      </c>
      <c r="D536">
        <v>536</v>
      </c>
      <c r="E536" t="str">
        <f>IFERROR(IF(OR(HLOOKUP($A536,#REF!,3,FALSE)&gt;2,HLOOKUP(A536,#REF!,3,FALSE)&lt;-2),"",#REF!),"")</f>
        <v/>
      </c>
      <c r="F536" t="str">
        <f>IFERROR(IF(OR(HLOOKUP($A536,#REF!,4,FALSE)&gt;2,HLOOKUP($A536,#REF!,4,FALSE)&lt;-2),"",#REF!),"")</f>
        <v/>
      </c>
      <c r="G536" t="str">
        <f>IFERROR(IF(OR(HLOOKUP($A536,#REF!,5,FALSE)&gt;2,HLOOKUP($A536,#REF!,5,FALSE)&lt;-2),"",#REF!),"")</f>
        <v/>
      </c>
      <c r="H536" t="str">
        <f>IFERROR(IF(OR(HLOOKUP($A536,#REF!,6,FALSE)&gt;2,HLOOKUP($A536,#REF!,6,FALSE)&lt;-2),"",#REF!),"")</f>
        <v/>
      </c>
      <c r="I536" t="str">
        <f>IFERROR(IF(OR(HLOOKUP($A536,#REF!,7,FALSE)&gt;2,HLOOKUP($A536,#REF!,7,FALSE)&lt;-2),"",#REF!),"")</f>
        <v/>
      </c>
      <c r="J536" t="str">
        <f>IFERROR(IF(OR(HLOOKUP($A536,#REF!,8,FALSE)&gt;2,HLOOKUP($A536,#REF!,8,FALSE)&lt;-2),"",#REF!),"")</f>
        <v/>
      </c>
      <c r="K536" t="str">
        <f>IFERROR(IF(OR(HLOOKUP($A536,#REF!,9,FALSE)&gt;2,HLOOKUP($A536,#REF!,9,FALSE)&lt;-2),"",#REF!),"")</f>
        <v/>
      </c>
      <c r="L536" t="str">
        <f>IFERROR(IF(OR(HLOOKUP($A536,#REF!,10,FALSE)&gt;2,HLOOKUP($A536,#REF!,10,FALSE)&lt;-2),"",#REF!),"")</f>
        <v/>
      </c>
      <c r="M536" t="str">
        <f>IFERROR(IF(OR(HLOOKUP($A536,#REF!,11,FALSE)&gt;2,HLOOKUP($A536,#REF!,11,FALSE)&lt;-2),"",#REF!),"")</f>
        <v/>
      </c>
      <c r="N536" t="str">
        <f>IFERROR(IF(OR(HLOOKUP($A536,#REF!,12,FALSE)&gt;2,HLOOKUP($A536,#REF!,12,FALSE)&lt;-2),"",#REF!),"")</f>
        <v/>
      </c>
      <c r="O536" t="str">
        <f>IFERROR(IF(OR(HLOOKUP($A536,#REF!,13,FALSE)&gt;2,HLOOKUP($A536,#REF!,13,FALSE)&lt;-2),"",#REF!),"")</f>
        <v/>
      </c>
      <c r="P536" t="str">
        <f>IFERROR(IF(OR(HLOOKUP($A536,#REF!,14,FALSE)&gt;2,HLOOKUP($A536,#REF!,14,FALSE)&lt;-2),"",#REF!),"")</f>
        <v/>
      </c>
      <c r="Q536" t="str">
        <f>IFERROR(IF(OR(HLOOKUP($A536,#REF!,15,FALSE)&gt;2,HLOOKUP($A536,#REF!,15,FALSE)&lt;-2),"",#REF!),"")</f>
        <v/>
      </c>
      <c r="R536" t="str">
        <f>IFERROR(IF(OR(HLOOKUP($A536,#REF!,16,FALSE)&gt;2,HLOOKUP($A536,#REF!,16,FALSE)&lt;-2),"",#REF!),"")</f>
        <v/>
      </c>
      <c r="S536" t="str">
        <f>IFERROR(IF(OR(HLOOKUP($A536,#REF!,17,FALSE)&gt;2,HLOOKUP($A536,#REF!,17,FALSE)&lt;-2),"",#REF!),"")</f>
        <v/>
      </c>
      <c r="T536" t="str">
        <f>IFERROR(IF(OR(HLOOKUP($A536,#REF!,18,FALSE)&gt;2,HLOOKUP($A536,#REF!,18,FALSE)&lt;-2),"",#REF!),"")</f>
        <v/>
      </c>
      <c r="U536" t="str">
        <f>IFERROR(IF(OR(HLOOKUP($A536,#REF!,19,FALSE)&gt;2,HLOOKUP($A536,#REF!,19,FALSE)&lt;-2),"",#REF!),"")</f>
        <v/>
      </c>
      <c r="V536">
        <f t="shared" si="32"/>
        <v>1</v>
      </c>
      <c r="W536" t="str">
        <f t="shared" si="33"/>
        <v/>
      </c>
      <c r="X536" t="str">
        <f t="shared" si="34"/>
        <v/>
      </c>
      <c r="Y536" t="str">
        <f t="shared" si="35"/>
        <v/>
      </c>
    </row>
    <row r="537" spans="1:25" x14ac:dyDescent="0.35">
      <c r="A537">
        <v>545</v>
      </c>
      <c r="B537" t="s">
        <v>264</v>
      </c>
      <c r="C537">
        <v>26200</v>
      </c>
      <c r="D537">
        <v>879</v>
      </c>
      <c r="E537" t="str">
        <f>IFERROR(IF(OR(HLOOKUP($A537,#REF!,3,FALSE)&gt;2,HLOOKUP(A537,#REF!,3,FALSE)&lt;-2),"",#REF!),"")</f>
        <v/>
      </c>
      <c r="F537" t="str">
        <f>IFERROR(IF(OR(HLOOKUP($A537,#REF!,4,FALSE)&gt;2,HLOOKUP($A537,#REF!,4,FALSE)&lt;-2),"",#REF!),"")</f>
        <v/>
      </c>
      <c r="G537" t="str">
        <f>IFERROR(IF(OR(HLOOKUP($A537,#REF!,5,FALSE)&gt;2,HLOOKUP($A537,#REF!,5,FALSE)&lt;-2),"",#REF!),"")</f>
        <v/>
      </c>
      <c r="H537" t="str">
        <f>IFERROR(IF(OR(HLOOKUP($A537,#REF!,6,FALSE)&gt;2,HLOOKUP($A537,#REF!,6,FALSE)&lt;-2),"",#REF!),"")</f>
        <v/>
      </c>
      <c r="I537" t="str">
        <f>IFERROR(IF(OR(HLOOKUP($A537,#REF!,7,FALSE)&gt;2,HLOOKUP($A537,#REF!,7,FALSE)&lt;-2),"",#REF!),"")</f>
        <v/>
      </c>
      <c r="J537" t="str">
        <f>IFERROR(IF(OR(HLOOKUP($A537,#REF!,8,FALSE)&gt;2,HLOOKUP($A537,#REF!,8,FALSE)&lt;-2),"",#REF!),"")</f>
        <v/>
      </c>
      <c r="K537" t="str">
        <f>IFERROR(IF(OR(HLOOKUP($A537,#REF!,9,FALSE)&gt;2,HLOOKUP($A537,#REF!,9,FALSE)&lt;-2),"",#REF!),"")</f>
        <v/>
      </c>
      <c r="L537" t="str">
        <f>IFERROR(IF(OR(HLOOKUP($A537,#REF!,10,FALSE)&gt;2,HLOOKUP($A537,#REF!,10,FALSE)&lt;-2),"",#REF!),"")</f>
        <v/>
      </c>
      <c r="M537" t="str">
        <f>IFERROR(IF(OR(HLOOKUP($A537,#REF!,11,FALSE)&gt;2,HLOOKUP($A537,#REF!,11,FALSE)&lt;-2),"",#REF!),"")</f>
        <v/>
      </c>
      <c r="N537" t="str">
        <f>IFERROR(IF(OR(HLOOKUP($A537,#REF!,12,FALSE)&gt;2,HLOOKUP($A537,#REF!,12,FALSE)&lt;-2),"",#REF!),"")</f>
        <v/>
      </c>
      <c r="O537" t="str">
        <f>IFERROR(IF(OR(HLOOKUP($A537,#REF!,13,FALSE)&gt;2,HLOOKUP($A537,#REF!,13,FALSE)&lt;-2),"",#REF!),"")</f>
        <v/>
      </c>
      <c r="P537" t="str">
        <f>IFERROR(IF(OR(HLOOKUP($A537,#REF!,14,FALSE)&gt;2,HLOOKUP($A537,#REF!,14,FALSE)&lt;-2),"",#REF!),"")</f>
        <v/>
      </c>
      <c r="Q537" t="str">
        <f>IFERROR(IF(OR(HLOOKUP($A537,#REF!,15,FALSE)&gt;2,HLOOKUP($A537,#REF!,15,FALSE)&lt;-2),"",#REF!),"")</f>
        <v/>
      </c>
      <c r="R537" t="str">
        <f>IFERROR(IF(OR(HLOOKUP($A537,#REF!,16,FALSE)&gt;2,HLOOKUP($A537,#REF!,16,FALSE)&lt;-2),"",#REF!),"")</f>
        <v/>
      </c>
      <c r="S537" t="str">
        <f>IFERROR(IF(OR(HLOOKUP($A537,#REF!,17,FALSE)&gt;2,HLOOKUP($A537,#REF!,17,FALSE)&lt;-2),"",#REF!),"")</f>
        <v/>
      </c>
      <c r="T537" t="str">
        <f>IFERROR(IF(OR(HLOOKUP($A537,#REF!,18,FALSE)&gt;2,HLOOKUP($A537,#REF!,18,FALSE)&lt;-2),"",#REF!),"")</f>
        <v/>
      </c>
      <c r="U537" t="str">
        <f>IFERROR(IF(OR(HLOOKUP($A537,#REF!,19,FALSE)&gt;2,HLOOKUP($A537,#REF!,19,FALSE)&lt;-2),"",#REF!),"")</f>
        <v/>
      </c>
      <c r="V537">
        <f t="shared" si="32"/>
        <v>1</v>
      </c>
      <c r="W537" t="str">
        <f t="shared" si="33"/>
        <v/>
      </c>
      <c r="X537" t="str">
        <f t="shared" si="34"/>
        <v/>
      </c>
      <c r="Y537" t="str">
        <f t="shared" si="35"/>
        <v/>
      </c>
    </row>
    <row r="538" spans="1:25" x14ac:dyDescent="0.35">
      <c r="A538">
        <v>546</v>
      </c>
      <c r="B538" t="s">
        <v>876</v>
      </c>
      <c r="C538">
        <v>53500</v>
      </c>
      <c r="D538">
        <v>359</v>
      </c>
      <c r="E538" t="str">
        <f>IFERROR(IF(OR(HLOOKUP($A538,#REF!,3,FALSE)&gt;2,HLOOKUP(A538,#REF!,3,FALSE)&lt;-2),"",#REF!),"")</f>
        <v/>
      </c>
      <c r="F538" t="str">
        <f>IFERROR(IF(OR(HLOOKUP($A538,#REF!,4,FALSE)&gt;2,HLOOKUP($A538,#REF!,4,FALSE)&lt;-2),"",#REF!),"")</f>
        <v/>
      </c>
      <c r="G538" t="str">
        <f>IFERROR(IF(OR(HLOOKUP($A538,#REF!,5,FALSE)&gt;2,HLOOKUP($A538,#REF!,5,FALSE)&lt;-2),"",#REF!),"")</f>
        <v/>
      </c>
      <c r="H538" t="str">
        <f>IFERROR(IF(OR(HLOOKUP($A538,#REF!,6,FALSE)&gt;2,HLOOKUP($A538,#REF!,6,FALSE)&lt;-2),"",#REF!),"")</f>
        <v/>
      </c>
      <c r="I538" t="str">
        <f>IFERROR(IF(OR(HLOOKUP($A538,#REF!,7,FALSE)&gt;2,HLOOKUP($A538,#REF!,7,FALSE)&lt;-2),"",#REF!),"")</f>
        <v/>
      </c>
      <c r="J538" t="str">
        <f>IFERROR(IF(OR(HLOOKUP($A538,#REF!,8,FALSE)&gt;2,HLOOKUP($A538,#REF!,8,FALSE)&lt;-2),"",#REF!),"")</f>
        <v/>
      </c>
      <c r="K538" t="str">
        <f>IFERROR(IF(OR(HLOOKUP($A538,#REF!,9,FALSE)&gt;2,HLOOKUP($A538,#REF!,9,FALSE)&lt;-2),"",#REF!),"")</f>
        <v/>
      </c>
      <c r="L538" t="str">
        <f>IFERROR(IF(OR(HLOOKUP($A538,#REF!,10,FALSE)&gt;2,HLOOKUP($A538,#REF!,10,FALSE)&lt;-2),"",#REF!),"")</f>
        <v/>
      </c>
      <c r="M538" t="str">
        <f>IFERROR(IF(OR(HLOOKUP($A538,#REF!,11,FALSE)&gt;2,HLOOKUP($A538,#REF!,11,FALSE)&lt;-2),"",#REF!),"")</f>
        <v/>
      </c>
      <c r="N538" t="str">
        <f>IFERROR(IF(OR(HLOOKUP($A538,#REF!,12,FALSE)&gt;2,HLOOKUP($A538,#REF!,12,FALSE)&lt;-2),"",#REF!),"")</f>
        <v/>
      </c>
      <c r="O538" t="str">
        <f>IFERROR(IF(OR(HLOOKUP($A538,#REF!,13,FALSE)&gt;2,HLOOKUP($A538,#REF!,13,FALSE)&lt;-2),"",#REF!),"")</f>
        <v/>
      </c>
      <c r="P538" t="str">
        <f>IFERROR(IF(OR(HLOOKUP($A538,#REF!,14,FALSE)&gt;2,HLOOKUP($A538,#REF!,14,FALSE)&lt;-2),"",#REF!),"")</f>
        <v/>
      </c>
      <c r="Q538" t="str">
        <f>IFERROR(IF(OR(HLOOKUP($A538,#REF!,15,FALSE)&gt;2,HLOOKUP($A538,#REF!,15,FALSE)&lt;-2),"",#REF!),"")</f>
        <v/>
      </c>
      <c r="R538" t="str">
        <f>IFERROR(IF(OR(HLOOKUP($A538,#REF!,16,FALSE)&gt;2,HLOOKUP($A538,#REF!,16,FALSE)&lt;-2),"",#REF!),"")</f>
        <v/>
      </c>
      <c r="S538" t="str">
        <f>IFERROR(IF(OR(HLOOKUP($A538,#REF!,17,FALSE)&gt;2,HLOOKUP($A538,#REF!,17,FALSE)&lt;-2),"",#REF!),"")</f>
        <v/>
      </c>
      <c r="T538" t="str">
        <f>IFERROR(IF(OR(HLOOKUP($A538,#REF!,18,FALSE)&gt;2,HLOOKUP($A538,#REF!,18,FALSE)&lt;-2),"",#REF!),"")</f>
        <v/>
      </c>
      <c r="U538" t="str">
        <f>IFERROR(IF(OR(HLOOKUP($A538,#REF!,19,FALSE)&gt;2,HLOOKUP($A538,#REF!,19,FALSE)&lt;-2),"",#REF!),"")</f>
        <v/>
      </c>
      <c r="V538">
        <f t="shared" si="32"/>
        <v>1</v>
      </c>
      <c r="W538" t="str">
        <f t="shared" si="33"/>
        <v/>
      </c>
      <c r="X538" t="str">
        <f t="shared" si="34"/>
        <v/>
      </c>
      <c r="Y538" t="str">
        <f t="shared" si="35"/>
        <v/>
      </c>
    </row>
    <row r="539" spans="1:25" x14ac:dyDescent="0.35">
      <c r="A539">
        <v>547</v>
      </c>
      <c r="B539" t="s">
        <v>877</v>
      </c>
      <c r="C539">
        <v>115600</v>
      </c>
      <c r="D539">
        <v>70</v>
      </c>
      <c r="E539" t="str">
        <f>IFERROR(IF(OR(HLOOKUP($A539,#REF!,3,FALSE)&gt;2,HLOOKUP(A539,#REF!,3,FALSE)&lt;-2),"",#REF!),"")</f>
        <v/>
      </c>
      <c r="F539" t="str">
        <f>IFERROR(IF(OR(HLOOKUP($A539,#REF!,4,FALSE)&gt;2,HLOOKUP($A539,#REF!,4,FALSE)&lt;-2),"",#REF!),"")</f>
        <v/>
      </c>
      <c r="G539" t="str">
        <f>IFERROR(IF(OR(HLOOKUP($A539,#REF!,5,FALSE)&gt;2,HLOOKUP($A539,#REF!,5,FALSE)&lt;-2),"",#REF!),"")</f>
        <v/>
      </c>
      <c r="H539" t="str">
        <f>IFERROR(IF(OR(HLOOKUP($A539,#REF!,6,FALSE)&gt;2,HLOOKUP($A539,#REF!,6,FALSE)&lt;-2),"",#REF!),"")</f>
        <v/>
      </c>
      <c r="I539" t="str">
        <f>IFERROR(IF(OR(HLOOKUP($A539,#REF!,7,FALSE)&gt;2,HLOOKUP($A539,#REF!,7,FALSE)&lt;-2),"",#REF!),"")</f>
        <v/>
      </c>
      <c r="J539" t="str">
        <f>IFERROR(IF(OR(HLOOKUP($A539,#REF!,8,FALSE)&gt;2,HLOOKUP($A539,#REF!,8,FALSE)&lt;-2),"",#REF!),"")</f>
        <v/>
      </c>
      <c r="K539" t="str">
        <f>IFERROR(IF(OR(HLOOKUP($A539,#REF!,9,FALSE)&gt;2,HLOOKUP($A539,#REF!,9,FALSE)&lt;-2),"",#REF!),"")</f>
        <v/>
      </c>
      <c r="L539" t="str">
        <f>IFERROR(IF(OR(HLOOKUP($A539,#REF!,10,FALSE)&gt;2,HLOOKUP($A539,#REF!,10,FALSE)&lt;-2),"",#REF!),"")</f>
        <v/>
      </c>
      <c r="M539" t="str">
        <f>IFERROR(IF(OR(HLOOKUP($A539,#REF!,11,FALSE)&gt;2,HLOOKUP($A539,#REF!,11,FALSE)&lt;-2),"",#REF!),"")</f>
        <v/>
      </c>
      <c r="N539" t="str">
        <f>IFERROR(IF(OR(HLOOKUP($A539,#REF!,12,FALSE)&gt;2,HLOOKUP($A539,#REF!,12,FALSE)&lt;-2),"",#REF!),"")</f>
        <v/>
      </c>
      <c r="O539" t="str">
        <f>IFERROR(IF(OR(HLOOKUP($A539,#REF!,13,FALSE)&gt;2,HLOOKUP($A539,#REF!,13,FALSE)&lt;-2),"",#REF!),"")</f>
        <v/>
      </c>
      <c r="P539" t="str">
        <f>IFERROR(IF(OR(HLOOKUP($A539,#REF!,14,FALSE)&gt;2,HLOOKUP($A539,#REF!,14,FALSE)&lt;-2),"",#REF!),"")</f>
        <v/>
      </c>
      <c r="Q539" t="str">
        <f>IFERROR(IF(OR(HLOOKUP($A539,#REF!,15,FALSE)&gt;2,HLOOKUP($A539,#REF!,15,FALSE)&lt;-2),"",#REF!),"")</f>
        <v/>
      </c>
      <c r="R539" t="str">
        <f>IFERROR(IF(OR(HLOOKUP($A539,#REF!,16,FALSE)&gt;2,HLOOKUP($A539,#REF!,16,FALSE)&lt;-2),"",#REF!),"")</f>
        <v/>
      </c>
      <c r="S539" t="str">
        <f>IFERROR(IF(OR(HLOOKUP($A539,#REF!,17,FALSE)&gt;2,HLOOKUP($A539,#REF!,17,FALSE)&lt;-2),"",#REF!),"")</f>
        <v/>
      </c>
      <c r="T539" t="str">
        <f>IFERROR(IF(OR(HLOOKUP($A539,#REF!,18,FALSE)&gt;2,HLOOKUP($A539,#REF!,18,FALSE)&lt;-2),"",#REF!),"")</f>
        <v/>
      </c>
      <c r="U539" t="str">
        <f>IFERROR(IF(OR(HLOOKUP($A539,#REF!,19,FALSE)&gt;2,HLOOKUP($A539,#REF!,19,FALSE)&lt;-2),"",#REF!),"")</f>
        <v/>
      </c>
      <c r="V539">
        <f t="shared" si="32"/>
        <v>1</v>
      </c>
      <c r="W539" t="str">
        <f t="shared" si="33"/>
        <v/>
      </c>
      <c r="X539" t="str">
        <f t="shared" si="34"/>
        <v/>
      </c>
      <c r="Y539" t="str">
        <f t="shared" si="35"/>
        <v/>
      </c>
    </row>
    <row r="540" spans="1:25" x14ac:dyDescent="0.35">
      <c r="A540">
        <v>548</v>
      </c>
      <c r="B540" t="s">
        <v>878</v>
      </c>
      <c r="C540">
        <v>80500</v>
      </c>
      <c r="D540">
        <v>128</v>
      </c>
      <c r="E540" t="str">
        <f>IFERROR(IF(OR(HLOOKUP($A540,#REF!,3,FALSE)&gt;2,HLOOKUP(A540,#REF!,3,FALSE)&lt;-2),"",#REF!),"")</f>
        <v/>
      </c>
      <c r="F540" t="str">
        <f>IFERROR(IF(OR(HLOOKUP($A540,#REF!,4,FALSE)&gt;2,HLOOKUP($A540,#REF!,4,FALSE)&lt;-2),"",#REF!),"")</f>
        <v/>
      </c>
      <c r="G540" t="str">
        <f>IFERROR(IF(OR(HLOOKUP($A540,#REF!,5,FALSE)&gt;2,HLOOKUP($A540,#REF!,5,FALSE)&lt;-2),"",#REF!),"")</f>
        <v/>
      </c>
      <c r="H540" t="str">
        <f>IFERROR(IF(OR(HLOOKUP($A540,#REF!,6,FALSE)&gt;2,HLOOKUP($A540,#REF!,6,FALSE)&lt;-2),"",#REF!),"")</f>
        <v/>
      </c>
      <c r="I540" t="str">
        <f>IFERROR(IF(OR(HLOOKUP($A540,#REF!,7,FALSE)&gt;2,HLOOKUP($A540,#REF!,7,FALSE)&lt;-2),"",#REF!),"")</f>
        <v/>
      </c>
      <c r="J540" t="str">
        <f>IFERROR(IF(OR(HLOOKUP($A540,#REF!,8,FALSE)&gt;2,HLOOKUP($A540,#REF!,8,FALSE)&lt;-2),"",#REF!),"")</f>
        <v/>
      </c>
      <c r="K540" t="str">
        <f>IFERROR(IF(OR(HLOOKUP($A540,#REF!,9,FALSE)&gt;2,HLOOKUP($A540,#REF!,9,FALSE)&lt;-2),"",#REF!),"")</f>
        <v/>
      </c>
      <c r="L540" t="str">
        <f>IFERROR(IF(OR(HLOOKUP($A540,#REF!,10,FALSE)&gt;2,HLOOKUP($A540,#REF!,10,FALSE)&lt;-2),"",#REF!),"")</f>
        <v/>
      </c>
      <c r="M540" t="str">
        <f>IFERROR(IF(OR(HLOOKUP($A540,#REF!,11,FALSE)&gt;2,HLOOKUP($A540,#REF!,11,FALSE)&lt;-2),"",#REF!),"")</f>
        <v/>
      </c>
      <c r="N540" t="str">
        <f>IFERROR(IF(OR(HLOOKUP($A540,#REF!,12,FALSE)&gt;2,HLOOKUP($A540,#REF!,12,FALSE)&lt;-2),"",#REF!),"")</f>
        <v/>
      </c>
      <c r="O540" t="str">
        <f>IFERROR(IF(OR(HLOOKUP($A540,#REF!,13,FALSE)&gt;2,HLOOKUP($A540,#REF!,13,FALSE)&lt;-2),"",#REF!),"")</f>
        <v/>
      </c>
      <c r="P540" t="str">
        <f>IFERROR(IF(OR(HLOOKUP($A540,#REF!,14,FALSE)&gt;2,HLOOKUP($A540,#REF!,14,FALSE)&lt;-2),"",#REF!),"")</f>
        <v/>
      </c>
      <c r="Q540" t="str">
        <f>IFERROR(IF(OR(HLOOKUP($A540,#REF!,15,FALSE)&gt;2,HLOOKUP($A540,#REF!,15,FALSE)&lt;-2),"",#REF!),"")</f>
        <v/>
      </c>
      <c r="R540" t="str">
        <f>IFERROR(IF(OR(HLOOKUP($A540,#REF!,16,FALSE)&gt;2,HLOOKUP($A540,#REF!,16,FALSE)&lt;-2),"",#REF!),"")</f>
        <v/>
      </c>
      <c r="S540" t="str">
        <f>IFERROR(IF(OR(HLOOKUP($A540,#REF!,17,FALSE)&gt;2,HLOOKUP($A540,#REF!,17,FALSE)&lt;-2),"",#REF!),"")</f>
        <v/>
      </c>
      <c r="T540" t="str">
        <f>IFERROR(IF(OR(HLOOKUP($A540,#REF!,18,FALSE)&gt;2,HLOOKUP($A540,#REF!,18,FALSE)&lt;-2),"",#REF!),"")</f>
        <v/>
      </c>
      <c r="U540" t="str">
        <f>IFERROR(IF(OR(HLOOKUP($A540,#REF!,19,FALSE)&gt;2,HLOOKUP($A540,#REF!,19,FALSE)&lt;-2),"",#REF!),"")</f>
        <v/>
      </c>
      <c r="V540">
        <f t="shared" si="32"/>
        <v>1</v>
      </c>
      <c r="W540" t="str">
        <f t="shared" si="33"/>
        <v/>
      </c>
      <c r="X540" t="str">
        <f t="shared" si="34"/>
        <v/>
      </c>
      <c r="Y540" t="str">
        <f t="shared" si="35"/>
        <v/>
      </c>
    </row>
    <row r="541" spans="1:25" x14ac:dyDescent="0.35">
      <c r="A541">
        <v>549</v>
      </c>
      <c r="B541" t="s">
        <v>265</v>
      </c>
      <c r="C541">
        <v>63500</v>
      </c>
      <c r="D541">
        <v>1129</v>
      </c>
      <c r="E541" t="str">
        <f>IFERROR(IF(OR(HLOOKUP($A541,#REF!,3,FALSE)&gt;2,HLOOKUP(A541,#REF!,3,FALSE)&lt;-2),"",#REF!),"")</f>
        <v/>
      </c>
      <c r="F541" t="str">
        <f>IFERROR(IF(OR(HLOOKUP($A541,#REF!,4,FALSE)&gt;2,HLOOKUP($A541,#REF!,4,FALSE)&lt;-2),"",#REF!),"")</f>
        <v/>
      </c>
      <c r="G541" t="str">
        <f>IFERROR(IF(OR(HLOOKUP($A541,#REF!,5,FALSE)&gt;2,HLOOKUP($A541,#REF!,5,FALSE)&lt;-2),"",#REF!),"")</f>
        <v/>
      </c>
      <c r="H541" t="str">
        <f>IFERROR(IF(OR(HLOOKUP($A541,#REF!,6,FALSE)&gt;2,HLOOKUP($A541,#REF!,6,FALSE)&lt;-2),"",#REF!),"")</f>
        <v/>
      </c>
      <c r="I541" t="str">
        <f>IFERROR(IF(OR(HLOOKUP($A541,#REF!,7,FALSE)&gt;2,HLOOKUP($A541,#REF!,7,FALSE)&lt;-2),"",#REF!),"")</f>
        <v/>
      </c>
      <c r="J541" t="str">
        <f>IFERROR(IF(OR(HLOOKUP($A541,#REF!,8,FALSE)&gt;2,HLOOKUP($A541,#REF!,8,FALSE)&lt;-2),"",#REF!),"")</f>
        <v/>
      </c>
      <c r="K541" t="str">
        <f>IFERROR(IF(OR(HLOOKUP($A541,#REF!,9,FALSE)&gt;2,HLOOKUP($A541,#REF!,9,FALSE)&lt;-2),"",#REF!),"")</f>
        <v/>
      </c>
      <c r="L541" t="str">
        <f>IFERROR(IF(OR(HLOOKUP($A541,#REF!,10,FALSE)&gt;2,HLOOKUP($A541,#REF!,10,FALSE)&lt;-2),"",#REF!),"")</f>
        <v/>
      </c>
      <c r="M541" t="str">
        <f>IFERROR(IF(OR(HLOOKUP($A541,#REF!,11,FALSE)&gt;2,HLOOKUP($A541,#REF!,11,FALSE)&lt;-2),"",#REF!),"")</f>
        <v/>
      </c>
      <c r="N541" t="str">
        <f>IFERROR(IF(OR(HLOOKUP($A541,#REF!,12,FALSE)&gt;2,HLOOKUP($A541,#REF!,12,FALSE)&lt;-2),"",#REF!),"")</f>
        <v/>
      </c>
      <c r="O541" t="str">
        <f>IFERROR(IF(OR(HLOOKUP($A541,#REF!,13,FALSE)&gt;2,HLOOKUP($A541,#REF!,13,FALSE)&lt;-2),"",#REF!),"")</f>
        <v/>
      </c>
      <c r="P541" t="str">
        <f>IFERROR(IF(OR(HLOOKUP($A541,#REF!,14,FALSE)&gt;2,HLOOKUP($A541,#REF!,14,FALSE)&lt;-2),"",#REF!),"")</f>
        <v/>
      </c>
      <c r="Q541" t="str">
        <f>IFERROR(IF(OR(HLOOKUP($A541,#REF!,15,FALSE)&gt;2,HLOOKUP($A541,#REF!,15,FALSE)&lt;-2),"",#REF!),"")</f>
        <v/>
      </c>
      <c r="R541" t="str">
        <f>IFERROR(IF(OR(HLOOKUP($A541,#REF!,16,FALSE)&gt;2,HLOOKUP($A541,#REF!,16,FALSE)&lt;-2),"",#REF!),"")</f>
        <v/>
      </c>
      <c r="S541" t="str">
        <f>IFERROR(IF(OR(HLOOKUP($A541,#REF!,17,FALSE)&gt;2,HLOOKUP($A541,#REF!,17,FALSE)&lt;-2),"",#REF!),"")</f>
        <v/>
      </c>
      <c r="T541" t="str">
        <f>IFERROR(IF(OR(HLOOKUP($A541,#REF!,18,FALSE)&gt;2,HLOOKUP($A541,#REF!,18,FALSE)&lt;-2),"",#REF!),"")</f>
        <v/>
      </c>
      <c r="U541" t="str">
        <f>IFERROR(IF(OR(HLOOKUP($A541,#REF!,19,FALSE)&gt;2,HLOOKUP($A541,#REF!,19,FALSE)&lt;-2),"",#REF!),"")</f>
        <v/>
      </c>
      <c r="V541">
        <f t="shared" si="32"/>
        <v>1</v>
      </c>
      <c r="W541" t="str">
        <f t="shared" si="33"/>
        <v/>
      </c>
      <c r="X541" t="str">
        <f t="shared" si="34"/>
        <v/>
      </c>
      <c r="Y541" t="str">
        <f t="shared" si="35"/>
        <v/>
      </c>
    </row>
    <row r="542" spans="1:25" x14ac:dyDescent="0.35">
      <c r="A542">
        <v>550</v>
      </c>
      <c r="B542" t="s">
        <v>879</v>
      </c>
      <c r="C542">
        <v>43500</v>
      </c>
      <c r="D542">
        <v>926</v>
      </c>
      <c r="E542" t="str">
        <f>IFERROR(IF(OR(HLOOKUP($A542,#REF!,3,FALSE)&gt;2,HLOOKUP(A542,#REF!,3,FALSE)&lt;-2),"",#REF!),"")</f>
        <v/>
      </c>
      <c r="F542" t="str">
        <f>IFERROR(IF(OR(HLOOKUP($A542,#REF!,4,FALSE)&gt;2,HLOOKUP($A542,#REF!,4,FALSE)&lt;-2),"",#REF!),"")</f>
        <v/>
      </c>
      <c r="G542" t="str">
        <f>IFERROR(IF(OR(HLOOKUP($A542,#REF!,5,FALSE)&gt;2,HLOOKUP($A542,#REF!,5,FALSE)&lt;-2),"",#REF!),"")</f>
        <v/>
      </c>
      <c r="H542" t="str">
        <f>IFERROR(IF(OR(HLOOKUP($A542,#REF!,6,FALSE)&gt;2,HLOOKUP($A542,#REF!,6,FALSE)&lt;-2),"",#REF!),"")</f>
        <v/>
      </c>
      <c r="I542" t="str">
        <f>IFERROR(IF(OR(HLOOKUP($A542,#REF!,7,FALSE)&gt;2,HLOOKUP($A542,#REF!,7,FALSE)&lt;-2),"",#REF!),"")</f>
        <v/>
      </c>
      <c r="J542" t="str">
        <f>IFERROR(IF(OR(HLOOKUP($A542,#REF!,8,FALSE)&gt;2,HLOOKUP($A542,#REF!,8,FALSE)&lt;-2),"",#REF!),"")</f>
        <v/>
      </c>
      <c r="K542" t="str">
        <f>IFERROR(IF(OR(HLOOKUP($A542,#REF!,9,FALSE)&gt;2,HLOOKUP($A542,#REF!,9,FALSE)&lt;-2),"",#REF!),"")</f>
        <v/>
      </c>
      <c r="L542" t="str">
        <f>IFERROR(IF(OR(HLOOKUP($A542,#REF!,10,FALSE)&gt;2,HLOOKUP($A542,#REF!,10,FALSE)&lt;-2),"",#REF!),"")</f>
        <v/>
      </c>
      <c r="M542" t="str">
        <f>IFERROR(IF(OR(HLOOKUP($A542,#REF!,11,FALSE)&gt;2,HLOOKUP($A542,#REF!,11,FALSE)&lt;-2),"",#REF!),"")</f>
        <v/>
      </c>
      <c r="N542" t="str">
        <f>IFERROR(IF(OR(HLOOKUP($A542,#REF!,12,FALSE)&gt;2,HLOOKUP($A542,#REF!,12,FALSE)&lt;-2),"",#REF!),"")</f>
        <v/>
      </c>
      <c r="O542" t="str">
        <f>IFERROR(IF(OR(HLOOKUP($A542,#REF!,13,FALSE)&gt;2,HLOOKUP($A542,#REF!,13,FALSE)&lt;-2),"",#REF!),"")</f>
        <v/>
      </c>
      <c r="P542" t="str">
        <f>IFERROR(IF(OR(HLOOKUP($A542,#REF!,14,FALSE)&gt;2,HLOOKUP($A542,#REF!,14,FALSE)&lt;-2),"",#REF!),"")</f>
        <v/>
      </c>
      <c r="Q542" t="str">
        <f>IFERROR(IF(OR(HLOOKUP($A542,#REF!,15,FALSE)&gt;2,HLOOKUP($A542,#REF!,15,FALSE)&lt;-2),"",#REF!),"")</f>
        <v/>
      </c>
      <c r="R542" t="str">
        <f>IFERROR(IF(OR(HLOOKUP($A542,#REF!,16,FALSE)&gt;2,HLOOKUP($A542,#REF!,16,FALSE)&lt;-2),"",#REF!),"")</f>
        <v/>
      </c>
      <c r="S542" t="str">
        <f>IFERROR(IF(OR(HLOOKUP($A542,#REF!,17,FALSE)&gt;2,HLOOKUP($A542,#REF!,17,FALSE)&lt;-2),"",#REF!),"")</f>
        <v/>
      </c>
      <c r="T542" t="str">
        <f>IFERROR(IF(OR(HLOOKUP($A542,#REF!,18,FALSE)&gt;2,HLOOKUP($A542,#REF!,18,FALSE)&lt;-2),"",#REF!),"")</f>
        <v/>
      </c>
      <c r="U542" t="str">
        <f>IFERROR(IF(OR(HLOOKUP($A542,#REF!,19,FALSE)&gt;2,HLOOKUP($A542,#REF!,19,FALSE)&lt;-2),"",#REF!),"")</f>
        <v/>
      </c>
      <c r="V542">
        <f t="shared" si="32"/>
        <v>1</v>
      </c>
      <c r="W542" t="str">
        <f t="shared" si="33"/>
        <v/>
      </c>
      <c r="X542" t="str">
        <f t="shared" si="34"/>
        <v/>
      </c>
      <c r="Y542" t="str">
        <f t="shared" si="35"/>
        <v/>
      </c>
    </row>
    <row r="543" spans="1:25" x14ac:dyDescent="0.35">
      <c r="A543">
        <v>551</v>
      </c>
      <c r="B543" t="s">
        <v>880</v>
      </c>
      <c r="C543">
        <v>50500</v>
      </c>
      <c r="D543">
        <v>536</v>
      </c>
      <c r="E543" t="str">
        <f>IFERROR(IF(OR(HLOOKUP($A543,#REF!,3,FALSE)&gt;2,HLOOKUP(A543,#REF!,3,FALSE)&lt;-2),"",#REF!),"")</f>
        <v/>
      </c>
      <c r="F543" t="str">
        <f>IFERROR(IF(OR(HLOOKUP($A543,#REF!,4,FALSE)&gt;2,HLOOKUP($A543,#REF!,4,FALSE)&lt;-2),"",#REF!),"")</f>
        <v/>
      </c>
      <c r="G543" t="str">
        <f>IFERROR(IF(OR(HLOOKUP($A543,#REF!,5,FALSE)&gt;2,HLOOKUP($A543,#REF!,5,FALSE)&lt;-2),"",#REF!),"")</f>
        <v/>
      </c>
      <c r="H543" t="str">
        <f>IFERROR(IF(OR(HLOOKUP($A543,#REF!,6,FALSE)&gt;2,HLOOKUP($A543,#REF!,6,FALSE)&lt;-2),"",#REF!),"")</f>
        <v/>
      </c>
      <c r="I543" t="str">
        <f>IFERROR(IF(OR(HLOOKUP($A543,#REF!,7,FALSE)&gt;2,HLOOKUP($A543,#REF!,7,FALSE)&lt;-2),"",#REF!),"")</f>
        <v/>
      </c>
      <c r="J543" t="str">
        <f>IFERROR(IF(OR(HLOOKUP($A543,#REF!,8,FALSE)&gt;2,HLOOKUP($A543,#REF!,8,FALSE)&lt;-2),"",#REF!),"")</f>
        <v/>
      </c>
      <c r="K543" t="str">
        <f>IFERROR(IF(OR(HLOOKUP($A543,#REF!,9,FALSE)&gt;2,HLOOKUP($A543,#REF!,9,FALSE)&lt;-2),"",#REF!),"")</f>
        <v/>
      </c>
      <c r="L543" t="str">
        <f>IFERROR(IF(OR(HLOOKUP($A543,#REF!,10,FALSE)&gt;2,HLOOKUP($A543,#REF!,10,FALSE)&lt;-2),"",#REF!),"")</f>
        <v/>
      </c>
      <c r="M543" t="str">
        <f>IFERROR(IF(OR(HLOOKUP($A543,#REF!,11,FALSE)&gt;2,HLOOKUP($A543,#REF!,11,FALSE)&lt;-2),"",#REF!),"")</f>
        <v/>
      </c>
      <c r="N543" t="str">
        <f>IFERROR(IF(OR(HLOOKUP($A543,#REF!,12,FALSE)&gt;2,HLOOKUP($A543,#REF!,12,FALSE)&lt;-2),"",#REF!),"")</f>
        <v/>
      </c>
      <c r="O543" t="str">
        <f>IFERROR(IF(OR(HLOOKUP($A543,#REF!,13,FALSE)&gt;2,HLOOKUP($A543,#REF!,13,FALSE)&lt;-2),"",#REF!),"")</f>
        <v/>
      </c>
      <c r="P543" t="str">
        <f>IFERROR(IF(OR(HLOOKUP($A543,#REF!,14,FALSE)&gt;2,HLOOKUP($A543,#REF!,14,FALSE)&lt;-2),"",#REF!),"")</f>
        <v/>
      </c>
      <c r="Q543" t="str">
        <f>IFERROR(IF(OR(HLOOKUP($A543,#REF!,15,FALSE)&gt;2,HLOOKUP($A543,#REF!,15,FALSE)&lt;-2),"",#REF!),"")</f>
        <v/>
      </c>
      <c r="R543" t="str">
        <f>IFERROR(IF(OR(HLOOKUP($A543,#REF!,16,FALSE)&gt;2,HLOOKUP($A543,#REF!,16,FALSE)&lt;-2),"",#REF!),"")</f>
        <v/>
      </c>
      <c r="S543" t="str">
        <f>IFERROR(IF(OR(HLOOKUP($A543,#REF!,17,FALSE)&gt;2,HLOOKUP($A543,#REF!,17,FALSE)&lt;-2),"",#REF!),"")</f>
        <v/>
      </c>
      <c r="T543" t="str">
        <f>IFERROR(IF(OR(HLOOKUP($A543,#REF!,18,FALSE)&gt;2,HLOOKUP($A543,#REF!,18,FALSE)&lt;-2),"",#REF!),"")</f>
        <v/>
      </c>
      <c r="U543" t="str">
        <f>IFERROR(IF(OR(HLOOKUP($A543,#REF!,19,FALSE)&gt;2,HLOOKUP($A543,#REF!,19,FALSE)&lt;-2),"",#REF!),"")</f>
        <v/>
      </c>
      <c r="V543">
        <f t="shared" si="32"/>
        <v>1</v>
      </c>
      <c r="W543" t="str">
        <f t="shared" si="33"/>
        <v/>
      </c>
      <c r="X543" t="str">
        <f t="shared" si="34"/>
        <v/>
      </c>
      <c r="Y543" t="str">
        <f t="shared" si="35"/>
        <v/>
      </c>
    </row>
    <row r="544" spans="1:25" x14ac:dyDescent="0.35">
      <c r="A544">
        <v>552</v>
      </c>
      <c r="B544" t="s">
        <v>881</v>
      </c>
      <c r="C544">
        <v>87700</v>
      </c>
      <c r="D544">
        <v>987</v>
      </c>
      <c r="E544" t="str">
        <f>IFERROR(IF(OR(HLOOKUP($A544,#REF!,3,FALSE)&gt;2,HLOOKUP(A544,#REF!,3,FALSE)&lt;-2),"",#REF!),"")</f>
        <v/>
      </c>
      <c r="F544" t="str">
        <f>IFERROR(IF(OR(HLOOKUP($A544,#REF!,4,FALSE)&gt;2,HLOOKUP($A544,#REF!,4,FALSE)&lt;-2),"",#REF!),"")</f>
        <v/>
      </c>
      <c r="G544" t="str">
        <f>IFERROR(IF(OR(HLOOKUP($A544,#REF!,5,FALSE)&gt;2,HLOOKUP($A544,#REF!,5,FALSE)&lt;-2),"",#REF!),"")</f>
        <v/>
      </c>
      <c r="H544" t="str">
        <f>IFERROR(IF(OR(HLOOKUP($A544,#REF!,6,FALSE)&gt;2,HLOOKUP($A544,#REF!,6,FALSE)&lt;-2),"",#REF!),"")</f>
        <v/>
      </c>
      <c r="I544" t="str">
        <f>IFERROR(IF(OR(HLOOKUP($A544,#REF!,7,FALSE)&gt;2,HLOOKUP($A544,#REF!,7,FALSE)&lt;-2),"",#REF!),"")</f>
        <v/>
      </c>
      <c r="J544" t="str">
        <f>IFERROR(IF(OR(HLOOKUP($A544,#REF!,8,FALSE)&gt;2,HLOOKUP($A544,#REF!,8,FALSE)&lt;-2),"",#REF!),"")</f>
        <v/>
      </c>
      <c r="K544" t="str">
        <f>IFERROR(IF(OR(HLOOKUP($A544,#REF!,9,FALSE)&gt;2,HLOOKUP($A544,#REF!,9,FALSE)&lt;-2),"",#REF!),"")</f>
        <v/>
      </c>
      <c r="L544" t="str">
        <f>IFERROR(IF(OR(HLOOKUP($A544,#REF!,10,FALSE)&gt;2,HLOOKUP($A544,#REF!,10,FALSE)&lt;-2),"",#REF!),"")</f>
        <v/>
      </c>
      <c r="M544" t="str">
        <f>IFERROR(IF(OR(HLOOKUP($A544,#REF!,11,FALSE)&gt;2,HLOOKUP($A544,#REF!,11,FALSE)&lt;-2),"",#REF!),"")</f>
        <v/>
      </c>
      <c r="N544" t="str">
        <f>IFERROR(IF(OR(HLOOKUP($A544,#REF!,12,FALSE)&gt;2,HLOOKUP($A544,#REF!,12,FALSE)&lt;-2),"",#REF!),"")</f>
        <v/>
      </c>
      <c r="O544" t="str">
        <f>IFERROR(IF(OR(HLOOKUP($A544,#REF!,13,FALSE)&gt;2,HLOOKUP($A544,#REF!,13,FALSE)&lt;-2),"",#REF!),"")</f>
        <v/>
      </c>
      <c r="P544" t="str">
        <f>IFERROR(IF(OR(HLOOKUP($A544,#REF!,14,FALSE)&gt;2,HLOOKUP($A544,#REF!,14,FALSE)&lt;-2),"",#REF!),"")</f>
        <v/>
      </c>
      <c r="Q544" t="str">
        <f>IFERROR(IF(OR(HLOOKUP($A544,#REF!,15,FALSE)&gt;2,HLOOKUP($A544,#REF!,15,FALSE)&lt;-2),"",#REF!),"")</f>
        <v/>
      </c>
      <c r="R544" t="str">
        <f>IFERROR(IF(OR(HLOOKUP($A544,#REF!,16,FALSE)&gt;2,HLOOKUP($A544,#REF!,16,FALSE)&lt;-2),"",#REF!),"")</f>
        <v/>
      </c>
      <c r="S544" t="str">
        <f>IFERROR(IF(OR(HLOOKUP($A544,#REF!,17,FALSE)&gt;2,HLOOKUP($A544,#REF!,17,FALSE)&lt;-2),"",#REF!),"")</f>
        <v/>
      </c>
      <c r="T544" t="str">
        <f>IFERROR(IF(OR(HLOOKUP($A544,#REF!,18,FALSE)&gt;2,HLOOKUP($A544,#REF!,18,FALSE)&lt;-2),"",#REF!),"")</f>
        <v/>
      </c>
      <c r="U544" t="str">
        <f>IFERROR(IF(OR(HLOOKUP($A544,#REF!,19,FALSE)&gt;2,HLOOKUP($A544,#REF!,19,FALSE)&lt;-2),"",#REF!),"")</f>
        <v/>
      </c>
      <c r="V544">
        <f t="shared" si="32"/>
        <v>1</v>
      </c>
      <c r="W544" t="str">
        <f t="shared" si="33"/>
        <v/>
      </c>
      <c r="X544" t="str">
        <f t="shared" si="34"/>
        <v/>
      </c>
      <c r="Y544" t="str">
        <f t="shared" si="35"/>
        <v/>
      </c>
    </row>
    <row r="545" spans="1:25" x14ac:dyDescent="0.35">
      <c r="A545">
        <v>553</v>
      </c>
      <c r="B545" t="s">
        <v>882</v>
      </c>
      <c r="C545">
        <v>105200</v>
      </c>
      <c r="D545">
        <v>1123</v>
      </c>
      <c r="E545" t="str">
        <f>IFERROR(IF(OR(HLOOKUP($A545,#REF!,3,FALSE)&gt;2,HLOOKUP(A545,#REF!,3,FALSE)&lt;-2),"",#REF!),"")</f>
        <v/>
      </c>
      <c r="F545" t="str">
        <f>IFERROR(IF(OR(HLOOKUP($A545,#REF!,4,FALSE)&gt;2,HLOOKUP($A545,#REF!,4,FALSE)&lt;-2),"",#REF!),"")</f>
        <v/>
      </c>
      <c r="G545" t="str">
        <f>IFERROR(IF(OR(HLOOKUP($A545,#REF!,5,FALSE)&gt;2,HLOOKUP($A545,#REF!,5,FALSE)&lt;-2),"",#REF!),"")</f>
        <v/>
      </c>
      <c r="H545" t="str">
        <f>IFERROR(IF(OR(HLOOKUP($A545,#REF!,6,FALSE)&gt;2,HLOOKUP($A545,#REF!,6,FALSE)&lt;-2),"",#REF!),"")</f>
        <v/>
      </c>
      <c r="I545" t="str">
        <f>IFERROR(IF(OR(HLOOKUP($A545,#REF!,7,FALSE)&gt;2,HLOOKUP($A545,#REF!,7,FALSE)&lt;-2),"",#REF!),"")</f>
        <v/>
      </c>
      <c r="J545" t="str">
        <f>IFERROR(IF(OR(HLOOKUP($A545,#REF!,8,FALSE)&gt;2,HLOOKUP($A545,#REF!,8,FALSE)&lt;-2),"",#REF!),"")</f>
        <v/>
      </c>
      <c r="K545" t="str">
        <f>IFERROR(IF(OR(HLOOKUP($A545,#REF!,9,FALSE)&gt;2,HLOOKUP($A545,#REF!,9,FALSE)&lt;-2),"",#REF!),"")</f>
        <v/>
      </c>
      <c r="L545" t="str">
        <f>IFERROR(IF(OR(HLOOKUP($A545,#REF!,10,FALSE)&gt;2,HLOOKUP($A545,#REF!,10,FALSE)&lt;-2),"",#REF!),"")</f>
        <v/>
      </c>
      <c r="M545" t="str">
        <f>IFERROR(IF(OR(HLOOKUP($A545,#REF!,11,FALSE)&gt;2,HLOOKUP($A545,#REF!,11,FALSE)&lt;-2),"",#REF!),"")</f>
        <v/>
      </c>
      <c r="N545" t="str">
        <f>IFERROR(IF(OR(HLOOKUP($A545,#REF!,12,FALSE)&gt;2,HLOOKUP($A545,#REF!,12,FALSE)&lt;-2),"",#REF!),"")</f>
        <v/>
      </c>
      <c r="O545" t="str">
        <f>IFERROR(IF(OR(HLOOKUP($A545,#REF!,13,FALSE)&gt;2,HLOOKUP($A545,#REF!,13,FALSE)&lt;-2),"",#REF!),"")</f>
        <v/>
      </c>
      <c r="P545" t="str">
        <f>IFERROR(IF(OR(HLOOKUP($A545,#REF!,14,FALSE)&gt;2,HLOOKUP($A545,#REF!,14,FALSE)&lt;-2),"",#REF!),"")</f>
        <v/>
      </c>
      <c r="Q545" t="str">
        <f>IFERROR(IF(OR(HLOOKUP($A545,#REF!,15,FALSE)&gt;2,HLOOKUP($A545,#REF!,15,FALSE)&lt;-2),"",#REF!),"")</f>
        <v/>
      </c>
      <c r="R545" t="str">
        <f>IFERROR(IF(OR(HLOOKUP($A545,#REF!,16,FALSE)&gt;2,HLOOKUP($A545,#REF!,16,FALSE)&lt;-2),"",#REF!),"")</f>
        <v/>
      </c>
      <c r="S545" t="str">
        <f>IFERROR(IF(OR(HLOOKUP($A545,#REF!,17,FALSE)&gt;2,HLOOKUP($A545,#REF!,17,FALSE)&lt;-2),"",#REF!),"")</f>
        <v/>
      </c>
      <c r="T545" t="str">
        <f>IFERROR(IF(OR(HLOOKUP($A545,#REF!,18,FALSE)&gt;2,HLOOKUP($A545,#REF!,18,FALSE)&lt;-2),"",#REF!),"")</f>
        <v/>
      </c>
      <c r="U545" t="str">
        <f>IFERROR(IF(OR(HLOOKUP($A545,#REF!,19,FALSE)&gt;2,HLOOKUP($A545,#REF!,19,FALSE)&lt;-2),"",#REF!),"")</f>
        <v/>
      </c>
      <c r="V545">
        <f t="shared" si="32"/>
        <v>1</v>
      </c>
      <c r="W545" t="str">
        <f t="shared" si="33"/>
        <v/>
      </c>
      <c r="X545" t="str">
        <f t="shared" si="34"/>
        <v/>
      </c>
      <c r="Y545" t="str">
        <f t="shared" si="35"/>
        <v/>
      </c>
    </row>
    <row r="546" spans="1:25" x14ac:dyDescent="0.35">
      <c r="A546">
        <v>554</v>
      </c>
      <c r="B546" t="s">
        <v>883</v>
      </c>
      <c r="C546">
        <v>53700</v>
      </c>
      <c r="D546">
        <v>359</v>
      </c>
      <c r="E546" t="str">
        <f>IFERROR(IF(OR(HLOOKUP($A546,#REF!,3,FALSE)&gt;2,HLOOKUP(A546,#REF!,3,FALSE)&lt;-2),"",#REF!),"")</f>
        <v/>
      </c>
      <c r="F546" t="str">
        <f>IFERROR(IF(OR(HLOOKUP($A546,#REF!,4,FALSE)&gt;2,HLOOKUP($A546,#REF!,4,FALSE)&lt;-2),"",#REF!),"")</f>
        <v/>
      </c>
      <c r="G546" t="str">
        <f>IFERROR(IF(OR(HLOOKUP($A546,#REF!,5,FALSE)&gt;2,HLOOKUP($A546,#REF!,5,FALSE)&lt;-2),"",#REF!),"")</f>
        <v/>
      </c>
      <c r="H546" t="str">
        <f>IFERROR(IF(OR(HLOOKUP($A546,#REF!,6,FALSE)&gt;2,HLOOKUP($A546,#REF!,6,FALSE)&lt;-2),"",#REF!),"")</f>
        <v/>
      </c>
      <c r="I546" t="str">
        <f>IFERROR(IF(OR(HLOOKUP($A546,#REF!,7,FALSE)&gt;2,HLOOKUP($A546,#REF!,7,FALSE)&lt;-2),"",#REF!),"")</f>
        <v/>
      </c>
      <c r="J546" t="str">
        <f>IFERROR(IF(OR(HLOOKUP($A546,#REF!,8,FALSE)&gt;2,HLOOKUP($A546,#REF!,8,FALSE)&lt;-2),"",#REF!),"")</f>
        <v/>
      </c>
      <c r="K546" t="str">
        <f>IFERROR(IF(OR(HLOOKUP($A546,#REF!,9,FALSE)&gt;2,HLOOKUP($A546,#REF!,9,FALSE)&lt;-2),"",#REF!),"")</f>
        <v/>
      </c>
      <c r="L546" t="str">
        <f>IFERROR(IF(OR(HLOOKUP($A546,#REF!,10,FALSE)&gt;2,HLOOKUP($A546,#REF!,10,FALSE)&lt;-2),"",#REF!),"")</f>
        <v/>
      </c>
      <c r="M546" t="str">
        <f>IFERROR(IF(OR(HLOOKUP($A546,#REF!,11,FALSE)&gt;2,HLOOKUP($A546,#REF!,11,FALSE)&lt;-2),"",#REF!),"")</f>
        <v/>
      </c>
      <c r="N546" t="str">
        <f>IFERROR(IF(OR(HLOOKUP($A546,#REF!,12,FALSE)&gt;2,HLOOKUP($A546,#REF!,12,FALSE)&lt;-2),"",#REF!),"")</f>
        <v/>
      </c>
      <c r="O546" t="str">
        <f>IFERROR(IF(OR(HLOOKUP($A546,#REF!,13,FALSE)&gt;2,HLOOKUP($A546,#REF!,13,FALSE)&lt;-2),"",#REF!),"")</f>
        <v/>
      </c>
      <c r="P546" t="str">
        <f>IFERROR(IF(OR(HLOOKUP($A546,#REF!,14,FALSE)&gt;2,HLOOKUP($A546,#REF!,14,FALSE)&lt;-2),"",#REF!),"")</f>
        <v/>
      </c>
      <c r="Q546" t="str">
        <f>IFERROR(IF(OR(HLOOKUP($A546,#REF!,15,FALSE)&gt;2,HLOOKUP($A546,#REF!,15,FALSE)&lt;-2),"",#REF!),"")</f>
        <v/>
      </c>
      <c r="R546" t="str">
        <f>IFERROR(IF(OR(HLOOKUP($A546,#REF!,16,FALSE)&gt;2,HLOOKUP($A546,#REF!,16,FALSE)&lt;-2),"",#REF!),"")</f>
        <v/>
      </c>
      <c r="S546" t="str">
        <f>IFERROR(IF(OR(HLOOKUP($A546,#REF!,17,FALSE)&gt;2,HLOOKUP($A546,#REF!,17,FALSE)&lt;-2),"",#REF!),"")</f>
        <v/>
      </c>
      <c r="T546" t="str">
        <f>IFERROR(IF(OR(HLOOKUP($A546,#REF!,18,FALSE)&gt;2,HLOOKUP($A546,#REF!,18,FALSE)&lt;-2),"",#REF!),"")</f>
        <v/>
      </c>
      <c r="U546" t="str">
        <f>IFERROR(IF(OR(HLOOKUP($A546,#REF!,19,FALSE)&gt;2,HLOOKUP($A546,#REF!,19,FALSE)&lt;-2),"",#REF!),"")</f>
        <v/>
      </c>
      <c r="V546">
        <f t="shared" si="32"/>
        <v>1</v>
      </c>
      <c r="W546" t="str">
        <f t="shared" si="33"/>
        <v/>
      </c>
      <c r="X546" t="str">
        <f t="shared" si="34"/>
        <v/>
      </c>
      <c r="Y546" t="str">
        <f t="shared" si="35"/>
        <v/>
      </c>
    </row>
    <row r="547" spans="1:25" x14ac:dyDescent="0.35">
      <c r="A547">
        <v>555</v>
      </c>
      <c r="B547" t="s">
        <v>884</v>
      </c>
      <c r="C547">
        <v>80600</v>
      </c>
      <c r="D547">
        <v>128</v>
      </c>
      <c r="E547" t="str">
        <f>IFERROR(IF(OR(HLOOKUP($A547,#REF!,3,FALSE)&gt;2,HLOOKUP(A547,#REF!,3,FALSE)&lt;-2),"",#REF!),"")</f>
        <v/>
      </c>
      <c r="F547" t="str">
        <f>IFERROR(IF(OR(HLOOKUP($A547,#REF!,4,FALSE)&gt;2,HLOOKUP($A547,#REF!,4,FALSE)&lt;-2),"",#REF!),"")</f>
        <v/>
      </c>
      <c r="G547" t="str">
        <f>IFERROR(IF(OR(HLOOKUP($A547,#REF!,5,FALSE)&gt;2,HLOOKUP($A547,#REF!,5,FALSE)&lt;-2),"",#REF!),"")</f>
        <v/>
      </c>
      <c r="H547" t="str">
        <f>IFERROR(IF(OR(HLOOKUP($A547,#REF!,6,FALSE)&gt;2,HLOOKUP($A547,#REF!,6,FALSE)&lt;-2),"",#REF!),"")</f>
        <v/>
      </c>
      <c r="I547" t="str">
        <f>IFERROR(IF(OR(HLOOKUP($A547,#REF!,7,FALSE)&gt;2,HLOOKUP($A547,#REF!,7,FALSE)&lt;-2),"",#REF!),"")</f>
        <v/>
      </c>
      <c r="J547" t="str">
        <f>IFERROR(IF(OR(HLOOKUP($A547,#REF!,8,FALSE)&gt;2,HLOOKUP($A547,#REF!,8,FALSE)&lt;-2),"",#REF!),"")</f>
        <v/>
      </c>
      <c r="K547" t="str">
        <f>IFERROR(IF(OR(HLOOKUP($A547,#REF!,9,FALSE)&gt;2,HLOOKUP($A547,#REF!,9,FALSE)&lt;-2),"",#REF!),"")</f>
        <v/>
      </c>
      <c r="L547" t="str">
        <f>IFERROR(IF(OR(HLOOKUP($A547,#REF!,10,FALSE)&gt;2,HLOOKUP($A547,#REF!,10,FALSE)&lt;-2),"",#REF!),"")</f>
        <v/>
      </c>
      <c r="M547" t="str">
        <f>IFERROR(IF(OR(HLOOKUP($A547,#REF!,11,FALSE)&gt;2,HLOOKUP($A547,#REF!,11,FALSE)&lt;-2),"",#REF!),"")</f>
        <v/>
      </c>
      <c r="N547" t="str">
        <f>IFERROR(IF(OR(HLOOKUP($A547,#REF!,12,FALSE)&gt;2,HLOOKUP($A547,#REF!,12,FALSE)&lt;-2),"",#REF!),"")</f>
        <v/>
      </c>
      <c r="O547" t="str">
        <f>IFERROR(IF(OR(HLOOKUP($A547,#REF!,13,FALSE)&gt;2,HLOOKUP($A547,#REF!,13,FALSE)&lt;-2),"",#REF!),"")</f>
        <v/>
      </c>
      <c r="P547" t="str">
        <f>IFERROR(IF(OR(HLOOKUP($A547,#REF!,14,FALSE)&gt;2,HLOOKUP($A547,#REF!,14,FALSE)&lt;-2),"",#REF!),"")</f>
        <v/>
      </c>
      <c r="Q547" t="str">
        <f>IFERROR(IF(OR(HLOOKUP($A547,#REF!,15,FALSE)&gt;2,HLOOKUP($A547,#REF!,15,FALSE)&lt;-2),"",#REF!),"")</f>
        <v/>
      </c>
      <c r="R547" t="str">
        <f>IFERROR(IF(OR(HLOOKUP($A547,#REF!,16,FALSE)&gt;2,HLOOKUP($A547,#REF!,16,FALSE)&lt;-2),"",#REF!),"")</f>
        <v/>
      </c>
      <c r="S547" t="str">
        <f>IFERROR(IF(OR(HLOOKUP($A547,#REF!,17,FALSE)&gt;2,HLOOKUP($A547,#REF!,17,FALSE)&lt;-2),"",#REF!),"")</f>
        <v/>
      </c>
      <c r="T547" t="str">
        <f>IFERROR(IF(OR(HLOOKUP($A547,#REF!,18,FALSE)&gt;2,HLOOKUP($A547,#REF!,18,FALSE)&lt;-2),"",#REF!),"")</f>
        <v/>
      </c>
      <c r="U547" t="str">
        <f>IFERROR(IF(OR(HLOOKUP($A547,#REF!,19,FALSE)&gt;2,HLOOKUP($A547,#REF!,19,FALSE)&lt;-2),"",#REF!),"")</f>
        <v/>
      </c>
      <c r="V547">
        <f t="shared" si="32"/>
        <v>1</v>
      </c>
      <c r="W547" t="str">
        <f t="shared" si="33"/>
        <v/>
      </c>
      <c r="X547" t="str">
        <f t="shared" si="34"/>
        <v/>
      </c>
      <c r="Y547" t="str">
        <f t="shared" si="35"/>
        <v/>
      </c>
    </row>
    <row r="548" spans="1:25" x14ac:dyDescent="0.35">
      <c r="A548">
        <v>556</v>
      </c>
      <c r="B548" t="s">
        <v>266</v>
      </c>
      <c r="C548">
        <v>8700</v>
      </c>
      <c r="D548">
        <v>44</v>
      </c>
      <c r="E548" t="str">
        <f>IFERROR(IF(OR(HLOOKUP($A548,#REF!,3,FALSE)&gt;2,HLOOKUP(A548,#REF!,3,FALSE)&lt;-2),"",#REF!),"")</f>
        <v/>
      </c>
      <c r="F548" t="str">
        <f>IFERROR(IF(OR(HLOOKUP($A548,#REF!,4,FALSE)&gt;2,HLOOKUP($A548,#REF!,4,FALSE)&lt;-2),"",#REF!),"")</f>
        <v/>
      </c>
      <c r="G548" t="str">
        <f>IFERROR(IF(OR(HLOOKUP($A548,#REF!,5,FALSE)&gt;2,HLOOKUP($A548,#REF!,5,FALSE)&lt;-2),"",#REF!),"")</f>
        <v/>
      </c>
      <c r="H548" t="str">
        <f>IFERROR(IF(OR(HLOOKUP($A548,#REF!,6,FALSE)&gt;2,HLOOKUP($A548,#REF!,6,FALSE)&lt;-2),"",#REF!),"")</f>
        <v/>
      </c>
      <c r="I548" t="str">
        <f>IFERROR(IF(OR(HLOOKUP($A548,#REF!,7,FALSE)&gt;2,HLOOKUP($A548,#REF!,7,FALSE)&lt;-2),"",#REF!),"")</f>
        <v/>
      </c>
      <c r="J548" t="str">
        <f>IFERROR(IF(OR(HLOOKUP($A548,#REF!,8,FALSE)&gt;2,HLOOKUP($A548,#REF!,8,FALSE)&lt;-2),"",#REF!),"")</f>
        <v/>
      </c>
      <c r="K548" t="str">
        <f>IFERROR(IF(OR(HLOOKUP($A548,#REF!,9,FALSE)&gt;2,HLOOKUP($A548,#REF!,9,FALSE)&lt;-2),"",#REF!),"")</f>
        <v/>
      </c>
      <c r="L548" t="str">
        <f>IFERROR(IF(OR(HLOOKUP($A548,#REF!,10,FALSE)&gt;2,HLOOKUP($A548,#REF!,10,FALSE)&lt;-2),"",#REF!),"")</f>
        <v/>
      </c>
      <c r="M548" t="str">
        <f>IFERROR(IF(OR(HLOOKUP($A548,#REF!,11,FALSE)&gt;2,HLOOKUP($A548,#REF!,11,FALSE)&lt;-2),"",#REF!),"")</f>
        <v/>
      </c>
      <c r="N548" t="str">
        <f>IFERROR(IF(OR(HLOOKUP($A548,#REF!,12,FALSE)&gt;2,HLOOKUP($A548,#REF!,12,FALSE)&lt;-2),"",#REF!),"")</f>
        <v/>
      </c>
      <c r="O548" t="str">
        <f>IFERROR(IF(OR(HLOOKUP($A548,#REF!,13,FALSE)&gt;2,HLOOKUP($A548,#REF!,13,FALSE)&lt;-2),"",#REF!),"")</f>
        <v/>
      </c>
      <c r="P548" t="str">
        <f>IFERROR(IF(OR(HLOOKUP($A548,#REF!,14,FALSE)&gt;2,HLOOKUP($A548,#REF!,14,FALSE)&lt;-2),"",#REF!),"")</f>
        <v/>
      </c>
      <c r="Q548" t="str">
        <f>IFERROR(IF(OR(HLOOKUP($A548,#REF!,15,FALSE)&gt;2,HLOOKUP($A548,#REF!,15,FALSE)&lt;-2),"",#REF!),"")</f>
        <v/>
      </c>
      <c r="R548" t="str">
        <f>IFERROR(IF(OR(HLOOKUP($A548,#REF!,16,FALSE)&gt;2,HLOOKUP($A548,#REF!,16,FALSE)&lt;-2),"",#REF!),"")</f>
        <v/>
      </c>
      <c r="S548" t="str">
        <f>IFERROR(IF(OR(HLOOKUP($A548,#REF!,17,FALSE)&gt;2,HLOOKUP($A548,#REF!,17,FALSE)&lt;-2),"",#REF!),"")</f>
        <v/>
      </c>
      <c r="T548" t="str">
        <f>IFERROR(IF(OR(HLOOKUP($A548,#REF!,18,FALSE)&gt;2,HLOOKUP($A548,#REF!,18,FALSE)&lt;-2),"",#REF!),"")</f>
        <v/>
      </c>
      <c r="U548" t="str">
        <f>IFERROR(IF(OR(HLOOKUP($A548,#REF!,19,FALSE)&gt;2,HLOOKUP($A548,#REF!,19,FALSE)&lt;-2),"",#REF!),"")</f>
        <v/>
      </c>
      <c r="V548">
        <f t="shared" si="32"/>
        <v>1</v>
      </c>
      <c r="W548" t="str">
        <f t="shared" si="33"/>
        <v/>
      </c>
      <c r="X548" t="str">
        <f t="shared" si="34"/>
        <v/>
      </c>
      <c r="Y548" t="str">
        <f t="shared" si="35"/>
        <v/>
      </c>
    </row>
    <row r="549" spans="1:25" x14ac:dyDescent="0.35">
      <c r="A549">
        <v>557</v>
      </c>
      <c r="B549" t="s">
        <v>885</v>
      </c>
      <c r="C549">
        <v>75300</v>
      </c>
      <c r="D549">
        <v>331</v>
      </c>
      <c r="E549" t="str">
        <f>IFERROR(IF(OR(HLOOKUP($A549,#REF!,3,FALSE)&gt;2,HLOOKUP(A549,#REF!,3,FALSE)&lt;-2),"",#REF!),"")</f>
        <v/>
      </c>
      <c r="F549" t="str">
        <f>IFERROR(IF(OR(HLOOKUP($A549,#REF!,4,FALSE)&gt;2,HLOOKUP($A549,#REF!,4,FALSE)&lt;-2),"",#REF!),"")</f>
        <v/>
      </c>
      <c r="G549" t="str">
        <f>IFERROR(IF(OR(HLOOKUP($A549,#REF!,5,FALSE)&gt;2,HLOOKUP($A549,#REF!,5,FALSE)&lt;-2),"",#REF!),"")</f>
        <v/>
      </c>
      <c r="H549" t="str">
        <f>IFERROR(IF(OR(HLOOKUP($A549,#REF!,6,FALSE)&gt;2,HLOOKUP($A549,#REF!,6,FALSE)&lt;-2),"",#REF!),"")</f>
        <v/>
      </c>
      <c r="I549" t="str">
        <f>IFERROR(IF(OR(HLOOKUP($A549,#REF!,7,FALSE)&gt;2,HLOOKUP($A549,#REF!,7,FALSE)&lt;-2),"",#REF!),"")</f>
        <v/>
      </c>
      <c r="J549" t="str">
        <f>IFERROR(IF(OR(HLOOKUP($A549,#REF!,8,FALSE)&gt;2,HLOOKUP($A549,#REF!,8,FALSE)&lt;-2),"",#REF!),"")</f>
        <v/>
      </c>
      <c r="K549" t="str">
        <f>IFERROR(IF(OR(HLOOKUP($A549,#REF!,9,FALSE)&gt;2,HLOOKUP($A549,#REF!,9,FALSE)&lt;-2),"",#REF!),"")</f>
        <v/>
      </c>
      <c r="L549" t="str">
        <f>IFERROR(IF(OR(HLOOKUP($A549,#REF!,10,FALSE)&gt;2,HLOOKUP($A549,#REF!,10,FALSE)&lt;-2),"",#REF!),"")</f>
        <v/>
      </c>
      <c r="M549" t="str">
        <f>IFERROR(IF(OR(HLOOKUP($A549,#REF!,11,FALSE)&gt;2,HLOOKUP($A549,#REF!,11,FALSE)&lt;-2),"",#REF!),"")</f>
        <v/>
      </c>
      <c r="N549" t="str">
        <f>IFERROR(IF(OR(HLOOKUP($A549,#REF!,12,FALSE)&gt;2,HLOOKUP($A549,#REF!,12,FALSE)&lt;-2),"",#REF!),"")</f>
        <v/>
      </c>
      <c r="O549" t="str">
        <f>IFERROR(IF(OR(HLOOKUP($A549,#REF!,13,FALSE)&gt;2,HLOOKUP($A549,#REF!,13,FALSE)&lt;-2),"",#REF!),"")</f>
        <v/>
      </c>
      <c r="P549" t="str">
        <f>IFERROR(IF(OR(HLOOKUP($A549,#REF!,14,FALSE)&gt;2,HLOOKUP($A549,#REF!,14,FALSE)&lt;-2),"",#REF!),"")</f>
        <v/>
      </c>
      <c r="Q549" t="str">
        <f>IFERROR(IF(OR(HLOOKUP($A549,#REF!,15,FALSE)&gt;2,HLOOKUP($A549,#REF!,15,FALSE)&lt;-2),"",#REF!),"")</f>
        <v/>
      </c>
      <c r="R549" t="str">
        <f>IFERROR(IF(OR(HLOOKUP($A549,#REF!,16,FALSE)&gt;2,HLOOKUP($A549,#REF!,16,FALSE)&lt;-2),"",#REF!),"")</f>
        <v/>
      </c>
      <c r="S549" t="str">
        <f>IFERROR(IF(OR(HLOOKUP($A549,#REF!,17,FALSE)&gt;2,HLOOKUP($A549,#REF!,17,FALSE)&lt;-2),"",#REF!),"")</f>
        <v/>
      </c>
      <c r="T549" t="str">
        <f>IFERROR(IF(OR(HLOOKUP($A549,#REF!,18,FALSE)&gt;2,HLOOKUP($A549,#REF!,18,FALSE)&lt;-2),"",#REF!),"")</f>
        <v/>
      </c>
      <c r="U549" t="str">
        <f>IFERROR(IF(OR(HLOOKUP($A549,#REF!,19,FALSE)&gt;2,HLOOKUP($A549,#REF!,19,FALSE)&lt;-2),"",#REF!),"")</f>
        <v/>
      </c>
      <c r="V549">
        <f t="shared" si="32"/>
        <v>1</v>
      </c>
      <c r="W549" t="str">
        <f t="shared" si="33"/>
        <v/>
      </c>
      <c r="X549" t="str">
        <f t="shared" si="34"/>
        <v/>
      </c>
      <c r="Y549" t="str">
        <f t="shared" si="35"/>
        <v/>
      </c>
    </row>
    <row r="550" spans="1:25" x14ac:dyDescent="0.35">
      <c r="A550">
        <v>558</v>
      </c>
      <c r="B550" t="s">
        <v>267</v>
      </c>
      <c r="C550">
        <v>3600</v>
      </c>
      <c r="D550">
        <v>353</v>
      </c>
      <c r="E550" t="str">
        <f>IFERROR(IF(OR(HLOOKUP($A550,#REF!,3,FALSE)&gt;2,HLOOKUP(A550,#REF!,3,FALSE)&lt;-2),"",#REF!),"")</f>
        <v/>
      </c>
      <c r="F550" t="str">
        <f>IFERROR(IF(OR(HLOOKUP($A550,#REF!,4,FALSE)&gt;2,HLOOKUP($A550,#REF!,4,FALSE)&lt;-2),"",#REF!),"")</f>
        <v/>
      </c>
      <c r="G550" t="str">
        <f>IFERROR(IF(OR(HLOOKUP($A550,#REF!,5,FALSE)&gt;2,HLOOKUP($A550,#REF!,5,FALSE)&lt;-2),"",#REF!),"")</f>
        <v/>
      </c>
      <c r="H550" t="str">
        <f>IFERROR(IF(OR(HLOOKUP($A550,#REF!,6,FALSE)&gt;2,HLOOKUP($A550,#REF!,6,FALSE)&lt;-2),"",#REF!),"")</f>
        <v/>
      </c>
      <c r="I550" t="str">
        <f>IFERROR(IF(OR(HLOOKUP($A550,#REF!,7,FALSE)&gt;2,HLOOKUP($A550,#REF!,7,FALSE)&lt;-2),"",#REF!),"")</f>
        <v/>
      </c>
      <c r="J550" t="str">
        <f>IFERROR(IF(OR(HLOOKUP($A550,#REF!,8,FALSE)&gt;2,HLOOKUP($A550,#REF!,8,FALSE)&lt;-2),"",#REF!),"")</f>
        <v/>
      </c>
      <c r="K550" t="str">
        <f>IFERROR(IF(OR(HLOOKUP($A550,#REF!,9,FALSE)&gt;2,HLOOKUP($A550,#REF!,9,FALSE)&lt;-2),"",#REF!),"")</f>
        <v/>
      </c>
      <c r="L550" t="str">
        <f>IFERROR(IF(OR(HLOOKUP($A550,#REF!,10,FALSE)&gt;2,HLOOKUP($A550,#REF!,10,FALSE)&lt;-2),"",#REF!),"")</f>
        <v/>
      </c>
      <c r="M550" t="str">
        <f>IFERROR(IF(OR(HLOOKUP($A550,#REF!,11,FALSE)&gt;2,HLOOKUP($A550,#REF!,11,FALSE)&lt;-2),"",#REF!),"")</f>
        <v/>
      </c>
      <c r="N550" t="str">
        <f>IFERROR(IF(OR(HLOOKUP($A550,#REF!,12,FALSE)&gt;2,HLOOKUP($A550,#REF!,12,FALSE)&lt;-2),"",#REF!),"")</f>
        <v/>
      </c>
      <c r="O550" t="str">
        <f>IFERROR(IF(OR(HLOOKUP($A550,#REF!,13,FALSE)&gt;2,HLOOKUP($A550,#REF!,13,FALSE)&lt;-2),"",#REF!),"")</f>
        <v/>
      </c>
      <c r="P550" t="str">
        <f>IFERROR(IF(OR(HLOOKUP($A550,#REF!,14,FALSE)&gt;2,HLOOKUP($A550,#REF!,14,FALSE)&lt;-2),"",#REF!),"")</f>
        <v/>
      </c>
      <c r="Q550" t="str">
        <f>IFERROR(IF(OR(HLOOKUP($A550,#REF!,15,FALSE)&gt;2,HLOOKUP($A550,#REF!,15,FALSE)&lt;-2),"",#REF!),"")</f>
        <v/>
      </c>
      <c r="R550" t="str">
        <f>IFERROR(IF(OR(HLOOKUP($A550,#REF!,16,FALSE)&gt;2,HLOOKUP($A550,#REF!,16,FALSE)&lt;-2),"",#REF!),"")</f>
        <v/>
      </c>
      <c r="S550" t="str">
        <f>IFERROR(IF(OR(HLOOKUP($A550,#REF!,17,FALSE)&gt;2,HLOOKUP($A550,#REF!,17,FALSE)&lt;-2),"",#REF!),"")</f>
        <v/>
      </c>
      <c r="T550" t="str">
        <f>IFERROR(IF(OR(HLOOKUP($A550,#REF!,18,FALSE)&gt;2,HLOOKUP($A550,#REF!,18,FALSE)&lt;-2),"",#REF!),"")</f>
        <v/>
      </c>
      <c r="U550" t="str">
        <f>IFERROR(IF(OR(HLOOKUP($A550,#REF!,19,FALSE)&gt;2,HLOOKUP($A550,#REF!,19,FALSE)&lt;-2),"",#REF!),"")</f>
        <v/>
      </c>
      <c r="V550">
        <f t="shared" si="32"/>
        <v>1</v>
      </c>
      <c r="W550" t="str">
        <f t="shared" si="33"/>
        <v/>
      </c>
      <c r="X550" t="str">
        <f t="shared" si="34"/>
        <v/>
      </c>
      <c r="Y550" t="str">
        <f t="shared" si="35"/>
        <v/>
      </c>
    </row>
    <row r="551" spans="1:25" x14ac:dyDescent="0.35">
      <c r="A551">
        <v>559</v>
      </c>
      <c r="B551" t="s">
        <v>886</v>
      </c>
      <c r="C551">
        <v>50600</v>
      </c>
      <c r="D551">
        <v>536</v>
      </c>
      <c r="E551" t="str">
        <f>IFERROR(IF(OR(HLOOKUP($A551,#REF!,3,FALSE)&gt;2,HLOOKUP(A551,#REF!,3,FALSE)&lt;-2),"",#REF!),"")</f>
        <v/>
      </c>
      <c r="F551" t="str">
        <f>IFERROR(IF(OR(HLOOKUP($A551,#REF!,4,FALSE)&gt;2,HLOOKUP($A551,#REF!,4,FALSE)&lt;-2),"",#REF!),"")</f>
        <v/>
      </c>
      <c r="G551" t="str">
        <f>IFERROR(IF(OR(HLOOKUP($A551,#REF!,5,FALSE)&gt;2,HLOOKUP($A551,#REF!,5,FALSE)&lt;-2),"",#REF!),"")</f>
        <v/>
      </c>
      <c r="H551" t="str">
        <f>IFERROR(IF(OR(HLOOKUP($A551,#REF!,6,FALSE)&gt;2,HLOOKUP($A551,#REF!,6,FALSE)&lt;-2),"",#REF!),"")</f>
        <v/>
      </c>
      <c r="I551" t="str">
        <f>IFERROR(IF(OR(HLOOKUP($A551,#REF!,7,FALSE)&gt;2,HLOOKUP($A551,#REF!,7,FALSE)&lt;-2),"",#REF!),"")</f>
        <v/>
      </c>
      <c r="J551" t="str">
        <f>IFERROR(IF(OR(HLOOKUP($A551,#REF!,8,FALSE)&gt;2,HLOOKUP($A551,#REF!,8,FALSE)&lt;-2),"",#REF!),"")</f>
        <v/>
      </c>
      <c r="K551" t="str">
        <f>IFERROR(IF(OR(HLOOKUP($A551,#REF!,9,FALSE)&gt;2,HLOOKUP($A551,#REF!,9,FALSE)&lt;-2),"",#REF!),"")</f>
        <v/>
      </c>
      <c r="L551" t="str">
        <f>IFERROR(IF(OR(HLOOKUP($A551,#REF!,10,FALSE)&gt;2,HLOOKUP($A551,#REF!,10,FALSE)&lt;-2),"",#REF!),"")</f>
        <v/>
      </c>
      <c r="M551" t="str">
        <f>IFERROR(IF(OR(HLOOKUP($A551,#REF!,11,FALSE)&gt;2,HLOOKUP($A551,#REF!,11,FALSE)&lt;-2),"",#REF!),"")</f>
        <v/>
      </c>
      <c r="N551" t="str">
        <f>IFERROR(IF(OR(HLOOKUP($A551,#REF!,12,FALSE)&gt;2,HLOOKUP($A551,#REF!,12,FALSE)&lt;-2),"",#REF!),"")</f>
        <v/>
      </c>
      <c r="O551" t="str">
        <f>IFERROR(IF(OR(HLOOKUP($A551,#REF!,13,FALSE)&gt;2,HLOOKUP($A551,#REF!,13,FALSE)&lt;-2),"",#REF!),"")</f>
        <v/>
      </c>
      <c r="P551" t="str">
        <f>IFERROR(IF(OR(HLOOKUP($A551,#REF!,14,FALSE)&gt;2,HLOOKUP($A551,#REF!,14,FALSE)&lt;-2),"",#REF!),"")</f>
        <v/>
      </c>
      <c r="Q551" t="str">
        <f>IFERROR(IF(OR(HLOOKUP($A551,#REF!,15,FALSE)&gt;2,HLOOKUP($A551,#REF!,15,FALSE)&lt;-2),"",#REF!),"")</f>
        <v/>
      </c>
      <c r="R551" t="str">
        <f>IFERROR(IF(OR(HLOOKUP($A551,#REF!,16,FALSE)&gt;2,HLOOKUP($A551,#REF!,16,FALSE)&lt;-2),"",#REF!),"")</f>
        <v/>
      </c>
      <c r="S551" t="str">
        <f>IFERROR(IF(OR(HLOOKUP($A551,#REF!,17,FALSE)&gt;2,HLOOKUP($A551,#REF!,17,FALSE)&lt;-2),"",#REF!),"")</f>
        <v/>
      </c>
      <c r="T551" t="str">
        <f>IFERROR(IF(OR(HLOOKUP($A551,#REF!,18,FALSE)&gt;2,HLOOKUP($A551,#REF!,18,FALSE)&lt;-2),"",#REF!),"")</f>
        <v/>
      </c>
      <c r="U551" t="str">
        <f>IFERROR(IF(OR(HLOOKUP($A551,#REF!,19,FALSE)&gt;2,HLOOKUP($A551,#REF!,19,FALSE)&lt;-2),"",#REF!),"")</f>
        <v/>
      </c>
      <c r="V551">
        <f t="shared" si="32"/>
        <v>1</v>
      </c>
      <c r="W551" t="str">
        <f t="shared" si="33"/>
        <v/>
      </c>
      <c r="X551" t="str">
        <f t="shared" si="34"/>
        <v/>
      </c>
      <c r="Y551" t="str">
        <f t="shared" si="35"/>
        <v/>
      </c>
    </row>
    <row r="552" spans="1:25" x14ac:dyDescent="0.35">
      <c r="A552">
        <v>560</v>
      </c>
      <c r="B552" t="s">
        <v>887</v>
      </c>
      <c r="C552">
        <v>89900</v>
      </c>
      <c r="D552">
        <v>607</v>
      </c>
      <c r="E552" t="str">
        <f>IFERROR(IF(OR(HLOOKUP($A552,#REF!,3,FALSE)&gt;2,HLOOKUP(A552,#REF!,3,FALSE)&lt;-2),"",#REF!),"")</f>
        <v/>
      </c>
      <c r="F552" t="str">
        <f>IFERROR(IF(OR(HLOOKUP($A552,#REF!,4,FALSE)&gt;2,HLOOKUP($A552,#REF!,4,FALSE)&lt;-2),"",#REF!),"")</f>
        <v/>
      </c>
      <c r="G552" t="str">
        <f>IFERROR(IF(OR(HLOOKUP($A552,#REF!,5,FALSE)&gt;2,HLOOKUP($A552,#REF!,5,FALSE)&lt;-2),"",#REF!),"")</f>
        <v/>
      </c>
      <c r="H552" t="str">
        <f>IFERROR(IF(OR(HLOOKUP($A552,#REF!,6,FALSE)&gt;2,HLOOKUP($A552,#REF!,6,FALSE)&lt;-2),"",#REF!),"")</f>
        <v/>
      </c>
      <c r="I552" t="str">
        <f>IFERROR(IF(OR(HLOOKUP($A552,#REF!,7,FALSE)&gt;2,HLOOKUP($A552,#REF!,7,FALSE)&lt;-2),"",#REF!),"")</f>
        <v/>
      </c>
      <c r="J552" t="str">
        <f>IFERROR(IF(OR(HLOOKUP($A552,#REF!,8,FALSE)&gt;2,HLOOKUP($A552,#REF!,8,FALSE)&lt;-2),"",#REF!),"")</f>
        <v/>
      </c>
      <c r="K552" t="str">
        <f>IFERROR(IF(OR(HLOOKUP($A552,#REF!,9,FALSE)&gt;2,HLOOKUP($A552,#REF!,9,FALSE)&lt;-2),"",#REF!),"")</f>
        <v/>
      </c>
      <c r="L552" t="str">
        <f>IFERROR(IF(OR(HLOOKUP($A552,#REF!,10,FALSE)&gt;2,HLOOKUP($A552,#REF!,10,FALSE)&lt;-2),"",#REF!),"")</f>
        <v/>
      </c>
      <c r="M552" t="str">
        <f>IFERROR(IF(OR(HLOOKUP($A552,#REF!,11,FALSE)&gt;2,HLOOKUP($A552,#REF!,11,FALSE)&lt;-2),"",#REF!),"")</f>
        <v/>
      </c>
      <c r="N552" t="str">
        <f>IFERROR(IF(OR(HLOOKUP($A552,#REF!,12,FALSE)&gt;2,HLOOKUP($A552,#REF!,12,FALSE)&lt;-2),"",#REF!),"")</f>
        <v/>
      </c>
      <c r="O552" t="str">
        <f>IFERROR(IF(OR(HLOOKUP($A552,#REF!,13,FALSE)&gt;2,HLOOKUP($A552,#REF!,13,FALSE)&lt;-2),"",#REF!),"")</f>
        <v/>
      </c>
      <c r="P552" t="str">
        <f>IFERROR(IF(OR(HLOOKUP($A552,#REF!,14,FALSE)&gt;2,HLOOKUP($A552,#REF!,14,FALSE)&lt;-2),"",#REF!),"")</f>
        <v/>
      </c>
      <c r="Q552" t="str">
        <f>IFERROR(IF(OR(HLOOKUP($A552,#REF!,15,FALSE)&gt;2,HLOOKUP($A552,#REF!,15,FALSE)&lt;-2),"",#REF!),"")</f>
        <v/>
      </c>
      <c r="R552" t="str">
        <f>IFERROR(IF(OR(HLOOKUP($A552,#REF!,16,FALSE)&gt;2,HLOOKUP($A552,#REF!,16,FALSE)&lt;-2),"",#REF!),"")</f>
        <v/>
      </c>
      <c r="S552" t="str">
        <f>IFERROR(IF(OR(HLOOKUP($A552,#REF!,17,FALSE)&gt;2,HLOOKUP($A552,#REF!,17,FALSE)&lt;-2),"",#REF!),"")</f>
        <v/>
      </c>
      <c r="T552" t="str">
        <f>IFERROR(IF(OR(HLOOKUP($A552,#REF!,18,FALSE)&gt;2,HLOOKUP($A552,#REF!,18,FALSE)&lt;-2),"",#REF!),"")</f>
        <v/>
      </c>
      <c r="U552" t="str">
        <f>IFERROR(IF(OR(HLOOKUP($A552,#REF!,19,FALSE)&gt;2,HLOOKUP($A552,#REF!,19,FALSE)&lt;-2),"",#REF!),"")</f>
        <v/>
      </c>
      <c r="V552">
        <f t="shared" si="32"/>
        <v>1</v>
      </c>
      <c r="W552" t="str">
        <f t="shared" si="33"/>
        <v/>
      </c>
      <c r="X552" t="str">
        <f t="shared" si="34"/>
        <v/>
      </c>
      <c r="Y552" t="str">
        <f t="shared" si="35"/>
        <v/>
      </c>
    </row>
    <row r="553" spans="1:25" x14ac:dyDescent="0.35">
      <c r="A553">
        <v>561</v>
      </c>
      <c r="B553" t="s">
        <v>888</v>
      </c>
      <c r="C553">
        <v>13600</v>
      </c>
      <c r="D553">
        <v>669</v>
      </c>
      <c r="E553" t="str">
        <f>IFERROR(IF(OR(HLOOKUP($A553,#REF!,3,FALSE)&gt;2,HLOOKUP(A553,#REF!,3,FALSE)&lt;-2),"",#REF!),"")</f>
        <v/>
      </c>
      <c r="F553" t="str">
        <f>IFERROR(IF(OR(HLOOKUP($A553,#REF!,4,FALSE)&gt;2,HLOOKUP($A553,#REF!,4,FALSE)&lt;-2),"",#REF!),"")</f>
        <v/>
      </c>
      <c r="G553" t="str">
        <f>IFERROR(IF(OR(HLOOKUP($A553,#REF!,5,FALSE)&gt;2,HLOOKUP($A553,#REF!,5,FALSE)&lt;-2),"",#REF!),"")</f>
        <v/>
      </c>
      <c r="H553" t="str">
        <f>IFERROR(IF(OR(HLOOKUP($A553,#REF!,6,FALSE)&gt;2,HLOOKUP($A553,#REF!,6,FALSE)&lt;-2),"",#REF!),"")</f>
        <v/>
      </c>
      <c r="I553" t="str">
        <f>IFERROR(IF(OR(HLOOKUP($A553,#REF!,7,FALSE)&gt;2,HLOOKUP($A553,#REF!,7,FALSE)&lt;-2),"",#REF!),"")</f>
        <v/>
      </c>
      <c r="J553" t="str">
        <f>IFERROR(IF(OR(HLOOKUP($A553,#REF!,8,FALSE)&gt;2,HLOOKUP($A553,#REF!,8,FALSE)&lt;-2),"",#REF!),"")</f>
        <v/>
      </c>
      <c r="K553" t="str">
        <f>IFERROR(IF(OR(HLOOKUP($A553,#REF!,9,FALSE)&gt;2,HLOOKUP($A553,#REF!,9,FALSE)&lt;-2),"",#REF!),"")</f>
        <v/>
      </c>
      <c r="L553" t="str">
        <f>IFERROR(IF(OR(HLOOKUP($A553,#REF!,10,FALSE)&gt;2,HLOOKUP($A553,#REF!,10,FALSE)&lt;-2),"",#REF!),"")</f>
        <v/>
      </c>
      <c r="M553" t="str">
        <f>IFERROR(IF(OR(HLOOKUP($A553,#REF!,11,FALSE)&gt;2,HLOOKUP($A553,#REF!,11,FALSE)&lt;-2),"",#REF!),"")</f>
        <v/>
      </c>
      <c r="N553" t="str">
        <f>IFERROR(IF(OR(HLOOKUP($A553,#REF!,12,FALSE)&gt;2,HLOOKUP($A553,#REF!,12,FALSE)&lt;-2),"",#REF!),"")</f>
        <v/>
      </c>
      <c r="O553" t="str">
        <f>IFERROR(IF(OR(HLOOKUP($A553,#REF!,13,FALSE)&gt;2,HLOOKUP($A553,#REF!,13,FALSE)&lt;-2),"",#REF!),"")</f>
        <v/>
      </c>
      <c r="P553" t="str">
        <f>IFERROR(IF(OR(HLOOKUP($A553,#REF!,14,FALSE)&gt;2,HLOOKUP($A553,#REF!,14,FALSE)&lt;-2),"",#REF!),"")</f>
        <v/>
      </c>
      <c r="Q553" t="str">
        <f>IFERROR(IF(OR(HLOOKUP($A553,#REF!,15,FALSE)&gt;2,HLOOKUP($A553,#REF!,15,FALSE)&lt;-2),"",#REF!),"")</f>
        <v/>
      </c>
      <c r="R553" t="str">
        <f>IFERROR(IF(OR(HLOOKUP($A553,#REF!,16,FALSE)&gt;2,HLOOKUP($A553,#REF!,16,FALSE)&lt;-2),"",#REF!),"")</f>
        <v/>
      </c>
      <c r="S553" t="str">
        <f>IFERROR(IF(OR(HLOOKUP($A553,#REF!,17,FALSE)&gt;2,HLOOKUP($A553,#REF!,17,FALSE)&lt;-2),"",#REF!),"")</f>
        <v/>
      </c>
      <c r="T553" t="str">
        <f>IFERROR(IF(OR(HLOOKUP($A553,#REF!,18,FALSE)&gt;2,HLOOKUP($A553,#REF!,18,FALSE)&lt;-2),"",#REF!),"")</f>
        <v/>
      </c>
      <c r="U553" t="str">
        <f>IFERROR(IF(OR(HLOOKUP($A553,#REF!,19,FALSE)&gt;2,HLOOKUP($A553,#REF!,19,FALSE)&lt;-2),"",#REF!),"")</f>
        <v/>
      </c>
      <c r="V553">
        <f t="shared" si="32"/>
        <v>1</v>
      </c>
      <c r="W553" t="str">
        <f t="shared" si="33"/>
        <v/>
      </c>
      <c r="X553" t="str">
        <f t="shared" si="34"/>
        <v/>
      </c>
      <c r="Y553" t="str">
        <f t="shared" si="35"/>
        <v/>
      </c>
    </row>
    <row r="554" spans="1:25" x14ac:dyDescent="0.35">
      <c r="A554">
        <v>562</v>
      </c>
      <c r="B554" t="s">
        <v>889</v>
      </c>
      <c r="C554">
        <v>53800</v>
      </c>
      <c r="D554">
        <v>359</v>
      </c>
      <c r="E554" t="str">
        <f>IFERROR(IF(OR(HLOOKUP($A554,#REF!,3,FALSE)&gt;2,HLOOKUP(A554,#REF!,3,FALSE)&lt;-2),"",#REF!),"")</f>
        <v/>
      </c>
      <c r="F554" t="str">
        <f>IFERROR(IF(OR(HLOOKUP($A554,#REF!,4,FALSE)&gt;2,HLOOKUP($A554,#REF!,4,FALSE)&lt;-2),"",#REF!),"")</f>
        <v/>
      </c>
      <c r="G554" t="str">
        <f>IFERROR(IF(OR(HLOOKUP($A554,#REF!,5,FALSE)&gt;2,HLOOKUP($A554,#REF!,5,FALSE)&lt;-2),"",#REF!),"")</f>
        <v/>
      </c>
      <c r="H554" t="str">
        <f>IFERROR(IF(OR(HLOOKUP($A554,#REF!,6,FALSE)&gt;2,HLOOKUP($A554,#REF!,6,FALSE)&lt;-2),"",#REF!),"")</f>
        <v/>
      </c>
      <c r="I554" t="str">
        <f>IFERROR(IF(OR(HLOOKUP($A554,#REF!,7,FALSE)&gt;2,HLOOKUP($A554,#REF!,7,FALSE)&lt;-2),"",#REF!),"")</f>
        <v/>
      </c>
      <c r="J554" t="str">
        <f>IFERROR(IF(OR(HLOOKUP($A554,#REF!,8,FALSE)&gt;2,HLOOKUP($A554,#REF!,8,FALSE)&lt;-2),"",#REF!),"")</f>
        <v/>
      </c>
      <c r="K554" t="str">
        <f>IFERROR(IF(OR(HLOOKUP($A554,#REF!,9,FALSE)&gt;2,HLOOKUP($A554,#REF!,9,FALSE)&lt;-2),"",#REF!),"")</f>
        <v/>
      </c>
      <c r="L554" t="str">
        <f>IFERROR(IF(OR(HLOOKUP($A554,#REF!,10,FALSE)&gt;2,HLOOKUP($A554,#REF!,10,FALSE)&lt;-2),"",#REF!),"")</f>
        <v/>
      </c>
      <c r="M554" t="str">
        <f>IFERROR(IF(OR(HLOOKUP($A554,#REF!,11,FALSE)&gt;2,HLOOKUP($A554,#REF!,11,FALSE)&lt;-2),"",#REF!),"")</f>
        <v/>
      </c>
      <c r="N554" t="str">
        <f>IFERROR(IF(OR(HLOOKUP($A554,#REF!,12,FALSE)&gt;2,HLOOKUP($A554,#REF!,12,FALSE)&lt;-2),"",#REF!),"")</f>
        <v/>
      </c>
      <c r="O554" t="str">
        <f>IFERROR(IF(OR(HLOOKUP($A554,#REF!,13,FALSE)&gt;2,HLOOKUP($A554,#REF!,13,FALSE)&lt;-2),"",#REF!),"")</f>
        <v/>
      </c>
      <c r="P554" t="str">
        <f>IFERROR(IF(OR(HLOOKUP($A554,#REF!,14,FALSE)&gt;2,HLOOKUP($A554,#REF!,14,FALSE)&lt;-2),"",#REF!),"")</f>
        <v/>
      </c>
      <c r="Q554" t="str">
        <f>IFERROR(IF(OR(HLOOKUP($A554,#REF!,15,FALSE)&gt;2,HLOOKUP($A554,#REF!,15,FALSE)&lt;-2),"",#REF!),"")</f>
        <v/>
      </c>
      <c r="R554" t="str">
        <f>IFERROR(IF(OR(HLOOKUP($A554,#REF!,16,FALSE)&gt;2,HLOOKUP($A554,#REF!,16,FALSE)&lt;-2),"",#REF!),"")</f>
        <v/>
      </c>
      <c r="S554" t="str">
        <f>IFERROR(IF(OR(HLOOKUP($A554,#REF!,17,FALSE)&gt;2,HLOOKUP($A554,#REF!,17,FALSE)&lt;-2),"",#REF!),"")</f>
        <v/>
      </c>
      <c r="T554" t="str">
        <f>IFERROR(IF(OR(HLOOKUP($A554,#REF!,18,FALSE)&gt;2,HLOOKUP($A554,#REF!,18,FALSE)&lt;-2),"",#REF!),"")</f>
        <v/>
      </c>
      <c r="U554" t="str">
        <f>IFERROR(IF(OR(HLOOKUP($A554,#REF!,19,FALSE)&gt;2,HLOOKUP($A554,#REF!,19,FALSE)&lt;-2),"",#REF!),"")</f>
        <v/>
      </c>
      <c r="V554">
        <f t="shared" si="32"/>
        <v>1</v>
      </c>
      <c r="W554" t="str">
        <f t="shared" si="33"/>
        <v/>
      </c>
      <c r="X554" t="str">
        <f t="shared" si="34"/>
        <v/>
      </c>
      <c r="Y554" t="str">
        <f t="shared" si="35"/>
        <v/>
      </c>
    </row>
    <row r="555" spans="1:25" x14ac:dyDescent="0.35">
      <c r="A555">
        <v>563</v>
      </c>
      <c r="B555" t="s">
        <v>890</v>
      </c>
      <c r="C555">
        <v>115700</v>
      </c>
      <c r="D555">
        <v>70</v>
      </c>
      <c r="E555" t="str">
        <f>IFERROR(IF(OR(HLOOKUP($A555,#REF!,3,FALSE)&gt;2,HLOOKUP(A555,#REF!,3,FALSE)&lt;-2),"",#REF!),"")</f>
        <v/>
      </c>
      <c r="F555" t="str">
        <f>IFERROR(IF(OR(HLOOKUP($A555,#REF!,4,FALSE)&gt;2,HLOOKUP($A555,#REF!,4,FALSE)&lt;-2),"",#REF!),"")</f>
        <v/>
      </c>
      <c r="G555" t="str">
        <f>IFERROR(IF(OR(HLOOKUP($A555,#REF!,5,FALSE)&gt;2,HLOOKUP($A555,#REF!,5,FALSE)&lt;-2),"",#REF!),"")</f>
        <v/>
      </c>
      <c r="H555" t="str">
        <f>IFERROR(IF(OR(HLOOKUP($A555,#REF!,6,FALSE)&gt;2,HLOOKUP($A555,#REF!,6,FALSE)&lt;-2),"",#REF!),"")</f>
        <v/>
      </c>
      <c r="I555" t="str">
        <f>IFERROR(IF(OR(HLOOKUP($A555,#REF!,7,FALSE)&gt;2,HLOOKUP($A555,#REF!,7,FALSE)&lt;-2),"",#REF!),"")</f>
        <v/>
      </c>
      <c r="J555" t="str">
        <f>IFERROR(IF(OR(HLOOKUP($A555,#REF!,8,FALSE)&gt;2,HLOOKUP($A555,#REF!,8,FALSE)&lt;-2),"",#REF!),"")</f>
        <v/>
      </c>
      <c r="K555" t="str">
        <f>IFERROR(IF(OR(HLOOKUP($A555,#REF!,9,FALSE)&gt;2,HLOOKUP($A555,#REF!,9,FALSE)&lt;-2),"",#REF!),"")</f>
        <v/>
      </c>
      <c r="L555" t="str">
        <f>IFERROR(IF(OR(HLOOKUP($A555,#REF!,10,FALSE)&gt;2,HLOOKUP($A555,#REF!,10,FALSE)&lt;-2),"",#REF!),"")</f>
        <v/>
      </c>
      <c r="M555" t="str">
        <f>IFERROR(IF(OR(HLOOKUP($A555,#REF!,11,FALSE)&gt;2,HLOOKUP($A555,#REF!,11,FALSE)&lt;-2),"",#REF!),"")</f>
        <v/>
      </c>
      <c r="N555" t="str">
        <f>IFERROR(IF(OR(HLOOKUP($A555,#REF!,12,FALSE)&gt;2,HLOOKUP($A555,#REF!,12,FALSE)&lt;-2),"",#REF!),"")</f>
        <v/>
      </c>
      <c r="O555" t="str">
        <f>IFERROR(IF(OR(HLOOKUP($A555,#REF!,13,FALSE)&gt;2,HLOOKUP($A555,#REF!,13,FALSE)&lt;-2),"",#REF!),"")</f>
        <v/>
      </c>
      <c r="P555" t="str">
        <f>IFERROR(IF(OR(HLOOKUP($A555,#REF!,14,FALSE)&gt;2,HLOOKUP($A555,#REF!,14,FALSE)&lt;-2),"",#REF!),"")</f>
        <v/>
      </c>
      <c r="Q555" t="str">
        <f>IFERROR(IF(OR(HLOOKUP($A555,#REF!,15,FALSE)&gt;2,HLOOKUP($A555,#REF!,15,FALSE)&lt;-2),"",#REF!),"")</f>
        <v/>
      </c>
      <c r="R555" t="str">
        <f>IFERROR(IF(OR(HLOOKUP($A555,#REF!,16,FALSE)&gt;2,HLOOKUP($A555,#REF!,16,FALSE)&lt;-2),"",#REF!),"")</f>
        <v/>
      </c>
      <c r="S555" t="str">
        <f>IFERROR(IF(OR(HLOOKUP($A555,#REF!,17,FALSE)&gt;2,HLOOKUP($A555,#REF!,17,FALSE)&lt;-2),"",#REF!),"")</f>
        <v/>
      </c>
      <c r="T555" t="str">
        <f>IFERROR(IF(OR(HLOOKUP($A555,#REF!,18,FALSE)&gt;2,HLOOKUP($A555,#REF!,18,FALSE)&lt;-2),"",#REF!),"")</f>
        <v/>
      </c>
      <c r="U555" t="str">
        <f>IFERROR(IF(OR(HLOOKUP($A555,#REF!,19,FALSE)&gt;2,HLOOKUP($A555,#REF!,19,FALSE)&lt;-2),"",#REF!),"")</f>
        <v/>
      </c>
      <c r="V555">
        <f t="shared" si="32"/>
        <v>1</v>
      </c>
      <c r="W555" t="str">
        <f t="shared" si="33"/>
        <v/>
      </c>
      <c r="X555" t="str">
        <f t="shared" si="34"/>
        <v/>
      </c>
      <c r="Y555" t="str">
        <f t="shared" si="35"/>
        <v/>
      </c>
    </row>
    <row r="556" spans="1:25" x14ac:dyDescent="0.35">
      <c r="A556">
        <v>564</v>
      </c>
      <c r="B556" t="s">
        <v>268</v>
      </c>
      <c r="C556">
        <v>52500</v>
      </c>
      <c r="D556">
        <v>904</v>
      </c>
      <c r="E556" t="str">
        <f>IFERROR(IF(OR(HLOOKUP($A556,#REF!,3,FALSE)&gt;2,HLOOKUP(A556,#REF!,3,FALSE)&lt;-2),"",#REF!),"")</f>
        <v/>
      </c>
      <c r="F556" t="str">
        <f>IFERROR(IF(OR(HLOOKUP($A556,#REF!,4,FALSE)&gt;2,HLOOKUP($A556,#REF!,4,FALSE)&lt;-2),"",#REF!),"")</f>
        <v/>
      </c>
      <c r="G556" t="str">
        <f>IFERROR(IF(OR(HLOOKUP($A556,#REF!,5,FALSE)&gt;2,HLOOKUP($A556,#REF!,5,FALSE)&lt;-2),"",#REF!),"")</f>
        <v/>
      </c>
      <c r="H556" t="str">
        <f>IFERROR(IF(OR(HLOOKUP($A556,#REF!,6,FALSE)&gt;2,HLOOKUP($A556,#REF!,6,FALSE)&lt;-2),"",#REF!),"")</f>
        <v/>
      </c>
      <c r="I556" t="str">
        <f>IFERROR(IF(OR(HLOOKUP($A556,#REF!,7,FALSE)&gt;2,HLOOKUP($A556,#REF!,7,FALSE)&lt;-2),"",#REF!),"")</f>
        <v/>
      </c>
      <c r="J556" t="str">
        <f>IFERROR(IF(OR(HLOOKUP($A556,#REF!,8,FALSE)&gt;2,HLOOKUP($A556,#REF!,8,FALSE)&lt;-2),"",#REF!),"")</f>
        <v/>
      </c>
      <c r="K556" t="str">
        <f>IFERROR(IF(OR(HLOOKUP($A556,#REF!,9,FALSE)&gt;2,HLOOKUP($A556,#REF!,9,FALSE)&lt;-2),"",#REF!),"")</f>
        <v/>
      </c>
      <c r="L556" t="str">
        <f>IFERROR(IF(OR(HLOOKUP($A556,#REF!,10,FALSE)&gt;2,HLOOKUP($A556,#REF!,10,FALSE)&lt;-2),"",#REF!),"")</f>
        <v/>
      </c>
      <c r="M556" t="str">
        <f>IFERROR(IF(OR(HLOOKUP($A556,#REF!,11,FALSE)&gt;2,HLOOKUP($A556,#REF!,11,FALSE)&lt;-2),"",#REF!),"")</f>
        <v/>
      </c>
      <c r="N556" t="str">
        <f>IFERROR(IF(OR(HLOOKUP($A556,#REF!,12,FALSE)&gt;2,HLOOKUP($A556,#REF!,12,FALSE)&lt;-2),"",#REF!),"")</f>
        <v/>
      </c>
      <c r="O556" t="str">
        <f>IFERROR(IF(OR(HLOOKUP($A556,#REF!,13,FALSE)&gt;2,HLOOKUP($A556,#REF!,13,FALSE)&lt;-2),"",#REF!),"")</f>
        <v/>
      </c>
      <c r="P556" t="str">
        <f>IFERROR(IF(OR(HLOOKUP($A556,#REF!,14,FALSE)&gt;2,HLOOKUP($A556,#REF!,14,FALSE)&lt;-2),"",#REF!),"")</f>
        <v/>
      </c>
      <c r="Q556" t="str">
        <f>IFERROR(IF(OR(HLOOKUP($A556,#REF!,15,FALSE)&gt;2,HLOOKUP($A556,#REF!,15,FALSE)&lt;-2),"",#REF!),"")</f>
        <v/>
      </c>
      <c r="R556" t="str">
        <f>IFERROR(IF(OR(HLOOKUP($A556,#REF!,16,FALSE)&gt;2,HLOOKUP($A556,#REF!,16,FALSE)&lt;-2),"",#REF!),"")</f>
        <v/>
      </c>
      <c r="S556" t="str">
        <f>IFERROR(IF(OR(HLOOKUP($A556,#REF!,17,FALSE)&gt;2,HLOOKUP($A556,#REF!,17,FALSE)&lt;-2),"",#REF!),"")</f>
        <v/>
      </c>
      <c r="T556" t="str">
        <f>IFERROR(IF(OR(HLOOKUP($A556,#REF!,18,FALSE)&gt;2,HLOOKUP($A556,#REF!,18,FALSE)&lt;-2),"",#REF!),"")</f>
        <v/>
      </c>
      <c r="U556" t="str">
        <f>IFERROR(IF(OR(HLOOKUP($A556,#REF!,19,FALSE)&gt;2,HLOOKUP($A556,#REF!,19,FALSE)&lt;-2),"",#REF!),"")</f>
        <v/>
      </c>
      <c r="V556">
        <f t="shared" si="32"/>
        <v>1</v>
      </c>
      <c r="W556" t="str">
        <f t="shared" si="33"/>
        <v/>
      </c>
      <c r="X556" t="str">
        <f t="shared" si="34"/>
        <v/>
      </c>
      <c r="Y556" t="str">
        <f t="shared" si="35"/>
        <v/>
      </c>
    </row>
    <row r="557" spans="1:25" x14ac:dyDescent="0.35">
      <c r="A557">
        <v>565</v>
      </c>
      <c r="B557" t="s">
        <v>269</v>
      </c>
      <c r="C557">
        <v>18000</v>
      </c>
      <c r="D557">
        <v>533</v>
      </c>
      <c r="E557" t="str">
        <f>IFERROR(IF(OR(HLOOKUP($A557,#REF!,3,FALSE)&gt;2,HLOOKUP(A557,#REF!,3,FALSE)&lt;-2),"",#REF!),"")</f>
        <v/>
      </c>
      <c r="F557" t="str">
        <f>IFERROR(IF(OR(HLOOKUP($A557,#REF!,4,FALSE)&gt;2,HLOOKUP($A557,#REF!,4,FALSE)&lt;-2),"",#REF!),"")</f>
        <v/>
      </c>
      <c r="G557" t="str">
        <f>IFERROR(IF(OR(HLOOKUP($A557,#REF!,5,FALSE)&gt;2,HLOOKUP($A557,#REF!,5,FALSE)&lt;-2),"",#REF!),"")</f>
        <v/>
      </c>
      <c r="H557" t="str">
        <f>IFERROR(IF(OR(HLOOKUP($A557,#REF!,6,FALSE)&gt;2,HLOOKUP($A557,#REF!,6,FALSE)&lt;-2),"",#REF!),"")</f>
        <v/>
      </c>
      <c r="I557" t="str">
        <f>IFERROR(IF(OR(HLOOKUP($A557,#REF!,7,FALSE)&gt;2,HLOOKUP($A557,#REF!,7,FALSE)&lt;-2),"",#REF!),"")</f>
        <v/>
      </c>
      <c r="J557" t="str">
        <f>IFERROR(IF(OR(HLOOKUP($A557,#REF!,8,FALSE)&gt;2,HLOOKUP($A557,#REF!,8,FALSE)&lt;-2),"",#REF!),"")</f>
        <v/>
      </c>
      <c r="K557" t="str">
        <f>IFERROR(IF(OR(HLOOKUP($A557,#REF!,9,FALSE)&gt;2,HLOOKUP($A557,#REF!,9,FALSE)&lt;-2),"",#REF!),"")</f>
        <v/>
      </c>
      <c r="L557" t="str">
        <f>IFERROR(IF(OR(HLOOKUP($A557,#REF!,10,FALSE)&gt;2,HLOOKUP($A557,#REF!,10,FALSE)&lt;-2),"",#REF!),"")</f>
        <v/>
      </c>
      <c r="M557" t="str">
        <f>IFERROR(IF(OR(HLOOKUP($A557,#REF!,11,FALSE)&gt;2,HLOOKUP($A557,#REF!,11,FALSE)&lt;-2),"",#REF!),"")</f>
        <v/>
      </c>
      <c r="N557" t="str">
        <f>IFERROR(IF(OR(HLOOKUP($A557,#REF!,12,FALSE)&gt;2,HLOOKUP($A557,#REF!,12,FALSE)&lt;-2),"",#REF!),"")</f>
        <v/>
      </c>
      <c r="O557" t="str">
        <f>IFERROR(IF(OR(HLOOKUP($A557,#REF!,13,FALSE)&gt;2,HLOOKUP($A557,#REF!,13,FALSE)&lt;-2),"",#REF!),"")</f>
        <v/>
      </c>
      <c r="P557" t="str">
        <f>IFERROR(IF(OR(HLOOKUP($A557,#REF!,14,FALSE)&gt;2,HLOOKUP($A557,#REF!,14,FALSE)&lt;-2),"",#REF!),"")</f>
        <v/>
      </c>
      <c r="Q557" t="str">
        <f>IFERROR(IF(OR(HLOOKUP($A557,#REF!,15,FALSE)&gt;2,HLOOKUP($A557,#REF!,15,FALSE)&lt;-2),"",#REF!),"")</f>
        <v/>
      </c>
      <c r="R557" t="str">
        <f>IFERROR(IF(OR(HLOOKUP($A557,#REF!,16,FALSE)&gt;2,HLOOKUP($A557,#REF!,16,FALSE)&lt;-2),"",#REF!),"")</f>
        <v/>
      </c>
      <c r="S557" t="str">
        <f>IFERROR(IF(OR(HLOOKUP($A557,#REF!,17,FALSE)&gt;2,HLOOKUP($A557,#REF!,17,FALSE)&lt;-2),"",#REF!),"")</f>
        <v/>
      </c>
      <c r="T557" t="str">
        <f>IFERROR(IF(OR(HLOOKUP($A557,#REF!,18,FALSE)&gt;2,HLOOKUP($A557,#REF!,18,FALSE)&lt;-2),"",#REF!),"")</f>
        <v/>
      </c>
      <c r="U557" t="str">
        <f>IFERROR(IF(OR(HLOOKUP($A557,#REF!,19,FALSE)&gt;2,HLOOKUP($A557,#REF!,19,FALSE)&lt;-2),"",#REF!),"")</f>
        <v/>
      </c>
      <c r="V557">
        <f t="shared" si="32"/>
        <v>1</v>
      </c>
      <c r="W557" t="str">
        <f t="shared" si="33"/>
        <v/>
      </c>
      <c r="X557" t="str">
        <f t="shared" si="34"/>
        <v/>
      </c>
      <c r="Y557" t="str">
        <f t="shared" si="35"/>
        <v/>
      </c>
    </row>
    <row r="558" spans="1:25" x14ac:dyDescent="0.35">
      <c r="A558">
        <v>566</v>
      </c>
      <c r="B558" t="s">
        <v>270</v>
      </c>
      <c r="C558">
        <v>36900</v>
      </c>
      <c r="D558">
        <v>698</v>
      </c>
      <c r="E558" t="str">
        <f>IFERROR(IF(OR(HLOOKUP($A558,#REF!,3,FALSE)&gt;2,HLOOKUP(A558,#REF!,3,FALSE)&lt;-2),"",#REF!),"")</f>
        <v/>
      </c>
      <c r="F558" t="str">
        <f>IFERROR(IF(OR(HLOOKUP($A558,#REF!,4,FALSE)&gt;2,HLOOKUP($A558,#REF!,4,FALSE)&lt;-2),"",#REF!),"")</f>
        <v/>
      </c>
      <c r="G558" t="str">
        <f>IFERROR(IF(OR(HLOOKUP($A558,#REF!,5,FALSE)&gt;2,HLOOKUP($A558,#REF!,5,FALSE)&lt;-2),"",#REF!),"")</f>
        <v/>
      </c>
      <c r="H558" t="str">
        <f>IFERROR(IF(OR(HLOOKUP($A558,#REF!,6,FALSE)&gt;2,HLOOKUP($A558,#REF!,6,FALSE)&lt;-2),"",#REF!),"")</f>
        <v/>
      </c>
      <c r="I558" t="str">
        <f>IFERROR(IF(OR(HLOOKUP($A558,#REF!,7,FALSE)&gt;2,HLOOKUP($A558,#REF!,7,FALSE)&lt;-2),"",#REF!),"")</f>
        <v/>
      </c>
      <c r="J558" t="str">
        <f>IFERROR(IF(OR(HLOOKUP($A558,#REF!,8,FALSE)&gt;2,HLOOKUP($A558,#REF!,8,FALSE)&lt;-2),"",#REF!),"")</f>
        <v/>
      </c>
      <c r="K558" t="str">
        <f>IFERROR(IF(OR(HLOOKUP($A558,#REF!,9,FALSE)&gt;2,HLOOKUP($A558,#REF!,9,FALSE)&lt;-2),"",#REF!),"")</f>
        <v/>
      </c>
      <c r="L558" t="str">
        <f>IFERROR(IF(OR(HLOOKUP($A558,#REF!,10,FALSE)&gt;2,HLOOKUP($A558,#REF!,10,FALSE)&lt;-2),"",#REF!),"")</f>
        <v/>
      </c>
      <c r="M558" t="str">
        <f>IFERROR(IF(OR(HLOOKUP($A558,#REF!,11,FALSE)&gt;2,HLOOKUP($A558,#REF!,11,FALSE)&lt;-2),"",#REF!),"")</f>
        <v/>
      </c>
      <c r="N558" t="str">
        <f>IFERROR(IF(OR(HLOOKUP($A558,#REF!,12,FALSE)&gt;2,HLOOKUP($A558,#REF!,12,FALSE)&lt;-2),"",#REF!),"")</f>
        <v/>
      </c>
      <c r="O558" t="str">
        <f>IFERROR(IF(OR(HLOOKUP($A558,#REF!,13,FALSE)&gt;2,HLOOKUP($A558,#REF!,13,FALSE)&lt;-2),"",#REF!),"")</f>
        <v/>
      </c>
      <c r="P558" t="str">
        <f>IFERROR(IF(OR(HLOOKUP($A558,#REF!,14,FALSE)&gt;2,HLOOKUP($A558,#REF!,14,FALSE)&lt;-2),"",#REF!),"")</f>
        <v/>
      </c>
      <c r="Q558" t="str">
        <f>IFERROR(IF(OR(HLOOKUP($A558,#REF!,15,FALSE)&gt;2,HLOOKUP($A558,#REF!,15,FALSE)&lt;-2),"",#REF!),"")</f>
        <v/>
      </c>
      <c r="R558" t="str">
        <f>IFERROR(IF(OR(HLOOKUP($A558,#REF!,16,FALSE)&gt;2,HLOOKUP($A558,#REF!,16,FALSE)&lt;-2),"",#REF!),"")</f>
        <v/>
      </c>
      <c r="S558" t="str">
        <f>IFERROR(IF(OR(HLOOKUP($A558,#REF!,17,FALSE)&gt;2,HLOOKUP($A558,#REF!,17,FALSE)&lt;-2),"",#REF!),"")</f>
        <v/>
      </c>
      <c r="T558" t="str">
        <f>IFERROR(IF(OR(HLOOKUP($A558,#REF!,18,FALSE)&gt;2,HLOOKUP($A558,#REF!,18,FALSE)&lt;-2),"",#REF!),"")</f>
        <v/>
      </c>
      <c r="U558" t="str">
        <f>IFERROR(IF(OR(HLOOKUP($A558,#REF!,19,FALSE)&gt;2,HLOOKUP($A558,#REF!,19,FALSE)&lt;-2),"",#REF!),"")</f>
        <v/>
      </c>
      <c r="V558">
        <f t="shared" si="32"/>
        <v>1</v>
      </c>
      <c r="W558" t="str">
        <f t="shared" si="33"/>
        <v/>
      </c>
      <c r="X558" t="str">
        <f t="shared" si="34"/>
        <v/>
      </c>
      <c r="Y558" t="str">
        <f t="shared" si="35"/>
        <v/>
      </c>
    </row>
    <row r="559" spans="1:25" x14ac:dyDescent="0.35">
      <c r="A559">
        <v>567</v>
      </c>
      <c r="B559" t="s">
        <v>891</v>
      </c>
      <c r="C559">
        <v>200</v>
      </c>
      <c r="D559">
        <v>8</v>
      </c>
      <c r="E559" t="str">
        <f>IFERROR(IF(OR(HLOOKUP($A559,#REF!,3,FALSE)&gt;2,HLOOKUP(A559,#REF!,3,FALSE)&lt;-2),"",#REF!),"")</f>
        <v/>
      </c>
      <c r="F559" t="str">
        <f>IFERROR(IF(OR(HLOOKUP($A559,#REF!,4,FALSE)&gt;2,HLOOKUP($A559,#REF!,4,FALSE)&lt;-2),"",#REF!),"")</f>
        <v/>
      </c>
      <c r="G559" t="str">
        <f>IFERROR(IF(OR(HLOOKUP($A559,#REF!,5,FALSE)&gt;2,HLOOKUP($A559,#REF!,5,FALSE)&lt;-2),"",#REF!),"")</f>
        <v/>
      </c>
      <c r="H559" t="str">
        <f>IFERROR(IF(OR(HLOOKUP($A559,#REF!,6,FALSE)&gt;2,HLOOKUP($A559,#REF!,6,FALSE)&lt;-2),"",#REF!),"")</f>
        <v/>
      </c>
      <c r="I559" t="str">
        <f>IFERROR(IF(OR(HLOOKUP($A559,#REF!,7,FALSE)&gt;2,HLOOKUP($A559,#REF!,7,FALSE)&lt;-2),"",#REF!),"")</f>
        <v/>
      </c>
      <c r="J559" t="str">
        <f>IFERROR(IF(OR(HLOOKUP($A559,#REF!,8,FALSE)&gt;2,HLOOKUP($A559,#REF!,8,FALSE)&lt;-2),"",#REF!),"")</f>
        <v/>
      </c>
      <c r="K559" t="str">
        <f>IFERROR(IF(OR(HLOOKUP($A559,#REF!,9,FALSE)&gt;2,HLOOKUP($A559,#REF!,9,FALSE)&lt;-2),"",#REF!),"")</f>
        <v/>
      </c>
      <c r="L559" t="str">
        <f>IFERROR(IF(OR(HLOOKUP($A559,#REF!,10,FALSE)&gt;2,HLOOKUP($A559,#REF!,10,FALSE)&lt;-2),"",#REF!),"")</f>
        <v/>
      </c>
      <c r="M559" t="str">
        <f>IFERROR(IF(OR(HLOOKUP($A559,#REF!,11,FALSE)&gt;2,HLOOKUP($A559,#REF!,11,FALSE)&lt;-2),"",#REF!),"")</f>
        <v/>
      </c>
      <c r="N559" t="str">
        <f>IFERROR(IF(OR(HLOOKUP($A559,#REF!,12,FALSE)&gt;2,HLOOKUP($A559,#REF!,12,FALSE)&lt;-2),"",#REF!),"")</f>
        <v/>
      </c>
      <c r="O559" t="str">
        <f>IFERROR(IF(OR(HLOOKUP($A559,#REF!,13,FALSE)&gt;2,HLOOKUP($A559,#REF!,13,FALSE)&lt;-2),"",#REF!),"")</f>
        <v/>
      </c>
      <c r="P559" t="str">
        <f>IFERROR(IF(OR(HLOOKUP($A559,#REF!,14,FALSE)&gt;2,HLOOKUP($A559,#REF!,14,FALSE)&lt;-2),"",#REF!),"")</f>
        <v/>
      </c>
      <c r="Q559" t="str">
        <f>IFERROR(IF(OR(HLOOKUP($A559,#REF!,15,FALSE)&gt;2,HLOOKUP($A559,#REF!,15,FALSE)&lt;-2),"",#REF!),"")</f>
        <v/>
      </c>
      <c r="R559" t="str">
        <f>IFERROR(IF(OR(HLOOKUP($A559,#REF!,16,FALSE)&gt;2,HLOOKUP($A559,#REF!,16,FALSE)&lt;-2),"",#REF!),"")</f>
        <v/>
      </c>
      <c r="S559" t="str">
        <f>IFERROR(IF(OR(HLOOKUP($A559,#REF!,17,FALSE)&gt;2,HLOOKUP($A559,#REF!,17,FALSE)&lt;-2),"",#REF!),"")</f>
        <v/>
      </c>
      <c r="T559" t="str">
        <f>IFERROR(IF(OR(HLOOKUP($A559,#REF!,18,FALSE)&gt;2,HLOOKUP($A559,#REF!,18,FALSE)&lt;-2),"",#REF!),"")</f>
        <v/>
      </c>
      <c r="U559" t="str">
        <f>IFERROR(IF(OR(HLOOKUP($A559,#REF!,19,FALSE)&gt;2,HLOOKUP($A559,#REF!,19,FALSE)&lt;-2),"",#REF!),"")</f>
        <v/>
      </c>
      <c r="V559">
        <f t="shared" si="32"/>
        <v>1</v>
      </c>
      <c r="W559" t="str">
        <f t="shared" si="33"/>
        <v/>
      </c>
      <c r="X559" t="str">
        <f t="shared" si="34"/>
        <v/>
      </c>
      <c r="Y559" t="str">
        <f t="shared" si="35"/>
        <v/>
      </c>
    </row>
    <row r="560" spans="1:25" x14ac:dyDescent="0.35">
      <c r="A560">
        <v>568</v>
      </c>
      <c r="B560" t="s">
        <v>892</v>
      </c>
      <c r="C560">
        <v>92400</v>
      </c>
      <c r="D560">
        <v>370</v>
      </c>
      <c r="E560" t="str">
        <f>IFERROR(IF(OR(HLOOKUP($A560,#REF!,3,FALSE)&gt;2,HLOOKUP(A560,#REF!,3,FALSE)&lt;-2),"",#REF!),"")</f>
        <v/>
      </c>
      <c r="F560" t="str">
        <f>IFERROR(IF(OR(HLOOKUP($A560,#REF!,4,FALSE)&gt;2,HLOOKUP($A560,#REF!,4,FALSE)&lt;-2),"",#REF!),"")</f>
        <v/>
      </c>
      <c r="G560" t="str">
        <f>IFERROR(IF(OR(HLOOKUP($A560,#REF!,5,FALSE)&gt;2,HLOOKUP($A560,#REF!,5,FALSE)&lt;-2),"",#REF!),"")</f>
        <v/>
      </c>
      <c r="H560" t="str">
        <f>IFERROR(IF(OR(HLOOKUP($A560,#REF!,6,FALSE)&gt;2,HLOOKUP($A560,#REF!,6,FALSE)&lt;-2),"",#REF!),"")</f>
        <v/>
      </c>
      <c r="I560" t="str">
        <f>IFERROR(IF(OR(HLOOKUP($A560,#REF!,7,FALSE)&gt;2,HLOOKUP($A560,#REF!,7,FALSE)&lt;-2),"",#REF!),"")</f>
        <v/>
      </c>
      <c r="J560" t="str">
        <f>IFERROR(IF(OR(HLOOKUP($A560,#REF!,8,FALSE)&gt;2,HLOOKUP($A560,#REF!,8,FALSE)&lt;-2),"",#REF!),"")</f>
        <v/>
      </c>
      <c r="K560" t="str">
        <f>IFERROR(IF(OR(HLOOKUP($A560,#REF!,9,FALSE)&gt;2,HLOOKUP($A560,#REF!,9,FALSE)&lt;-2),"",#REF!),"")</f>
        <v/>
      </c>
      <c r="L560" t="str">
        <f>IFERROR(IF(OR(HLOOKUP($A560,#REF!,10,FALSE)&gt;2,HLOOKUP($A560,#REF!,10,FALSE)&lt;-2),"",#REF!),"")</f>
        <v/>
      </c>
      <c r="M560" t="str">
        <f>IFERROR(IF(OR(HLOOKUP($A560,#REF!,11,FALSE)&gt;2,HLOOKUP($A560,#REF!,11,FALSE)&lt;-2),"",#REF!),"")</f>
        <v/>
      </c>
      <c r="N560" t="str">
        <f>IFERROR(IF(OR(HLOOKUP($A560,#REF!,12,FALSE)&gt;2,HLOOKUP($A560,#REF!,12,FALSE)&lt;-2),"",#REF!),"")</f>
        <v/>
      </c>
      <c r="O560" t="str">
        <f>IFERROR(IF(OR(HLOOKUP($A560,#REF!,13,FALSE)&gt;2,HLOOKUP($A560,#REF!,13,FALSE)&lt;-2),"",#REF!),"")</f>
        <v/>
      </c>
      <c r="P560" t="str">
        <f>IFERROR(IF(OR(HLOOKUP($A560,#REF!,14,FALSE)&gt;2,HLOOKUP($A560,#REF!,14,FALSE)&lt;-2),"",#REF!),"")</f>
        <v/>
      </c>
      <c r="Q560" t="str">
        <f>IFERROR(IF(OR(HLOOKUP($A560,#REF!,15,FALSE)&gt;2,HLOOKUP($A560,#REF!,15,FALSE)&lt;-2),"",#REF!),"")</f>
        <v/>
      </c>
      <c r="R560" t="str">
        <f>IFERROR(IF(OR(HLOOKUP($A560,#REF!,16,FALSE)&gt;2,HLOOKUP($A560,#REF!,16,FALSE)&lt;-2),"",#REF!),"")</f>
        <v/>
      </c>
      <c r="S560" t="str">
        <f>IFERROR(IF(OR(HLOOKUP($A560,#REF!,17,FALSE)&gt;2,HLOOKUP($A560,#REF!,17,FALSE)&lt;-2),"",#REF!),"")</f>
        <v/>
      </c>
      <c r="T560" t="str">
        <f>IFERROR(IF(OR(HLOOKUP($A560,#REF!,18,FALSE)&gt;2,HLOOKUP($A560,#REF!,18,FALSE)&lt;-2),"",#REF!),"")</f>
        <v/>
      </c>
      <c r="U560" t="str">
        <f>IFERROR(IF(OR(HLOOKUP($A560,#REF!,19,FALSE)&gt;2,HLOOKUP($A560,#REF!,19,FALSE)&lt;-2),"",#REF!),"")</f>
        <v/>
      </c>
      <c r="V560">
        <f t="shared" si="32"/>
        <v>1</v>
      </c>
      <c r="W560" t="str">
        <f t="shared" si="33"/>
        <v/>
      </c>
      <c r="X560" t="str">
        <f t="shared" si="34"/>
        <v/>
      </c>
      <c r="Y560" t="str">
        <f t="shared" si="35"/>
        <v/>
      </c>
    </row>
    <row r="561" spans="1:25" x14ac:dyDescent="0.35">
      <c r="A561">
        <v>569</v>
      </c>
      <c r="B561" t="s">
        <v>893</v>
      </c>
      <c r="C561">
        <v>54100</v>
      </c>
      <c r="D561">
        <v>367</v>
      </c>
      <c r="E561" t="str">
        <f>IFERROR(IF(OR(HLOOKUP($A561,#REF!,3,FALSE)&gt;2,HLOOKUP(A561,#REF!,3,FALSE)&lt;-2),"",#REF!),"")</f>
        <v/>
      </c>
      <c r="F561" t="str">
        <f>IFERROR(IF(OR(HLOOKUP($A561,#REF!,4,FALSE)&gt;2,HLOOKUP($A561,#REF!,4,FALSE)&lt;-2),"",#REF!),"")</f>
        <v/>
      </c>
      <c r="G561" t="str">
        <f>IFERROR(IF(OR(HLOOKUP($A561,#REF!,5,FALSE)&gt;2,HLOOKUP($A561,#REF!,5,FALSE)&lt;-2),"",#REF!),"")</f>
        <v/>
      </c>
      <c r="H561" t="str">
        <f>IFERROR(IF(OR(HLOOKUP($A561,#REF!,6,FALSE)&gt;2,HLOOKUP($A561,#REF!,6,FALSE)&lt;-2),"",#REF!),"")</f>
        <v/>
      </c>
      <c r="I561" t="str">
        <f>IFERROR(IF(OR(HLOOKUP($A561,#REF!,7,FALSE)&gt;2,HLOOKUP($A561,#REF!,7,FALSE)&lt;-2),"",#REF!),"")</f>
        <v/>
      </c>
      <c r="J561" t="str">
        <f>IFERROR(IF(OR(HLOOKUP($A561,#REF!,8,FALSE)&gt;2,HLOOKUP($A561,#REF!,8,FALSE)&lt;-2),"",#REF!),"")</f>
        <v/>
      </c>
      <c r="K561" t="str">
        <f>IFERROR(IF(OR(HLOOKUP($A561,#REF!,9,FALSE)&gt;2,HLOOKUP($A561,#REF!,9,FALSE)&lt;-2),"",#REF!),"")</f>
        <v/>
      </c>
      <c r="L561" t="str">
        <f>IFERROR(IF(OR(HLOOKUP($A561,#REF!,10,FALSE)&gt;2,HLOOKUP($A561,#REF!,10,FALSE)&lt;-2),"",#REF!),"")</f>
        <v/>
      </c>
      <c r="M561" t="str">
        <f>IFERROR(IF(OR(HLOOKUP($A561,#REF!,11,FALSE)&gt;2,HLOOKUP($A561,#REF!,11,FALSE)&lt;-2),"",#REF!),"")</f>
        <v/>
      </c>
      <c r="N561" t="str">
        <f>IFERROR(IF(OR(HLOOKUP($A561,#REF!,12,FALSE)&gt;2,HLOOKUP($A561,#REF!,12,FALSE)&lt;-2),"",#REF!),"")</f>
        <v/>
      </c>
      <c r="O561" t="str">
        <f>IFERROR(IF(OR(HLOOKUP($A561,#REF!,13,FALSE)&gt;2,HLOOKUP($A561,#REF!,13,FALSE)&lt;-2),"",#REF!),"")</f>
        <v/>
      </c>
      <c r="P561" t="str">
        <f>IFERROR(IF(OR(HLOOKUP($A561,#REF!,14,FALSE)&gt;2,HLOOKUP($A561,#REF!,14,FALSE)&lt;-2),"",#REF!),"")</f>
        <v/>
      </c>
      <c r="Q561" t="str">
        <f>IFERROR(IF(OR(HLOOKUP($A561,#REF!,15,FALSE)&gt;2,HLOOKUP($A561,#REF!,15,FALSE)&lt;-2),"",#REF!),"")</f>
        <v/>
      </c>
      <c r="R561" t="str">
        <f>IFERROR(IF(OR(HLOOKUP($A561,#REF!,16,FALSE)&gt;2,HLOOKUP($A561,#REF!,16,FALSE)&lt;-2),"",#REF!),"")</f>
        <v/>
      </c>
      <c r="S561" t="str">
        <f>IFERROR(IF(OR(HLOOKUP($A561,#REF!,17,FALSE)&gt;2,HLOOKUP($A561,#REF!,17,FALSE)&lt;-2),"",#REF!),"")</f>
        <v/>
      </c>
      <c r="T561" t="str">
        <f>IFERROR(IF(OR(HLOOKUP($A561,#REF!,18,FALSE)&gt;2,HLOOKUP($A561,#REF!,18,FALSE)&lt;-2),"",#REF!),"")</f>
        <v/>
      </c>
      <c r="U561" t="str">
        <f>IFERROR(IF(OR(HLOOKUP($A561,#REF!,19,FALSE)&gt;2,HLOOKUP($A561,#REF!,19,FALSE)&lt;-2),"",#REF!),"")</f>
        <v/>
      </c>
      <c r="V561">
        <f t="shared" si="32"/>
        <v>1</v>
      </c>
      <c r="W561" t="str">
        <f t="shared" si="33"/>
        <v/>
      </c>
      <c r="X561" t="str">
        <f t="shared" si="34"/>
        <v/>
      </c>
      <c r="Y561" t="str">
        <f t="shared" si="35"/>
        <v/>
      </c>
    </row>
    <row r="562" spans="1:25" x14ac:dyDescent="0.35">
      <c r="A562">
        <v>570</v>
      </c>
      <c r="B562" t="s">
        <v>894</v>
      </c>
      <c r="C562">
        <v>102200</v>
      </c>
      <c r="D562">
        <v>932</v>
      </c>
      <c r="E562" t="str">
        <f>IFERROR(IF(OR(HLOOKUP($A562,#REF!,3,FALSE)&gt;2,HLOOKUP(A562,#REF!,3,FALSE)&lt;-2),"",#REF!),"")</f>
        <v/>
      </c>
      <c r="F562" t="str">
        <f>IFERROR(IF(OR(HLOOKUP($A562,#REF!,4,FALSE)&gt;2,HLOOKUP($A562,#REF!,4,FALSE)&lt;-2),"",#REF!),"")</f>
        <v/>
      </c>
      <c r="G562" t="str">
        <f>IFERROR(IF(OR(HLOOKUP($A562,#REF!,5,FALSE)&gt;2,HLOOKUP($A562,#REF!,5,FALSE)&lt;-2),"",#REF!),"")</f>
        <v/>
      </c>
      <c r="H562" t="str">
        <f>IFERROR(IF(OR(HLOOKUP($A562,#REF!,6,FALSE)&gt;2,HLOOKUP($A562,#REF!,6,FALSE)&lt;-2),"",#REF!),"")</f>
        <v/>
      </c>
      <c r="I562" t="str">
        <f>IFERROR(IF(OR(HLOOKUP($A562,#REF!,7,FALSE)&gt;2,HLOOKUP($A562,#REF!,7,FALSE)&lt;-2),"",#REF!),"")</f>
        <v/>
      </c>
      <c r="J562" t="str">
        <f>IFERROR(IF(OR(HLOOKUP($A562,#REF!,8,FALSE)&gt;2,HLOOKUP($A562,#REF!,8,FALSE)&lt;-2),"",#REF!),"")</f>
        <v/>
      </c>
      <c r="K562" t="str">
        <f>IFERROR(IF(OR(HLOOKUP($A562,#REF!,9,FALSE)&gt;2,HLOOKUP($A562,#REF!,9,FALSE)&lt;-2),"",#REF!),"")</f>
        <v/>
      </c>
      <c r="L562" t="str">
        <f>IFERROR(IF(OR(HLOOKUP($A562,#REF!,10,FALSE)&gt;2,HLOOKUP($A562,#REF!,10,FALSE)&lt;-2),"",#REF!),"")</f>
        <v/>
      </c>
      <c r="M562" t="str">
        <f>IFERROR(IF(OR(HLOOKUP($A562,#REF!,11,FALSE)&gt;2,HLOOKUP($A562,#REF!,11,FALSE)&lt;-2),"",#REF!),"")</f>
        <v/>
      </c>
      <c r="N562" t="str">
        <f>IFERROR(IF(OR(HLOOKUP($A562,#REF!,12,FALSE)&gt;2,HLOOKUP($A562,#REF!,12,FALSE)&lt;-2),"",#REF!),"")</f>
        <v/>
      </c>
      <c r="O562" t="str">
        <f>IFERROR(IF(OR(HLOOKUP($A562,#REF!,13,FALSE)&gt;2,HLOOKUP($A562,#REF!,13,FALSE)&lt;-2),"",#REF!),"")</f>
        <v/>
      </c>
      <c r="P562" t="str">
        <f>IFERROR(IF(OR(HLOOKUP($A562,#REF!,14,FALSE)&gt;2,HLOOKUP($A562,#REF!,14,FALSE)&lt;-2),"",#REF!),"")</f>
        <v/>
      </c>
      <c r="Q562" t="str">
        <f>IFERROR(IF(OR(HLOOKUP($A562,#REF!,15,FALSE)&gt;2,HLOOKUP($A562,#REF!,15,FALSE)&lt;-2),"",#REF!),"")</f>
        <v/>
      </c>
      <c r="R562" t="str">
        <f>IFERROR(IF(OR(HLOOKUP($A562,#REF!,16,FALSE)&gt;2,HLOOKUP($A562,#REF!,16,FALSE)&lt;-2),"",#REF!),"")</f>
        <v/>
      </c>
      <c r="S562" t="str">
        <f>IFERROR(IF(OR(HLOOKUP($A562,#REF!,17,FALSE)&gt;2,HLOOKUP($A562,#REF!,17,FALSE)&lt;-2),"",#REF!),"")</f>
        <v/>
      </c>
      <c r="T562" t="str">
        <f>IFERROR(IF(OR(HLOOKUP($A562,#REF!,18,FALSE)&gt;2,HLOOKUP($A562,#REF!,18,FALSE)&lt;-2),"",#REF!),"")</f>
        <v/>
      </c>
      <c r="U562" t="str">
        <f>IFERROR(IF(OR(HLOOKUP($A562,#REF!,19,FALSE)&gt;2,HLOOKUP($A562,#REF!,19,FALSE)&lt;-2),"",#REF!),"")</f>
        <v/>
      </c>
      <c r="V562">
        <f t="shared" si="32"/>
        <v>1</v>
      </c>
      <c r="W562" t="str">
        <f t="shared" si="33"/>
        <v/>
      </c>
      <c r="X562" t="str">
        <f t="shared" si="34"/>
        <v/>
      </c>
      <c r="Y562" t="str">
        <f t="shared" si="35"/>
        <v/>
      </c>
    </row>
    <row r="563" spans="1:25" x14ac:dyDescent="0.35">
      <c r="A563">
        <v>571</v>
      </c>
      <c r="B563" t="s">
        <v>895</v>
      </c>
      <c r="C563">
        <v>67900</v>
      </c>
      <c r="D563">
        <v>856</v>
      </c>
      <c r="E563" t="str">
        <f>IFERROR(IF(OR(HLOOKUP($A563,#REF!,3,FALSE)&gt;2,HLOOKUP(A563,#REF!,3,FALSE)&lt;-2),"",#REF!),"")</f>
        <v/>
      </c>
      <c r="F563" t="str">
        <f>IFERROR(IF(OR(HLOOKUP($A563,#REF!,4,FALSE)&gt;2,HLOOKUP($A563,#REF!,4,FALSE)&lt;-2),"",#REF!),"")</f>
        <v/>
      </c>
      <c r="G563" t="str">
        <f>IFERROR(IF(OR(HLOOKUP($A563,#REF!,5,FALSE)&gt;2,HLOOKUP($A563,#REF!,5,FALSE)&lt;-2),"",#REF!),"")</f>
        <v/>
      </c>
      <c r="H563" t="str">
        <f>IFERROR(IF(OR(HLOOKUP($A563,#REF!,6,FALSE)&gt;2,HLOOKUP($A563,#REF!,6,FALSE)&lt;-2),"",#REF!),"")</f>
        <v/>
      </c>
      <c r="I563" t="str">
        <f>IFERROR(IF(OR(HLOOKUP($A563,#REF!,7,FALSE)&gt;2,HLOOKUP($A563,#REF!,7,FALSE)&lt;-2),"",#REF!),"")</f>
        <v/>
      </c>
      <c r="J563" t="str">
        <f>IFERROR(IF(OR(HLOOKUP($A563,#REF!,8,FALSE)&gt;2,HLOOKUP($A563,#REF!,8,FALSE)&lt;-2),"",#REF!),"")</f>
        <v/>
      </c>
      <c r="K563" t="str">
        <f>IFERROR(IF(OR(HLOOKUP($A563,#REF!,9,FALSE)&gt;2,HLOOKUP($A563,#REF!,9,FALSE)&lt;-2),"",#REF!),"")</f>
        <v/>
      </c>
      <c r="L563" t="str">
        <f>IFERROR(IF(OR(HLOOKUP($A563,#REF!,10,FALSE)&gt;2,HLOOKUP($A563,#REF!,10,FALSE)&lt;-2),"",#REF!),"")</f>
        <v/>
      </c>
      <c r="M563" t="str">
        <f>IFERROR(IF(OR(HLOOKUP($A563,#REF!,11,FALSE)&gt;2,HLOOKUP($A563,#REF!,11,FALSE)&lt;-2),"",#REF!),"")</f>
        <v/>
      </c>
      <c r="N563" t="str">
        <f>IFERROR(IF(OR(HLOOKUP($A563,#REF!,12,FALSE)&gt;2,HLOOKUP($A563,#REF!,12,FALSE)&lt;-2),"",#REF!),"")</f>
        <v/>
      </c>
      <c r="O563" t="str">
        <f>IFERROR(IF(OR(HLOOKUP($A563,#REF!,13,FALSE)&gt;2,HLOOKUP($A563,#REF!,13,FALSE)&lt;-2),"",#REF!),"")</f>
        <v/>
      </c>
      <c r="P563" t="str">
        <f>IFERROR(IF(OR(HLOOKUP($A563,#REF!,14,FALSE)&gt;2,HLOOKUP($A563,#REF!,14,FALSE)&lt;-2),"",#REF!),"")</f>
        <v/>
      </c>
      <c r="Q563" t="str">
        <f>IFERROR(IF(OR(HLOOKUP($A563,#REF!,15,FALSE)&gt;2,HLOOKUP($A563,#REF!,15,FALSE)&lt;-2),"",#REF!),"")</f>
        <v/>
      </c>
      <c r="R563" t="str">
        <f>IFERROR(IF(OR(HLOOKUP($A563,#REF!,16,FALSE)&gt;2,HLOOKUP($A563,#REF!,16,FALSE)&lt;-2),"",#REF!),"")</f>
        <v/>
      </c>
      <c r="S563" t="str">
        <f>IFERROR(IF(OR(HLOOKUP($A563,#REF!,17,FALSE)&gt;2,HLOOKUP($A563,#REF!,17,FALSE)&lt;-2),"",#REF!),"")</f>
        <v/>
      </c>
      <c r="T563" t="str">
        <f>IFERROR(IF(OR(HLOOKUP($A563,#REF!,18,FALSE)&gt;2,HLOOKUP($A563,#REF!,18,FALSE)&lt;-2),"",#REF!),"")</f>
        <v/>
      </c>
      <c r="U563" t="str">
        <f>IFERROR(IF(OR(HLOOKUP($A563,#REF!,19,FALSE)&gt;2,HLOOKUP($A563,#REF!,19,FALSE)&lt;-2),"",#REF!),"")</f>
        <v/>
      </c>
      <c r="V563">
        <f t="shared" si="32"/>
        <v>1</v>
      </c>
      <c r="W563" t="str">
        <f t="shared" si="33"/>
        <v/>
      </c>
      <c r="X563" t="str">
        <f t="shared" si="34"/>
        <v/>
      </c>
      <c r="Y563" t="str">
        <f t="shared" si="35"/>
        <v/>
      </c>
    </row>
    <row r="564" spans="1:25" x14ac:dyDescent="0.35">
      <c r="A564">
        <v>572</v>
      </c>
      <c r="B564" t="s">
        <v>896</v>
      </c>
      <c r="C564">
        <v>18400</v>
      </c>
      <c r="D564">
        <v>31</v>
      </c>
      <c r="E564" t="str">
        <f>IFERROR(IF(OR(HLOOKUP($A564,#REF!,3,FALSE)&gt;2,HLOOKUP(A564,#REF!,3,FALSE)&lt;-2),"",#REF!),"")</f>
        <v/>
      </c>
      <c r="F564" t="str">
        <f>IFERROR(IF(OR(HLOOKUP($A564,#REF!,4,FALSE)&gt;2,HLOOKUP($A564,#REF!,4,FALSE)&lt;-2),"",#REF!),"")</f>
        <v/>
      </c>
      <c r="G564" t="str">
        <f>IFERROR(IF(OR(HLOOKUP($A564,#REF!,5,FALSE)&gt;2,HLOOKUP($A564,#REF!,5,FALSE)&lt;-2),"",#REF!),"")</f>
        <v/>
      </c>
      <c r="H564" t="str">
        <f>IFERROR(IF(OR(HLOOKUP($A564,#REF!,6,FALSE)&gt;2,HLOOKUP($A564,#REF!,6,FALSE)&lt;-2),"",#REF!),"")</f>
        <v/>
      </c>
      <c r="I564" t="str">
        <f>IFERROR(IF(OR(HLOOKUP($A564,#REF!,7,FALSE)&gt;2,HLOOKUP($A564,#REF!,7,FALSE)&lt;-2),"",#REF!),"")</f>
        <v/>
      </c>
      <c r="J564" t="str">
        <f>IFERROR(IF(OR(HLOOKUP($A564,#REF!,8,FALSE)&gt;2,HLOOKUP($A564,#REF!,8,FALSE)&lt;-2),"",#REF!),"")</f>
        <v/>
      </c>
      <c r="K564" t="str">
        <f>IFERROR(IF(OR(HLOOKUP($A564,#REF!,9,FALSE)&gt;2,HLOOKUP($A564,#REF!,9,FALSE)&lt;-2),"",#REF!),"")</f>
        <v/>
      </c>
      <c r="L564" t="str">
        <f>IFERROR(IF(OR(HLOOKUP($A564,#REF!,10,FALSE)&gt;2,HLOOKUP($A564,#REF!,10,FALSE)&lt;-2),"",#REF!),"")</f>
        <v/>
      </c>
      <c r="M564" t="str">
        <f>IFERROR(IF(OR(HLOOKUP($A564,#REF!,11,FALSE)&gt;2,HLOOKUP($A564,#REF!,11,FALSE)&lt;-2),"",#REF!),"")</f>
        <v/>
      </c>
      <c r="N564" t="str">
        <f>IFERROR(IF(OR(HLOOKUP($A564,#REF!,12,FALSE)&gt;2,HLOOKUP($A564,#REF!,12,FALSE)&lt;-2),"",#REF!),"")</f>
        <v/>
      </c>
      <c r="O564" t="str">
        <f>IFERROR(IF(OR(HLOOKUP($A564,#REF!,13,FALSE)&gt;2,HLOOKUP($A564,#REF!,13,FALSE)&lt;-2),"",#REF!),"")</f>
        <v/>
      </c>
      <c r="P564" t="str">
        <f>IFERROR(IF(OR(HLOOKUP($A564,#REF!,14,FALSE)&gt;2,HLOOKUP($A564,#REF!,14,FALSE)&lt;-2),"",#REF!),"")</f>
        <v/>
      </c>
      <c r="Q564" t="str">
        <f>IFERROR(IF(OR(HLOOKUP($A564,#REF!,15,FALSE)&gt;2,HLOOKUP($A564,#REF!,15,FALSE)&lt;-2),"",#REF!),"")</f>
        <v/>
      </c>
      <c r="R564" t="str">
        <f>IFERROR(IF(OR(HLOOKUP($A564,#REF!,16,FALSE)&gt;2,HLOOKUP($A564,#REF!,16,FALSE)&lt;-2),"",#REF!),"")</f>
        <v/>
      </c>
      <c r="S564" t="str">
        <f>IFERROR(IF(OR(HLOOKUP($A564,#REF!,17,FALSE)&gt;2,HLOOKUP($A564,#REF!,17,FALSE)&lt;-2),"",#REF!),"")</f>
        <v/>
      </c>
      <c r="T564" t="str">
        <f>IFERROR(IF(OR(HLOOKUP($A564,#REF!,18,FALSE)&gt;2,HLOOKUP($A564,#REF!,18,FALSE)&lt;-2),"",#REF!),"")</f>
        <v/>
      </c>
      <c r="U564" t="str">
        <f>IFERROR(IF(OR(HLOOKUP($A564,#REF!,19,FALSE)&gt;2,HLOOKUP($A564,#REF!,19,FALSE)&lt;-2),"",#REF!),"")</f>
        <v/>
      </c>
      <c r="V564">
        <f t="shared" si="32"/>
        <v>1</v>
      </c>
      <c r="W564" t="str">
        <f t="shared" si="33"/>
        <v/>
      </c>
      <c r="X564" t="str">
        <f t="shared" si="34"/>
        <v/>
      </c>
      <c r="Y564" t="str">
        <f t="shared" si="35"/>
        <v/>
      </c>
    </row>
    <row r="565" spans="1:25" x14ac:dyDescent="0.35">
      <c r="A565">
        <v>573</v>
      </c>
      <c r="B565" t="s">
        <v>271</v>
      </c>
      <c r="C565">
        <v>15800</v>
      </c>
      <c r="D565">
        <v>409</v>
      </c>
      <c r="E565" t="str">
        <f>IFERROR(IF(OR(HLOOKUP($A565,#REF!,3,FALSE)&gt;2,HLOOKUP(A565,#REF!,3,FALSE)&lt;-2),"",#REF!),"")</f>
        <v/>
      </c>
      <c r="F565" t="str">
        <f>IFERROR(IF(OR(HLOOKUP($A565,#REF!,4,FALSE)&gt;2,HLOOKUP($A565,#REF!,4,FALSE)&lt;-2),"",#REF!),"")</f>
        <v/>
      </c>
      <c r="G565" t="str">
        <f>IFERROR(IF(OR(HLOOKUP($A565,#REF!,5,FALSE)&gt;2,HLOOKUP($A565,#REF!,5,FALSE)&lt;-2),"",#REF!),"")</f>
        <v/>
      </c>
      <c r="H565" t="str">
        <f>IFERROR(IF(OR(HLOOKUP($A565,#REF!,6,FALSE)&gt;2,HLOOKUP($A565,#REF!,6,FALSE)&lt;-2),"",#REF!),"")</f>
        <v/>
      </c>
      <c r="I565" t="str">
        <f>IFERROR(IF(OR(HLOOKUP($A565,#REF!,7,FALSE)&gt;2,HLOOKUP($A565,#REF!,7,FALSE)&lt;-2),"",#REF!),"")</f>
        <v/>
      </c>
      <c r="J565" t="str">
        <f>IFERROR(IF(OR(HLOOKUP($A565,#REF!,8,FALSE)&gt;2,HLOOKUP($A565,#REF!,8,FALSE)&lt;-2),"",#REF!),"")</f>
        <v/>
      </c>
      <c r="K565" t="str">
        <f>IFERROR(IF(OR(HLOOKUP($A565,#REF!,9,FALSE)&gt;2,HLOOKUP($A565,#REF!,9,FALSE)&lt;-2),"",#REF!),"")</f>
        <v/>
      </c>
      <c r="L565" t="str">
        <f>IFERROR(IF(OR(HLOOKUP($A565,#REF!,10,FALSE)&gt;2,HLOOKUP($A565,#REF!,10,FALSE)&lt;-2),"",#REF!),"")</f>
        <v/>
      </c>
      <c r="M565" t="str">
        <f>IFERROR(IF(OR(HLOOKUP($A565,#REF!,11,FALSE)&gt;2,HLOOKUP($A565,#REF!,11,FALSE)&lt;-2),"",#REF!),"")</f>
        <v/>
      </c>
      <c r="N565" t="str">
        <f>IFERROR(IF(OR(HLOOKUP($A565,#REF!,12,FALSE)&gt;2,HLOOKUP($A565,#REF!,12,FALSE)&lt;-2),"",#REF!),"")</f>
        <v/>
      </c>
      <c r="O565" t="str">
        <f>IFERROR(IF(OR(HLOOKUP($A565,#REF!,13,FALSE)&gt;2,HLOOKUP($A565,#REF!,13,FALSE)&lt;-2),"",#REF!),"")</f>
        <v/>
      </c>
      <c r="P565" t="str">
        <f>IFERROR(IF(OR(HLOOKUP($A565,#REF!,14,FALSE)&gt;2,HLOOKUP($A565,#REF!,14,FALSE)&lt;-2),"",#REF!),"")</f>
        <v/>
      </c>
      <c r="Q565" t="str">
        <f>IFERROR(IF(OR(HLOOKUP($A565,#REF!,15,FALSE)&gt;2,HLOOKUP($A565,#REF!,15,FALSE)&lt;-2),"",#REF!),"")</f>
        <v/>
      </c>
      <c r="R565" t="str">
        <f>IFERROR(IF(OR(HLOOKUP($A565,#REF!,16,FALSE)&gt;2,HLOOKUP($A565,#REF!,16,FALSE)&lt;-2),"",#REF!),"")</f>
        <v/>
      </c>
      <c r="S565" t="str">
        <f>IFERROR(IF(OR(HLOOKUP($A565,#REF!,17,FALSE)&gt;2,HLOOKUP($A565,#REF!,17,FALSE)&lt;-2),"",#REF!),"")</f>
        <v/>
      </c>
      <c r="T565" t="str">
        <f>IFERROR(IF(OR(HLOOKUP($A565,#REF!,18,FALSE)&gt;2,HLOOKUP($A565,#REF!,18,FALSE)&lt;-2),"",#REF!),"")</f>
        <v/>
      </c>
      <c r="U565" t="str">
        <f>IFERROR(IF(OR(HLOOKUP($A565,#REF!,19,FALSE)&gt;2,HLOOKUP($A565,#REF!,19,FALSE)&lt;-2),"",#REF!),"")</f>
        <v/>
      </c>
      <c r="V565">
        <f t="shared" si="32"/>
        <v>1</v>
      </c>
      <c r="W565" t="str">
        <f t="shared" si="33"/>
        <v/>
      </c>
      <c r="X565" t="str">
        <f t="shared" si="34"/>
        <v/>
      </c>
      <c r="Y565" t="str">
        <f t="shared" si="35"/>
        <v/>
      </c>
    </row>
    <row r="566" spans="1:25" x14ac:dyDescent="0.35">
      <c r="A566">
        <v>574</v>
      </c>
      <c r="B566" t="s">
        <v>272</v>
      </c>
      <c r="C566">
        <v>88100</v>
      </c>
      <c r="D566">
        <v>987</v>
      </c>
      <c r="E566" t="str">
        <f>IFERROR(IF(OR(HLOOKUP($A566,#REF!,3,FALSE)&gt;2,HLOOKUP(A566,#REF!,3,FALSE)&lt;-2),"",#REF!),"")</f>
        <v/>
      </c>
      <c r="F566" t="str">
        <f>IFERROR(IF(OR(HLOOKUP($A566,#REF!,4,FALSE)&gt;2,HLOOKUP($A566,#REF!,4,FALSE)&lt;-2),"",#REF!),"")</f>
        <v/>
      </c>
      <c r="G566" t="str">
        <f>IFERROR(IF(OR(HLOOKUP($A566,#REF!,5,FALSE)&gt;2,HLOOKUP($A566,#REF!,5,FALSE)&lt;-2),"",#REF!),"")</f>
        <v/>
      </c>
      <c r="H566" t="str">
        <f>IFERROR(IF(OR(HLOOKUP($A566,#REF!,6,FALSE)&gt;2,HLOOKUP($A566,#REF!,6,FALSE)&lt;-2),"",#REF!),"")</f>
        <v/>
      </c>
      <c r="I566" t="str">
        <f>IFERROR(IF(OR(HLOOKUP($A566,#REF!,7,FALSE)&gt;2,HLOOKUP($A566,#REF!,7,FALSE)&lt;-2),"",#REF!),"")</f>
        <v/>
      </c>
      <c r="J566" t="str">
        <f>IFERROR(IF(OR(HLOOKUP($A566,#REF!,8,FALSE)&gt;2,HLOOKUP($A566,#REF!,8,FALSE)&lt;-2),"",#REF!),"")</f>
        <v/>
      </c>
      <c r="K566" t="str">
        <f>IFERROR(IF(OR(HLOOKUP($A566,#REF!,9,FALSE)&gt;2,HLOOKUP($A566,#REF!,9,FALSE)&lt;-2),"",#REF!),"")</f>
        <v/>
      </c>
      <c r="L566" t="str">
        <f>IFERROR(IF(OR(HLOOKUP($A566,#REF!,10,FALSE)&gt;2,HLOOKUP($A566,#REF!,10,FALSE)&lt;-2),"",#REF!),"")</f>
        <v/>
      </c>
      <c r="M566" t="str">
        <f>IFERROR(IF(OR(HLOOKUP($A566,#REF!,11,FALSE)&gt;2,HLOOKUP($A566,#REF!,11,FALSE)&lt;-2),"",#REF!),"")</f>
        <v/>
      </c>
      <c r="N566" t="str">
        <f>IFERROR(IF(OR(HLOOKUP($A566,#REF!,12,FALSE)&gt;2,HLOOKUP($A566,#REF!,12,FALSE)&lt;-2),"",#REF!),"")</f>
        <v/>
      </c>
      <c r="O566" t="str">
        <f>IFERROR(IF(OR(HLOOKUP($A566,#REF!,13,FALSE)&gt;2,HLOOKUP($A566,#REF!,13,FALSE)&lt;-2),"",#REF!),"")</f>
        <v/>
      </c>
      <c r="P566" t="str">
        <f>IFERROR(IF(OR(HLOOKUP($A566,#REF!,14,FALSE)&gt;2,HLOOKUP($A566,#REF!,14,FALSE)&lt;-2),"",#REF!),"")</f>
        <v/>
      </c>
      <c r="Q566" t="str">
        <f>IFERROR(IF(OR(HLOOKUP($A566,#REF!,15,FALSE)&gt;2,HLOOKUP($A566,#REF!,15,FALSE)&lt;-2),"",#REF!),"")</f>
        <v/>
      </c>
      <c r="R566" t="str">
        <f>IFERROR(IF(OR(HLOOKUP($A566,#REF!,16,FALSE)&gt;2,HLOOKUP($A566,#REF!,16,FALSE)&lt;-2),"",#REF!),"")</f>
        <v/>
      </c>
      <c r="S566" t="str">
        <f>IFERROR(IF(OR(HLOOKUP($A566,#REF!,17,FALSE)&gt;2,HLOOKUP($A566,#REF!,17,FALSE)&lt;-2),"",#REF!),"")</f>
        <v/>
      </c>
      <c r="T566" t="str">
        <f>IFERROR(IF(OR(HLOOKUP($A566,#REF!,18,FALSE)&gt;2,HLOOKUP($A566,#REF!,18,FALSE)&lt;-2),"",#REF!),"")</f>
        <v/>
      </c>
      <c r="U566" t="str">
        <f>IFERROR(IF(OR(HLOOKUP($A566,#REF!,19,FALSE)&gt;2,HLOOKUP($A566,#REF!,19,FALSE)&lt;-2),"",#REF!),"")</f>
        <v/>
      </c>
      <c r="V566">
        <f t="shared" si="32"/>
        <v>1</v>
      </c>
      <c r="W566" t="str">
        <f t="shared" si="33"/>
        <v/>
      </c>
      <c r="X566" t="str">
        <f t="shared" si="34"/>
        <v/>
      </c>
      <c r="Y566" t="str">
        <f t="shared" si="35"/>
        <v/>
      </c>
    </row>
    <row r="567" spans="1:25" x14ac:dyDescent="0.35">
      <c r="A567">
        <v>575</v>
      </c>
      <c r="B567" t="s">
        <v>273</v>
      </c>
      <c r="C567">
        <v>68700</v>
      </c>
      <c r="D567">
        <v>51</v>
      </c>
      <c r="E567" t="str">
        <f>IFERROR(IF(OR(HLOOKUP($A567,#REF!,3,FALSE)&gt;2,HLOOKUP(A567,#REF!,3,FALSE)&lt;-2),"",#REF!),"")</f>
        <v/>
      </c>
      <c r="F567" t="str">
        <f>IFERROR(IF(OR(HLOOKUP($A567,#REF!,4,FALSE)&gt;2,HLOOKUP($A567,#REF!,4,FALSE)&lt;-2),"",#REF!),"")</f>
        <v/>
      </c>
      <c r="G567" t="str">
        <f>IFERROR(IF(OR(HLOOKUP($A567,#REF!,5,FALSE)&gt;2,HLOOKUP($A567,#REF!,5,FALSE)&lt;-2),"",#REF!),"")</f>
        <v/>
      </c>
      <c r="H567" t="str">
        <f>IFERROR(IF(OR(HLOOKUP($A567,#REF!,6,FALSE)&gt;2,HLOOKUP($A567,#REF!,6,FALSE)&lt;-2),"",#REF!),"")</f>
        <v/>
      </c>
      <c r="I567" t="str">
        <f>IFERROR(IF(OR(HLOOKUP($A567,#REF!,7,FALSE)&gt;2,HLOOKUP($A567,#REF!,7,FALSE)&lt;-2),"",#REF!),"")</f>
        <v/>
      </c>
      <c r="J567" t="str">
        <f>IFERROR(IF(OR(HLOOKUP($A567,#REF!,8,FALSE)&gt;2,HLOOKUP($A567,#REF!,8,FALSE)&lt;-2),"",#REF!),"")</f>
        <v/>
      </c>
      <c r="K567" t="str">
        <f>IFERROR(IF(OR(HLOOKUP($A567,#REF!,9,FALSE)&gt;2,HLOOKUP($A567,#REF!,9,FALSE)&lt;-2),"",#REF!),"")</f>
        <v/>
      </c>
      <c r="L567" t="str">
        <f>IFERROR(IF(OR(HLOOKUP($A567,#REF!,10,FALSE)&gt;2,HLOOKUP($A567,#REF!,10,FALSE)&lt;-2),"",#REF!),"")</f>
        <v/>
      </c>
      <c r="M567" t="str">
        <f>IFERROR(IF(OR(HLOOKUP($A567,#REF!,11,FALSE)&gt;2,HLOOKUP($A567,#REF!,11,FALSE)&lt;-2),"",#REF!),"")</f>
        <v/>
      </c>
      <c r="N567" t="str">
        <f>IFERROR(IF(OR(HLOOKUP($A567,#REF!,12,FALSE)&gt;2,HLOOKUP($A567,#REF!,12,FALSE)&lt;-2),"",#REF!),"")</f>
        <v/>
      </c>
      <c r="O567" t="str">
        <f>IFERROR(IF(OR(HLOOKUP($A567,#REF!,13,FALSE)&gt;2,HLOOKUP($A567,#REF!,13,FALSE)&lt;-2),"",#REF!),"")</f>
        <v/>
      </c>
      <c r="P567" t="str">
        <f>IFERROR(IF(OR(HLOOKUP($A567,#REF!,14,FALSE)&gt;2,HLOOKUP($A567,#REF!,14,FALSE)&lt;-2),"",#REF!),"")</f>
        <v/>
      </c>
      <c r="Q567" t="str">
        <f>IFERROR(IF(OR(HLOOKUP($A567,#REF!,15,FALSE)&gt;2,HLOOKUP($A567,#REF!,15,FALSE)&lt;-2),"",#REF!),"")</f>
        <v/>
      </c>
      <c r="R567" t="str">
        <f>IFERROR(IF(OR(HLOOKUP($A567,#REF!,16,FALSE)&gt;2,HLOOKUP($A567,#REF!,16,FALSE)&lt;-2),"",#REF!),"")</f>
        <v/>
      </c>
      <c r="S567" t="str">
        <f>IFERROR(IF(OR(HLOOKUP($A567,#REF!,17,FALSE)&gt;2,HLOOKUP($A567,#REF!,17,FALSE)&lt;-2),"",#REF!),"")</f>
        <v/>
      </c>
      <c r="T567" t="str">
        <f>IFERROR(IF(OR(HLOOKUP($A567,#REF!,18,FALSE)&gt;2,HLOOKUP($A567,#REF!,18,FALSE)&lt;-2),"",#REF!),"")</f>
        <v/>
      </c>
      <c r="U567" t="str">
        <f>IFERROR(IF(OR(HLOOKUP($A567,#REF!,19,FALSE)&gt;2,HLOOKUP($A567,#REF!,19,FALSE)&lt;-2),"",#REF!),"")</f>
        <v/>
      </c>
      <c r="V567">
        <f t="shared" si="32"/>
        <v>1</v>
      </c>
      <c r="W567" t="str">
        <f t="shared" si="33"/>
        <v/>
      </c>
      <c r="X567" t="str">
        <f t="shared" si="34"/>
        <v/>
      </c>
      <c r="Y567" t="str">
        <f t="shared" si="35"/>
        <v/>
      </c>
    </row>
    <row r="568" spans="1:25" x14ac:dyDescent="0.35">
      <c r="A568">
        <v>576</v>
      </c>
      <c r="B568" t="s">
        <v>274</v>
      </c>
      <c r="C568">
        <v>92600</v>
      </c>
      <c r="D568">
        <v>370</v>
      </c>
      <c r="E568" t="str">
        <f>IFERROR(IF(OR(HLOOKUP($A568,#REF!,3,FALSE)&gt;2,HLOOKUP(A568,#REF!,3,FALSE)&lt;-2),"",#REF!),"")</f>
        <v/>
      </c>
      <c r="F568" t="str">
        <f>IFERROR(IF(OR(HLOOKUP($A568,#REF!,4,FALSE)&gt;2,HLOOKUP($A568,#REF!,4,FALSE)&lt;-2),"",#REF!),"")</f>
        <v/>
      </c>
      <c r="G568" t="str">
        <f>IFERROR(IF(OR(HLOOKUP($A568,#REF!,5,FALSE)&gt;2,HLOOKUP($A568,#REF!,5,FALSE)&lt;-2),"",#REF!),"")</f>
        <v/>
      </c>
      <c r="H568" t="str">
        <f>IFERROR(IF(OR(HLOOKUP($A568,#REF!,6,FALSE)&gt;2,HLOOKUP($A568,#REF!,6,FALSE)&lt;-2),"",#REF!),"")</f>
        <v/>
      </c>
      <c r="I568" t="str">
        <f>IFERROR(IF(OR(HLOOKUP($A568,#REF!,7,FALSE)&gt;2,HLOOKUP($A568,#REF!,7,FALSE)&lt;-2),"",#REF!),"")</f>
        <v/>
      </c>
      <c r="J568" t="str">
        <f>IFERROR(IF(OR(HLOOKUP($A568,#REF!,8,FALSE)&gt;2,HLOOKUP($A568,#REF!,8,FALSE)&lt;-2),"",#REF!),"")</f>
        <v/>
      </c>
      <c r="K568" t="str">
        <f>IFERROR(IF(OR(HLOOKUP($A568,#REF!,9,FALSE)&gt;2,HLOOKUP($A568,#REF!,9,FALSE)&lt;-2),"",#REF!),"")</f>
        <v/>
      </c>
      <c r="L568" t="str">
        <f>IFERROR(IF(OR(HLOOKUP($A568,#REF!,10,FALSE)&gt;2,HLOOKUP($A568,#REF!,10,FALSE)&lt;-2),"",#REF!),"")</f>
        <v/>
      </c>
      <c r="M568" t="str">
        <f>IFERROR(IF(OR(HLOOKUP($A568,#REF!,11,FALSE)&gt;2,HLOOKUP($A568,#REF!,11,FALSE)&lt;-2),"",#REF!),"")</f>
        <v/>
      </c>
      <c r="N568" t="str">
        <f>IFERROR(IF(OR(HLOOKUP($A568,#REF!,12,FALSE)&gt;2,HLOOKUP($A568,#REF!,12,FALSE)&lt;-2),"",#REF!),"")</f>
        <v/>
      </c>
      <c r="O568" t="str">
        <f>IFERROR(IF(OR(HLOOKUP($A568,#REF!,13,FALSE)&gt;2,HLOOKUP($A568,#REF!,13,FALSE)&lt;-2),"",#REF!),"")</f>
        <v/>
      </c>
      <c r="P568" t="str">
        <f>IFERROR(IF(OR(HLOOKUP($A568,#REF!,14,FALSE)&gt;2,HLOOKUP($A568,#REF!,14,FALSE)&lt;-2),"",#REF!),"")</f>
        <v/>
      </c>
      <c r="Q568" t="str">
        <f>IFERROR(IF(OR(HLOOKUP($A568,#REF!,15,FALSE)&gt;2,HLOOKUP($A568,#REF!,15,FALSE)&lt;-2),"",#REF!),"")</f>
        <v/>
      </c>
      <c r="R568" t="str">
        <f>IFERROR(IF(OR(HLOOKUP($A568,#REF!,16,FALSE)&gt;2,HLOOKUP($A568,#REF!,16,FALSE)&lt;-2),"",#REF!),"")</f>
        <v/>
      </c>
      <c r="S568" t="str">
        <f>IFERROR(IF(OR(HLOOKUP($A568,#REF!,17,FALSE)&gt;2,HLOOKUP($A568,#REF!,17,FALSE)&lt;-2),"",#REF!),"")</f>
        <v/>
      </c>
      <c r="T568" t="str">
        <f>IFERROR(IF(OR(HLOOKUP($A568,#REF!,18,FALSE)&gt;2,HLOOKUP($A568,#REF!,18,FALSE)&lt;-2),"",#REF!),"")</f>
        <v/>
      </c>
      <c r="U568" t="str">
        <f>IFERROR(IF(OR(HLOOKUP($A568,#REF!,19,FALSE)&gt;2,HLOOKUP($A568,#REF!,19,FALSE)&lt;-2),"",#REF!),"")</f>
        <v/>
      </c>
      <c r="V568">
        <f t="shared" si="32"/>
        <v>1</v>
      </c>
      <c r="W568" t="str">
        <f t="shared" si="33"/>
        <v/>
      </c>
      <c r="X568" t="str">
        <f t="shared" si="34"/>
        <v/>
      </c>
      <c r="Y568" t="str">
        <f t="shared" si="35"/>
        <v/>
      </c>
    </row>
    <row r="569" spans="1:25" x14ac:dyDescent="0.35">
      <c r="A569">
        <v>577</v>
      </c>
      <c r="B569" t="s">
        <v>275</v>
      </c>
      <c r="C569">
        <v>6600</v>
      </c>
      <c r="D569">
        <v>369</v>
      </c>
      <c r="E569" t="str">
        <f>IFERROR(IF(OR(HLOOKUP($A569,#REF!,3,FALSE)&gt;2,HLOOKUP(A569,#REF!,3,FALSE)&lt;-2),"",#REF!),"")</f>
        <v/>
      </c>
      <c r="F569" t="str">
        <f>IFERROR(IF(OR(HLOOKUP($A569,#REF!,4,FALSE)&gt;2,HLOOKUP($A569,#REF!,4,FALSE)&lt;-2),"",#REF!),"")</f>
        <v/>
      </c>
      <c r="G569" t="str">
        <f>IFERROR(IF(OR(HLOOKUP($A569,#REF!,5,FALSE)&gt;2,HLOOKUP($A569,#REF!,5,FALSE)&lt;-2),"",#REF!),"")</f>
        <v/>
      </c>
      <c r="H569" t="str">
        <f>IFERROR(IF(OR(HLOOKUP($A569,#REF!,6,FALSE)&gt;2,HLOOKUP($A569,#REF!,6,FALSE)&lt;-2),"",#REF!),"")</f>
        <v/>
      </c>
      <c r="I569" t="str">
        <f>IFERROR(IF(OR(HLOOKUP($A569,#REF!,7,FALSE)&gt;2,HLOOKUP($A569,#REF!,7,FALSE)&lt;-2),"",#REF!),"")</f>
        <v/>
      </c>
      <c r="J569" t="str">
        <f>IFERROR(IF(OR(HLOOKUP($A569,#REF!,8,FALSE)&gt;2,HLOOKUP($A569,#REF!,8,FALSE)&lt;-2),"",#REF!),"")</f>
        <v/>
      </c>
      <c r="K569" t="str">
        <f>IFERROR(IF(OR(HLOOKUP($A569,#REF!,9,FALSE)&gt;2,HLOOKUP($A569,#REF!,9,FALSE)&lt;-2),"",#REF!),"")</f>
        <v/>
      </c>
      <c r="L569" t="str">
        <f>IFERROR(IF(OR(HLOOKUP($A569,#REF!,10,FALSE)&gt;2,HLOOKUP($A569,#REF!,10,FALSE)&lt;-2),"",#REF!),"")</f>
        <v/>
      </c>
      <c r="M569" t="str">
        <f>IFERROR(IF(OR(HLOOKUP($A569,#REF!,11,FALSE)&gt;2,HLOOKUP($A569,#REF!,11,FALSE)&lt;-2),"",#REF!),"")</f>
        <v/>
      </c>
      <c r="N569" t="str">
        <f>IFERROR(IF(OR(HLOOKUP($A569,#REF!,12,FALSE)&gt;2,HLOOKUP($A569,#REF!,12,FALSE)&lt;-2),"",#REF!),"")</f>
        <v/>
      </c>
      <c r="O569" t="str">
        <f>IFERROR(IF(OR(HLOOKUP($A569,#REF!,13,FALSE)&gt;2,HLOOKUP($A569,#REF!,13,FALSE)&lt;-2),"",#REF!),"")</f>
        <v/>
      </c>
      <c r="P569" t="str">
        <f>IFERROR(IF(OR(HLOOKUP($A569,#REF!,14,FALSE)&gt;2,HLOOKUP($A569,#REF!,14,FALSE)&lt;-2),"",#REF!),"")</f>
        <v/>
      </c>
      <c r="Q569" t="str">
        <f>IFERROR(IF(OR(HLOOKUP($A569,#REF!,15,FALSE)&gt;2,HLOOKUP($A569,#REF!,15,FALSE)&lt;-2),"",#REF!),"")</f>
        <v/>
      </c>
      <c r="R569" t="str">
        <f>IFERROR(IF(OR(HLOOKUP($A569,#REF!,16,FALSE)&gt;2,HLOOKUP($A569,#REF!,16,FALSE)&lt;-2),"",#REF!),"")</f>
        <v/>
      </c>
      <c r="S569" t="str">
        <f>IFERROR(IF(OR(HLOOKUP($A569,#REF!,17,FALSE)&gt;2,HLOOKUP($A569,#REF!,17,FALSE)&lt;-2),"",#REF!),"")</f>
        <v/>
      </c>
      <c r="T569" t="str">
        <f>IFERROR(IF(OR(HLOOKUP($A569,#REF!,18,FALSE)&gt;2,HLOOKUP($A569,#REF!,18,FALSE)&lt;-2),"",#REF!),"")</f>
        <v/>
      </c>
      <c r="U569" t="str">
        <f>IFERROR(IF(OR(HLOOKUP($A569,#REF!,19,FALSE)&gt;2,HLOOKUP($A569,#REF!,19,FALSE)&lt;-2),"",#REF!),"")</f>
        <v/>
      </c>
      <c r="V569">
        <f t="shared" si="32"/>
        <v>1</v>
      </c>
      <c r="W569" t="str">
        <f t="shared" si="33"/>
        <v/>
      </c>
      <c r="X569" t="str">
        <f t="shared" si="34"/>
        <v/>
      </c>
      <c r="Y569" t="str">
        <f t="shared" si="35"/>
        <v/>
      </c>
    </row>
    <row r="570" spans="1:25" x14ac:dyDescent="0.35">
      <c r="A570">
        <v>578</v>
      </c>
      <c r="B570" t="s">
        <v>897</v>
      </c>
      <c r="C570">
        <v>54200</v>
      </c>
      <c r="D570">
        <v>367</v>
      </c>
      <c r="E570" t="str">
        <f>IFERROR(IF(OR(HLOOKUP($A570,#REF!,3,FALSE)&gt;2,HLOOKUP(A570,#REF!,3,FALSE)&lt;-2),"",#REF!),"")</f>
        <v/>
      </c>
      <c r="F570" t="str">
        <f>IFERROR(IF(OR(HLOOKUP($A570,#REF!,4,FALSE)&gt;2,HLOOKUP($A570,#REF!,4,FALSE)&lt;-2),"",#REF!),"")</f>
        <v/>
      </c>
      <c r="G570" t="str">
        <f>IFERROR(IF(OR(HLOOKUP($A570,#REF!,5,FALSE)&gt;2,HLOOKUP($A570,#REF!,5,FALSE)&lt;-2),"",#REF!),"")</f>
        <v/>
      </c>
      <c r="H570" t="str">
        <f>IFERROR(IF(OR(HLOOKUP($A570,#REF!,6,FALSE)&gt;2,HLOOKUP($A570,#REF!,6,FALSE)&lt;-2),"",#REF!),"")</f>
        <v/>
      </c>
      <c r="I570" t="str">
        <f>IFERROR(IF(OR(HLOOKUP($A570,#REF!,7,FALSE)&gt;2,HLOOKUP($A570,#REF!,7,FALSE)&lt;-2),"",#REF!),"")</f>
        <v/>
      </c>
      <c r="J570" t="str">
        <f>IFERROR(IF(OR(HLOOKUP($A570,#REF!,8,FALSE)&gt;2,HLOOKUP($A570,#REF!,8,FALSE)&lt;-2),"",#REF!),"")</f>
        <v/>
      </c>
      <c r="K570" t="str">
        <f>IFERROR(IF(OR(HLOOKUP($A570,#REF!,9,FALSE)&gt;2,HLOOKUP($A570,#REF!,9,FALSE)&lt;-2),"",#REF!),"")</f>
        <v/>
      </c>
      <c r="L570" t="str">
        <f>IFERROR(IF(OR(HLOOKUP($A570,#REF!,10,FALSE)&gt;2,HLOOKUP($A570,#REF!,10,FALSE)&lt;-2),"",#REF!),"")</f>
        <v/>
      </c>
      <c r="M570" t="str">
        <f>IFERROR(IF(OR(HLOOKUP($A570,#REF!,11,FALSE)&gt;2,HLOOKUP($A570,#REF!,11,FALSE)&lt;-2),"",#REF!),"")</f>
        <v/>
      </c>
      <c r="N570" t="str">
        <f>IFERROR(IF(OR(HLOOKUP($A570,#REF!,12,FALSE)&gt;2,HLOOKUP($A570,#REF!,12,FALSE)&lt;-2),"",#REF!),"")</f>
        <v/>
      </c>
      <c r="O570" t="str">
        <f>IFERROR(IF(OR(HLOOKUP($A570,#REF!,13,FALSE)&gt;2,HLOOKUP($A570,#REF!,13,FALSE)&lt;-2),"",#REF!),"")</f>
        <v/>
      </c>
      <c r="P570" t="str">
        <f>IFERROR(IF(OR(HLOOKUP($A570,#REF!,14,FALSE)&gt;2,HLOOKUP($A570,#REF!,14,FALSE)&lt;-2),"",#REF!),"")</f>
        <v/>
      </c>
      <c r="Q570" t="str">
        <f>IFERROR(IF(OR(HLOOKUP($A570,#REF!,15,FALSE)&gt;2,HLOOKUP($A570,#REF!,15,FALSE)&lt;-2),"",#REF!),"")</f>
        <v/>
      </c>
      <c r="R570" t="str">
        <f>IFERROR(IF(OR(HLOOKUP($A570,#REF!,16,FALSE)&gt;2,HLOOKUP($A570,#REF!,16,FALSE)&lt;-2),"",#REF!),"")</f>
        <v/>
      </c>
      <c r="S570" t="str">
        <f>IFERROR(IF(OR(HLOOKUP($A570,#REF!,17,FALSE)&gt;2,HLOOKUP($A570,#REF!,17,FALSE)&lt;-2),"",#REF!),"")</f>
        <v/>
      </c>
      <c r="T570" t="str">
        <f>IFERROR(IF(OR(HLOOKUP($A570,#REF!,18,FALSE)&gt;2,HLOOKUP($A570,#REF!,18,FALSE)&lt;-2),"",#REF!),"")</f>
        <v/>
      </c>
      <c r="U570" t="str">
        <f>IFERROR(IF(OR(HLOOKUP($A570,#REF!,19,FALSE)&gt;2,HLOOKUP($A570,#REF!,19,FALSE)&lt;-2),"",#REF!),"")</f>
        <v/>
      </c>
      <c r="V570">
        <f t="shared" si="32"/>
        <v>1</v>
      </c>
      <c r="W570" t="str">
        <f t="shared" si="33"/>
        <v/>
      </c>
      <c r="X570" t="str">
        <f t="shared" si="34"/>
        <v/>
      </c>
      <c r="Y570" t="str">
        <f t="shared" si="35"/>
        <v/>
      </c>
    </row>
    <row r="571" spans="1:25" x14ac:dyDescent="0.35">
      <c r="A571">
        <v>579</v>
      </c>
      <c r="B571" t="s">
        <v>898</v>
      </c>
      <c r="C571">
        <v>106300</v>
      </c>
      <c r="D571">
        <v>956</v>
      </c>
      <c r="E571" t="str">
        <f>IFERROR(IF(OR(HLOOKUP($A571,#REF!,3,FALSE)&gt;2,HLOOKUP(A571,#REF!,3,FALSE)&lt;-2),"",#REF!),"")</f>
        <v/>
      </c>
      <c r="F571" t="str">
        <f>IFERROR(IF(OR(HLOOKUP($A571,#REF!,4,FALSE)&gt;2,HLOOKUP($A571,#REF!,4,FALSE)&lt;-2),"",#REF!),"")</f>
        <v/>
      </c>
      <c r="G571" t="str">
        <f>IFERROR(IF(OR(HLOOKUP($A571,#REF!,5,FALSE)&gt;2,HLOOKUP($A571,#REF!,5,FALSE)&lt;-2),"",#REF!),"")</f>
        <v/>
      </c>
      <c r="H571" t="str">
        <f>IFERROR(IF(OR(HLOOKUP($A571,#REF!,6,FALSE)&gt;2,HLOOKUP($A571,#REF!,6,FALSE)&lt;-2),"",#REF!),"")</f>
        <v/>
      </c>
      <c r="I571" t="str">
        <f>IFERROR(IF(OR(HLOOKUP($A571,#REF!,7,FALSE)&gt;2,HLOOKUP($A571,#REF!,7,FALSE)&lt;-2),"",#REF!),"")</f>
        <v/>
      </c>
      <c r="J571" t="str">
        <f>IFERROR(IF(OR(HLOOKUP($A571,#REF!,8,FALSE)&gt;2,HLOOKUP($A571,#REF!,8,FALSE)&lt;-2),"",#REF!),"")</f>
        <v/>
      </c>
      <c r="K571" t="str">
        <f>IFERROR(IF(OR(HLOOKUP($A571,#REF!,9,FALSE)&gt;2,HLOOKUP($A571,#REF!,9,FALSE)&lt;-2),"",#REF!),"")</f>
        <v/>
      </c>
      <c r="L571" t="str">
        <f>IFERROR(IF(OR(HLOOKUP($A571,#REF!,10,FALSE)&gt;2,HLOOKUP($A571,#REF!,10,FALSE)&lt;-2),"",#REF!),"")</f>
        <v/>
      </c>
      <c r="M571" t="str">
        <f>IFERROR(IF(OR(HLOOKUP($A571,#REF!,11,FALSE)&gt;2,HLOOKUP($A571,#REF!,11,FALSE)&lt;-2),"",#REF!),"")</f>
        <v/>
      </c>
      <c r="N571" t="str">
        <f>IFERROR(IF(OR(HLOOKUP($A571,#REF!,12,FALSE)&gt;2,HLOOKUP($A571,#REF!,12,FALSE)&lt;-2),"",#REF!),"")</f>
        <v/>
      </c>
      <c r="O571" t="str">
        <f>IFERROR(IF(OR(HLOOKUP($A571,#REF!,13,FALSE)&gt;2,HLOOKUP($A571,#REF!,13,FALSE)&lt;-2),"",#REF!),"")</f>
        <v/>
      </c>
      <c r="P571" t="str">
        <f>IFERROR(IF(OR(HLOOKUP($A571,#REF!,14,FALSE)&gt;2,HLOOKUP($A571,#REF!,14,FALSE)&lt;-2),"",#REF!),"")</f>
        <v/>
      </c>
      <c r="Q571" t="str">
        <f>IFERROR(IF(OR(HLOOKUP($A571,#REF!,15,FALSE)&gt;2,HLOOKUP($A571,#REF!,15,FALSE)&lt;-2),"",#REF!),"")</f>
        <v/>
      </c>
      <c r="R571" t="str">
        <f>IFERROR(IF(OR(HLOOKUP($A571,#REF!,16,FALSE)&gt;2,HLOOKUP($A571,#REF!,16,FALSE)&lt;-2),"",#REF!),"")</f>
        <v/>
      </c>
      <c r="S571" t="str">
        <f>IFERROR(IF(OR(HLOOKUP($A571,#REF!,17,FALSE)&gt;2,HLOOKUP($A571,#REF!,17,FALSE)&lt;-2),"",#REF!),"")</f>
        <v/>
      </c>
      <c r="T571" t="str">
        <f>IFERROR(IF(OR(HLOOKUP($A571,#REF!,18,FALSE)&gt;2,HLOOKUP($A571,#REF!,18,FALSE)&lt;-2),"",#REF!),"")</f>
        <v/>
      </c>
      <c r="U571" t="str">
        <f>IFERROR(IF(OR(HLOOKUP($A571,#REF!,19,FALSE)&gt;2,HLOOKUP($A571,#REF!,19,FALSE)&lt;-2),"",#REF!),"")</f>
        <v/>
      </c>
      <c r="V571">
        <f t="shared" si="32"/>
        <v>1</v>
      </c>
      <c r="W571" t="str">
        <f t="shared" si="33"/>
        <v/>
      </c>
      <c r="X571" t="str">
        <f t="shared" si="34"/>
        <v/>
      </c>
      <c r="Y571" t="str">
        <f t="shared" si="35"/>
        <v/>
      </c>
    </row>
    <row r="572" spans="1:25" x14ac:dyDescent="0.35">
      <c r="A572">
        <v>580</v>
      </c>
      <c r="B572" t="s">
        <v>276</v>
      </c>
      <c r="C572">
        <v>79500</v>
      </c>
      <c r="D572">
        <v>339</v>
      </c>
      <c r="E572" t="str">
        <f>IFERROR(IF(OR(HLOOKUP($A572,#REF!,3,FALSE)&gt;2,HLOOKUP(A572,#REF!,3,FALSE)&lt;-2),"",#REF!),"")</f>
        <v/>
      </c>
      <c r="F572" t="str">
        <f>IFERROR(IF(OR(HLOOKUP($A572,#REF!,4,FALSE)&gt;2,HLOOKUP($A572,#REF!,4,FALSE)&lt;-2),"",#REF!),"")</f>
        <v/>
      </c>
      <c r="G572" t="str">
        <f>IFERROR(IF(OR(HLOOKUP($A572,#REF!,5,FALSE)&gt;2,HLOOKUP($A572,#REF!,5,FALSE)&lt;-2),"",#REF!),"")</f>
        <v/>
      </c>
      <c r="H572" t="str">
        <f>IFERROR(IF(OR(HLOOKUP($A572,#REF!,6,FALSE)&gt;2,HLOOKUP($A572,#REF!,6,FALSE)&lt;-2),"",#REF!),"")</f>
        <v/>
      </c>
      <c r="I572" t="str">
        <f>IFERROR(IF(OR(HLOOKUP($A572,#REF!,7,FALSE)&gt;2,HLOOKUP($A572,#REF!,7,FALSE)&lt;-2),"",#REF!),"")</f>
        <v/>
      </c>
      <c r="J572" t="str">
        <f>IFERROR(IF(OR(HLOOKUP($A572,#REF!,8,FALSE)&gt;2,HLOOKUP($A572,#REF!,8,FALSE)&lt;-2),"",#REF!),"")</f>
        <v/>
      </c>
      <c r="K572" t="str">
        <f>IFERROR(IF(OR(HLOOKUP($A572,#REF!,9,FALSE)&gt;2,HLOOKUP($A572,#REF!,9,FALSE)&lt;-2),"",#REF!),"")</f>
        <v/>
      </c>
      <c r="L572" t="str">
        <f>IFERROR(IF(OR(HLOOKUP($A572,#REF!,10,FALSE)&gt;2,HLOOKUP($A572,#REF!,10,FALSE)&lt;-2),"",#REF!),"")</f>
        <v/>
      </c>
      <c r="M572" t="str">
        <f>IFERROR(IF(OR(HLOOKUP($A572,#REF!,11,FALSE)&gt;2,HLOOKUP($A572,#REF!,11,FALSE)&lt;-2),"",#REF!),"")</f>
        <v/>
      </c>
      <c r="N572" t="str">
        <f>IFERROR(IF(OR(HLOOKUP($A572,#REF!,12,FALSE)&gt;2,HLOOKUP($A572,#REF!,12,FALSE)&lt;-2),"",#REF!),"")</f>
        <v/>
      </c>
      <c r="O572" t="str">
        <f>IFERROR(IF(OR(HLOOKUP($A572,#REF!,13,FALSE)&gt;2,HLOOKUP($A572,#REF!,13,FALSE)&lt;-2),"",#REF!),"")</f>
        <v/>
      </c>
      <c r="P572" t="str">
        <f>IFERROR(IF(OR(HLOOKUP($A572,#REF!,14,FALSE)&gt;2,HLOOKUP($A572,#REF!,14,FALSE)&lt;-2),"",#REF!),"")</f>
        <v/>
      </c>
      <c r="Q572" t="str">
        <f>IFERROR(IF(OR(HLOOKUP($A572,#REF!,15,FALSE)&gt;2,HLOOKUP($A572,#REF!,15,FALSE)&lt;-2),"",#REF!),"")</f>
        <v/>
      </c>
      <c r="R572" t="str">
        <f>IFERROR(IF(OR(HLOOKUP($A572,#REF!,16,FALSE)&gt;2,HLOOKUP($A572,#REF!,16,FALSE)&lt;-2),"",#REF!),"")</f>
        <v/>
      </c>
      <c r="S572" t="str">
        <f>IFERROR(IF(OR(HLOOKUP($A572,#REF!,17,FALSE)&gt;2,HLOOKUP($A572,#REF!,17,FALSE)&lt;-2),"",#REF!),"")</f>
        <v/>
      </c>
      <c r="T572" t="str">
        <f>IFERROR(IF(OR(HLOOKUP($A572,#REF!,18,FALSE)&gt;2,HLOOKUP($A572,#REF!,18,FALSE)&lt;-2),"",#REF!),"")</f>
        <v/>
      </c>
      <c r="U572" t="str">
        <f>IFERROR(IF(OR(HLOOKUP($A572,#REF!,19,FALSE)&gt;2,HLOOKUP($A572,#REF!,19,FALSE)&lt;-2),"",#REF!),"")</f>
        <v/>
      </c>
      <c r="V572">
        <f t="shared" si="32"/>
        <v>1</v>
      </c>
      <c r="W572" t="str">
        <f t="shared" si="33"/>
        <v/>
      </c>
      <c r="X572" t="str">
        <f t="shared" si="34"/>
        <v/>
      </c>
      <c r="Y572" t="str">
        <f t="shared" si="35"/>
        <v/>
      </c>
    </row>
    <row r="573" spans="1:25" x14ac:dyDescent="0.35">
      <c r="A573">
        <v>581</v>
      </c>
      <c r="B573" t="s">
        <v>277</v>
      </c>
      <c r="C573">
        <v>52700</v>
      </c>
      <c r="D573">
        <v>826</v>
      </c>
      <c r="E573" t="str">
        <f>IFERROR(IF(OR(HLOOKUP($A573,#REF!,3,FALSE)&gt;2,HLOOKUP(A573,#REF!,3,FALSE)&lt;-2),"",#REF!),"")</f>
        <v/>
      </c>
      <c r="F573" t="str">
        <f>IFERROR(IF(OR(HLOOKUP($A573,#REF!,4,FALSE)&gt;2,HLOOKUP($A573,#REF!,4,FALSE)&lt;-2),"",#REF!),"")</f>
        <v/>
      </c>
      <c r="G573" t="str">
        <f>IFERROR(IF(OR(HLOOKUP($A573,#REF!,5,FALSE)&gt;2,HLOOKUP($A573,#REF!,5,FALSE)&lt;-2),"",#REF!),"")</f>
        <v/>
      </c>
      <c r="H573" t="str">
        <f>IFERROR(IF(OR(HLOOKUP($A573,#REF!,6,FALSE)&gt;2,HLOOKUP($A573,#REF!,6,FALSE)&lt;-2),"",#REF!),"")</f>
        <v/>
      </c>
      <c r="I573" t="str">
        <f>IFERROR(IF(OR(HLOOKUP($A573,#REF!,7,FALSE)&gt;2,HLOOKUP($A573,#REF!,7,FALSE)&lt;-2),"",#REF!),"")</f>
        <v/>
      </c>
      <c r="J573" t="str">
        <f>IFERROR(IF(OR(HLOOKUP($A573,#REF!,8,FALSE)&gt;2,HLOOKUP($A573,#REF!,8,FALSE)&lt;-2),"",#REF!),"")</f>
        <v/>
      </c>
      <c r="K573" t="str">
        <f>IFERROR(IF(OR(HLOOKUP($A573,#REF!,9,FALSE)&gt;2,HLOOKUP($A573,#REF!,9,FALSE)&lt;-2),"",#REF!),"")</f>
        <v/>
      </c>
      <c r="L573" t="str">
        <f>IFERROR(IF(OR(HLOOKUP($A573,#REF!,10,FALSE)&gt;2,HLOOKUP($A573,#REF!,10,FALSE)&lt;-2),"",#REF!),"")</f>
        <v/>
      </c>
      <c r="M573" t="str">
        <f>IFERROR(IF(OR(HLOOKUP($A573,#REF!,11,FALSE)&gt;2,HLOOKUP($A573,#REF!,11,FALSE)&lt;-2),"",#REF!),"")</f>
        <v/>
      </c>
      <c r="N573" t="str">
        <f>IFERROR(IF(OR(HLOOKUP($A573,#REF!,12,FALSE)&gt;2,HLOOKUP($A573,#REF!,12,FALSE)&lt;-2),"",#REF!),"")</f>
        <v/>
      </c>
      <c r="O573" t="str">
        <f>IFERROR(IF(OR(HLOOKUP($A573,#REF!,13,FALSE)&gt;2,HLOOKUP($A573,#REF!,13,FALSE)&lt;-2),"",#REF!),"")</f>
        <v/>
      </c>
      <c r="P573" t="str">
        <f>IFERROR(IF(OR(HLOOKUP($A573,#REF!,14,FALSE)&gt;2,HLOOKUP($A573,#REF!,14,FALSE)&lt;-2),"",#REF!),"")</f>
        <v/>
      </c>
      <c r="Q573" t="str">
        <f>IFERROR(IF(OR(HLOOKUP($A573,#REF!,15,FALSE)&gt;2,HLOOKUP($A573,#REF!,15,FALSE)&lt;-2),"",#REF!),"")</f>
        <v/>
      </c>
      <c r="R573" t="str">
        <f>IFERROR(IF(OR(HLOOKUP($A573,#REF!,16,FALSE)&gt;2,HLOOKUP($A573,#REF!,16,FALSE)&lt;-2),"",#REF!),"")</f>
        <v/>
      </c>
      <c r="S573" t="str">
        <f>IFERROR(IF(OR(HLOOKUP($A573,#REF!,17,FALSE)&gt;2,HLOOKUP($A573,#REF!,17,FALSE)&lt;-2),"",#REF!),"")</f>
        <v/>
      </c>
      <c r="T573" t="str">
        <f>IFERROR(IF(OR(HLOOKUP($A573,#REF!,18,FALSE)&gt;2,HLOOKUP($A573,#REF!,18,FALSE)&lt;-2),"",#REF!),"")</f>
        <v/>
      </c>
      <c r="U573" t="str">
        <f>IFERROR(IF(OR(HLOOKUP($A573,#REF!,19,FALSE)&gt;2,HLOOKUP($A573,#REF!,19,FALSE)&lt;-2),"",#REF!),"")</f>
        <v/>
      </c>
      <c r="V573">
        <f t="shared" si="32"/>
        <v>1</v>
      </c>
      <c r="W573" t="str">
        <f t="shared" si="33"/>
        <v/>
      </c>
      <c r="X573" t="str">
        <f t="shared" si="34"/>
        <v/>
      </c>
      <c r="Y573" t="str">
        <f t="shared" si="35"/>
        <v/>
      </c>
    </row>
    <row r="574" spans="1:25" x14ac:dyDescent="0.35">
      <c r="A574">
        <v>582</v>
      </c>
      <c r="B574" t="s">
        <v>278</v>
      </c>
      <c r="C574">
        <v>22300</v>
      </c>
      <c r="D574">
        <v>731</v>
      </c>
      <c r="E574" t="str">
        <f>IFERROR(IF(OR(HLOOKUP($A574,#REF!,3,FALSE)&gt;2,HLOOKUP(A574,#REF!,3,FALSE)&lt;-2),"",#REF!),"")</f>
        <v/>
      </c>
      <c r="F574" t="str">
        <f>IFERROR(IF(OR(HLOOKUP($A574,#REF!,4,FALSE)&gt;2,HLOOKUP($A574,#REF!,4,FALSE)&lt;-2),"",#REF!),"")</f>
        <v/>
      </c>
      <c r="G574" t="str">
        <f>IFERROR(IF(OR(HLOOKUP($A574,#REF!,5,FALSE)&gt;2,HLOOKUP($A574,#REF!,5,FALSE)&lt;-2),"",#REF!),"")</f>
        <v/>
      </c>
      <c r="H574" t="str">
        <f>IFERROR(IF(OR(HLOOKUP($A574,#REF!,6,FALSE)&gt;2,HLOOKUP($A574,#REF!,6,FALSE)&lt;-2),"",#REF!),"")</f>
        <v/>
      </c>
      <c r="I574" t="str">
        <f>IFERROR(IF(OR(HLOOKUP($A574,#REF!,7,FALSE)&gt;2,HLOOKUP($A574,#REF!,7,FALSE)&lt;-2),"",#REF!),"")</f>
        <v/>
      </c>
      <c r="J574" t="str">
        <f>IFERROR(IF(OR(HLOOKUP($A574,#REF!,8,FALSE)&gt;2,HLOOKUP($A574,#REF!,8,FALSE)&lt;-2),"",#REF!),"")</f>
        <v/>
      </c>
      <c r="K574" t="str">
        <f>IFERROR(IF(OR(HLOOKUP($A574,#REF!,9,FALSE)&gt;2,HLOOKUP($A574,#REF!,9,FALSE)&lt;-2),"",#REF!),"")</f>
        <v/>
      </c>
      <c r="L574" t="str">
        <f>IFERROR(IF(OR(HLOOKUP($A574,#REF!,10,FALSE)&gt;2,HLOOKUP($A574,#REF!,10,FALSE)&lt;-2),"",#REF!),"")</f>
        <v/>
      </c>
      <c r="M574" t="str">
        <f>IFERROR(IF(OR(HLOOKUP($A574,#REF!,11,FALSE)&gt;2,HLOOKUP($A574,#REF!,11,FALSE)&lt;-2),"",#REF!),"")</f>
        <v/>
      </c>
      <c r="N574" t="str">
        <f>IFERROR(IF(OR(HLOOKUP($A574,#REF!,12,FALSE)&gt;2,HLOOKUP($A574,#REF!,12,FALSE)&lt;-2),"",#REF!),"")</f>
        <v/>
      </c>
      <c r="O574" t="str">
        <f>IFERROR(IF(OR(HLOOKUP($A574,#REF!,13,FALSE)&gt;2,HLOOKUP($A574,#REF!,13,FALSE)&lt;-2),"",#REF!),"")</f>
        <v/>
      </c>
      <c r="P574" t="str">
        <f>IFERROR(IF(OR(HLOOKUP($A574,#REF!,14,FALSE)&gt;2,HLOOKUP($A574,#REF!,14,FALSE)&lt;-2),"",#REF!),"")</f>
        <v/>
      </c>
      <c r="Q574" t="str">
        <f>IFERROR(IF(OR(HLOOKUP($A574,#REF!,15,FALSE)&gt;2,HLOOKUP($A574,#REF!,15,FALSE)&lt;-2),"",#REF!),"")</f>
        <v/>
      </c>
      <c r="R574" t="str">
        <f>IFERROR(IF(OR(HLOOKUP($A574,#REF!,16,FALSE)&gt;2,HLOOKUP($A574,#REF!,16,FALSE)&lt;-2),"",#REF!),"")</f>
        <v/>
      </c>
      <c r="S574" t="str">
        <f>IFERROR(IF(OR(HLOOKUP($A574,#REF!,17,FALSE)&gt;2,HLOOKUP($A574,#REF!,17,FALSE)&lt;-2),"",#REF!),"")</f>
        <v/>
      </c>
      <c r="T574" t="str">
        <f>IFERROR(IF(OR(HLOOKUP($A574,#REF!,18,FALSE)&gt;2,HLOOKUP($A574,#REF!,18,FALSE)&lt;-2),"",#REF!),"")</f>
        <v/>
      </c>
      <c r="U574" t="str">
        <f>IFERROR(IF(OR(HLOOKUP($A574,#REF!,19,FALSE)&gt;2,HLOOKUP($A574,#REF!,19,FALSE)&lt;-2),"",#REF!),"")</f>
        <v/>
      </c>
      <c r="V574">
        <f t="shared" si="32"/>
        <v>1</v>
      </c>
      <c r="W574" t="str">
        <f t="shared" si="33"/>
        <v/>
      </c>
      <c r="X574" t="str">
        <f t="shared" si="34"/>
        <v/>
      </c>
      <c r="Y574" t="str">
        <f t="shared" si="35"/>
        <v/>
      </c>
    </row>
    <row r="575" spans="1:25" x14ac:dyDescent="0.35">
      <c r="A575">
        <v>583</v>
      </c>
      <c r="B575" t="s">
        <v>279</v>
      </c>
      <c r="C575">
        <v>46600</v>
      </c>
      <c r="D575">
        <v>703</v>
      </c>
      <c r="E575" t="str">
        <f>IFERROR(IF(OR(HLOOKUP($A575,#REF!,3,FALSE)&gt;2,HLOOKUP(A575,#REF!,3,FALSE)&lt;-2),"",#REF!),"")</f>
        <v/>
      </c>
      <c r="F575" t="str">
        <f>IFERROR(IF(OR(HLOOKUP($A575,#REF!,4,FALSE)&gt;2,HLOOKUP($A575,#REF!,4,FALSE)&lt;-2),"",#REF!),"")</f>
        <v/>
      </c>
      <c r="G575" t="str">
        <f>IFERROR(IF(OR(HLOOKUP($A575,#REF!,5,FALSE)&gt;2,HLOOKUP($A575,#REF!,5,FALSE)&lt;-2),"",#REF!),"")</f>
        <v/>
      </c>
      <c r="H575" t="str">
        <f>IFERROR(IF(OR(HLOOKUP($A575,#REF!,6,FALSE)&gt;2,HLOOKUP($A575,#REF!,6,FALSE)&lt;-2),"",#REF!),"")</f>
        <v/>
      </c>
      <c r="I575" t="str">
        <f>IFERROR(IF(OR(HLOOKUP($A575,#REF!,7,FALSE)&gt;2,HLOOKUP($A575,#REF!,7,FALSE)&lt;-2),"",#REF!),"")</f>
        <v/>
      </c>
      <c r="J575" t="str">
        <f>IFERROR(IF(OR(HLOOKUP($A575,#REF!,8,FALSE)&gt;2,HLOOKUP($A575,#REF!,8,FALSE)&lt;-2),"",#REF!),"")</f>
        <v/>
      </c>
      <c r="K575" t="str">
        <f>IFERROR(IF(OR(HLOOKUP($A575,#REF!,9,FALSE)&gt;2,HLOOKUP($A575,#REF!,9,FALSE)&lt;-2),"",#REF!),"")</f>
        <v/>
      </c>
      <c r="L575" t="str">
        <f>IFERROR(IF(OR(HLOOKUP($A575,#REF!,10,FALSE)&gt;2,HLOOKUP($A575,#REF!,10,FALSE)&lt;-2),"",#REF!),"")</f>
        <v/>
      </c>
      <c r="M575" t="str">
        <f>IFERROR(IF(OR(HLOOKUP($A575,#REF!,11,FALSE)&gt;2,HLOOKUP($A575,#REF!,11,FALSE)&lt;-2),"",#REF!),"")</f>
        <v/>
      </c>
      <c r="N575" t="str">
        <f>IFERROR(IF(OR(HLOOKUP($A575,#REF!,12,FALSE)&gt;2,HLOOKUP($A575,#REF!,12,FALSE)&lt;-2),"",#REF!),"")</f>
        <v/>
      </c>
      <c r="O575" t="str">
        <f>IFERROR(IF(OR(HLOOKUP($A575,#REF!,13,FALSE)&gt;2,HLOOKUP($A575,#REF!,13,FALSE)&lt;-2),"",#REF!),"")</f>
        <v/>
      </c>
      <c r="P575" t="str">
        <f>IFERROR(IF(OR(HLOOKUP($A575,#REF!,14,FALSE)&gt;2,HLOOKUP($A575,#REF!,14,FALSE)&lt;-2),"",#REF!),"")</f>
        <v/>
      </c>
      <c r="Q575" t="str">
        <f>IFERROR(IF(OR(HLOOKUP($A575,#REF!,15,FALSE)&gt;2,HLOOKUP($A575,#REF!,15,FALSE)&lt;-2),"",#REF!),"")</f>
        <v/>
      </c>
      <c r="R575" t="str">
        <f>IFERROR(IF(OR(HLOOKUP($A575,#REF!,16,FALSE)&gt;2,HLOOKUP($A575,#REF!,16,FALSE)&lt;-2),"",#REF!),"")</f>
        <v/>
      </c>
      <c r="S575" t="str">
        <f>IFERROR(IF(OR(HLOOKUP($A575,#REF!,17,FALSE)&gt;2,HLOOKUP($A575,#REF!,17,FALSE)&lt;-2),"",#REF!),"")</f>
        <v/>
      </c>
      <c r="T575" t="str">
        <f>IFERROR(IF(OR(HLOOKUP($A575,#REF!,18,FALSE)&gt;2,HLOOKUP($A575,#REF!,18,FALSE)&lt;-2),"",#REF!),"")</f>
        <v/>
      </c>
      <c r="U575" t="str">
        <f>IFERROR(IF(OR(HLOOKUP($A575,#REF!,19,FALSE)&gt;2,HLOOKUP($A575,#REF!,19,FALSE)&lt;-2),"",#REF!),"")</f>
        <v/>
      </c>
      <c r="V575">
        <f t="shared" si="32"/>
        <v>1</v>
      </c>
      <c r="W575" t="str">
        <f t="shared" si="33"/>
        <v/>
      </c>
      <c r="X575" t="str">
        <f t="shared" si="34"/>
        <v/>
      </c>
      <c r="Y575" t="str">
        <f t="shared" si="35"/>
        <v/>
      </c>
    </row>
    <row r="576" spans="1:25" x14ac:dyDescent="0.35">
      <c r="A576">
        <v>584</v>
      </c>
      <c r="B576" t="s">
        <v>899</v>
      </c>
      <c r="C576">
        <v>35300</v>
      </c>
      <c r="D576">
        <v>655</v>
      </c>
      <c r="E576" t="str">
        <f>IFERROR(IF(OR(HLOOKUP($A576,#REF!,3,FALSE)&gt;2,HLOOKUP(A576,#REF!,3,FALSE)&lt;-2),"",#REF!),"")</f>
        <v/>
      </c>
      <c r="F576" t="str">
        <f>IFERROR(IF(OR(HLOOKUP($A576,#REF!,4,FALSE)&gt;2,HLOOKUP($A576,#REF!,4,FALSE)&lt;-2),"",#REF!),"")</f>
        <v/>
      </c>
      <c r="G576" t="str">
        <f>IFERROR(IF(OR(HLOOKUP($A576,#REF!,5,FALSE)&gt;2,HLOOKUP($A576,#REF!,5,FALSE)&lt;-2),"",#REF!),"")</f>
        <v/>
      </c>
      <c r="H576" t="str">
        <f>IFERROR(IF(OR(HLOOKUP($A576,#REF!,6,FALSE)&gt;2,HLOOKUP($A576,#REF!,6,FALSE)&lt;-2),"",#REF!),"")</f>
        <v/>
      </c>
      <c r="I576" t="str">
        <f>IFERROR(IF(OR(HLOOKUP($A576,#REF!,7,FALSE)&gt;2,HLOOKUP($A576,#REF!,7,FALSE)&lt;-2),"",#REF!),"")</f>
        <v/>
      </c>
      <c r="J576" t="str">
        <f>IFERROR(IF(OR(HLOOKUP($A576,#REF!,8,FALSE)&gt;2,HLOOKUP($A576,#REF!,8,FALSE)&lt;-2),"",#REF!),"")</f>
        <v/>
      </c>
      <c r="K576" t="str">
        <f>IFERROR(IF(OR(HLOOKUP($A576,#REF!,9,FALSE)&gt;2,HLOOKUP($A576,#REF!,9,FALSE)&lt;-2),"",#REF!),"")</f>
        <v/>
      </c>
      <c r="L576" t="str">
        <f>IFERROR(IF(OR(HLOOKUP($A576,#REF!,10,FALSE)&gt;2,HLOOKUP($A576,#REF!,10,FALSE)&lt;-2),"",#REF!),"")</f>
        <v/>
      </c>
      <c r="M576" t="str">
        <f>IFERROR(IF(OR(HLOOKUP($A576,#REF!,11,FALSE)&gt;2,HLOOKUP($A576,#REF!,11,FALSE)&lt;-2),"",#REF!),"")</f>
        <v/>
      </c>
      <c r="N576" t="str">
        <f>IFERROR(IF(OR(HLOOKUP($A576,#REF!,12,FALSE)&gt;2,HLOOKUP($A576,#REF!,12,FALSE)&lt;-2),"",#REF!),"")</f>
        <v/>
      </c>
      <c r="O576" t="str">
        <f>IFERROR(IF(OR(HLOOKUP($A576,#REF!,13,FALSE)&gt;2,HLOOKUP($A576,#REF!,13,FALSE)&lt;-2),"",#REF!),"")</f>
        <v/>
      </c>
      <c r="P576" t="str">
        <f>IFERROR(IF(OR(HLOOKUP($A576,#REF!,14,FALSE)&gt;2,HLOOKUP($A576,#REF!,14,FALSE)&lt;-2),"",#REF!),"")</f>
        <v/>
      </c>
      <c r="Q576" t="str">
        <f>IFERROR(IF(OR(HLOOKUP($A576,#REF!,15,FALSE)&gt;2,HLOOKUP($A576,#REF!,15,FALSE)&lt;-2),"",#REF!),"")</f>
        <v/>
      </c>
      <c r="R576" t="str">
        <f>IFERROR(IF(OR(HLOOKUP($A576,#REF!,16,FALSE)&gt;2,HLOOKUP($A576,#REF!,16,FALSE)&lt;-2),"",#REF!),"")</f>
        <v/>
      </c>
      <c r="S576" t="str">
        <f>IFERROR(IF(OR(HLOOKUP($A576,#REF!,17,FALSE)&gt;2,HLOOKUP($A576,#REF!,17,FALSE)&lt;-2),"",#REF!),"")</f>
        <v/>
      </c>
      <c r="T576" t="str">
        <f>IFERROR(IF(OR(HLOOKUP($A576,#REF!,18,FALSE)&gt;2,HLOOKUP($A576,#REF!,18,FALSE)&lt;-2),"",#REF!),"")</f>
        <v/>
      </c>
      <c r="U576" t="str">
        <f>IFERROR(IF(OR(HLOOKUP($A576,#REF!,19,FALSE)&gt;2,HLOOKUP($A576,#REF!,19,FALSE)&lt;-2),"",#REF!),"")</f>
        <v/>
      </c>
      <c r="V576">
        <f t="shared" si="32"/>
        <v>1</v>
      </c>
      <c r="W576" t="str">
        <f t="shared" si="33"/>
        <v/>
      </c>
      <c r="X576" t="str">
        <f t="shared" si="34"/>
        <v/>
      </c>
      <c r="Y576" t="str">
        <f t="shared" si="35"/>
        <v/>
      </c>
    </row>
    <row r="577" spans="1:25" x14ac:dyDescent="0.35">
      <c r="A577">
        <v>585</v>
      </c>
      <c r="B577" t="s">
        <v>900</v>
      </c>
      <c r="C577">
        <v>54300</v>
      </c>
      <c r="D577">
        <v>367</v>
      </c>
      <c r="E577" t="str">
        <f>IFERROR(IF(OR(HLOOKUP($A577,#REF!,3,FALSE)&gt;2,HLOOKUP(A577,#REF!,3,FALSE)&lt;-2),"",#REF!),"")</f>
        <v/>
      </c>
      <c r="F577" t="str">
        <f>IFERROR(IF(OR(HLOOKUP($A577,#REF!,4,FALSE)&gt;2,HLOOKUP($A577,#REF!,4,FALSE)&lt;-2),"",#REF!),"")</f>
        <v/>
      </c>
      <c r="G577" t="str">
        <f>IFERROR(IF(OR(HLOOKUP($A577,#REF!,5,FALSE)&gt;2,HLOOKUP($A577,#REF!,5,FALSE)&lt;-2),"",#REF!),"")</f>
        <v/>
      </c>
      <c r="H577" t="str">
        <f>IFERROR(IF(OR(HLOOKUP($A577,#REF!,6,FALSE)&gt;2,HLOOKUP($A577,#REF!,6,FALSE)&lt;-2),"",#REF!),"")</f>
        <v/>
      </c>
      <c r="I577" t="str">
        <f>IFERROR(IF(OR(HLOOKUP($A577,#REF!,7,FALSE)&gt;2,HLOOKUP($A577,#REF!,7,FALSE)&lt;-2),"",#REF!),"")</f>
        <v/>
      </c>
      <c r="J577" t="str">
        <f>IFERROR(IF(OR(HLOOKUP($A577,#REF!,8,FALSE)&gt;2,HLOOKUP($A577,#REF!,8,FALSE)&lt;-2),"",#REF!),"")</f>
        <v/>
      </c>
      <c r="K577" t="str">
        <f>IFERROR(IF(OR(HLOOKUP($A577,#REF!,9,FALSE)&gt;2,HLOOKUP($A577,#REF!,9,FALSE)&lt;-2),"",#REF!),"")</f>
        <v/>
      </c>
      <c r="L577" t="str">
        <f>IFERROR(IF(OR(HLOOKUP($A577,#REF!,10,FALSE)&gt;2,HLOOKUP($A577,#REF!,10,FALSE)&lt;-2),"",#REF!),"")</f>
        <v/>
      </c>
      <c r="M577" t="str">
        <f>IFERROR(IF(OR(HLOOKUP($A577,#REF!,11,FALSE)&gt;2,HLOOKUP($A577,#REF!,11,FALSE)&lt;-2),"",#REF!),"")</f>
        <v/>
      </c>
      <c r="N577" t="str">
        <f>IFERROR(IF(OR(HLOOKUP($A577,#REF!,12,FALSE)&gt;2,HLOOKUP($A577,#REF!,12,FALSE)&lt;-2),"",#REF!),"")</f>
        <v/>
      </c>
      <c r="O577" t="str">
        <f>IFERROR(IF(OR(HLOOKUP($A577,#REF!,13,FALSE)&gt;2,HLOOKUP($A577,#REF!,13,FALSE)&lt;-2),"",#REF!),"")</f>
        <v/>
      </c>
      <c r="P577" t="str">
        <f>IFERROR(IF(OR(HLOOKUP($A577,#REF!,14,FALSE)&gt;2,HLOOKUP($A577,#REF!,14,FALSE)&lt;-2),"",#REF!),"")</f>
        <v/>
      </c>
      <c r="Q577" t="str">
        <f>IFERROR(IF(OR(HLOOKUP($A577,#REF!,15,FALSE)&gt;2,HLOOKUP($A577,#REF!,15,FALSE)&lt;-2),"",#REF!),"")</f>
        <v/>
      </c>
      <c r="R577" t="str">
        <f>IFERROR(IF(OR(HLOOKUP($A577,#REF!,16,FALSE)&gt;2,HLOOKUP($A577,#REF!,16,FALSE)&lt;-2),"",#REF!),"")</f>
        <v/>
      </c>
      <c r="S577" t="str">
        <f>IFERROR(IF(OR(HLOOKUP($A577,#REF!,17,FALSE)&gt;2,HLOOKUP($A577,#REF!,17,FALSE)&lt;-2),"",#REF!),"")</f>
        <v/>
      </c>
      <c r="T577" t="str">
        <f>IFERROR(IF(OR(HLOOKUP($A577,#REF!,18,FALSE)&gt;2,HLOOKUP($A577,#REF!,18,FALSE)&lt;-2),"",#REF!),"")</f>
        <v/>
      </c>
      <c r="U577" t="str">
        <f>IFERROR(IF(OR(HLOOKUP($A577,#REF!,19,FALSE)&gt;2,HLOOKUP($A577,#REF!,19,FALSE)&lt;-2),"",#REF!),"")</f>
        <v/>
      </c>
      <c r="V577">
        <f t="shared" si="32"/>
        <v>1</v>
      </c>
      <c r="W577" t="str">
        <f t="shared" si="33"/>
        <v/>
      </c>
      <c r="X577" t="str">
        <f t="shared" si="34"/>
        <v/>
      </c>
      <c r="Y577" t="str">
        <f t="shared" si="35"/>
        <v/>
      </c>
    </row>
    <row r="578" spans="1:25" x14ac:dyDescent="0.35">
      <c r="A578">
        <v>586</v>
      </c>
      <c r="B578" t="s">
        <v>901</v>
      </c>
      <c r="C578">
        <v>102500</v>
      </c>
      <c r="D578">
        <v>932</v>
      </c>
      <c r="E578" t="str">
        <f>IFERROR(IF(OR(HLOOKUP($A578,#REF!,3,FALSE)&gt;2,HLOOKUP(A578,#REF!,3,FALSE)&lt;-2),"",#REF!),"")</f>
        <v/>
      </c>
      <c r="F578" t="str">
        <f>IFERROR(IF(OR(HLOOKUP($A578,#REF!,4,FALSE)&gt;2,HLOOKUP($A578,#REF!,4,FALSE)&lt;-2),"",#REF!),"")</f>
        <v/>
      </c>
      <c r="G578" t="str">
        <f>IFERROR(IF(OR(HLOOKUP($A578,#REF!,5,FALSE)&gt;2,HLOOKUP($A578,#REF!,5,FALSE)&lt;-2),"",#REF!),"")</f>
        <v/>
      </c>
      <c r="H578" t="str">
        <f>IFERROR(IF(OR(HLOOKUP($A578,#REF!,6,FALSE)&gt;2,HLOOKUP($A578,#REF!,6,FALSE)&lt;-2),"",#REF!),"")</f>
        <v/>
      </c>
      <c r="I578" t="str">
        <f>IFERROR(IF(OR(HLOOKUP($A578,#REF!,7,FALSE)&gt;2,HLOOKUP($A578,#REF!,7,FALSE)&lt;-2),"",#REF!),"")</f>
        <v/>
      </c>
      <c r="J578" t="str">
        <f>IFERROR(IF(OR(HLOOKUP($A578,#REF!,8,FALSE)&gt;2,HLOOKUP($A578,#REF!,8,FALSE)&lt;-2),"",#REF!),"")</f>
        <v/>
      </c>
      <c r="K578" t="str">
        <f>IFERROR(IF(OR(HLOOKUP($A578,#REF!,9,FALSE)&gt;2,HLOOKUP($A578,#REF!,9,FALSE)&lt;-2),"",#REF!),"")</f>
        <v/>
      </c>
      <c r="L578" t="str">
        <f>IFERROR(IF(OR(HLOOKUP($A578,#REF!,10,FALSE)&gt;2,HLOOKUP($A578,#REF!,10,FALSE)&lt;-2),"",#REF!),"")</f>
        <v/>
      </c>
      <c r="M578" t="str">
        <f>IFERROR(IF(OR(HLOOKUP($A578,#REF!,11,FALSE)&gt;2,HLOOKUP($A578,#REF!,11,FALSE)&lt;-2),"",#REF!),"")</f>
        <v/>
      </c>
      <c r="N578" t="str">
        <f>IFERROR(IF(OR(HLOOKUP($A578,#REF!,12,FALSE)&gt;2,HLOOKUP($A578,#REF!,12,FALSE)&lt;-2),"",#REF!),"")</f>
        <v/>
      </c>
      <c r="O578" t="str">
        <f>IFERROR(IF(OR(HLOOKUP($A578,#REF!,13,FALSE)&gt;2,HLOOKUP($A578,#REF!,13,FALSE)&lt;-2),"",#REF!),"")</f>
        <v/>
      </c>
      <c r="P578" t="str">
        <f>IFERROR(IF(OR(HLOOKUP($A578,#REF!,14,FALSE)&gt;2,HLOOKUP($A578,#REF!,14,FALSE)&lt;-2),"",#REF!),"")</f>
        <v/>
      </c>
      <c r="Q578" t="str">
        <f>IFERROR(IF(OR(HLOOKUP($A578,#REF!,15,FALSE)&gt;2,HLOOKUP($A578,#REF!,15,FALSE)&lt;-2),"",#REF!),"")</f>
        <v/>
      </c>
      <c r="R578" t="str">
        <f>IFERROR(IF(OR(HLOOKUP($A578,#REF!,16,FALSE)&gt;2,HLOOKUP($A578,#REF!,16,FALSE)&lt;-2),"",#REF!),"")</f>
        <v/>
      </c>
      <c r="S578" t="str">
        <f>IFERROR(IF(OR(HLOOKUP($A578,#REF!,17,FALSE)&gt;2,HLOOKUP($A578,#REF!,17,FALSE)&lt;-2),"",#REF!),"")</f>
        <v/>
      </c>
      <c r="T578" t="str">
        <f>IFERROR(IF(OR(HLOOKUP($A578,#REF!,18,FALSE)&gt;2,HLOOKUP($A578,#REF!,18,FALSE)&lt;-2),"",#REF!),"")</f>
        <v/>
      </c>
      <c r="U578" t="str">
        <f>IFERROR(IF(OR(HLOOKUP($A578,#REF!,19,FALSE)&gt;2,HLOOKUP($A578,#REF!,19,FALSE)&lt;-2),"",#REF!),"")</f>
        <v/>
      </c>
      <c r="V578">
        <f t="shared" si="32"/>
        <v>1</v>
      </c>
      <c r="W578" t="str">
        <f t="shared" si="33"/>
        <v/>
      </c>
      <c r="X578" t="str">
        <f t="shared" si="34"/>
        <v/>
      </c>
      <c r="Y578" t="str">
        <f t="shared" si="35"/>
        <v/>
      </c>
    </row>
    <row r="579" spans="1:25" x14ac:dyDescent="0.35">
      <c r="A579">
        <v>587</v>
      </c>
      <c r="B579" t="s">
        <v>280</v>
      </c>
      <c r="C579">
        <v>81800</v>
      </c>
      <c r="D579">
        <v>795</v>
      </c>
      <c r="E579" t="str">
        <f>IFERROR(IF(OR(HLOOKUP($A579,#REF!,3,FALSE)&gt;2,HLOOKUP(A579,#REF!,3,FALSE)&lt;-2),"",#REF!),"")</f>
        <v/>
      </c>
      <c r="F579" t="str">
        <f>IFERROR(IF(OR(HLOOKUP($A579,#REF!,4,FALSE)&gt;2,HLOOKUP($A579,#REF!,4,FALSE)&lt;-2),"",#REF!),"")</f>
        <v/>
      </c>
      <c r="G579" t="str">
        <f>IFERROR(IF(OR(HLOOKUP($A579,#REF!,5,FALSE)&gt;2,HLOOKUP($A579,#REF!,5,FALSE)&lt;-2),"",#REF!),"")</f>
        <v/>
      </c>
      <c r="H579" t="str">
        <f>IFERROR(IF(OR(HLOOKUP($A579,#REF!,6,FALSE)&gt;2,HLOOKUP($A579,#REF!,6,FALSE)&lt;-2),"",#REF!),"")</f>
        <v/>
      </c>
      <c r="I579" t="str">
        <f>IFERROR(IF(OR(HLOOKUP($A579,#REF!,7,FALSE)&gt;2,HLOOKUP($A579,#REF!,7,FALSE)&lt;-2),"",#REF!),"")</f>
        <v/>
      </c>
      <c r="J579" t="str">
        <f>IFERROR(IF(OR(HLOOKUP($A579,#REF!,8,FALSE)&gt;2,HLOOKUP($A579,#REF!,8,FALSE)&lt;-2),"",#REF!),"")</f>
        <v/>
      </c>
      <c r="K579" t="str">
        <f>IFERROR(IF(OR(HLOOKUP($A579,#REF!,9,FALSE)&gt;2,HLOOKUP($A579,#REF!,9,FALSE)&lt;-2),"",#REF!),"")</f>
        <v/>
      </c>
      <c r="L579" t="str">
        <f>IFERROR(IF(OR(HLOOKUP($A579,#REF!,10,FALSE)&gt;2,HLOOKUP($A579,#REF!,10,FALSE)&lt;-2),"",#REF!),"")</f>
        <v/>
      </c>
      <c r="M579" t="str">
        <f>IFERROR(IF(OR(HLOOKUP($A579,#REF!,11,FALSE)&gt;2,HLOOKUP($A579,#REF!,11,FALSE)&lt;-2),"",#REF!),"")</f>
        <v/>
      </c>
      <c r="N579" t="str">
        <f>IFERROR(IF(OR(HLOOKUP($A579,#REF!,12,FALSE)&gt;2,HLOOKUP($A579,#REF!,12,FALSE)&lt;-2),"",#REF!),"")</f>
        <v/>
      </c>
      <c r="O579" t="str">
        <f>IFERROR(IF(OR(HLOOKUP($A579,#REF!,13,FALSE)&gt;2,HLOOKUP($A579,#REF!,13,FALSE)&lt;-2),"",#REF!),"")</f>
        <v/>
      </c>
      <c r="P579" t="str">
        <f>IFERROR(IF(OR(HLOOKUP($A579,#REF!,14,FALSE)&gt;2,HLOOKUP($A579,#REF!,14,FALSE)&lt;-2),"",#REF!),"")</f>
        <v/>
      </c>
      <c r="Q579" t="str">
        <f>IFERROR(IF(OR(HLOOKUP($A579,#REF!,15,FALSE)&gt;2,HLOOKUP($A579,#REF!,15,FALSE)&lt;-2),"",#REF!),"")</f>
        <v/>
      </c>
      <c r="R579" t="str">
        <f>IFERROR(IF(OR(HLOOKUP($A579,#REF!,16,FALSE)&gt;2,HLOOKUP($A579,#REF!,16,FALSE)&lt;-2),"",#REF!),"")</f>
        <v/>
      </c>
      <c r="S579" t="str">
        <f>IFERROR(IF(OR(HLOOKUP($A579,#REF!,17,FALSE)&gt;2,HLOOKUP($A579,#REF!,17,FALSE)&lt;-2),"",#REF!),"")</f>
        <v/>
      </c>
      <c r="T579" t="str">
        <f>IFERROR(IF(OR(HLOOKUP($A579,#REF!,18,FALSE)&gt;2,HLOOKUP($A579,#REF!,18,FALSE)&lt;-2),"",#REF!),"")</f>
        <v/>
      </c>
      <c r="U579" t="str">
        <f>IFERROR(IF(OR(HLOOKUP($A579,#REF!,19,FALSE)&gt;2,HLOOKUP($A579,#REF!,19,FALSE)&lt;-2),"",#REF!),"")</f>
        <v/>
      </c>
      <c r="V579">
        <f t="shared" si="32"/>
        <v>1</v>
      </c>
      <c r="W579" t="str">
        <f t="shared" si="33"/>
        <v/>
      </c>
      <c r="X579" t="str">
        <f t="shared" si="34"/>
        <v/>
      </c>
      <c r="Y579" t="str">
        <f t="shared" si="35"/>
        <v/>
      </c>
    </row>
    <row r="580" spans="1:25" x14ac:dyDescent="0.35">
      <c r="A580">
        <v>588</v>
      </c>
      <c r="B580" t="s">
        <v>281</v>
      </c>
      <c r="C580">
        <v>19600</v>
      </c>
      <c r="D580">
        <v>48</v>
      </c>
      <c r="E580" t="str">
        <f>IFERROR(IF(OR(HLOOKUP($A580,#REF!,3,FALSE)&gt;2,HLOOKUP(A580,#REF!,3,FALSE)&lt;-2),"",#REF!),"")</f>
        <v/>
      </c>
      <c r="F580" t="str">
        <f>IFERROR(IF(OR(HLOOKUP($A580,#REF!,4,FALSE)&gt;2,HLOOKUP($A580,#REF!,4,FALSE)&lt;-2),"",#REF!),"")</f>
        <v/>
      </c>
      <c r="G580" t="str">
        <f>IFERROR(IF(OR(HLOOKUP($A580,#REF!,5,FALSE)&gt;2,HLOOKUP($A580,#REF!,5,FALSE)&lt;-2),"",#REF!),"")</f>
        <v/>
      </c>
      <c r="H580" t="str">
        <f>IFERROR(IF(OR(HLOOKUP($A580,#REF!,6,FALSE)&gt;2,HLOOKUP($A580,#REF!,6,FALSE)&lt;-2),"",#REF!),"")</f>
        <v/>
      </c>
      <c r="I580" t="str">
        <f>IFERROR(IF(OR(HLOOKUP($A580,#REF!,7,FALSE)&gt;2,HLOOKUP($A580,#REF!,7,FALSE)&lt;-2),"",#REF!),"")</f>
        <v/>
      </c>
      <c r="J580" t="str">
        <f>IFERROR(IF(OR(HLOOKUP($A580,#REF!,8,FALSE)&gt;2,HLOOKUP($A580,#REF!,8,FALSE)&lt;-2),"",#REF!),"")</f>
        <v/>
      </c>
      <c r="K580" t="str">
        <f>IFERROR(IF(OR(HLOOKUP($A580,#REF!,9,FALSE)&gt;2,HLOOKUP($A580,#REF!,9,FALSE)&lt;-2),"",#REF!),"")</f>
        <v/>
      </c>
      <c r="L580" t="str">
        <f>IFERROR(IF(OR(HLOOKUP($A580,#REF!,10,FALSE)&gt;2,HLOOKUP($A580,#REF!,10,FALSE)&lt;-2),"",#REF!),"")</f>
        <v/>
      </c>
      <c r="M580" t="str">
        <f>IFERROR(IF(OR(HLOOKUP($A580,#REF!,11,FALSE)&gt;2,HLOOKUP($A580,#REF!,11,FALSE)&lt;-2),"",#REF!),"")</f>
        <v/>
      </c>
      <c r="N580" t="str">
        <f>IFERROR(IF(OR(HLOOKUP($A580,#REF!,12,FALSE)&gt;2,HLOOKUP($A580,#REF!,12,FALSE)&lt;-2),"",#REF!),"")</f>
        <v/>
      </c>
      <c r="O580" t="str">
        <f>IFERROR(IF(OR(HLOOKUP($A580,#REF!,13,FALSE)&gt;2,HLOOKUP($A580,#REF!,13,FALSE)&lt;-2),"",#REF!),"")</f>
        <v/>
      </c>
      <c r="P580" t="str">
        <f>IFERROR(IF(OR(HLOOKUP($A580,#REF!,14,FALSE)&gt;2,HLOOKUP($A580,#REF!,14,FALSE)&lt;-2),"",#REF!),"")</f>
        <v/>
      </c>
      <c r="Q580" t="str">
        <f>IFERROR(IF(OR(HLOOKUP($A580,#REF!,15,FALSE)&gt;2,HLOOKUP($A580,#REF!,15,FALSE)&lt;-2),"",#REF!),"")</f>
        <v/>
      </c>
      <c r="R580" t="str">
        <f>IFERROR(IF(OR(HLOOKUP($A580,#REF!,16,FALSE)&gt;2,HLOOKUP($A580,#REF!,16,FALSE)&lt;-2),"",#REF!),"")</f>
        <v/>
      </c>
      <c r="S580" t="str">
        <f>IFERROR(IF(OR(HLOOKUP($A580,#REF!,17,FALSE)&gt;2,HLOOKUP($A580,#REF!,17,FALSE)&lt;-2),"",#REF!),"")</f>
        <v/>
      </c>
      <c r="T580" t="str">
        <f>IFERROR(IF(OR(HLOOKUP($A580,#REF!,18,FALSE)&gt;2,HLOOKUP($A580,#REF!,18,FALSE)&lt;-2),"",#REF!),"")</f>
        <v/>
      </c>
      <c r="U580" t="str">
        <f>IFERROR(IF(OR(HLOOKUP($A580,#REF!,19,FALSE)&gt;2,HLOOKUP($A580,#REF!,19,FALSE)&lt;-2),"",#REF!),"")</f>
        <v/>
      </c>
      <c r="V580">
        <f t="shared" ref="V580:V643" si="36">IFERROR(IF(AND(X580=0,Y580=0),0,1),0)</f>
        <v>1</v>
      </c>
      <c r="W580" t="str">
        <f t="shared" ref="W580:W643" si="37">IFERROR(_xlfn.T.TEST(E580:M580,N580:U580,2,2),"")</f>
        <v/>
      </c>
      <c r="X580" t="str">
        <f t="shared" ref="X580:X643" si="38">IFERROR(AVERAGE(E580:M580),"")</f>
        <v/>
      </c>
      <c r="Y580" t="str">
        <f t="shared" ref="Y580:Y643" si="39">IFERROR(AVERAGE(N580:U580),"")</f>
        <v/>
      </c>
    </row>
    <row r="581" spans="1:25" x14ac:dyDescent="0.35">
      <c r="A581">
        <v>589</v>
      </c>
      <c r="B581" t="s">
        <v>282</v>
      </c>
      <c r="C581">
        <v>31800</v>
      </c>
      <c r="D581">
        <v>698</v>
      </c>
      <c r="E581" t="str">
        <f>IFERROR(IF(OR(HLOOKUP($A581,#REF!,3,FALSE)&gt;2,HLOOKUP(A581,#REF!,3,FALSE)&lt;-2),"",#REF!),"")</f>
        <v/>
      </c>
      <c r="F581" t="str">
        <f>IFERROR(IF(OR(HLOOKUP($A581,#REF!,4,FALSE)&gt;2,HLOOKUP($A581,#REF!,4,FALSE)&lt;-2),"",#REF!),"")</f>
        <v/>
      </c>
      <c r="G581" t="str">
        <f>IFERROR(IF(OR(HLOOKUP($A581,#REF!,5,FALSE)&gt;2,HLOOKUP($A581,#REF!,5,FALSE)&lt;-2),"",#REF!),"")</f>
        <v/>
      </c>
      <c r="H581" t="str">
        <f>IFERROR(IF(OR(HLOOKUP($A581,#REF!,6,FALSE)&gt;2,HLOOKUP($A581,#REF!,6,FALSE)&lt;-2),"",#REF!),"")</f>
        <v/>
      </c>
      <c r="I581" t="str">
        <f>IFERROR(IF(OR(HLOOKUP($A581,#REF!,7,FALSE)&gt;2,HLOOKUP($A581,#REF!,7,FALSE)&lt;-2),"",#REF!),"")</f>
        <v/>
      </c>
      <c r="J581" t="str">
        <f>IFERROR(IF(OR(HLOOKUP($A581,#REF!,8,FALSE)&gt;2,HLOOKUP($A581,#REF!,8,FALSE)&lt;-2),"",#REF!),"")</f>
        <v/>
      </c>
      <c r="K581" t="str">
        <f>IFERROR(IF(OR(HLOOKUP($A581,#REF!,9,FALSE)&gt;2,HLOOKUP($A581,#REF!,9,FALSE)&lt;-2),"",#REF!),"")</f>
        <v/>
      </c>
      <c r="L581" t="str">
        <f>IFERROR(IF(OR(HLOOKUP($A581,#REF!,10,FALSE)&gt;2,HLOOKUP($A581,#REF!,10,FALSE)&lt;-2),"",#REF!),"")</f>
        <v/>
      </c>
      <c r="M581" t="str">
        <f>IFERROR(IF(OR(HLOOKUP($A581,#REF!,11,FALSE)&gt;2,HLOOKUP($A581,#REF!,11,FALSE)&lt;-2),"",#REF!),"")</f>
        <v/>
      </c>
      <c r="N581" t="str">
        <f>IFERROR(IF(OR(HLOOKUP($A581,#REF!,12,FALSE)&gt;2,HLOOKUP($A581,#REF!,12,FALSE)&lt;-2),"",#REF!),"")</f>
        <v/>
      </c>
      <c r="O581" t="str">
        <f>IFERROR(IF(OR(HLOOKUP($A581,#REF!,13,FALSE)&gt;2,HLOOKUP($A581,#REF!,13,FALSE)&lt;-2),"",#REF!),"")</f>
        <v/>
      </c>
      <c r="P581" t="str">
        <f>IFERROR(IF(OR(HLOOKUP($A581,#REF!,14,FALSE)&gt;2,HLOOKUP($A581,#REF!,14,FALSE)&lt;-2),"",#REF!),"")</f>
        <v/>
      </c>
      <c r="Q581" t="str">
        <f>IFERROR(IF(OR(HLOOKUP($A581,#REF!,15,FALSE)&gt;2,HLOOKUP($A581,#REF!,15,FALSE)&lt;-2),"",#REF!),"")</f>
        <v/>
      </c>
      <c r="R581" t="str">
        <f>IFERROR(IF(OR(HLOOKUP($A581,#REF!,16,FALSE)&gt;2,HLOOKUP($A581,#REF!,16,FALSE)&lt;-2),"",#REF!),"")</f>
        <v/>
      </c>
      <c r="S581" t="str">
        <f>IFERROR(IF(OR(HLOOKUP($A581,#REF!,17,FALSE)&gt;2,HLOOKUP($A581,#REF!,17,FALSE)&lt;-2),"",#REF!),"")</f>
        <v/>
      </c>
      <c r="T581" t="str">
        <f>IFERROR(IF(OR(HLOOKUP($A581,#REF!,18,FALSE)&gt;2,HLOOKUP($A581,#REF!,18,FALSE)&lt;-2),"",#REF!),"")</f>
        <v/>
      </c>
      <c r="U581" t="str">
        <f>IFERROR(IF(OR(HLOOKUP($A581,#REF!,19,FALSE)&gt;2,HLOOKUP($A581,#REF!,19,FALSE)&lt;-2),"",#REF!),"")</f>
        <v/>
      </c>
      <c r="V581">
        <f t="shared" si="36"/>
        <v>1</v>
      </c>
      <c r="W581" t="str">
        <f t="shared" si="37"/>
        <v/>
      </c>
      <c r="X581" t="str">
        <f t="shared" si="38"/>
        <v/>
      </c>
      <c r="Y581" t="str">
        <f t="shared" si="39"/>
        <v/>
      </c>
    </row>
    <row r="582" spans="1:25" x14ac:dyDescent="0.35">
      <c r="A582">
        <v>590</v>
      </c>
      <c r="B582" t="s">
        <v>283</v>
      </c>
      <c r="C582">
        <v>27100</v>
      </c>
      <c r="D582">
        <v>886</v>
      </c>
      <c r="E582" t="str">
        <f>IFERROR(IF(OR(HLOOKUP($A582,#REF!,3,FALSE)&gt;2,HLOOKUP(A582,#REF!,3,FALSE)&lt;-2),"",#REF!),"")</f>
        <v/>
      </c>
      <c r="F582" t="str">
        <f>IFERROR(IF(OR(HLOOKUP($A582,#REF!,4,FALSE)&gt;2,HLOOKUP($A582,#REF!,4,FALSE)&lt;-2),"",#REF!),"")</f>
        <v/>
      </c>
      <c r="G582" t="str">
        <f>IFERROR(IF(OR(HLOOKUP($A582,#REF!,5,FALSE)&gt;2,HLOOKUP($A582,#REF!,5,FALSE)&lt;-2),"",#REF!),"")</f>
        <v/>
      </c>
      <c r="H582" t="str">
        <f>IFERROR(IF(OR(HLOOKUP($A582,#REF!,6,FALSE)&gt;2,HLOOKUP($A582,#REF!,6,FALSE)&lt;-2),"",#REF!),"")</f>
        <v/>
      </c>
      <c r="I582" t="str">
        <f>IFERROR(IF(OR(HLOOKUP($A582,#REF!,7,FALSE)&gt;2,HLOOKUP($A582,#REF!,7,FALSE)&lt;-2),"",#REF!),"")</f>
        <v/>
      </c>
      <c r="J582" t="str">
        <f>IFERROR(IF(OR(HLOOKUP($A582,#REF!,8,FALSE)&gt;2,HLOOKUP($A582,#REF!,8,FALSE)&lt;-2),"",#REF!),"")</f>
        <v/>
      </c>
      <c r="K582" t="str">
        <f>IFERROR(IF(OR(HLOOKUP($A582,#REF!,9,FALSE)&gt;2,HLOOKUP($A582,#REF!,9,FALSE)&lt;-2),"",#REF!),"")</f>
        <v/>
      </c>
      <c r="L582" t="str">
        <f>IFERROR(IF(OR(HLOOKUP($A582,#REF!,10,FALSE)&gt;2,HLOOKUP($A582,#REF!,10,FALSE)&lt;-2),"",#REF!),"")</f>
        <v/>
      </c>
      <c r="M582" t="str">
        <f>IFERROR(IF(OR(HLOOKUP($A582,#REF!,11,FALSE)&gt;2,HLOOKUP($A582,#REF!,11,FALSE)&lt;-2),"",#REF!),"")</f>
        <v/>
      </c>
      <c r="N582" t="str">
        <f>IFERROR(IF(OR(HLOOKUP($A582,#REF!,12,FALSE)&gt;2,HLOOKUP($A582,#REF!,12,FALSE)&lt;-2),"",#REF!),"")</f>
        <v/>
      </c>
      <c r="O582" t="str">
        <f>IFERROR(IF(OR(HLOOKUP($A582,#REF!,13,FALSE)&gt;2,HLOOKUP($A582,#REF!,13,FALSE)&lt;-2),"",#REF!),"")</f>
        <v/>
      </c>
      <c r="P582" t="str">
        <f>IFERROR(IF(OR(HLOOKUP($A582,#REF!,14,FALSE)&gt;2,HLOOKUP($A582,#REF!,14,FALSE)&lt;-2),"",#REF!),"")</f>
        <v/>
      </c>
      <c r="Q582" t="str">
        <f>IFERROR(IF(OR(HLOOKUP($A582,#REF!,15,FALSE)&gt;2,HLOOKUP($A582,#REF!,15,FALSE)&lt;-2),"",#REF!),"")</f>
        <v/>
      </c>
      <c r="R582" t="str">
        <f>IFERROR(IF(OR(HLOOKUP($A582,#REF!,16,FALSE)&gt;2,HLOOKUP($A582,#REF!,16,FALSE)&lt;-2),"",#REF!),"")</f>
        <v/>
      </c>
      <c r="S582" t="str">
        <f>IFERROR(IF(OR(HLOOKUP($A582,#REF!,17,FALSE)&gt;2,HLOOKUP($A582,#REF!,17,FALSE)&lt;-2),"",#REF!),"")</f>
        <v/>
      </c>
      <c r="T582" t="str">
        <f>IFERROR(IF(OR(HLOOKUP($A582,#REF!,18,FALSE)&gt;2,HLOOKUP($A582,#REF!,18,FALSE)&lt;-2),"",#REF!),"")</f>
        <v/>
      </c>
      <c r="U582" t="str">
        <f>IFERROR(IF(OR(HLOOKUP($A582,#REF!,19,FALSE)&gt;2,HLOOKUP($A582,#REF!,19,FALSE)&lt;-2),"",#REF!),"")</f>
        <v/>
      </c>
      <c r="V582">
        <f t="shared" si="36"/>
        <v>1</v>
      </c>
      <c r="W582" t="str">
        <f t="shared" si="37"/>
        <v/>
      </c>
      <c r="X582" t="str">
        <f t="shared" si="38"/>
        <v/>
      </c>
      <c r="Y582" t="str">
        <f t="shared" si="39"/>
        <v/>
      </c>
    </row>
    <row r="583" spans="1:25" x14ac:dyDescent="0.35">
      <c r="A583">
        <v>591</v>
      </c>
      <c r="B583" t="s">
        <v>902</v>
      </c>
      <c r="C583">
        <v>84400</v>
      </c>
      <c r="D583">
        <v>165</v>
      </c>
      <c r="E583" t="str">
        <f>IFERROR(IF(OR(HLOOKUP($A583,#REF!,3,FALSE)&gt;2,HLOOKUP(A583,#REF!,3,FALSE)&lt;-2),"",#REF!),"")</f>
        <v/>
      </c>
      <c r="F583" t="str">
        <f>IFERROR(IF(OR(HLOOKUP($A583,#REF!,4,FALSE)&gt;2,HLOOKUP($A583,#REF!,4,FALSE)&lt;-2),"",#REF!),"")</f>
        <v/>
      </c>
      <c r="G583" t="str">
        <f>IFERROR(IF(OR(HLOOKUP($A583,#REF!,5,FALSE)&gt;2,HLOOKUP($A583,#REF!,5,FALSE)&lt;-2),"",#REF!),"")</f>
        <v/>
      </c>
      <c r="H583" t="str">
        <f>IFERROR(IF(OR(HLOOKUP($A583,#REF!,6,FALSE)&gt;2,HLOOKUP($A583,#REF!,6,FALSE)&lt;-2),"",#REF!),"")</f>
        <v/>
      </c>
      <c r="I583" t="str">
        <f>IFERROR(IF(OR(HLOOKUP($A583,#REF!,7,FALSE)&gt;2,HLOOKUP($A583,#REF!,7,FALSE)&lt;-2),"",#REF!),"")</f>
        <v/>
      </c>
      <c r="J583" t="str">
        <f>IFERROR(IF(OR(HLOOKUP($A583,#REF!,8,FALSE)&gt;2,HLOOKUP($A583,#REF!,8,FALSE)&lt;-2),"",#REF!),"")</f>
        <v/>
      </c>
      <c r="K583" t="str">
        <f>IFERROR(IF(OR(HLOOKUP($A583,#REF!,9,FALSE)&gt;2,HLOOKUP($A583,#REF!,9,FALSE)&lt;-2),"",#REF!),"")</f>
        <v/>
      </c>
      <c r="L583" t="str">
        <f>IFERROR(IF(OR(HLOOKUP($A583,#REF!,10,FALSE)&gt;2,HLOOKUP($A583,#REF!,10,FALSE)&lt;-2),"",#REF!),"")</f>
        <v/>
      </c>
      <c r="M583" t="str">
        <f>IFERROR(IF(OR(HLOOKUP($A583,#REF!,11,FALSE)&gt;2,HLOOKUP($A583,#REF!,11,FALSE)&lt;-2),"",#REF!),"")</f>
        <v/>
      </c>
      <c r="N583" t="str">
        <f>IFERROR(IF(OR(HLOOKUP($A583,#REF!,12,FALSE)&gt;2,HLOOKUP($A583,#REF!,12,FALSE)&lt;-2),"",#REF!),"")</f>
        <v/>
      </c>
      <c r="O583" t="str">
        <f>IFERROR(IF(OR(HLOOKUP($A583,#REF!,13,FALSE)&gt;2,HLOOKUP($A583,#REF!,13,FALSE)&lt;-2),"",#REF!),"")</f>
        <v/>
      </c>
      <c r="P583" t="str">
        <f>IFERROR(IF(OR(HLOOKUP($A583,#REF!,14,FALSE)&gt;2,HLOOKUP($A583,#REF!,14,FALSE)&lt;-2),"",#REF!),"")</f>
        <v/>
      </c>
      <c r="Q583" t="str">
        <f>IFERROR(IF(OR(HLOOKUP($A583,#REF!,15,FALSE)&gt;2,HLOOKUP($A583,#REF!,15,FALSE)&lt;-2),"",#REF!),"")</f>
        <v/>
      </c>
      <c r="R583" t="str">
        <f>IFERROR(IF(OR(HLOOKUP($A583,#REF!,16,FALSE)&gt;2,HLOOKUP($A583,#REF!,16,FALSE)&lt;-2),"",#REF!),"")</f>
        <v/>
      </c>
      <c r="S583" t="str">
        <f>IFERROR(IF(OR(HLOOKUP($A583,#REF!,17,FALSE)&gt;2,HLOOKUP($A583,#REF!,17,FALSE)&lt;-2),"",#REF!),"")</f>
        <v/>
      </c>
      <c r="T583" t="str">
        <f>IFERROR(IF(OR(HLOOKUP($A583,#REF!,18,FALSE)&gt;2,HLOOKUP($A583,#REF!,18,FALSE)&lt;-2),"",#REF!),"")</f>
        <v/>
      </c>
      <c r="U583" t="str">
        <f>IFERROR(IF(OR(HLOOKUP($A583,#REF!,19,FALSE)&gt;2,HLOOKUP($A583,#REF!,19,FALSE)&lt;-2),"",#REF!),"")</f>
        <v/>
      </c>
      <c r="V583">
        <f t="shared" si="36"/>
        <v>1</v>
      </c>
      <c r="W583" t="str">
        <f t="shared" si="37"/>
        <v/>
      </c>
      <c r="X583" t="str">
        <f t="shared" si="38"/>
        <v/>
      </c>
      <c r="Y583" t="str">
        <f t="shared" si="39"/>
        <v/>
      </c>
    </row>
    <row r="584" spans="1:25" x14ac:dyDescent="0.35">
      <c r="A584">
        <v>592</v>
      </c>
      <c r="B584" t="s">
        <v>903</v>
      </c>
      <c r="C584">
        <v>35900</v>
      </c>
      <c r="D584">
        <v>663</v>
      </c>
      <c r="E584" t="str">
        <f>IFERROR(IF(OR(HLOOKUP($A584,#REF!,3,FALSE)&gt;2,HLOOKUP(A584,#REF!,3,FALSE)&lt;-2),"",#REF!),"")</f>
        <v/>
      </c>
      <c r="F584" t="str">
        <f>IFERROR(IF(OR(HLOOKUP($A584,#REF!,4,FALSE)&gt;2,HLOOKUP($A584,#REF!,4,FALSE)&lt;-2),"",#REF!),"")</f>
        <v/>
      </c>
      <c r="G584" t="str">
        <f>IFERROR(IF(OR(HLOOKUP($A584,#REF!,5,FALSE)&gt;2,HLOOKUP($A584,#REF!,5,FALSE)&lt;-2),"",#REF!),"")</f>
        <v/>
      </c>
      <c r="H584" t="str">
        <f>IFERROR(IF(OR(HLOOKUP($A584,#REF!,6,FALSE)&gt;2,HLOOKUP($A584,#REF!,6,FALSE)&lt;-2),"",#REF!),"")</f>
        <v/>
      </c>
      <c r="I584" t="str">
        <f>IFERROR(IF(OR(HLOOKUP($A584,#REF!,7,FALSE)&gt;2,HLOOKUP($A584,#REF!,7,FALSE)&lt;-2),"",#REF!),"")</f>
        <v/>
      </c>
      <c r="J584" t="str">
        <f>IFERROR(IF(OR(HLOOKUP($A584,#REF!,8,FALSE)&gt;2,HLOOKUP($A584,#REF!,8,FALSE)&lt;-2),"",#REF!),"")</f>
        <v/>
      </c>
      <c r="K584" t="str">
        <f>IFERROR(IF(OR(HLOOKUP($A584,#REF!,9,FALSE)&gt;2,HLOOKUP($A584,#REF!,9,FALSE)&lt;-2),"",#REF!),"")</f>
        <v/>
      </c>
      <c r="L584" t="str">
        <f>IFERROR(IF(OR(HLOOKUP($A584,#REF!,10,FALSE)&gt;2,HLOOKUP($A584,#REF!,10,FALSE)&lt;-2),"",#REF!),"")</f>
        <v/>
      </c>
      <c r="M584" t="str">
        <f>IFERROR(IF(OR(HLOOKUP($A584,#REF!,11,FALSE)&gt;2,HLOOKUP($A584,#REF!,11,FALSE)&lt;-2),"",#REF!),"")</f>
        <v/>
      </c>
      <c r="N584" t="str">
        <f>IFERROR(IF(OR(HLOOKUP($A584,#REF!,12,FALSE)&gt;2,HLOOKUP($A584,#REF!,12,FALSE)&lt;-2),"",#REF!),"")</f>
        <v/>
      </c>
      <c r="O584" t="str">
        <f>IFERROR(IF(OR(HLOOKUP($A584,#REF!,13,FALSE)&gt;2,HLOOKUP($A584,#REF!,13,FALSE)&lt;-2),"",#REF!),"")</f>
        <v/>
      </c>
      <c r="P584" t="str">
        <f>IFERROR(IF(OR(HLOOKUP($A584,#REF!,14,FALSE)&gt;2,HLOOKUP($A584,#REF!,14,FALSE)&lt;-2),"",#REF!),"")</f>
        <v/>
      </c>
      <c r="Q584" t="str">
        <f>IFERROR(IF(OR(HLOOKUP($A584,#REF!,15,FALSE)&gt;2,HLOOKUP($A584,#REF!,15,FALSE)&lt;-2),"",#REF!),"")</f>
        <v/>
      </c>
      <c r="R584" t="str">
        <f>IFERROR(IF(OR(HLOOKUP($A584,#REF!,16,FALSE)&gt;2,HLOOKUP($A584,#REF!,16,FALSE)&lt;-2),"",#REF!),"")</f>
        <v/>
      </c>
      <c r="S584" t="str">
        <f>IFERROR(IF(OR(HLOOKUP($A584,#REF!,17,FALSE)&gt;2,HLOOKUP($A584,#REF!,17,FALSE)&lt;-2),"",#REF!),"")</f>
        <v/>
      </c>
      <c r="T584" t="str">
        <f>IFERROR(IF(OR(HLOOKUP($A584,#REF!,18,FALSE)&gt;2,HLOOKUP($A584,#REF!,18,FALSE)&lt;-2),"",#REF!),"")</f>
        <v/>
      </c>
      <c r="U584" t="str">
        <f>IFERROR(IF(OR(HLOOKUP($A584,#REF!,19,FALSE)&gt;2,HLOOKUP($A584,#REF!,19,FALSE)&lt;-2),"",#REF!),"")</f>
        <v/>
      </c>
      <c r="V584">
        <f t="shared" si="36"/>
        <v>1</v>
      </c>
      <c r="W584" t="str">
        <f t="shared" si="37"/>
        <v/>
      </c>
      <c r="X584" t="str">
        <f t="shared" si="38"/>
        <v/>
      </c>
      <c r="Y584" t="str">
        <f t="shared" si="39"/>
        <v/>
      </c>
    </row>
    <row r="585" spans="1:25" x14ac:dyDescent="0.35">
      <c r="A585">
        <v>593</v>
      </c>
      <c r="B585" t="s">
        <v>284</v>
      </c>
      <c r="C585">
        <v>16300</v>
      </c>
      <c r="D585">
        <v>385</v>
      </c>
      <c r="E585" t="str">
        <f>IFERROR(IF(OR(HLOOKUP($A585,#REF!,3,FALSE)&gt;2,HLOOKUP(A585,#REF!,3,FALSE)&lt;-2),"",#REF!),"")</f>
        <v/>
      </c>
      <c r="F585" t="str">
        <f>IFERROR(IF(OR(HLOOKUP($A585,#REF!,4,FALSE)&gt;2,HLOOKUP($A585,#REF!,4,FALSE)&lt;-2),"",#REF!),"")</f>
        <v/>
      </c>
      <c r="G585" t="str">
        <f>IFERROR(IF(OR(HLOOKUP($A585,#REF!,5,FALSE)&gt;2,HLOOKUP($A585,#REF!,5,FALSE)&lt;-2),"",#REF!),"")</f>
        <v/>
      </c>
      <c r="H585" t="str">
        <f>IFERROR(IF(OR(HLOOKUP($A585,#REF!,6,FALSE)&gt;2,HLOOKUP($A585,#REF!,6,FALSE)&lt;-2),"",#REF!),"")</f>
        <v/>
      </c>
      <c r="I585" t="str">
        <f>IFERROR(IF(OR(HLOOKUP($A585,#REF!,7,FALSE)&gt;2,HLOOKUP($A585,#REF!,7,FALSE)&lt;-2),"",#REF!),"")</f>
        <v/>
      </c>
      <c r="J585" t="str">
        <f>IFERROR(IF(OR(HLOOKUP($A585,#REF!,8,FALSE)&gt;2,HLOOKUP($A585,#REF!,8,FALSE)&lt;-2),"",#REF!),"")</f>
        <v/>
      </c>
      <c r="K585" t="str">
        <f>IFERROR(IF(OR(HLOOKUP($A585,#REF!,9,FALSE)&gt;2,HLOOKUP($A585,#REF!,9,FALSE)&lt;-2),"",#REF!),"")</f>
        <v/>
      </c>
      <c r="L585" t="str">
        <f>IFERROR(IF(OR(HLOOKUP($A585,#REF!,10,FALSE)&gt;2,HLOOKUP($A585,#REF!,10,FALSE)&lt;-2),"",#REF!),"")</f>
        <v/>
      </c>
      <c r="M585" t="str">
        <f>IFERROR(IF(OR(HLOOKUP($A585,#REF!,11,FALSE)&gt;2,HLOOKUP($A585,#REF!,11,FALSE)&lt;-2),"",#REF!),"")</f>
        <v/>
      </c>
      <c r="N585" t="str">
        <f>IFERROR(IF(OR(HLOOKUP($A585,#REF!,12,FALSE)&gt;2,HLOOKUP($A585,#REF!,12,FALSE)&lt;-2),"",#REF!),"")</f>
        <v/>
      </c>
      <c r="O585" t="str">
        <f>IFERROR(IF(OR(HLOOKUP($A585,#REF!,13,FALSE)&gt;2,HLOOKUP($A585,#REF!,13,FALSE)&lt;-2),"",#REF!),"")</f>
        <v/>
      </c>
      <c r="P585" t="str">
        <f>IFERROR(IF(OR(HLOOKUP($A585,#REF!,14,FALSE)&gt;2,HLOOKUP($A585,#REF!,14,FALSE)&lt;-2),"",#REF!),"")</f>
        <v/>
      </c>
      <c r="Q585" t="str">
        <f>IFERROR(IF(OR(HLOOKUP($A585,#REF!,15,FALSE)&gt;2,HLOOKUP($A585,#REF!,15,FALSE)&lt;-2),"",#REF!),"")</f>
        <v/>
      </c>
      <c r="R585" t="str">
        <f>IFERROR(IF(OR(HLOOKUP($A585,#REF!,16,FALSE)&gt;2,HLOOKUP($A585,#REF!,16,FALSE)&lt;-2),"",#REF!),"")</f>
        <v/>
      </c>
      <c r="S585" t="str">
        <f>IFERROR(IF(OR(HLOOKUP($A585,#REF!,17,FALSE)&gt;2,HLOOKUP($A585,#REF!,17,FALSE)&lt;-2),"",#REF!),"")</f>
        <v/>
      </c>
      <c r="T585" t="str">
        <f>IFERROR(IF(OR(HLOOKUP($A585,#REF!,18,FALSE)&gt;2,HLOOKUP($A585,#REF!,18,FALSE)&lt;-2),"",#REF!),"")</f>
        <v/>
      </c>
      <c r="U585" t="str">
        <f>IFERROR(IF(OR(HLOOKUP($A585,#REF!,19,FALSE)&gt;2,HLOOKUP($A585,#REF!,19,FALSE)&lt;-2),"",#REF!),"")</f>
        <v/>
      </c>
      <c r="V585">
        <f t="shared" si="36"/>
        <v>1</v>
      </c>
      <c r="W585" t="str">
        <f t="shared" si="37"/>
        <v/>
      </c>
      <c r="X585" t="str">
        <f t="shared" si="38"/>
        <v/>
      </c>
      <c r="Y585" t="str">
        <f t="shared" si="39"/>
        <v/>
      </c>
    </row>
    <row r="586" spans="1:25" x14ac:dyDescent="0.35">
      <c r="A586">
        <v>594</v>
      </c>
      <c r="B586" t="s">
        <v>904</v>
      </c>
      <c r="C586">
        <v>54400</v>
      </c>
      <c r="D586">
        <v>367</v>
      </c>
      <c r="E586" t="str">
        <f>IFERROR(IF(OR(HLOOKUP($A586,#REF!,3,FALSE)&gt;2,HLOOKUP(A586,#REF!,3,FALSE)&lt;-2),"",#REF!),"")</f>
        <v/>
      </c>
      <c r="F586" t="str">
        <f>IFERROR(IF(OR(HLOOKUP($A586,#REF!,4,FALSE)&gt;2,HLOOKUP($A586,#REF!,4,FALSE)&lt;-2),"",#REF!),"")</f>
        <v/>
      </c>
      <c r="G586" t="str">
        <f>IFERROR(IF(OR(HLOOKUP($A586,#REF!,5,FALSE)&gt;2,HLOOKUP($A586,#REF!,5,FALSE)&lt;-2),"",#REF!),"")</f>
        <v/>
      </c>
      <c r="H586" t="str">
        <f>IFERROR(IF(OR(HLOOKUP($A586,#REF!,6,FALSE)&gt;2,HLOOKUP($A586,#REF!,6,FALSE)&lt;-2),"",#REF!),"")</f>
        <v/>
      </c>
      <c r="I586" t="str">
        <f>IFERROR(IF(OR(HLOOKUP($A586,#REF!,7,FALSE)&gt;2,HLOOKUP($A586,#REF!,7,FALSE)&lt;-2),"",#REF!),"")</f>
        <v/>
      </c>
      <c r="J586" t="str">
        <f>IFERROR(IF(OR(HLOOKUP($A586,#REF!,8,FALSE)&gt;2,HLOOKUP($A586,#REF!,8,FALSE)&lt;-2),"",#REF!),"")</f>
        <v/>
      </c>
      <c r="K586" t="str">
        <f>IFERROR(IF(OR(HLOOKUP($A586,#REF!,9,FALSE)&gt;2,HLOOKUP($A586,#REF!,9,FALSE)&lt;-2),"",#REF!),"")</f>
        <v/>
      </c>
      <c r="L586" t="str">
        <f>IFERROR(IF(OR(HLOOKUP($A586,#REF!,10,FALSE)&gt;2,HLOOKUP($A586,#REF!,10,FALSE)&lt;-2),"",#REF!),"")</f>
        <v/>
      </c>
      <c r="M586" t="str">
        <f>IFERROR(IF(OR(HLOOKUP($A586,#REF!,11,FALSE)&gt;2,HLOOKUP($A586,#REF!,11,FALSE)&lt;-2),"",#REF!),"")</f>
        <v/>
      </c>
      <c r="N586" t="str">
        <f>IFERROR(IF(OR(HLOOKUP($A586,#REF!,12,FALSE)&gt;2,HLOOKUP($A586,#REF!,12,FALSE)&lt;-2),"",#REF!),"")</f>
        <v/>
      </c>
      <c r="O586" t="str">
        <f>IFERROR(IF(OR(HLOOKUP($A586,#REF!,13,FALSE)&gt;2,HLOOKUP($A586,#REF!,13,FALSE)&lt;-2),"",#REF!),"")</f>
        <v/>
      </c>
      <c r="P586" t="str">
        <f>IFERROR(IF(OR(HLOOKUP($A586,#REF!,14,FALSE)&gt;2,HLOOKUP($A586,#REF!,14,FALSE)&lt;-2),"",#REF!),"")</f>
        <v/>
      </c>
      <c r="Q586" t="str">
        <f>IFERROR(IF(OR(HLOOKUP($A586,#REF!,15,FALSE)&gt;2,HLOOKUP($A586,#REF!,15,FALSE)&lt;-2),"",#REF!),"")</f>
        <v/>
      </c>
      <c r="R586" t="str">
        <f>IFERROR(IF(OR(HLOOKUP($A586,#REF!,16,FALSE)&gt;2,HLOOKUP($A586,#REF!,16,FALSE)&lt;-2),"",#REF!),"")</f>
        <v/>
      </c>
      <c r="S586" t="str">
        <f>IFERROR(IF(OR(HLOOKUP($A586,#REF!,17,FALSE)&gt;2,HLOOKUP($A586,#REF!,17,FALSE)&lt;-2),"",#REF!),"")</f>
        <v/>
      </c>
      <c r="T586" t="str">
        <f>IFERROR(IF(OR(HLOOKUP($A586,#REF!,18,FALSE)&gt;2,HLOOKUP($A586,#REF!,18,FALSE)&lt;-2),"",#REF!),"")</f>
        <v/>
      </c>
      <c r="U586" t="str">
        <f>IFERROR(IF(OR(HLOOKUP($A586,#REF!,19,FALSE)&gt;2,HLOOKUP($A586,#REF!,19,FALSE)&lt;-2),"",#REF!),"")</f>
        <v/>
      </c>
      <c r="V586">
        <f t="shared" si="36"/>
        <v>1</v>
      </c>
      <c r="W586" t="str">
        <f t="shared" si="37"/>
        <v/>
      </c>
      <c r="X586" t="str">
        <f t="shared" si="38"/>
        <v/>
      </c>
      <c r="Y586" t="str">
        <f t="shared" si="39"/>
        <v/>
      </c>
    </row>
    <row r="587" spans="1:25" x14ac:dyDescent="0.35">
      <c r="A587">
        <v>595</v>
      </c>
      <c r="B587" t="s">
        <v>285</v>
      </c>
      <c r="C587">
        <v>115200</v>
      </c>
      <c r="D587">
        <v>1083</v>
      </c>
      <c r="E587" t="str">
        <f>IFERROR(IF(OR(HLOOKUP($A587,#REF!,3,FALSE)&gt;2,HLOOKUP(A587,#REF!,3,FALSE)&lt;-2),"",#REF!),"")</f>
        <v/>
      </c>
      <c r="F587" t="str">
        <f>IFERROR(IF(OR(HLOOKUP($A587,#REF!,4,FALSE)&gt;2,HLOOKUP($A587,#REF!,4,FALSE)&lt;-2),"",#REF!),"")</f>
        <v/>
      </c>
      <c r="G587" t="str">
        <f>IFERROR(IF(OR(HLOOKUP($A587,#REF!,5,FALSE)&gt;2,HLOOKUP($A587,#REF!,5,FALSE)&lt;-2),"",#REF!),"")</f>
        <v/>
      </c>
      <c r="H587" t="str">
        <f>IFERROR(IF(OR(HLOOKUP($A587,#REF!,6,FALSE)&gt;2,HLOOKUP($A587,#REF!,6,FALSE)&lt;-2),"",#REF!),"")</f>
        <v/>
      </c>
      <c r="I587" t="str">
        <f>IFERROR(IF(OR(HLOOKUP($A587,#REF!,7,FALSE)&gt;2,HLOOKUP($A587,#REF!,7,FALSE)&lt;-2),"",#REF!),"")</f>
        <v/>
      </c>
      <c r="J587" t="str">
        <f>IFERROR(IF(OR(HLOOKUP($A587,#REF!,8,FALSE)&gt;2,HLOOKUP($A587,#REF!,8,FALSE)&lt;-2),"",#REF!),"")</f>
        <v/>
      </c>
      <c r="K587" t="str">
        <f>IFERROR(IF(OR(HLOOKUP($A587,#REF!,9,FALSE)&gt;2,HLOOKUP($A587,#REF!,9,FALSE)&lt;-2),"",#REF!),"")</f>
        <v/>
      </c>
      <c r="L587" t="str">
        <f>IFERROR(IF(OR(HLOOKUP($A587,#REF!,10,FALSE)&gt;2,HLOOKUP($A587,#REF!,10,FALSE)&lt;-2),"",#REF!),"")</f>
        <v/>
      </c>
      <c r="M587" t="str">
        <f>IFERROR(IF(OR(HLOOKUP($A587,#REF!,11,FALSE)&gt;2,HLOOKUP($A587,#REF!,11,FALSE)&lt;-2),"",#REF!),"")</f>
        <v/>
      </c>
      <c r="N587" t="str">
        <f>IFERROR(IF(OR(HLOOKUP($A587,#REF!,12,FALSE)&gt;2,HLOOKUP($A587,#REF!,12,FALSE)&lt;-2),"",#REF!),"")</f>
        <v/>
      </c>
      <c r="O587" t="str">
        <f>IFERROR(IF(OR(HLOOKUP($A587,#REF!,13,FALSE)&gt;2,HLOOKUP($A587,#REF!,13,FALSE)&lt;-2),"",#REF!),"")</f>
        <v/>
      </c>
      <c r="P587" t="str">
        <f>IFERROR(IF(OR(HLOOKUP($A587,#REF!,14,FALSE)&gt;2,HLOOKUP($A587,#REF!,14,FALSE)&lt;-2),"",#REF!),"")</f>
        <v/>
      </c>
      <c r="Q587" t="str">
        <f>IFERROR(IF(OR(HLOOKUP($A587,#REF!,15,FALSE)&gt;2,HLOOKUP($A587,#REF!,15,FALSE)&lt;-2),"",#REF!),"")</f>
        <v/>
      </c>
      <c r="R587" t="str">
        <f>IFERROR(IF(OR(HLOOKUP($A587,#REF!,16,FALSE)&gt;2,HLOOKUP($A587,#REF!,16,FALSE)&lt;-2),"",#REF!),"")</f>
        <v/>
      </c>
      <c r="S587" t="str">
        <f>IFERROR(IF(OR(HLOOKUP($A587,#REF!,17,FALSE)&gt;2,HLOOKUP($A587,#REF!,17,FALSE)&lt;-2),"",#REF!),"")</f>
        <v/>
      </c>
      <c r="T587" t="str">
        <f>IFERROR(IF(OR(HLOOKUP($A587,#REF!,18,FALSE)&gt;2,HLOOKUP($A587,#REF!,18,FALSE)&lt;-2),"",#REF!),"")</f>
        <v/>
      </c>
      <c r="U587" t="str">
        <f>IFERROR(IF(OR(HLOOKUP($A587,#REF!,19,FALSE)&gt;2,HLOOKUP($A587,#REF!,19,FALSE)&lt;-2),"",#REF!),"")</f>
        <v/>
      </c>
      <c r="V587">
        <f t="shared" si="36"/>
        <v>1</v>
      </c>
      <c r="W587" t="str">
        <f t="shared" si="37"/>
        <v/>
      </c>
      <c r="X587" t="str">
        <f t="shared" si="38"/>
        <v/>
      </c>
      <c r="Y587" t="str">
        <f t="shared" si="39"/>
        <v/>
      </c>
    </row>
    <row r="588" spans="1:25" x14ac:dyDescent="0.35">
      <c r="A588">
        <v>596</v>
      </c>
      <c r="B588" t="s">
        <v>286</v>
      </c>
      <c r="C588">
        <v>52600</v>
      </c>
      <c r="D588">
        <v>904</v>
      </c>
      <c r="E588" t="str">
        <f>IFERROR(IF(OR(HLOOKUP($A588,#REF!,3,FALSE)&gt;2,HLOOKUP(A588,#REF!,3,FALSE)&lt;-2),"",#REF!),"")</f>
        <v/>
      </c>
      <c r="F588" t="str">
        <f>IFERROR(IF(OR(HLOOKUP($A588,#REF!,4,FALSE)&gt;2,HLOOKUP($A588,#REF!,4,FALSE)&lt;-2),"",#REF!),"")</f>
        <v/>
      </c>
      <c r="G588" t="str">
        <f>IFERROR(IF(OR(HLOOKUP($A588,#REF!,5,FALSE)&gt;2,HLOOKUP($A588,#REF!,5,FALSE)&lt;-2),"",#REF!),"")</f>
        <v/>
      </c>
      <c r="H588" t="str">
        <f>IFERROR(IF(OR(HLOOKUP($A588,#REF!,6,FALSE)&gt;2,HLOOKUP($A588,#REF!,6,FALSE)&lt;-2),"",#REF!),"")</f>
        <v/>
      </c>
      <c r="I588" t="str">
        <f>IFERROR(IF(OR(HLOOKUP($A588,#REF!,7,FALSE)&gt;2,HLOOKUP($A588,#REF!,7,FALSE)&lt;-2),"",#REF!),"")</f>
        <v/>
      </c>
      <c r="J588" t="str">
        <f>IFERROR(IF(OR(HLOOKUP($A588,#REF!,8,FALSE)&gt;2,HLOOKUP($A588,#REF!,8,FALSE)&lt;-2),"",#REF!),"")</f>
        <v/>
      </c>
      <c r="K588" t="str">
        <f>IFERROR(IF(OR(HLOOKUP($A588,#REF!,9,FALSE)&gt;2,HLOOKUP($A588,#REF!,9,FALSE)&lt;-2),"",#REF!),"")</f>
        <v/>
      </c>
      <c r="L588" t="str">
        <f>IFERROR(IF(OR(HLOOKUP($A588,#REF!,10,FALSE)&gt;2,HLOOKUP($A588,#REF!,10,FALSE)&lt;-2),"",#REF!),"")</f>
        <v/>
      </c>
      <c r="M588" t="str">
        <f>IFERROR(IF(OR(HLOOKUP($A588,#REF!,11,FALSE)&gt;2,HLOOKUP($A588,#REF!,11,FALSE)&lt;-2),"",#REF!),"")</f>
        <v/>
      </c>
      <c r="N588" t="str">
        <f>IFERROR(IF(OR(HLOOKUP($A588,#REF!,12,FALSE)&gt;2,HLOOKUP($A588,#REF!,12,FALSE)&lt;-2),"",#REF!),"")</f>
        <v/>
      </c>
      <c r="O588" t="str">
        <f>IFERROR(IF(OR(HLOOKUP($A588,#REF!,13,FALSE)&gt;2,HLOOKUP($A588,#REF!,13,FALSE)&lt;-2),"",#REF!),"")</f>
        <v/>
      </c>
      <c r="P588" t="str">
        <f>IFERROR(IF(OR(HLOOKUP($A588,#REF!,14,FALSE)&gt;2,HLOOKUP($A588,#REF!,14,FALSE)&lt;-2),"",#REF!),"")</f>
        <v/>
      </c>
      <c r="Q588" t="str">
        <f>IFERROR(IF(OR(HLOOKUP($A588,#REF!,15,FALSE)&gt;2,HLOOKUP($A588,#REF!,15,FALSE)&lt;-2),"",#REF!),"")</f>
        <v/>
      </c>
      <c r="R588" t="str">
        <f>IFERROR(IF(OR(HLOOKUP($A588,#REF!,16,FALSE)&gt;2,HLOOKUP($A588,#REF!,16,FALSE)&lt;-2),"",#REF!),"")</f>
        <v/>
      </c>
      <c r="S588" t="str">
        <f>IFERROR(IF(OR(HLOOKUP($A588,#REF!,17,FALSE)&gt;2,HLOOKUP($A588,#REF!,17,FALSE)&lt;-2),"",#REF!),"")</f>
        <v/>
      </c>
      <c r="T588" t="str">
        <f>IFERROR(IF(OR(HLOOKUP($A588,#REF!,18,FALSE)&gt;2,HLOOKUP($A588,#REF!,18,FALSE)&lt;-2),"",#REF!),"")</f>
        <v/>
      </c>
      <c r="U588" t="str">
        <f>IFERROR(IF(OR(HLOOKUP($A588,#REF!,19,FALSE)&gt;2,HLOOKUP($A588,#REF!,19,FALSE)&lt;-2),"",#REF!),"")</f>
        <v/>
      </c>
      <c r="V588">
        <f t="shared" si="36"/>
        <v>1</v>
      </c>
      <c r="W588" t="str">
        <f t="shared" si="37"/>
        <v/>
      </c>
      <c r="X588" t="str">
        <f t="shared" si="38"/>
        <v/>
      </c>
      <c r="Y588" t="str">
        <f t="shared" si="39"/>
        <v/>
      </c>
    </row>
    <row r="589" spans="1:25" x14ac:dyDescent="0.35">
      <c r="A589">
        <v>597</v>
      </c>
      <c r="B589" t="s">
        <v>905</v>
      </c>
      <c r="C589">
        <v>31900</v>
      </c>
      <c r="D589">
        <v>589</v>
      </c>
      <c r="E589" t="str">
        <f>IFERROR(IF(OR(HLOOKUP($A589,#REF!,3,FALSE)&gt;2,HLOOKUP(A589,#REF!,3,FALSE)&lt;-2),"",#REF!),"")</f>
        <v/>
      </c>
      <c r="F589" t="str">
        <f>IFERROR(IF(OR(HLOOKUP($A589,#REF!,4,FALSE)&gt;2,HLOOKUP($A589,#REF!,4,FALSE)&lt;-2),"",#REF!),"")</f>
        <v/>
      </c>
      <c r="G589" t="str">
        <f>IFERROR(IF(OR(HLOOKUP($A589,#REF!,5,FALSE)&gt;2,HLOOKUP($A589,#REF!,5,FALSE)&lt;-2),"",#REF!),"")</f>
        <v/>
      </c>
      <c r="H589" t="str">
        <f>IFERROR(IF(OR(HLOOKUP($A589,#REF!,6,FALSE)&gt;2,HLOOKUP($A589,#REF!,6,FALSE)&lt;-2),"",#REF!),"")</f>
        <v/>
      </c>
      <c r="I589" t="str">
        <f>IFERROR(IF(OR(HLOOKUP($A589,#REF!,7,FALSE)&gt;2,HLOOKUP($A589,#REF!,7,FALSE)&lt;-2),"",#REF!),"")</f>
        <v/>
      </c>
      <c r="J589" t="str">
        <f>IFERROR(IF(OR(HLOOKUP($A589,#REF!,8,FALSE)&gt;2,HLOOKUP($A589,#REF!,8,FALSE)&lt;-2),"",#REF!),"")</f>
        <v/>
      </c>
      <c r="K589" t="str">
        <f>IFERROR(IF(OR(HLOOKUP($A589,#REF!,9,FALSE)&gt;2,HLOOKUP($A589,#REF!,9,FALSE)&lt;-2),"",#REF!),"")</f>
        <v/>
      </c>
      <c r="L589" t="str">
        <f>IFERROR(IF(OR(HLOOKUP($A589,#REF!,10,FALSE)&gt;2,HLOOKUP($A589,#REF!,10,FALSE)&lt;-2),"",#REF!),"")</f>
        <v/>
      </c>
      <c r="M589" t="str">
        <f>IFERROR(IF(OR(HLOOKUP($A589,#REF!,11,FALSE)&gt;2,HLOOKUP($A589,#REF!,11,FALSE)&lt;-2),"",#REF!),"")</f>
        <v/>
      </c>
      <c r="N589" t="str">
        <f>IFERROR(IF(OR(HLOOKUP($A589,#REF!,12,FALSE)&gt;2,HLOOKUP($A589,#REF!,12,FALSE)&lt;-2),"",#REF!),"")</f>
        <v/>
      </c>
      <c r="O589" t="str">
        <f>IFERROR(IF(OR(HLOOKUP($A589,#REF!,13,FALSE)&gt;2,HLOOKUP($A589,#REF!,13,FALSE)&lt;-2),"",#REF!),"")</f>
        <v/>
      </c>
      <c r="P589" t="str">
        <f>IFERROR(IF(OR(HLOOKUP($A589,#REF!,14,FALSE)&gt;2,HLOOKUP($A589,#REF!,14,FALSE)&lt;-2),"",#REF!),"")</f>
        <v/>
      </c>
      <c r="Q589" t="str">
        <f>IFERROR(IF(OR(HLOOKUP($A589,#REF!,15,FALSE)&gt;2,HLOOKUP($A589,#REF!,15,FALSE)&lt;-2),"",#REF!),"")</f>
        <v/>
      </c>
      <c r="R589" t="str">
        <f>IFERROR(IF(OR(HLOOKUP($A589,#REF!,16,FALSE)&gt;2,HLOOKUP($A589,#REF!,16,FALSE)&lt;-2),"",#REF!),"")</f>
        <v/>
      </c>
      <c r="S589" t="str">
        <f>IFERROR(IF(OR(HLOOKUP($A589,#REF!,17,FALSE)&gt;2,HLOOKUP($A589,#REF!,17,FALSE)&lt;-2),"",#REF!),"")</f>
        <v/>
      </c>
      <c r="T589" t="str">
        <f>IFERROR(IF(OR(HLOOKUP($A589,#REF!,18,FALSE)&gt;2,HLOOKUP($A589,#REF!,18,FALSE)&lt;-2),"",#REF!),"")</f>
        <v/>
      </c>
      <c r="U589" t="str">
        <f>IFERROR(IF(OR(HLOOKUP($A589,#REF!,19,FALSE)&gt;2,HLOOKUP($A589,#REF!,19,FALSE)&lt;-2),"",#REF!),"")</f>
        <v/>
      </c>
      <c r="V589">
        <f t="shared" si="36"/>
        <v>1</v>
      </c>
      <c r="W589" t="str">
        <f t="shared" si="37"/>
        <v/>
      </c>
      <c r="X589" t="str">
        <f t="shared" si="38"/>
        <v/>
      </c>
      <c r="Y589" t="str">
        <f t="shared" si="39"/>
        <v/>
      </c>
    </row>
    <row r="590" spans="1:25" x14ac:dyDescent="0.35">
      <c r="A590">
        <v>598</v>
      </c>
      <c r="B590" t="s">
        <v>287</v>
      </c>
      <c r="C590">
        <v>13300</v>
      </c>
      <c r="D590">
        <v>1018</v>
      </c>
      <c r="E590" t="str">
        <f>IFERROR(IF(OR(HLOOKUP($A590,#REF!,3,FALSE)&gt;2,HLOOKUP(A590,#REF!,3,FALSE)&lt;-2),"",#REF!),"")</f>
        <v/>
      </c>
      <c r="F590" t="str">
        <f>IFERROR(IF(OR(HLOOKUP($A590,#REF!,4,FALSE)&gt;2,HLOOKUP($A590,#REF!,4,FALSE)&lt;-2),"",#REF!),"")</f>
        <v/>
      </c>
      <c r="G590" t="str">
        <f>IFERROR(IF(OR(HLOOKUP($A590,#REF!,5,FALSE)&gt;2,HLOOKUP($A590,#REF!,5,FALSE)&lt;-2),"",#REF!),"")</f>
        <v/>
      </c>
      <c r="H590" t="str">
        <f>IFERROR(IF(OR(HLOOKUP($A590,#REF!,6,FALSE)&gt;2,HLOOKUP($A590,#REF!,6,FALSE)&lt;-2),"",#REF!),"")</f>
        <v/>
      </c>
      <c r="I590" t="str">
        <f>IFERROR(IF(OR(HLOOKUP($A590,#REF!,7,FALSE)&gt;2,HLOOKUP($A590,#REF!,7,FALSE)&lt;-2),"",#REF!),"")</f>
        <v/>
      </c>
      <c r="J590" t="str">
        <f>IFERROR(IF(OR(HLOOKUP($A590,#REF!,8,FALSE)&gt;2,HLOOKUP($A590,#REF!,8,FALSE)&lt;-2),"",#REF!),"")</f>
        <v/>
      </c>
      <c r="K590" t="str">
        <f>IFERROR(IF(OR(HLOOKUP($A590,#REF!,9,FALSE)&gt;2,HLOOKUP($A590,#REF!,9,FALSE)&lt;-2),"",#REF!),"")</f>
        <v/>
      </c>
      <c r="L590" t="str">
        <f>IFERROR(IF(OR(HLOOKUP($A590,#REF!,10,FALSE)&gt;2,HLOOKUP($A590,#REF!,10,FALSE)&lt;-2),"",#REF!),"")</f>
        <v/>
      </c>
      <c r="M590" t="str">
        <f>IFERROR(IF(OR(HLOOKUP($A590,#REF!,11,FALSE)&gt;2,HLOOKUP($A590,#REF!,11,FALSE)&lt;-2),"",#REF!),"")</f>
        <v/>
      </c>
      <c r="N590" t="str">
        <f>IFERROR(IF(OR(HLOOKUP($A590,#REF!,12,FALSE)&gt;2,HLOOKUP($A590,#REF!,12,FALSE)&lt;-2),"",#REF!),"")</f>
        <v/>
      </c>
      <c r="O590" t="str">
        <f>IFERROR(IF(OR(HLOOKUP($A590,#REF!,13,FALSE)&gt;2,HLOOKUP($A590,#REF!,13,FALSE)&lt;-2),"",#REF!),"")</f>
        <v/>
      </c>
      <c r="P590" t="str">
        <f>IFERROR(IF(OR(HLOOKUP($A590,#REF!,14,FALSE)&gt;2,HLOOKUP($A590,#REF!,14,FALSE)&lt;-2),"",#REF!),"")</f>
        <v/>
      </c>
      <c r="Q590" t="str">
        <f>IFERROR(IF(OR(HLOOKUP($A590,#REF!,15,FALSE)&gt;2,HLOOKUP($A590,#REF!,15,FALSE)&lt;-2),"",#REF!),"")</f>
        <v/>
      </c>
      <c r="R590" t="str">
        <f>IFERROR(IF(OR(HLOOKUP($A590,#REF!,16,FALSE)&gt;2,HLOOKUP($A590,#REF!,16,FALSE)&lt;-2),"",#REF!),"")</f>
        <v/>
      </c>
      <c r="S590" t="str">
        <f>IFERROR(IF(OR(HLOOKUP($A590,#REF!,17,FALSE)&gt;2,HLOOKUP($A590,#REF!,17,FALSE)&lt;-2),"",#REF!),"")</f>
        <v/>
      </c>
      <c r="T590" t="str">
        <f>IFERROR(IF(OR(HLOOKUP($A590,#REF!,18,FALSE)&gt;2,HLOOKUP($A590,#REF!,18,FALSE)&lt;-2),"",#REF!),"")</f>
        <v/>
      </c>
      <c r="U590" t="str">
        <f>IFERROR(IF(OR(HLOOKUP($A590,#REF!,19,FALSE)&gt;2,HLOOKUP($A590,#REF!,19,FALSE)&lt;-2),"",#REF!),"")</f>
        <v/>
      </c>
      <c r="V590">
        <f t="shared" si="36"/>
        <v>1</v>
      </c>
      <c r="W590" t="str">
        <f t="shared" si="37"/>
        <v/>
      </c>
      <c r="X590" t="str">
        <f t="shared" si="38"/>
        <v/>
      </c>
      <c r="Y590" t="str">
        <f t="shared" si="39"/>
        <v/>
      </c>
    </row>
    <row r="591" spans="1:25" x14ac:dyDescent="0.35">
      <c r="A591">
        <v>599</v>
      </c>
      <c r="B591" t="s">
        <v>288</v>
      </c>
      <c r="C591">
        <v>68500</v>
      </c>
      <c r="D591">
        <v>51</v>
      </c>
      <c r="E591" t="str">
        <f>IFERROR(IF(OR(HLOOKUP($A591,#REF!,3,FALSE)&gt;2,HLOOKUP(A591,#REF!,3,FALSE)&lt;-2),"",#REF!),"")</f>
        <v/>
      </c>
      <c r="F591" t="str">
        <f>IFERROR(IF(OR(HLOOKUP($A591,#REF!,4,FALSE)&gt;2,HLOOKUP($A591,#REF!,4,FALSE)&lt;-2),"",#REF!),"")</f>
        <v/>
      </c>
      <c r="G591" t="str">
        <f>IFERROR(IF(OR(HLOOKUP($A591,#REF!,5,FALSE)&gt;2,HLOOKUP($A591,#REF!,5,FALSE)&lt;-2),"",#REF!),"")</f>
        <v/>
      </c>
      <c r="H591" t="str">
        <f>IFERROR(IF(OR(HLOOKUP($A591,#REF!,6,FALSE)&gt;2,HLOOKUP($A591,#REF!,6,FALSE)&lt;-2),"",#REF!),"")</f>
        <v/>
      </c>
      <c r="I591" t="str">
        <f>IFERROR(IF(OR(HLOOKUP($A591,#REF!,7,FALSE)&gt;2,HLOOKUP($A591,#REF!,7,FALSE)&lt;-2),"",#REF!),"")</f>
        <v/>
      </c>
      <c r="J591" t="str">
        <f>IFERROR(IF(OR(HLOOKUP($A591,#REF!,8,FALSE)&gt;2,HLOOKUP($A591,#REF!,8,FALSE)&lt;-2),"",#REF!),"")</f>
        <v/>
      </c>
      <c r="K591" t="str">
        <f>IFERROR(IF(OR(HLOOKUP($A591,#REF!,9,FALSE)&gt;2,HLOOKUP($A591,#REF!,9,FALSE)&lt;-2),"",#REF!),"")</f>
        <v/>
      </c>
      <c r="L591" t="str">
        <f>IFERROR(IF(OR(HLOOKUP($A591,#REF!,10,FALSE)&gt;2,HLOOKUP($A591,#REF!,10,FALSE)&lt;-2),"",#REF!),"")</f>
        <v/>
      </c>
      <c r="M591" t="str">
        <f>IFERROR(IF(OR(HLOOKUP($A591,#REF!,11,FALSE)&gt;2,HLOOKUP($A591,#REF!,11,FALSE)&lt;-2),"",#REF!),"")</f>
        <v/>
      </c>
      <c r="N591" t="str">
        <f>IFERROR(IF(OR(HLOOKUP($A591,#REF!,12,FALSE)&gt;2,HLOOKUP($A591,#REF!,12,FALSE)&lt;-2),"",#REF!),"")</f>
        <v/>
      </c>
      <c r="O591" t="str">
        <f>IFERROR(IF(OR(HLOOKUP($A591,#REF!,13,FALSE)&gt;2,HLOOKUP($A591,#REF!,13,FALSE)&lt;-2),"",#REF!),"")</f>
        <v/>
      </c>
      <c r="P591" t="str">
        <f>IFERROR(IF(OR(HLOOKUP($A591,#REF!,14,FALSE)&gt;2,HLOOKUP($A591,#REF!,14,FALSE)&lt;-2),"",#REF!),"")</f>
        <v/>
      </c>
      <c r="Q591" t="str">
        <f>IFERROR(IF(OR(HLOOKUP($A591,#REF!,15,FALSE)&gt;2,HLOOKUP($A591,#REF!,15,FALSE)&lt;-2),"",#REF!),"")</f>
        <v/>
      </c>
      <c r="R591" t="str">
        <f>IFERROR(IF(OR(HLOOKUP($A591,#REF!,16,FALSE)&gt;2,HLOOKUP($A591,#REF!,16,FALSE)&lt;-2),"",#REF!),"")</f>
        <v/>
      </c>
      <c r="S591" t="str">
        <f>IFERROR(IF(OR(HLOOKUP($A591,#REF!,17,FALSE)&gt;2,HLOOKUP($A591,#REF!,17,FALSE)&lt;-2),"",#REF!),"")</f>
        <v/>
      </c>
      <c r="T591" t="str">
        <f>IFERROR(IF(OR(HLOOKUP($A591,#REF!,18,FALSE)&gt;2,HLOOKUP($A591,#REF!,18,FALSE)&lt;-2),"",#REF!),"")</f>
        <v/>
      </c>
      <c r="U591" t="str">
        <f>IFERROR(IF(OR(HLOOKUP($A591,#REF!,19,FALSE)&gt;2,HLOOKUP($A591,#REF!,19,FALSE)&lt;-2),"",#REF!),"")</f>
        <v/>
      </c>
      <c r="V591">
        <f t="shared" si="36"/>
        <v>1</v>
      </c>
      <c r="W591" t="str">
        <f t="shared" si="37"/>
        <v/>
      </c>
      <c r="X591" t="str">
        <f t="shared" si="38"/>
        <v/>
      </c>
      <c r="Y591" t="str">
        <f t="shared" si="39"/>
        <v/>
      </c>
    </row>
    <row r="592" spans="1:25" x14ac:dyDescent="0.35">
      <c r="A592">
        <v>600</v>
      </c>
      <c r="B592" t="s">
        <v>289</v>
      </c>
      <c r="C592">
        <v>10800</v>
      </c>
      <c r="D592">
        <v>1011</v>
      </c>
      <c r="E592" t="str">
        <f>IFERROR(IF(OR(HLOOKUP($A592,#REF!,3,FALSE)&gt;2,HLOOKUP(A592,#REF!,3,FALSE)&lt;-2),"",#REF!),"")</f>
        <v/>
      </c>
      <c r="F592" t="str">
        <f>IFERROR(IF(OR(HLOOKUP($A592,#REF!,4,FALSE)&gt;2,HLOOKUP($A592,#REF!,4,FALSE)&lt;-2),"",#REF!),"")</f>
        <v/>
      </c>
      <c r="G592" t="str">
        <f>IFERROR(IF(OR(HLOOKUP($A592,#REF!,5,FALSE)&gt;2,HLOOKUP($A592,#REF!,5,FALSE)&lt;-2),"",#REF!),"")</f>
        <v/>
      </c>
      <c r="H592" t="str">
        <f>IFERROR(IF(OR(HLOOKUP($A592,#REF!,6,FALSE)&gt;2,HLOOKUP($A592,#REF!,6,FALSE)&lt;-2),"",#REF!),"")</f>
        <v/>
      </c>
      <c r="I592" t="str">
        <f>IFERROR(IF(OR(HLOOKUP($A592,#REF!,7,FALSE)&gt;2,HLOOKUP($A592,#REF!,7,FALSE)&lt;-2),"",#REF!),"")</f>
        <v/>
      </c>
      <c r="J592" t="str">
        <f>IFERROR(IF(OR(HLOOKUP($A592,#REF!,8,FALSE)&gt;2,HLOOKUP($A592,#REF!,8,FALSE)&lt;-2),"",#REF!),"")</f>
        <v/>
      </c>
      <c r="K592" t="str">
        <f>IFERROR(IF(OR(HLOOKUP($A592,#REF!,9,FALSE)&gt;2,HLOOKUP($A592,#REF!,9,FALSE)&lt;-2),"",#REF!),"")</f>
        <v/>
      </c>
      <c r="L592" t="str">
        <f>IFERROR(IF(OR(HLOOKUP($A592,#REF!,10,FALSE)&gt;2,HLOOKUP($A592,#REF!,10,FALSE)&lt;-2),"",#REF!),"")</f>
        <v/>
      </c>
      <c r="M592" t="str">
        <f>IFERROR(IF(OR(HLOOKUP($A592,#REF!,11,FALSE)&gt;2,HLOOKUP($A592,#REF!,11,FALSE)&lt;-2),"",#REF!),"")</f>
        <v/>
      </c>
      <c r="N592" t="str">
        <f>IFERROR(IF(OR(HLOOKUP($A592,#REF!,12,FALSE)&gt;2,HLOOKUP($A592,#REF!,12,FALSE)&lt;-2),"",#REF!),"")</f>
        <v/>
      </c>
      <c r="O592" t="str">
        <f>IFERROR(IF(OR(HLOOKUP($A592,#REF!,13,FALSE)&gt;2,HLOOKUP($A592,#REF!,13,FALSE)&lt;-2),"",#REF!),"")</f>
        <v/>
      </c>
      <c r="P592" t="str">
        <f>IFERROR(IF(OR(HLOOKUP($A592,#REF!,14,FALSE)&gt;2,HLOOKUP($A592,#REF!,14,FALSE)&lt;-2),"",#REF!),"")</f>
        <v/>
      </c>
      <c r="Q592" t="str">
        <f>IFERROR(IF(OR(HLOOKUP($A592,#REF!,15,FALSE)&gt;2,HLOOKUP($A592,#REF!,15,FALSE)&lt;-2),"",#REF!),"")</f>
        <v/>
      </c>
      <c r="R592" t="str">
        <f>IFERROR(IF(OR(HLOOKUP($A592,#REF!,16,FALSE)&gt;2,HLOOKUP($A592,#REF!,16,FALSE)&lt;-2),"",#REF!),"")</f>
        <v/>
      </c>
      <c r="S592" t="str">
        <f>IFERROR(IF(OR(HLOOKUP($A592,#REF!,17,FALSE)&gt;2,HLOOKUP($A592,#REF!,17,FALSE)&lt;-2),"",#REF!),"")</f>
        <v/>
      </c>
      <c r="T592" t="str">
        <f>IFERROR(IF(OR(HLOOKUP($A592,#REF!,18,FALSE)&gt;2,HLOOKUP($A592,#REF!,18,FALSE)&lt;-2),"",#REF!),"")</f>
        <v/>
      </c>
      <c r="U592" t="str">
        <f>IFERROR(IF(OR(HLOOKUP($A592,#REF!,19,FALSE)&gt;2,HLOOKUP($A592,#REF!,19,FALSE)&lt;-2),"",#REF!),"")</f>
        <v/>
      </c>
      <c r="V592">
        <f t="shared" si="36"/>
        <v>1</v>
      </c>
      <c r="W592" t="str">
        <f t="shared" si="37"/>
        <v/>
      </c>
      <c r="X592" t="str">
        <f t="shared" si="38"/>
        <v/>
      </c>
      <c r="Y592" t="str">
        <f t="shared" si="39"/>
        <v/>
      </c>
    </row>
    <row r="593" spans="1:25" x14ac:dyDescent="0.35">
      <c r="A593">
        <v>601</v>
      </c>
      <c r="B593" t="s">
        <v>290</v>
      </c>
      <c r="C593">
        <v>14600</v>
      </c>
      <c r="D593">
        <v>402</v>
      </c>
      <c r="E593" t="str">
        <f>IFERROR(IF(OR(HLOOKUP($A593,#REF!,3,FALSE)&gt;2,HLOOKUP(A593,#REF!,3,FALSE)&lt;-2),"",#REF!),"")</f>
        <v/>
      </c>
      <c r="F593" t="str">
        <f>IFERROR(IF(OR(HLOOKUP($A593,#REF!,4,FALSE)&gt;2,HLOOKUP($A593,#REF!,4,FALSE)&lt;-2),"",#REF!),"")</f>
        <v/>
      </c>
      <c r="G593" t="str">
        <f>IFERROR(IF(OR(HLOOKUP($A593,#REF!,5,FALSE)&gt;2,HLOOKUP($A593,#REF!,5,FALSE)&lt;-2),"",#REF!),"")</f>
        <v/>
      </c>
      <c r="H593" t="str">
        <f>IFERROR(IF(OR(HLOOKUP($A593,#REF!,6,FALSE)&gt;2,HLOOKUP($A593,#REF!,6,FALSE)&lt;-2),"",#REF!),"")</f>
        <v/>
      </c>
      <c r="I593" t="str">
        <f>IFERROR(IF(OR(HLOOKUP($A593,#REF!,7,FALSE)&gt;2,HLOOKUP($A593,#REF!,7,FALSE)&lt;-2),"",#REF!),"")</f>
        <v/>
      </c>
      <c r="J593" t="str">
        <f>IFERROR(IF(OR(HLOOKUP($A593,#REF!,8,FALSE)&gt;2,HLOOKUP($A593,#REF!,8,FALSE)&lt;-2),"",#REF!),"")</f>
        <v/>
      </c>
      <c r="K593" t="str">
        <f>IFERROR(IF(OR(HLOOKUP($A593,#REF!,9,FALSE)&gt;2,HLOOKUP($A593,#REF!,9,FALSE)&lt;-2),"",#REF!),"")</f>
        <v/>
      </c>
      <c r="L593" t="str">
        <f>IFERROR(IF(OR(HLOOKUP($A593,#REF!,10,FALSE)&gt;2,HLOOKUP($A593,#REF!,10,FALSE)&lt;-2),"",#REF!),"")</f>
        <v/>
      </c>
      <c r="M593" t="str">
        <f>IFERROR(IF(OR(HLOOKUP($A593,#REF!,11,FALSE)&gt;2,HLOOKUP($A593,#REF!,11,FALSE)&lt;-2),"",#REF!),"")</f>
        <v/>
      </c>
      <c r="N593" t="str">
        <f>IFERROR(IF(OR(HLOOKUP($A593,#REF!,12,FALSE)&gt;2,HLOOKUP($A593,#REF!,12,FALSE)&lt;-2),"",#REF!),"")</f>
        <v/>
      </c>
      <c r="O593" t="str">
        <f>IFERROR(IF(OR(HLOOKUP($A593,#REF!,13,FALSE)&gt;2,HLOOKUP($A593,#REF!,13,FALSE)&lt;-2),"",#REF!),"")</f>
        <v/>
      </c>
      <c r="P593" t="str">
        <f>IFERROR(IF(OR(HLOOKUP($A593,#REF!,14,FALSE)&gt;2,HLOOKUP($A593,#REF!,14,FALSE)&lt;-2),"",#REF!),"")</f>
        <v/>
      </c>
      <c r="Q593" t="str">
        <f>IFERROR(IF(OR(HLOOKUP($A593,#REF!,15,FALSE)&gt;2,HLOOKUP($A593,#REF!,15,FALSE)&lt;-2),"",#REF!),"")</f>
        <v/>
      </c>
      <c r="R593" t="str">
        <f>IFERROR(IF(OR(HLOOKUP($A593,#REF!,16,FALSE)&gt;2,HLOOKUP($A593,#REF!,16,FALSE)&lt;-2),"",#REF!),"")</f>
        <v/>
      </c>
      <c r="S593" t="str">
        <f>IFERROR(IF(OR(HLOOKUP($A593,#REF!,17,FALSE)&gt;2,HLOOKUP($A593,#REF!,17,FALSE)&lt;-2),"",#REF!),"")</f>
        <v/>
      </c>
      <c r="T593" t="str">
        <f>IFERROR(IF(OR(HLOOKUP($A593,#REF!,18,FALSE)&gt;2,HLOOKUP($A593,#REF!,18,FALSE)&lt;-2),"",#REF!),"")</f>
        <v/>
      </c>
      <c r="U593" t="str">
        <f>IFERROR(IF(OR(HLOOKUP($A593,#REF!,19,FALSE)&gt;2,HLOOKUP($A593,#REF!,19,FALSE)&lt;-2),"",#REF!),"")</f>
        <v/>
      </c>
      <c r="V593">
        <f t="shared" si="36"/>
        <v>1</v>
      </c>
      <c r="W593" t="str">
        <f t="shared" si="37"/>
        <v/>
      </c>
      <c r="X593" t="str">
        <f t="shared" si="38"/>
        <v/>
      </c>
      <c r="Y593" t="str">
        <f t="shared" si="39"/>
        <v/>
      </c>
    </row>
    <row r="594" spans="1:25" x14ac:dyDescent="0.35">
      <c r="A594">
        <v>602</v>
      </c>
      <c r="B594" t="s">
        <v>906</v>
      </c>
      <c r="C594">
        <v>54500</v>
      </c>
      <c r="D594">
        <v>367</v>
      </c>
      <c r="E594" t="str">
        <f>IFERROR(IF(OR(HLOOKUP($A594,#REF!,3,FALSE)&gt;2,HLOOKUP(A594,#REF!,3,FALSE)&lt;-2),"",#REF!),"")</f>
        <v/>
      </c>
      <c r="F594" t="str">
        <f>IFERROR(IF(OR(HLOOKUP($A594,#REF!,4,FALSE)&gt;2,HLOOKUP($A594,#REF!,4,FALSE)&lt;-2),"",#REF!),"")</f>
        <v/>
      </c>
      <c r="G594" t="str">
        <f>IFERROR(IF(OR(HLOOKUP($A594,#REF!,5,FALSE)&gt;2,HLOOKUP($A594,#REF!,5,FALSE)&lt;-2),"",#REF!),"")</f>
        <v/>
      </c>
      <c r="H594" t="str">
        <f>IFERROR(IF(OR(HLOOKUP($A594,#REF!,6,FALSE)&gt;2,HLOOKUP($A594,#REF!,6,FALSE)&lt;-2),"",#REF!),"")</f>
        <v/>
      </c>
      <c r="I594" t="str">
        <f>IFERROR(IF(OR(HLOOKUP($A594,#REF!,7,FALSE)&gt;2,HLOOKUP($A594,#REF!,7,FALSE)&lt;-2),"",#REF!),"")</f>
        <v/>
      </c>
      <c r="J594" t="str">
        <f>IFERROR(IF(OR(HLOOKUP($A594,#REF!,8,FALSE)&gt;2,HLOOKUP($A594,#REF!,8,FALSE)&lt;-2),"",#REF!),"")</f>
        <v/>
      </c>
      <c r="K594" t="str">
        <f>IFERROR(IF(OR(HLOOKUP($A594,#REF!,9,FALSE)&gt;2,HLOOKUP($A594,#REF!,9,FALSE)&lt;-2),"",#REF!),"")</f>
        <v/>
      </c>
      <c r="L594" t="str">
        <f>IFERROR(IF(OR(HLOOKUP($A594,#REF!,10,FALSE)&gt;2,HLOOKUP($A594,#REF!,10,FALSE)&lt;-2),"",#REF!),"")</f>
        <v/>
      </c>
      <c r="M594" t="str">
        <f>IFERROR(IF(OR(HLOOKUP($A594,#REF!,11,FALSE)&gt;2,HLOOKUP($A594,#REF!,11,FALSE)&lt;-2),"",#REF!),"")</f>
        <v/>
      </c>
      <c r="N594" t="str">
        <f>IFERROR(IF(OR(HLOOKUP($A594,#REF!,12,FALSE)&gt;2,HLOOKUP($A594,#REF!,12,FALSE)&lt;-2),"",#REF!),"")</f>
        <v/>
      </c>
      <c r="O594" t="str">
        <f>IFERROR(IF(OR(HLOOKUP($A594,#REF!,13,FALSE)&gt;2,HLOOKUP($A594,#REF!,13,FALSE)&lt;-2),"",#REF!),"")</f>
        <v/>
      </c>
      <c r="P594" t="str">
        <f>IFERROR(IF(OR(HLOOKUP($A594,#REF!,14,FALSE)&gt;2,HLOOKUP($A594,#REF!,14,FALSE)&lt;-2),"",#REF!),"")</f>
        <v/>
      </c>
      <c r="Q594" t="str">
        <f>IFERROR(IF(OR(HLOOKUP($A594,#REF!,15,FALSE)&gt;2,HLOOKUP($A594,#REF!,15,FALSE)&lt;-2),"",#REF!),"")</f>
        <v/>
      </c>
      <c r="R594" t="str">
        <f>IFERROR(IF(OR(HLOOKUP($A594,#REF!,16,FALSE)&gt;2,HLOOKUP($A594,#REF!,16,FALSE)&lt;-2),"",#REF!),"")</f>
        <v/>
      </c>
      <c r="S594" t="str">
        <f>IFERROR(IF(OR(HLOOKUP($A594,#REF!,17,FALSE)&gt;2,HLOOKUP($A594,#REF!,17,FALSE)&lt;-2),"",#REF!),"")</f>
        <v/>
      </c>
      <c r="T594" t="str">
        <f>IFERROR(IF(OR(HLOOKUP($A594,#REF!,18,FALSE)&gt;2,HLOOKUP($A594,#REF!,18,FALSE)&lt;-2),"",#REF!),"")</f>
        <v/>
      </c>
      <c r="U594" t="str">
        <f>IFERROR(IF(OR(HLOOKUP($A594,#REF!,19,FALSE)&gt;2,HLOOKUP($A594,#REF!,19,FALSE)&lt;-2),"",#REF!),"")</f>
        <v/>
      </c>
      <c r="V594">
        <f t="shared" si="36"/>
        <v>1</v>
      </c>
      <c r="W594" t="str">
        <f t="shared" si="37"/>
        <v/>
      </c>
      <c r="X594" t="str">
        <f t="shared" si="38"/>
        <v/>
      </c>
      <c r="Y594" t="str">
        <f t="shared" si="39"/>
        <v/>
      </c>
    </row>
    <row r="595" spans="1:25" x14ac:dyDescent="0.35">
      <c r="A595">
        <v>603</v>
      </c>
      <c r="B595" t="s">
        <v>291</v>
      </c>
      <c r="C595">
        <v>111400</v>
      </c>
      <c r="D595">
        <v>1099</v>
      </c>
      <c r="E595" t="str">
        <f>IFERROR(IF(OR(HLOOKUP($A595,#REF!,3,FALSE)&gt;2,HLOOKUP(A595,#REF!,3,FALSE)&lt;-2),"",#REF!),"")</f>
        <v/>
      </c>
      <c r="F595" t="str">
        <f>IFERROR(IF(OR(HLOOKUP($A595,#REF!,4,FALSE)&gt;2,HLOOKUP($A595,#REF!,4,FALSE)&lt;-2),"",#REF!),"")</f>
        <v/>
      </c>
      <c r="G595" t="str">
        <f>IFERROR(IF(OR(HLOOKUP($A595,#REF!,5,FALSE)&gt;2,HLOOKUP($A595,#REF!,5,FALSE)&lt;-2),"",#REF!),"")</f>
        <v/>
      </c>
      <c r="H595" t="str">
        <f>IFERROR(IF(OR(HLOOKUP($A595,#REF!,6,FALSE)&gt;2,HLOOKUP($A595,#REF!,6,FALSE)&lt;-2),"",#REF!),"")</f>
        <v/>
      </c>
      <c r="I595" t="str">
        <f>IFERROR(IF(OR(HLOOKUP($A595,#REF!,7,FALSE)&gt;2,HLOOKUP($A595,#REF!,7,FALSE)&lt;-2),"",#REF!),"")</f>
        <v/>
      </c>
      <c r="J595" t="str">
        <f>IFERROR(IF(OR(HLOOKUP($A595,#REF!,8,FALSE)&gt;2,HLOOKUP($A595,#REF!,8,FALSE)&lt;-2),"",#REF!),"")</f>
        <v/>
      </c>
      <c r="K595" t="str">
        <f>IFERROR(IF(OR(HLOOKUP($A595,#REF!,9,FALSE)&gt;2,HLOOKUP($A595,#REF!,9,FALSE)&lt;-2),"",#REF!),"")</f>
        <v/>
      </c>
      <c r="L595" t="str">
        <f>IFERROR(IF(OR(HLOOKUP($A595,#REF!,10,FALSE)&gt;2,HLOOKUP($A595,#REF!,10,FALSE)&lt;-2),"",#REF!),"")</f>
        <v/>
      </c>
      <c r="M595" t="str">
        <f>IFERROR(IF(OR(HLOOKUP($A595,#REF!,11,FALSE)&gt;2,HLOOKUP($A595,#REF!,11,FALSE)&lt;-2),"",#REF!),"")</f>
        <v/>
      </c>
      <c r="N595" t="str">
        <f>IFERROR(IF(OR(HLOOKUP($A595,#REF!,12,FALSE)&gt;2,HLOOKUP($A595,#REF!,12,FALSE)&lt;-2),"",#REF!),"")</f>
        <v/>
      </c>
      <c r="O595" t="str">
        <f>IFERROR(IF(OR(HLOOKUP($A595,#REF!,13,FALSE)&gt;2,HLOOKUP($A595,#REF!,13,FALSE)&lt;-2),"",#REF!),"")</f>
        <v/>
      </c>
      <c r="P595" t="str">
        <f>IFERROR(IF(OR(HLOOKUP($A595,#REF!,14,FALSE)&gt;2,HLOOKUP($A595,#REF!,14,FALSE)&lt;-2),"",#REF!),"")</f>
        <v/>
      </c>
      <c r="Q595" t="str">
        <f>IFERROR(IF(OR(HLOOKUP($A595,#REF!,15,FALSE)&gt;2,HLOOKUP($A595,#REF!,15,FALSE)&lt;-2),"",#REF!),"")</f>
        <v/>
      </c>
      <c r="R595" t="str">
        <f>IFERROR(IF(OR(HLOOKUP($A595,#REF!,16,FALSE)&gt;2,HLOOKUP($A595,#REF!,16,FALSE)&lt;-2),"",#REF!),"")</f>
        <v/>
      </c>
      <c r="S595" t="str">
        <f>IFERROR(IF(OR(HLOOKUP($A595,#REF!,17,FALSE)&gt;2,HLOOKUP($A595,#REF!,17,FALSE)&lt;-2),"",#REF!),"")</f>
        <v/>
      </c>
      <c r="T595" t="str">
        <f>IFERROR(IF(OR(HLOOKUP($A595,#REF!,18,FALSE)&gt;2,HLOOKUP($A595,#REF!,18,FALSE)&lt;-2),"",#REF!),"")</f>
        <v/>
      </c>
      <c r="U595" t="str">
        <f>IFERROR(IF(OR(HLOOKUP($A595,#REF!,19,FALSE)&gt;2,HLOOKUP($A595,#REF!,19,FALSE)&lt;-2),"",#REF!),"")</f>
        <v/>
      </c>
      <c r="V595">
        <f t="shared" si="36"/>
        <v>1</v>
      </c>
      <c r="W595" t="str">
        <f t="shared" si="37"/>
        <v/>
      </c>
      <c r="X595" t="str">
        <f t="shared" si="38"/>
        <v/>
      </c>
      <c r="Y595" t="str">
        <f t="shared" si="39"/>
        <v/>
      </c>
    </row>
    <row r="596" spans="1:25" x14ac:dyDescent="0.35">
      <c r="A596">
        <v>604</v>
      </c>
      <c r="B596" t="s">
        <v>292</v>
      </c>
      <c r="C596">
        <v>88900</v>
      </c>
      <c r="D596">
        <v>1117</v>
      </c>
      <c r="E596" t="str">
        <f>IFERROR(IF(OR(HLOOKUP($A596,#REF!,3,FALSE)&gt;2,HLOOKUP(A596,#REF!,3,FALSE)&lt;-2),"",#REF!),"")</f>
        <v/>
      </c>
      <c r="F596" t="str">
        <f>IFERROR(IF(OR(HLOOKUP($A596,#REF!,4,FALSE)&gt;2,HLOOKUP($A596,#REF!,4,FALSE)&lt;-2),"",#REF!),"")</f>
        <v/>
      </c>
      <c r="G596" t="str">
        <f>IFERROR(IF(OR(HLOOKUP($A596,#REF!,5,FALSE)&gt;2,HLOOKUP($A596,#REF!,5,FALSE)&lt;-2),"",#REF!),"")</f>
        <v/>
      </c>
      <c r="H596" t="str">
        <f>IFERROR(IF(OR(HLOOKUP($A596,#REF!,6,FALSE)&gt;2,HLOOKUP($A596,#REF!,6,FALSE)&lt;-2),"",#REF!),"")</f>
        <v/>
      </c>
      <c r="I596" t="str">
        <f>IFERROR(IF(OR(HLOOKUP($A596,#REF!,7,FALSE)&gt;2,HLOOKUP($A596,#REF!,7,FALSE)&lt;-2),"",#REF!),"")</f>
        <v/>
      </c>
      <c r="J596" t="str">
        <f>IFERROR(IF(OR(HLOOKUP($A596,#REF!,8,FALSE)&gt;2,HLOOKUP($A596,#REF!,8,FALSE)&lt;-2),"",#REF!),"")</f>
        <v/>
      </c>
      <c r="K596" t="str">
        <f>IFERROR(IF(OR(HLOOKUP($A596,#REF!,9,FALSE)&gt;2,HLOOKUP($A596,#REF!,9,FALSE)&lt;-2),"",#REF!),"")</f>
        <v/>
      </c>
      <c r="L596" t="str">
        <f>IFERROR(IF(OR(HLOOKUP($A596,#REF!,10,FALSE)&gt;2,HLOOKUP($A596,#REF!,10,FALSE)&lt;-2),"",#REF!),"")</f>
        <v/>
      </c>
      <c r="M596" t="str">
        <f>IFERROR(IF(OR(HLOOKUP($A596,#REF!,11,FALSE)&gt;2,HLOOKUP($A596,#REF!,11,FALSE)&lt;-2),"",#REF!),"")</f>
        <v/>
      </c>
      <c r="N596" t="str">
        <f>IFERROR(IF(OR(HLOOKUP($A596,#REF!,12,FALSE)&gt;2,HLOOKUP($A596,#REF!,12,FALSE)&lt;-2),"",#REF!),"")</f>
        <v/>
      </c>
      <c r="O596" t="str">
        <f>IFERROR(IF(OR(HLOOKUP($A596,#REF!,13,FALSE)&gt;2,HLOOKUP($A596,#REF!,13,FALSE)&lt;-2),"",#REF!),"")</f>
        <v/>
      </c>
      <c r="P596" t="str">
        <f>IFERROR(IF(OR(HLOOKUP($A596,#REF!,14,FALSE)&gt;2,HLOOKUP($A596,#REF!,14,FALSE)&lt;-2),"",#REF!),"")</f>
        <v/>
      </c>
      <c r="Q596" t="str">
        <f>IFERROR(IF(OR(HLOOKUP($A596,#REF!,15,FALSE)&gt;2,HLOOKUP($A596,#REF!,15,FALSE)&lt;-2),"",#REF!),"")</f>
        <v/>
      </c>
      <c r="R596" t="str">
        <f>IFERROR(IF(OR(HLOOKUP($A596,#REF!,16,FALSE)&gt;2,HLOOKUP($A596,#REF!,16,FALSE)&lt;-2),"",#REF!),"")</f>
        <v/>
      </c>
      <c r="S596" t="str">
        <f>IFERROR(IF(OR(HLOOKUP($A596,#REF!,17,FALSE)&gt;2,HLOOKUP($A596,#REF!,17,FALSE)&lt;-2),"",#REF!),"")</f>
        <v/>
      </c>
      <c r="T596" t="str">
        <f>IFERROR(IF(OR(HLOOKUP($A596,#REF!,18,FALSE)&gt;2,HLOOKUP($A596,#REF!,18,FALSE)&lt;-2),"",#REF!),"")</f>
        <v/>
      </c>
      <c r="U596" t="str">
        <f>IFERROR(IF(OR(HLOOKUP($A596,#REF!,19,FALSE)&gt;2,HLOOKUP($A596,#REF!,19,FALSE)&lt;-2),"",#REF!),"")</f>
        <v/>
      </c>
      <c r="V596">
        <f t="shared" si="36"/>
        <v>1</v>
      </c>
      <c r="W596" t="str">
        <f t="shared" si="37"/>
        <v/>
      </c>
      <c r="X596" t="str">
        <f t="shared" si="38"/>
        <v/>
      </c>
      <c r="Y596" t="str">
        <f t="shared" si="39"/>
        <v/>
      </c>
    </row>
    <row r="597" spans="1:25" x14ac:dyDescent="0.35">
      <c r="A597">
        <v>605</v>
      </c>
      <c r="B597" t="s">
        <v>907</v>
      </c>
      <c r="C597">
        <v>32500</v>
      </c>
      <c r="D597">
        <v>589</v>
      </c>
      <c r="E597" t="str">
        <f>IFERROR(IF(OR(HLOOKUP($A597,#REF!,3,FALSE)&gt;2,HLOOKUP(A597,#REF!,3,FALSE)&lt;-2),"",#REF!),"")</f>
        <v/>
      </c>
      <c r="F597" t="str">
        <f>IFERROR(IF(OR(HLOOKUP($A597,#REF!,4,FALSE)&gt;2,HLOOKUP($A597,#REF!,4,FALSE)&lt;-2),"",#REF!),"")</f>
        <v/>
      </c>
      <c r="G597" t="str">
        <f>IFERROR(IF(OR(HLOOKUP($A597,#REF!,5,FALSE)&gt;2,HLOOKUP($A597,#REF!,5,FALSE)&lt;-2),"",#REF!),"")</f>
        <v/>
      </c>
      <c r="H597" t="str">
        <f>IFERROR(IF(OR(HLOOKUP($A597,#REF!,6,FALSE)&gt;2,HLOOKUP($A597,#REF!,6,FALSE)&lt;-2),"",#REF!),"")</f>
        <v/>
      </c>
      <c r="I597" t="str">
        <f>IFERROR(IF(OR(HLOOKUP($A597,#REF!,7,FALSE)&gt;2,HLOOKUP($A597,#REF!,7,FALSE)&lt;-2),"",#REF!),"")</f>
        <v/>
      </c>
      <c r="J597" t="str">
        <f>IFERROR(IF(OR(HLOOKUP($A597,#REF!,8,FALSE)&gt;2,HLOOKUP($A597,#REF!,8,FALSE)&lt;-2),"",#REF!),"")</f>
        <v/>
      </c>
      <c r="K597" t="str">
        <f>IFERROR(IF(OR(HLOOKUP($A597,#REF!,9,FALSE)&gt;2,HLOOKUP($A597,#REF!,9,FALSE)&lt;-2),"",#REF!),"")</f>
        <v/>
      </c>
      <c r="L597" t="str">
        <f>IFERROR(IF(OR(HLOOKUP($A597,#REF!,10,FALSE)&gt;2,HLOOKUP($A597,#REF!,10,FALSE)&lt;-2),"",#REF!),"")</f>
        <v/>
      </c>
      <c r="M597" t="str">
        <f>IFERROR(IF(OR(HLOOKUP($A597,#REF!,11,FALSE)&gt;2,HLOOKUP($A597,#REF!,11,FALSE)&lt;-2),"",#REF!),"")</f>
        <v/>
      </c>
      <c r="N597" t="str">
        <f>IFERROR(IF(OR(HLOOKUP($A597,#REF!,12,FALSE)&gt;2,HLOOKUP($A597,#REF!,12,FALSE)&lt;-2),"",#REF!),"")</f>
        <v/>
      </c>
      <c r="O597" t="str">
        <f>IFERROR(IF(OR(HLOOKUP($A597,#REF!,13,FALSE)&gt;2,HLOOKUP($A597,#REF!,13,FALSE)&lt;-2),"",#REF!),"")</f>
        <v/>
      </c>
      <c r="P597" t="str">
        <f>IFERROR(IF(OR(HLOOKUP($A597,#REF!,14,FALSE)&gt;2,HLOOKUP($A597,#REF!,14,FALSE)&lt;-2),"",#REF!),"")</f>
        <v/>
      </c>
      <c r="Q597" t="str">
        <f>IFERROR(IF(OR(HLOOKUP($A597,#REF!,15,FALSE)&gt;2,HLOOKUP($A597,#REF!,15,FALSE)&lt;-2),"",#REF!),"")</f>
        <v/>
      </c>
      <c r="R597" t="str">
        <f>IFERROR(IF(OR(HLOOKUP($A597,#REF!,16,FALSE)&gt;2,HLOOKUP($A597,#REF!,16,FALSE)&lt;-2),"",#REF!),"")</f>
        <v/>
      </c>
      <c r="S597" t="str">
        <f>IFERROR(IF(OR(HLOOKUP($A597,#REF!,17,FALSE)&gt;2,HLOOKUP($A597,#REF!,17,FALSE)&lt;-2),"",#REF!),"")</f>
        <v/>
      </c>
      <c r="T597" t="str">
        <f>IFERROR(IF(OR(HLOOKUP($A597,#REF!,18,FALSE)&gt;2,HLOOKUP($A597,#REF!,18,FALSE)&lt;-2),"",#REF!),"")</f>
        <v/>
      </c>
      <c r="U597" t="str">
        <f>IFERROR(IF(OR(HLOOKUP($A597,#REF!,19,FALSE)&gt;2,HLOOKUP($A597,#REF!,19,FALSE)&lt;-2),"",#REF!),"")</f>
        <v/>
      </c>
      <c r="V597">
        <f t="shared" si="36"/>
        <v>1</v>
      </c>
      <c r="W597" t="str">
        <f t="shared" si="37"/>
        <v/>
      </c>
      <c r="X597" t="str">
        <f t="shared" si="38"/>
        <v/>
      </c>
      <c r="Y597" t="str">
        <f t="shared" si="39"/>
        <v/>
      </c>
    </row>
    <row r="598" spans="1:25" x14ac:dyDescent="0.35">
      <c r="A598">
        <v>606</v>
      </c>
      <c r="B598" t="s">
        <v>908</v>
      </c>
      <c r="C598">
        <v>26800</v>
      </c>
      <c r="D598">
        <v>886</v>
      </c>
      <c r="E598" t="str">
        <f>IFERROR(IF(OR(HLOOKUP($A598,#REF!,3,FALSE)&gt;2,HLOOKUP(A598,#REF!,3,FALSE)&lt;-2),"",#REF!),"")</f>
        <v/>
      </c>
      <c r="F598" t="str">
        <f>IFERROR(IF(OR(HLOOKUP($A598,#REF!,4,FALSE)&gt;2,HLOOKUP($A598,#REF!,4,FALSE)&lt;-2),"",#REF!),"")</f>
        <v/>
      </c>
      <c r="G598" t="str">
        <f>IFERROR(IF(OR(HLOOKUP($A598,#REF!,5,FALSE)&gt;2,HLOOKUP($A598,#REF!,5,FALSE)&lt;-2),"",#REF!),"")</f>
        <v/>
      </c>
      <c r="H598" t="str">
        <f>IFERROR(IF(OR(HLOOKUP($A598,#REF!,6,FALSE)&gt;2,HLOOKUP($A598,#REF!,6,FALSE)&lt;-2),"",#REF!),"")</f>
        <v/>
      </c>
      <c r="I598" t="str">
        <f>IFERROR(IF(OR(HLOOKUP($A598,#REF!,7,FALSE)&gt;2,HLOOKUP($A598,#REF!,7,FALSE)&lt;-2),"",#REF!),"")</f>
        <v/>
      </c>
      <c r="J598" t="str">
        <f>IFERROR(IF(OR(HLOOKUP($A598,#REF!,8,FALSE)&gt;2,HLOOKUP($A598,#REF!,8,FALSE)&lt;-2),"",#REF!),"")</f>
        <v/>
      </c>
      <c r="K598" t="str">
        <f>IFERROR(IF(OR(HLOOKUP($A598,#REF!,9,FALSE)&gt;2,HLOOKUP($A598,#REF!,9,FALSE)&lt;-2),"",#REF!),"")</f>
        <v/>
      </c>
      <c r="L598" t="str">
        <f>IFERROR(IF(OR(HLOOKUP($A598,#REF!,10,FALSE)&gt;2,HLOOKUP($A598,#REF!,10,FALSE)&lt;-2),"",#REF!),"")</f>
        <v/>
      </c>
      <c r="M598" t="str">
        <f>IFERROR(IF(OR(HLOOKUP($A598,#REF!,11,FALSE)&gt;2,HLOOKUP($A598,#REF!,11,FALSE)&lt;-2),"",#REF!),"")</f>
        <v/>
      </c>
      <c r="N598" t="str">
        <f>IFERROR(IF(OR(HLOOKUP($A598,#REF!,12,FALSE)&gt;2,HLOOKUP($A598,#REF!,12,FALSE)&lt;-2),"",#REF!),"")</f>
        <v/>
      </c>
      <c r="O598" t="str">
        <f>IFERROR(IF(OR(HLOOKUP($A598,#REF!,13,FALSE)&gt;2,HLOOKUP($A598,#REF!,13,FALSE)&lt;-2),"",#REF!),"")</f>
        <v/>
      </c>
      <c r="P598" t="str">
        <f>IFERROR(IF(OR(HLOOKUP($A598,#REF!,14,FALSE)&gt;2,HLOOKUP($A598,#REF!,14,FALSE)&lt;-2),"",#REF!),"")</f>
        <v/>
      </c>
      <c r="Q598" t="str">
        <f>IFERROR(IF(OR(HLOOKUP($A598,#REF!,15,FALSE)&gt;2,HLOOKUP($A598,#REF!,15,FALSE)&lt;-2),"",#REF!),"")</f>
        <v/>
      </c>
      <c r="R598" t="str">
        <f>IFERROR(IF(OR(HLOOKUP($A598,#REF!,16,FALSE)&gt;2,HLOOKUP($A598,#REF!,16,FALSE)&lt;-2),"",#REF!),"")</f>
        <v/>
      </c>
      <c r="S598" t="str">
        <f>IFERROR(IF(OR(HLOOKUP($A598,#REF!,17,FALSE)&gt;2,HLOOKUP($A598,#REF!,17,FALSE)&lt;-2),"",#REF!),"")</f>
        <v/>
      </c>
      <c r="T598" t="str">
        <f>IFERROR(IF(OR(HLOOKUP($A598,#REF!,18,FALSE)&gt;2,HLOOKUP($A598,#REF!,18,FALSE)&lt;-2),"",#REF!),"")</f>
        <v/>
      </c>
      <c r="U598" t="str">
        <f>IFERROR(IF(OR(HLOOKUP($A598,#REF!,19,FALSE)&gt;2,HLOOKUP($A598,#REF!,19,FALSE)&lt;-2),"",#REF!),"")</f>
        <v/>
      </c>
      <c r="V598">
        <f t="shared" si="36"/>
        <v>1</v>
      </c>
      <c r="W598" t="str">
        <f t="shared" si="37"/>
        <v/>
      </c>
      <c r="X598" t="str">
        <f t="shared" si="38"/>
        <v/>
      </c>
      <c r="Y598" t="str">
        <f t="shared" si="39"/>
        <v/>
      </c>
    </row>
    <row r="599" spans="1:25" x14ac:dyDescent="0.35">
      <c r="A599">
        <v>607</v>
      </c>
      <c r="B599" t="s">
        <v>909</v>
      </c>
      <c r="C599">
        <v>89700</v>
      </c>
      <c r="D599">
        <v>386</v>
      </c>
      <c r="E599" t="str">
        <f>IFERROR(IF(OR(HLOOKUP($A599,#REF!,3,FALSE)&gt;2,HLOOKUP(A599,#REF!,3,FALSE)&lt;-2),"",#REF!),"")</f>
        <v/>
      </c>
      <c r="F599" t="str">
        <f>IFERROR(IF(OR(HLOOKUP($A599,#REF!,4,FALSE)&gt;2,HLOOKUP($A599,#REF!,4,FALSE)&lt;-2),"",#REF!),"")</f>
        <v/>
      </c>
      <c r="G599" t="str">
        <f>IFERROR(IF(OR(HLOOKUP($A599,#REF!,5,FALSE)&gt;2,HLOOKUP($A599,#REF!,5,FALSE)&lt;-2),"",#REF!),"")</f>
        <v/>
      </c>
      <c r="H599" t="str">
        <f>IFERROR(IF(OR(HLOOKUP($A599,#REF!,6,FALSE)&gt;2,HLOOKUP($A599,#REF!,6,FALSE)&lt;-2),"",#REF!),"")</f>
        <v/>
      </c>
      <c r="I599" t="str">
        <f>IFERROR(IF(OR(HLOOKUP($A599,#REF!,7,FALSE)&gt;2,HLOOKUP($A599,#REF!,7,FALSE)&lt;-2),"",#REF!),"")</f>
        <v/>
      </c>
      <c r="J599" t="str">
        <f>IFERROR(IF(OR(HLOOKUP($A599,#REF!,8,FALSE)&gt;2,HLOOKUP($A599,#REF!,8,FALSE)&lt;-2),"",#REF!),"")</f>
        <v/>
      </c>
      <c r="K599" t="str">
        <f>IFERROR(IF(OR(HLOOKUP($A599,#REF!,9,FALSE)&gt;2,HLOOKUP($A599,#REF!,9,FALSE)&lt;-2),"",#REF!),"")</f>
        <v/>
      </c>
      <c r="L599" t="str">
        <f>IFERROR(IF(OR(HLOOKUP($A599,#REF!,10,FALSE)&gt;2,HLOOKUP($A599,#REF!,10,FALSE)&lt;-2),"",#REF!),"")</f>
        <v/>
      </c>
      <c r="M599" t="str">
        <f>IFERROR(IF(OR(HLOOKUP($A599,#REF!,11,FALSE)&gt;2,HLOOKUP($A599,#REF!,11,FALSE)&lt;-2),"",#REF!),"")</f>
        <v/>
      </c>
      <c r="N599" t="str">
        <f>IFERROR(IF(OR(HLOOKUP($A599,#REF!,12,FALSE)&gt;2,HLOOKUP($A599,#REF!,12,FALSE)&lt;-2),"",#REF!),"")</f>
        <v/>
      </c>
      <c r="O599" t="str">
        <f>IFERROR(IF(OR(HLOOKUP($A599,#REF!,13,FALSE)&gt;2,HLOOKUP($A599,#REF!,13,FALSE)&lt;-2),"",#REF!),"")</f>
        <v/>
      </c>
      <c r="P599" t="str">
        <f>IFERROR(IF(OR(HLOOKUP($A599,#REF!,14,FALSE)&gt;2,HLOOKUP($A599,#REF!,14,FALSE)&lt;-2),"",#REF!),"")</f>
        <v/>
      </c>
      <c r="Q599" t="str">
        <f>IFERROR(IF(OR(HLOOKUP($A599,#REF!,15,FALSE)&gt;2,HLOOKUP($A599,#REF!,15,FALSE)&lt;-2),"",#REF!),"")</f>
        <v/>
      </c>
      <c r="R599" t="str">
        <f>IFERROR(IF(OR(HLOOKUP($A599,#REF!,16,FALSE)&gt;2,HLOOKUP($A599,#REF!,16,FALSE)&lt;-2),"",#REF!),"")</f>
        <v/>
      </c>
      <c r="S599" t="str">
        <f>IFERROR(IF(OR(HLOOKUP($A599,#REF!,17,FALSE)&gt;2,HLOOKUP($A599,#REF!,17,FALSE)&lt;-2),"",#REF!),"")</f>
        <v/>
      </c>
      <c r="T599" t="str">
        <f>IFERROR(IF(OR(HLOOKUP($A599,#REF!,18,FALSE)&gt;2,HLOOKUP($A599,#REF!,18,FALSE)&lt;-2),"",#REF!),"")</f>
        <v/>
      </c>
      <c r="U599" t="str">
        <f>IFERROR(IF(OR(HLOOKUP($A599,#REF!,19,FALSE)&gt;2,HLOOKUP($A599,#REF!,19,FALSE)&lt;-2),"",#REF!),"")</f>
        <v/>
      </c>
      <c r="V599">
        <f t="shared" si="36"/>
        <v>1</v>
      </c>
      <c r="W599" t="str">
        <f t="shared" si="37"/>
        <v/>
      </c>
      <c r="X599" t="str">
        <f t="shared" si="38"/>
        <v/>
      </c>
      <c r="Y599" t="str">
        <f t="shared" si="39"/>
        <v/>
      </c>
    </row>
    <row r="600" spans="1:25" x14ac:dyDescent="0.35">
      <c r="A600">
        <v>608</v>
      </c>
      <c r="B600" t="s">
        <v>293</v>
      </c>
      <c r="C600">
        <v>23100</v>
      </c>
      <c r="D600">
        <v>746</v>
      </c>
      <c r="E600" t="str">
        <f>IFERROR(IF(OR(HLOOKUP($A600,#REF!,3,FALSE)&gt;2,HLOOKUP(A600,#REF!,3,FALSE)&lt;-2),"",#REF!),"")</f>
        <v/>
      </c>
      <c r="F600" t="str">
        <f>IFERROR(IF(OR(HLOOKUP($A600,#REF!,4,FALSE)&gt;2,HLOOKUP($A600,#REF!,4,FALSE)&lt;-2),"",#REF!),"")</f>
        <v/>
      </c>
      <c r="G600" t="str">
        <f>IFERROR(IF(OR(HLOOKUP($A600,#REF!,5,FALSE)&gt;2,HLOOKUP($A600,#REF!,5,FALSE)&lt;-2),"",#REF!),"")</f>
        <v/>
      </c>
      <c r="H600" t="str">
        <f>IFERROR(IF(OR(HLOOKUP($A600,#REF!,6,FALSE)&gt;2,HLOOKUP($A600,#REF!,6,FALSE)&lt;-2),"",#REF!),"")</f>
        <v/>
      </c>
      <c r="I600" t="str">
        <f>IFERROR(IF(OR(HLOOKUP($A600,#REF!,7,FALSE)&gt;2,HLOOKUP($A600,#REF!,7,FALSE)&lt;-2),"",#REF!),"")</f>
        <v/>
      </c>
      <c r="J600" t="str">
        <f>IFERROR(IF(OR(HLOOKUP($A600,#REF!,8,FALSE)&gt;2,HLOOKUP($A600,#REF!,8,FALSE)&lt;-2),"",#REF!),"")</f>
        <v/>
      </c>
      <c r="K600" t="str">
        <f>IFERROR(IF(OR(HLOOKUP($A600,#REF!,9,FALSE)&gt;2,HLOOKUP($A600,#REF!,9,FALSE)&lt;-2),"",#REF!),"")</f>
        <v/>
      </c>
      <c r="L600" t="str">
        <f>IFERROR(IF(OR(HLOOKUP($A600,#REF!,10,FALSE)&gt;2,HLOOKUP($A600,#REF!,10,FALSE)&lt;-2),"",#REF!),"")</f>
        <v/>
      </c>
      <c r="M600" t="str">
        <f>IFERROR(IF(OR(HLOOKUP($A600,#REF!,11,FALSE)&gt;2,HLOOKUP($A600,#REF!,11,FALSE)&lt;-2),"",#REF!),"")</f>
        <v/>
      </c>
      <c r="N600" t="str">
        <f>IFERROR(IF(OR(HLOOKUP($A600,#REF!,12,FALSE)&gt;2,HLOOKUP($A600,#REF!,12,FALSE)&lt;-2),"",#REF!),"")</f>
        <v/>
      </c>
      <c r="O600" t="str">
        <f>IFERROR(IF(OR(HLOOKUP($A600,#REF!,13,FALSE)&gt;2,HLOOKUP($A600,#REF!,13,FALSE)&lt;-2),"",#REF!),"")</f>
        <v/>
      </c>
      <c r="P600" t="str">
        <f>IFERROR(IF(OR(HLOOKUP($A600,#REF!,14,FALSE)&gt;2,HLOOKUP($A600,#REF!,14,FALSE)&lt;-2),"",#REF!),"")</f>
        <v/>
      </c>
      <c r="Q600" t="str">
        <f>IFERROR(IF(OR(HLOOKUP($A600,#REF!,15,FALSE)&gt;2,HLOOKUP($A600,#REF!,15,FALSE)&lt;-2),"",#REF!),"")</f>
        <v/>
      </c>
      <c r="R600" t="str">
        <f>IFERROR(IF(OR(HLOOKUP($A600,#REF!,16,FALSE)&gt;2,HLOOKUP($A600,#REF!,16,FALSE)&lt;-2),"",#REF!),"")</f>
        <v/>
      </c>
      <c r="S600" t="str">
        <f>IFERROR(IF(OR(HLOOKUP($A600,#REF!,17,FALSE)&gt;2,HLOOKUP($A600,#REF!,17,FALSE)&lt;-2),"",#REF!),"")</f>
        <v/>
      </c>
      <c r="T600" t="str">
        <f>IFERROR(IF(OR(HLOOKUP($A600,#REF!,18,FALSE)&gt;2,HLOOKUP($A600,#REF!,18,FALSE)&lt;-2),"",#REF!),"")</f>
        <v/>
      </c>
      <c r="U600" t="str">
        <f>IFERROR(IF(OR(HLOOKUP($A600,#REF!,19,FALSE)&gt;2,HLOOKUP($A600,#REF!,19,FALSE)&lt;-2),"",#REF!),"")</f>
        <v/>
      </c>
      <c r="V600">
        <f t="shared" si="36"/>
        <v>1</v>
      </c>
      <c r="W600" t="str">
        <f t="shared" si="37"/>
        <v/>
      </c>
      <c r="X600" t="str">
        <f t="shared" si="38"/>
        <v/>
      </c>
      <c r="Y600" t="str">
        <f t="shared" si="39"/>
        <v/>
      </c>
    </row>
    <row r="601" spans="1:25" x14ac:dyDescent="0.35">
      <c r="A601">
        <v>609</v>
      </c>
      <c r="B601" t="s">
        <v>294</v>
      </c>
      <c r="C601">
        <v>64800</v>
      </c>
      <c r="D601">
        <v>864</v>
      </c>
      <c r="E601" t="str">
        <f>IFERROR(IF(OR(HLOOKUP($A601,#REF!,3,FALSE)&gt;2,HLOOKUP(A601,#REF!,3,FALSE)&lt;-2),"",#REF!),"")</f>
        <v/>
      </c>
      <c r="F601" t="str">
        <f>IFERROR(IF(OR(HLOOKUP($A601,#REF!,4,FALSE)&gt;2,HLOOKUP($A601,#REF!,4,FALSE)&lt;-2),"",#REF!),"")</f>
        <v/>
      </c>
      <c r="G601" t="str">
        <f>IFERROR(IF(OR(HLOOKUP($A601,#REF!,5,FALSE)&gt;2,HLOOKUP($A601,#REF!,5,FALSE)&lt;-2),"",#REF!),"")</f>
        <v/>
      </c>
      <c r="H601" t="str">
        <f>IFERROR(IF(OR(HLOOKUP($A601,#REF!,6,FALSE)&gt;2,HLOOKUP($A601,#REF!,6,FALSE)&lt;-2),"",#REF!),"")</f>
        <v/>
      </c>
      <c r="I601" t="str">
        <f>IFERROR(IF(OR(HLOOKUP($A601,#REF!,7,FALSE)&gt;2,HLOOKUP($A601,#REF!,7,FALSE)&lt;-2),"",#REF!),"")</f>
        <v/>
      </c>
      <c r="J601" t="str">
        <f>IFERROR(IF(OR(HLOOKUP($A601,#REF!,8,FALSE)&gt;2,HLOOKUP($A601,#REF!,8,FALSE)&lt;-2),"",#REF!),"")</f>
        <v/>
      </c>
      <c r="K601" t="str">
        <f>IFERROR(IF(OR(HLOOKUP($A601,#REF!,9,FALSE)&gt;2,HLOOKUP($A601,#REF!,9,FALSE)&lt;-2),"",#REF!),"")</f>
        <v/>
      </c>
      <c r="L601" t="str">
        <f>IFERROR(IF(OR(HLOOKUP($A601,#REF!,10,FALSE)&gt;2,HLOOKUP($A601,#REF!,10,FALSE)&lt;-2),"",#REF!),"")</f>
        <v/>
      </c>
      <c r="M601" t="str">
        <f>IFERROR(IF(OR(HLOOKUP($A601,#REF!,11,FALSE)&gt;2,HLOOKUP($A601,#REF!,11,FALSE)&lt;-2),"",#REF!),"")</f>
        <v/>
      </c>
      <c r="N601" t="str">
        <f>IFERROR(IF(OR(HLOOKUP($A601,#REF!,12,FALSE)&gt;2,HLOOKUP($A601,#REF!,12,FALSE)&lt;-2),"",#REF!),"")</f>
        <v/>
      </c>
      <c r="O601" t="str">
        <f>IFERROR(IF(OR(HLOOKUP($A601,#REF!,13,FALSE)&gt;2,HLOOKUP($A601,#REF!,13,FALSE)&lt;-2),"",#REF!),"")</f>
        <v/>
      </c>
      <c r="P601" t="str">
        <f>IFERROR(IF(OR(HLOOKUP($A601,#REF!,14,FALSE)&gt;2,HLOOKUP($A601,#REF!,14,FALSE)&lt;-2),"",#REF!),"")</f>
        <v/>
      </c>
      <c r="Q601" t="str">
        <f>IFERROR(IF(OR(HLOOKUP($A601,#REF!,15,FALSE)&gt;2,HLOOKUP($A601,#REF!,15,FALSE)&lt;-2),"",#REF!),"")</f>
        <v/>
      </c>
      <c r="R601" t="str">
        <f>IFERROR(IF(OR(HLOOKUP($A601,#REF!,16,FALSE)&gt;2,HLOOKUP($A601,#REF!,16,FALSE)&lt;-2),"",#REF!),"")</f>
        <v/>
      </c>
      <c r="S601" t="str">
        <f>IFERROR(IF(OR(HLOOKUP($A601,#REF!,17,FALSE)&gt;2,HLOOKUP($A601,#REF!,17,FALSE)&lt;-2),"",#REF!),"")</f>
        <v/>
      </c>
      <c r="T601" t="str">
        <f>IFERROR(IF(OR(HLOOKUP($A601,#REF!,18,FALSE)&gt;2,HLOOKUP($A601,#REF!,18,FALSE)&lt;-2),"",#REF!),"")</f>
        <v/>
      </c>
      <c r="U601" t="str">
        <f>IFERROR(IF(OR(HLOOKUP($A601,#REF!,19,FALSE)&gt;2,HLOOKUP($A601,#REF!,19,FALSE)&lt;-2),"",#REF!),"")</f>
        <v/>
      </c>
      <c r="V601">
        <f t="shared" si="36"/>
        <v>1</v>
      </c>
      <c r="W601" t="str">
        <f t="shared" si="37"/>
        <v/>
      </c>
      <c r="X601" t="str">
        <f t="shared" si="38"/>
        <v/>
      </c>
      <c r="Y601" t="str">
        <f t="shared" si="39"/>
        <v/>
      </c>
    </row>
    <row r="602" spans="1:25" x14ac:dyDescent="0.35">
      <c r="A602">
        <v>610</v>
      </c>
      <c r="B602" t="s">
        <v>295</v>
      </c>
      <c r="C602">
        <v>26300</v>
      </c>
      <c r="D602">
        <v>879</v>
      </c>
      <c r="E602" t="str">
        <f>IFERROR(IF(OR(HLOOKUP($A602,#REF!,3,FALSE)&gt;2,HLOOKUP(A602,#REF!,3,FALSE)&lt;-2),"",#REF!),"")</f>
        <v/>
      </c>
      <c r="F602" t="str">
        <f>IFERROR(IF(OR(HLOOKUP($A602,#REF!,4,FALSE)&gt;2,HLOOKUP($A602,#REF!,4,FALSE)&lt;-2),"",#REF!),"")</f>
        <v/>
      </c>
      <c r="G602" t="str">
        <f>IFERROR(IF(OR(HLOOKUP($A602,#REF!,5,FALSE)&gt;2,HLOOKUP($A602,#REF!,5,FALSE)&lt;-2),"",#REF!),"")</f>
        <v/>
      </c>
      <c r="H602" t="str">
        <f>IFERROR(IF(OR(HLOOKUP($A602,#REF!,6,FALSE)&gt;2,HLOOKUP($A602,#REF!,6,FALSE)&lt;-2),"",#REF!),"")</f>
        <v/>
      </c>
      <c r="I602" t="str">
        <f>IFERROR(IF(OR(HLOOKUP($A602,#REF!,7,FALSE)&gt;2,HLOOKUP($A602,#REF!,7,FALSE)&lt;-2),"",#REF!),"")</f>
        <v/>
      </c>
      <c r="J602" t="str">
        <f>IFERROR(IF(OR(HLOOKUP($A602,#REF!,8,FALSE)&gt;2,HLOOKUP($A602,#REF!,8,FALSE)&lt;-2),"",#REF!),"")</f>
        <v/>
      </c>
      <c r="K602" t="str">
        <f>IFERROR(IF(OR(HLOOKUP($A602,#REF!,9,FALSE)&gt;2,HLOOKUP($A602,#REF!,9,FALSE)&lt;-2),"",#REF!),"")</f>
        <v/>
      </c>
      <c r="L602" t="str">
        <f>IFERROR(IF(OR(HLOOKUP($A602,#REF!,10,FALSE)&gt;2,HLOOKUP($A602,#REF!,10,FALSE)&lt;-2),"",#REF!),"")</f>
        <v/>
      </c>
      <c r="M602" t="str">
        <f>IFERROR(IF(OR(HLOOKUP($A602,#REF!,11,FALSE)&gt;2,HLOOKUP($A602,#REF!,11,FALSE)&lt;-2),"",#REF!),"")</f>
        <v/>
      </c>
      <c r="N602" t="str">
        <f>IFERROR(IF(OR(HLOOKUP($A602,#REF!,12,FALSE)&gt;2,HLOOKUP($A602,#REF!,12,FALSE)&lt;-2),"",#REF!),"")</f>
        <v/>
      </c>
      <c r="O602" t="str">
        <f>IFERROR(IF(OR(HLOOKUP($A602,#REF!,13,FALSE)&gt;2,HLOOKUP($A602,#REF!,13,FALSE)&lt;-2),"",#REF!),"")</f>
        <v/>
      </c>
      <c r="P602" t="str">
        <f>IFERROR(IF(OR(HLOOKUP($A602,#REF!,14,FALSE)&gt;2,HLOOKUP($A602,#REF!,14,FALSE)&lt;-2),"",#REF!),"")</f>
        <v/>
      </c>
      <c r="Q602" t="str">
        <f>IFERROR(IF(OR(HLOOKUP($A602,#REF!,15,FALSE)&gt;2,HLOOKUP($A602,#REF!,15,FALSE)&lt;-2),"",#REF!),"")</f>
        <v/>
      </c>
      <c r="R602" t="str">
        <f>IFERROR(IF(OR(HLOOKUP($A602,#REF!,16,FALSE)&gt;2,HLOOKUP($A602,#REF!,16,FALSE)&lt;-2),"",#REF!),"")</f>
        <v/>
      </c>
      <c r="S602" t="str">
        <f>IFERROR(IF(OR(HLOOKUP($A602,#REF!,17,FALSE)&gt;2,HLOOKUP($A602,#REF!,17,FALSE)&lt;-2),"",#REF!),"")</f>
        <v/>
      </c>
      <c r="T602" t="str">
        <f>IFERROR(IF(OR(HLOOKUP($A602,#REF!,18,FALSE)&gt;2,HLOOKUP($A602,#REF!,18,FALSE)&lt;-2),"",#REF!),"")</f>
        <v/>
      </c>
      <c r="U602" t="str">
        <f>IFERROR(IF(OR(HLOOKUP($A602,#REF!,19,FALSE)&gt;2,HLOOKUP($A602,#REF!,19,FALSE)&lt;-2),"",#REF!),"")</f>
        <v/>
      </c>
      <c r="V602">
        <f t="shared" si="36"/>
        <v>1</v>
      </c>
      <c r="W602" t="str">
        <f t="shared" si="37"/>
        <v/>
      </c>
      <c r="X602" t="str">
        <f t="shared" si="38"/>
        <v/>
      </c>
      <c r="Y602" t="str">
        <f t="shared" si="39"/>
        <v/>
      </c>
    </row>
    <row r="603" spans="1:25" x14ac:dyDescent="0.35">
      <c r="A603">
        <v>611</v>
      </c>
      <c r="B603" t="s">
        <v>296</v>
      </c>
      <c r="C603">
        <v>115300</v>
      </c>
      <c r="D603">
        <v>1083</v>
      </c>
      <c r="E603" t="str">
        <f>IFERROR(IF(OR(HLOOKUP($A603,#REF!,3,FALSE)&gt;2,HLOOKUP(A603,#REF!,3,FALSE)&lt;-2),"",#REF!),"")</f>
        <v/>
      </c>
      <c r="F603" t="str">
        <f>IFERROR(IF(OR(HLOOKUP($A603,#REF!,4,FALSE)&gt;2,HLOOKUP($A603,#REF!,4,FALSE)&lt;-2),"",#REF!),"")</f>
        <v/>
      </c>
      <c r="G603" t="str">
        <f>IFERROR(IF(OR(HLOOKUP($A603,#REF!,5,FALSE)&gt;2,HLOOKUP($A603,#REF!,5,FALSE)&lt;-2),"",#REF!),"")</f>
        <v/>
      </c>
      <c r="H603" t="str">
        <f>IFERROR(IF(OR(HLOOKUP($A603,#REF!,6,FALSE)&gt;2,HLOOKUP($A603,#REF!,6,FALSE)&lt;-2),"",#REF!),"")</f>
        <v/>
      </c>
      <c r="I603" t="str">
        <f>IFERROR(IF(OR(HLOOKUP($A603,#REF!,7,FALSE)&gt;2,HLOOKUP($A603,#REF!,7,FALSE)&lt;-2),"",#REF!),"")</f>
        <v/>
      </c>
      <c r="J603" t="str">
        <f>IFERROR(IF(OR(HLOOKUP($A603,#REF!,8,FALSE)&gt;2,HLOOKUP($A603,#REF!,8,FALSE)&lt;-2),"",#REF!),"")</f>
        <v/>
      </c>
      <c r="K603" t="str">
        <f>IFERROR(IF(OR(HLOOKUP($A603,#REF!,9,FALSE)&gt;2,HLOOKUP($A603,#REF!,9,FALSE)&lt;-2),"",#REF!),"")</f>
        <v/>
      </c>
      <c r="L603" t="str">
        <f>IFERROR(IF(OR(HLOOKUP($A603,#REF!,10,FALSE)&gt;2,HLOOKUP($A603,#REF!,10,FALSE)&lt;-2),"",#REF!),"")</f>
        <v/>
      </c>
      <c r="M603" t="str">
        <f>IFERROR(IF(OR(HLOOKUP($A603,#REF!,11,FALSE)&gt;2,HLOOKUP($A603,#REF!,11,FALSE)&lt;-2),"",#REF!),"")</f>
        <v/>
      </c>
      <c r="N603" t="str">
        <f>IFERROR(IF(OR(HLOOKUP($A603,#REF!,12,FALSE)&gt;2,HLOOKUP($A603,#REF!,12,FALSE)&lt;-2),"",#REF!),"")</f>
        <v/>
      </c>
      <c r="O603" t="str">
        <f>IFERROR(IF(OR(HLOOKUP($A603,#REF!,13,FALSE)&gt;2,HLOOKUP($A603,#REF!,13,FALSE)&lt;-2),"",#REF!),"")</f>
        <v/>
      </c>
      <c r="P603" t="str">
        <f>IFERROR(IF(OR(HLOOKUP($A603,#REF!,14,FALSE)&gt;2,HLOOKUP($A603,#REF!,14,FALSE)&lt;-2),"",#REF!),"")</f>
        <v/>
      </c>
      <c r="Q603" t="str">
        <f>IFERROR(IF(OR(HLOOKUP($A603,#REF!,15,FALSE)&gt;2,HLOOKUP($A603,#REF!,15,FALSE)&lt;-2),"",#REF!),"")</f>
        <v/>
      </c>
      <c r="R603" t="str">
        <f>IFERROR(IF(OR(HLOOKUP($A603,#REF!,16,FALSE)&gt;2,HLOOKUP($A603,#REF!,16,FALSE)&lt;-2),"",#REF!),"")</f>
        <v/>
      </c>
      <c r="S603" t="str">
        <f>IFERROR(IF(OR(HLOOKUP($A603,#REF!,17,FALSE)&gt;2,HLOOKUP($A603,#REF!,17,FALSE)&lt;-2),"",#REF!),"")</f>
        <v/>
      </c>
      <c r="T603" t="str">
        <f>IFERROR(IF(OR(HLOOKUP($A603,#REF!,18,FALSE)&gt;2,HLOOKUP($A603,#REF!,18,FALSE)&lt;-2),"",#REF!),"")</f>
        <v/>
      </c>
      <c r="U603" t="str">
        <f>IFERROR(IF(OR(HLOOKUP($A603,#REF!,19,FALSE)&gt;2,HLOOKUP($A603,#REF!,19,FALSE)&lt;-2),"",#REF!),"")</f>
        <v/>
      </c>
      <c r="V603">
        <f t="shared" si="36"/>
        <v>1</v>
      </c>
      <c r="W603" t="str">
        <f t="shared" si="37"/>
        <v/>
      </c>
      <c r="X603" t="str">
        <f t="shared" si="38"/>
        <v/>
      </c>
      <c r="Y603" t="str">
        <f t="shared" si="39"/>
        <v/>
      </c>
    </row>
    <row r="604" spans="1:25" x14ac:dyDescent="0.35">
      <c r="A604">
        <v>612</v>
      </c>
      <c r="B604" t="s">
        <v>297</v>
      </c>
      <c r="C604">
        <v>84900</v>
      </c>
      <c r="D604">
        <v>1132</v>
      </c>
      <c r="E604" t="str">
        <f>IFERROR(IF(OR(HLOOKUP($A604,#REF!,3,FALSE)&gt;2,HLOOKUP(A604,#REF!,3,FALSE)&lt;-2),"",#REF!),"")</f>
        <v/>
      </c>
      <c r="F604" t="str">
        <f>IFERROR(IF(OR(HLOOKUP($A604,#REF!,4,FALSE)&gt;2,HLOOKUP($A604,#REF!,4,FALSE)&lt;-2),"",#REF!),"")</f>
        <v/>
      </c>
      <c r="G604" t="str">
        <f>IFERROR(IF(OR(HLOOKUP($A604,#REF!,5,FALSE)&gt;2,HLOOKUP($A604,#REF!,5,FALSE)&lt;-2),"",#REF!),"")</f>
        <v/>
      </c>
      <c r="H604" t="str">
        <f>IFERROR(IF(OR(HLOOKUP($A604,#REF!,6,FALSE)&gt;2,HLOOKUP($A604,#REF!,6,FALSE)&lt;-2),"",#REF!),"")</f>
        <v/>
      </c>
      <c r="I604" t="str">
        <f>IFERROR(IF(OR(HLOOKUP($A604,#REF!,7,FALSE)&gt;2,HLOOKUP($A604,#REF!,7,FALSE)&lt;-2),"",#REF!),"")</f>
        <v/>
      </c>
      <c r="J604" t="str">
        <f>IFERROR(IF(OR(HLOOKUP($A604,#REF!,8,FALSE)&gt;2,HLOOKUP($A604,#REF!,8,FALSE)&lt;-2),"",#REF!),"")</f>
        <v/>
      </c>
      <c r="K604" t="str">
        <f>IFERROR(IF(OR(HLOOKUP($A604,#REF!,9,FALSE)&gt;2,HLOOKUP($A604,#REF!,9,FALSE)&lt;-2),"",#REF!),"")</f>
        <v/>
      </c>
      <c r="L604" t="str">
        <f>IFERROR(IF(OR(HLOOKUP($A604,#REF!,10,FALSE)&gt;2,HLOOKUP($A604,#REF!,10,FALSE)&lt;-2),"",#REF!),"")</f>
        <v/>
      </c>
      <c r="M604" t="str">
        <f>IFERROR(IF(OR(HLOOKUP($A604,#REF!,11,FALSE)&gt;2,HLOOKUP($A604,#REF!,11,FALSE)&lt;-2),"",#REF!),"")</f>
        <v/>
      </c>
      <c r="N604" t="str">
        <f>IFERROR(IF(OR(HLOOKUP($A604,#REF!,12,FALSE)&gt;2,HLOOKUP($A604,#REF!,12,FALSE)&lt;-2),"",#REF!),"")</f>
        <v/>
      </c>
      <c r="O604" t="str">
        <f>IFERROR(IF(OR(HLOOKUP($A604,#REF!,13,FALSE)&gt;2,HLOOKUP($A604,#REF!,13,FALSE)&lt;-2),"",#REF!),"")</f>
        <v/>
      </c>
      <c r="P604" t="str">
        <f>IFERROR(IF(OR(HLOOKUP($A604,#REF!,14,FALSE)&gt;2,HLOOKUP($A604,#REF!,14,FALSE)&lt;-2),"",#REF!),"")</f>
        <v/>
      </c>
      <c r="Q604" t="str">
        <f>IFERROR(IF(OR(HLOOKUP($A604,#REF!,15,FALSE)&gt;2,HLOOKUP($A604,#REF!,15,FALSE)&lt;-2),"",#REF!),"")</f>
        <v/>
      </c>
      <c r="R604" t="str">
        <f>IFERROR(IF(OR(HLOOKUP($A604,#REF!,16,FALSE)&gt;2,HLOOKUP($A604,#REF!,16,FALSE)&lt;-2),"",#REF!),"")</f>
        <v/>
      </c>
      <c r="S604" t="str">
        <f>IFERROR(IF(OR(HLOOKUP($A604,#REF!,17,FALSE)&gt;2,HLOOKUP($A604,#REF!,17,FALSE)&lt;-2),"",#REF!),"")</f>
        <v/>
      </c>
      <c r="T604" t="str">
        <f>IFERROR(IF(OR(HLOOKUP($A604,#REF!,18,FALSE)&gt;2,HLOOKUP($A604,#REF!,18,FALSE)&lt;-2),"",#REF!),"")</f>
        <v/>
      </c>
      <c r="U604" t="str">
        <f>IFERROR(IF(OR(HLOOKUP($A604,#REF!,19,FALSE)&gt;2,HLOOKUP($A604,#REF!,19,FALSE)&lt;-2),"",#REF!),"")</f>
        <v/>
      </c>
      <c r="V604">
        <f t="shared" si="36"/>
        <v>1</v>
      </c>
      <c r="W604" t="str">
        <f t="shared" si="37"/>
        <v/>
      </c>
      <c r="X604" t="str">
        <f t="shared" si="38"/>
        <v/>
      </c>
      <c r="Y604" t="str">
        <f t="shared" si="39"/>
        <v/>
      </c>
    </row>
    <row r="605" spans="1:25" x14ac:dyDescent="0.35">
      <c r="A605">
        <v>613</v>
      </c>
      <c r="B605" t="s">
        <v>298</v>
      </c>
      <c r="C605">
        <v>15900</v>
      </c>
      <c r="D605">
        <v>409</v>
      </c>
      <c r="E605" t="str">
        <f>IFERROR(IF(OR(HLOOKUP($A605,#REF!,3,FALSE)&gt;2,HLOOKUP(A605,#REF!,3,FALSE)&lt;-2),"",#REF!),"")</f>
        <v/>
      </c>
      <c r="F605" t="str">
        <f>IFERROR(IF(OR(HLOOKUP($A605,#REF!,4,FALSE)&gt;2,HLOOKUP($A605,#REF!,4,FALSE)&lt;-2),"",#REF!),"")</f>
        <v/>
      </c>
      <c r="G605" t="str">
        <f>IFERROR(IF(OR(HLOOKUP($A605,#REF!,5,FALSE)&gt;2,HLOOKUP($A605,#REF!,5,FALSE)&lt;-2),"",#REF!),"")</f>
        <v/>
      </c>
      <c r="H605" t="str">
        <f>IFERROR(IF(OR(HLOOKUP($A605,#REF!,6,FALSE)&gt;2,HLOOKUP($A605,#REF!,6,FALSE)&lt;-2),"",#REF!),"")</f>
        <v/>
      </c>
      <c r="I605" t="str">
        <f>IFERROR(IF(OR(HLOOKUP($A605,#REF!,7,FALSE)&gt;2,HLOOKUP($A605,#REF!,7,FALSE)&lt;-2),"",#REF!),"")</f>
        <v/>
      </c>
      <c r="J605" t="str">
        <f>IFERROR(IF(OR(HLOOKUP($A605,#REF!,8,FALSE)&gt;2,HLOOKUP($A605,#REF!,8,FALSE)&lt;-2),"",#REF!),"")</f>
        <v/>
      </c>
      <c r="K605" t="str">
        <f>IFERROR(IF(OR(HLOOKUP($A605,#REF!,9,FALSE)&gt;2,HLOOKUP($A605,#REF!,9,FALSE)&lt;-2),"",#REF!),"")</f>
        <v/>
      </c>
      <c r="L605" t="str">
        <f>IFERROR(IF(OR(HLOOKUP($A605,#REF!,10,FALSE)&gt;2,HLOOKUP($A605,#REF!,10,FALSE)&lt;-2),"",#REF!),"")</f>
        <v/>
      </c>
      <c r="M605" t="str">
        <f>IFERROR(IF(OR(HLOOKUP($A605,#REF!,11,FALSE)&gt;2,HLOOKUP($A605,#REF!,11,FALSE)&lt;-2),"",#REF!),"")</f>
        <v/>
      </c>
      <c r="N605" t="str">
        <f>IFERROR(IF(OR(HLOOKUP($A605,#REF!,12,FALSE)&gt;2,HLOOKUP($A605,#REF!,12,FALSE)&lt;-2),"",#REF!),"")</f>
        <v/>
      </c>
      <c r="O605" t="str">
        <f>IFERROR(IF(OR(HLOOKUP($A605,#REF!,13,FALSE)&gt;2,HLOOKUP($A605,#REF!,13,FALSE)&lt;-2),"",#REF!),"")</f>
        <v/>
      </c>
      <c r="P605" t="str">
        <f>IFERROR(IF(OR(HLOOKUP($A605,#REF!,14,FALSE)&gt;2,HLOOKUP($A605,#REF!,14,FALSE)&lt;-2),"",#REF!),"")</f>
        <v/>
      </c>
      <c r="Q605" t="str">
        <f>IFERROR(IF(OR(HLOOKUP($A605,#REF!,15,FALSE)&gt;2,HLOOKUP($A605,#REF!,15,FALSE)&lt;-2),"",#REF!),"")</f>
        <v/>
      </c>
      <c r="R605" t="str">
        <f>IFERROR(IF(OR(HLOOKUP($A605,#REF!,16,FALSE)&gt;2,HLOOKUP($A605,#REF!,16,FALSE)&lt;-2),"",#REF!),"")</f>
        <v/>
      </c>
      <c r="S605" t="str">
        <f>IFERROR(IF(OR(HLOOKUP($A605,#REF!,17,FALSE)&gt;2,HLOOKUP($A605,#REF!,17,FALSE)&lt;-2),"",#REF!),"")</f>
        <v/>
      </c>
      <c r="T605" t="str">
        <f>IFERROR(IF(OR(HLOOKUP($A605,#REF!,18,FALSE)&gt;2,HLOOKUP($A605,#REF!,18,FALSE)&lt;-2),"",#REF!),"")</f>
        <v/>
      </c>
      <c r="U605" t="str">
        <f>IFERROR(IF(OR(HLOOKUP($A605,#REF!,19,FALSE)&gt;2,HLOOKUP($A605,#REF!,19,FALSE)&lt;-2),"",#REF!),"")</f>
        <v/>
      </c>
      <c r="V605">
        <f t="shared" si="36"/>
        <v>1</v>
      </c>
      <c r="W605" t="str">
        <f t="shared" si="37"/>
        <v/>
      </c>
      <c r="X605" t="str">
        <f t="shared" si="38"/>
        <v/>
      </c>
      <c r="Y605" t="str">
        <f t="shared" si="39"/>
        <v/>
      </c>
    </row>
    <row r="606" spans="1:25" x14ac:dyDescent="0.35">
      <c r="A606">
        <v>614</v>
      </c>
      <c r="B606" t="s">
        <v>299</v>
      </c>
      <c r="C606">
        <v>78000</v>
      </c>
      <c r="D606">
        <v>290</v>
      </c>
      <c r="E606" t="str">
        <f>IFERROR(IF(OR(HLOOKUP($A606,#REF!,3,FALSE)&gt;2,HLOOKUP(A606,#REF!,3,FALSE)&lt;-2),"",#REF!),"")</f>
        <v/>
      </c>
      <c r="F606" t="str">
        <f>IFERROR(IF(OR(HLOOKUP($A606,#REF!,4,FALSE)&gt;2,HLOOKUP($A606,#REF!,4,FALSE)&lt;-2),"",#REF!),"")</f>
        <v/>
      </c>
      <c r="G606" t="str">
        <f>IFERROR(IF(OR(HLOOKUP($A606,#REF!,5,FALSE)&gt;2,HLOOKUP($A606,#REF!,5,FALSE)&lt;-2),"",#REF!),"")</f>
        <v/>
      </c>
      <c r="H606" t="str">
        <f>IFERROR(IF(OR(HLOOKUP($A606,#REF!,6,FALSE)&gt;2,HLOOKUP($A606,#REF!,6,FALSE)&lt;-2),"",#REF!),"")</f>
        <v/>
      </c>
      <c r="I606" t="str">
        <f>IFERROR(IF(OR(HLOOKUP($A606,#REF!,7,FALSE)&gt;2,HLOOKUP($A606,#REF!,7,FALSE)&lt;-2),"",#REF!),"")</f>
        <v/>
      </c>
      <c r="J606" t="str">
        <f>IFERROR(IF(OR(HLOOKUP($A606,#REF!,8,FALSE)&gt;2,HLOOKUP($A606,#REF!,8,FALSE)&lt;-2),"",#REF!),"")</f>
        <v/>
      </c>
      <c r="K606" t="str">
        <f>IFERROR(IF(OR(HLOOKUP($A606,#REF!,9,FALSE)&gt;2,HLOOKUP($A606,#REF!,9,FALSE)&lt;-2),"",#REF!),"")</f>
        <v/>
      </c>
      <c r="L606" t="str">
        <f>IFERROR(IF(OR(HLOOKUP($A606,#REF!,10,FALSE)&gt;2,HLOOKUP($A606,#REF!,10,FALSE)&lt;-2),"",#REF!),"")</f>
        <v/>
      </c>
      <c r="M606" t="str">
        <f>IFERROR(IF(OR(HLOOKUP($A606,#REF!,11,FALSE)&gt;2,HLOOKUP($A606,#REF!,11,FALSE)&lt;-2),"",#REF!),"")</f>
        <v/>
      </c>
      <c r="N606" t="str">
        <f>IFERROR(IF(OR(HLOOKUP($A606,#REF!,12,FALSE)&gt;2,HLOOKUP($A606,#REF!,12,FALSE)&lt;-2),"",#REF!),"")</f>
        <v/>
      </c>
      <c r="O606" t="str">
        <f>IFERROR(IF(OR(HLOOKUP($A606,#REF!,13,FALSE)&gt;2,HLOOKUP($A606,#REF!,13,FALSE)&lt;-2),"",#REF!),"")</f>
        <v/>
      </c>
      <c r="P606" t="str">
        <f>IFERROR(IF(OR(HLOOKUP($A606,#REF!,14,FALSE)&gt;2,HLOOKUP($A606,#REF!,14,FALSE)&lt;-2),"",#REF!),"")</f>
        <v/>
      </c>
      <c r="Q606" t="str">
        <f>IFERROR(IF(OR(HLOOKUP($A606,#REF!,15,FALSE)&gt;2,HLOOKUP($A606,#REF!,15,FALSE)&lt;-2),"",#REF!),"")</f>
        <v/>
      </c>
      <c r="R606" t="str">
        <f>IFERROR(IF(OR(HLOOKUP($A606,#REF!,16,FALSE)&gt;2,HLOOKUP($A606,#REF!,16,FALSE)&lt;-2),"",#REF!),"")</f>
        <v/>
      </c>
      <c r="S606" t="str">
        <f>IFERROR(IF(OR(HLOOKUP($A606,#REF!,17,FALSE)&gt;2,HLOOKUP($A606,#REF!,17,FALSE)&lt;-2),"",#REF!),"")</f>
        <v/>
      </c>
      <c r="T606" t="str">
        <f>IFERROR(IF(OR(HLOOKUP($A606,#REF!,18,FALSE)&gt;2,HLOOKUP($A606,#REF!,18,FALSE)&lt;-2),"",#REF!),"")</f>
        <v/>
      </c>
      <c r="U606" t="str">
        <f>IFERROR(IF(OR(HLOOKUP($A606,#REF!,19,FALSE)&gt;2,HLOOKUP($A606,#REF!,19,FALSE)&lt;-2),"",#REF!),"")</f>
        <v/>
      </c>
      <c r="V606">
        <f t="shared" si="36"/>
        <v>1</v>
      </c>
      <c r="W606" t="str">
        <f t="shared" si="37"/>
        <v/>
      </c>
      <c r="X606" t="str">
        <f t="shared" si="38"/>
        <v/>
      </c>
      <c r="Y606" t="str">
        <f t="shared" si="39"/>
        <v/>
      </c>
    </row>
    <row r="607" spans="1:25" x14ac:dyDescent="0.35">
      <c r="A607">
        <v>615</v>
      </c>
      <c r="B607" t="s">
        <v>910</v>
      </c>
      <c r="C607">
        <v>83600</v>
      </c>
      <c r="D607">
        <v>323</v>
      </c>
      <c r="E607" t="str">
        <f>IFERROR(IF(OR(HLOOKUP($A607,#REF!,3,FALSE)&gt;2,HLOOKUP(A607,#REF!,3,FALSE)&lt;-2),"",#REF!),"")</f>
        <v/>
      </c>
      <c r="F607" t="str">
        <f>IFERROR(IF(OR(HLOOKUP($A607,#REF!,4,FALSE)&gt;2,HLOOKUP($A607,#REF!,4,FALSE)&lt;-2),"",#REF!),"")</f>
        <v/>
      </c>
      <c r="G607" t="str">
        <f>IFERROR(IF(OR(HLOOKUP($A607,#REF!,5,FALSE)&gt;2,HLOOKUP($A607,#REF!,5,FALSE)&lt;-2),"",#REF!),"")</f>
        <v/>
      </c>
      <c r="H607" t="str">
        <f>IFERROR(IF(OR(HLOOKUP($A607,#REF!,6,FALSE)&gt;2,HLOOKUP($A607,#REF!,6,FALSE)&lt;-2),"",#REF!),"")</f>
        <v/>
      </c>
      <c r="I607" t="str">
        <f>IFERROR(IF(OR(HLOOKUP($A607,#REF!,7,FALSE)&gt;2,HLOOKUP($A607,#REF!,7,FALSE)&lt;-2),"",#REF!),"")</f>
        <v/>
      </c>
      <c r="J607" t="str">
        <f>IFERROR(IF(OR(HLOOKUP($A607,#REF!,8,FALSE)&gt;2,HLOOKUP($A607,#REF!,8,FALSE)&lt;-2),"",#REF!),"")</f>
        <v/>
      </c>
      <c r="K607" t="str">
        <f>IFERROR(IF(OR(HLOOKUP($A607,#REF!,9,FALSE)&gt;2,HLOOKUP($A607,#REF!,9,FALSE)&lt;-2),"",#REF!),"")</f>
        <v/>
      </c>
      <c r="L607" t="str">
        <f>IFERROR(IF(OR(HLOOKUP($A607,#REF!,10,FALSE)&gt;2,HLOOKUP($A607,#REF!,10,FALSE)&lt;-2),"",#REF!),"")</f>
        <v/>
      </c>
      <c r="M607" t="str">
        <f>IFERROR(IF(OR(HLOOKUP($A607,#REF!,11,FALSE)&gt;2,HLOOKUP($A607,#REF!,11,FALSE)&lt;-2),"",#REF!),"")</f>
        <v/>
      </c>
      <c r="N607" t="str">
        <f>IFERROR(IF(OR(HLOOKUP($A607,#REF!,12,FALSE)&gt;2,HLOOKUP($A607,#REF!,12,FALSE)&lt;-2),"",#REF!),"")</f>
        <v/>
      </c>
      <c r="O607" t="str">
        <f>IFERROR(IF(OR(HLOOKUP($A607,#REF!,13,FALSE)&gt;2,HLOOKUP($A607,#REF!,13,FALSE)&lt;-2),"",#REF!),"")</f>
        <v/>
      </c>
      <c r="P607" t="str">
        <f>IFERROR(IF(OR(HLOOKUP($A607,#REF!,14,FALSE)&gt;2,HLOOKUP($A607,#REF!,14,FALSE)&lt;-2),"",#REF!),"")</f>
        <v/>
      </c>
      <c r="Q607" t="str">
        <f>IFERROR(IF(OR(HLOOKUP($A607,#REF!,15,FALSE)&gt;2,HLOOKUP($A607,#REF!,15,FALSE)&lt;-2),"",#REF!),"")</f>
        <v/>
      </c>
      <c r="R607" t="str">
        <f>IFERROR(IF(OR(HLOOKUP($A607,#REF!,16,FALSE)&gt;2,HLOOKUP($A607,#REF!,16,FALSE)&lt;-2),"",#REF!),"")</f>
        <v/>
      </c>
      <c r="S607" t="str">
        <f>IFERROR(IF(OR(HLOOKUP($A607,#REF!,17,FALSE)&gt;2,HLOOKUP($A607,#REF!,17,FALSE)&lt;-2),"",#REF!),"")</f>
        <v/>
      </c>
      <c r="T607" t="str">
        <f>IFERROR(IF(OR(HLOOKUP($A607,#REF!,18,FALSE)&gt;2,HLOOKUP($A607,#REF!,18,FALSE)&lt;-2),"",#REF!),"")</f>
        <v/>
      </c>
      <c r="U607" t="str">
        <f>IFERROR(IF(OR(HLOOKUP($A607,#REF!,19,FALSE)&gt;2,HLOOKUP($A607,#REF!,19,FALSE)&lt;-2),"",#REF!),"")</f>
        <v/>
      </c>
      <c r="V607">
        <f t="shared" si="36"/>
        <v>1</v>
      </c>
      <c r="W607" t="str">
        <f t="shared" si="37"/>
        <v/>
      </c>
      <c r="X607" t="str">
        <f t="shared" si="38"/>
        <v/>
      </c>
      <c r="Y607" t="str">
        <f t="shared" si="39"/>
        <v/>
      </c>
    </row>
    <row r="608" spans="1:25" x14ac:dyDescent="0.35">
      <c r="A608">
        <v>616</v>
      </c>
      <c r="B608" t="s">
        <v>300</v>
      </c>
      <c r="C608">
        <v>82600</v>
      </c>
      <c r="D608">
        <v>323</v>
      </c>
      <c r="E608" t="str">
        <f>IFERROR(IF(OR(HLOOKUP($A608,#REF!,3,FALSE)&gt;2,HLOOKUP(A608,#REF!,3,FALSE)&lt;-2),"",#REF!),"")</f>
        <v/>
      </c>
      <c r="F608" t="str">
        <f>IFERROR(IF(OR(HLOOKUP($A608,#REF!,4,FALSE)&gt;2,HLOOKUP($A608,#REF!,4,FALSE)&lt;-2),"",#REF!),"")</f>
        <v/>
      </c>
      <c r="G608" t="str">
        <f>IFERROR(IF(OR(HLOOKUP($A608,#REF!,5,FALSE)&gt;2,HLOOKUP($A608,#REF!,5,FALSE)&lt;-2),"",#REF!),"")</f>
        <v/>
      </c>
      <c r="H608" t="str">
        <f>IFERROR(IF(OR(HLOOKUP($A608,#REF!,6,FALSE)&gt;2,HLOOKUP($A608,#REF!,6,FALSE)&lt;-2),"",#REF!),"")</f>
        <v/>
      </c>
      <c r="I608" t="str">
        <f>IFERROR(IF(OR(HLOOKUP($A608,#REF!,7,FALSE)&gt;2,HLOOKUP($A608,#REF!,7,FALSE)&lt;-2),"",#REF!),"")</f>
        <v/>
      </c>
      <c r="J608" t="str">
        <f>IFERROR(IF(OR(HLOOKUP($A608,#REF!,8,FALSE)&gt;2,HLOOKUP($A608,#REF!,8,FALSE)&lt;-2),"",#REF!),"")</f>
        <v/>
      </c>
      <c r="K608" t="str">
        <f>IFERROR(IF(OR(HLOOKUP($A608,#REF!,9,FALSE)&gt;2,HLOOKUP($A608,#REF!,9,FALSE)&lt;-2),"",#REF!),"")</f>
        <v/>
      </c>
      <c r="L608" t="str">
        <f>IFERROR(IF(OR(HLOOKUP($A608,#REF!,10,FALSE)&gt;2,HLOOKUP($A608,#REF!,10,FALSE)&lt;-2),"",#REF!),"")</f>
        <v/>
      </c>
      <c r="M608" t="str">
        <f>IFERROR(IF(OR(HLOOKUP($A608,#REF!,11,FALSE)&gt;2,HLOOKUP($A608,#REF!,11,FALSE)&lt;-2),"",#REF!),"")</f>
        <v/>
      </c>
      <c r="N608" t="str">
        <f>IFERROR(IF(OR(HLOOKUP($A608,#REF!,12,FALSE)&gt;2,HLOOKUP($A608,#REF!,12,FALSE)&lt;-2),"",#REF!),"")</f>
        <v/>
      </c>
      <c r="O608" t="str">
        <f>IFERROR(IF(OR(HLOOKUP($A608,#REF!,13,FALSE)&gt;2,HLOOKUP($A608,#REF!,13,FALSE)&lt;-2),"",#REF!),"")</f>
        <v/>
      </c>
      <c r="P608" t="str">
        <f>IFERROR(IF(OR(HLOOKUP($A608,#REF!,14,FALSE)&gt;2,HLOOKUP($A608,#REF!,14,FALSE)&lt;-2),"",#REF!),"")</f>
        <v/>
      </c>
      <c r="Q608" t="str">
        <f>IFERROR(IF(OR(HLOOKUP($A608,#REF!,15,FALSE)&gt;2,HLOOKUP($A608,#REF!,15,FALSE)&lt;-2),"",#REF!),"")</f>
        <v/>
      </c>
      <c r="R608" t="str">
        <f>IFERROR(IF(OR(HLOOKUP($A608,#REF!,16,FALSE)&gt;2,HLOOKUP($A608,#REF!,16,FALSE)&lt;-2),"",#REF!),"")</f>
        <v/>
      </c>
      <c r="S608" t="str">
        <f>IFERROR(IF(OR(HLOOKUP($A608,#REF!,17,FALSE)&gt;2,HLOOKUP($A608,#REF!,17,FALSE)&lt;-2),"",#REF!),"")</f>
        <v/>
      </c>
      <c r="T608" t="str">
        <f>IFERROR(IF(OR(HLOOKUP($A608,#REF!,18,FALSE)&gt;2,HLOOKUP($A608,#REF!,18,FALSE)&lt;-2),"",#REF!),"")</f>
        <v/>
      </c>
      <c r="U608" t="str">
        <f>IFERROR(IF(OR(HLOOKUP($A608,#REF!,19,FALSE)&gt;2,HLOOKUP($A608,#REF!,19,FALSE)&lt;-2),"",#REF!),"")</f>
        <v/>
      </c>
      <c r="V608">
        <f t="shared" si="36"/>
        <v>1</v>
      </c>
      <c r="W608" t="str">
        <f t="shared" si="37"/>
        <v/>
      </c>
      <c r="X608" t="str">
        <f t="shared" si="38"/>
        <v/>
      </c>
      <c r="Y608" t="str">
        <f t="shared" si="39"/>
        <v/>
      </c>
    </row>
    <row r="609" spans="1:25" x14ac:dyDescent="0.35">
      <c r="A609">
        <v>617</v>
      </c>
      <c r="B609" t="s">
        <v>911</v>
      </c>
      <c r="C609">
        <v>67400</v>
      </c>
      <c r="D609">
        <v>362</v>
      </c>
      <c r="E609" t="str">
        <f>IFERROR(IF(OR(HLOOKUP($A609,#REF!,3,FALSE)&gt;2,HLOOKUP(A609,#REF!,3,FALSE)&lt;-2),"",#REF!),"")</f>
        <v/>
      </c>
      <c r="F609" t="str">
        <f>IFERROR(IF(OR(HLOOKUP($A609,#REF!,4,FALSE)&gt;2,HLOOKUP($A609,#REF!,4,FALSE)&lt;-2),"",#REF!),"")</f>
        <v/>
      </c>
      <c r="G609" t="str">
        <f>IFERROR(IF(OR(HLOOKUP($A609,#REF!,5,FALSE)&gt;2,HLOOKUP($A609,#REF!,5,FALSE)&lt;-2),"",#REF!),"")</f>
        <v/>
      </c>
      <c r="H609" t="str">
        <f>IFERROR(IF(OR(HLOOKUP($A609,#REF!,6,FALSE)&gt;2,HLOOKUP($A609,#REF!,6,FALSE)&lt;-2),"",#REF!),"")</f>
        <v/>
      </c>
      <c r="I609" t="str">
        <f>IFERROR(IF(OR(HLOOKUP($A609,#REF!,7,FALSE)&gt;2,HLOOKUP($A609,#REF!,7,FALSE)&lt;-2),"",#REF!),"")</f>
        <v/>
      </c>
      <c r="J609" t="str">
        <f>IFERROR(IF(OR(HLOOKUP($A609,#REF!,8,FALSE)&gt;2,HLOOKUP($A609,#REF!,8,FALSE)&lt;-2),"",#REF!),"")</f>
        <v/>
      </c>
      <c r="K609" t="str">
        <f>IFERROR(IF(OR(HLOOKUP($A609,#REF!,9,FALSE)&gt;2,HLOOKUP($A609,#REF!,9,FALSE)&lt;-2),"",#REF!),"")</f>
        <v/>
      </c>
      <c r="L609" t="str">
        <f>IFERROR(IF(OR(HLOOKUP($A609,#REF!,10,FALSE)&gt;2,HLOOKUP($A609,#REF!,10,FALSE)&lt;-2),"",#REF!),"")</f>
        <v/>
      </c>
      <c r="M609" t="str">
        <f>IFERROR(IF(OR(HLOOKUP($A609,#REF!,11,FALSE)&gt;2,HLOOKUP($A609,#REF!,11,FALSE)&lt;-2),"",#REF!),"")</f>
        <v/>
      </c>
      <c r="N609" t="str">
        <f>IFERROR(IF(OR(HLOOKUP($A609,#REF!,12,FALSE)&gt;2,HLOOKUP($A609,#REF!,12,FALSE)&lt;-2),"",#REF!),"")</f>
        <v/>
      </c>
      <c r="O609" t="str">
        <f>IFERROR(IF(OR(HLOOKUP($A609,#REF!,13,FALSE)&gt;2,HLOOKUP($A609,#REF!,13,FALSE)&lt;-2),"",#REF!),"")</f>
        <v/>
      </c>
      <c r="P609" t="str">
        <f>IFERROR(IF(OR(HLOOKUP($A609,#REF!,14,FALSE)&gt;2,HLOOKUP($A609,#REF!,14,FALSE)&lt;-2),"",#REF!),"")</f>
        <v/>
      </c>
      <c r="Q609" t="str">
        <f>IFERROR(IF(OR(HLOOKUP($A609,#REF!,15,FALSE)&gt;2,HLOOKUP($A609,#REF!,15,FALSE)&lt;-2),"",#REF!),"")</f>
        <v/>
      </c>
      <c r="R609" t="str">
        <f>IFERROR(IF(OR(HLOOKUP($A609,#REF!,16,FALSE)&gt;2,HLOOKUP($A609,#REF!,16,FALSE)&lt;-2),"",#REF!),"")</f>
        <v/>
      </c>
      <c r="S609" t="str">
        <f>IFERROR(IF(OR(HLOOKUP($A609,#REF!,17,FALSE)&gt;2,HLOOKUP($A609,#REF!,17,FALSE)&lt;-2),"",#REF!),"")</f>
        <v/>
      </c>
      <c r="T609" t="str">
        <f>IFERROR(IF(OR(HLOOKUP($A609,#REF!,18,FALSE)&gt;2,HLOOKUP($A609,#REF!,18,FALSE)&lt;-2),"",#REF!),"")</f>
        <v/>
      </c>
      <c r="U609" t="str">
        <f>IFERROR(IF(OR(HLOOKUP($A609,#REF!,19,FALSE)&gt;2,HLOOKUP($A609,#REF!,19,FALSE)&lt;-2),"",#REF!),"")</f>
        <v/>
      </c>
      <c r="V609">
        <f t="shared" si="36"/>
        <v>1</v>
      </c>
      <c r="W609" t="str">
        <f t="shared" si="37"/>
        <v/>
      </c>
      <c r="X609" t="str">
        <f t="shared" si="38"/>
        <v/>
      </c>
      <c r="Y609" t="str">
        <f t="shared" si="39"/>
        <v/>
      </c>
    </row>
    <row r="610" spans="1:25" x14ac:dyDescent="0.35">
      <c r="A610">
        <v>618</v>
      </c>
      <c r="B610" t="s">
        <v>912</v>
      </c>
      <c r="C610">
        <v>112000</v>
      </c>
      <c r="D610">
        <v>1099</v>
      </c>
      <c r="E610" t="str">
        <f>IFERROR(IF(OR(HLOOKUP($A610,#REF!,3,FALSE)&gt;2,HLOOKUP(A610,#REF!,3,FALSE)&lt;-2),"",#REF!),"")</f>
        <v/>
      </c>
      <c r="F610" t="str">
        <f>IFERROR(IF(OR(HLOOKUP($A610,#REF!,4,FALSE)&gt;2,HLOOKUP($A610,#REF!,4,FALSE)&lt;-2),"",#REF!),"")</f>
        <v/>
      </c>
      <c r="G610" t="str">
        <f>IFERROR(IF(OR(HLOOKUP($A610,#REF!,5,FALSE)&gt;2,HLOOKUP($A610,#REF!,5,FALSE)&lt;-2),"",#REF!),"")</f>
        <v/>
      </c>
      <c r="H610" t="str">
        <f>IFERROR(IF(OR(HLOOKUP($A610,#REF!,6,FALSE)&gt;2,HLOOKUP($A610,#REF!,6,FALSE)&lt;-2),"",#REF!),"")</f>
        <v/>
      </c>
      <c r="I610" t="str">
        <f>IFERROR(IF(OR(HLOOKUP($A610,#REF!,7,FALSE)&gt;2,HLOOKUP($A610,#REF!,7,FALSE)&lt;-2),"",#REF!),"")</f>
        <v/>
      </c>
      <c r="J610" t="str">
        <f>IFERROR(IF(OR(HLOOKUP($A610,#REF!,8,FALSE)&gt;2,HLOOKUP($A610,#REF!,8,FALSE)&lt;-2),"",#REF!),"")</f>
        <v/>
      </c>
      <c r="K610" t="str">
        <f>IFERROR(IF(OR(HLOOKUP($A610,#REF!,9,FALSE)&gt;2,HLOOKUP($A610,#REF!,9,FALSE)&lt;-2),"",#REF!),"")</f>
        <v/>
      </c>
      <c r="L610" t="str">
        <f>IFERROR(IF(OR(HLOOKUP($A610,#REF!,10,FALSE)&gt;2,HLOOKUP($A610,#REF!,10,FALSE)&lt;-2),"",#REF!),"")</f>
        <v/>
      </c>
      <c r="M610" t="str">
        <f>IFERROR(IF(OR(HLOOKUP($A610,#REF!,11,FALSE)&gt;2,HLOOKUP($A610,#REF!,11,FALSE)&lt;-2),"",#REF!),"")</f>
        <v/>
      </c>
      <c r="N610" t="str">
        <f>IFERROR(IF(OR(HLOOKUP($A610,#REF!,12,FALSE)&gt;2,HLOOKUP($A610,#REF!,12,FALSE)&lt;-2),"",#REF!),"")</f>
        <v/>
      </c>
      <c r="O610" t="str">
        <f>IFERROR(IF(OR(HLOOKUP($A610,#REF!,13,FALSE)&gt;2,HLOOKUP($A610,#REF!,13,FALSE)&lt;-2),"",#REF!),"")</f>
        <v/>
      </c>
      <c r="P610" t="str">
        <f>IFERROR(IF(OR(HLOOKUP($A610,#REF!,14,FALSE)&gt;2,HLOOKUP($A610,#REF!,14,FALSE)&lt;-2),"",#REF!),"")</f>
        <v/>
      </c>
      <c r="Q610" t="str">
        <f>IFERROR(IF(OR(HLOOKUP($A610,#REF!,15,FALSE)&gt;2,HLOOKUP($A610,#REF!,15,FALSE)&lt;-2),"",#REF!),"")</f>
        <v/>
      </c>
      <c r="R610" t="str">
        <f>IFERROR(IF(OR(HLOOKUP($A610,#REF!,16,FALSE)&gt;2,HLOOKUP($A610,#REF!,16,FALSE)&lt;-2),"",#REF!),"")</f>
        <v/>
      </c>
      <c r="S610" t="str">
        <f>IFERROR(IF(OR(HLOOKUP($A610,#REF!,17,FALSE)&gt;2,HLOOKUP($A610,#REF!,17,FALSE)&lt;-2),"",#REF!),"")</f>
        <v/>
      </c>
      <c r="T610" t="str">
        <f>IFERROR(IF(OR(HLOOKUP($A610,#REF!,18,FALSE)&gt;2,HLOOKUP($A610,#REF!,18,FALSE)&lt;-2),"",#REF!),"")</f>
        <v/>
      </c>
      <c r="U610" t="str">
        <f>IFERROR(IF(OR(HLOOKUP($A610,#REF!,19,FALSE)&gt;2,HLOOKUP($A610,#REF!,19,FALSE)&lt;-2),"",#REF!),"")</f>
        <v/>
      </c>
      <c r="V610">
        <f t="shared" si="36"/>
        <v>1</v>
      </c>
      <c r="W610" t="str">
        <f t="shared" si="37"/>
        <v/>
      </c>
      <c r="X610" t="str">
        <f t="shared" si="38"/>
        <v/>
      </c>
      <c r="Y610" t="str">
        <f t="shared" si="39"/>
        <v/>
      </c>
    </row>
    <row r="611" spans="1:25" x14ac:dyDescent="0.35">
      <c r="A611">
        <v>619</v>
      </c>
      <c r="B611" t="s">
        <v>913</v>
      </c>
      <c r="C611">
        <v>34100</v>
      </c>
      <c r="D611">
        <v>698</v>
      </c>
      <c r="E611" t="str">
        <f>IFERROR(IF(OR(HLOOKUP($A611,#REF!,3,FALSE)&gt;2,HLOOKUP(A611,#REF!,3,FALSE)&lt;-2),"",#REF!),"")</f>
        <v/>
      </c>
      <c r="F611" t="str">
        <f>IFERROR(IF(OR(HLOOKUP($A611,#REF!,4,FALSE)&gt;2,HLOOKUP($A611,#REF!,4,FALSE)&lt;-2),"",#REF!),"")</f>
        <v/>
      </c>
      <c r="G611" t="str">
        <f>IFERROR(IF(OR(HLOOKUP($A611,#REF!,5,FALSE)&gt;2,HLOOKUP($A611,#REF!,5,FALSE)&lt;-2),"",#REF!),"")</f>
        <v/>
      </c>
      <c r="H611" t="str">
        <f>IFERROR(IF(OR(HLOOKUP($A611,#REF!,6,FALSE)&gt;2,HLOOKUP($A611,#REF!,6,FALSE)&lt;-2),"",#REF!),"")</f>
        <v/>
      </c>
      <c r="I611" t="str">
        <f>IFERROR(IF(OR(HLOOKUP($A611,#REF!,7,FALSE)&gt;2,HLOOKUP($A611,#REF!,7,FALSE)&lt;-2),"",#REF!),"")</f>
        <v/>
      </c>
      <c r="J611" t="str">
        <f>IFERROR(IF(OR(HLOOKUP($A611,#REF!,8,FALSE)&gt;2,HLOOKUP($A611,#REF!,8,FALSE)&lt;-2),"",#REF!),"")</f>
        <v/>
      </c>
      <c r="K611" t="str">
        <f>IFERROR(IF(OR(HLOOKUP($A611,#REF!,9,FALSE)&gt;2,HLOOKUP($A611,#REF!,9,FALSE)&lt;-2),"",#REF!),"")</f>
        <v/>
      </c>
      <c r="L611" t="str">
        <f>IFERROR(IF(OR(HLOOKUP($A611,#REF!,10,FALSE)&gt;2,HLOOKUP($A611,#REF!,10,FALSE)&lt;-2),"",#REF!),"")</f>
        <v/>
      </c>
      <c r="M611" t="str">
        <f>IFERROR(IF(OR(HLOOKUP($A611,#REF!,11,FALSE)&gt;2,HLOOKUP($A611,#REF!,11,FALSE)&lt;-2),"",#REF!),"")</f>
        <v/>
      </c>
      <c r="N611" t="str">
        <f>IFERROR(IF(OR(HLOOKUP($A611,#REF!,12,FALSE)&gt;2,HLOOKUP($A611,#REF!,12,FALSE)&lt;-2),"",#REF!),"")</f>
        <v/>
      </c>
      <c r="O611" t="str">
        <f>IFERROR(IF(OR(HLOOKUP($A611,#REF!,13,FALSE)&gt;2,HLOOKUP($A611,#REF!,13,FALSE)&lt;-2),"",#REF!),"")</f>
        <v/>
      </c>
      <c r="P611" t="str">
        <f>IFERROR(IF(OR(HLOOKUP($A611,#REF!,14,FALSE)&gt;2,HLOOKUP($A611,#REF!,14,FALSE)&lt;-2),"",#REF!),"")</f>
        <v/>
      </c>
      <c r="Q611" t="str">
        <f>IFERROR(IF(OR(HLOOKUP($A611,#REF!,15,FALSE)&gt;2,HLOOKUP($A611,#REF!,15,FALSE)&lt;-2),"",#REF!),"")</f>
        <v/>
      </c>
      <c r="R611" t="str">
        <f>IFERROR(IF(OR(HLOOKUP($A611,#REF!,16,FALSE)&gt;2,HLOOKUP($A611,#REF!,16,FALSE)&lt;-2),"",#REF!),"")</f>
        <v/>
      </c>
      <c r="S611" t="str">
        <f>IFERROR(IF(OR(HLOOKUP($A611,#REF!,17,FALSE)&gt;2,HLOOKUP($A611,#REF!,17,FALSE)&lt;-2),"",#REF!),"")</f>
        <v/>
      </c>
      <c r="T611" t="str">
        <f>IFERROR(IF(OR(HLOOKUP($A611,#REF!,18,FALSE)&gt;2,HLOOKUP($A611,#REF!,18,FALSE)&lt;-2),"",#REF!),"")</f>
        <v/>
      </c>
      <c r="U611" t="str">
        <f>IFERROR(IF(OR(HLOOKUP($A611,#REF!,19,FALSE)&gt;2,HLOOKUP($A611,#REF!,19,FALSE)&lt;-2),"",#REF!),"")</f>
        <v/>
      </c>
      <c r="V611">
        <f t="shared" si="36"/>
        <v>1</v>
      </c>
      <c r="W611" t="str">
        <f t="shared" si="37"/>
        <v/>
      </c>
      <c r="X611" t="str">
        <f t="shared" si="38"/>
        <v/>
      </c>
      <c r="Y611" t="str">
        <f t="shared" si="39"/>
        <v/>
      </c>
    </row>
    <row r="612" spans="1:25" x14ac:dyDescent="0.35">
      <c r="A612">
        <v>620</v>
      </c>
      <c r="B612" t="s">
        <v>301</v>
      </c>
      <c r="C612">
        <v>22400</v>
      </c>
      <c r="D612">
        <v>731</v>
      </c>
      <c r="E612" t="str">
        <f>IFERROR(IF(OR(HLOOKUP($A612,#REF!,3,FALSE)&gt;2,HLOOKUP(A612,#REF!,3,FALSE)&lt;-2),"",#REF!),"")</f>
        <v/>
      </c>
      <c r="F612" t="str">
        <f>IFERROR(IF(OR(HLOOKUP($A612,#REF!,4,FALSE)&gt;2,HLOOKUP($A612,#REF!,4,FALSE)&lt;-2),"",#REF!),"")</f>
        <v/>
      </c>
      <c r="G612" t="str">
        <f>IFERROR(IF(OR(HLOOKUP($A612,#REF!,5,FALSE)&gt;2,HLOOKUP($A612,#REF!,5,FALSE)&lt;-2),"",#REF!),"")</f>
        <v/>
      </c>
      <c r="H612" t="str">
        <f>IFERROR(IF(OR(HLOOKUP($A612,#REF!,6,FALSE)&gt;2,HLOOKUP($A612,#REF!,6,FALSE)&lt;-2),"",#REF!),"")</f>
        <v/>
      </c>
      <c r="I612" t="str">
        <f>IFERROR(IF(OR(HLOOKUP($A612,#REF!,7,FALSE)&gt;2,HLOOKUP($A612,#REF!,7,FALSE)&lt;-2),"",#REF!),"")</f>
        <v/>
      </c>
      <c r="J612" t="str">
        <f>IFERROR(IF(OR(HLOOKUP($A612,#REF!,8,FALSE)&gt;2,HLOOKUP($A612,#REF!,8,FALSE)&lt;-2),"",#REF!),"")</f>
        <v/>
      </c>
      <c r="K612" t="str">
        <f>IFERROR(IF(OR(HLOOKUP($A612,#REF!,9,FALSE)&gt;2,HLOOKUP($A612,#REF!,9,FALSE)&lt;-2),"",#REF!),"")</f>
        <v/>
      </c>
      <c r="L612" t="str">
        <f>IFERROR(IF(OR(HLOOKUP($A612,#REF!,10,FALSE)&gt;2,HLOOKUP($A612,#REF!,10,FALSE)&lt;-2),"",#REF!),"")</f>
        <v/>
      </c>
      <c r="M612" t="str">
        <f>IFERROR(IF(OR(HLOOKUP($A612,#REF!,11,FALSE)&gt;2,HLOOKUP($A612,#REF!,11,FALSE)&lt;-2),"",#REF!),"")</f>
        <v/>
      </c>
      <c r="N612" t="str">
        <f>IFERROR(IF(OR(HLOOKUP($A612,#REF!,12,FALSE)&gt;2,HLOOKUP($A612,#REF!,12,FALSE)&lt;-2),"",#REF!),"")</f>
        <v/>
      </c>
      <c r="O612" t="str">
        <f>IFERROR(IF(OR(HLOOKUP($A612,#REF!,13,FALSE)&gt;2,HLOOKUP($A612,#REF!,13,FALSE)&lt;-2),"",#REF!),"")</f>
        <v/>
      </c>
      <c r="P612" t="str">
        <f>IFERROR(IF(OR(HLOOKUP($A612,#REF!,14,FALSE)&gt;2,HLOOKUP($A612,#REF!,14,FALSE)&lt;-2),"",#REF!),"")</f>
        <v/>
      </c>
      <c r="Q612" t="str">
        <f>IFERROR(IF(OR(HLOOKUP($A612,#REF!,15,FALSE)&gt;2,HLOOKUP($A612,#REF!,15,FALSE)&lt;-2),"",#REF!),"")</f>
        <v/>
      </c>
      <c r="R612" t="str">
        <f>IFERROR(IF(OR(HLOOKUP($A612,#REF!,16,FALSE)&gt;2,HLOOKUP($A612,#REF!,16,FALSE)&lt;-2),"",#REF!),"")</f>
        <v/>
      </c>
      <c r="S612" t="str">
        <f>IFERROR(IF(OR(HLOOKUP($A612,#REF!,17,FALSE)&gt;2,HLOOKUP($A612,#REF!,17,FALSE)&lt;-2),"",#REF!),"")</f>
        <v/>
      </c>
      <c r="T612" t="str">
        <f>IFERROR(IF(OR(HLOOKUP($A612,#REF!,18,FALSE)&gt;2,HLOOKUP($A612,#REF!,18,FALSE)&lt;-2),"",#REF!),"")</f>
        <v/>
      </c>
      <c r="U612" t="str">
        <f>IFERROR(IF(OR(HLOOKUP($A612,#REF!,19,FALSE)&gt;2,HLOOKUP($A612,#REF!,19,FALSE)&lt;-2),"",#REF!),"")</f>
        <v/>
      </c>
      <c r="V612">
        <f t="shared" si="36"/>
        <v>1</v>
      </c>
      <c r="W612" t="str">
        <f t="shared" si="37"/>
        <v/>
      </c>
      <c r="X612" t="str">
        <f t="shared" si="38"/>
        <v/>
      </c>
      <c r="Y612" t="str">
        <f t="shared" si="39"/>
        <v/>
      </c>
    </row>
    <row r="613" spans="1:25" x14ac:dyDescent="0.35">
      <c r="A613">
        <v>621</v>
      </c>
      <c r="B613" t="s">
        <v>302</v>
      </c>
      <c r="C613">
        <v>88200</v>
      </c>
      <c r="D613">
        <v>987</v>
      </c>
      <c r="E613" t="str">
        <f>IFERROR(IF(OR(HLOOKUP($A613,#REF!,3,FALSE)&gt;2,HLOOKUP(A613,#REF!,3,FALSE)&lt;-2),"",#REF!),"")</f>
        <v/>
      </c>
      <c r="F613" t="str">
        <f>IFERROR(IF(OR(HLOOKUP($A613,#REF!,4,FALSE)&gt;2,HLOOKUP($A613,#REF!,4,FALSE)&lt;-2),"",#REF!),"")</f>
        <v/>
      </c>
      <c r="G613" t="str">
        <f>IFERROR(IF(OR(HLOOKUP($A613,#REF!,5,FALSE)&gt;2,HLOOKUP($A613,#REF!,5,FALSE)&lt;-2),"",#REF!),"")</f>
        <v/>
      </c>
      <c r="H613" t="str">
        <f>IFERROR(IF(OR(HLOOKUP($A613,#REF!,6,FALSE)&gt;2,HLOOKUP($A613,#REF!,6,FALSE)&lt;-2),"",#REF!),"")</f>
        <v/>
      </c>
      <c r="I613" t="str">
        <f>IFERROR(IF(OR(HLOOKUP($A613,#REF!,7,FALSE)&gt;2,HLOOKUP($A613,#REF!,7,FALSE)&lt;-2),"",#REF!),"")</f>
        <v/>
      </c>
      <c r="J613" t="str">
        <f>IFERROR(IF(OR(HLOOKUP($A613,#REF!,8,FALSE)&gt;2,HLOOKUP($A613,#REF!,8,FALSE)&lt;-2),"",#REF!),"")</f>
        <v/>
      </c>
      <c r="K613" t="str">
        <f>IFERROR(IF(OR(HLOOKUP($A613,#REF!,9,FALSE)&gt;2,HLOOKUP($A613,#REF!,9,FALSE)&lt;-2),"",#REF!),"")</f>
        <v/>
      </c>
      <c r="L613" t="str">
        <f>IFERROR(IF(OR(HLOOKUP($A613,#REF!,10,FALSE)&gt;2,HLOOKUP($A613,#REF!,10,FALSE)&lt;-2),"",#REF!),"")</f>
        <v/>
      </c>
      <c r="M613" t="str">
        <f>IFERROR(IF(OR(HLOOKUP($A613,#REF!,11,FALSE)&gt;2,HLOOKUP($A613,#REF!,11,FALSE)&lt;-2),"",#REF!),"")</f>
        <v/>
      </c>
      <c r="N613" t="str">
        <f>IFERROR(IF(OR(HLOOKUP($A613,#REF!,12,FALSE)&gt;2,HLOOKUP($A613,#REF!,12,FALSE)&lt;-2),"",#REF!),"")</f>
        <v/>
      </c>
      <c r="O613" t="str">
        <f>IFERROR(IF(OR(HLOOKUP($A613,#REF!,13,FALSE)&gt;2,HLOOKUP($A613,#REF!,13,FALSE)&lt;-2),"",#REF!),"")</f>
        <v/>
      </c>
      <c r="P613" t="str">
        <f>IFERROR(IF(OR(HLOOKUP($A613,#REF!,14,FALSE)&gt;2,HLOOKUP($A613,#REF!,14,FALSE)&lt;-2),"",#REF!),"")</f>
        <v/>
      </c>
      <c r="Q613" t="str">
        <f>IFERROR(IF(OR(HLOOKUP($A613,#REF!,15,FALSE)&gt;2,HLOOKUP($A613,#REF!,15,FALSE)&lt;-2),"",#REF!),"")</f>
        <v/>
      </c>
      <c r="R613" t="str">
        <f>IFERROR(IF(OR(HLOOKUP($A613,#REF!,16,FALSE)&gt;2,HLOOKUP($A613,#REF!,16,FALSE)&lt;-2),"",#REF!),"")</f>
        <v/>
      </c>
      <c r="S613" t="str">
        <f>IFERROR(IF(OR(HLOOKUP($A613,#REF!,17,FALSE)&gt;2,HLOOKUP($A613,#REF!,17,FALSE)&lt;-2),"",#REF!),"")</f>
        <v/>
      </c>
      <c r="T613" t="str">
        <f>IFERROR(IF(OR(HLOOKUP($A613,#REF!,18,FALSE)&gt;2,HLOOKUP($A613,#REF!,18,FALSE)&lt;-2),"",#REF!),"")</f>
        <v/>
      </c>
      <c r="U613" t="str">
        <f>IFERROR(IF(OR(HLOOKUP($A613,#REF!,19,FALSE)&gt;2,HLOOKUP($A613,#REF!,19,FALSE)&lt;-2),"",#REF!),"")</f>
        <v/>
      </c>
      <c r="V613">
        <f t="shared" si="36"/>
        <v>1</v>
      </c>
      <c r="W613" t="str">
        <f t="shared" si="37"/>
        <v/>
      </c>
      <c r="X613" t="str">
        <f t="shared" si="38"/>
        <v/>
      </c>
      <c r="Y613" t="str">
        <f t="shared" si="39"/>
        <v/>
      </c>
    </row>
    <row r="614" spans="1:25" x14ac:dyDescent="0.35">
      <c r="A614">
        <v>622</v>
      </c>
      <c r="B614" t="s">
        <v>303</v>
      </c>
      <c r="C614">
        <v>27200</v>
      </c>
      <c r="D614">
        <v>886</v>
      </c>
      <c r="E614" t="str">
        <f>IFERROR(IF(OR(HLOOKUP($A614,#REF!,3,FALSE)&gt;2,HLOOKUP(A614,#REF!,3,FALSE)&lt;-2),"",#REF!),"")</f>
        <v/>
      </c>
      <c r="F614" t="str">
        <f>IFERROR(IF(OR(HLOOKUP($A614,#REF!,4,FALSE)&gt;2,HLOOKUP($A614,#REF!,4,FALSE)&lt;-2),"",#REF!),"")</f>
        <v/>
      </c>
      <c r="G614" t="str">
        <f>IFERROR(IF(OR(HLOOKUP($A614,#REF!,5,FALSE)&gt;2,HLOOKUP($A614,#REF!,5,FALSE)&lt;-2),"",#REF!),"")</f>
        <v/>
      </c>
      <c r="H614" t="str">
        <f>IFERROR(IF(OR(HLOOKUP($A614,#REF!,6,FALSE)&gt;2,HLOOKUP($A614,#REF!,6,FALSE)&lt;-2),"",#REF!),"")</f>
        <v/>
      </c>
      <c r="I614" t="str">
        <f>IFERROR(IF(OR(HLOOKUP($A614,#REF!,7,FALSE)&gt;2,HLOOKUP($A614,#REF!,7,FALSE)&lt;-2),"",#REF!),"")</f>
        <v/>
      </c>
      <c r="J614" t="str">
        <f>IFERROR(IF(OR(HLOOKUP($A614,#REF!,8,FALSE)&gt;2,HLOOKUP($A614,#REF!,8,FALSE)&lt;-2),"",#REF!),"")</f>
        <v/>
      </c>
      <c r="K614" t="str">
        <f>IFERROR(IF(OR(HLOOKUP($A614,#REF!,9,FALSE)&gt;2,HLOOKUP($A614,#REF!,9,FALSE)&lt;-2),"",#REF!),"")</f>
        <v/>
      </c>
      <c r="L614" t="str">
        <f>IFERROR(IF(OR(HLOOKUP($A614,#REF!,10,FALSE)&gt;2,HLOOKUP($A614,#REF!,10,FALSE)&lt;-2),"",#REF!),"")</f>
        <v/>
      </c>
      <c r="M614" t="str">
        <f>IFERROR(IF(OR(HLOOKUP($A614,#REF!,11,FALSE)&gt;2,HLOOKUP($A614,#REF!,11,FALSE)&lt;-2),"",#REF!),"")</f>
        <v/>
      </c>
      <c r="N614" t="str">
        <f>IFERROR(IF(OR(HLOOKUP($A614,#REF!,12,FALSE)&gt;2,HLOOKUP($A614,#REF!,12,FALSE)&lt;-2),"",#REF!),"")</f>
        <v/>
      </c>
      <c r="O614" t="str">
        <f>IFERROR(IF(OR(HLOOKUP($A614,#REF!,13,FALSE)&gt;2,HLOOKUP($A614,#REF!,13,FALSE)&lt;-2),"",#REF!),"")</f>
        <v/>
      </c>
      <c r="P614" t="str">
        <f>IFERROR(IF(OR(HLOOKUP($A614,#REF!,14,FALSE)&gt;2,HLOOKUP($A614,#REF!,14,FALSE)&lt;-2),"",#REF!),"")</f>
        <v/>
      </c>
      <c r="Q614" t="str">
        <f>IFERROR(IF(OR(HLOOKUP($A614,#REF!,15,FALSE)&gt;2,HLOOKUP($A614,#REF!,15,FALSE)&lt;-2),"",#REF!),"")</f>
        <v/>
      </c>
      <c r="R614" t="str">
        <f>IFERROR(IF(OR(HLOOKUP($A614,#REF!,16,FALSE)&gt;2,HLOOKUP($A614,#REF!,16,FALSE)&lt;-2),"",#REF!),"")</f>
        <v/>
      </c>
      <c r="S614" t="str">
        <f>IFERROR(IF(OR(HLOOKUP($A614,#REF!,17,FALSE)&gt;2,HLOOKUP($A614,#REF!,17,FALSE)&lt;-2),"",#REF!),"")</f>
        <v/>
      </c>
      <c r="T614" t="str">
        <f>IFERROR(IF(OR(HLOOKUP($A614,#REF!,18,FALSE)&gt;2,HLOOKUP($A614,#REF!,18,FALSE)&lt;-2),"",#REF!),"")</f>
        <v/>
      </c>
      <c r="U614" t="str">
        <f>IFERROR(IF(OR(HLOOKUP($A614,#REF!,19,FALSE)&gt;2,HLOOKUP($A614,#REF!,19,FALSE)&lt;-2),"",#REF!),"")</f>
        <v/>
      </c>
      <c r="V614">
        <f t="shared" si="36"/>
        <v>1</v>
      </c>
      <c r="W614" t="str">
        <f t="shared" si="37"/>
        <v/>
      </c>
      <c r="X614" t="str">
        <f t="shared" si="38"/>
        <v/>
      </c>
      <c r="Y614" t="str">
        <f t="shared" si="39"/>
        <v/>
      </c>
    </row>
    <row r="615" spans="1:25" x14ac:dyDescent="0.35">
      <c r="A615">
        <v>623</v>
      </c>
      <c r="B615" t="s">
        <v>914</v>
      </c>
      <c r="C615">
        <v>47900</v>
      </c>
      <c r="D615">
        <v>567</v>
      </c>
      <c r="E615" t="str">
        <f>IFERROR(IF(OR(HLOOKUP($A615,#REF!,3,FALSE)&gt;2,HLOOKUP(A615,#REF!,3,FALSE)&lt;-2),"",#REF!),"")</f>
        <v/>
      </c>
      <c r="F615" t="str">
        <f>IFERROR(IF(OR(HLOOKUP($A615,#REF!,4,FALSE)&gt;2,HLOOKUP($A615,#REF!,4,FALSE)&lt;-2),"",#REF!),"")</f>
        <v/>
      </c>
      <c r="G615" t="str">
        <f>IFERROR(IF(OR(HLOOKUP($A615,#REF!,5,FALSE)&gt;2,HLOOKUP($A615,#REF!,5,FALSE)&lt;-2),"",#REF!),"")</f>
        <v/>
      </c>
      <c r="H615" t="str">
        <f>IFERROR(IF(OR(HLOOKUP($A615,#REF!,6,FALSE)&gt;2,HLOOKUP($A615,#REF!,6,FALSE)&lt;-2),"",#REF!),"")</f>
        <v/>
      </c>
      <c r="I615" t="str">
        <f>IFERROR(IF(OR(HLOOKUP($A615,#REF!,7,FALSE)&gt;2,HLOOKUP($A615,#REF!,7,FALSE)&lt;-2),"",#REF!),"")</f>
        <v/>
      </c>
      <c r="J615" t="str">
        <f>IFERROR(IF(OR(HLOOKUP($A615,#REF!,8,FALSE)&gt;2,HLOOKUP($A615,#REF!,8,FALSE)&lt;-2),"",#REF!),"")</f>
        <v/>
      </c>
      <c r="K615" t="str">
        <f>IFERROR(IF(OR(HLOOKUP($A615,#REF!,9,FALSE)&gt;2,HLOOKUP($A615,#REF!,9,FALSE)&lt;-2),"",#REF!),"")</f>
        <v/>
      </c>
      <c r="L615" t="str">
        <f>IFERROR(IF(OR(HLOOKUP($A615,#REF!,10,FALSE)&gt;2,HLOOKUP($A615,#REF!,10,FALSE)&lt;-2),"",#REF!),"")</f>
        <v/>
      </c>
      <c r="M615" t="str">
        <f>IFERROR(IF(OR(HLOOKUP($A615,#REF!,11,FALSE)&gt;2,HLOOKUP($A615,#REF!,11,FALSE)&lt;-2),"",#REF!),"")</f>
        <v/>
      </c>
      <c r="N615" t="str">
        <f>IFERROR(IF(OR(HLOOKUP($A615,#REF!,12,FALSE)&gt;2,HLOOKUP($A615,#REF!,12,FALSE)&lt;-2),"",#REF!),"")</f>
        <v/>
      </c>
      <c r="O615" t="str">
        <f>IFERROR(IF(OR(HLOOKUP($A615,#REF!,13,FALSE)&gt;2,HLOOKUP($A615,#REF!,13,FALSE)&lt;-2),"",#REF!),"")</f>
        <v/>
      </c>
      <c r="P615" t="str">
        <f>IFERROR(IF(OR(HLOOKUP($A615,#REF!,14,FALSE)&gt;2,HLOOKUP($A615,#REF!,14,FALSE)&lt;-2),"",#REF!),"")</f>
        <v/>
      </c>
      <c r="Q615" t="str">
        <f>IFERROR(IF(OR(HLOOKUP($A615,#REF!,15,FALSE)&gt;2,HLOOKUP($A615,#REF!,15,FALSE)&lt;-2),"",#REF!),"")</f>
        <v/>
      </c>
      <c r="R615" t="str">
        <f>IFERROR(IF(OR(HLOOKUP($A615,#REF!,16,FALSE)&gt;2,HLOOKUP($A615,#REF!,16,FALSE)&lt;-2),"",#REF!),"")</f>
        <v/>
      </c>
      <c r="S615" t="str">
        <f>IFERROR(IF(OR(HLOOKUP($A615,#REF!,17,FALSE)&gt;2,HLOOKUP($A615,#REF!,17,FALSE)&lt;-2),"",#REF!),"")</f>
        <v/>
      </c>
      <c r="T615" t="str">
        <f>IFERROR(IF(OR(HLOOKUP($A615,#REF!,18,FALSE)&gt;2,HLOOKUP($A615,#REF!,18,FALSE)&lt;-2),"",#REF!),"")</f>
        <v/>
      </c>
      <c r="U615" t="str">
        <f>IFERROR(IF(OR(HLOOKUP($A615,#REF!,19,FALSE)&gt;2,HLOOKUP($A615,#REF!,19,FALSE)&lt;-2),"",#REF!),"")</f>
        <v/>
      </c>
      <c r="V615">
        <f t="shared" si="36"/>
        <v>1</v>
      </c>
      <c r="W615" t="str">
        <f t="shared" si="37"/>
        <v/>
      </c>
      <c r="X615" t="str">
        <f t="shared" si="38"/>
        <v/>
      </c>
      <c r="Y615" t="str">
        <f t="shared" si="39"/>
        <v/>
      </c>
    </row>
    <row r="616" spans="1:25" x14ac:dyDescent="0.35">
      <c r="A616">
        <v>624</v>
      </c>
      <c r="B616" t="s">
        <v>915</v>
      </c>
      <c r="C616">
        <v>119100</v>
      </c>
      <c r="D616">
        <v>1024</v>
      </c>
      <c r="E616" t="str">
        <f>IFERROR(IF(OR(HLOOKUP($A616,#REF!,3,FALSE)&gt;2,HLOOKUP(A616,#REF!,3,FALSE)&lt;-2),"",#REF!),"")</f>
        <v/>
      </c>
      <c r="F616" t="str">
        <f>IFERROR(IF(OR(HLOOKUP($A616,#REF!,4,FALSE)&gt;2,HLOOKUP($A616,#REF!,4,FALSE)&lt;-2),"",#REF!),"")</f>
        <v/>
      </c>
      <c r="G616" t="str">
        <f>IFERROR(IF(OR(HLOOKUP($A616,#REF!,5,FALSE)&gt;2,HLOOKUP($A616,#REF!,5,FALSE)&lt;-2),"",#REF!),"")</f>
        <v/>
      </c>
      <c r="H616" t="str">
        <f>IFERROR(IF(OR(HLOOKUP($A616,#REF!,6,FALSE)&gt;2,HLOOKUP($A616,#REF!,6,FALSE)&lt;-2),"",#REF!),"")</f>
        <v/>
      </c>
      <c r="I616" t="str">
        <f>IFERROR(IF(OR(HLOOKUP($A616,#REF!,7,FALSE)&gt;2,HLOOKUP($A616,#REF!,7,FALSE)&lt;-2),"",#REF!),"")</f>
        <v/>
      </c>
      <c r="J616" t="str">
        <f>IFERROR(IF(OR(HLOOKUP($A616,#REF!,8,FALSE)&gt;2,HLOOKUP($A616,#REF!,8,FALSE)&lt;-2),"",#REF!),"")</f>
        <v/>
      </c>
      <c r="K616" t="str">
        <f>IFERROR(IF(OR(HLOOKUP($A616,#REF!,9,FALSE)&gt;2,HLOOKUP($A616,#REF!,9,FALSE)&lt;-2),"",#REF!),"")</f>
        <v/>
      </c>
      <c r="L616" t="str">
        <f>IFERROR(IF(OR(HLOOKUP($A616,#REF!,10,FALSE)&gt;2,HLOOKUP($A616,#REF!,10,FALSE)&lt;-2),"",#REF!),"")</f>
        <v/>
      </c>
      <c r="M616" t="str">
        <f>IFERROR(IF(OR(HLOOKUP($A616,#REF!,11,FALSE)&gt;2,HLOOKUP($A616,#REF!,11,FALSE)&lt;-2),"",#REF!),"")</f>
        <v/>
      </c>
      <c r="N616" t="str">
        <f>IFERROR(IF(OR(HLOOKUP($A616,#REF!,12,FALSE)&gt;2,HLOOKUP($A616,#REF!,12,FALSE)&lt;-2),"",#REF!),"")</f>
        <v/>
      </c>
      <c r="O616" t="str">
        <f>IFERROR(IF(OR(HLOOKUP($A616,#REF!,13,FALSE)&gt;2,HLOOKUP($A616,#REF!,13,FALSE)&lt;-2),"",#REF!),"")</f>
        <v/>
      </c>
      <c r="P616" t="str">
        <f>IFERROR(IF(OR(HLOOKUP($A616,#REF!,14,FALSE)&gt;2,HLOOKUP($A616,#REF!,14,FALSE)&lt;-2),"",#REF!),"")</f>
        <v/>
      </c>
      <c r="Q616" t="str">
        <f>IFERROR(IF(OR(HLOOKUP($A616,#REF!,15,FALSE)&gt;2,HLOOKUP($A616,#REF!,15,FALSE)&lt;-2),"",#REF!),"")</f>
        <v/>
      </c>
      <c r="R616" t="str">
        <f>IFERROR(IF(OR(HLOOKUP($A616,#REF!,16,FALSE)&gt;2,HLOOKUP($A616,#REF!,16,FALSE)&lt;-2),"",#REF!),"")</f>
        <v/>
      </c>
      <c r="S616" t="str">
        <f>IFERROR(IF(OR(HLOOKUP($A616,#REF!,17,FALSE)&gt;2,HLOOKUP($A616,#REF!,17,FALSE)&lt;-2),"",#REF!),"")</f>
        <v/>
      </c>
      <c r="T616" t="str">
        <f>IFERROR(IF(OR(HLOOKUP($A616,#REF!,18,FALSE)&gt;2,HLOOKUP($A616,#REF!,18,FALSE)&lt;-2),"",#REF!),"")</f>
        <v/>
      </c>
      <c r="U616" t="str">
        <f>IFERROR(IF(OR(HLOOKUP($A616,#REF!,19,FALSE)&gt;2,HLOOKUP($A616,#REF!,19,FALSE)&lt;-2),"",#REF!),"")</f>
        <v/>
      </c>
      <c r="V616">
        <f t="shared" si="36"/>
        <v>1</v>
      </c>
      <c r="W616" t="str">
        <f t="shared" si="37"/>
        <v/>
      </c>
      <c r="X616" t="str">
        <f t="shared" si="38"/>
        <v/>
      </c>
      <c r="Y616" t="str">
        <f t="shared" si="39"/>
        <v/>
      </c>
    </row>
    <row r="617" spans="1:25" x14ac:dyDescent="0.35">
      <c r="A617">
        <v>625</v>
      </c>
      <c r="B617" t="s">
        <v>304</v>
      </c>
      <c r="C617">
        <v>6700</v>
      </c>
      <c r="D617">
        <v>369</v>
      </c>
      <c r="E617" t="str">
        <f>IFERROR(IF(OR(HLOOKUP($A617,#REF!,3,FALSE)&gt;2,HLOOKUP(A617,#REF!,3,FALSE)&lt;-2),"",#REF!),"")</f>
        <v/>
      </c>
      <c r="F617" t="str">
        <f>IFERROR(IF(OR(HLOOKUP($A617,#REF!,4,FALSE)&gt;2,HLOOKUP($A617,#REF!,4,FALSE)&lt;-2),"",#REF!),"")</f>
        <v/>
      </c>
      <c r="G617" t="str">
        <f>IFERROR(IF(OR(HLOOKUP($A617,#REF!,5,FALSE)&gt;2,HLOOKUP($A617,#REF!,5,FALSE)&lt;-2),"",#REF!),"")</f>
        <v/>
      </c>
      <c r="H617" t="str">
        <f>IFERROR(IF(OR(HLOOKUP($A617,#REF!,6,FALSE)&gt;2,HLOOKUP($A617,#REF!,6,FALSE)&lt;-2),"",#REF!),"")</f>
        <v/>
      </c>
      <c r="I617" t="str">
        <f>IFERROR(IF(OR(HLOOKUP($A617,#REF!,7,FALSE)&gt;2,HLOOKUP($A617,#REF!,7,FALSE)&lt;-2),"",#REF!),"")</f>
        <v/>
      </c>
      <c r="J617" t="str">
        <f>IFERROR(IF(OR(HLOOKUP($A617,#REF!,8,FALSE)&gt;2,HLOOKUP($A617,#REF!,8,FALSE)&lt;-2),"",#REF!),"")</f>
        <v/>
      </c>
      <c r="K617" t="str">
        <f>IFERROR(IF(OR(HLOOKUP($A617,#REF!,9,FALSE)&gt;2,HLOOKUP($A617,#REF!,9,FALSE)&lt;-2),"",#REF!),"")</f>
        <v/>
      </c>
      <c r="L617" t="str">
        <f>IFERROR(IF(OR(HLOOKUP($A617,#REF!,10,FALSE)&gt;2,HLOOKUP($A617,#REF!,10,FALSE)&lt;-2),"",#REF!),"")</f>
        <v/>
      </c>
      <c r="M617" t="str">
        <f>IFERROR(IF(OR(HLOOKUP($A617,#REF!,11,FALSE)&gt;2,HLOOKUP($A617,#REF!,11,FALSE)&lt;-2),"",#REF!),"")</f>
        <v/>
      </c>
      <c r="N617" t="str">
        <f>IFERROR(IF(OR(HLOOKUP($A617,#REF!,12,FALSE)&gt;2,HLOOKUP($A617,#REF!,12,FALSE)&lt;-2),"",#REF!),"")</f>
        <v/>
      </c>
      <c r="O617" t="str">
        <f>IFERROR(IF(OR(HLOOKUP($A617,#REF!,13,FALSE)&gt;2,HLOOKUP($A617,#REF!,13,FALSE)&lt;-2),"",#REF!),"")</f>
        <v/>
      </c>
      <c r="P617" t="str">
        <f>IFERROR(IF(OR(HLOOKUP($A617,#REF!,14,FALSE)&gt;2,HLOOKUP($A617,#REF!,14,FALSE)&lt;-2),"",#REF!),"")</f>
        <v/>
      </c>
      <c r="Q617" t="str">
        <f>IFERROR(IF(OR(HLOOKUP($A617,#REF!,15,FALSE)&gt;2,HLOOKUP($A617,#REF!,15,FALSE)&lt;-2),"",#REF!),"")</f>
        <v/>
      </c>
      <c r="R617" t="str">
        <f>IFERROR(IF(OR(HLOOKUP($A617,#REF!,16,FALSE)&gt;2,HLOOKUP($A617,#REF!,16,FALSE)&lt;-2),"",#REF!),"")</f>
        <v/>
      </c>
      <c r="S617" t="str">
        <f>IFERROR(IF(OR(HLOOKUP($A617,#REF!,17,FALSE)&gt;2,HLOOKUP($A617,#REF!,17,FALSE)&lt;-2),"",#REF!),"")</f>
        <v/>
      </c>
      <c r="T617" t="str">
        <f>IFERROR(IF(OR(HLOOKUP($A617,#REF!,18,FALSE)&gt;2,HLOOKUP($A617,#REF!,18,FALSE)&lt;-2),"",#REF!),"")</f>
        <v/>
      </c>
      <c r="U617" t="str">
        <f>IFERROR(IF(OR(HLOOKUP($A617,#REF!,19,FALSE)&gt;2,HLOOKUP($A617,#REF!,19,FALSE)&lt;-2),"",#REF!),"")</f>
        <v/>
      </c>
      <c r="V617">
        <f t="shared" si="36"/>
        <v>1</v>
      </c>
      <c r="W617" t="str">
        <f t="shared" si="37"/>
        <v/>
      </c>
      <c r="X617" t="str">
        <f t="shared" si="38"/>
        <v/>
      </c>
      <c r="Y617" t="str">
        <f t="shared" si="39"/>
        <v/>
      </c>
    </row>
    <row r="618" spans="1:25" x14ac:dyDescent="0.35">
      <c r="A618">
        <v>626</v>
      </c>
      <c r="B618" t="s">
        <v>916</v>
      </c>
      <c r="C618">
        <v>67500</v>
      </c>
      <c r="D618">
        <v>362</v>
      </c>
      <c r="E618" t="str">
        <f>IFERROR(IF(OR(HLOOKUP($A618,#REF!,3,FALSE)&gt;2,HLOOKUP(A618,#REF!,3,FALSE)&lt;-2),"",#REF!),"")</f>
        <v/>
      </c>
      <c r="F618" t="str">
        <f>IFERROR(IF(OR(HLOOKUP($A618,#REF!,4,FALSE)&gt;2,HLOOKUP($A618,#REF!,4,FALSE)&lt;-2),"",#REF!),"")</f>
        <v/>
      </c>
      <c r="G618" t="str">
        <f>IFERROR(IF(OR(HLOOKUP($A618,#REF!,5,FALSE)&gt;2,HLOOKUP($A618,#REF!,5,FALSE)&lt;-2),"",#REF!),"")</f>
        <v/>
      </c>
      <c r="H618" t="str">
        <f>IFERROR(IF(OR(HLOOKUP($A618,#REF!,6,FALSE)&gt;2,HLOOKUP($A618,#REF!,6,FALSE)&lt;-2),"",#REF!),"")</f>
        <v/>
      </c>
      <c r="I618" t="str">
        <f>IFERROR(IF(OR(HLOOKUP($A618,#REF!,7,FALSE)&gt;2,HLOOKUP($A618,#REF!,7,FALSE)&lt;-2),"",#REF!),"")</f>
        <v/>
      </c>
      <c r="J618" t="str">
        <f>IFERROR(IF(OR(HLOOKUP($A618,#REF!,8,FALSE)&gt;2,HLOOKUP($A618,#REF!,8,FALSE)&lt;-2),"",#REF!),"")</f>
        <v/>
      </c>
      <c r="K618" t="str">
        <f>IFERROR(IF(OR(HLOOKUP($A618,#REF!,9,FALSE)&gt;2,HLOOKUP($A618,#REF!,9,FALSE)&lt;-2),"",#REF!),"")</f>
        <v/>
      </c>
      <c r="L618" t="str">
        <f>IFERROR(IF(OR(HLOOKUP($A618,#REF!,10,FALSE)&gt;2,HLOOKUP($A618,#REF!,10,FALSE)&lt;-2),"",#REF!),"")</f>
        <v/>
      </c>
      <c r="M618" t="str">
        <f>IFERROR(IF(OR(HLOOKUP($A618,#REF!,11,FALSE)&gt;2,HLOOKUP($A618,#REF!,11,FALSE)&lt;-2),"",#REF!),"")</f>
        <v/>
      </c>
      <c r="N618" t="str">
        <f>IFERROR(IF(OR(HLOOKUP($A618,#REF!,12,FALSE)&gt;2,HLOOKUP($A618,#REF!,12,FALSE)&lt;-2),"",#REF!),"")</f>
        <v/>
      </c>
      <c r="O618" t="str">
        <f>IFERROR(IF(OR(HLOOKUP($A618,#REF!,13,FALSE)&gt;2,HLOOKUP($A618,#REF!,13,FALSE)&lt;-2),"",#REF!),"")</f>
        <v/>
      </c>
      <c r="P618" t="str">
        <f>IFERROR(IF(OR(HLOOKUP($A618,#REF!,14,FALSE)&gt;2,HLOOKUP($A618,#REF!,14,FALSE)&lt;-2),"",#REF!),"")</f>
        <v/>
      </c>
      <c r="Q618" t="str">
        <f>IFERROR(IF(OR(HLOOKUP($A618,#REF!,15,FALSE)&gt;2,HLOOKUP($A618,#REF!,15,FALSE)&lt;-2),"",#REF!),"")</f>
        <v/>
      </c>
      <c r="R618" t="str">
        <f>IFERROR(IF(OR(HLOOKUP($A618,#REF!,16,FALSE)&gt;2,HLOOKUP($A618,#REF!,16,FALSE)&lt;-2),"",#REF!),"")</f>
        <v/>
      </c>
      <c r="S618" t="str">
        <f>IFERROR(IF(OR(HLOOKUP($A618,#REF!,17,FALSE)&gt;2,HLOOKUP($A618,#REF!,17,FALSE)&lt;-2),"",#REF!),"")</f>
        <v/>
      </c>
      <c r="T618" t="str">
        <f>IFERROR(IF(OR(HLOOKUP($A618,#REF!,18,FALSE)&gt;2,HLOOKUP($A618,#REF!,18,FALSE)&lt;-2),"",#REF!),"")</f>
        <v/>
      </c>
      <c r="U618" t="str">
        <f>IFERROR(IF(OR(HLOOKUP($A618,#REF!,19,FALSE)&gt;2,HLOOKUP($A618,#REF!,19,FALSE)&lt;-2),"",#REF!),"")</f>
        <v/>
      </c>
      <c r="V618">
        <f t="shared" si="36"/>
        <v>1</v>
      </c>
      <c r="W618" t="str">
        <f t="shared" si="37"/>
        <v/>
      </c>
      <c r="X618" t="str">
        <f t="shared" si="38"/>
        <v/>
      </c>
      <c r="Y618" t="str">
        <f t="shared" si="39"/>
        <v/>
      </c>
    </row>
    <row r="619" spans="1:25" x14ac:dyDescent="0.35">
      <c r="A619">
        <v>627</v>
      </c>
      <c r="B619" t="s">
        <v>917</v>
      </c>
      <c r="C619">
        <v>104100</v>
      </c>
      <c r="D619">
        <v>285</v>
      </c>
      <c r="E619" t="str">
        <f>IFERROR(IF(OR(HLOOKUP($A619,#REF!,3,FALSE)&gt;2,HLOOKUP(A619,#REF!,3,FALSE)&lt;-2),"",#REF!),"")</f>
        <v/>
      </c>
      <c r="F619" t="str">
        <f>IFERROR(IF(OR(HLOOKUP($A619,#REF!,4,FALSE)&gt;2,HLOOKUP($A619,#REF!,4,FALSE)&lt;-2),"",#REF!),"")</f>
        <v/>
      </c>
      <c r="G619" t="str">
        <f>IFERROR(IF(OR(HLOOKUP($A619,#REF!,5,FALSE)&gt;2,HLOOKUP($A619,#REF!,5,FALSE)&lt;-2),"",#REF!),"")</f>
        <v/>
      </c>
      <c r="H619" t="str">
        <f>IFERROR(IF(OR(HLOOKUP($A619,#REF!,6,FALSE)&gt;2,HLOOKUP($A619,#REF!,6,FALSE)&lt;-2),"",#REF!),"")</f>
        <v/>
      </c>
      <c r="I619" t="str">
        <f>IFERROR(IF(OR(HLOOKUP($A619,#REF!,7,FALSE)&gt;2,HLOOKUP($A619,#REF!,7,FALSE)&lt;-2),"",#REF!),"")</f>
        <v/>
      </c>
      <c r="J619" t="str">
        <f>IFERROR(IF(OR(HLOOKUP($A619,#REF!,8,FALSE)&gt;2,HLOOKUP($A619,#REF!,8,FALSE)&lt;-2),"",#REF!),"")</f>
        <v/>
      </c>
      <c r="K619" t="str">
        <f>IFERROR(IF(OR(HLOOKUP($A619,#REF!,9,FALSE)&gt;2,HLOOKUP($A619,#REF!,9,FALSE)&lt;-2),"",#REF!),"")</f>
        <v/>
      </c>
      <c r="L619" t="str">
        <f>IFERROR(IF(OR(HLOOKUP($A619,#REF!,10,FALSE)&gt;2,HLOOKUP($A619,#REF!,10,FALSE)&lt;-2),"",#REF!),"")</f>
        <v/>
      </c>
      <c r="M619" t="str">
        <f>IFERROR(IF(OR(HLOOKUP($A619,#REF!,11,FALSE)&gt;2,HLOOKUP($A619,#REF!,11,FALSE)&lt;-2),"",#REF!),"")</f>
        <v/>
      </c>
      <c r="N619" t="str">
        <f>IFERROR(IF(OR(HLOOKUP($A619,#REF!,12,FALSE)&gt;2,HLOOKUP($A619,#REF!,12,FALSE)&lt;-2),"",#REF!),"")</f>
        <v/>
      </c>
      <c r="O619" t="str">
        <f>IFERROR(IF(OR(HLOOKUP($A619,#REF!,13,FALSE)&gt;2,HLOOKUP($A619,#REF!,13,FALSE)&lt;-2),"",#REF!),"")</f>
        <v/>
      </c>
      <c r="P619" t="str">
        <f>IFERROR(IF(OR(HLOOKUP($A619,#REF!,14,FALSE)&gt;2,HLOOKUP($A619,#REF!,14,FALSE)&lt;-2),"",#REF!),"")</f>
        <v/>
      </c>
      <c r="Q619" t="str">
        <f>IFERROR(IF(OR(HLOOKUP($A619,#REF!,15,FALSE)&gt;2,HLOOKUP($A619,#REF!,15,FALSE)&lt;-2),"",#REF!),"")</f>
        <v/>
      </c>
      <c r="R619" t="str">
        <f>IFERROR(IF(OR(HLOOKUP($A619,#REF!,16,FALSE)&gt;2,HLOOKUP($A619,#REF!,16,FALSE)&lt;-2),"",#REF!),"")</f>
        <v/>
      </c>
      <c r="S619" t="str">
        <f>IFERROR(IF(OR(HLOOKUP($A619,#REF!,17,FALSE)&gt;2,HLOOKUP($A619,#REF!,17,FALSE)&lt;-2),"",#REF!),"")</f>
        <v/>
      </c>
      <c r="T619" t="str">
        <f>IFERROR(IF(OR(HLOOKUP($A619,#REF!,18,FALSE)&gt;2,HLOOKUP($A619,#REF!,18,FALSE)&lt;-2),"",#REF!),"")</f>
        <v/>
      </c>
      <c r="U619" t="str">
        <f>IFERROR(IF(OR(HLOOKUP($A619,#REF!,19,FALSE)&gt;2,HLOOKUP($A619,#REF!,19,FALSE)&lt;-2),"",#REF!),"")</f>
        <v/>
      </c>
      <c r="V619">
        <f t="shared" si="36"/>
        <v>1</v>
      </c>
      <c r="W619" t="str">
        <f t="shared" si="37"/>
        <v/>
      </c>
      <c r="X619" t="str">
        <f t="shared" si="38"/>
        <v/>
      </c>
      <c r="Y619" t="str">
        <f t="shared" si="39"/>
        <v/>
      </c>
    </row>
    <row r="620" spans="1:25" x14ac:dyDescent="0.35">
      <c r="A620">
        <v>628</v>
      </c>
      <c r="B620" t="s">
        <v>305</v>
      </c>
      <c r="C620">
        <v>82200</v>
      </c>
      <c r="D620">
        <v>1100</v>
      </c>
      <c r="E620" t="str">
        <f>IFERROR(IF(OR(HLOOKUP($A620,#REF!,3,FALSE)&gt;2,HLOOKUP(A620,#REF!,3,FALSE)&lt;-2),"",#REF!),"")</f>
        <v/>
      </c>
      <c r="F620" t="str">
        <f>IFERROR(IF(OR(HLOOKUP($A620,#REF!,4,FALSE)&gt;2,HLOOKUP($A620,#REF!,4,FALSE)&lt;-2),"",#REF!),"")</f>
        <v/>
      </c>
      <c r="G620" t="str">
        <f>IFERROR(IF(OR(HLOOKUP($A620,#REF!,5,FALSE)&gt;2,HLOOKUP($A620,#REF!,5,FALSE)&lt;-2),"",#REF!),"")</f>
        <v/>
      </c>
      <c r="H620" t="str">
        <f>IFERROR(IF(OR(HLOOKUP($A620,#REF!,6,FALSE)&gt;2,HLOOKUP($A620,#REF!,6,FALSE)&lt;-2),"",#REF!),"")</f>
        <v/>
      </c>
      <c r="I620" t="str">
        <f>IFERROR(IF(OR(HLOOKUP($A620,#REF!,7,FALSE)&gt;2,HLOOKUP($A620,#REF!,7,FALSE)&lt;-2),"",#REF!),"")</f>
        <v/>
      </c>
      <c r="J620" t="str">
        <f>IFERROR(IF(OR(HLOOKUP($A620,#REF!,8,FALSE)&gt;2,HLOOKUP($A620,#REF!,8,FALSE)&lt;-2),"",#REF!),"")</f>
        <v/>
      </c>
      <c r="K620" t="str">
        <f>IFERROR(IF(OR(HLOOKUP($A620,#REF!,9,FALSE)&gt;2,HLOOKUP($A620,#REF!,9,FALSE)&lt;-2),"",#REF!),"")</f>
        <v/>
      </c>
      <c r="L620" t="str">
        <f>IFERROR(IF(OR(HLOOKUP($A620,#REF!,10,FALSE)&gt;2,HLOOKUP($A620,#REF!,10,FALSE)&lt;-2),"",#REF!),"")</f>
        <v/>
      </c>
      <c r="M620" t="str">
        <f>IFERROR(IF(OR(HLOOKUP($A620,#REF!,11,FALSE)&gt;2,HLOOKUP($A620,#REF!,11,FALSE)&lt;-2),"",#REF!),"")</f>
        <v/>
      </c>
      <c r="N620" t="str">
        <f>IFERROR(IF(OR(HLOOKUP($A620,#REF!,12,FALSE)&gt;2,HLOOKUP($A620,#REF!,12,FALSE)&lt;-2),"",#REF!),"")</f>
        <v/>
      </c>
      <c r="O620" t="str">
        <f>IFERROR(IF(OR(HLOOKUP($A620,#REF!,13,FALSE)&gt;2,HLOOKUP($A620,#REF!,13,FALSE)&lt;-2),"",#REF!),"")</f>
        <v/>
      </c>
      <c r="P620" t="str">
        <f>IFERROR(IF(OR(HLOOKUP($A620,#REF!,14,FALSE)&gt;2,HLOOKUP($A620,#REF!,14,FALSE)&lt;-2),"",#REF!),"")</f>
        <v/>
      </c>
      <c r="Q620" t="str">
        <f>IFERROR(IF(OR(HLOOKUP($A620,#REF!,15,FALSE)&gt;2,HLOOKUP($A620,#REF!,15,FALSE)&lt;-2),"",#REF!),"")</f>
        <v/>
      </c>
      <c r="R620" t="str">
        <f>IFERROR(IF(OR(HLOOKUP($A620,#REF!,16,FALSE)&gt;2,HLOOKUP($A620,#REF!,16,FALSE)&lt;-2),"",#REF!),"")</f>
        <v/>
      </c>
      <c r="S620" t="str">
        <f>IFERROR(IF(OR(HLOOKUP($A620,#REF!,17,FALSE)&gt;2,HLOOKUP($A620,#REF!,17,FALSE)&lt;-2),"",#REF!),"")</f>
        <v/>
      </c>
      <c r="T620" t="str">
        <f>IFERROR(IF(OR(HLOOKUP($A620,#REF!,18,FALSE)&gt;2,HLOOKUP($A620,#REF!,18,FALSE)&lt;-2),"",#REF!),"")</f>
        <v/>
      </c>
      <c r="U620" t="str">
        <f>IFERROR(IF(OR(HLOOKUP($A620,#REF!,19,FALSE)&gt;2,HLOOKUP($A620,#REF!,19,FALSE)&lt;-2),"",#REF!),"")</f>
        <v/>
      </c>
      <c r="V620">
        <f t="shared" si="36"/>
        <v>1</v>
      </c>
      <c r="W620" t="str">
        <f t="shared" si="37"/>
        <v/>
      </c>
      <c r="X620" t="str">
        <f t="shared" si="38"/>
        <v/>
      </c>
      <c r="Y620" t="str">
        <f t="shared" si="39"/>
        <v/>
      </c>
    </row>
    <row r="621" spans="1:25" x14ac:dyDescent="0.35">
      <c r="A621">
        <v>629</v>
      </c>
      <c r="B621" t="s">
        <v>306</v>
      </c>
      <c r="C621">
        <v>63800</v>
      </c>
      <c r="D621">
        <v>637</v>
      </c>
      <c r="E621" t="str">
        <f>IFERROR(IF(OR(HLOOKUP($A621,#REF!,3,FALSE)&gt;2,HLOOKUP(A621,#REF!,3,FALSE)&lt;-2),"",#REF!),"")</f>
        <v/>
      </c>
      <c r="F621" t="str">
        <f>IFERROR(IF(OR(HLOOKUP($A621,#REF!,4,FALSE)&gt;2,HLOOKUP($A621,#REF!,4,FALSE)&lt;-2),"",#REF!),"")</f>
        <v/>
      </c>
      <c r="G621" t="str">
        <f>IFERROR(IF(OR(HLOOKUP($A621,#REF!,5,FALSE)&gt;2,HLOOKUP($A621,#REF!,5,FALSE)&lt;-2),"",#REF!),"")</f>
        <v/>
      </c>
      <c r="H621" t="str">
        <f>IFERROR(IF(OR(HLOOKUP($A621,#REF!,6,FALSE)&gt;2,HLOOKUP($A621,#REF!,6,FALSE)&lt;-2),"",#REF!),"")</f>
        <v/>
      </c>
      <c r="I621" t="str">
        <f>IFERROR(IF(OR(HLOOKUP($A621,#REF!,7,FALSE)&gt;2,HLOOKUP($A621,#REF!,7,FALSE)&lt;-2),"",#REF!),"")</f>
        <v/>
      </c>
      <c r="J621" t="str">
        <f>IFERROR(IF(OR(HLOOKUP($A621,#REF!,8,FALSE)&gt;2,HLOOKUP($A621,#REF!,8,FALSE)&lt;-2),"",#REF!),"")</f>
        <v/>
      </c>
      <c r="K621" t="str">
        <f>IFERROR(IF(OR(HLOOKUP($A621,#REF!,9,FALSE)&gt;2,HLOOKUP($A621,#REF!,9,FALSE)&lt;-2),"",#REF!),"")</f>
        <v/>
      </c>
      <c r="L621" t="str">
        <f>IFERROR(IF(OR(HLOOKUP($A621,#REF!,10,FALSE)&gt;2,HLOOKUP($A621,#REF!,10,FALSE)&lt;-2),"",#REF!),"")</f>
        <v/>
      </c>
      <c r="M621" t="str">
        <f>IFERROR(IF(OR(HLOOKUP($A621,#REF!,11,FALSE)&gt;2,HLOOKUP($A621,#REF!,11,FALSE)&lt;-2),"",#REF!),"")</f>
        <v/>
      </c>
      <c r="N621" t="str">
        <f>IFERROR(IF(OR(HLOOKUP($A621,#REF!,12,FALSE)&gt;2,HLOOKUP($A621,#REF!,12,FALSE)&lt;-2),"",#REF!),"")</f>
        <v/>
      </c>
      <c r="O621" t="str">
        <f>IFERROR(IF(OR(HLOOKUP($A621,#REF!,13,FALSE)&gt;2,HLOOKUP($A621,#REF!,13,FALSE)&lt;-2),"",#REF!),"")</f>
        <v/>
      </c>
      <c r="P621" t="str">
        <f>IFERROR(IF(OR(HLOOKUP($A621,#REF!,14,FALSE)&gt;2,HLOOKUP($A621,#REF!,14,FALSE)&lt;-2),"",#REF!),"")</f>
        <v/>
      </c>
      <c r="Q621" t="str">
        <f>IFERROR(IF(OR(HLOOKUP($A621,#REF!,15,FALSE)&gt;2,HLOOKUP($A621,#REF!,15,FALSE)&lt;-2),"",#REF!),"")</f>
        <v/>
      </c>
      <c r="R621" t="str">
        <f>IFERROR(IF(OR(HLOOKUP($A621,#REF!,16,FALSE)&gt;2,HLOOKUP($A621,#REF!,16,FALSE)&lt;-2),"",#REF!),"")</f>
        <v/>
      </c>
      <c r="S621" t="str">
        <f>IFERROR(IF(OR(HLOOKUP($A621,#REF!,17,FALSE)&gt;2,HLOOKUP($A621,#REF!,17,FALSE)&lt;-2),"",#REF!),"")</f>
        <v/>
      </c>
      <c r="T621" t="str">
        <f>IFERROR(IF(OR(HLOOKUP($A621,#REF!,18,FALSE)&gt;2,HLOOKUP($A621,#REF!,18,FALSE)&lt;-2),"",#REF!),"")</f>
        <v/>
      </c>
      <c r="U621" t="str">
        <f>IFERROR(IF(OR(HLOOKUP($A621,#REF!,19,FALSE)&gt;2,HLOOKUP($A621,#REF!,19,FALSE)&lt;-2),"",#REF!),"")</f>
        <v/>
      </c>
      <c r="V621">
        <f t="shared" si="36"/>
        <v>1</v>
      </c>
      <c r="W621" t="str">
        <f t="shared" si="37"/>
        <v/>
      </c>
      <c r="X621" t="str">
        <f t="shared" si="38"/>
        <v/>
      </c>
      <c r="Y621" t="str">
        <f t="shared" si="39"/>
        <v/>
      </c>
    </row>
    <row r="622" spans="1:25" x14ac:dyDescent="0.35">
      <c r="A622">
        <v>630</v>
      </c>
      <c r="B622" t="s">
        <v>307</v>
      </c>
      <c r="C622">
        <v>21700</v>
      </c>
      <c r="D622">
        <v>723</v>
      </c>
      <c r="E622" t="str">
        <f>IFERROR(IF(OR(HLOOKUP($A622,#REF!,3,FALSE)&gt;2,HLOOKUP(A622,#REF!,3,FALSE)&lt;-2),"",#REF!),"")</f>
        <v/>
      </c>
      <c r="F622" t="str">
        <f>IFERROR(IF(OR(HLOOKUP($A622,#REF!,4,FALSE)&gt;2,HLOOKUP($A622,#REF!,4,FALSE)&lt;-2),"",#REF!),"")</f>
        <v/>
      </c>
      <c r="G622" t="str">
        <f>IFERROR(IF(OR(HLOOKUP($A622,#REF!,5,FALSE)&gt;2,HLOOKUP($A622,#REF!,5,FALSE)&lt;-2),"",#REF!),"")</f>
        <v/>
      </c>
      <c r="H622" t="str">
        <f>IFERROR(IF(OR(HLOOKUP($A622,#REF!,6,FALSE)&gt;2,HLOOKUP($A622,#REF!,6,FALSE)&lt;-2),"",#REF!),"")</f>
        <v/>
      </c>
      <c r="I622" t="str">
        <f>IFERROR(IF(OR(HLOOKUP($A622,#REF!,7,FALSE)&gt;2,HLOOKUP($A622,#REF!,7,FALSE)&lt;-2),"",#REF!),"")</f>
        <v/>
      </c>
      <c r="J622" t="str">
        <f>IFERROR(IF(OR(HLOOKUP($A622,#REF!,8,FALSE)&gt;2,HLOOKUP($A622,#REF!,8,FALSE)&lt;-2),"",#REF!),"")</f>
        <v/>
      </c>
      <c r="K622" t="str">
        <f>IFERROR(IF(OR(HLOOKUP($A622,#REF!,9,FALSE)&gt;2,HLOOKUP($A622,#REF!,9,FALSE)&lt;-2),"",#REF!),"")</f>
        <v/>
      </c>
      <c r="L622" t="str">
        <f>IFERROR(IF(OR(HLOOKUP($A622,#REF!,10,FALSE)&gt;2,HLOOKUP($A622,#REF!,10,FALSE)&lt;-2),"",#REF!),"")</f>
        <v/>
      </c>
      <c r="M622" t="str">
        <f>IFERROR(IF(OR(HLOOKUP($A622,#REF!,11,FALSE)&gt;2,HLOOKUP($A622,#REF!,11,FALSE)&lt;-2),"",#REF!),"")</f>
        <v/>
      </c>
      <c r="N622" t="str">
        <f>IFERROR(IF(OR(HLOOKUP($A622,#REF!,12,FALSE)&gt;2,HLOOKUP($A622,#REF!,12,FALSE)&lt;-2),"",#REF!),"")</f>
        <v/>
      </c>
      <c r="O622" t="str">
        <f>IFERROR(IF(OR(HLOOKUP($A622,#REF!,13,FALSE)&gt;2,HLOOKUP($A622,#REF!,13,FALSE)&lt;-2),"",#REF!),"")</f>
        <v/>
      </c>
      <c r="P622" t="str">
        <f>IFERROR(IF(OR(HLOOKUP($A622,#REF!,14,FALSE)&gt;2,HLOOKUP($A622,#REF!,14,FALSE)&lt;-2),"",#REF!),"")</f>
        <v/>
      </c>
      <c r="Q622" t="str">
        <f>IFERROR(IF(OR(HLOOKUP($A622,#REF!,15,FALSE)&gt;2,HLOOKUP($A622,#REF!,15,FALSE)&lt;-2),"",#REF!),"")</f>
        <v/>
      </c>
      <c r="R622" t="str">
        <f>IFERROR(IF(OR(HLOOKUP($A622,#REF!,16,FALSE)&gt;2,HLOOKUP($A622,#REF!,16,FALSE)&lt;-2),"",#REF!),"")</f>
        <v/>
      </c>
      <c r="S622" t="str">
        <f>IFERROR(IF(OR(HLOOKUP($A622,#REF!,17,FALSE)&gt;2,HLOOKUP($A622,#REF!,17,FALSE)&lt;-2),"",#REF!),"")</f>
        <v/>
      </c>
      <c r="T622" t="str">
        <f>IFERROR(IF(OR(HLOOKUP($A622,#REF!,18,FALSE)&gt;2,HLOOKUP($A622,#REF!,18,FALSE)&lt;-2),"",#REF!),"")</f>
        <v/>
      </c>
      <c r="U622" t="str">
        <f>IFERROR(IF(OR(HLOOKUP($A622,#REF!,19,FALSE)&gt;2,HLOOKUP($A622,#REF!,19,FALSE)&lt;-2),"",#REF!),"")</f>
        <v/>
      </c>
      <c r="V622">
        <f t="shared" si="36"/>
        <v>1</v>
      </c>
      <c r="W622" t="str">
        <f t="shared" si="37"/>
        <v/>
      </c>
      <c r="X622" t="str">
        <f t="shared" si="38"/>
        <v/>
      </c>
      <c r="Y622" t="str">
        <f t="shared" si="39"/>
        <v/>
      </c>
    </row>
    <row r="623" spans="1:25" x14ac:dyDescent="0.35">
      <c r="A623">
        <v>631</v>
      </c>
      <c r="B623" t="s">
        <v>918</v>
      </c>
      <c r="C623">
        <v>34600</v>
      </c>
      <c r="D623">
        <v>698</v>
      </c>
      <c r="E623" t="str">
        <f>IFERROR(IF(OR(HLOOKUP($A623,#REF!,3,FALSE)&gt;2,HLOOKUP(A623,#REF!,3,FALSE)&lt;-2),"",#REF!),"")</f>
        <v/>
      </c>
      <c r="F623" t="str">
        <f>IFERROR(IF(OR(HLOOKUP($A623,#REF!,4,FALSE)&gt;2,HLOOKUP($A623,#REF!,4,FALSE)&lt;-2),"",#REF!),"")</f>
        <v/>
      </c>
      <c r="G623" t="str">
        <f>IFERROR(IF(OR(HLOOKUP($A623,#REF!,5,FALSE)&gt;2,HLOOKUP($A623,#REF!,5,FALSE)&lt;-2),"",#REF!),"")</f>
        <v/>
      </c>
      <c r="H623" t="str">
        <f>IFERROR(IF(OR(HLOOKUP($A623,#REF!,6,FALSE)&gt;2,HLOOKUP($A623,#REF!,6,FALSE)&lt;-2),"",#REF!),"")</f>
        <v/>
      </c>
      <c r="I623" t="str">
        <f>IFERROR(IF(OR(HLOOKUP($A623,#REF!,7,FALSE)&gt;2,HLOOKUP($A623,#REF!,7,FALSE)&lt;-2),"",#REF!),"")</f>
        <v/>
      </c>
      <c r="J623" t="str">
        <f>IFERROR(IF(OR(HLOOKUP($A623,#REF!,8,FALSE)&gt;2,HLOOKUP($A623,#REF!,8,FALSE)&lt;-2),"",#REF!),"")</f>
        <v/>
      </c>
      <c r="K623" t="str">
        <f>IFERROR(IF(OR(HLOOKUP($A623,#REF!,9,FALSE)&gt;2,HLOOKUP($A623,#REF!,9,FALSE)&lt;-2),"",#REF!),"")</f>
        <v/>
      </c>
      <c r="L623" t="str">
        <f>IFERROR(IF(OR(HLOOKUP($A623,#REF!,10,FALSE)&gt;2,HLOOKUP($A623,#REF!,10,FALSE)&lt;-2),"",#REF!),"")</f>
        <v/>
      </c>
      <c r="M623" t="str">
        <f>IFERROR(IF(OR(HLOOKUP($A623,#REF!,11,FALSE)&gt;2,HLOOKUP($A623,#REF!,11,FALSE)&lt;-2),"",#REF!),"")</f>
        <v/>
      </c>
      <c r="N623" t="str">
        <f>IFERROR(IF(OR(HLOOKUP($A623,#REF!,12,FALSE)&gt;2,HLOOKUP($A623,#REF!,12,FALSE)&lt;-2),"",#REF!),"")</f>
        <v/>
      </c>
      <c r="O623" t="str">
        <f>IFERROR(IF(OR(HLOOKUP($A623,#REF!,13,FALSE)&gt;2,HLOOKUP($A623,#REF!,13,FALSE)&lt;-2),"",#REF!),"")</f>
        <v/>
      </c>
      <c r="P623" t="str">
        <f>IFERROR(IF(OR(HLOOKUP($A623,#REF!,14,FALSE)&gt;2,HLOOKUP($A623,#REF!,14,FALSE)&lt;-2),"",#REF!),"")</f>
        <v/>
      </c>
      <c r="Q623" t="str">
        <f>IFERROR(IF(OR(HLOOKUP($A623,#REF!,15,FALSE)&gt;2,HLOOKUP($A623,#REF!,15,FALSE)&lt;-2),"",#REF!),"")</f>
        <v/>
      </c>
      <c r="R623" t="str">
        <f>IFERROR(IF(OR(HLOOKUP($A623,#REF!,16,FALSE)&gt;2,HLOOKUP($A623,#REF!,16,FALSE)&lt;-2),"",#REF!),"")</f>
        <v/>
      </c>
      <c r="S623" t="str">
        <f>IFERROR(IF(OR(HLOOKUP($A623,#REF!,17,FALSE)&gt;2,HLOOKUP($A623,#REF!,17,FALSE)&lt;-2),"",#REF!),"")</f>
        <v/>
      </c>
      <c r="T623" t="str">
        <f>IFERROR(IF(OR(HLOOKUP($A623,#REF!,18,FALSE)&gt;2,HLOOKUP($A623,#REF!,18,FALSE)&lt;-2),"",#REF!),"")</f>
        <v/>
      </c>
      <c r="U623" t="str">
        <f>IFERROR(IF(OR(HLOOKUP($A623,#REF!,19,FALSE)&gt;2,HLOOKUP($A623,#REF!,19,FALSE)&lt;-2),"",#REF!),"")</f>
        <v/>
      </c>
      <c r="V623">
        <f t="shared" si="36"/>
        <v>1</v>
      </c>
      <c r="W623" t="str">
        <f t="shared" si="37"/>
        <v/>
      </c>
      <c r="X623" t="str">
        <f t="shared" si="38"/>
        <v/>
      </c>
      <c r="Y623" t="str">
        <f t="shared" si="39"/>
        <v/>
      </c>
    </row>
    <row r="624" spans="1:25" x14ac:dyDescent="0.35">
      <c r="A624">
        <v>632</v>
      </c>
      <c r="B624" t="s">
        <v>308</v>
      </c>
      <c r="C624">
        <v>39600</v>
      </c>
      <c r="D624">
        <v>726</v>
      </c>
      <c r="E624" t="str">
        <f>IFERROR(IF(OR(HLOOKUP($A624,#REF!,3,FALSE)&gt;2,HLOOKUP(A624,#REF!,3,FALSE)&lt;-2),"",#REF!),"")</f>
        <v/>
      </c>
      <c r="F624" t="str">
        <f>IFERROR(IF(OR(HLOOKUP($A624,#REF!,4,FALSE)&gt;2,HLOOKUP($A624,#REF!,4,FALSE)&lt;-2),"",#REF!),"")</f>
        <v/>
      </c>
      <c r="G624" t="str">
        <f>IFERROR(IF(OR(HLOOKUP($A624,#REF!,5,FALSE)&gt;2,HLOOKUP($A624,#REF!,5,FALSE)&lt;-2),"",#REF!),"")</f>
        <v/>
      </c>
      <c r="H624" t="str">
        <f>IFERROR(IF(OR(HLOOKUP($A624,#REF!,6,FALSE)&gt;2,HLOOKUP($A624,#REF!,6,FALSE)&lt;-2),"",#REF!),"")</f>
        <v/>
      </c>
      <c r="I624" t="str">
        <f>IFERROR(IF(OR(HLOOKUP($A624,#REF!,7,FALSE)&gt;2,HLOOKUP($A624,#REF!,7,FALSE)&lt;-2),"",#REF!),"")</f>
        <v/>
      </c>
      <c r="J624" t="str">
        <f>IFERROR(IF(OR(HLOOKUP($A624,#REF!,8,FALSE)&gt;2,HLOOKUP($A624,#REF!,8,FALSE)&lt;-2),"",#REF!),"")</f>
        <v/>
      </c>
      <c r="K624" t="str">
        <f>IFERROR(IF(OR(HLOOKUP($A624,#REF!,9,FALSE)&gt;2,HLOOKUP($A624,#REF!,9,FALSE)&lt;-2),"",#REF!),"")</f>
        <v/>
      </c>
      <c r="L624" t="str">
        <f>IFERROR(IF(OR(HLOOKUP($A624,#REF!,10,FALSE)&gt;2,HLOOKUP($A624,#REF!,10,FALSE)&lt;-2),"",#REF!),"")</f>
        <v/>
      </c>
      <c r="M624" t="str">
        <f>IFERROR(IF(OR(HLOOKUP($A624,#REF!,11,FALSE)&gt;2,HLOOKUP($A624,#REF!,11,FALSE)&lt;-2),"",#REF!),"")</f>
        <v/>
      </c>
      <c r="N624" t="str">
        <f>IFERROR(IF(OR(HLOOKUP($A624,#REF!,12,FALSE)&gt;2,HLOOKUP($A624,#REF!,12,FALSE)&lt;-2),"",#REF!),"")</f>
        <v/>
      </c>
      <c r="O624" t="str">
        <f>IFERROR(IF(OR(HLOOKUP($A624,#REF!,13,FALSE)&gt;2,HLOOKUP($A624,#REF!,13,FALSE)&lt;-2),"",#REF!),"")</f>
        <v/>
      </c>
      <c r="P624" t="str">
        <f>IFERROR(IF(OR(HLOOKUP($A624,#REF!,14,FALSE)&gt;2,HLOOKUP($A624,#REF!,14,FALSE)&lt;-2),"",#REF!),"")</f>
        <v/>
      </c>
      <c r="Q624" t="str">
        <f>IFERROR(IF(OR(HLOOKUP($A624,#REF!,15,FALSE)&gt;2,HLOOKUP($A624,#REF!,15,FALSE)&lt;-2),"",#REF!),"")</f>
        <v/>
      </c>
      <c r="R624" t="str">
        <f>IFERROR(IF(OR(HLOOKUP($A624,#REF!,16,FALSE)&gt;2,HLOOKUP($A624,#REF!,16,FALSE)&lt;-2),"",#REF!),"")</f>
        <v/>
      </c>
      <c r="S624" t="str">
        <f>IFERROR(IF(OR(HLOOKUP($A624,#REF!,17,FALSE)&gt;2,HLOOKUP($A624,#REF!,17,FALSE)&lt;-2),"",#REF!),"")</f>
        <v/>
      </c>
      <c r="T624" t="str">
        <f>IFERROR(IF(OR(HLOOKUP($A624,#REF!,18,FALSE)&gt;2,HLOOKUP($A624,#REF!,18,FALSE)&lt;-2),"",#REF!),"")</f>
        <v/>
      </c>
      <c r="U624" t="str">
        <f>IFERROR(IF(OR(HLOOKUP($A624,#REF!,19,FALSE)&gt;2,HLOOKUP($A624,#REF!,19,FALSE)&lt;-2),"",#REF!),"")</f>
        <v/>
      </c>
      <c r="V624">
        <f t="shared" si="36"/>
        <v>1</v>
      </c>
      <c r="W624" t="str">
        <f t="shared" si="37"/>
        <v/>
      </c>
      <c r="X624" t="str">
        <f t="shared" si="38"/>
        <v/>
      </c>
      <c r="Y624" t="str">
        <f t="shared" si="39"/>
        <v/>
      </c>
    </row>
    <row r="625" spans="1:25" x14ac:dyDescent="0.35">
      <c r="A625">
        <v>633</v>
      </c>
      <c r="B625" t="s">
        <v>309</v>
      </c>
      <c r="C625">
        <v>101200</v>
      </c>
      <c r="D625">
        <v>948</v>
      </c>
      <c r="E625" t="str">
        <f>IFERROR(IF(OR(HLOOKUP($A625,#REF!,3,FALSE)&gt;2,HLOOKUP(A625,#REF!,3,FALSE)&lt;-2),"",#REF!),"")</f>
        <v/>
      </c>
      <c r="F625" t="str">
        <f>IFERROR(IF(OR(HLOOKUP($A625,#REF!,4,FALSE)&gt;2,HLOOKUP($A625,#REF!,4,FALSE)&lt;-2),"",#REF!),"")</f>
        <v/>
      </c>
      <c r="G625" t="str">
        <f>IFERROR(IF(OR(HLOOKUP($A625,#REF!,5,FALSE)&gt;2,HLOOKUP($A625,#REF!,5,FALSE)&lt;-2),"",#REF!),"")</f>
        <v/>
      </c>
      <c r="H625" t="str">
        <f>IFERROR(IF(OR(HLOOKUP($A625,#REF!,6,FALSE)&gt;2,HLOOKUP($A625,#REF!,6,FALSE)&lt;-2),"",#REF!),"")</f>
        <v/>
      </c>
      <c r="I625" t="str">
        <f>IFERROR(IF(OR(HLOOKUP($A625,#REF!,7,FALSE)&gt;2,HLOOKUP($A625,#REF!,7,FALSE)&lt;-2),"",#REF!),"")</f>
        <v/>
      </c>
      <c r="J625" t="str">
        <f>IFERROR(IF(OR(HLOOKUP($A625,#REF!,8,FALSE)&gt;2,HLOOKUP($A625,#REF!,8,FALSE)&lt;-2),"",#REF!),"")</f>
        <v/>
      </c>
      <c r="K625" t="str">
        <f>IFERROR(IF(OR(HLOOKUP($A625,#REF!,9,FALSE)&gt;2,HLOOKUP($A625,#REF!,9,FALSE)&lt;-2),"",#REF!),"")</f>
        <v/>
      </c>
      <c r="L625" t="str">
        <f>IFERROR(IF(OR(HLOOKUP($A625,#REF!,10,FALSE)&gt;2,HLOOKUP($A625,#REF!,10,FALSE)&lt;-2),"",#REF!),"")</f>
        <v/>
      </c>
      <c r="M625" t="str">
        <f>IFERROR(IF(OR(HLOOKUP($A625,#REF!,11,FALSE)&gt;2,HLOOKUP($A625,#REF!,11,FALSE)&lt;-2),"",#REF!),"")</f>
        <v/>
      </c>
      <c r="N625" t="str">
        <f>IFERROR(IF(OR(HLOOKUP($A625,#REF!,12,FALSE)&gt;2,HLOOKUP($A625,#REF!,12,FALSE)&lt;-2),"",#REF!),"")</f>
        <v/>
      </c>
      <c r="O625" t="str">
        <f>IFERROR(IF(OR(HLOOKUP($A625,#REF!,13,FALSE)&gt;2,HLOOKUP($A625,#REF!,13,FALSE)&lt;-2),"",#REF!),"")</f>
        <v/>
      </c>
      <c r="P625" t="str">
        <f>IFERROR(IF(OR(HLOOKUP($A625,#REF!,14,FALSE)&gt;2,HLOOKUP($A625,#REF!,14,FALSE)&lt;-2),"",#REF!),"")</f>
        <v/>
      </c>
      <c r="Q625" t="str">
        <f>IFERROR(IF(OR(HLOOKUP($A625,#REF!,15,FALSE)&gt;2,HLOOKUP($A625,#REF!,15,FALSE)&lt;-2),"",#REF!),"")</f>
        <v/>
      </c>
      <c r="R625" t="str">
        <f>IFERROR(IF(OR(HLOOKUP($A625,#REF!,16,FALSE)&gt;2,HLOOKUP($A625,#REF!,16,FALSE)&lt;-2),"",#REF!),"")</f>
        <v/>
      </c>
      <c r="S625" t="str">
        <f>IFERROR(IF(OR(HLOOKUP($A625,#REF!,17,FALSE)&gt;2,HLOOKUP($A625,#REF!,17,FALSE)&lt;-2),"",#REF!),"")</f>
        <v/>
      </c>
      <c r="T625" t="str">
        <f>IFERROR(IF(OR(HLOOKUP($A625,#REF!,18,FALSE)&gt;2,HLOOKUP($A625,#REF!,18,FALSE)&lt;-2),"",#REF!),"")</f>
        <v/>
      </c>
      <c r="U625" t="str">
        <f>IFERROR(IF(OR(HLOOKUP($A625,#REF!,19,FALSE)&gt;2,HLOOKUP($A625,#REF!,19,FALSE)&lt;-2),"",#REF!),"")</f>
        <v/>
      </c>
      <c r="V625">
        <f t="shared" si="36"/>
        <v>1</v>
      </c>
      <c r="W625" t="str">
        <f t="shared" si="37"/>
        <v/>
      </c>
      <c r="X625" t="str">
        <f t="shared" si="38"/>
        <v/>
      </c>
      <c r="Y625" t="str">
        <f t="shared" si="39"/>
        <v/>
      </c>
    </row>
    <row r="626" spans="1:25" x14ac:dyDescent="0.35">
      <c r="A626">
        <v>634</v>
      </c>
      <c r="B626" t="s">
        <v>310</v>
      </c>
      <c r="C626">
        <v>82300</v>
      </c>
      <c r="D626">
        <v>1100</v>
      </c>
      <c r="E626" t="str">
        <f>IFERROR(IF(OR(HLOOKUP($A626,#REF!,3,FALSE)&gt;2,HLOOKUP(A626,#REF!,3,FALSE)&lt;-2),"",#REF!),"")</f>
        <v/>
      </c>
      <c r="F626" t="str">
        <f>IFERROR(IF(OR(HLOOKUP($A626,#REF!,4,FALSE)&gt;2,HLOOKUP($A626,#REF!,4,FALSE)&lt;-2),"",#REF!),"")</f>
        <v/>
      </c>
      <c r="G626" t="str">
        <f>IFERROR(IF(OR(HLOOKUP($A626,#REF!,5,FALSE)&gt;2,HLOOKUP($A626,#REF!,5,FALSE)&lt;-2),"",#REF!),"")</f>
        <v/>
      </c>
      <c r="H626" t="str">
        <f>IFERROR(IF(OR(HLOOKUP($A626,#REF!,6,FALSE)&gt;2,HLOOKUP($A626,#REF!,6,FALSE)&lt;-2),"",#REF!),"")</f>
        <v/>
      </c>
      <c r="I626" t="str">
        <f>IFERROR(IF(OR(HLOOKUP($A626,#REF!,7,FALSE)&gt;2,HLOOKUP($A626,#REF!,7,FALSE)&lt;-2),"",#REF!),"")</f>
        <v/>
      </c>
      <c r="J626" t="str">
        <f>IFERROR(IF(OR(HLOOKUP($A626,#REF!,8,FALSE)&gt;2,HLOOKUP($A626,#REF!,8,FALSE)&lt;-2),"",#REF!),"")</f>
        <v/>
      </c>
      <c r="K626" t="str">
        <f>IFERROR(IF(OR(HLOOKUP($A626,#REF!,9,FALSE)&gt;2,HLOOKUP($A626,#REF!,9,FALSE)&lt;-2),"",#REF!),"")</f>
        <v/>
      </c>
      <c r="L626" t="str">
        <f>IFERROR(IF(OR(HLOOKUP($A626,#REF!,10,FALSE)&gt;2,HLOOKUP($A626,#REF!,10,FALSE)&lt;-2),"",#REF!),"")</f>
        <v/>
      </c>
      <c r="M626" t="str">
        <f>IFERROR(IF(OR(HLOOKUP($A626,#REF!,11,FALSE)&gt;2,HLOOKUP($A626,#REF!,11,FALSE)&lt;-2),"",#REF!),"")</f>
        <v/>
      </c>
      <c r="N626" t="str">
        <f>IFERROR(IF(OR(HLOOKUP($A626,#REF!,12,FALSE)&gt;2,HLOOKUP($A626,#REF!,12,FALSE)&lt;-2),"",#REF!),"")</f>
        <v/>
      </c>
      <c r="O626" t="str">
        <f>IFERROR(IF(OR(HLOOKUP($A626,#REF!,13,FALSE)&gt;2,HLOOKUP($A626,#REF!,13,FALSE)&lt;-2),"",#REF!),"")</f>
        <v/>
      </c>
      <c r="P626" t="str">
        <f>IFERROR(IF(OR(HLOOKUP($A626,#REF!,14,FALSE)&gt;2,HLOOKUP($A626,#REF!,14,FALSE)&lt;-2),"",#REF!),"")</f>
        <v/>
      </c>
      <c r="Q626" t="str">
        <f>IFERROR(IF(OR(HLOOKUP($A626,#REF!,15,FALSE)&gt;2,HLOOKUP($A626,#REF!,15,FALSE)&lt;-2),"",#REF!),"")</f>
        <v/>
      </c>
      <c r="R626" t="str">
        <f>IFERROR(IF(OR(HLOOKUP($A626,#REF!,16,FALSE)&gt;2,HLOOKUP($A626,#REF!,16,FALSE)&lt;-2),"",#REF!),"")</f>
        <v/>
      </c>
      <c r="S626" t="str">
        <f>IFERROR(IF(OR(HLOOKUP($A626,#REF!,17,FALSE)&gt;2,HLOOKUP($A626,#REF!,17,FALSE)&lt;-2),"",#REF!),"")</f>
        <v/>
      </c>
      <c r="T626" t="str">
        <f>IFERROR(IF(OR(HLOOKUP($A626,#REF!,18,FALSE)&gt;2,HLOOKUP($A626,#REF!,18,FALSE)&lt;-2),"",#REF!),"")</f>
        <v/>
      </c>
      <c r="U626" t="str">
        <f>IFERROR(IF(OR(HLOOKUP($A626,#REF!,19,FALSE)&gt;2,HLOOKUP($A626,#REF!,19,FALSE)&lt;-2),"",#REF!),"")</f>
        <v/>
      </c>
      <c r="V626">
        <f t="shared" si="36"/>
        <v>1</v>
      </c>
      <c r="W626" t="str">
        <f t="shared" si="37"/>
        <v/>
      </c>
      <c r="X626" t="str">
        <f t="shared" si="38"/>
        <v/>
      </c>
      <c r="Y626" t="str">
        <f t="shared" si="39"/>
        <v/>
      </c>
    </row>
    <row r="627" spans="1:25" x14ac:dyDescent="0.35">
      <c r="A627">
        <v>635</v>
      </c>
      <c r="B627" t="s">
        <v>919</v>
      </c>
      <c r="C627">
        <v>27600</v>
      </c>
      <c r="D627">
        <v>22</v>
      </c>
      <c r="E627" t="str">
        <f>IFERROR(IF(OR(HLOOKUP($A627,#REF!,3,FALSE)&gt;2,HLOOKUP(A627,#REF!,3,FALSE)&lt;-2),"",#REF!),"")</f>
        <v/>
      </c>
      <c r="F627" t="str">
        <f>IFERROR(IF(OR(HLOOKUP($A627,#REF!,4,FALSE)&gt;2,HLOOKUP($A627,#REF!,4,FALSE)&lt;-2),"",#REF!),"")</f>
        <v/>
      </c>
      <c r="G627" t="str">
        <f>IFERROR(IF(OR(HLOOKUP($A627,#REF!,5,FALSE)&gt;2,HLOOKUP($A627,#REF!,5,FALSE)&lt;-2),"",#REF!),"")</f>
        <v/>
      </c>
      <c r="H627" t="str">
        <f>IFERROR(IF(OR(HLOOKUP($A627,#REF!,6,FALSE)&gt;2,HLOOKUP($A627,#REF!,6,FALSE)&lt;-2),"",#REF!),"")</f>
        <v/>
      </c>
      <c r="I627" t="str">
        <f>IFERROR(IF(OR(HLOOKUP($A627,#REF!,7,FALSE)&gt;2,HLOOKUP($A627,#REF!,7,FALSE)&lt;-2),"",#REF!),"")</f>
        <v/>
      </c>
      <c r="J627" t="str">
        <f>IFERROR(IF(OR(HLOOKUP($A627,#REF!,8,FALSE)&gt;2,HLOOKUP($A627,#REF!,8,FALSE)&lt;-2),"",#REF!),"")</f>
        <v/>
      </c>
      <c r="K627" t="str">
        <f>IFERROR(IF(OR(HLOOKUP($A627,#REF!,9,FALSE)&gt;2,HLOOKUP($A627,#REF!,9,FALSE)&lt;-2),"",#REF!),"")</f>
        <v/>
      </c>
      <c r="L627" t="str">
        <f>IFERROR(IF(OR(HLOOKUP($A627,#REF!,10,FALSE)&gt;2,HLOOKUP($A627,#REF!,10,FALSE)&lt;-2),"",#REF!),"")</f>
        <v/>
      </c>
      <c r="M627" t="str">
        <f>IFERROR(IF(OR(HLOOKUP($A627,#REF!,11,FALSE)&gt;2,HLOOKUP($A627,#REF!,11,FALSE)&lt;-2),"",#REF!),"")</f>
        <v/>
      </c>
      <c r="N627" t="str">
        <f>IFERROR(IF(OR(HLOOKUP($A627,#REF!,12,FALSE)&gt;2,HLOOKUP($A627,#REF!,12,FALSE)&lt;-2),"",#REF!),"")</f>
        <v/>
      </c>
      <c r="O627" t="str">
        <f>IFERROR(IF(OR(HLOOKUP($A627,#REF!,13,FALSE)&gt;2,HLOOKUP($A627,#REF!,13,FALSE)&lt;-2),"",#REF!),"")</f>
        <v/>
      </c>
      <c r="P627" t="str">
        <f>IFERROR(IF(OR(HLOOKUP($A627,#REF!,14,FALSE)&gt;2,HLOOKUP($A627,#REF!,14,FALSE)&lt;-2),"",#REF!),"")</f>
        <v/>
      </c>
      <c r="Q627" t="str">
        <f>IFERROR(IF(OR(HLOOKUP($A627,#REF!,15,FALSE)&gt;2,HLOOKUP($A627,#REF!,15,FALSE)&lt;-2),"",#REF!),"")</f>
        <v/>
      </c>
      <c r="R627" t="str">
        <f>IFERROR(IF(OR(HLOOKUP($A627,#REF!,16,FALSE)&gt;2,HLOOKUP($A627,#REF!,16,FALSE)&lt;-2),"",#REF!),"")</f>
        <v/>
      </c>
      <c r="S627" t="str">
        <f>IFERROR(IF(OR(HLOOKUP($A627,#REF!,17,FALSE)&gt;2,HLOOKUP($A627,#REF!,17,FALSE)&lt;-2),"",#REF!),"")</f>
        <v/>
      </c>
      <c r="T627" t="str">
        <f>IFERROR(IF(OR(HLOOKUP($A627,#REF!,18,FALSE)&gt;2,HLOOKUP($A627,#REF!,18,FALSE)&lt;-2),"",#REF!),"")</f>
        <v/>
      </c>
      <c r="U627" t="str">
        <f>IFERROR(IF(OR(HLOOKUP($A627,#REF!,19,FALSE)&gt;2,HLOOKUP($A627,#REF!,19,FALSE)&lt;-2),"",#REF!),"")</f>
        <v/>
      </c>
      <c r="V627">
        <f t="shared" si="36"/>
        <v>1</v>
      </c>
      <c r="W627" t="str">
        <f t="shared" si="37"/>
        <v/>
      </c>
      <c r="X627" t="str">
        <f t="shared" si="38"/>
        <v/>
      </c>
      <c r="Y627" t="str">
        <f t="shared" si="39"/>
        <v/>
      </c>
    </row>
    <row r="628" spans="1:25" x14ac:dyDescent="0.35">
      <c r="A628">
        <v>636</v>
      </c>
      <c r="B628" t="s">
        <v>920</v>
      </c>
      <c r="C628">
        <v>67600</v>
      </c>
      <c r="D628">
        <v>362</v>
      </c>
      <c r="E628" t="str">
        <f>IFERROR(IF(OR(HLOOKUP($A628,#REF!,3,FALSE)&gt;2,HLOOKUP(A628,#REF!,3,FALSE)&lt;-2),"",#REF!),"")</f>
        <v/>
      </c>
      <c r="F628" t="str">
        <f>IFERROR(IF(OR(HLOOKUP($A628,#REF!,4,FALSE)&gt;2,HLOOKUP($A628,#REF!,4,FALSE)&lt;-2),"",#REF!),"")</f>
        <v/>
      </c>
      <c r="G628" t="str">
        <f>IFERROR(IF(OR(HLOOKUP($A628,#REF!,5,FALSE)&gt;2,HLOOKUP($A628,#REF!,5,FALSE)&lt;-2),"",#REF!),"")</f>
        <v/>
      </c>
      <c r="H628" t="str">
        <f>IFERROR(IF(OR(HLOOKUP($A628,#REF!,6,FALSE)&gt;2,HLOOKUP($A628,#REF!,6,FALSE)&lt;-2),"",#REF!),"")</f>
        <v/>
      </c>
      <c r="I628" t="str">
        <f>IFERROR(IF(OR(HLOOKUP($A628,#REF!,7,FALSE)&gt;2,HLOOKUP($A628,#REF!,7,FALSE)&lt;-2),"",#REF!),"")</f>
        <v/>
      </c>
      <c r="J628" t="str">
        <f>IFERROR(IF(OR(HLOOKUP($A628,#REF!,8,FALSE)&gt;2,HLOOKUP($A628,#REF!,8,FALSE)&lt;-2),"",#REF!),"")</f>
        <v/>
      </c>
      <c r="K628" t="str">
        <f>IFERROR(IF(OR(HLOOKUP($A628,#REF!,9,FALSE)&gt;2,HLOOKUP($A628,#REF!,9,FALSE)&lt;-2),"",#REF!),"")</f>
        <v/>
      </c>
      <c r="L628" t="str">
        <f>IFERROR(IF(OR(HLOOKUP($A628,#REF!,10,FALSE)&gt;2,HLOOKUP($A628,#REF!,10,FALSE)&lt;-2),"",#REF!),"")</f>
        <v/>
      </c>
      <c r="M628" t="str">
        <f>IFERROR(IF(OR(HLOOKUP($A628,#REF!,11,FALSE)&gt;2,HLOOKUP($A628,#REF!,11,FALSE)&lt;-2),"",#REF!),"")</f>
        <v/>
      </c>
      <c r="N628" t="str">
        <f>IFERROR(IF(OR(HLOOKUP($A628,#REF!,12,FALSE)&gt;2,HLOOKUP($A628,#REF!,12,FALSE)&lt;-2),"",#REF!),"")</f>
        <v/>
      </c>
      <c r="O628" t="str">
        <f>IFERROR(IF(OR(HLOOKUP($A628,#REF!,13,FALSE)&gt;2,HLOOKUP($A628,#REF!,13,FALSE)&lt;-2),"",#REF!),"")</f>
        <v/>
      </c>
      <c r="P628" t="str">
        <f>IFERROR(IF(OR(HLOOKUP($A628,#REF!,14,FALSE)&gt;2,HLOOKUP($A628,#REF!,14,FALSE)&lt;-2),"",#REF!),"")</f>
        <v/>
      </c>
      <c r="Q628" t="str">
        <f>IFERROR(IF(OR(HLOOKUP($A628,#REF!,15,FALSE)&gt;2,HLOOKUP($A628,#REF!,15,FALSE)&lt;-2),"",#REF!),"")</f>
        <v/>
      </c>
      <c r="R628" t="str">
        <f>IFERROR(IF(OR(HLOOKUP($A628,#REF!,16,FALSE)&gt;2,HLOOKUP($A628,#REF!,16,FALSE)&lt;-2),"",#REF!),"")</f>
        <v/>
      </c>
      <c r="S628" t="str">
        <f>IFERROR(IF(OR(HLOOKUP($A628,#REF!,17,FALSE)&gt;2,HLOOKUP($A628,#REF!,17,FALSE)&lt;-2),"",#REF!),"")</f>
        <v/>
      </c>
      <c r="T628" t="str">
        <f>IFERROR(IF(OR(HLOOKUP($A628,#REF!,18,FALSE)&gt;2,HLOOKUP($A628,#REF!,18,FALSE)&lt;-2),"",#REF!),"")</f>
        <v/>
      </c>
      <c r="U628" t="str">
        <f>IFERROR(IF(OR(HLOOKUP($A628,#REF!,19,FALSE)&gt;2,HLOOKUP($A628,#REF!,19,FALSE)&lt;-2),"",#REF!),"")</f>
        <v/>
      </c>
      <c r="V628">
        <f t="shared" si="36"/>
        <v>1</v>
      </c>
      <c r="W628" t="str">
        <f t="shared" si="37"/>
        <v/>
      </c>
      <c r="X628" t="str">
        <f t="shared" si="38"/>
        <v/>
      </c>
      <c r="Y628" t="str">
        <f t="shared" si="39"/>
        <v/>
      </c>
    </row>
    <row r="629" spans="1:25" x14ac:dyDescent="0.35">
      <c r="A629">
        <v>637</v>
      </c>
      <c r="B629" t="s">
        <v>921</v>
      </c>
      <c r="C629">
        <v>63700</v>
      </c>
      <c r="D629">
        <v>864</v>
      </c>
      <c r="E629" t="str">
        <f>IFERROR(IF(OR(HLOOKUP($A629,#REF!,3,FALSE)&gt;2,HLOOKUP(A629,#REF!,3,FALSE)&lt;-2),"",#REF!),"")</f>
        <v/>
      </c>
      <c r="F629" t="str">
        <f>IFERROR(IF(OR(HLOOKUP($A629,#REF!,4,FALSE)&gt;2,HLOOKUP($A629,#REF!,4,FALSE)&lt;-2),"",#REF!),"")</f>
        <v/>
      </c>
      <c r="G629" t="str">
        <f>IFERROR(IF(OR(HLOOKUP($A629,#REF!,5,FALSE)&gt;2,HLOOKUP($A629,#REF!,5,FALSE)&lt;-2),"",#REF!),"")</f>
        <v/>
      </c>
      <c r="H629" t="str">
        <f>IFERROR(IF(OR(HLOOKUP($A629,#REF!,6,FALSE)&gt;2,HLOOKUP($A629,#REF!,6,FALSE)&lt;-2),"",#REF!),"")</f>
        <v/>
      </c>
      <c r="I629" t="str">
        <f>IFERROR(IF(OR(HLOOKUP($A629,#REF!,7,FALSE)&gt;2,HLOOKUP($A629,#REF!,7,FALSE)&lt;-2),"",#REF!),"")</f>
        <v/>
      </c>
      <c r="J629" t="str">
        <f>IFERROR(IF(OR(HLOOKUP($A629,#REF!,8,FALSE)&gt;2,HLOOKUP($A629,#REF!,8,FALSE)&lt;-2),"",#REF!),"")</f>
        <v/>
      </c>
      <c r="K629" t="str">
        <f>IFERROR(IF(OR(HLOOKUP($A629,#REF!,9,FALSE)&gt;2,HLOOKUP($A629,#REF!,9,FALSE)&lt;-2),"",#REF!),"")</f>
        <v/>
      </c>
      <c r="L629" t="str">
        <f>IFERROR(IF(OR(HLOOKUP($A629,#REF!,10,FALSE)&gt;2,HLOOKUP($A629,#REF!,10,FALSE)&lt;-2),"",#REF!),"")</f>
        <v/>
      </c>
      <c r="M629" t="str">
        <f>IFERROR(IF(OR(HLOOKUP($A629,#REF!,11,FALSE)&gt;2,HLOOKUP($A629,#REF!,11,FALSE)&lt;-2),"",#REF!),"")</f>
        <v/>
      </c>
      <c r="N629" t="str">
        <f>IFERROR(IF(OR(HLOOKUP($A629,#REF!,12,FALSE)&gt;2,HLOOKUP($A629,#REF!,12,FALSE)&lt;-2),"",#REF!),"")</f>
        <v/>
      </c>
      <c r="O629" t="str">
        <f>IFERROR(IF(OR(HLOOKUP($A629,#REF!,13,FALSE)&gt;2,HLOOKUP($A629,#REF!,13,FALSE)&lt;-2),"",#REF!),"")</f>
        <v/>
      </c>
      <c r="P629" t="str">
        <f>IFERROR(IF(OR(HLOOKUP($A629,#REF!,14,FALSE)&gt;2,HLOOKUP($A629,#REF!,14,FALSE)&lt;-2),"",#REF!),"")</f>
        <v/>
      </c>
      <c r="Q629" t="str">
        <f>IFERROR(IF(OR(HLOOKUP($A629,#REF!,15,FALSE)&gt;2,HLOOKUP($A629,#REF!,15,FALSE)&lt;-2),"",#REF!),"")</f>
        <v/>
      </c>
      <c r="R629" t="str">
        <f>IFERROR(IF(OR(HLOOKUP($A629,#REF!,16,FALSE)&gt;2,HLOOKUP($A629,#REF!,16,FALSE)&lt;-2),"",#REF!),"")</f>
        <v/>
      </c>
      <c r="S629" t="str">
        <f>IFERROR(IF(OR(HLOOKUP($A629,#REF!,17,FALSE)&gt;2,HLOOKUP($A629,#REF!,17,FALSE)&lt;-2),"",#REF!),"")</f>
        <v/>
      </c>
      <c r="T629" t="str">
        <f>IFERROR(IF(OR(HLOOKUP($A629,#REF!,18,FALSE)&gt;2,HLOOKUP($A629,#REF!,18,FALSE)&lt;-2),"",#REF!),"")</f>
        <v/>
      </c>
      <c r="U629" t="str">
        <f>IFERROR(IF(OR(HLOOKUP($A629,#REF!,19,FALSE)&gt;2,HLOOKUP($A629,#REF!,19,FALSE)&lt;-2),"",#REF!),"")</f>
        <v/>
      </c>
      <c r="V629">
        <f t="shared" si="36"/>
        <v>1</v>
      </c>
      <c r="W629" t="str">
        <f t="shared" si="37"/>
        <v/>
      </c>
      <c r="X629" t="str">
        <f t="shared" si="38"/>
        <v/>
      </c>
      <c r="Y629" t="str">
        <f t="shared" si="39"/>
        <v/>
      </c>
    </row>
    <row r="630" spans="1:25" x14ac:dyDescent="0.35">
      <c r="A630">
        <v>638</v>
      </c>
      <c r="B630" t="s">
        <v>311</v>
      </c>
      <c r="C630">
        <v>9600</v>
      </c>
      <c r="D630">
        <v>1057</v>
      </c>
      <c r="E630" t="str">
        <f>IFERROR(IF(OR(HLOOKUP($A630,#REF!,3,FALSE)&gt;2,HLOOKUP(A630,#REF!,3,FALSE)&lt;-2),"",#REF!),"")</f>
        <v/>
      </c>
      <c r="F630" t="str">
        <f>IFERROR(IF(OR(HLOOKUP($A630,#REF!,4,FALSE)&gt;2,HLOOKUP($A630,#REF!,4,FALSE)&lt;-2),"",#REF!),"")</f>
        <v/>
      </c>
      <c r="G630" t="str">
        <f>IFERROR(IF(OR(HLOOKUP($A630,#REF!,5,FALSE)&gt;2,HLOOKUP($A630,#REF!,5,FALSE)&lt;-2),"",#REF!),"")</f>
        <v/>
      </c>
      <c r="H630" t="str">
        <f>IFERROR(IF(OR(HLOOKUP($A630,#REF!,6,FALSE)&gt;2,HLOOKUP($A630,#REF!,6,FALSE)&lt;-2),"",#REF!),"")</f>
        <v/>
      </c>
      <c r="I630" t="str">
        <f>IFERROR(IF(OR(HLOOKUP($A630,#REF!,7,FALSE)&gt;2,HLOOKUP($A630,#REF!,7,FALSE)&lt;-2),"",#REF!),"")</f>
        <v/>
      </c>
      <c r="J630" t="str">
        <f>IFERROR(IF(OR(HLOOKUP($A630,#REF!,8,FALSE)&gt;2,HLOOKUP($A630,#REF!,8,FALSE)&lt;-2),"",#REF!),"")</f>
        <v/>
      </c>
      <c r="K630" t="str">
        <f>IFERROR(IF(OR(HLOOKUP($A630,#REF!,9,FALSE)&gt;2,HLOOKUP($A630,#REF!,9,FALSE)&lt;-2),"",#REF!),"")</f>
        <v/>
      </c>
      <c r="L630" t="str">
        <f>IFERROR(IF(OR(HLOOKUP($A630,#REF!,10,FALSE)&gt;2,HLOOKUP($A630,#REF!,10,FALSE)&lt;-2),"",#REF!),"")</f>
        <v/>
      </c>
      <c r="M630" t="str">
        <f>IFERROR(IF(OR(HLOOKUP($A630,#REF!,11,FALSE)&gt;2,HLOOKUP($A630,#REF!,11,FALSE)&lt;-2),"",#REF!),"")</f>
        <v/>
      </c>
      <c r="N630" t="str">
        <f>IFERROR(IF(OR(HLOOKUP($A630,#REF!,12,FALSE)&gt;2,HLOOKUP($A630,#REF!,12,FALSE)&lt;-2),"",#REF!),"")</f>
        <v/>
      </c>
      <c r="O630" t="str">
        <f>IFERROR(IF(OR(HLOOKUP($A630,#REF!,13,FALSE)&gt;2,HLOOKUP($A630,#REF!,13,FALSE)&lt;-2),"",#REF!),"")</f>
        <v/>
      </c>
      <c r="P630" t="str">
        <f>IFERROR(IF(OR(HLOOKUP($A630,#REF!,14,FALSE)&gt;2,HLOOKUP($A630,#REF!,14,FALSE)&lt;-2),"",#REF!),"")</f>
        <v/>
      </c>
      <c r="Q630" t="str">
        <f>IFERROR(IF(OR(HLOOKUP($A630,#REF!,15,FALSE)&gt;2,HLOOKUP($A630,#REF!,15,FALSE)&lt;-2),"",#REF!),"")</f>
        <v/>
      </c>
      <c r="R630" t="str">
        <f>IFERROR(IF(OR(HLOOKUP($A630,#REF!,16,FALSE)&gt;2,HLOOKUP($A630,#REF!,16,FALSE)&lt;-2),"",#REF!),"")</f>
        <v/>
      </c>
      <c r="S630" t="str">
        <f>IFERROR(IF(OR(HLOOKUP($A630,#REF!,17,FALSE)&gt;2,HLOOKUP($A630,#REF!,17,FALSE)&lt;-2),"",#REF!),"")</f>
        <v/>
      </c>
      <c r="T630" t="str">
        <f>IFERROR(IF(OR(HLOOKUP($A630,#REF!,18,FALSE)&gt;2,HLOOKUP($A630,#REF!,18,FALSE)&lt;-2),"",#REF!),"")</f>
        <v/>
      </c>
      <c r="U630" t="str">
        <f>IFERROR(IF(OR(HLOOKUP($A630,#REF!,19,FALSE)&gt;2,HLOOKUP($A630,#REF!,19,FALSE)&lt;-2),"",#REF!),"")</f>
        <v/>
      </c>
      <c r="V630">
        <f t="shared" si="36"/>
        <v>1</v>
      </c>
      <c r="W630" t="str">
        <f t="shared" si="37"/>
        <v/>
      </c>
      <c r="X630" t="str">
        <f t="shared" si="38"/>
        <v/>
      </c>
      <c r="Y630" t="str">
        <f t="shared" si="39"/>
        <v/>
      </c>
    </row>
    <row r="631" spans="1:25" x14ac:dyDescent="0.35">
      <c r="A631">
        <v>639</v>
      </c>
      <c r="B631" t="s">
        <v>312</v>
      </c>
      <c r="C631">
        <v>34700</v>
      </c>
      <c r="D631">
        <v>631</v>
      </c>
      <c r="E631" t="str">
        <f>IFERROR(IF(OR(HLOOKUP($A631,#REF!,3,FALSE)&gt;2,HLOOKUP(A631,#REF!,3,FALSE)&lt;-2),"",#REF!),"")</f>
        <v/>
      </c>
      <c r="F631" t="str">
        <f>IFERROR(IF(OR(HLOOKUP($A631,#REF!,4,FALSE)&gt;2,HLOOKUP($A631,#REF!,4,FALSE)&lt;-2),"",#REF!),"")</f>
        <v/>
      </c>
      <c r="G631" t="str">
        <f>IFERROR(IF(OR(HLOOKUP($A631,#REF!,5,FALSE)&gt;2,HLOOKUP($A631,#REF!,5,FALSE)&lt;-2),"",#REF!),"")</f>
        <v/>
      </c>
      <c r="H631" t="str">
        <f>IFERROR(IF(OR(HLOOKUP($A631,#REF!,6,FALSE)&gt;2,HLOOKUP($A631,#REF!,6,FALSE)&lt;-2),"",#REF!),"")</f>
        <v/>
      </c>
      <c r="I631" t="str">
        <f>IFERROR(IF(OR(HLOOKUP($A631,#REF!,7,FALSE)&gt;2,HLOOKUP($A631,#REF!,7,FALSE)&lt;-2),"",#REF!),"")</f>
        <v/>
      </c>
      <c r="J631" t="str">
        <f>IFERROR(IF(OR(HLOOKUP($A631,#REF!,8,FALSE)&gt;2,HLOOKUP($A631,#REF!,8,FALSE)&lt;-2),"",#REF!),"")</f>
        <v/>
      </c>
      <c r="K631" t="str">
        <f>IFERROR(IF(OR(HLOOKUP($A631,#REF!,9,FALSE)&gt;2,HLOOKUP($A631,#REF!,9,FALSE)&lt;-2),"",#REF!),"")</f>
        <v/>
      </c>
      <c r="L631" t="str">
        <f>IFERROR(IF(OR(HLOOKUP($A631,#REF!,10,FALSE)&gt;2,HLOOKUP($A631,#REF!,10,FALSE)&lt;-2),"",#REF!),"")</f>
        <v/>
      </c>
      <c r="M631" t="str">
        <f>IFERROR(IF(OR(HLOOKUP($A631,#REF!,11,FALSE)&gt;2,HLOOKUP($A631,#REF!,11,FALSE)&lt;-2),"",#REF!),"")</f>
        <v/>
      </c>
      <c r="N631" t="str">
        <f>IFERROR(IF(OR(HLOOKUP($A631,#REF!,12,FALSE)&gt;2,HLOOKUP($A631,#REF!,12,FALSE)&lt;-2),"",#REF!),"")</f>
        <v/>
      </c>
      <c r="O631" t="str">
        <f>IFERROR(IF(OR(HLOOKUP($A631,#REF!,13,FALSE)&gt;2,HLOOKUP($A631,#REF!,13,FALSE)&lt;-2),"",#REF!),"")</f>
        <v/>
      </c>
      <c r="P631" t="str">
        <f>IFERROR(IF(OR(HLOOKUP($A631,#REF!,14,FALSE)&gt;2,HLOOKUP($A631,#REF!,14,FALSE)&lt;-2),"",#REF!),"")</f>
        <v/>
      </c>
      <c r="Q631" t="str">
        <f>IFERROR(IF(OR(HLOOKUP($A631,#REF!,15,FALSE)&gt;2,HLOOKUP($A631,#REF!,15,FALSE)&lt;-2),"",#REF!),"")</f>
        <v/>
      </c>
      <c r="R631" t="str">
        <f>IFERROR(IF(OR(HLOOKUP($A631,#REF!,16,FALSE)&gt;2,HLOOKUP($A631,#REF!,16,FALSE)&lt;-2),"",#REF!),"")</f>
        <v/>
      </c>
      <c r="S631" t="str">
        <f>IFERROR(IF(OR(HLOOKUP($A631,#REF!,17,FALSE)&gt;2,HLOOKUP($A631,#REF!,17,FALSE)&lt;-2),"",#REF!),"")</f>
        <v/>
      </c>
      <c r="T631" t="str">
        <f>IFERROR(IF(OR(HLOOKUP($A631,#REF!,18,FALSE)&gt;2,HLOOKUP($A631,#REF!,18,FALSE)&lt;-2),"",#REF!),"")</f>
        <v/>
      </c>
      <c r="U631" t="str">
        <f>IFERROR(IF(OR(HLOOKUP($A631,#REF!,19,FALSE)&gt;2,HLOOKUP($A631,#REF!,19,FALSE)&lt;-2),"",#REF!),"")</f>
        <v/>
      </c>
      <c r="V631">
        <f t="shared" si="36"/>
        <v>1</v>
      </c>
      <c r="W631" t="str">
        <f t="shared" si="37"/>
        <v/>
      </c>
      <c r="X631" t="str">
        <f t="shared" si="38"/>
        <v/>
      </c>
      <c r="Y631" t="str">
        <f t="shared" si="39"/>
        <v/>
      </c>
    </row>
    <row r="632" spans="1:25" x14ac:dyDescent="0.35">
      <c r="A632">
        <v>640</v>
      </c>
      <c r="B632" t="s">
        <v>922</v>
      </c>
      <c r="C632">
        <v>92700</v>
      </c>
      <c r="D632">
        <v>370</v>
      </c>
      <c r="E632" t="str">
        <f>IFERROR(IF(OR(HLOOKUP($A632,#REF!,3,FALSE)&gt;2,HLOOKUP(A632,#REF!,3,FALSE)&lt;-2),"",#REF!),"")</f>
        <v/>
      </c>
      <c r="F632" t="str">
        <f>IFERROR(IF(OR(HLOOKUP($A632,#REF!,4,FALSE)&gt;2,HLOOKUP($A632,#REF!,4,FALSE)&lt;-2),"",#REF!),"")</f>
        <v/>
      </c>
      <c r="G632" t="str">
        <f>IFERROR(IF(OR(HLOOKUP($A632,#REF!,5,FALSE)&gt;2,HLOOKUP($A632,#REF!,5,FALSE)&lt;-2),"",#REF!),"")</f>
        <v/>
      </c>
      <c r="H632" t="str">
        <f>IFERROR(IF(OR(HLOOKUP($A632,#REF!,6,FALSE)&gt;2,HLOOKUP($A632,#REF!,6,FALSE)&lt;-2),"",#REF!),"")</f>
        <v/>
      </c>
      <c r="I632" t="str">
        <f>IFERROR(IF(OR(HLOOKUP($A632,#REF!,7,FALSE)&gt;2,HLOOKUP($A632,#REF!,7,FALSE)&lt;-2),"",#REF!),"")</f>
        <v/>
      </c>
      <c r="J632" t="str">
        <f>IFERROR(IF(OR(HLOOKUP($A632,#REF!,8,FALSE)&gt;2,HLOOKUP($A632,#REF!,8,FALSE)&lt;-2),"",#REF!),"")</f>
        <v/>
      </c>
      <c r="K632" t="str">
        <f>IFERROR(IF(OR(HLOOKUP($A632,#REF!,9,FALSE)&gt;2,HLOOKUP($A632,#REF!,9,FALSE)&lt;-2),"",#REF!),"")</f>
        <v/>
      </c>
      <c r="L632" t="str">
        <f>IFERROR(IF(OR(HLOOKUP($A632,#REF!,10,FALSE)&gt;2,HLOOKUP($A632,#REF!,10,FALSE)&lt;-2),"",#REF!),"")</f>
        <v/>
      </c>
      <c r="M632" t="str">
        <f>IFERROR(IF(OR(HLOOKUP($A632,#REF!,11,FALSE)&gt;2,HLOOKUP($A632,#REF!,11,FALSE)&lt;-2),"",#REF!),"")</f>
        <v/>
      </c>
      <c r="N632" t="str">
        <f>IFERROR(IF(OR(HLOOKUP($A632,#REF!,12,FALSE)&gt;2,HLOOKUP($A632,#REF!,12,FALSE)&lt;-2),"",#REF!),"")</f>
        <v/>
      </c>
      <c r="O632" t="str">
        <f>IFERROR(IF(OR(HLOOKUP($A632,#REF!,13,FALSE)&gt;2,HLOOKUP($A632,#REF!,13,FALSE)&lt;-2),"",#REF!),"")</f>
        <v/>
      </c>
      <c r="P632" t="str">
        <f>IFERROR(IF(OR(HLOOKUP($A632,#REF!,14,FALSE)&gt;2,HLOOKUP($A632,#REF!,14,FALSE)&lt;-2),"",#REF!),"")</f>
        <v/>
      </c>
      <c r="Q632" t="str">
        <f>IFERROR(IF(OR(HLOOKUP($A632,#REF!,15,FALSE)&gt;2,HLOOKUP($A632,#REF!,15,FALSE)&lt;-2),"",#REF!),"")</f>
        <v/>
      </c>
      <c r="R632" t="str">
        <f>IFERROR(IF(OR(HLOOKUP($A632,#REF!,16,FALSE)&gt;2,HLOOKUP($A632,#REF!,16,FALSE)&lt;-2),"",#REF!),"")</f>
        <v/>
      </c>
      <c r="S632" t="str">
        <f>IFERROR(IF(OR(HLOOKUP($A632,#REF!,17,FALSE)&gt;2,HLOOKUP($A632,#REF!,17,FALSE)&lt;-2),"",#REF!),"")</f>
        <v/>
      </c>
      <c r="T632" t="str">
        <f>IFERROR(IF(OR(HLOOKUP($A632,#REF!,18,FALSE)&gt;2,HLOOKUP($A632,#REF!,18,FALSE)&lt;-2),"",#REF!),"")</f>
        <v/>
      </c>
      <c r="U632" t="str">
        <f>IFERROR(IF(OR(HLOOKUP($A632,#REF!,19,FALSE)&gt;2,HLOOKUP($A632,#REF!,19,FALSE)&lt;-2),"",#REF!),"")</f>
        <v/>
      </c>
      <c r="V632">
        <f t="shared" si="36"/>
        <v>1</v>
      </c>
      <c r="W632" t="str">
        <f t="shared" si="37"/>
        <v/>
      </c>
      <c r="X632" t="str">
        <f t="shared" si="38"/>
        <v/>
      </c>
      <c r="Y632" t="str">
        <f t="shared" si="39"/>
        <v/>
      </c>
    </row>
    <row r="633" spans="1:25" x14ac:dyDescent="0.35">
      <c r="A633">
        <v>641</v>
      </c>
      <c r="B633" t="s">
        <v>923</v>
      </c>
      <c r="C633">
        <v>100900</v>
      </c>
      <c r="D633">
        <v>948</v>
      </c>
      <c r="E633" t="str">
        <f>IFERROR(IF(OR(HLOOKUP($A633,#REF!,3,FALSE)&gt;2,HLOOKUP(A633,#REF!,3,FALSE)&lt;-2),"",#REF!),"")</f>
        <v/>
      </c>
      <c r="F633" t="str">
        <f>IFERROR(IF(OR(HLOOKUP($A633,#REF!,4,FALSE)&gt;2,HLOOKUP($A633,#REF!,4,FALSE)&lt;-2),"",#REF!),"")</f>
        <v/>
      </c>
      <c r="G633" t="str">
        <f>IFERROR(IF(OR(HLOOKUP($A633,#REF!,5,FALSE)&gt;2,HLOOKUP($A633,#REF!,5,FALSE)&lt;-2),"",#REF!),"")</f>
        <v/>
      </c>
      <c r="H633" t="str">
        <f>IFERROR(IF(OR(HLOOKUP($A633,#REF!,6,FALSE)&gt;2,HLOOKUP($A633,#REF!,6,FALSE)&lt;-2),"",#REF!),"")</f>
        <v/>
      </c>
      <c r="I633" t="str">
        <f>IFERROR(IF(OR(HLOOKUP($A633,#REF!,7,FALSE)&gt;2,HLOOKUP($A633,#REF!,7,FALSE)&lt;-2),"",#REF!),"")</f>
        <v/>
      </c>
      <c r="J633" t="str">
        <f>IFERROR(IF(OR(HLOOKUP($A633,#REF!,8,FALSE)&gt;2,HLOOKUP($A633,#REF!,8,FALSE)&lt;-2),"",#REF!),"")</f>
        <v/>
      </c>
      <c r="K633" t="str">
        <f>IFERROR(IF(OR(HLOOKUP($A633,#REF!,9,FALSE)&gt;2,HLOOKUP($A633,#REF!,9,FALSE)&lt;-2),"",#REF!),"")</f>
        <v/>
      </c>
      <c r="L633" t="str">
        <f>IFERROR(IF(OR(HLOOKUP($A633,#REF!,10,FALSE)&gt;2,HLOOKUP($A633,#REF!,10,FALSE)&lt;-2),"",#REF!),"")</f>
        <v/>
      </c>
      <c r="M633" t="str">
        <f>IFERROR(IF(OR(HLOOKUP($A633,#REF!,11,FALSE)&gt;2,HLOOKUP($A633,#REF!,11,FALSE)&lt;-2),"",#REF!),"")</f>
        <v/>
      </c>
      <c r="N633" t="str">
        <f>IFERROR(IF(OR(HLOOKUP($A633,#REF!,12,FALSE)&gt;2,HLOOKUP($A633,#REF!,12,FALSE)&lt;-2),"",#REF!),"")</f>
        <v/>
      </c>
      <c r="O633" t="str">
        <f>IFERROR(IF(OR(HLOOKUP($A633,#REF!,13,FALSE)&gt;2,HLOOKUP($A633,#REF!,13,FALSE)&lt;-2),"",#REF!),"")</f>
        <v/>
      </c>
      <c r="P633" t="str">
        <f>IFERROR(IF(OR(HLOOKUP($A633,#REF!,14,FALSE)&gt;2,HLOOKUP($A633,#REF!,14,FALSE)&lt;-2),"",#REF!),"")</f>
        <v/>
      </c>
      <c r="Q633" t="str">
        <f>IFERROR(IF(OR(HLOOKUP($A633,#REF!,15,FALSE)&gt;2,HLOOKUP($A633,#REF!,15,FALSE)&lt;-2),"",#REF!),"")</f>
        <v/>
      </c>
      <c r="R633" t="str">
        <f>IFERROR(IF(OR(HLOOKUP($A633,#REF!,16,FALSE)&gt;2,HLOOKUP($A633,#REF!,16,FALSE)&lt;-2),"",#REF!),"")</f>
        <v/>
      </c>
      <c r="S633" t="str">
        <f>IFERROR(IF(OR(HLOOKUP($A633,#REF!,17,FALSE)&gt;2,HLOOKUP($A633,#REF!,17,FALSE)&lt;-2),"",#REF!),"")</f>
        <v/>
      </c>
      <c r="T633" t="str">
        <f>IFERROR(IF(OR(HLOOKUP($A633,#REF!,18,FALSE)&gt;2,HLOOKUP($A633,#REF!,18,FALSE)&lt;-2),"",#REF!),"")</f>
        <v/>
      </c>
      <c r="U633" t="str">
        <f>IFERROR(IF(OR(HLOOKUP($A633,#REF!,19,FALSE)&gt;2,HLOOKUP($A633,#REF!,19,FALSE)&lt;-2),"",#REF!),"")</f>
        <v/>
      </c>
      <c r="V633">
        <f t="shared" si="36"/>
        <v>1</v>
      </c>
      <c r="W633" t="str">
        <f t="shared" si="37"/>
        <v/>
      </c>
      <c r="X633" t="str">
        <f t="shared" si="38"/>
        <v/>
      </c>
      <c r="Y633" t="str">
        <f t="shared" si="39"/>
        <v/>
      </c>
    </row>
    <row r="634" spans="1:25" x14ac:dyDescent="0.35">
      <c r="A634">
        <v>642</v>
      </c>
      <c r="B634" t="s">
        <v>313</v>
      </c>
      <c r="C634">
        <v>90600</v>
      </c>
      <c r="D634">
        <v>386</v>
      </c>
      <c r="E634" t="str">
        <f>IFERROR(IF(OR(HLOOKUP($A634,#REF!,3,FALSE)&gt;2,HLOOKUP(A634,#REF!,3,FALSE)&lt;-2),"",#REF!),"")</f>
        <v/>
      </c>
      <c r="F634" t="str">
        <f>IFERROR(IF(OR(HLOOKUP($A634,#REF!,4,FALSE)&gt;2,HLOOKUP($A634,#REF!,4,FALSE)&lt;-2),"",#REF!),"")</f>
        <v/>
      </c>
      <c r="G634" t="str">
        <f>IFERROR(IF(OR(HLOOKUP($A634,#REF!,5,FALSE)&gt;2,HLOOKUP($A634,#REF!,5,FALSE)&lt;-2),"",#REF!),"")</f>
        <v/>
      </c>
      <c r="H634" t="str">
        <f>IFERROR(IF(OR(HLOOKUP($A634,#REF!,6,FALSE)&gt;2,HLOOKUP($A634,#REF!,6,FALSE)&lt;-2),"",#REF!),"")</f>
        <v/>
      </c>
      <c r="I634" t="str">
        <f>IFERROR(IF(OR(HLOOKUP($A634,#REF!,7,FALSE)&gt;2,HLOOKUP($A634,#REF!,7,FALSE)&lt;-2),"",#REF!),"")</f>
        <v/>
      </c>
      <c r="J634" t="str">
        <f>IFERROR(IF(OR(HLOOKUP($A634,#REF!,8,FALSE)&gt;2,HLOOKUP($A634,#REF!,8,FALSE)&lt;-2),"",#REF!),"")</f>
        <v/>
      </c>
      <c r="K634" t="str">
        <f>IFERROR(IF(OR(HLOOKUP($A634,#REF!,9,FALSE)&gt;2,HLOOKUP($A634,#REF!,9,FALSE)&lt;-2),"",#REF!),"")</f>
        <v/>
      </c>
      <c r="L634" t="str">
        <f>IFERROR(IF(OR(HLOOKUP($A634,#REF!,10,FALSE)&gt;2,HLOOKUP($A634,#REF!,10,FALSE)&lt;-2),"",#REF!),"")</f>
        <v/>
      </c>
      <c r="M634" t="str">
        <f>IFERROR(IF(OR(HLOOKUP($A634,#REF!,11,FALSE)&gt;2,HLOOKUP($A634,#REF!,11,FALSE)&lt;-2),"",#REF!),"")</f>
        <v/>
      </c>
      <c r="N634" t="str">
        <f>IFERROR(IF(OR(HLOOKUP($A634,#REF!,12,FALSE)&gt;2,HLOOKUP($A634,#REF!,12,FALSE)&lt;-2),"",#REF!),"")</f>
        <v/>
      </c>
      <c r="O634" t="str">
        <f>IFERROR(IF(OR(HLOOKUP($A634,#REF!,13,FALSE)&gt;2,HLOOKUP($A634,#REF!,13,FALSE)&lt;-2),"",#REF!),"")</f>
        <v/>
      </c>
      <c r="P634" t="str">
        <f>IFERROR(IF(OR(HLOOKUP($A634,#REF!,14,FALSE)&gt;2,HLOOKUP($A634,#REF!,14,FALSE)&lt;-2),"",#REF!),"")</f>
        <v/>
      </c>
      <c r="Q634" t="str">
        <f>IFERROR(IF(OR(HLOOKUP($A634,#REF!,15,FALSE)&gt;2,HLOOKUP($A634,#REF!,15,FALSE)&lt;-2),"",#REF!),"")</f>
        <v/>
      </c>
      <c r="R634" t="str">
        <f>IFERROR(IF(OR(HLOOKUP($A634,#REF!,16,FALSE)&gt;2,HLOOKUP($A634,#REF!,16,FALSE)&lt;-2),"",#REF!),"")</f>
        <v/>
      </c>
      <c r="S634" t="str">
        <f>IFERROR(IF(OR(HLOOKUP($A634,#REF!,17,FALSE)&gt;2,HLOOKUP($A634,#REF!,17,FALSE)&lt;-2),"",#REF!),"")</f>
        <v/>
      </c>
      <c r="T634" t="str">
        <f>IFERROR(IF(OR(HLOOKUP($A634,#REF!,18,FALSE)&gt;2,HLOOKUP($A634,#REF!,18,FALSE)&lt;-2),"",#REF!),"")</f>
        <v/>
      </c>
      <c r="U634" t="str">
        <f>IFERROR(IF(OR(HLOOKUP($A634,#REF!,19,FALSE)&gt;2,HLOOKUP($A634,#REF!,19,FALSE)&lt;-2),"",#REF!),"")</f>
        <v/>
      </c>
      <c r="V634">
        <f t="shared" si="36"/>
        <v>1</v>
      </c>
      <c r="W634" t="str">
        <f t="shared" si="37"/>
        <v/>
      </c>
      <c r="X634" t="str">
        <f t="shared" si="38"/>
        <v/>
      </c>
      <c r="Y634" t="str">
        <f t="shared" si="39"/>
        <v/>
      </c>
    </row>
    <row r="635" spans="1:25" x14ac:dyDescent="0.35">
      <c r="A635">
        <v>643</v>
      </c>
      <c r="B635" t="s">
        <v>314</v>
      </c>
      <c r="C635">
        <v>12200</v>
      </c>
      <c r="D635">
        <v>1027</v>
      </c>
      <c r="E635" t="str">
        <f>IFERROR(IF(OR(HLOOKUP($A635,#REF!,3,FALSE)&gt;2,HLOOKUP(A635,#REF!,3,FALSE)&lt;-2),"",#REF!),"")</f>
        <v/>
      </c>
      <c r="F635" t="str">
        <f>IFERROR(IF(OR(HLOOKUP($A635,#REF!,4,FALSE)&gt;2,HLOOKUP($A635,#REF!,4,FALSE)&lt;-2),"",#REF!),"")</f>
        <v/>
      </c>
      <c r="G635" t="str">
        <f>IFERROR(IF(OR(HLOOKUP($A635,#REF!,5,FALSE)&gt;2,HLOOKUP($A635,#REF!,5,FALSE)&lt;-2),"",#REF!),"")</f>
        <v/>
      </c>
      <c r="H635" t="str">
        <f>IFERROR(IF(OR(HLOOKUP($A635,#REF!,6,FALSE)&gt;2,HLOOKUP($A635,#REF!,6,FALSE)&lt;-2),"",#REF!),"")</f>
        <v/>
      </c>
      <c r="I635" t="str">
        <f>IFERROR(IF(OR(HLOOKUP($A635,#REF!,7,FALSE)&gt;2,HLOOKUP($A635,#REF!,7,FALSE)&lt;-2),"",#REF!),"")</f>
        <v/>
      </c>
      <c r="J635" t="str">
        <f>IFERROR(IF(OR(HLOOKUP($A635,#REF!,8,FALSE)&gt;2,HLOOKUP($A635,#REF!,8,FALSE)&lt;-2),"",#REF!),"")</f>
        <v/>
      </c>
      <c r="K635" t="str">
        <f>IFERROR(IF(OR(HLOOKUP($A635,#REF!,9,FALSE)&gt;2,HLOOKUP($A635,#REF!,9,FALSE)&lt;-2),"",#REF!),"")</f>
        <v/>
      </c>
      <c r="L635" t="str">
        <f>IFERROR(IF(OR(HLOOKUP($A635,#REF!,10,FALSE)&gt;2,HLOOKUP($A635,#REF!,10,FALSE)&lt;-2),"",#REF!),"")</f>
        <v/>
      </c>
      <c r="M635" t="str">
        <f>IFERROR(IF(OR(HLOOKUP($A635,#REF!,11,FALSE)&gt;2,HLOOKUP($A635,#REF!,11,FALSE)&lt;-2),"",#REF!),"")</f>
        <v/>
      </c>
      <c r="N635" t="str">
        <f>IFERROR(IF(OR(HLOOKUP($A635,#REF!,12,FALSE)&gt;2,HLOOKUP($A635,#REF!,12,FALSE)&lt;-2),"",#REF!),"")</f>
        <v/>
      </c>
      <c r="O635" t="str">
        <f>IFERROR(IF(OR(HLOOKUP($A635,#REF!,13,FALSE)&gt;2,HLOOKUP($A635,#REF!,13,FALSE)&lt;-2),"",#REF!),"")</f>
        <v/>
      </c>
      <c r="P635" t="str">
        <f>IFERROR(IF(OR(HLOOKUP($A635,#REF!,14,FALSE)&gt;2,HLOOKUP($A635,#REF!,14,FALSE)&lt;-2),"",#REF!),"")</f>
        <v/>
      </c>
      <c r="Q635" t="str">
        <f>IFERROR(IF(OR(HLOOKUP($A635,#REF!,15,FALSE)&gt;2,HLOOKUP($A635,#REF!,15,FALSE)&lt;-2),"",#REF!),"")</f>
        <v/>
      </c>
      <c r="R635" t="str">
        <f>IFERROR(IF(OR(HLOOKUP($A635,#REF!,16,FALSE)&gt;2,HLOOKUP($A635,#REF!,16,FALSE)&lt;-2),"",#REF!),"")</f>
        <v/>
      </c>
      <c r="S635" t="str">
        <f>IFERROR(IF(OR(HLOOKUP($A635,#REF!,17,FALSE)&gt;2,HLOOKUP($A635,#REF!,17,FALSE)&lt;-2),"",#REF!),"")</f>
        <v/>
      </c>
      <c r="T635" t="str">
        <f>IFERROR(IF(OR(HLOOKUP($A635,#REF!,18,FALSE)&gt;2,HLOOKUP($A635,#REF!,18,FALSE)&lt;-2),"",#REF!),"")</f>
        <v/>
      </c>
      <c r="U635" t="str">
        <f>IFERROR(IF(OR(HLOOKUP($A635,#REF!,19,FALSE)&gt;2,HLOOKUP($A635,#REF!,19,FALSE)&lt;-2),"",#REF!),"")</f>
        <v/>
      </c>
      <c r="V635">
        <f t="shared" si="36"/>
        <v>1</v>
      </c>
      <c r="W635" t="str">
        <f t="shared" si="37"/>
        <v/>
      </c>
      <c r="X635" t="str">
        <f t="shared" si="38"/>
        <v/>
      </c>
      <c r="Y635" t="str">
        <f t="shared" si="39"/>
        <v/>
      </c>
    </row>
    <row r="636" spans="1:25" x14ac:dyDescent="0.35">
      <c r="A636">
        <v>644</v>
      </c>
      <c r="B636" t="s">
        <v>924</v>
      </c>
      <c r="C636">
        <v>1300</v>
      </c>
      <c r="D636">
        <v>500</v>
      </c>
      <c r="E636" t="str">
        <f>IFERROR(IF(OR(HLOOKUP($A636,#REF!,3,FALSE)&gt;2,HLOOKUP(A636,#REF!,3,FALSE)&lt;-2),"",#REF!),"")</f>
        <v/>
      </c>
      <c r="F636" t="str">
        <f>IFERROR(IF(OR(HLOOKUP($A636,#REF!,4,FALSE)&gt;2,HLOOKUP($A636,#REF!,4,FALSE)&lt;-2),"",#REF!),"")</f>
        <v/>
      </c>
      <c r="G636" t="str">
        <f>IFERROR(IF(OR(HLOOKUP($A636,#REF!,5,FALSE)&gt;2,HLOOKUP($A636,#REF!,5,FALSE)&lt;-2),"",#REF!),"")</f>
        <v/>
      </c>
      <c r="H636" t="str">
        <f>IFERROR(IF(OR(HLOOKUP($A636,#REF!,6,FALSE)&gt;2,HLOOKUP($A636,#REF!,6,FALSE)&lt;-2),"",#REF!),"")</f>
        <v/>
      </c>
      <c r="I636" t="str">
        <f>IFERROR(IF(OR(HLOOKUP($A636,#REF!,7,FALSE)&gt;2,HLOOKUP($A636,#REF!,7,FALSE)&lt;-2),"",#REF!),"")</f>
        <v/>
      </c>
      <c r="J636" t="str">
        <f>IFERROR(IF(OR(HLOOKUP($A636,#REF!,8,FALSE)&gt;2,HLOOKUP($A636,#REF!,8,FALSE)&lt;-2),"",#REF!),"")</f>
        <v/>
      </c>
      <c r="K636" t="str">
        <f>IFERROR(IF(OR(HLOOKUP($A636,#REF!,9,FALSE)&gt;2,HLOOKUP($A636,#REF!,9,FALSE)&lt;-2),"",#REF!),"")</f>
        <v/>
      </c>
      <c r="L636" t="str">
        <f>IFERROR(IF(OR(HLOOKUP($A636,#REF!,10,FALSE)&gt;2,HLOOKUP($A636,#REF!,10,FALSE)&lt;-2),"",#REF!),"")</f>
        <v/>
      </c>
      <c r="M636" t="str">
        <f>IFERROR(IF(OR(HLOOKUP($A636,#REF!,11,FALSE)&gt;2,HLOOKUP($A636,#REF!,11,FALSE)&lt;-2),"",#REF!),"")</f>
        <v/>
      </c>
      <c r="N636" t="str">
        <f>IFERROR(IF(OR(HLOOKUP($A636,#REF!,12,FALSE)&gt;2,HLOOKUP($A636,#REF!,12,FALSE)&lt;-2),"",#REF!),"")</f>
        <v/>
      </c>
      <c r="O636" t="str">
        <f>IFERROR(IF(OR(HLOOKUP($A636,#REF!,13,FALSE)&gt;2,HLOOKUP($A636,#REF!,13,FALSE)&lt;-2),"",#REF!),"")</f>
        <v/>
      </c>
      <c r="P636" t="str">
        <f>IFERROR(IF(OR(HLOOKUP($A636,#REF!,14,FALSE)&gt;2,HLOOKUP($A636,#REF!,14,FALSE)&lt;-2),"",#REF!),"")</f>
        <v/>
      </c>
      <c r="Q636" t="str">
        <f>IFERROR(IF(OR(HLOOKUP($A636,#REF!,15,FALSE)&gt;2,HLOOKUP($A636,#REF!,15,FALSE)&lt;-2),"",#REF!),"")</f>
        <v/>
      </c>
      <c r="R636" t="str">
        <f>IFERROR(IF(OR(HLOOKUP($A636,#REF!,16,FALSE)&gt;2,HLOOKUP($A636,#REF!,16,FALSE)&lt;-2),"",#REF!),"")</f>
        <v/>
      </c>
      <c r="S636" t="str">
        <f>IFERROR(IF(OR(HLOOKUP($A636,#REF!,17,FALSE)&gt;2,HLOOKUP($A636,#REF!,17,FALSE)&lt;-2),"",#REF!),"")</f>
        <v/>
      </c>
      <c r="T636" t="str">
        <f>IFERROR(IF(OR(HLOOKUP($A636,#REF!,18,FALSE)&gt;2,HLOOKUP($A636,#REF!,18,FALSE)&lt;-2),"",#REF!),"")</f>
        <v/>
      </c>
      <c r="U636" t="str">
        <f>IFERROR(IF(OR(HLOOKUP($A636,#REF!,19,FALSE)&gt;2,HLOOKUP($A636,#REF!,19,FALSE)&lt;-2),"",#REF!),"")</f>
        <v/>
      </c>
      <c r="V636">
        <f t="shared" si="36"/>
        <v>1</v>
      </c>
      <c r="W636" t="str">
        <f t="shared" si="37"/>
        <v/>
      </c>
      <c r="X636" t="str">
        <f t="shared" si="38"/>
        <v/>
      </c>
      <c r="Y636" t="str">
        <f t="shared" si="39"/>
        <v/>
      </c>
    </row>
    <row r="637" spans="1:25" x14ac:dyDescent="0.35">
      <c r="A637">
        <v>645</v>
      </c>
      <c r="B637" t="s">
        <v>925</v>
      </c>
      <c r="C637">
        <v>54900</v>
      </c>
      <c r="D637">
        <v>528</v>
      </c>
      <c r="E637" t="str">
        <f>IFERROR(IF(OR(HLOOKUP($A637,#REF!,3,FALSE)&gt;2,HLOOKUP(A637,#REF!,3,FALSE)&lt;-2),"",#REF!),"")</f>
        <v/>
      </c>
      <c r="F637" t="str">
        <f>IFERROR(IF(OR(HLOOKUP($A637,#REF!,4,FALSE)&gt;2,HLOOKUP($A637,#REF!,4,FALSE)&lt;-2),"",#REF!),"")</f>
        <v/>
      </c>
      <c r="G637" t="str">
        <f>IFERROR(IF(OR(HLOOKUP($A637,#REF!,5,FALSE)&gt;2,HLOOKUP($A637,#REF!,5,FALSE)&lt;-2),"",#REF!),"")</f>
        <v/>
      </c>
      <c r="H637" t="str">
        <f>IFERROR(IF(OR(HLOOKUP($A637,#REF!,6,FALSE)&gt;2,HLOOKUP($A637,#REF!,6,FALSE)&lt;-2),"",#REF!),"")</f>
        <v/>
      </c>
      <c r="I637" t="str">
        <f>IFERROR(IF(OR(HLOOKUP($A637,#REF!,7,FALSE)&gt;2,HLOOKUP($A637,#REF!,7,FALSE)&lt;-2),"",#REF!),"")</f>
        <v/>
      </c>
      <c r="J637" t="str">
        <f>IFERROR(IF(OR(HLOOKUP($A637,#REF!,8,FALSE)&gt;2,HLOOKUP($A637,#REF!,8,FALSE)&lt;-2),"",#REF!),"")</f>
        <v/>
      </c>
      <c r="K637" t="str">
        <f>IFERROR(IF(OR(HLOOKUP($A637,#REF!,9,FALSE)&gt;2,HLOOKUP($A637,#REF!,9,FALSE)&lt;-2),"",#REF!),"")</f>
        <v/>
      </c>
      <c r="L637" t="str">
        <f>IFERROR(IF(OR(HLOOKUP($A637,#REF!,10,FALSE)&gt;2,HLOOKUP($A637,#REF!,10,FALSE)&lt;-2),"",#REF!),"")</f>
        <v/>
      </c>
      <c r="M637" t="str">
        <f>IFERROR(IF(OR(HLOOKUP($A637,#REF!,11,FALSE)&gt;2,HLOOKUP($A637,#REF!,11,FALSE)&lt;-2),"",#REF!),"")</f>
        <v/>
      </c>
      <c r="N637" t="str">
        <f>IFERROR(IF(OR(HLOOKUP($A637,#REF!,12,FALSE)&gt;2,HLOOKUP($A637,#REF!,12,FALSE)&lt;-2),"",#REF!),"")</f>
        <v/>
      </c>
      <c r="O637" t="str">
        <f>IFERROR(IF(OR(HLOOKUP($A637,#REF!,13,FALSE)&gt;2,HLOOKUP($A637,#REF!,13,FALSE)&lt;-2),"",#REF!),"")</f>
        <v/>
      </c>
      <c r="P637" t="str">
        <f>IFERROR(IF(OR(HLOOKUP($A637,#REF!,14,FALSE)&gt;2,HLOOKUP($A637,#REF!,14,FALSE)&lt;-2),"",#REF!),"")</f>
        <v/>
      </c>
      <c r="Q637" t="str">
        <f>IFERROR(IF(OR(HLOOKUP($A637,#REF!,15,FALSE)&gt;2,HLOOKUP($A637,#REF!,15,FALSE)&lt;-2),"",#REF!),"")</f>
        <v/>
      </c>
      <c r="R637" t="str">
        <f>IFERROR(IF(OR(HLOOKUP($A637,#REF!,16,FALSE)&gt;2,HLOOKUP($A637,#REF!,16,FALSE)&lt;-2),"",#REF!),"")</f>
        <v/>
      </c>
      <c r="S637" t="str">
        <f>IFERROR(IF(OR(HLOOKUP($A637,#REF!,17,FALSE)&gt;2,HLOOKUP($A637,#REF!,17,FALSE)&lt;-2),"",#REF!),"")</f>
        <v/>
      </c>
      <c r="T637" t="str">
        <f>IFERROR(IF(OR(HLOOKUP($A637,#REF!,18,FALSE)&gt;2,HLOOKUP($A637,#REF!,18,FALSE)&lt;-2),"",#REF!),"")</f>
        <v/>
      </c>
      <c r="U637" t="str">
        <f>IFERROR(IF(OR(HLOOKUP($A637,#REF!,19,FALSE)&gt;2,HLOOKUP($A637,#REF!,19,FALSE)&lt;-2),"",#REF!),"")</f>
        <v/>
      </c>
      <c r="V637">
        <f t="shared" si="36"/>
        <v>1</v>
      </c>
      <c r="W637" t="str">
        <f t="shared" si="37"/>
        <v/>
      </c>
      <c r="X637" t="str">
        <f t="shared" si="38"/>
        <v/>
      </c>
      <c r="Y637" t="str">
        <f t="shared" si="39"/>
        <v/>
      </c>
    </row>
    <row r="638" spans="1:25" x14ac:dyDescent="0.35">
      <c r="A638">
        <v>646</v>
      </c>
      <c r="B638" t="s">
        <v>926</v>
      </c>
      <c r="C638">
        <v>33400</v>
      </c>
      <c r="D638">
        <v>814</v>
      </c>
      <c r="E638" t="str">
        <f>IFERROR(IF(OR(HLOOKUP($A638,#REF!,3,FALSE)&gt;2,HLOOKUP(A638,#REF!,3,FALSE)&lt;-2),"",#REF!),"")</f>
        <v/>
      </c>
      <c r="F638" t="str">
        <f>IFERROR(IF(OR(HLOOKUP($A638,#REF!,4,FALSE)&gt;2,HLOOKUP($A638,#REF!,4,FALSE)&lt;-2),"",#REF!),"")</f>
        <v/>
      </c>
      <c r="G638" t="str">
        <f>IFERROR(IF(OR(HLOOKUP($A638,#REF!,5,FALSE)&gt;2,HLOOKUP($A638,#REF!,5,FALSE)&lt;-2),"",#REF!),"")</f>
        <v/>
      </c>
      <c r="H638" t="str">
        <f>IFERROR(IF(OR(HLOOKUP($A638,#REF!,6,FALSE)&gt;2,HLOOKUP($A638,#REF!,6,FALSE)&lt;-2),"",#REF!),"")</f>
        <v/>
      </c>
      <c r="I638" t="str">
        <f>IFERROR(IF(OR(HLOOKUP($A638,#REF!,7,FALSE)&gt;2,HLOOKUP($A638,#REF!,7,FALSE)&lt;-2),"",#REF!),"")</f>
        <v/>
      </c>
      <c r="J638" t="str">
        <f>IFERROR(IF(OR(HLOOKUP($A638,#REF!,8,FALSE)&gt;2,HLOOKUP($A638,#REF!,8,FALSE)&lt;-2),"",#REF!),"")</f>
        <v/>
      </c>
      <c r="K638" t="str">
        <f>IFERROR(IF(OR(HLOOKUP($A638,#REF!,9,FALSE)&gt;2,HLOOKUP($A638,#REF!,9,FALSE)&lt;-2),"",#REF!),"")</f>
        <v/>
      </c>
      <c r="L638" t="str">
        <f>IFERROR(IF(OR(HLOOKUP($A638,#REF!,10,FALSE)&gt;2,HLOOKUP($A638,#REF!,10,FALSE)&lt;-2),"",#REF!),"")</f>
        <v/>
      </c>
      <c r="M638" t="str">
        <f>IFERROR(IF(OR(HLOOKUP($A638,#REF!,11,FALSE)&gt;2,HLOOKUP($A638,#REF!,11,FALSE)&lt;-2),"",#REF!),"")</f>
        <v/>
      </c>
      <c r="N638" t="str">
        <f>IFERROR(IF(OR(HLOOKUP($A638,#REF!,12,FALSE)&gt;2,HLOOKUP($A638,#REF!,12,FALSE)&lt;-2),"",#REF!),"")</f>
        <v/>
      </c>
      <c r="O638" t="str">
        <f>IFERROR(IF(OR(HLOOKUP($A638,#REF!,13,FALSE)&gt;2,HLOOKUP($A638,#REF!,13,FALSE)&lt;-2),"",#REF!),"")</f>
        <v/>
      </c>
      <c r="P638" t="str">
        <f>IFERROR(IF(OR(HLOOKUP($A638,#REF!,14,FALSE)&gt;2,HLOOKUP($A638,#REF!,14,FALSE)&lt;-2),"",#REF!),"")</f>
        <v/>
      </c>
      <c r="Q638" t="str">
        <f>IFERROR(IF(OR(HLOOKUP($A638,#REF!,15,FALSE)&gt;2,HLOOKUP($A638,#REF!,15,FALSE)&lt;-2),"",#REF!),"")</f>
        <v/>
      </c>
      <c r="R638" t="str">
        <f>IFERROR(IF(OR(HLOOKUP($A638,#REF!,16,FALSE)&gt;2,HLOOKUP($A638,#REF!,16,FALSE)&lt;-2),"",#REF!),"")</f>
        <v/>
      </c>
      <c r="S638" t="str">
        <f>IFERROR(IF(OR(HLOOKUP($A638,#REF!,17,FALSE)&gt;2,HLOOKUP($A638,#REF!,17,FALSE)&lt;-2),"",#REF!),"")</f>
        <v/>
      </c>
      <c r="T638" t="str">
        <f>IFERROR(IF(OR(HLOOKUP($A638,#REF!,18,FALSE)&gt;2,HLOOKUP($A638,#REF!,18,FALSE)&lt;-2),"",#REF!),"")</f>
        <v/>
      </c>
      <c r="U638" t="str">
        <f>IFERROR(IF(OR(HLOOKUP($A638,#REF!,19,FALSE)&gt;2,HLOOKUP($A638,#REF!,19,FALSE)&lt;-2),"",#REF!),"")</f>
        <v/>
      </c>
      <c r="V638">
        <f t="shared" si="36"/>
        <v>1</v>
      </c>
      <c r="W638" t="str">
        <f t="shared" si="37"/>
        <v/>
      </c>
      <c r="X638" t="str">
        <f t="shared" si="38"/>
        <v/>
      </c>
      <c r="Y638" t="str">
        <f t="shared" si="39"/>
        <v/>
      </c>
    </row>
    <row r="639" spans="1:25" x14ac:dyDescent="0.35">
      <c r="A639">
        <v>647</v>
      </c>
      <c r="B639" t="s">
        <v>315</v>
      </c>
      <c r="C639">
        <v>35100</v>
      </c>
      <c r="D639">
        <v>631</v>
      </c>
      <c r="E639" t="str">
        <f>IFERROR(IF(OR(HLOOKUP($A639,#REF!,3,FALSE)&gt;2,HLOOKUP(A639,#REF!,3,FALSE)&lt;-2),"",#REF!),"")</f>
        <v/>
      </c>
      <c r="F639" t="str">
        <f>IFERROR(IF(OR(HLOOKUP($A639,#REF!,4,FALSE)&gt;2,HLOOKUP($A639,#REF!,4,FALSE)&lt;-2),"",#REF!),"")</f>
        <v/>
      </c>
      <c r="G639" t="str">
        <f>IFERROR(IF(OR(HLOOKUP($A639,#REF!,5,FALSE)&gt;2,HLOOKUP($A639,#REF!,5,FALSE)&lt;-2),"",#REF!),"")</f>
        <v/>
      </c>
      <c r="H639" t="str">
        <f>IFERROR(IF(OR(HLOOKUP($A639,#REF!,6,FALSE)&gt;2,HLOOKUP($A639,#REF!,6,FALSE)&lt;-2),"",#REF!),"")</f>
        <v/>
      </c>
      <c r="I639" t="str">
        <f>IFERROR(IF(OR(HLOOKUP($A639,#REF!,7,FALSE)&gt;2,HLOOKUP($A639,#REF!,7,FALSE)&lt;-2),"",#REF!),"")</f>
        <v/>
      </c>
      <c r="J639" t="str">
        <f>IFERROR(IF(OR(HLOOKUP($A639,#REF!,8,FALSE)&gt;2,HLOOKUP($A639,#REF!,8,FALSE)&lt;-2),"",#REF!),"")</f>
        <v/>
      </c>
      <c r="K639" t="str">
        <f>IFERROR(IF(OR(HLOOKUP($A639,#REF!,9,FALSE)&gt;2,HLOOKUP($A639,#REF!,9,FALSE)&lt;-2),"",#REF!),"")</f>
        <v/>
      </c>
      <c r="L639" t="str">
        <f>IFERROR(IF(OR(HLOOKUP($A639,#REF!,10,FALSE)&gt;2,HLOOKUP($A639,#REF!,10,FALSE)&lt;-2),"",#REF!),"")</f>
        <v/>
      </c>
      <c r="M639" t="str">
        <f>IFERROR(IF(OR(HLOOKUP($A639,#REF!,11,FALSE)&gt;2,HLOOKUP($A639,#REF!,11,FALSE)&lt;-2),"",#REF!),"")</f>
        <v/>
      </c>
      <c r="N639" t="str">
        <f>IFERROR(IF(OR(HLOOKUP($A639,#REF!,12,FALSE)&gt;2,HLOOKUP($A639,#REF!,12,FALSE)&lt;-2),"",#REF!),"")</f>
        <v/>
      </c>
      <c r="O639" t="str">
        <f>IFERROR(IF(OR(HLOOKUP($A639,#REF!,13,FALSE)&gt;2,HLOOKUP($A639,#REF!,13,FALSE)&lt;-2),"",#REF!),"")</f>
        <v/>
      </c>
      <c r="P639" t="str">
        <f>IFERROR(IF(OR(HLOOKUP($A639,#REF!,14,FALSE)&gt;2,HLOOKUP($A639,#REF!,14,FALSE)&lt;-2),"",#REF!),"")</f>
        <v/>
      </c>
      <c r="Q639" t="str">
        <f>IFERROR(IF(OR(HLOOKUP($A639,#REF!,15,FALSE)&gt;2,HLOOKUP($A639,#REF!,15,FALSE)&lt;-2),"",#REF!),"")</f>
        <v/>
      </c>
      <c r="R639" t="str">
        <f>IFERROR(IF(OR(HLOOKUP($A639,#REF!,16,FALSE)&gt;2,HLOOKUP($A639,#REF!,16,FALSE)&lt;-2),"",#REF!),"")</f>
        <v/>
      </c>
      <c r="S639" t="str">
        <f>IFERROR(IF(OR(HLOOKUP($A639,#REF!,17,FALSE)&gt;2,HLOOKUP($A639,#REF!,17,FALSE)&lt;-2),"",#REF!),"")</f>
        <v/>
      </c>
      <c r="T639" t="str">
        <f>IFERROR(IF(OR(HLOOKUP($A639,#REF!,18,FALSE)&gt;2,HLOOKUP($A639,#REF!,18,FALSE)&lt;-2),"",#REF!),"")</f>
        <v/>
      </c>
      <c r="U639" t="str">
        <f>IFERROR(IF(OR(HLOOKUP($A639,#REF!,19,FALSE)&gt;2,HLOOKUP($A639,#REF!,19,FALSE)&lt;-2),"",#REF!),"")</f>
        <v/>
      </c>
      <c r="V639">
        <f t="shared" si="36"/>
        <v>1</v>
      </c>
      <c r="W639" t="str">
        <f t="shared" si="37"/>
        <v/>
      </c>
      <c r="X639" t="str">
        <f t="shared" si="38"/>
        <v/>
      </c>
      <c r="Y639" t="str">
        <f t="shared" si="39"/>
        <v/>
      </c>
    </row>
    <row r="640" spans="1:25" x14ac:dyDescent="0.35">
      <c r="A640">
        <v>648</v>
      </c>
      <c r="B640" t="s">
        <v>316</v>
      </c>
      <c r="C640">
        <v>1800</v>
      </c>
      <c r="D640">
        <v>985</v>
      </c>
      <c r="E640" t="str">
        <f>IFERROR(IF(OR(HLOOKUP($A640,#REF!,3,FALSE)&gt;2,HLOOKUP(A640,#REF!,3,FALSE)&lt;-2),"",#REF!),"")</f>
        <v/>
      </c>
      <c r="F640" t="str">
        <f>IFERROR(IF(OR(HLOOKUP($A640,#REF!,4,FALSE)&gt;2,HLOOKUP($A640,#REF!,4,FALSE)&lt;-2),"",#REF!),"")</f>
        <v/>
      </c>
      <c r="G640" t="str">
        <f>IFERROR(IF(OR(HLOOKUP($A640,#REF!,5,FALSE)&gt;2,HLOOKUP($A640,#REF!,5,FALSE)&lt;-2),"",#REF!),"")</f>
        <v/>
      </c>
      <c r="H640" t="str">
        <f>IFERROR(IF(OR(HLOOKUP($A640,#REF!,6,FALSE)&gt;2,HLOOKUP($A640,#REF!,6,FALSE)&lt;-2),"",#REF!),"")</f>
        <v/>
      </c>
      <c r="I640" t="str">
        <f>IFERROR(IF(OR(HLOOKUP($A640,#REF!,7,FALSE)&gt;2,HLOOKUP($A640,#REF!,7,FALSE)&lt;-2),"",#REF!),"")</f>
        <v/>
      </c>
      <c r="J640" t="str">
        <f>IFERROR(IF(OR(HLOOKUP($A640,#REF!,8,FALSE)&gt;2,HLOOKUP($A640,#REF!,8,FALSE)&lt;-2),"",#REF!),"")</f>
        <v/>
      </c>
      <c r="K640" t="str">
        <f>IFERROR(IF(OR(HLOOKUP($A640,#REF!,9,FALSE)&gt;2,HLOOKUP($A640,#REF!,9,FALSE)&lt;-2),"",#REF!),"")</f>
        <v/>
      </c>
      <c r="L640" t="str">
        <f>IFERROR(IF(OR(HLOOKUP($A640,#REF!,10,FALSE)&gt;2,HLOOKUP($A640,#REF!,10,FALSE)&lt;-2),"",#REF!),"")</f>
        <v/>
      </c>
      <c r="M640" t="str">
        <f>IFERROR(IF(OR(HLOOKUP($A640,#REF!,11,FALSE)&gt;2,HLOOKUP($A640,#REF!,11,FALSE)&lt;-2),"",#REF!),"")</f>
        <v/>
      </c>
      <c r="N640" t="str">
        <f>IFERROR(IF(OR(HLOOKUP($A640,#REF!,12,FALSE)&gt;2,HLOOKUP($A640,#REF!,12,FALSE)&lt;-2),"",#REF!),"")</f>
        <v/>
      </c>
      <c r="O640" t="str">
        <f>IFERROR(IF(OR(HLOOKUP($A640,#REF!,13,FALSE)&gt;2,HLOOKUP($A640,#REF!,13,FALSE)&lt;-2),"",#REF!),"")</f>
        <v/>
      </c>
      <c r="P640" t="str">
        <f>IFERROR(IF(OR(HLOOKUP($A640,#REF!,14,FALSE)&gt;2,HLOOKUP($A640,#REF!,14,FALSE)&lt;-2),"",#REF!),"")</f>
        <v/>
      </c>
      <c r="Q640" t="str">
        <f>IFERROR(IF(OR(HLOOKUP($A640,#REF!,15,FALSE)&gt;2,HLOOKUP($A640,#REF!,15,FALSE)&lt;-2),"",#REF!),"")</f>
        <v/>
      </c>
      <c r="R640" t="str">
        <f>IFERROR(IF(OR(HLOOKUP($A640,#REF!,16,FALSE)&gt;2,HLOOKUP($A640,#REF!,16,FALSE)&lt;-2),"",#REF!),"")</f>
        <v/>
      </c>
      <c r="S640" t="str">
        <f>IFERROR(IF(OR(HLOOKUP($A640,#REF!,17,FALSE)&gt;2,HLOOKUP($A640,#REF!,17,FALSE)&lt;-2),"",#REF!),"")</f>
        <v/>
      </c>
      <c r="T640" t="str">
        <f>IFERROR(IF(OR(HLOOKUP($A640,#REF!,18,FALSE)&gt;2,HLOOKUP($A640,#REF!,18,FALSE)&lt;-2),"",#REF!),"")</f>
        <v/>
      </c>
      <c r="U640" t="str">
        <f>IFERROR(IF(OR(HLOOKUP($A640,#REF!,19,FALSE)&gt;2,HLOOKUP($A640,#REF!,19,FALSE)&lt;-2),"",#REF!),"")</f>
        <v/>
      </c>
      <c r="V640">
        <f t="shared" si="36"/>
        <v>1</v>
      </c>
      <c r="W640" t="str">
        <f t="shared" si="37"/>
        <v/>
      </c>
      <c r="X640" t="str">
        <f t="shared" si="38"/>
        <v/>
      </c>
      <c r="Y640" t="str">
        <f t="shared" si="39"/>
        <v/>
      </c>
    </row>
    <row r="641" spans="1:25" x14ac:dyDescent="0.35">
      <c r="A641">
        <v>649</v>
      </c>
      <c r="B641" t="s">
        <v>317</v>
      </c>
      <c r="C641">
        <v>14700</v>
      </c>
      <c r="D641">
        <v>402</v>
      </c>
      <c r="E641" t="str">
        <f>IFERROR(IF(OR(HLOOKUP($A641,#REF!,3,FALSE)&gt;2,HLOOKUP(A641,#REF!,3,FALSE)&lt;-2),"",#REF!),"")</f>
        <v/>
      </c>
      <c r="F641" t="str">
        <f>IFERROR(IF(OR(HLOOKUP($A641,#REF!,4,FALSE)&gt;2,HLOOKUP($A641,#REF!,4,FALSE)&lt;-2),"",#REF!),"")</f>
        <v/>
      </c>
      <c r="G641" t="str">
        <f>IFERROR(IF(OR(HLOOKUP($A641,#REF!,5,FALSE)&gt;2,HLOOKUP($A641,#REF!,5,FALSE)&lt;-2),"",#REF!),"")</f>
        <v/>
      </c>
      <c r="H641" t="str">
        <f>IFERROR(IF(OR(HLOOKUP($A641,#REF!,6,FALSE)&gt;2,HLOOKUP($A641,#REF!,6,FALSE)&lt;-2),"",#REF!),"")</f>
        <v/>
      </c>
      <c r="I641" t="str">
        <f>IFERROR(IF(OR(HLOOKUP($A641,#REF!,7,FALSE)&gt;2,HLOOKUP($A641,#REF!,7,FALSE)&lt;-2),"",#REF!),"")</f>
        <v/>
      </c>
      <c r="J641" t="str">
        <f>IFERROR(IF(OR(HLOOKUP($A641,#REF!,8,FALSE)&gt;2,HLOOKUP($A641,#REF!,8,FALSE)&lt;-2),"",#REF!),"")</f>
        <v/>
      </c>
      <c r="K641" t="str">
        <f>IFERROR(IF(OR(HLOOKUP($A641,#REF!,9,FALSE)&gt;2,HLOOKUP($A641,#REF!,9,FALSE)&lt;-2),"",#REF!),"")</f>
        <v/>
      </c>
      <c r="L641" t="str">
        <f>IFERROR(IF(OR(HLOOKUP($A641,#REF!,10,FALSE)&gt;2,HLOOKUP($A641,#REF!,10,FALSE)&lt;-2),"",#REF!),"")</f>
        <v/>
      </c>
      <c r="M641" t="str">
        <f>IFERROR(IF(OR(HLOOKUP($A641,#REF!,11,FALSE)&gt;2,HLOOKUP($A641,#REF!,11,FALSE)&lt;-2),"",#REF!),"")</f>
        <v/>
      </c>
      <c r="N641" t="str">
        <f>IFERROR(IF(OR(HLOOKUP($A641,#REF!,12,FALSE)&gt;2,HLOOKUP($A641,#REF!,12,FALSE)&lt;-2),"",#REF!),"")</f>
        <v/>
      </c>
      <c r="O641" t="str">
        <f>IFERROR(IF(OR(HLOOKUP($A641,#REF!,13,FALSE)&gt;2,HLOOKUP($A641,#REF!,13,FALSE)&lt;-2),"",#REF!),"")</f>
        <v/>
      </c>
      <c r="P641" t="str">
        <f>IFERROR(IF(OR(HLOOKUP($A641,#REF!,14,FALSE)&gt;2,HLOOKUP($A641,#REF!,14,FALSE)&lt;-2),"",#REF!),"")</f>
        <v/>
      </c>
      <c r="Q641" t="str">
        <f>IFERROR(IF(OR(HLOOKUP($A641,#REF!,15,FALSE)&gt;2,HLOOKUP($A641,#REF!,15,FALSE)&lt;-2),"",#REF!),"")</f>
        <v/>
      </c>
      <c r="R641" t="str">
        <f>IFERROR(IF(OR(HLOOKUP($A641,#REF!,16,FALSE)&gt;2,HLOOKUP($A641,#REF!,16,FALSE)&lt;-2),"",#REF!),"")</f>
        <v/>
      </c>
      <c r="S641" t="str">
        <f>IFERROR(IF(OR(HLOOKUP($A641,#REF!,17,FALSE)&gt;2,HLOOKUP($A641,#REF!,17,FALSE)&lt;-2),"",#REF!),"")</f>
        <v/>
      </c>
      <c r="T641" t="str">
        <f>IFERROR(IF(OR(HLOOKUP($A641,#REF!,18,FALSE)&gt;2,HLOOKUP($A641,#REF!,18,FALSE)&lt;-2),"",#REF!),"")</f>
        <v/>
      </c>
      <c r="U641" t="str">
        <f>IFERROR(IF(OR(HLOOKUP($A641,#REF!,19,FALSE)&gt;2,HLOOKUP($A641,#REF!,19,FALSE)&lt;-2),"",#REF!),"")</f>
        <v/>
      </c>
      <c r="V641">
        <f t="shared" si="36"/>
        <v>1</v>
      </c>
      <c r="W641" t="str">
        <f t="shared" si="37"/>
        <v/>
      </c>
      <c r="X641" t="str">
        <f t="shared" si="38"/>
        <v/>
      </c>
      <c r="Y641" t="str">
        <f t="shared" si="39"/>
        <v/>
      </c>
    </row>
    <row r="642" spans="1:25" x14ac:dyDescent="0.35">
      <c r="A642">
        <v>650</v>
      </c>
      <c r="B642" t="s">
        <v>927</v>
      </c>
      <c r="C642">
        <v>105400</v>
      </c>
      <c r="D642">
        <v>1123</v>
      </c>
      <c r="E642" t="str">
        <f>IFERROR(IF(OR(HLOOKUP($A642,#REF!,3,FALSE)&gt;2,HLOOKUP(A642,#REF!,3,FALSE)&lt;-2),"",#REF!),"")</f>
        <v/>
      </c>
      <c r="F642" t="str">
        <f>IFERROR(IF(OR(HLOOKUP($A642,#REF!,4,FALSE)&gt;2,HLOOKUP($A642,#REF!,4,FALSE)&lt;-2),"",#REF!),"")</f>
        <v/>
      </c>
      <c r="G642" t="str">
        <f>IFERROR(IF(OR(HLOOKUP($A642,#REF!,5,FALSE)&gt;2,HLOOKUP($A642,#REF!,5,FALSE)&lt;-2),"",#REF!),"")</f>
        <v/>
      </c>
      <c r="H642" t="str">
        <f>IFERROR(IF(OR(HLOOKUP($A642,#REF!,6,FALSE)&gt;2,HLOOKUP($A642,#REF!,6,FALSE)&lt;-2),"",#REF!),"")</f>
        <v/>
      </c>
      <c r="I642" t="str">
        <f>IFERROR(IF(OR(HLOOKUP($A642,#REF!,7,FALSE)&gt;2,HLOOKUP($A642,#REF!,7,FALSE)&lt;-2),"",#REF!),"")</f>
        <v/>
      </c>
      <c r="J642" t="str">
        <f>IFERROR(IF(OR(HLOOKUP($A642,#REF!,8,FALSE)&gt;2,HLOOKUP($A642,#REF!,8,FALSE)&lt;-2),"",#REF!),"")</f>
        <v/>
      </c>
      <c r="K642" t="str">
        <f>IFERROR(IF(OR(HLOOKUP($A642,#REF!,9,FALSE)&gt;2,HLOOKUP($A642,#REF!,9,FALSE)&lt;-2),"",#REF!),"")</f>
        <v/>
      </c>
      <c r="L642" t="str">
        <f>IFERROR(IF(OR(HLOOKUP($A642,#REF!,10,FALSE)&gt;2,HLOOKUP($A642,#REF!,10,FALSE)&lt;-2),"",#REF!),"")</f>
        <v/>
      </c>
      <c r="M642" t="str">
        <f>IFERROR(IF(OR(HLOOKUP($A642,#REF!,11,FALSE)&gt;2,HLOOKUP($A642,#REF!,11,FALSE)&lt;-2),"",#REF!),"")</f>
        <v/>
      </c>
      <c r="N642" t="str">
        <f>IFERROR(IF(OR(HLOOKUP($A642,#REF!,12,FALSE)&gt;2,HLOOKUP($A642,#REF!,12,FALSE)&lt;-2),"",#REF!),"")</f>
        <v/>
      </c>
      <c r="O642" t="str">
        <f>IFERROR(IF(OR(HLOOKUP($A642,#REF!,13,FALSE)&gt;2,HLOOKUP($A642,#REF!,13,FALSE)&lt;-2),"",#REF!),"")</f>
        <v/>
      </c>
      <c r="P642" t="str">
        <f>IFERROR(IF(OR(HLOOKUP($A642,#REF!,14,FALSE)&gt;2,HLOOKUP($A642,#REF!,14,FALSE)&lt;-2),"",#REF!),"")</f>
        <v/>
      </c>
      <c r="Q642" t="str">
        <f>IFERROR(IF(OR(HLOOKUP($A642,#REF!,15,FALSE)&gt;2,HLOOKUP($A642,#REF!,15,FALSE)&lt;-2),"",#REF!),"")</f>
        <v/>
      </c>
      <c r="R642" t="str">
        <f>IFERROR(IF(OR(HLOOKUP($A642,#REF!,16,FALSE)&gt;2,HLOOKUP($A642,#REF!,16,FALSE)&lt;-2),"",#REF!),"")</f>
        <v/>
      </c>
      <c r="S642" t="str">
        <f>IFERROR(IF(OR(HLOOKUP($A642,#REF!,17,FALSE)&gt;2,HLOOKUP($A642,#REF!,17,FALSE)&lt;-2),"",#REF!),"")</f>
        <v/>
      </c>
      <c r="T642" t="str">
        <f>IFERROR(IF(OR(HLOOKUP($A642,#REF!,18,FALSE)&gt;2,HLOOKUP($A642,#REF!,18,FALSE)&lt;-2),"",#REF!),"")</f>
        <v/>
      </c>
      <c r="U642" t="str">
        <f>IFERROR(IF(OR(HLOOKUP($A642,#REF!,19,FALSE)&gt;2,HLOOKUP($A642,#REF!,19,FALSE)&lt;-2),"",#REF!),"")</f>
        <v/>
      </c>
      <c r="V642">
        <f t="shared" si="36"/>
        <v>1</v>
      </c>
      <c r="W642" t="str">
        <f t="shared" si="37"/>
        <v/>
      </c>
      <c r="X642" t="str">
        <f t="shared" si="38"/>
        <v/>
      </c>
      <c r="Y642" t="str">
        <f t="shared" si="39"/>
        <v/>
      </c>
    </row>
    <row r="643" spans="1:25" x14ac:dyDescent="0.35">
      <c r="A643">
        <v>651</v>
      </c>
      <c r="B643" t="s">
        <v>318</v>
      </c>
      <c r="C643">
        <v>90700</v>
      </c>
      <c r="D643">
        <v>386</v>
      </c>
      <c r="E643" t="str">
        <f>IFERROR(IF(OR(HLOOKUP($A643,#REF!,3,FALSE)&gt;2,HLOOKUP(A643,#REF!,3,FALSE)&lt;-2),"",#REF!),"")</f>
        <v/>
      </c>
      <c r="F643" t="str">
        <f>IFERROR(IF(OR(HLOOKUP($A643,#REF!,4,FALSE)&gt;2,HLOOKUP($A643,#REF!,4,FALSE)&lt;-2),"",#REF!),"")</f>
        <v/>
      </c>
      <c r="G643" t="str">
        <f>IFERROR(IF(OR(HLOOKUP($A643,#REF!,5,FALSE)&gt;2,HLOOKUP($A643,#REF!,5,FALSE)&lt;-2),"",#REF!),"")</f>
        <v/>
      </c>
      <c r="H643" t="str">
        <f>IFERROR(IF(OR(HLOOKUP($A643,#REF!,6,FALSE)&gt;2,HLOOKUP($A643,#REF!,6,FALSE)&lt;-2),"",#REF!),"")</f>
        <v/>
      </c>
      <c r="I643" t="str">
        <f>IFERROR(IF(OR(HLOOKUP($A643,#REF!,7,FALSE)&gt;2,HLOOKUP($A643,#REF!,7,FALSE)&lt;-2),"",#REF!),"")</f>
        <v/>
      </c>
      <c r="J643" t="str">
        <f>IFERROR(IF(OR(HLOOKUP($A643,#REF!,8,FALSE)&gt;2,HLOOKUP($A643,#REF!,8,FALSE)&lt;-2),"",#REF!),"")</f>
        <v/>
      </c>
      <c r="K643" t="str">
        <f>IFERROR(IF(OR(HLOOKUP($A643,#REF!,9,FALSE)&gt;2,HLOOKUP($A643,#REF!,9,FALSE)&lt;-2),"",#REF!),"")</f>
        <v/>
      </c>
      <c r="L643" t="str">
        <f>IFERROR(IF(OR(HLOOKUP($A643,#REF!,10,FALSE)&gt;2,HLOOKUP($A643,#REF!,10,FALSE)&lt;-2),"",#REF!),"")</f>
        <v/>
      </c>
      <c r="M643" t="str">
        <f>IFERROR(IF(OR(HLOOKUP($A643,#REF!,11,FALSE)&gt;2,HLOOKUP($A643,#REF!,11,FALSE)&lt;-2),"",#REF!),"")</f>
        <v/>
      </c>
      <c r="N643" t="str">
        <f>IFERROR(IF(OR(HLOOKUP($A643,#REF!,12,FALSE)&gt;2,HLOOKUP($A643,#REF!,12,FALSE)&lt;-2),"",#REF!),"")</f>
        <v/>
      </c>
      <c r="O643" t="str">
        <f>IFERROR(IF(OR(HLOOKUP($A643,#REF!,13,FALSE)&gt;2,HLOOKUP($A643,#REF!,13,FALSE)&lt;-2),"",#REF!),"")</f>
        <v/>
      </c>
      <c r="P643" t="str">
        <f>IFERROR(IF(OR(HLOOKUP($A643,#REF!,14,FALSE)&gt;2,HLOOKUP($A643,#REF!,14,FALSE)&lt;-2),"",#REF!),"")</f>
        <v/>
      </c>
      <c r="Q643" t="str">
        <f>IFERROR(IF(OR(HLOOKUP($A643,#REF!,15,FALSE)&gt;2,HLOOKUP($A643,#REF!,15,FALSE)&lt;-2),"",#REF!),"")</f>
        <v/>
      </c>
      <c r="R643" t="str">
        <f>IFERROR(IF(OR(HLOOKUP($A643,#REF!,16,FALSE)&gt;2,HLOOKUP($A643,#REF!,16,FALSE)&lt;-2),"",#REF!),"")</f>
        <v/>
      </c>
      <c r="S643" t="str">
        <f>IFERROR(IF(OR(HLOOKUP($A643,#REF!,17,FALSE)&gt;2,HLOOKUP($A643,#REF!,17,FALSE)&lt;-2),"",#REF!),"")</f>
        <v/>
      </c>
      <c r="T643" t="str">
        <f>IFERROR(IF(OR(HLOOKUP($A643,#REF!,18,FALSE)&gt;2,HLOOKUP($A643,#REF!,18,FALSE)&lt;-2),"",#REF!),"")</f>
        <v/>
      </c>
      <c r="U643" t="str">
        <f>IFERROR(IF(OR(HLOOKUP($A643,#REF!,19,FALSE)&gt;2,HLOOKUP($A643,#REF!,19,FALSE)&lt;-2),"",#REF!),"")</f>
        <v/>
      </c>
      <c r="V643">
        <f t="shared" si="36"/>
        <v>1</v>
      </c>
      <c r="W643" t="str">
        <f t="shared" si="37"/>
        <v/>
      </c>
      <c r="X643" t="str">
        <f t="shared" si="38"/>
        <v/>
      </c>
      <c r="Y643" t="str">
        <f t="shared" si="39"/>
        <v/>
      </c>
    </row>
    <row r="644" spans="1:25" x14ac:dyDescent="0.35">
      <c r="A644">
        <v>652</v>
      </c>
      <c r="B644" t="s">
        <v>928</v>
      </c>
      <c r="C644">
        <v>71000</v>
      </c>
      <c r="D644">
        <v>103</v>
      </c>
      <c r="E644" t="str">
        <f>IFERROR(IF(OR(HLOOKUP($A644,#REF!,3,FALSE)&gt;2,HLOOKUP(A644,#REF!,3,FALSE)&lt;-2),"",#REF!),"")</f>
        <v/>
      </c>
      <c r="F644" t="str">
        <f>IFERROR(IF(OR(HLOOKUP($A644,#REF!,4,FALSE)&gt;2,HLOOKUP($A644,#REF!,4,FALSE)&lt;-2),"",#REF!),"")</f>
        <v/>
      </c>
      <c r="G644" t="str">
        <f>IFERROR(IF(OR(HLOOKUP($A644,#REF!,5,FALSE)&gt;2,HLOOKUP($A644,#REF!,5,FALSE)&lt;-2),"",#REF!),"")</f>
        <v/>
      </c>
      <c r="H644" t="str">
        <f>IFERROR(IF(OR(HLOOKUP($A644,#REF!,6,FALSE)&gt;2,HLOOKUP($A644,#REF!,6,FALSE)&lt;-2),"",#REF!),"")</f>
        <v/>
      </c>
      <c r="I644" t="str">
        <f>IFERROR(IF(OR(HLOOKUP($A644,#REF!,7,FALSE)&gt;2,HLOOKUP($A644,#REF!,7,FALSE)&lt;-2),"",#REF!),"")</f>
        <v/>
      </c>
      <c r="J644" t="str">
        <f>IFERROR(IF(OR(HLOOKUP($A644,#REF!,8,FALSE)&gt;2,HLOOKUP($A644,#REF!,8,FALSE)&lt;-2),"",#REF!),"")</f>
        <v/>
      </c>
      <c r="K644" t="str">
        <f>IFERROR(IF(OR(HLOOKUP($A644,#REF!,9,FALSE)&gt;2,HLOOKUP($A644,#REF!,9,FALSE)&lt;-2),"",#REF!),"")</f>
        <v/>
      </c>
      <c r="L644" t="str">
        <f>IFERROR(IF(OR(HLOOKUP($A644,#REF!,10,FALSE)&gt;2,HLOOKUP($A644,#REF!,10,FALSE)&lt;-2),"",#REF!),"")</f>
        <v/>
      </c>
      <c r="M644" t="str">
        <f>IFERROR(IF(OR(HLOOKUP($A644,#REF!,11,FALSE)&gt;2,HLOOKUP($A644,#REF!,11,FALSE)&lt;-2),"",#REF!),"")</f>
        <v/>
      </c>
      <c r="N644" t="str">
        <f>IFERROR(IF(OR(HLOOKUP($A644,#REF!,12,FALSE)&gt;2,HLOOKUP($A644,#REF!,12,FALSE)&lt;-2),"",#REF!),"")</f>
        <v/>
      </c>
      <c r="O644" t="str">
        <f>IFERROR(IF(OR(HLOOKUP($A644,#REF!,13,FALSE)&gt;2,HLOOKUP($A644,#REF!,13,FALSE)&lt;-2),"",#REF!),"")</f>
        <v/>
      </c>
      <c r="P644" t="str">
        <f>IFERROR(IF(OR(HLOOKUP($A644,#REF!,14,FALSE)&gt;2,HLOOKUP($A644,#REF!,14,FALSE)&lt;-2),"",#REF!),"")</f>
        <v/>
      </c>
      <c r="Q644" t="str">
        <f>IFERROR(IF(OR(HLOOKUP($A644,#REF!,15,FALSE)&gt;2,HLOOKUP($A644,#REF!,15,FALSE)&lt;-2),"",#REF!),"")</f>
        <v/>
      </c>
      <c r="R644" t="str">
        <f>IFERROR(IF(OR(HLOOKUP($A644,#REF!,16,FALSE)&gt;2,HLOOKUP($A644,#REF!,16,FALSE)&lt;-2),"",#REF!),"")</f>
        <v/>
      </c>
      <c r="S644" t="str">
        <f>IFERROR(IF(OR(HLOOKUP($A644,#REF!,17,FALSE)&gt;2,HLOOKUP($A644,#REF!,17,FALSE)&lt;-2),"",#REF!),"")</f>
        <v/>
      </c>
      <c r="T644" t="str">
        <f>IFERROR(IF(OR(HLOOKUP($A644,#REF!,18,FALSE)&gt;2,HLOOKUP($A644,#REF!,18,FALSE)&lt;-2),"",#REF!),"")</f>
        <v/>
      </c>
      <c r="U644" t="str">
        <f>IFERROR(IF(OR(HLOOKUP($A644,#REF!,19,FALSE)&gt;2,HLOOKUP($A644,#REF!,19,FALSE)&lt;-2),"",#REF!),"")</f>
        <v/>
      </c>
      <c r="V644">
        <f t="shared" ref="V644:V707" si="40">IFERROR(IF(AND(X644=0,Y644=0),0,1),0)</f>
        <v>1</v>
      </c>
      <c r="W644" t="str">
        <f t="shared" ref="W644:W707" si="41">IFERROR(_xlfn.T.TEST(E644:M644,N644:U644,2,2),"")</f>
        <v/>
      </c>
      <c r="X644" t="str">
        <f t="shared" ref="X644:X707" si="42">IFERROR(AVERAGE(E644:M644),"")</f>
        <v/>
      </c>
      <c r="Y644" t="str">
        <f t="shared" ref="Y644:Y707" si="43">IFERROR(AVERAGE(N644:U644),"")</f>
        <v/>
      </c>
    </row>
    <row r="645" spans="1:25" x14ac:dyDescent="0.35">
      <c r="A645">
        <v>653</v>
      </c>
      <c r="B645" t="s">
        <v>319</v>
      </c>
      <c r="C645">
        <v>92300</v>
      </c>
      <c r="D645">
        <v>370</v>
      </c>
      <c r="E645" t="str">
        <f>IFERROR(IF(OR(HLOOKUP($A645,#REF!,3,FALSE)&gt;2,HLOOKUP(A645,#REF!,3,FALSE)&lt;-2),"",#REF!),"")</f>
        <v/>
      </c>
      <c r="F645" t="str">
        <f>IFERROR(IF(OR(HLOOKUP($A645,#REF!,4,FALSE)&gt;2,HLOOKUP($A645,#REF!,4,FALSE)&lt;-2),"",#REF!),"")</f>
        <v/>
      </c>
      <c r="G645" t="str">
        <f>IFERROR(IF(OR(HLOOKUP($A645,#REF!,5,FALSE)&gt;2,HLOOKUP($A645,#REF!,5,FALSE)&lt;-2),"",#REF!),"")</f>
        <v/>
      </c>
      <c r="H645" t="str">
        <f>IFERROR(IF(OR(HLOOKUP($A645,#REF!,6,FALSE)&gt;2,HLOOKUP($A645,#REF!,6,FALSE)&lt;-2),"",#REF!),"")</f>
        <v/>
      </c>
      <c r="I645" t="str">
        <f>IFERROR(IF(OR(HLOOKUP($A645,#REF!,7,FALSE)&gt;2,HLOOKUP($A645,#REF!,7,FALSE)&lt;-2),"",#REF!),"")</f>
        <v/>
      </c>
      <c r="J645" t="str">
        <f>IFERROR(IF(OR(HLOOKUP($A645,#REF!,8,FALSE)&gt;2,HLOOKUP($A645,#REF!,8,FALSE)&lt;-2),"",#REF!),"")</f>
        <v/>
      </c>
      <c r="K645" t="str">
        <f>IFERROR(IF(OR(HLOOKUP($A645,#REF!,9,FALSE)&gt;2,HLOOKUP($A645,#REF!,9,FALSE)&lt;-2),"",#REF!),"")</f>
        <v/>
      </c>
      <c r="L645" t="str">
        <f>IFERROR(IF(OR(HLOOKUP($A645,#REF!,10,FALSE)&gt;2,HLOOKUP($A645,#REF!,10,FALSE)&lt;-2),"",#REF!),"")</f>
        <v/>
      </c>
      <c r="M645" t="str">
        <f>IFERROR(IF(OR(HLOOKUP($A645,#REF!,11,FALSE)&gt;2,HLOOKUP($A645,#REF!,11,FALSE)&lt;-2),"",#REF!),"")</f>
        <v/>
      </c>
      <c r="N645" t="str">
        <f>IFERROR(IF(OR(HLOOKUP($A645,#REF!,12,FALSE)&gt;2,HLOOKUP($A645,#REF!,12,FALSE)&lt;-2),"",#REF!),"")</f>
        <v/>
      </c>
      <c r="O645" t="str">
        <f>IFERROR(IF(OR(HLOOKUP($A645,#REF!,13,FALSE)&gt;2,HLOOKUP($A645,#REF!,13,FALSE)&lt;-2),"",#REF!),"")</f>
        <v/>
      </c>
      <c r="P645" t="str">
        <f>IFERROR(IF(OR(HLOOKUP($A645,#REF!,14,FALSE)&gt;2,HLOOKUP($A645,#REF!,14,FALSE)&lt;-2),"",#REF!),"")</f>
        <v/>
      </c>
      <c r="Q645" t="str">
        <f>IFERROR(IF(OR(HLOOKUP($A645,#REF!,15,FALSE)&gt;2,HLOOKUP($A645,#REF!,15,FALSE)&lt;-2),"",#REF!),"")</f>
        <v/>
      </c>
      <c r="R645" t="str">
        <f>IFERROR(IF(OR(HLOOKUP($A645,#REF!,16,FALSE)&gt;2,HLOOKUP($A645,#REF!,16,FALSE)&lt;-2),"",#REF!),"")</f>
        <v/>
      </c>
      <c r="S645" t="str">
        <f>IFERROR(IF(OR(HLOOKUP($A645,#REF!,17,FALSE)&gt;2,HLOOKUP($A645,#REF!,17,FALSE)&lt;-2),"",#REF!),"")</f>
        <v/>
      </c>
      <c r="T645" t="str">
        <f>IFERROR(IF(OR(HLOOKUP($A645,#REF!,18,FALSE)&gt;2,HLOOKUP($A645,#REF!,18,FALSE)&lt;-2),"",#REF!),"")</f>
        <v/>
      </c>
      <c r="U645" t="str">
        <f>IFERROR(IF(OR(HLOOKUP($A645,#REF!,19,FALSE)&gt;2,HLOOKUP($A645,#REF!,19,FALSE)&lt;-2),"",#REF!),"")</f>
        <v/>
      </c>
      <c r="V645">
        <f t="shared" si="40"/>
        <v>1</v>
      </c>
      <c r="W645" t="str">
        <f t="shared" si="41"/>
        <v/>
      </c>
      <c r="X645" t="str">
        <f t="shared" si="42"/>
        <v/>
      </c>
      <c r="Y645" t="str">
        <f t="shared" si="43"/>
        <v/>
      </c>
    </row>
    <row r="646" spans="1:25" x14ac:dyDescent="0.35">
      <c r="A646">
        <v>654</v>
      </c>
      <c r="B646" t="s">
        <v>320</v>
      </c>
      <c r="C646">
        <v>3800</v>
      </c>
      <c r="D646">
        <v>353</v>
      </c>
      <c r="E646" t="str">
        <f>IFERROR(IF(OR(HLOOKUP($A646,#REF!,3,FALSE)&gt;2,HLOOKUP(A646,#REF!,3,FALSE)&lt;-2),"",#REF!),"")</f>
        <v/>
      </c>
      <c r="F646" t="str">
        <f>IFERROR(IF(OR(HLOOKUP($A646,#REF!,4,FALSE)&gt;2,HLOOKUP($A646,#REF!,4,FALSE)&lt;-2),"",#REF!),"")</f>
        <v/>
      </c>
      <c r="G646" t="str">
        <f>IFERROR(IF(OR(HLOOKUP($A646,#REF!,5,FALSE)&gt;2,HLOOKUP($A646,#REF!,5,FALSE)&lt;-2),"",#REF!),"")</f>
        <v/>
      </c>
      <c r="H646" t="str">
        <f>IFERROR(IF(OR(HLOOKUP($A646,#REF!,6,FALSE)&gt;2,HLOOKUP($A646,#REF!,6,FALSE)&lt;-2),"",#REF!),"")</f>
        <v/>
      </c>
      <c r="I646" t="str">
        <f>IFERROR(IF(OR(HLOOKUP($A646,#REF!,7,FALSE)&gt;2,HLOOKUP($A646,#REF!,7,FALSE)&lt;-2),"",#REF!),"")</f>
        <v/>
      </c>
      <c r="J646" t="str">
        <f>IFERROR(IF(OR(HLOOKUP($A646,#REF!,8,FALSE)&gt;2,HLOOKUP($A646,#REF!,8,FALSE)&lt;-2),"",#REF!),"")</f>
        <v/>
      </c>
      <c r="K646" t="str">
        <f>IFERROR(IF(OR(HLOOKUP($A646,#REF!,9,FALSE)&gt;2,HLOOKUP($A646,#REF!,9,FALSE)&lt;-2),"",#REF!),"")</f>
        <v/>
      </c>
      <c r="L646" t="str">
        <f>IFERROR(IF(OR(HLOOKUP($A646,#REF!,10,FALSE)&gt;2,HLOOKUP($A646,#REF!,10,FALSE)&lt;-2),"",#REF!),"")</f>
        <v/>
      </c>
      <c r="M646" t="str">
        <f>IFERROR(IF(OR(HLOOKUP($A646,#REF!,11,FALSE)&gt;2,HLOOKUP($A646,#REF!,11,FALSE)&lt;-2),"",#REF!),"")</f>
        <v/>
      </c>
      <c r="N646" t="str">
        <f>IFERROR(IF(OR(HLOOKUP($A646,#REF!,12,FALSE)&gt;2,HLOOKUP($A646,#REF!,12,FALSE)&lt;-2),"",#REF!),"")</f>
        <v/>
      </c>
      <c r="O646" t="str">
        <f>IFERROR(IF(OR(HLOOKUP($A646,#REF!,13,FALSE)&gt;2,HLOOKUP($A646,#REF!,13,FALSE)&lt;-2),"",#REF!),"")</f>
        <v/>
      </c>
      <c r="P646" t="str">
        <f>IFERROR(IF(OR(HLOOKUP($A646,#REF!,14,FALSE)&gt;2,HLOOKUP($A646,#REF!,14,FALSE)&lt;-2),"",#REF!),"")</f>
        <v/>
      </c>
      <c r="Q646" t="str">
        <f>IFERROR(IF(OR(HLOOKUP($A646,#REF!,15,FALSE)&gt;2,HLOOKUP($A646,#REF!,15,FALSE)&lt;-2),"",#REF!),"")</f>
        <v/>
      </c>
      <c r="R646" t="str">
        <f>IFERROR(IF(OR(HLOOKUP($A646,#REF!,16,FALSE)&gt;2,HLOOKUP($A646,#REF!,16,FALSE)&lt;-2),"",#REF!),"")</f>
        <v/>
      </c>
      <c r="S646" t="str">
        <f>IFERROR(IF(OR(HLOOKUP($A646,#REF!,17,FALSE)&gt;2,HLOOKUP($A646,#REF!,17,FALSE)&lt;-2),"",#REF!),"")</f>
        <v/>
      </c>
      <c r="T646" t="str">
        <f>IFERROR(IF(OR(HLOOKUP($A646,#REF!,18,FALSE)&gt;2,HLOOKUP($A646,#REF!,18,FALSE)&lt;-2),"",#REF!),"")</f>
        <v/>
      </c>
      <c r="U646" t="str">
        <f>IFERROR(IF(OR(HLOOKUP($A646,#REF!,19,FALSE)&gt;2,HLOOKUP($A646,#REF!,19,FALSE)&lt;-2),"",#REF!),"")</f>
        <v/>
      </c>
      <c r="V646">
        <f t="shared" si="40"/>
        <v>1</v>
      </c>
      <c r="W646" t="str">
        <f t="shared" si="41"/>
        <v/>
      </c>
      <c r="X646" t="str">
        <f t="shared" si="42"/>
        <v/>
      </c>
      <c r="Y646" t="str">
        <f t="shared" si="43"/>
        <v/>
      </c>
    </row>
    <row r="647" spans="1:25" x14ac:dyDescent="0.35">
      <c r="A647">
        <v>655</v>
      </c>
      <c r="B647" t="s">
        <v>929</v>
      </c>
      <c r="C647">
        <v>35200</v>
      </c>
      <c r="D647">
        <v>647</v>
      </c>
      <c r="E647" t="str">
        <f>IFERROR(IF(OR(HLOOKUP($A647,#REF!,3,FALSE)&gt;2,HLOOKUP(A647,#REF!,3,FALSE)&lt;-2),"",#REF!),"")</f>
        <v/>
      </c>
      <c r="F647" t="str">
        <f>IFERROR(IF(OR(HLOOKUP($A647,#REF!,4,FALSE)&gt;2,HLOOKUP($A647,#REF!,4,FALSE)&lt;-2),"",#REF!),"")</f>
        <v/>
      </c>
      <c r="G647" t="str">
        <f>IFERROR(IF(OR(HLOOKUP($A647,#REF!,5,FALSE)&gt;2,HLOOKUP($A647,#REF!,5,FALSE)&lt;-2),"",#REF!),"")</f>
        <v/>
      </c>
      <c r="H647" t="str">
        <f>IFERROR(IF(OR(HLOOKUP($A647,#REF!,6,FALSE)&gt;2,HLOOKUP($A647,#REF!,6,FALSE)&lt;-2),"",#REF!),"")</f>
        <v/>
      </c>
      <c r="I647" t="str">
        <f>IFERROR(IF(OR(HLOOKUP($A647,#REF!,7,FALSE)&gt;2,HLOOKUP($A647,#REF!,7,FALSE)&lt;-2),"",#REF!),"")</f>
        <v/>
      </c>
      <c r="J647" t="str">
        <f>IFERROR(IF(OR(HLOOKUP($A647,#REF!,8,FALSE)&gt;2,HLOOKUP($A647,#REF!,8,FALSE)&lt;-2),"",#REF!),"")</f>
        <v/>
      </c>
      <c r="K647" t="str">
        <f>IFERROR(IF(OR(HLOOKUP($A647,#REF!,9,FALSE)&gt;2,HLOOKUP($A647,#REF!,9,FALSE)&lt;-2),"",#REF!),"")</f>
        <v/>
      </c>
      <c r="L647" t="str">
        <f>IFERROR(IF(OR(HLOOKUP($A647,#REF!,10,FALSE)&gt;2,HLOOKUP($A647,#REF!,10,FALSE)&lt;-2),"",#REF!),"")</f>
        <v/>
      </c>
      <c r="M647" t="str">
        <f>IFERROR(IF(OR(HLOOKUP($A647,#REF!,11,FALSE)&gt;2,HLOOKUP($A647,#REF!,11,FALSE)&lt;-2),"",#REF!),"")</f>
        <v/>
      </c>
      <c r="N647" t="str">
        <f>IFERROR(IF(OR(HLOOKUP($A647,#REF!,12,FALSE)&gt;2,HLOOKUP($A647,#REF!,12,FALSE)&lt;-2),"",#REF!),"")</f>
        <v/>
      </c>
      <c r="O647" t="str">
        <f>IFERROR(IF(OR(HLOOKUP($A647,#REF!,13,FALSE)&gt;2,HLOOKUP($A647,#REF!,13,FALSE)&lt;-2),"",#REF!),"")</f>
        <v/>
      </c>
      <c r="P647" t="str">
        <f>IFERROR(IF(OR(HLOOKUP($A647,#REF!,14,FALSE)&gt;2,HLOOKUP($A647,#REF!,14,FALSE)&lt;-2),"",#REF!),"")</f>
        <v/>
      </c>
      <c r="Q647" t="str">
        <f>IFERROR(IF(OR(HLOOKUP($A647,#REF!,15,FALSE)&gt;2,HLOOKUP($A647,#REF!,15,FALSE)&lt;-2),"",#REF!),"")</f>
        <v/>
      </c>
      <c r="R647" t="str">
        <f>IFERROR(IF(OR(HLOOKUP($A647,#REF!,16,FALSE)&gt;2,HLOOKUP($A647,#REF!,16,FALSE)&lt;-2),"",#REF!),"")</f>
        <v/>
      </c>
      <c r="S647" t="str">
        <f>IFERROR(IF(OR(HLOOKUP($A647,#REF!,17,FALSE)&gt;2,HLOOKUP($A647,#REF!,17,FALSE)&lt;-2),"",#REF!),"")</f>
        <v/>
      </c>
      <c r="T647" t="str">
        <f>IFERROR(IF(OR(HLOOKUP($A647,#REF!,18,FALSE)&gt;2,HLOOKUP($A647,#REF!,18,FALSE)&lt;-2),"",#REF!),"")</f>
        <v/>
      </c>
      <c r="U647" t="str">
        <f>IFERROR(IF(OR(HLOOKUP($A647,#REF!,19,FALSE)&gt;2,HLOOKUP($A647,#REF!,19,FALSE)&lt;-2),"",#REF!),"")</f>
        <v/>
      </c>
      <c r="V647">
        <f t="shared" si="40"/>
        <v>1</v>
      </c>
      <c r="W647" t="str">
        <f t="shared" si="41"/>
        <v/>
      </c>
      <c r="X647" t="str">
        <f t="shared" si="42"/>
        <v/>
      </c>
      <c r="Y647" t="str">
        <f t="shared" si="43"/>
        <v/>
      </c>
    </row>
    <row r="648" spans="1:25" x14ac:dyDescent="0.35">
      <c r="A648">
        <v>656</v>
      </c>
      <c r="B648" t="s">
        <v>321</v>
      </c>
      <c r="C648">
        <v>2200</v>
      </c>
      <c r="D648">
        <v>993</v>
      </c>
      <c r="E648" t="str">
        <f>IFERROR(IF(OR(HLOOKUP($A648,#REF!,3,FALSE)&gt;2,HLOOKUP(A648,#REF!,3,FALSE)&lt;-2),"",#REF!),"")</f>
        <v/>
      </c>
      <c r="F648" t="str">
        <f>IFERROR(IF(OR(HLOOKUP($A648,#REF!,4,FALSE)&gt;2,HLOOKUP($A648,#REF!,4,FALSE)&lt;-2),"",#REF!),"")</f>
        <v/>
      </c>
      <c r="G648" t="str">
        <f>IFERROR(IF(OR(HLOOKUP($A648,#REF!,5,FALSE)&gt;2,HLOOKUP($A648,#REF!,5,FALSE)&lt;-2),"",#REF!),"")</f>
        <v/>
      </c>
      <c r="H648" t="str">
        <f>IFERROR(IF(OR(HLOOKUP($A648,#REF!,6,FALSE)&gt;2,HLOOKUP($A648,#REF!,6,FALSE)&lt;-2),"",#REF!),"")</f>
        <v/>
      </c>
      <c r="I648" t="str">
        <f>IFERROR(IF(OR(HLOOKUP($A648,#REF!,7,FALSE)&gt;2,HLOOKUP($A648,#REF!,7,FALSE)&lt;-2),"",#REF!),"")</f>
        <v/>
      </c>
      <c r="J648" t="str">
        <f>IFERROR(IF(OR(HLOOKUP($A648,#REF!,8,FALSE)&gt;2,HLOOKUP($A648,#REF!,8,FALSE)&lt;-2),"",#REF!),"")</f>
        <v/>
      </c>
      <c r="K648" t="str">
        <f>IFERROR(IF(OR(HLOOKUP($A648,#REF!,9,FALSE)&gt;2,HLOOKUP($A648,#REF!,9,FALSE)&lt;-2),"",#REF!),"")</f>
        <v/>
      </c>
      <c r="L648" t="str">
        <f>IFERROR(IF(OR(HLOOKUP($A648,#REF!,10,FALSE)&gt;2,HLOOKUP($A648,#REF!,10,FALSE)&lt;-2),"",#REF!),"")</f>
        <v/>
      </c>
      <c r="M648" t="str">
        <f>IFERROR(IF(OR(HLOOKUP($A648,#REF!,11,FALSE)&gt;2,HLOOKUP($A648,#REF!,11,FALSE)&lt;-2),"",#REF!),"")</f>
        <v/>
      </c>
      <c r="N648" t="str">
        <f>IFERROR(IF(OR(HLOOKUP($A648,#REF!,12,FALSE)&gt;2,HLOOKUP($A648,#REF!,12,FALSE)&lt;-2),"",#REF!),"")</f>
        <v/>
      </c>
      <c r="O648" t="str">
        <f>IFERROR(IF(OR(HLOOKUP($A648,#REF!,13,FALSE)&gt;2,HLOOKUP($A648,#REF!,13,FALSE)&lt;-2),"",#REF!),"")</f>
        <v/>
      </c>
      <c r="P648" t="str">
        <f>IFERROR(IF(OR(HLOOKUP($A648,#REF!,14,FALSE)&gt;2,HLOOKUP($A648,#REF!,14,FALSE)&lt;-2),"",#REF!),"")</f>
        <v/>
      </c>
      <c r="Q648" t="str">
        <f>IFERROR(IF(OR(HLOOKUP($A648,#REF!,15,FALSE)&gt;2,HLOOKUP($A648,#REF!,15,FALSE)&lt;-2),"",#REF!),"")</f>
        <v/>
      </c>
      <c r="R648" t="str">
        <f>IFERROR(IF(OR(HLOOKUP($A648,#REF!,16,FALSE)&gt;2,HLOOKUP($A648,#REF!,16,FALSE)&lt;-2),"",#REF!),"")</f>
        <v/>
      </c>
      <c r="S648" t="str">
        <f>IFERROR(IF(OR(HLOOKUP($A648,#REF!,17,FALSE)&gt;2,HLOOKUP($A648,#REF!,17,FALSE)&lt;-2),"",#REF!),"")</f>
        <v/>
      </c>
      <c r="T648" t="str">
        <f>IFERROR(IF(OR(HLOOKUP($A648,#REF!,18,FALSE)&gt;2,HLOOKUP($A648,#REF!,18,FALSE)&lt;-2),"",#REF!),"")</f>
        <v/>
      </c>
      <c r="U648" t="str">
        <f>IFERROR(IF(OR(HLOOKUP($A648,#REF!,19,FALSE)&gt;2,HLOOKUP($A648,#REF!,19,FALSE)&lt;-2),"",#REF!),"")</f>
        <v/>
      </c>
      <c r="V648">
        <f t="shared" si="40"/>
        <v>1</v>
      </c>
      <c r="W648" t="str">
        <f t="shared" si="41"/>
        <v/>
      </c>
      <c r="X648" t="str">
        <f t="shared" si="42"/>
        <v/>
      </c>
      <c r="Y648" t="str">
        <f t="shared" si="43"/>
        <v/>
      </c>
    </row>
    <row r="649" spans="1:25" x14ac:dyDescent="0.35">
      <c r="A649">
        <v>657</v>
      </c>
      <c r="B649" t="s">
        <v>322</v>
      </c>
      <c r="C649">
        <v>5800</v>
      </c>
      <c r="D649">
        <v>345</v>
      </c>
      <c r="E649" t="str">
        <f>IFERROR(IF(OR(HLOOKUP($A649,#REF!,3,FALSE)&gt;2,HLOOKUP(A649,#REF!,3,FALSE)&lt;-2),"",#REF!),"")</f>
        <v/>
      </c>
      <c r="F649" t="str">
        <f>IFERROR(IF(OR(HLOOKUP($A649,#REF!,4,FALSE)&gt;2,HLOOKUP($A649,#REF!,4,FALSE)&lt;-2),"",#REF!),"")</f>
        <v/>
      </c>
      <c r="G649" t="str">
        <f>IFERROR(IF(OR(HLOOKUP($A649,#REF!,5,FALSE)&gt;2,HLOOKUP($A649,#REF!,5,FALSE)&lt;-2),"",#REF!),"")</f>
        <v/>
      </c>
      <c r="H649" t="str">
        <f>IFERROR(IF(OR(HLOOKUP($A649,#REF!,6,FALSE)&gt;2,HLOOKUP($A649,#REF!,6,FALSE)&lt;-2),"",#REF!),"")</f>
        <v/>
      </c>
      <c r="I649" t="str">
        <f>IFERROR(IF(OR(HLOOKUP($A649,#REF!,7,FALSE)&gt;2,HLOOKUP($A649,#REF!,7,FALSE)&lt;-2),"",#REF!),"")</f>
        <v/>
      </c>
      <c r="J649" t="str">
        <f>IFERROR(IF(OR(HLOOKUP($A649,#REF!,8,FALSE)&gt;2,HLOOKUP($A649,#REF!,8,FALSE)&lt;-2),"",#REF!),"")</f>
        <v/>
      </c>
      <c r="K649" t="str">
        <f>IFERROR(IF(OR(HLOOKUP($A649,#REF!,9,FALSE)&gt;2,HLOOKUP($A649,#REF!,9,FALSE)&lt;-2),"",#REF!),"")</f>
        <v/>
      </c>
      <c r="L649" t="str">
        <f>IFERROR(IF(OR(HLOOKUP($A649,#REF!,10,FALSE)&gt;2,HLOOKUP($A649,#REF!,10,FALSE)&lt;-2),"",#REF!),"")</f>
        <v/>
      </c>
      <c r="M649" t="str">
        <f>IFERROR(IF(OR(HLOOKUP($A649,#REF!,11,FALSE)&gt;2,HLOOKUP($A649,#REF!,11,FALSE)&lt;-2),"",#REF!),"")</f>
        <v/>
      </c>
      <c r="N649" t="str">
        <f>IFERROR(IF(OR(HLOOKUP($A649,#REF!,12,FALSE)&gt;2,HLOOKUP($A649,#REF!,12,FALSE)&lt;-2),"",#REF!),"")</f>
        <v/>
      </c>
      <c r="O649" t="str">
        <f>IFERROR(IF(OR(HLOOKUP($A649,#REF!,13,FALSE)&gt;2,HLOOKUP($A649,#REF!,13,FALSE)&lt;-2),"",#REF!),"")</f>
        <v/>
      </c>
      <c r="P649" t="str">
        <f>IFERROR(IF(OR(HLOOKUP($A649,#REF!,14,FALSE)&gt;2,HLOOKUP($A649,#REF!,14,FALSE)&lt;-2),"",#REF!),"")</f>
        <v/>
      </c>
      <c r="Q649" t="str">
        <f>IFERROR(IF(OR(HLOOKUP($A649,#REF!,15,FALSE)&gt;2,HLOOKUP($A649,#REF!,15,FALSE)&lt;-2),"",#REF!),"")</f>
        <v/>
      </c>
      <c r="R649" t="str">
        <f>IFERROR(IF(OR(HLOOKUP($A649,#REF!,16,FALSE)&gt;2,HLOOKUP($A649,#REF!,16,FALSE)&lt;-2),"",#REF!),"")</f>
        <v/>
      </c>
      <c r="S649" t="str">
        <f>IFERROR(IF(OR(HLOOKUP($A649,#REF!,17,FALSE)&gt;2,HLOOKUP($A649,#REF!,17,FALSE)&lt;-2),"",#REF!),"")</f>
        <v/>
      </c>
      <c r="T649" t="str">
        <f>IFERROR(IF(OR(HLOOKUP($A649,#REF!,18,FALSE)&gt;2,HLOOKUP($A649,#REF!,18,FALSE)&lt;-2),"",#REF!),"")</f>
        <v/>
      </c>
      <c r="U649" t="str">
        <f>IFERROR(IF(OR(HLOOKUP($A649,#REF!,19,FALSE)&gt;2,HLOOKUP($A649,#REF!,19,FALSE)&lt;-2),"",#REF!),"")</f>
        <v/>
      </c>
      <c r="V649">
        <f t="shared" si="40"/>
        <v>1</v>
      </c>
      <c r="W649" t="str">
        <f t="shared" si="41"/>
        <v/>
      </c>
      <c r="X649" t="str">
        <f t="shared" si="42"/>
        <v/>
      </c>
      <c r="Y649" t="str">
        <f t="shared" si="43"/>
        <v/>
      </c>
    </row>
    <row r="650" spans="1:25" x14ac:dyDescent="0.35">
      <c r="A650">
        <v>658</v>
      </c>
      <c r="B650" t="s">
        <v>323</v>
      </c>
      <c r="C650">
        <v>101100</v>
      </c>
      <c r="D650">
        <v>948</v>
      </c>
      <c r="E650" t="str">
        <f>IFERROR(IF(OR(HLOOKUP($A650,#REF!,3,FALSE)&gt;2,HLOOKUP(A650,#REF!,3,FALSE)&lt;-2),"",#REF!),"")</f>
        <v/>
      </c>
      <c r="F650" t="str">
        <f>IFERROR(IF(OR(HLOOKUP($A650,#REF!,4,FALSE)&gt;2,HLOOKUP($A650,#REF!,4,FALSE)&lt;-2),"",#REF!),"")</f>
        <v/>
      </c>
      <c r="G650" t="str">
        <f>IFERROR(IF(OR(HLOOKUP($A650,#REF!,5,FALSE)&gt;2,HLOOKUP($A650,#REF!,5,FALSE)&lt;-2),"",#REF!),"")</f>
        <v/>
      </c>
      <c r="H650" t="str">
        <f>IFERROR(IF(OR(HLOOKUP($A650,#REF!,6,FALSE)&gt;2,HLOOKUP($A650,#REF!,6,FALSE)&lt;-2),"",#REF!),"")</f>
        <v/>
      </c>
      <c r="I650" t="str">
        <f>IFERROR(IF(OR(HLOOKUP($A650,#REF!,7,FALSE)&gt;2,HLOOKUP($A650,#REF!,7,FALSE)&lt;-2),"",#REF!),"")</f>
        <v/>
      </c>
      <c r="J650" t="str">
        <f>IFERROR(IF(OR(HLOOKUP($A650,#REF!,8,FALSE)&gt;2,HLOOKUP($A650,#REF!,8,FALSE)&lt;-2),"",#REF!),"")</f>
        <v/>
      </c>
      <c r="K650" t="str">
        <f>IFERROR(IF(OR(HLOOKUP($A650,#REF!,9,FALSE)&gt;2,HLOOKUP($A650,#REF!,9,FALSE)&lt;-2),"",#REF!),"")</f>
        <v/>
      </c>
      <c r="L650" t="str">
        <f>IFERROR(IF(OR(HLOOKUP($A650,#REF!,10,FALSE)&gt;2,HLOOKUP($A650,#REF!,10,FALSE)&lt;-2),"",#REF!),"")</f>
        <v/>
      </c>
      <c r="M650" t="str">
        <f>IFERROR(IF(OR(HLOOKUP($A650,#REF!,11,FALSE)&gt;2,HLOOKUP($A650,#REF!,11,FALSE)&lt;-2),"",#REF!),"")</f>
        <v/>
      </c>
      <c r="N650" t="str">
        <f>IFERROR(IF(OR(HLOOKUP($A650,#REF!,12,FALSE)&gt;2,HLOOKUP($A650,#REF!,12,FALSE)&lt;-2),"",#REF!),"")</f>
        <v/>
      </c>
      <c r="O650" t="str">
        <f>IFERROR(IF(OR(HLOOKUP($A650,#REF!,13,FALSE)&gt;2,HLOOKUP($A650,#REF!,13,FALSE)&lt;-2),"",#REF!),"")</f>
        <v/>
      </c>
      <c r="P650" t="str">
        <f>IFERROR(IF(OR(HLOOKUP($A650,#REF!,14,FALSE)&gt;2,HLOOKUP($A650,#REF!,14,FALSE)&lt;-2),"",#REF!),"")</f>
        <v/>
      </c>
      <c r="Q650" t="str">
        <f>IFERROR(IF(OR(HLOOKUP($A650,#REF!,15,FALSE)&gt;2,HLOOKUP($A650,#REF!,15,FALSE)&lt;-2),"",#REF!),"")</f>
        <v/>
      </c>
      <c r="R650" t="str">
        <f>IFERROR(IF(OR(HLOOKUP($A650,#REF!,16,FALSE)&gt;2,HLOOKUP($A650,#REF!,16,FALSE)&lt;-2),"",#REF!),"")</f>
        <v/>
      </c>
      <c r="S650" t="str">
        <f>IFERROR(IF(OR(HLOOKUP($A650,#REF!,17,FALSE)&gt;2,HLOOKUP($A650,#REF!,17,FALSE)&lt;-2),"",#REF!),"")</f>
        <v/>
      </c>
      <c r="T650" t="str">
        <f>IFERROR(IF(OR(HLOOKUP($A650,#REF!,18,FALSE)&gt;2,HLOOKUP($A650,#REF!,18,FALSE)&lt;-2),"",#REF!),"")</f>
        <v/>
      </c>
      <c r="U650" t="str">
        <f>IFERROR(IF(OR(HLOOKUP($A650,#REF!,19,FALSE)&gt;2,HLOOKUP($A650,#REF!,19,FALSE)&lt;-2),"",#REF!),"")</f>
        <v/>
      </c>
      <c r="V650">
        <f t="shared" si="40"/>
        <v>1</v>
      </c>
      <c r="W650" t="str">
        <f t="shared" si="41"/>
        <v/>
      </c>
      <c r="X650" t="str">
        <f t="shared" si="42"/>
        <v/>
      </c>
      <c r="Y650" t="str">
        <f t="shared" si="43"/>
        <v/>
      </c>
    </row>
    <row r="651" spans="1:25" x14ac:dyDescent="0.35">
      <c r="A651">
        <v>659</v>
      </c>
      <c r="B651" t="s">
        <v>930</v>
      </c>
      <c r="C651">
        <v>90800</v>
      </c>
      <c r="D651">
        <v>651</v>
      </c>
      <c r="E651" t="str">
        <f>IFERROR(IF(OR(HLOOKUP($A651,#REF!,3,FALSE)&gt;2,HLOOKUP(A651,#REF!,3,FALSE)&lt;-2),"",#REF!),"")</f>
        <v/>
      </c>
      <c r="F651" t="str">
        <f>IFERROR(IF(OR(HLOOKUP($A651,#REF!,4,FALSE)&gt;2,HLOOKUP($A651,#REF!,4,FALSE)&lt;-2),"",#REF!),"")</f>
        <v/>
      </c>
      <c r="G651" t="str">
        <f>IFERROR(IF(OR(HLOOKUP($A651,#REF!,5,FALSE)&gt;2,HLOOKUP($A651,#REF!,5,FALSE)&lt;-2),"",#REF!),"")</f>
        <v/>
      </c>
      <c r="H651" t="str">
        <f>IFERROR(IF(OR(HLOOKUP($A651,#REF!,6,FALSE)&gt;2,HLOOKUP($A651,#REF!,6,FALSE)&lt;-2),"",#REF!),"")</f>
        <v/>
      </c>
      <c r="I651" t="str">
        <f>IFERROR(IF(OR(HLOOKUP($A651,#REF!,7,FALSE)&gt;2,HLOOKUP($A651,#REF!,7,FALSE)&lt;-2),"",#REF!),"")</f>
        <v/>
      </c>
      <c r="J651" t="str">
        <f>IFERROR(IF(OR(HLOOKUP($A651,#REF!,8,FALSE)&gt;2,HLOOKUP($A651,#REF!,8,FALSE)&lt;-2),"",#REF!),"")</f>
        <v/>
      </c>
      <c r="K651" t="str">
        <f>IFERROR(IF(OR(HLOOKUP($A651,#REF!,9,FALSE)&gt;2,HLOOKUP($A651,#REF!,9,FALSE)&lt;-2),"",#REF!),"")</f>
        <v/>
      </c>
      <c r="L651" t="str">
        <f>IFERROR(IF(OR(HLOOKUP($A651,#REF!,10,FALSE)&gt;2,HLOOKUP($A651,#REF!,10,FALSE)&lt;-2),"",#REF!),"")</f>
        <v/>
      </c>
      <c r="M651" t="str">
        <f>IFERROR(IF(OR(HLOOKUP($A651,#REF!,11,FALSE)&gt;2,HLOOKUP($A651,#REF!,11,FALSE)&lt;-2),"",#REF!),"")</f>
        <v/>
      </c>
      <c r="N651" t="str">
        <f>IFERROR(IF(OR(HLOOKUP($A651,#REF!,12,FALSE)&gt;2,HLOOKUP($A651,#REF!,12,FALSE)&lt;-2),"",#REF!),"")</f>
        <v/>
      </c>
      <c r="O651" t="str">
        <f>IFERROR(IF(OR(HLOOKUP($A651,#REF!,13,FALSE)&gt;2,HLOOKUP($A651,#REF!,13,FALSE)&lt;-2),"",#REF!),"")</f>
        <v/>
      </c>
      <c r="P651" t="str">
        <f>IFERROR(IF(OR(HLOOKUP($A651,#REF!,14,FALSE)&gt;2,HLOOKUP($A651,#REF!,14,FALSE)&lt;-2),"",#REF!),"")</f>
        <v/>
      </c>
      <c r="Q651" t="str">
        <f>IFERROR(IF(OR(HLOOKUP($A651,#REF!,15,FALSE)&gt;2,HLOOKUP($A651,#REF!,15,FALSE)&lt;-2),"",#REF!),"")</f>
        <v/>
      </c>
      <c r="R651" t="str">
        <f>IFERROR(IF(OR(HLOOKUP($A651,#REF!,16,FALSE)&gt;2,HLOOKUP($A651,#REF!,16,FALSE)&lt;-2),"",#REF!),"")</f>
        <v/>
      </c>
      <c r="S651" t="str">
        <f>IFERROR(IF(OR(HLOOKUP($A651,#REF!,17,FALSE)&gt;2,HLOOKUP($A651,#REF!,17,FALSE)&lt;-2),"",#REF!),"")</f>
        <v/>
      </c>
      <c r="T651" t="str">
        <f>IFERROR(IF(OR(HLOOKUP($A651,#REF!,18,FALSE)&gt;2,HLOOKUP($A651,#REF!,18,FALSE)&lt;-2),"",#REF!),"")</f>
        <v/>
      </c>
      <c r="U651" t="str">
        <f>IFERROR(IF(OR(HLOOKUP($A651,#REF!,19,FALSE)&gt;2,HLOOKUP($A651,#REF!,19,FALSE)&lt;-2),"",#REF!),"")</f>
        <v/>
      </c>
      <c r="V651">
        <f t="shared" si="40"/>
        <v>1</v>
      </c>
      <c r="W651" t="str">
        <f t="shared" si="41"/>
        <v/>
      </c>
      <c r="X651" t="str">
        <f t="shared" si="42"/>
        <v/>
      </c>
      <c r="Y651" t="str">
        <f t="shared" si="43"/>
        <v/>
      </c>
    </row>
    <row r="652" spans="1:25" x14ac:dyDescent="0.35">
      <c r="A652">
        <v>660</v>
      </c>
      <c r="B652" t="s">
        <v>931</v>
      </c>
      <c r="C652">
        <v>71100</v>
      </c>
      <c r="D652">
        <v>103</v>
      </c>
      <c r="E652" t="str">
        <f>IFERROR(IF(OR(HLOOKUP($A652,#REF!,3,FALSE)&gt;2,HLOOKUP(A652,#REF!,3,FALSE)&lt;-2),"",#REF!),"")</f>
        <v/>
      </c>
      <c r="F652" t="str">
        <f>IFERROR(IF(OR(HLOOKUP($A652,#REF!,4,FALSE)&gt;2,HLOOKUP($A652,#REF!,4,FALSE)&lt;-2),"",#REF!),"")</f>
        <v/>
      </c>
      <c r="G652" t="str">
        <f>IFERROR(IF(OR(HLOOKUP($A652,#REF!,5,FALSE)&gt;2,HLOOKUP($A652,#REF!,5,FALSE)&lt;-2),"",#REF!),"")</f>
        <v/>
      </c>
      <c r="H652" t="str">
        <f>IFERROR(IF(OR(HLOOKUP($A652,#REF!,6,FALSE)&gt;2,HLOOKUP($A652,#REF!,6,FALSE)&lt;-2),"",#REF!),"")</f>
        <v/>
      </c>
      <c r="I652" t="str">
        <f>IFERROR(IF(OR(HLOOKUP($A652,#REF!,7,FALSE)&gt;2,HLOOKUP($A652,#REF!,7,FALSE)&lt;-2),"",#REF!),"")</f>
        <v/>
      </c>
      <c r="J652" t="str">
        <f>IFERROR(IF(OR(HLOOKUP($A652,#REF!,8,FALSE)&gt;2,HLOOKUP($A652,#REF!,8,FALSE)&lt;-2),"",#REF!),"")</f>
        <v/>
      </c>
      <c r="K652" t="str">
        <f>IFERROR(IF(OR(HLOOKUP($A652,#REF!,9,FALSE)&gt;2,HLOOKUP($A652,#REF!,9,FALSE)&lt;-2),"",#REF!),"")</f>
        <v/>
      </c>
      <c r="L652" t="str">
        <f>IFERROR(IF(OR(HLOOKUP($A652,#REF!,10,FALSE)&gt;2,HLOOKUP($A652,#REF!,10,FALSE)&lt;-2),"",#REF!),"")</f>
        <v/>
      </c>
      <c r="M652" t="str">
        <f>IFERROR(IF(OR(HLOOKUP($A652,#REF!,11,FALSE)&gt;2,HLOOKUP($A652,#REF!,11,FALSE)&lt;-2),"",#REF!),"")</f>
        <v/>
      </c>
      <c r="N652" t="str">
        <f>IFERROR(IF(OR(HLOOKUP($A652,#REF!,12,FALSE)&gt;2,HLOOKUP($A652,#REF!,12,FALSE)&lt;-2),"",#REF!),"")</f>
        <v/>
      </c>
      <c r="O652" t="str">
        <f>IFERROR(IF(OR(HLOOKUP($A652,#REF!,13,FALSE)&gt;2,HLOOKUP($A652,#REF!,13,FALSE)&lt;-2),"",#REF!),"")</f>
        <v/>
      </c>
      <c r="P652" t="str">
        <f>IFERROR(IF(OR(HLOOKUP($A652,#REF!,14,FALSE)&gt;2,HLOOKUP($A652,#REF!,14,FALSE)&lt;-2),"",#REF!),"")</f>
        <v/>
      </c>
      <c r="Q652" t="str">
        <f>IFERROR(IF(OR(HLOOKUP($A652,#REF!,15,FALSE)&gt;2,HLOOKUP($A652,#REF!,15,FALSE)&lt;-2),"",#REF!),"")</f>
        <v/>
      </c>
      <c r="R652" t="str">
        <f>IFERROR(IF(OR(HLOOKUP($A652,#REF!,16,FALSE)&gt;2,HLOOKUP($A652,#REF!,16,FALSE)&lt;-2),"",#REF!),"")</f>
        <v/>
      </c>
      <c r="S652" t="str">
        <f>IFERROR(IF(OR(HLOOKUP($A652,#REF!,17,FALSE)&gt;2,HLOOKUP($A652,#REF!,17,FALSE)&lt;-2),"",#REF!),"")</f>
        <v/>
      </c>
      <c r="T652" t="str">
        <f>IFERROR(IF(OR(HLOOKUP($A652,#REF!,18,FALSE)&gt;2,HLOOKUP($A652,#REF!,18,FALSE)&lt;-2),"",#REF!),"")</f>
        <v/>
      </c>
      <c r="U652" t="str">
        <f>IFERROR(IF(OR(HLOOKUP($A652,#REF!,19,FALSE)&gt;2,HLOOKUP($A652,#REF!,19,FALSE)&lt;-2),"",#REF!),"")</f>
        <v/>
      </c>
      <c r="V652">
        <f t="shared" si="40"/>
        <v>1</v>
      </c>
      <c r="W652" t="str">
        <f t="shared" si="41"/>
        <v/>
      </c>
      <c r="X652" t="str">
        <f t="shared" si="42"/>
        <v/>
      </c>
      <c r="Y652" t="str">
        <f t="shared" si="43"/>
        <v/>
      </c>
    </row>
    <row r="653" spans="1:25" x14ac:dyDescent="0.35">
      <c r="A653">
        <v>661</v>
      </c>
      <c r="B653" t="s">
        <v>324</v>
      </c>
      <c r="C653">
        <v>92500</v>
      </c>
      <c r="D653">
        <v>370</v>
      </c>
      <c r="E653" t="str">
        <f>IFERROR(IF(OR(HLOOKUP($A653,#REF!,3,FALSE)&gt;2,HLOOKUP(A653,#REF!,3,FALSE)&lt;-2),"",#REF!),"")</f>
        <v/>
      </c>
      <c r="F653" t="str">
        <f>IFERROR(IF(OR(HLOOKUP($A653,#REF!,4,FALSE)&gt;2,HLOOKUP($A653,#REF!,4,FALSE)&lt;-2),"",#REF!),"")</f>
        <v/>
      </c>
      <c r="G653" t="str">
        <f>IFERROR(IF(OR(HLOOKUP($A653,#REF!,5,FALSE)&gt;2,HLOOKUP($A653,#REF!,5,FALSE)&lt;-2),"",#REF!),"")</f>
        <v/>
      </c>
      <c r="H653" t="str">
        <f>IFERROR(IF(OR(HLOOKUP($A653,#REF!,6,FALSE)&gt;2,HLOOKUP($A653,#REF!,6,FALSE)&lt;-2),"",#REF!),"")</f>
        <v/>
      </c>
      <c r="I653" t="str">
        <f>IFERROR(IF(OR(HLOOKUP($A653,#REF!,7,FALSE)&gt;2,HLOOKUP($A653,#REF!,7,FALSE)&lt;-2),"",#REF!),"")</f>
        <v/>
      </c>
      <c r="J653" t="str">
        <f>IFERROR(IF(OR(HLOOKUP($A653,#REF!,8,FALSE)&gt;2,HLOOKUP($A653,#REF!,8,FALSE)&lt;-2),"",#REF!),"")</f>
        <v/>
      </c>
      <c r="K653" t="str">
        <f>IFERROR(IF(OR(HLOOKUP($A653,#REF!,9,FALSE)&gt;2,HLOOKUP($A653,#REF!,9,FALSE)&lt;-2),"",#REF!),"")</f>
        <v/>
      </c>
      <c r="L653" t="str">
        <f>IFERROR(IF(OR(HLOOKUP($A653,#REF!,10,FALSE)&gt;2,HLOOKUP($A653,#REF!,10,FALSE)&lt;-2),"",#REF!),"")</f>
        <v/>
      </c>
      <c r="M653" t="str">
        <f>IFERROR(IF(OR(HLOOKUP($A653,#REF!,11,FALSE)&gt;2,HLOOKUP($A653,#REF!,11,FALSE)&lt;-2),"",#REF!),"")</f>
        <v/>
      </c>
      <c r="N653" t="str">
        <f>IFERROR(IF(OR(HLOOKUP($A653,#REF!,12,FALSE)&gt;2,HLOOKUP($A653,#REF!,12,FALSE)&lt;-2),"",#REF!),"")</f>
        <v/>
      </c>
      <c r="O653" t="str">
        <f>IFERROR(IF(OR(HLOOKUP($A653,#REF!,13,FALSE)&gt;2,HLOOKUP($A653,#REF!,13,FALSE)&lt;-2),"",#REF!),"")</f>
        <v/>
      </c>
      <c r="P653" t="str">
        <f>IFERROR(IF(OR(HLOOKUP($A653,#REF!,14,FALSE)&gt;2,HLOOKUP($A653,#REF!,14,FALSE)&lt;-2),"",#REF!),"")</f>
        <v/>
      </c>
      <c r="Q653" t="str">
        <f>IFERROR(IF(OR(HLOOKUP($A653,#REF!,15,FALSE)&gt;2,HLOOKUP($A653,#REF!,15,FALSE)&lt;-2),"",#REF!),"")</f>
        <v/>
      </c>
      <c r="R653" t="str">
        <f>IFERROR(IF(OR(HLOOKUP($A653,#REF!,16,FALSE)&gt;2,HLOOKUP($A653,#REF!,16,FALSE)&lt;-2),"",#REF!),"")</f>
        <v/>
      </c>
      <c r="S653" t="str">
        <f>IFERROR(IF(OR(HLOOKUP($A653,#REF!,17,FALSE)&gt;2,HLOOKUP($A653,#REF!,17,FALSE)&lt;-2),"",#REF!),"")</f>
        <v/>
      </c>
      <c r="T653" t="str">
        <f>IFERROR(IF(OR(HLOOKUP($A653,#REF!,18,FALSE)&gt;2,HLOOKUP($A653,#REF!,18,FALSE)&lt;-2),"",#REF!),"")</f>
        <v/>
      </c>
      <c r="U653" t="str">
        <f>IFERROR(IF(OR(HLOOKUP($A653,#REF!,19,FALSE)&gt;2,HLOOKUP($A653,#REF!,19,FALSE)&lt;-2),"",#REF!),"")</f>
        <v/>
      </c>
      <c r="V653">
        <f t="shared" si="40"/>
        <v>1</v>
      </c>
      <c r="W653" t="str">
        <f t="shared" si="41"/>
        <v/>
      </c>
      <c r="X653" t="str">
        <f t="shared" si="42"/>
        <v/>
      </c>
      <c r="Y653" t="str">
        <f t="shared" si="43"/>
        <v/>
      </c>
    </row>
    <row r="654" spans="1:25" x14ac:dyDescent="0.35">
      <c r="A654">
        <v>662</v>
      </c>
      <c r="B654" t="s">
        <v>325</v>
      </c>
      <c r="C654">
        <v>9700</v>
      </c>
      <c r="D654">
        <v>1057</v>
      </c>
      <c r="E654" t="str">
        <f>IFERROR(IF(OR(HLOOKUP($A654,#REF!,3,FALSE)&gt;2,HLOOKUP(A654,#REF!,3,FALSE)&lt;-2),"",#REF!),"")</f>
        <v/>
      </c>
      <c r="F654" t="str">
        <f>IFERROR(IF(OR(HLOOKUP($A654,#REF!,4,FALSE)&gt;2,HLOOKUP($A654,#REF!,4,FALSE)&lt;-2),"",#REF!),"")</f>
        <v/>
      </c>
      <c r="G654" t="str">
        <f>IFERROR(IF(OR(HLOOKUP($A654,#REF!,5,FALSE)&gt;2,HLOOKUP($A654,#REF!,5,FALSE)&lt;-2),"",#REF!),"")</f>
        <v/>
      </c>
      <c r="H654" t="str">
        <f>IFERROR(IF(OR(HLOOKUP($A654,#REF!,6,FALSE)&gt;2,HLOOKUP($A654,#REF!,6,FALSE)&lt;-2),"",#REF!),"")</f>
        <v/>
      </c>
      <c r="I654" t="str">
        <f>IFERROR(IF(OR(HLOOKUP($A654,#REF!,7,FALSE)&gt;2,HLOOKUP($A654,#REF!,7,FALSE)&lt;-2),"",#REF!),"")</f>
        <v/>
      </c>
      <c r="J654" t="str">
        <f>IFERROR(IF(OR(HLOOKUP($A654,#REF!,8,FALSE)&gt;2,HLOOKUP($A654,#REF!,8,FALSE)&lt;-2),"",#REF!),"")</f>
        <v/>
      </c>
      <c r="K654" t="str">
        <f>IFERROR(IF(OR(HLOOKUP($A654,#REF!,9,FALSE)&gt;2,HLOOKUP($A654,#REF!,9,FALSE)&lt;-2),"",#REF!),"")</f>
        <v/>
      </c>
      <c r="L654" t="str">
        <f>IFERROR(IF(OR(HLOOKUP($A654,#REF!,10,FALSE)&gt;2,HLOOKUP($A654,#REF!,10,FALSE)&lt;-2),"",#REF!),"")</f>
        <v/>
      </c>
      <c r="M654" t="str">
        <f>IFERROR(IF(OR(HLOOKUP($A654,#REF!,11,FALSE)&gt;2,HLOOKUP($A654,#REF!,11,FALSE)&lt;-2),"",#REF!),"")</f>
        <v/>
      </c>
      <c r="N654" t="str">
        <f>IFERROR(IF(OR(HLOOKUP($A654,#REF!,12,FALSE)&gt;2,HLOOKUP($A654,#REF!,12,FALSE)&lt;-2),"",#REF!),"")</f>
        <v/>
      </c>
      <c r="O654" t="str">
        <f>IFERROR(IF(OR(HLOOKUP($A654,#REF!,13,FALSE)&gt;2,HLOOKUP($A654,#REF!,13,FALSE)&lt;-2),"",#REF!),"")</f>
        <v/>
      </c>
      <c r="P654" t="str">
        <f>IFERROR(IF(OR(HLOOKUP($A654,#REF!,14,FALSE)&gt;2,HLOOKUP($A654,#REF!,14,FALSE)&lt;-2),"",#REF!),"")</f>
        <v/>
      </c>
      <c r="Q654" t="str">
        <f>IFERROR(IF(OR(HLOOKUP($A654,#REF!,15,FALSE)&gt;2,HLOOKUP($A654,#REF!,15,FALSE)&lt;-2),"",#REF!),"")</f>
        <v/>
      </c>
      <c r="R654" t="str">
        <f>IFERROR(IF(OR(HLOOKUP($A654,#REF!,16,FALSE)&gt;2,HLOOKUP($A654,#REF!,16,FALSE)&lt;-2),"",#REF!),"")</f>
        <v/>
      </c>
      <c r="S654" t="str">
        <f>IFERROR(IF(OR(HLOOKUP($A654,#REF!,17,FALSE)&gt;2,HLOOKUP($A654,#REF!,17,FALSE)&lt;-2),"",#REF!),"")</f>
        <v/>
      </c>
      <c r="T654" t="str">
        <f>IFERROR(IF(OR(HLOOKUP($A654,#REF!,18,FALSE)&gt;2,HLOOKUP($A654,#REF!,18,FALSE)&lt;-2),"",#REF!),"")</f>
        <v/>
      </c>
      <c r="U654" t="str">
        <f>IFERROR(IF(OR(HLOOKUP($A654,#REF!,19,FALSE)&gt;2,HLOOKUP($A654,#REF!,19,FALSE)&lt;-2),"",#REF!),"")</f>
        <v/>
      </c>
      <c r="V654">
        <f t="shared" si="40"/>
        <v>1</v>
      </c>
      <c r="W654" t="str">
        <f t="shared" si="41"/>
        <v/>
      </c>
      <c r="X654" t="str">
        <f t="shared" si="42"/>
        <v/>
      </c>
      <c r="Y654" t="str">
        <f t="shared" si="43"/>
        <v/>
      </c>
    </row>
    <row r="655" spans="1:25" x14ac:dyDescent="0.35">
      <c r="A655">
        <v>663</v>
      </c>
      <c r="B655" t="s">
        <v>932</v>
      </c>
      <c r="C655">
        <v>35800</v>
      </c>
      <c r="D655">
        <v>647</v>
      </c>
      <c r="E655" t="str">
        <f>IFERROR(IF(OR(HLOOKUP($A655,#REF!,3,FALSE)&gt;2,HLOOKUP(A655,#REF!,3,FALSE)&lt;-2),"",#REF!),"")</f>
        <v/>
      </c>
      <c r="F655" t="str">
        <f>IFERROR(IF(OR(HLOOKUP($A655,#REF!,4,FALSE)&gt;2,HLOOKUP($A655,#REF!,4,FALSE)&lt;-2),"",#REF!),"")</f>
        <v/>
      </c>
      <c r="G655" t="str">
        <f>IFERROR(IF(OR(HLOOKUP($A655,#REF!,5,FALSE)&gt;2,HLOOKUP($A655,#REF!,5,FALSE)&lt;-2),"",#REF!),"")</f>
        <v/>
      </c>
      <c r="H655" t="str">
        <f>IFERROR(IF(OR(HLOOKUP($A655,#REF!,6,FALSE)&gt;2,HLOOKUP($A655,#REF!,6,FALSE)&lt;-2),"",#REF!),"")</f>
        <v/>
      </c>
      <c r="I655" t="str">
        <f>IFERROR(IF(OR(HLOOKUP($A655,#REF!,7,FALSE)&gt;2,HLOOKUP($A655,#REF!,7,FALSE)&lt;-2),"",#REF!),"")</f>
        <v/>
      </c>
      <c r="J655" t="str">
        <f>IFERROR(IF(OR(HLOOKUP($A655,#REF!,8,FALSE)&gt;2,HLOOKUP($A655,#REF!,8,FALSE)&lt;-2),"",#REF!),"")</f>
        <v/>
      </c>
      <c r="K655" t="str">
        <f>IFERROR(IF(OR(HLOOKUP($A655,#REF!,9,FALSE)&gt;2,HLOOKUP($A655,#REF!,9,FALSE)&lt;-2),"",#REF!),"")</f>
        <v/>
      </c>
      <c r="L655" t="str">
        <f>IFERROR(IF(OR(HLOOKUP($A655,#REF!,10,FALSE)&gt;2,HLOOKUP($A655,#REF!,10,FALSE)&lt;-2),"",#REF!),"")</f>
        <v/>
      </c>
      <c r="M655" t="str">
        <f>IFERROR(IF(OR(HLOOKUP($A655,#REF!,11,FALSE)&gt;2,HLOOKUP($A655,#REF!,11,FALSE)&lt;-2),"",#REF!),"")</f>
        <v/>
      </c>
      <c r="N655" t="str">
        <f>IFERROR(IF(OR(HLOOKUP($A655,#REF!,12,FALSE)&gt;2,HLOOKUP($A655,#REF!,12,FALSE)&lt;-2),"",#REF!),"")</f>
        <v/>
      </c>
      <c r="O655" t="str">
        <f>IFERROR(IF(OR(HLOOKUP($A655,#REF!,13,FALSE)&gt;2,HLOOKUP($A655,#REF!,13,FALSE)&lt;-2),"",#REF!),"")</f>
        <v/>
      </c>
      <c r="P655" t="str">
        <f>IFERROR(IF(OR(HLOOKUP($A655,#REF!,14,FALSE)&gt;2,HLOOKUP($A655,#REF!,14,FALSE)&lt;-2),"",#REF!),"")</f>
        <v/>
      </c>
      <c r="Q655" t="str">
        <f>IFERROR(IF(OR(HLOOKUP($A655,#REF!,15,FALSE)&gt;2,HLOOKUP($A655,#REF!,15,FALSE)&lt;-2),"",#REF!),"")</f>
        <v/>
      </c>
      <c r="R655" t="str">
        <f>IFERROR(IF(OR(HLOOKUP($A655,#REF!,16,FALSE)&gt;2,HLOOKUP($A655,#REF!,16,FALSE)&lt;-2),"",#REF!),"")</f>
        <v/>
      </c>
      <c r="S655" t="str">
        <f>IFERROR(IF(OR(HLOOKUP($A655,#REF!,17,FALSE)&gt;2,HLOOKUP($A655,#REF!,17,FALSE)&lt;-2),"",#REF!),"")</f>
        <v/>
      </c>
      <c r="T655" t="str">
        <f>IFERROR(IF(OR(HLOOKUP($A655,#REF!,18,FALSE)&gt;2,HLOOKUP($A655,#REF!,18,FALSE)&lt;-2),"",#REF!),"")</f>
        <v/>
      </c>
      <c r="U655" t="str">
        <f>IFERROR(IF(OR(HLOOKUP($A655,#REF!,19,FALSE)&gt;2,HLOOKUP($A655,#REF!,19,FALSE)&lt;-2),"",#REF!),"")</f>
        <v/>
      </c>
      <c r="V655">
        <f t="shared" si="40"/>
        <v>1</v>
      </c>
      <c r="W655" t="str">
        <f t="shared" si="41"/>
        <v/>
      </c>
      <c r="X655" t="str">
        <f t="shared" si="42"/>
        <v/>
      </c>
      <c r="Y655" t="str">
        <f t="shared" si="43"/>
        <v/>
      </c>
    </row>
    <row r="656" spans="1:25" x14ac:dyDescent="0.35">
      <c r="A656">
        <v>664</v>
      </c>
      <c r="B656" t="s">
        <v>933</v>
      </c>
      <c r="C656">
        <v>43200</v>
      </c>
      <c r="D656">
        <v>926</v>
      </c>
      <c r="E656" t="str">
        <f>IFERROR(IF(OR(HLOOKUP($A656,#REF!,3,FALSE)&gt;2,HLOOKUP(A656,#REF!,3,FALSE)&lt;-2),"",#REF!),"")</f>
        <v/>
      </c>
      <c r="F656" t="str">
        <f>IFERROR(IF(OR(HLOOKUP($A656,#REF!,4,FALSE)&gt;2,HLOOKUP($A656,#REF!,4,FALSE)&lt;-2),"",#REF!),"")</f>
        <v/>
      </c>
      <c r="G656" t="str">
        <f>IFERROR(IF(OR(HLOOKUP($A656,#REF!,5,FALSE)&gt;2,HLOOKUP($A656,#REF!,5,FALSE)&lt;-2),"",#REF!),"")</f>
        <v/>
      </c>
      <c r="H656" t="str">
        <f>IFERROR(IF(OR(HLOOKUP($A656,#REF!,6,FALSE)&gt;2,HLOOKUP($A656,#REF!,6,FALSE)&lt;-2),"",#REF!),"")</f>
        <v/>
      </c>
      <c r="I656" t="str">
        <f>IFERROR(IF(OR(HLOOKUP($A656,#REF!,7,FALSE)&gt;2,HLOOKUP($A656,#REF!,7,FALSE)&lt;-2),"",#REF!),"")</f>
        <v/>
      </c>
      <c r="J656" t="str">
        <f>IFERROR(IF(OR(HLOOKUP($A656,#REF!,8,FALSE)&gt;2,HLOOKUP($A656,#REF!,8,FALSE)&lt;-2),"",#REF!),"")</f>
        <v/>
      </c>
      <c r="K656" t="str">
        <f>IFERROR(IF(OR(HLOOKUP($A656,#REF!,9,FALSE)&gt;2,HLOOKUP($A656,#REF!,9,FALSE)&lt;-2),"",#REF!),"")</f>
        <v/>
      </c>
      <c r="L656" t="str">
        <f>IFERROR(IF(OR(HLOOKUP($A656,#REF!,10,FALSE)&gt;2,HLOOKUP($A656,#REF!,10,FALSE)&lt;-2),"",#REF!),"")</f>
        <v/>
      </c>
      <c r="M656" t="str">
        <f>IFERROR(IF(OR(HLOOKUP($A656,#REF!,11,FALSE)&gt;2,HLOOKUP($A656,#REF!,11,FALSE)&lt;-2),"",#REF!),"")</f>
        <v/>
      </c>
      <c r="N656" t="str">
        <f>IFERROR(IF(OR(HLOOKUP($A656,#REF!,12,FALSE)&gt;2,HLOOKUP($A656,#REF!,12,FALSE)&lt;-2),"",#REF!),"")</f>
        <v/>
      </c>
      <c r="O656" t="str">
        <f>IFERROR(IF(OR(HLOOKUP($A656,#REF!,13,FALSE)&gt;2,HLOOKUP($A656,#REF!,13,FALSE)&lt;-2),"",#REF!),"")</f>
        <v/>
      </c>
      <c r="P656" t="str">
        <f>IFERROR(IF(OR(HLOOKUP($A656,#REF!,14,FALSE)&gt;2,HLOOKUP($A656,#REF!,14,FALSE)&lt;-2),"",#REF!),"")</f>
        <v/>
      </c>
      <c r="Q656" t="str">
        <f>IFERROR(IF(OR(HLOOKUP($A656,#REF!,15,FALSE)&gt;2,HLOOKUP($A656,#REF!,15,FALSE)&lt;-2),"",#REF!),"")</f>
        <v/>
      </c>
      <c r="R656" t="str">
        <f>IFERROR(IF(OR(HLOOKUP($A656,#REF!,16,FALSE)&gt;2,HLOOKUP($A656,#REF!,16,FALSE)&lt;-2),"",#REF!),"")</f>
        <v/>
      </c>
      <c r="S656" t="str">
        <f>IFERROR(IF(OR(HLOOKUP($A656,#REF!,17,FALSE)&gt;2,HLOOKUP($A656,#REF!,17,FALSE)&lt;-2),"",#REF!),"")</f>
        <v/>
      </c>
      <c r="T656" t="str">
        <f>IFERROR(IF(OR(HLOOKUP($A656,#REF!,18,FALSE)&gt;2,HLOOKUP($A656,#REF!,18,FALSE)&lt;-2),"",#REF!),"")</f>
        <v/>
      </c>
      <c r="U656" t="str">
        <f>IFERROR(IF(OR(HLOOKUP($A656,#REF!,19,FALSE)&gt;2,HLOOKUP($A656,#REF!,19,FALSE)&lt;-2),"",#REF!),"")</f>
        <v/>
      </c>
      <c r="V656">
        <f t="shared" si="40"/>
        <v>1</v>
      </c>
      <c r="W656" t="str">
        <f t="shared" si="41"/>
        <v/>
      </c>
      <c r="X656" t="str">
        <f t="shared" si="42"/>
        <v/>
      </c>
      <c r="Y656" t="str">
        <f t="shared" si="43"/>
        <v/>
      </c>
    </row>
    <row r="657" spans="1:25" x14ac:dyDescent="0.35">
      <c r="A657">
        <v>665</v>
      </c>
      <c r="B657" t="s">
        <v>326</v>
      </c>
      <c r="C657">
        <v>97900</v>
      </c>
      <c r="D657">
        <v>21</v>
      </c>
      <c r="E657" t="str">
        <f>IFERROR(IF(OR(HLOOKUP($A657,#REF!,3,FALSE)&gt;2,HLOOKUP(A657,#REF!,3,FALSE)&lt;-2),"",#REF!),"")</f>
        <v/>
      </c>
      <c r="F657" t="str">
        <f>IFERROR(IF(OR(HLOOKUP($A657,#REF!,4,FALSE)&gt;2,HLOOKUP($A657,#REF!,4,FALSE)&lt;-2),"",#REF!),"")</f>
        <v/>
      </c>
      <c r="G657" t="str">
        <f>IFERROR(IF(OR(HLOOKUP($A657,#REF!,5,FALSE)&gt;2,HLOOKUP($A657,#REF!,5,FALSE)&lt;-2),"",#REF!),"")</f>
        <v/>
      </c>
      <c r="H657" t="str">
        <f>IFERROR(IF(OR(HLOOKUP($A657,#REF!,6,FALSE)&gt;2,HLOOKUP($A657,#REF!,6,FALSE)&lt;-2),"",#REF!),"")</f>
        <v/>
      </c>
      <c r="I657" t="str">
        <f>IFERROR(IF(OR(HLOOKUP($A657,#REF!,7,FALSE)&gt;2,HLOOKUP($A657,#REF!,7,FALSE)&lt;-2),"",#REF!),"")</f>
        <v/>
      </c>
      <c r="J657" t="str">
        <f>IFERROR(IF(OR(HLOOKUP($A657,#REF!,8,FALSE)&gt;2,HLOOKUP($A657,#REF!,8,FALSE)&lt;-2),"",#REF!),"")</f>
        <v/>
      </c>
      <c r="K657" t="str">
        <f>IFERROR(IF(OR(HLOOKUP($A657,#REF!,9,FALSE)&gt;2,HLOOKUP($A657,#REF!,9,FALSE)&lt;-2),"",#REF!),"")</f>
        <v/>
      </c>
      <c r="L657" t="str">
        <f>IFERROR(IF(OR(HLOOKUP($A657,#REF!,10,FALSE)&gt;2,HLOOKUP($A657,#REF!,10,FALSE)&lt;-2),"",#REF!),"")</f>
        <v/>
      </c>
      <c r="M657" t="str">
        <f>IFERROR(IF(OR(HLOOKUP($A657,#REF!,11,FALSE)&gt;2,HLOOKUP($A657,#REF!,11,FALSE)&lt;-2),"",#REF!),"")</f>
        <v/>
      </c>
      <c r="N657" t="str">
        <f>IFERROR(IF(OR(HLOOKUP($A657,#REF!,12,FALSE)&gt;2,HLOOKUP($A657,#REF!,12,FALSE)&lt;-2),"",#REF!),"")</f>
        <v/>
      </c>
      <c r="O657" t="str">
        <f>IFERROR(IF(OR(HLOOKUP($A657,#REF!,13,FALSE)&gt;2,HLOOKUP($A657,#REF!,13,FALSE)&lt;-2),"",#REF!),"")</f>
        <v/>
      </c>
      <c r="P657" t="str">
        <f>IFERROR(IF(OR(HLOOKUP($A657,#REF!,14,FALSE)&gt;2,HLOOKUP($A657,#REF!,14,FALSE)&lt;-2),"",#REF!),"")</f>
        <v/>
      </c>
      <c r="Q657" t="str">
        <f>IFERROR(IF(OR(HLOOKUP($A657,#REF!,15,FALSE)&gt;2,HLOOKUP($A657,#REF!,15,FALSE)&lt;-2),"",#REF!),"")</f>
        <v/>
      </c>
      <c r="R657" t="str">
        <f>IFERROR(IF(OR(HLOOKUP($A657,#REF!,16,FALSE)&gt;2,HLOOKUP($A657,#REF!,16,FALSE)&lt;-2),"",#REF!),"")</f>
        <v/>
      </c>
      <c r="S657" t="str">
        <f>IFERROR(IF(OR(HLOOKUP($A657,#REF!,17,FALSE)&gt;2,HLOOKUP($A657,#REF!,17,FALSE)&lt;-2),"",#REF!),"")</f>
        <v/>
      </c>
      <c r="T657" t="str">
        <f>IFERROR(IF(OR(HLOOKUP($A657,#REF!,18,FALSE)&gt;2,HLOOKUP($A657,#REF!,18,FALSE)&lt;-2),"",#REF!),"")</f>
        <v/>
      </c>
      <c r="U657" t="str">
        <f>IFERROR(IF(OR(HLOOKUP($A657,#REF!,19,FALSE)&gt;2,HLOOKUP($A657,#REF!,19,FALSE)&lt;-2),"",#REF!),"")</f>
        <v/>
      </c>
      <c r="V657">
        <f t="shared" si="40"/>
        <v>1</v>
      </c>
      <c r="W657" t="str">
        <f t="shared" si="41"/>
        <v/>
      </c>
      <c r="X657" t="str">
        <f t="shared" si="42"/>
        <v/>
      </c>
      <c r="Y657" t="str">
        <f t="shared" si="43"/>
        <v/>
      </c>
    </row>
    <row r="658" spans="1:25" x14ac:dyDescent="0.35">
      <c r="A658">
        <v>666</v>
      </c>
      <c r="B658" t="s">
        <v>934</v>
      </c>
      <c r="C658">
        <v>90900</v>
      </c>
      <c r="D658">
        <v>651</v>
      </c>
      <c r="E658" t="str">
        <f>IFERROR(IF(OR(HLOOKUP($A658,#REF!,3,FALSE)&gt;2,HLOOKUP(A658,#REF!,3,FALSE)&lt;-2),"",#REF!),"")</f>
        <v/>
      </c>
      <c r="F658" t="str">
        <f>IFERROR(IF(OR(HLOOKUP($A658,#REF!,4,FALSE)&gt;2,HLOOKUP($A658,#REF!,4,FALSE)&lt;-2),"",#REF!),"")</f>
        <v/>
      </c>
      <c r="G658" t="str">
        <f>IFERROR(IF(OR(HLOOKUP($A658,#REF!,5,FALSE)&gt;2,HLOOKUP($A658,#REF!,5,FALSE)&lt;-2),"",#REF!),"")</f>
        <v/>
      </c>
      <c r="H658" t="str">
        <f>IFERROR(IF(OR(HLOOKUP($A658,#REF!,6,FALSE)&gt;2,HLOOKUP($A658,#REF!,6,FALSE)&lt;-2),"",#REF!),"")</f>
        <v/>
      </c>
      <c r="I658" t="str">
        <f>IFERROR(IF(OR(HLOOKUP($A658,#REF!,7,FALSE)&gt;2,HLOOKUP($A658,#REF!,7,FALSE)&lt;-2),"",#REF!),"")</f>
        <v/>
      </c>
      <c r="J658" t="str">
        <f>IFERROR(IF(OR(HLOOKUP($A658,#REF!,8,FALSE)&gt;2,HLOOKUP($A658,#REF!,8,FALSE)&lt;-2),"",#REF!),"")</f>
        <v/>
      </c>
      <c r="K658" t="str">
        <f>IFERROR(IF(OR(HLOOKUP($A658,#REF!,9,FALSE)&gt;2,HLOOKUP($A658,#REF!,9,FALSE)&lt;-2),"",#REF!),"")</f>
        <v/>
      </c>
      <c r="L658" t="str">
        <f>IFERROR(IF(OR(HLOOKUP($A658,#REF!,10,FALSE)&gt;2,HLOOKUP($A658,#REF!,10,FALSE)&lt;-2),"",#REF!),"")</f>
        <v/>
      </c>
      <c r="M658" t="str">
        <f>IFERROR(IF(OR(HLOOKUP($A658,#REF!,11,FALSE)&gt;2,HLOOKUP($A658,#REF!,11,FALSE)&lt;-2),"",#REF!),"")</f>
        <v/>
      </c>
      <c r="N658" t="str">
        <f>IFERROR(IF(OR(HLOOKUP($A658,#REF!,12,FALSE)&gt;2,HLOOKUP($A658,#REF!,12,FALSE)&lt;-2),"",#REF!),"")</f>
        <v/>
      </c>
      <c r="O658" t="str">
        <f>IFERROR(IF(OR(HLOOKUP($A658,#REF!,13,FALSE)&gt;2,HLOOKUP($A658,#REF!,13,FALSE)&lt;-2),"",#REF!),"")</f>
        <v/>
      </c>
      <c r="P658" t="str">
        <f>IFERROR(IF(OR(HLOOKUP($A658,#REF!,14,FALSE)&gt;2,HLOOKUP($A658,#REF!,14,FALSE)&lt;-2),"",#REF!),"")</f>
        <v/>
      </c>
      <c r="Q658" t="str">
        <f>IFERROR(IF(OR(HLOOKUP($A658,#REF!,15,FALSE)&gt;2,HLOOKUP($A658,#REF!,15,FALSE)&lt;-2),"",#REF!),"")</f>
        <v/>
      </c>
      <c r="R658" t="str">
        <f>IFERROR(IF(OR(HLOOKUP($A658,#REF!,16,FALSE)&gt;2,HLOOKUP($A658,#REF!,16,FALSE)&lt;-2),"",#REF!),"")</f>
        <v/>
      </c>
      <c r="S658" t="str">
        <f>IFERROR(IF(OR(HLOOKUP($A658,#REF!,17,FALSE)&gt;2,HLOOKUP($A658,#REF!,17,FALSE)&lt;-2),"",#REF!),"")</f>
        <v/>
      </c>
      <c r="T658" t="str">
        <f>IFERROR(IF(OR(HLOOKUP($A658,#REF!,18,FALSE)&gt;2,HLOOKUP($A658,#REF!,18,FALSE)&lt;-2),"",#REF!),"")</f>
        <v/>
      </c>
      <c r="U658" t="str">
        <f>IFERROR(IF(OR(HLOOKUP($A658,#REF!,19,FALSE)&gt;2,HLOOKUP($A658,#REF!,19,FALSE)&lt;-2),"",#REF!),"")</f>
        <v/>
      </c>
      <c r="V658">
        <f t="shared" si="40"/>
        <v>1</v>
      </c>
      <c r="W658" t="str">
        <f t="shared" si="41"/>
        <v/>
      </c>
      <c r="X658" t="str">
        <f t="shared" si="42"/>
        <v/>
      </c>
      <c r="Y658" t="str">
        <f t="shared" si="43"/>
        <v/>
      </c>
    </row>
    <row r="659" spans="1:25" x14ac:dyDescent="0.35">
      <c r="A659">
        <v>667</v>
      </c>
      <c r="B659" t="s">
        <v>327</v>
      </c>
      <c r="C659">
        <v>800</v>
      </c>
      <c r="D659">
        <v>184</v>
      </c>
      <c r="E659" t="str">
        <f>IFERROR(IF(OR(HLOOKUP($A659,#REF!,3,FALSE)&gt;2,HLOOKUP(A659,#REF!,3,FALSE)&lt;-2),"",#REF!),"")</f>
        <v/>
      </c>
      <c r="F659" t="str">
        <f>IFERROR(IF(OR(HLOOKUP($A659,#REF!,4,FALSE)&gt;2,HLOOKUP($A659,#REF!,4,FALSE)&lt;-2),"",#REF!),"")</f>
        <v/>
      </c>
      <c r="G659" t="str">
        <f>IFERROR(IF(OR(HLOOKUP($A659,#REF!,5,FALSE)&gt;2,HLOOKUP($A659,#REF!,5,FALSE)&lt;-2),"",#REF!),"")</f>
        <v/>
      </c>
      <c r="H659" t="str">
        <f>IFERROR(IF(OR(HLOOKUP($A659,#REF!,6,FALSE)&gt;2,HLOOKUP($A659,#REF!,6,FALSE)&lt;-2),"",#REF!),"")</f>
        <v/>
      </c>
      <c r="I659" t="str">
        <f>IFERROR(IF(OR(HLOOKUP($A659,#REF!,7,FALSE)&gt;2,HLOOKUP($A659,#REF!,7,FALSE)&lt;-2),"",#REF!),"")</f>
        <v/>
      </c>
      <c r="J659" t="str">
        <f>IFERROR(IF(OR(HLOOKUP($A659,#REF!,8,FALSE)&gt;2,HLOOKUP($A659,#REF!,8,FALSE)&lt;-2),"",#REF!),"")</f>
        <v/>
      </c>
      <c r="K659" t="str">
        <f>IFERROR(IF(OR(HLOOKUP($A659,#REF!,9,FALSE)&gt;2,HLOOKUP($A659,#REF!,9,FALSE)&lt;-2),"",#REF!),"")</f>
        <v/>
      </c>
      <c r="L659" t="str">
        <f>IFERROR(IF(OR(HLOOKUP($A659,#REF!,10,FALSE)&gt;2,HLOOKUP($A659,#REF!,10,FALSE)&lt;-2),"",#REF!),"")</f>
        <v/>
      </c>
      <c r="M659" t="str">
        <f>IFERROR(IF(OR(HLOOKUP($A659,#REF!,11,FALSE)&gt;2,HLOOKUP($A659,#REF!,11,FALSE)&lt;-2),"",#REF!),"")</f>
        <v/>
      </c>
      <c r="N659" t="str">
        <f>IFERROR(IF(OR(HLOOKUP($A659,#REF!,12,FALSE)&gt;2,HLOOKUP($A659,#REF!,12,FALSE)&lt;-2),"",#REF!),"")</f>
        <v/>
      </c>
      <c r="O659" t="str">
        <f>IFERROR(IF(OR(HLOOKUP($A659,#REF!,13,FALSE)&gt;2,HLOOKUP($A659,#REF!,13,FALSE)&lt;-2),"",#REF!),"")</f>
        <v/>
      </c>
      <c r="P659" t="str">
        <f>IFERROR(IF(OR(HLOOKUP($A659,#REF!,14,FALSE)&gt;2,HLOOKUP($A659,#REF!,14,FALSE)&lt;-2),"",#REF!),"")</f>
        <v/>
      </c>
      <c r="Q659" t="str">
        <f>IFERROR(IF(OR(HLOOKUP($A659,#REF!,15,FALSE)&gt;2,HLOOKUP($A659,#REF!,15,FALSE)&lt;-2),"",#REF!),"")</f>
        <v/>
      </c>
      <c r="R659" t="str">
        <f>IFERROR(IF(OR(HLOOKUP($A659,#REF!,16,FALSE)&gt;2,HLOOKUP($A659,#REF!,16,FALSE)&lt;-2),"",#REF!),"")</f>
        <v/>
      </c>
      <c r="S659" t="str">
        <f>IFERROR(IF(OR(HLOOKUP($A659,#REF!,17,FALSE)&gt;2,HLOOKUP($A659,#REF!,17,FALSE)&lt;-2),"",#REF!),"")</f>
        <v/>
      </c>
      <c r="T659" t="str">
        <f>IFERROR(IF(OR(HLOOKUP($A659,#REF!,18,FALSE)&gt;2,HLOOKUP($A659,#REF!,18,FALSE)&lt;-2),"",#REF!),"")</f>
        <v/>
      </c>
      <c r="U659" t="str">
        <f>IFERROR(IF(OR(HLOOKUP($A659,#REF!,19,FALSE)&gt;2,HLOOKUP($A659,#REF!,19,FALSE)&lt;-2),"",#REF!),"")</f>
        <v/>
      </c>
      <c r="V659">
        <f t="shared" si="40"/>
        <v>1</v>
      </c>
      <c r="W659" t="str">
        <f t="shared" si="41"/>
        <v/>
      </c>
      <c r="X659" t="str">
        <f t="shared" si="42"/>
        <v/>
      </c>
      <c r="Y659" t="str">
        <f t="shared" si="43"/>
        <v/>
      </c>
    </row>
    <row r="660" spans="1:25" x14ac:dyDescent="0.35">
      <c r="A660">
        <v>668</v>
      </c>
      <c r="B660" t="s">
        <v>935</v>
      </c>
      <c r="C660">
        <v>72500</v>
      </c>
      <c r="D660">
        <v>830</v>
      </c>
      <c r="E660" t="str">
        <f>IFERROR(IF(OR(HLOOKUP($A660,#REF!,3,FALSE)&gt;2,HLOOKUP(A660,#REF!,3,FALSE)&lt;-2),"",#REF!),"")</f>
        <v/>
      </c>
      <c r="F660" t="str">
        <f>IFERROR(IF(OR(HLOOKUP($A660,#REF!,4,FALSE)&gt;2,HLOOKUP($A660,#REF!,4,FALSE)&lt;-2),"",#REF!),"")</f>
        <v/>
      </c>
      <c r="G660" t="str">
        <f>IFERROR(IF(OR(HLOOKUP($A660,#REF!,5,FALSE)&gt;2,HLOOKUP($A660,#REF!,5,FALSE)&lt;-2),"",#REF!),"")</f>
        <v/>
      </c>
      <c r="H660" t="str">
        <f>IFERROR(IF(OR(HLOOKUP($A660,#REF!,6,FALSE)&gt;2,HLOOKUP($A660,#REF!,6,FALSE)&lt;-2),"",#REF!),"")</f>
        <v/>
      </c>
      <c r="I660" t="str">
        <f>IFERROR(IF(OR(HLOOKUP($A660,#REF!,7,FALSE)&gt;2,HLOOKUP($A660,#REF!,7,FALSE)&lt;-2),"",#REF!),"")</f>
        <v/>
      </c>
      <c r="J660" t="str">
        <f>IFERROR(IF(OR(HLOOKUP($A660,#REF!,8,FALSE)&gt;2,HLOOKUP($A660,#REF!,8,FALSE)&lt;-2),"",#REF!),"")</f>
        <v/>
      </c>
      <c r="K660" t="str">
        <f>IFERROR(IF(OR(HLOOKUP($A660,#REF!,9,FALSE)&gt;2,HLOOKUP($A660,#REF!,9,FALSE)&lt;-2),"",#REF!),"")</f>
        <v/>
      </c>
      <c r="L660" t="str">
        <f>IFERROR(IF(OR(HLOOKUP($A660,#REF!,10,FALSE)&gt;2,HLOOKUP($A660,#REF!,10,FALSE)&lt;-2),"",#REF!),"")</f>
        <v/>
      </c>
      <c r="M660" t="str">
        <f>IFERROR(IF(OR(HLOOKUP($A660,#REF!,11,FALSE)&gt;2,HLOOKUP($A660,#REF!,11,FALSE)&lt;-2),"",#REF!),"")</f>
        <v/>
      </c>
      <c r="N660" t="str">
        <f>IFERROR(IF(OR(HLOOKUP($A660,#REF!,12,FALSE)&gt;2,HLOOKUP($A660,#REF!,12,FALSE)&lt;-2),"",#REF!),"")</f>
        <v/>
      </c>
      <c r="O660" t="str">
        <f>IFERROR(IF(OR(HLOOKUP($A660,#REF!,13,FALSE)&gt;2,HLOOKUP($A660,#REF!,13,FALSE)&lt;-2),"",#REF!),"")</f>
        <v/>
      </c>
      <c r="P660" t="str">
        <f>IFERROR(IF(OR(HLOOKUP($A660,#REF!,14,FALSE)&gt;2,HLOOKUP($A660,#REF!,14,FALSE)&lt;-2),"",#REF!),"")</f>
        <v/>
      </c>
      <c r="Q660" t="str">
        <f>IFERROR(IF(OR(HLOOKUP($A660,#REF!,15,FALSE)&gt;2,HLOOKUP($A660,#REF!,15,FALSE)&lt;-2),"",#REF!),"")</f>
        <v/>
      </c>
      <c r="R660" t="str">
        <f>IFERROR(IF(OR(HLOOKUP($A660,#REF!,16,FALSE)&gt;2,HLOOKUP($A660,#REF!,16,FALSE)&lt;-2),"",#REF!),"")</f>
        <v/>
      </c>
      <c r="S660" t="str">
        <f>IFERROR(IF(OR(HLOOKUP($A660,#REF!,17,FALSE)&gt;2,HLOOKUP($A660,#REF!,17,FALSE)&lt;-2),"",#REF!),"")</f>
        <v/>
      </c>
      <c r="T660" t="str">
        <f>IFERROR(IF(OR(HLOOKUP($A660,#REF!,18,FALSE)&gt;2,HLOOKUP($A660,#REF!,18,FALSE)&lt;-2),"",#REF!),"")</f>
        <v/>
      </c>
      <c r="U660" t="str">
        <f>IFERROR(IF(OR(HLOOKUP($A660,#REF!,19,FALSE)&gt;2,HLOOKUP($A660,#REF!,19,FALSE)&lt;-2),"",#REF!),"")</f>
        <v/>
      </c>
      <c r="V660">
        <f t="shared" si="40"/>
        <v>1</v>
      </c>
      <c r="W660" t="str">
        <f t="shared" si="41"/>
        <v/>
      </c>
      <c r="X660" t="str">
        <f t="shared" si="42"/>
        <v/>
      </c>
      <c r="Y660" t="str">
        <f t="shared" si="43"/>
        <v/>
      </c>
    </row>
    <row r="661" spans="1:25" x14ac:dyDescent="0.35">
      <c r="A661">
        <v>669</v>
      </c>
      <c r="B661" t="s">
        <v>936</v>
      </c>
      <c r="C661">
        <v>13400</v>
      </c>
      <c r="D661">
        <v>315</v>
      </c>
      <c r="E661" t="str">
        <f>IFERROR(IF(OR(HLOOKUP($A661,#REF!,3,FALSE)&gt;2,HLOOKUP(A661,#REF!,3,FALSE)&lt;-2),"",#REF!),"")</f>
        <v/>
      </c>
      <c r="F661" t="str">
        <f>IFERROR(IF(OR(HLOOKUP($A661,#REF!,4,FALSE)&gt;2,HLOOKUP($A661,#REF!,4,FALSE)&lt;-2),"",#REF!),"")</f>
        <v/>
      </c>
      <c r="G661" t="str">
        <f>IFERROR(IF(OR(HLOOKUP($A661,#REF!,5,FALSE)&gt;2,HLOOKUP($A661,#REF!,5,FALSE)&lt;-2),"",#REF!),"")</f>
        <v/>
      </c>
      <c r="H661" t="str">
        <f>IFERROR(IF(OR(HLOOKUP($A661,#REF!,6,FALSE)&gt;2,HLOOKUP($A661,#REF!,6,FALSE)&lt;-2),"",#REF!),"")</f>
        <v/>
      </c>
      <c r="I661" t="str">
        <f>IFERROR(IF(OR(HLOOKUP($A661,#REF!,7,FALSE)&gt;2,HLOOKUP($A661,#REF!,7,FALSE)&lt;-2),"",#REF!),"")</f>
        <v/>
      </c>
      <c r="J661" t="str">
        <f>IFERROR(IF(OR(HLOOKUP($A661,#REF!,8,FALSE)&gt;2,HLOOKUP($A661,#REF!,8,FALSE)&lt;-2),"",#REF!),"")</f>
        <v/>
      </c>
      <c r="K661" t="str">
        <f>IFERROR(IF(OR(HLOOKUP($A661,#REF!,9,FALSE)&gt;2,HLOOKUP($A661,#REF!,9,FALSE)&lt;-2),"",#REF!),"")</f>
        <v/>
      </c>
      <c r="L661" t="str">
        <f>IFERROR(IF(OR(HLOOKUP($A661,#REF!,10,FALSE)&gt;2,HLOOKUP($A661,#REF!,10,FALSE)&lt;-2),"",#REF!),"")</f>
        <v/>
      </c>
      <c r="M661" t="str">
        <f>IFERROR(IF(OR(HLOOKUP($A661,#REF!,11,FALSE)&gt;2,HLOOKUP($A661,#REF!,11,FALSE)&lt;-2),"",#REF!),"")</f>
        <v/>
      </c>
      <c r="N661" t="str">
        <f>IFERROR(IF(OR(HLOOKUP($A661,#REF!,12,FALSE)&gt;2,HLOOKUP($A661,#REF!,12,FALSE)&lt;-2),"",#REF!),"")</f>
        <v/>
      </c>
      <c r="O661" t="str">
        <f>IFERROR(IF(OR(HLOOKUP($A661,#REF!,13,FALSE)&gt;2,HLOOKUP($A661,#REF!,13,FALSE)&lt;-2),"",#REF!),"")</f>
        <v/>
      </c>
      <c r="P661" t="str">
        <f>IFERROR(IF(OR(HLOOKUP($A661,#REF!,14,FALSE)&gt;2,HLOOKUP($A661,#REF!,14,FALSE)&lt;-2),"",#REF!),"")</f>
        <v/>
      </c>
      <c r="Q661" t="str">
        <f>IFERROR(IF(OR(HLOOKUP($A661,#REF!,15,FALSE)&gt;2,HLOOKUP($A661,#REF!,15,FALSE)&lt;-2),"",#REF!),"")</f>
        <v/>
      </c>
      <c r="R661" t="str">
        <f>IFERROR(IF(OR(HLOOKUP($A661,#REF!,16,FALSE)&gt;2,HLOOKUP($A661,#REF!,16,FALSE)&lt;-2),"",#REF!),"")</f>
        <v/>
      </c>
      <c r="S661" t="str">
        <f>IFERROR(IF(OR(HLOOKUP($A661,#REF!,17,FALSE)&gt;2,HLOOKUP($A661,#REF!,17,FALSE)&lt;-2),"",#REF!),"")</f>
        <v/>
      </c>
      <c r="T661" t="str">
        <f>IFERROR(IF(OR(HLOOKUP($A661,#REF!,18,FALSE)&gt;2,HLOOKUP($A661,#REF!,18,FALSE)&lt;-2),"",#REF!),"")</f>
        <v/>
      </c>
      <c r="U661" t="str">
        <f>IFERROR(IF(OR(HLOOKUP($A661,#REF!,19,FALSE)&gt;2,HLOOKUP($A661,#REF!,19,FALSE)&lt;-2),"",#REF!),"")</f>
        <v/>
      </c>
      <c r="V661">
        <f t="shared" si="40"/>
        <v>1</v>
      </c>
      <c r="W661" t="str">
        <f t="shared" si="41"/>
        <v/>
      </c>
      <c r="X661" t="str">
        <f t="shared" si="42"/>
        <v/>
      </c>
      <c r="Y661" t="str">
        <f t="shared" si="43"/>
        <v/>
      </c>
    </row>
    <row r="662" spans="1:25" x14ac:dyDescent="0.35">
      <c r="A662">
        <v>670</v>
      </c>
      <c r="B662" t="s">
        <v>328</v>
      </c>
      <c r="C662">
        <v>7200</v>
      </c>
      <c r="D662">
        <v>361</v>
      </c>
      <c r="E662" t="str">
        <f>IFERROR(IF(OR(HLOOKUP($A662,#REF!,3,FALSE)&gt;2,HLOOKUP(A662,#REF!,3,FALSE)&lt;-2),"",#REF!),"")</f>
        <v/>
      </c>
      <c r="F662" t="str">
        <f>IFERROR(IF(OR(HLOOKUP($A662,#REF!,4,FALSE)&gt;2,HLOOKUP($A662,#REF!,4,FALSE)&lt;-2),"",#REF!),"")</f>
        <v/>
      </c>
      <c r="G662" t="str">
        <f>IFERROR(IF(OR(HLOOKUP($A662,#REF!,5,FALSE)&gt;2,HLOOKUP($A662,#REF!,5,FALSE)&lt;-2),"",#REF!),"")</f>
        <v/>
      </c>
      <c r="H662" t="str">
        <f>IFERROR(IF(OR(HLOOKUP($A662,#REF!,6,FALSE)&gt;2,HLOOKUP($A662,#REF!,6,FALSE)&lt;-2),"",#REF!),"")</f>
        <v/>
      </c>
      <c r="I662" t="str">
        <f>IFERROR(IF(OR(HLOOKUP($A662,#REF!,7,FALSE)&gt;2,HLOOKUP($A662,#REF!,7,FALSE)&lt;-2),"",#REF!),"")</f>
        <v/>
      </c>
      <c r="J662" t="str">
        <f>IFERROR(IF(OR(HLOOKUP($A662,#REF!,8,FALSE)&gt;2,HLOOKUP($A662,#REF!,8,FALSE)&lt;-2),"",#REF!),"")</f>
        <v/>
      </c>
      <c r="K662" t="str">
        <f>IFERROR(IF(OR(HLOOKUP($A662,#REF!,9,FALSE)&gt;2,HLOOKUP($A662,#REF!,9,FALSE)&lt;-2),"",#REF!),"")</f>
        <v/>
      </c>
      <c r="L662" t="str">
        <f>IFERROR(IF(OR(HLOOKUP($A662,#REF!,10,FALSE)&gt;2,HLOOKUP($A662,#REF!,10,FALSE)&lt;-2),"",#REF!),"")</f>
        <v/>
      </c>
      <c r="M662" t="str">
        <f>IFERROR(IF(OR(HLOOKUP($A662,#REF!,11,FALSE)&gt;2,HLOOKUP($A662,#REF!,11,FALSE)&lt;-2),"",#REF!),"")</f>
        <v/>
      </c>
      <c r="N662" t="str">
        <f>IFERROR(IF(OR(HLOOKUP($A662,#REF!,12,FALSE)&gt;2,HLOOKUP($A662,#REF!,12,FALSE)&lt;-2),"",#REF!),"")</f>
        <v/>
      </c>
      <c r="O662" t="str">
        <f>IFERROR(IF(OR(HLOOKUP($A662,#REF!,13,FALSE)&gt;2,HLOOKUP($A662,#REF!,13,FALSE)&lt;-2),"",#REF!),"")</f>
        <v/>
      </c>
      <c r="P662" t="str">
        <f>IFERROR(IF(OR(HLOOKUP($A662,#REF!,14,FALSE)&gt;2,HLOOKUP($A662,#REF!,14,FALSE)&lt;-2),"",#REF!),"")</f>
        <v/>
      </c>
      <c r="Q662" t="str">
        <f>IFERROR(IF(OR(HLOOKUP($A662,#REF!,15,FALSE)&gt;2,HLOOKUP($A662,#REF!,15,FALSE)&lt;-2),"",#REF!),"")</f>
        <v/>
      </c>
      <c r="R662" t="str">
        <f>IFERROR(IF(OR(HLOOKUP($A662,#REF!,16,FALSE)&gt;2,HLOOKUP($A662,#REF!,16,FALSE)&lt;-2),"",#REF!),"")</f>
        <v/>
      </c>
      <c r="S662" t="str">
        <f>IFERROR(IF(OR(HLOOKUP($A662,#REF!,17,FALSE)&gt;2,HLOOKUP($A662,#REF!,17,FALSE)&lt;-2),"",#REF!),"")</f>
        <v/>
      </c>
      <c r="T662" t="str">
        <f>IFERROR(IF(OR(HLOOKUP($A662,#REF!,18,FALSE)&gt;2,HLOOKUP($A662,#REF!,18,FALSE)&lt;-2),"",#REF!),"")</f>
        <v/>
      </c>
      <c r="U662" t="str">
        <f>IFERROR(IF(OR(HLOOKUP($A662,#REF!,19,FALSE)&gt;2,HLOOKUP($A662,#REF!,19,FALSE)&lt;-2),"",#REF!),"")</f>
        <v/>
      </c>
      <c r="V662">
        <f t="shared" si="40"/>
        <v>1</v>
      </c>
      <c r="W662" t="str">
        <f t="shared" si="41"/>
        <v/>
      </c>
      <c r="X662" t="str">
        <f t="shared" si="42"/>
        <v/>
      </c>
      <c r="Y662" t="str">
        <f t="shared" si="43"/>
        <v/>
      </c>
    </row>
    <row r="663" spans="1:25" x14ac:dyDescent="0.35">
      <c r="A663">
        <v>671</v>
      </c>
      <c r="B663" t="s">
        <v>329</v>
      </c>
      <c r="C663">
        <v>25400</v>
      </c>
      <c r="D663">
        <v>894</v>
      </c>
      <c r="E663" t="str">
        <f>IFERROR(IF(OR(HLOOKUP($A663,#REF!,3,FALSE)&gt;2,HLOOKUP(A663,#REF!,3,FALSE)&lt;-2),"",#REF!),"")</f>
        <v/>
      </c>
      <c r="F663" t="str">
        <f>IFERROR(IF(OR(HLOOKUP($A663,#REF!,4,FALSE)&gt;2,HLOOKUP($A663,#REF!,4,FALSE)&lt;-2),"",#REF!),"")</f>
        <v/>
      </c>
      <c r="G663" t="str">
        <f>IFERROR(IF(OR(HLOOKUP($A663,#REF!,5,FALSE)&gt;2,HLOOKUP($A663,#REF!,5,FALSE)&lt;-2),"",#REF!),"")</f>
        <v/>
      </c>
      <c r="H663" t="str">
        <f>IFERROR(IF(OR(HLOOKUP($A663,#REF!,6,FALSE)&gt;2,HLOOKUP($A663,#REF!,6,FALSE)&lt;-2),"",#REF!),"")</f>
        <v/>
      </c>
      <c r="I663" t="str">
        <f>IFERROR(IF(OR(HLOOKUP($A663,#REF!,7,FALSE)&gt;2,HLOOKUP($A663,#REF!,7,FALSE)&lt;-2),"",#REF!),"")</f>
        <v/>
      </c>
      <c r="J663" t="str">
        <f>IFERROR(IF(OR(HLOOKUP($A663,#REF!,8,FALSE)&gt;2,HLOOKUP($A663,#REF!,8,FALSE)&lt;-2),"",#REF!),"")</f>
        <v/>
      </c>
      <c r="K663" t="str">
        <f>IFERROR(IF(OR(HLOOKUP($A663,#REF!,9,FALSE)&gt;2,HLOOKUP($A663,#REF!,9,FALSE)&lt;-2),"",#REF!),"")</f>
        <v/>
      </c>
      <c r="L663" t="str">
        <f>IFERROR(IF(OR(HLOOKUP($A663,#REF!,10,FALSE)&gt;2,HLOOKUP($A663,#REF!,10,FALSE)&lt;-2),"",#REF!),"")</f>
        <v/>
      </c>
      <c r="M663" t="str">
        <f>IFERROR(IF(OR(HLOOKUP($A663,#REF!,11,FALSE)&gt;2,HLOOKUP($A663,#REF!,11,FALSE)&lt;-2),"",#REF!),"")</f>
        <v/>
      </c>
      <c r="N663" t="str">
        <f>IFERROR(IF(OR(HLOOKUP($A663,#REF!,12,FALSE)&gt;2,HLOOKUP($A663,#REF!,12,FALSE)&lt;-2),"",#REF!),"")</f>
        <v/>
      </c>
      <c r="O663" t="str">
        <f>IFERROR(IF(OR(HLOOKUP($A663,#REF!,13,FALSE)&gt;2,HLOOKUP($A663,#REF!,13,FALSE)&lt;-2),"",#REF!),"")</f>
        <v/>
      </c>
      <c r="P663" t="str">
        <f>IFERROR(IF(OR(HLOOKUP($A663,#REF!,14,FALSE)&gt;2,HLOOKUP($A663,#REF!,14,FALSE)&lt;-2),"",#REF!),"")</f>
        <v/>
      </c>
      <c r="Q663" t="str">
        <f>IFERROR(IF(OR(HLOOKUP($A663,#REF!,15,FALSE)&gt;2,HLOOKUP($A663,#REF!,15,FALSE)&lt;-2),"",#REF!),"")</f>
        <v/>
      </c>
      <c r="R663" t="str">
        <f>IFERROR(IF(OR(HLOOKUP($A663,#REF!,16,FALSE)&gt;2,HLOOKUP($A663,#REF!,16,FALSE)&lt;-2),"",#REF!),"")</f>
        <v/>
      </c>
      <c r="S663" t="str">
        <f>IFERROR(IF(OR(HLOOKUP($A663,#REF!,17,FALSE)&gt;2,HLOOKUP($A663,#REF!,17,FALSE)&lt;-2),"",#REF!),"")</f>
        <v/>
      </c>
      <c r="T663" t="str">
        <f>IFERROR(IF(OR(HLOOKUP($A663,#REF!,18,FALSE)&gt;2,HLOOKUP($A663,#REF!,18,FALSE)&lt;-2),"",#REF!),"")</f>
        <v/>
      </c>
      <c r="U663" t="str">
        <f>IFERROR(IF(OR(HLOOKUP($A663,#REF!,19,FALSE)&gt;2,HLOOKUP($A663,#REF!,19,FALSE)&lt;-2),"",#REF!),"")</f>
        <v/>
      </c>
      <c r="V663">
        <f t="shared" si="40"/>
        <v>1</v>
      </c>
      <c r="W663" t="str">
        <f t="shared" si="41"/>
        <v/>
      </c>
      <c r="X663" t="str">
        <f t="shared" si="42"/>
        <v/>
      </c>
      <c r="Y663" t="str">
        <f t="shared" si="43"/>
        <v/>
      </c>
    </row>
    <row r="664" spans="1:25" x14ac:dyDescent="0.35">
      <c r="A664">
        <v>672</v>
      </c>
      <c r="B664" t="s">
        <v>330</v>
      </c>
      <c r="C664">
        <v>48200</v>
      </c>
      <c r="D664">
        <v>485</v>
      </c>
      <c r="E664" t="str">
        <f>IFERROR(IF(OR(HLOOKUP($A664,#REF!,3,FALSE)&gt;2,HLOOKUP(A664,#REF!,3,FALSE)&lt;-2),"",#REF!),"")</f>
        <v/>
      </c>
      <c r="F664" t="str">
        <f>IFERROR(IF(OR(HLOOKUP($A664,#REF!,4,FALSE)&gt;2,HLOOKUP($A664,#REF!,4,FALSE)&lt;-2),"",#REF!),"")</f>
        <v/>
      </c>
      <c r="G664" t="str">
        <f>IFERROR(IF(OR(HLOOKUP($A664,#REF!,5,FALSE)&gt;2,HLOOKUP($A664,#REF!,5,FALSE)&lt;-2),"",#REF!),"")</f>
        <v/>
      </c>
      <c r="H664" t="str">
        <f>IFERROR(IF(OR(HLOOKUP($A664,#REF!,6,FALSE)&gt;2,HLOOKUP($A664,#REF!,6,FALSE)&lt;-2),"",#REF!),"")</f>
        <v/>
      </c>
      <c r="I664" t="str">
        <f>IFERROR(IF(OR(HLOOKUP($A664,#REF!,7,FALSE)&gt;2,HLOOKUP($A664,#REF!,7,FALSE)&lt;-2),"",#REF!),"")</f>
        <v/>
      </c>
      <c r="J664" t="str">
        <f>IFERROR(IF(OR(HLOOKUP($A664,#REF!,8,FALSE)&gt;2,HLOOKUP($A664,#REF!,8,FALSE)&lt;-2),"",#REF!),"")</f>
        <v/>
      </c>
      <c r="K664" t="str">
        <f>IFERROR(IF(OR(HLOOKUP($A664,#REF!,9,FALSE)&gt;2,HLOOKUP($A664,#REF!,9,FALSE)&lt;-2),"",#REF!),"")</f>
        <v/>
      </c>
      <c r="L664" t="str">
        <f>IFERROR(IF(OR(HLOOKUP($A664,#REF!,10,FALSE)&gt;2,HLOOKUP($A664,#REF!,10,FALSE)&lt;-2),"",#REF!),"")</f>
        <v/>
      </c>
      <c r="M664" t="str">
        <f>IFERROR(IF(OR(HLOOKUP($A664,#REF!,11,FALSE)&gt;2,HLOOKUP($A664,#REF!,11,FALSE)&lt;-2),"",#REF!),"")</f>
        <v/>
      </c>
      <c r="N664" t="str">
        <f>IFERROR(IF(OR(HLOOKUP($A664,#REF!,12,FALSE)&gt;2,HLOOKUP($A664,#REF!,12,FALSE)&lt;-2),"",#REF!),"")</f>
        <v/>
      </c>
      <c r="O664" t="str">
        <f>IFERROR(IF(OR(HLOOKUP($A664,#REF!,13,FALSE)&gt;2,HLOOKUP($A664,#REF!,13,FALSE)&lt;-2),"",#REF!),"")</f>
        <v/>
      </c>
      <c r="P664" t="str">
        <f>IFERROR(IF(OR(HLOOKUP($A664,#REF!,14,FALSE)&gt;2,HLOOKUP($A664,#REF!,14,FALSE)&lt;-2),"",#REF!),"")</f>
        <v/>
      </c>
      <c r="Q664" t="str">
        <f>IFERROR(IF(OR(HLOOKUP($A664,#REF!,15,FALSE)&gt;2,HLOOKUP($A664,#REF!,15,FALSE)&lt;-2),"",#REF!),"")</f>
        <v/>
      </c>
      <c r="R664" t="str">
        <f>IFERROR(IF(OR(HLOOKUP($A664,#REF!,16,FALSE)&gt;2,HLOOKUP($A664,#REF!,16,FALSE)&lt;-2),"",#REF!),"")</f>
        <v/>
      </c>
      <c r="S664" t="str">
        <f>IFERROR(IF(OR(HLOOKUP($A664,#REF!,17,FALSE)&gt;2,HLOOKUP($A664,#REF!,17,FALSE)&lt;-2),"",#REF!),"")</f>
        <v/>
      </c>
      <c r="T664" t="str">
        <f>IFERROR(IF(OR(HLOOKUP($A664,#REF!,18,FALSE)&gt;2,HLOOKUP($A664,#REF!,18,FALSE)&lt;-2),"",#REF!),"")</f>
        <v/>
      </c>
      <c r="U664" t="str">
        <f>IFERROR(IF(OR(HLOOKUP($A664,#REF!,19,FALSE)&gt;2,HLOOKUP($A664,#REF!,19,FALSE)&lt;-2),"",#REF!),"")</f>
        <v/>
      </c>
      <c r="V664">
        <f t="shared" si="40"/>
        <v>1</v>
      </c>
      <c r="W664" t="str">
        <f t="shared" si="41"/>
        <v/>
      </c>
      <c r="X664" t="str">
        <f t="shared" si="42"/>
        <v/>
      </c>
      <c r="Y664" t="str">
        <f t="shared" si="43"/>
        <v/>
      </c>
    </row>
    <row r="665" spans="1:25" x14ac:dyDescent="0.35">
      <c r="A665">
        <v>673</v>
      </c>
      <c r="B665" t="s">
        <v>331</v>
      </c>
      <c r="C665">
        <v>114700</v>
      </c>
      <c r="D665">
        <v>46</v>
      </c>
      <c r="E665" t="str">
        <f>IFERROR(IF(OR(HLOOKUP($A665,#REF!,3,FALSE)&gt;2,HLOOKUP(A665,#REF!,3,FALSE)&lt;-2),"",#REF!),"")</f>
        <v/>
      </c>
      <c r="F665" t="str">
        <f>IFERROR(IF(OR(HLOOKUP($A665,#REF!,4,FALSE)&gt;2,HLOOKUP($A665,#REF!,4,FALSE)&lt;-2),"",#REF!),"")</f>
        <v/>
      </c>
      <c r="G665" t="str">
        <f>IFERROR(IF(OR(HLOOKUP($A665,#REF!,5,FALSE)&gt;2,HLOOKUP($A665,#REF!,5,FALSE)&lt;-2),"",#REF!),"")</f>
        <v/>
      </c>
      <c r="H665" t="str">
        <f>IFERROR(IF(OR(HLOOKUP($A665,#REF!,6,FALSE)&gt;2,HLOOKUP($A665,#REF!,6,FALSE)&lt;-2),"",#REF!),"")</f>
        <v/>
      </c>
      <c r="I665" t="str">
        <f>IFERROR(IF(OR(HLOOKUP($A665,#REF!,7,FALSE)&gt;2,HLOOKUP($A665,#REF!,7,FALSE)&lt;-2),"",#REF!),"")</f>
        <v/>
      </c>
      <c r="J665" t="str">
        <f>IFERROR(IF(OR(HLOOKUP($A665,#REF!,8,FALSE)&gt;2,HLOOKUP($A665,#REF!,8,FALSE)&lt;-2),"",#REF!),"")</f>
        <v/>
      </c>
      <c r="K665" t="str">
        <f>IFERROR(IF(OR(HLOOKUP($A665,#REF!,9,FALSE)&gt;2,HLOOKUP($A665,#REF!,9,FALSE)&lt;-2),"",#REF!),"")</f>
        <v/>
      </c>
      <c r="L665" t="str">
        <f>IFERROR(IF(OR(HLOOKUP($A665,#REF!,10,FALSE)&gt;2,HLOOKUP($A665,#REF!,10,FALSE)&lt;-2),"",#REF!),"")</f>
        <v/>
      </c>
      <c r="M665" t="str">
        <f>IFERROR(IF(OR(HLOOKUP($A665,#REF!,11,FALSE)&gt;2,HLOOKUP($A665,#REF!,11,FALSE)&lt;-2),"",#REF!),"")</f>
        <v/>
      </c>
      <c r="N665" t="str">
        <f>IFERROR(IF(OR(HLOOKUP($A665,#REF!,12,FALSE)&gt;2,HLOOKUP($A665,#REF!,12,FALSE)&lt;-2),"",#REF!),"")</f>
        <v/>
      </c>
      <c r="O665" t="str">
        <f>IFERROR(IF(OR(HLOOKUP($A665,#REF!,13,FALSE)&gt;2,HLOOKUP($A665,#REF!,13,FALSE)&lt;-2),"",#REF!),"")</f>
        <v/>
      </c>
      <c r="P665" t="str">
        <f>IFERROR(IF(OR(HLOOKUP($A665,#REF!,14,FALSE)&gt;2,HLOOKUP($A665,#REF!,14,FALSE)&lt;-2),"",#REF!),"")</f>
        <v/>
      </c>
      <c r="Q665" t="str">
        <f>IFERROR(IF(OR(HLOOKUP($A665,#REF!,15,FALSE)&gt;2,HLOOKUP($A665,#REF!,15,FALSE)&lt;-2),"",#REF!),"")</f>
        <v/>
      </c>
      <c r="R665" t="str">
        <f>IFERROR(IF(OR(HLOOKUP($A665,#REF!,16,FALSE)&gt;2,HLOOKUP($A665,#REF!,16,FALSE)&lt;-2),"",#REF!),"")</f>
        <v/>
      </c>
      <c r="S665" t="str">
        <f>IFERROR(IF(OR(HLOOKUP($A665,#REF!,17,FALSE)&gt;2,HLOOKUP($A665,#REF!,17,FALSE)&lt;-2),"",#REF!),"")</f>
        <v/>
      </c>
      <c r="T665" t="str">
        <f>IFERROR(IF(OR(HLOOKUP($A665,#REF!,18,FALSE)&gt;2,HLOOKUP($A665,#REF!,18,FALSE)&lt;-2),"",#REF!),"")</f>
        <v/>
      </c>
      <c r="U665" t="str">
        <f>IFERROR(IF(OR(HLOOKUP($A665,#REF!,19,FALSE)&gt;2,HLOOKUP($A665,#REF!,19,FALSE)&lt;-2),"",#REF!),"")</f>
        <v/>
      </c>
      <c r="V665">
        <f t="shared" si="40"/>
        <v>1</v>
      </c>
      <c r="W665" t="str">
        <f t="shared" si="41"/>
        <v/>
      </c>
      <c r="X665" t="str">
        <f t="shared" si="42"/>
        <v/>
      </c>
      <c r="Y665" t="str">
        <f t="shared" si="43"/>
        <v/>
      </c>
    </row>
    <row r="666" spans="1:25" x14ac:dyDescent="0.35">
      <c r="A666">
        <v>674</v>
      </c>
      <c r="B666" t="s">
        <v>937</v>
      </c>
      <c r="C666">
        <v>91000</v>
      </c>
      <c r="D666">
        <v>651</v>
      </c>
      <c r="E666" t="str">
        <f>IFERROR(IF(OR(HLOOKUP($A666,#REF!,3,FALSE)&gt;2,HLOOKUP(A666,#REF!,3,FALSE)&lt;-2),"",#REF!),"")</f>
        <v/>
      </c>
      <c r="F666" t="str">
        <f>IFERROR(IF(OR(HLOOKUP($A666,#REF!,4,FALSE)&gt;2,HLOOKUP($A666,#REF!,4,FALSE)&lt;-2),"",#REF!),"")</f>
        <v/>
      </c>
      <c r="G666" t="str">
        <f>IFERROR(IF(OR(HLOOKUP($A666,#REF!,5,FALSE)&gt;2,HLOOKUP($A666,#REF!,5,FALSE)&lt;-2),"",#REF!),"")</f>
        <v/>
      </c>
      <c r="H666" t="str">
        <f>IFERROR(IF(OR(HLOOKUP($A666,#REF!,6,FALSE)&gt;2,HLOOKUP($A666,#REF!,6,FALSE)&lt;-2),"",#REF!),"")</f>
        <v/>
      </c>
      <c r="I666" t="str">
        <f>IFERROR(IF(OR(HLOOKUP($A666,#REF!,7,FALSE)&gt;2,HLOOKUP($A666,#REF!,7,FALSE)&lt;-2),"",#REF!),"")</f>
        <v/>
      </c>
      <c r="J666" t="str">
        <f>IFERROR(IF(OR(HLOOKUP($A666,#REF!,8,FALSE)&gt;2,HLOOKUP($A666,#REF!,8,FALSE)&lt;-2),"",#REF!),"")</f>
        <v/>
      </c>
      <c r="K666" t="str">
        <f>IFERROR(IF(OR(HLOOKUP($A666,#REF!,9,FALSE)&gt;2,HLOOKUP($A666,#REF!,9,FALSE)&lt;-2),"",#REF!),"")</f>
        <v/>
      </c>
      <c r="L666" t="str">
        <f>IFERROR(IF(OR(HLOOKUP($A666,#REF!,10,FALSE)&gt;2,HLOOKUP($A666,#REF!,10,FALSE)&lt;-2),"",#REF!),"")</f>
        <v/>
      </c>
      <c r="M666" t="str">
        <f>IFERROR(IF(OR(HLOOKUP($A666,#REF!,11,FALSE)&gt;2,HLOOKUP($A666,#REF!,11,FALSE)&lt;-2),"",#REF!),"")</f>
        <v/>
      </c>
      <c r="N666" t="str">
        <f>IFERROR(IF(OR(HLOOKUP($A666,#REF!,12,FALSE)&gt;2,HLOOKUP($A666,#REF!,12,FALSE)&lt;-2),"",#REF!),"")</f>
        <v/>
      </c>
      <c r="O666" t="str">
        <f>IFERROR(IF(OR(HLOOKUP($A666,#REF!,13,FALSE)&gt;2,HLOOKUP($A666,#REF!,13,FALSE)&lt;-2),"",#REF!),"")</f>
        <v/>
      </c>
      <c r="P666" t="str">
        <f>IFERROR(IF(OR(HLOOKUP($A666,#REF!,14,FALSE)&gt;2,HLOOKUP($A666,#REF!,14,FALSE)&lt;-2),"",#REF!),"")</f>
        <v/>
      </c>
      <c r="Q666" t="str">
        <f>IFERROR(IF(OR(HLOOKUP($A666,#REF!,15,FALSE)&gt;2,HLOOKUP($A666,#REF!,15,FALSE)&lt;-2),"",#REF!),"")</f>
        <v/>
      </c>
      <c r="R666" t="str">
        <f>IFERROR(IF(OR(HLOOKUP($A666,#REF!,16,FALSE)&gt;2,HLOOKUP($A666,#REF!,16,FALSE)&lt;-2),"",#REF!),"")</f>
        <v/>
      </c>
      <c r="S666" t="str">
        <f>IFERROR(IF(OR(HLOOKUP($A666,#REF!,17,FALSE)&gt;2,HLOOKUP($A666,#REF!,17,FALSE)&lt;-2),"",#REF!),"")</f>
        <v/>
      </c>
      <c r="T666" t="str">
        <f>IFERROR(IF(OR(HLOOKUP($A666,#REF!,18,FALSE)&gt;2,HLOOKUP($A666,#REF!,18,FALSE)&lt;-2),"",#REF!),"")</f>
        <v/>
      </c>
      <c r="U666" t="str">
        <f>IFERROR(IF(OR(HLOOKUP($A666,#REF!,19,FALSE)&gt;2,HLOOKUP($A666,#REF!,19,FALSE)&lt;-2),"",#REF!),"")</f>
        <v/>
      </c>
      <c r="V666">
        <f t="shared" si="40"/>
        <v>1</v>
      </c>
      <c r="W666" t="str">
        <f t="shared" si="41"/>
        <v/>
      </c>
      <c r="X666" t="str">
        <f t="shared" si="42"/>
        <v/>
      </c>
      <c r="Y666" t="str">
        <f t="shared" si="43"/>
        <v/>
      </c>
    </row>
    <row r="667" spans="1:25" x14ac:dyDescent="0.35">
      <c r="A667">
        <v>675</v>
      </c>
      <c r="B667" t="s">
        <v>332</v>
      </c>
      <c r="C667">
        <v>25000</v>
      </c>
      <c r="D667">
        <v>119</v>
      </c>
      <c r="E667" t="str">
        <f>IFERROR(IF(OR(HLOOKUP($A667,#REF!,3,FALSE)&gt;2,HLOOKUP(A667,#REF!,3,FALSE)&lt;-2),"",#REF!),"")</f>
        <v/>
      </c>
      <c r="F667" t="str">
        <f>IFERROR(IF(OR(HLOOKUP($A667,#REF!,4,FALSE)&gt;2,HLOOKUP($A667,#REF!,4,FALSE)&lt;-2),"",#REF!),"")</f>
        <v/>
      </c>
      <c r="G667" t="str">
        <f>IFERROR(IF(OR(HLOOKUP($A667,#REF!,5,FALSE)&gt;2,HLOOKUP($A667,#REF!,5,FALSE)&lt;-2),"",#REF!),"")</f>
        <v/>
      </c>
      <c r="H667" t="str">
        <f>IFERROR(IF(OR(HLOOKUP($A667,#REF!,6,FALSE)&gt;2,HLOOKUP($A667,#REF!,6,FALSE)&lt;-2),"",#REF!),"")</f>
        <v/>
      </c>
      <c r="I667" t="str">
        <f>IFERROR(IF(OR(HLOOKUP($A667,#REF!,7,FALSE)&gt;2,HLOOKUP($A667,#REF!,7,FALSE)&lt;-2),"",#REF!),"")</f>
        <v/>
      </c>
      <c r="J667" t="str">
        <f>IFERROR(IF(OR(HLOOKUP($A667,#REF!,8,FALSE)&gt;2,HLOOKUP($A667,#REF!,8,FALSE)&lt;-2),"",#REF!),"")</f>
        <v/>
      </c>
      <c r="K667" t="str">
        <f>IFERROR(IF(OR(HLOOKUP($A667,#REF!,9,FALSE)&gt;2,HLOOKUP($A667,#REF!,9,FALSE)&lt;-2),"",#REF!),"")</f>
        <v/>
      </c>
      <c r="L667" t="str">
        <f>IFERROR(IF(OR(HLOOKUP($A667,#REF!,10,FALSE)&gt;2,HLOOKUP($A667,#REF!,10,FALSE)&lt;-2),"",#REF!),"")</f>
        <v/>
      </c>
      <c r="M667" t="str">
        <f>IFERROR(IF(OR(HLOOKUP($A667,#REF!,11,FALSE)&gt;2,HLOOKUP($A667,#REF!,11,FALSE)&lt;-2),"",#REF!),"")</f>
        <v/>
      </c>
      <c r="N667" t="str">
        <f>IFERROR(IF(OR(HLOOKUP($A667,#REF!,12,FALSE)&gt;2,HLOOKUP($A667,#REF!,12,FALSE)&lt;-2),"",#REF!),"")</f>
        <v/>
      </c>
      <c r="O667" t="str">
        <f>IFERROR(IF(OR(HLOOKUP($A667,#REF!,13,FALSE)&gt;2,HLOOKUP($A667,#REF!,13,FALSE)&lt;-2),"",#REF!),"")</f>
        <v/>
      </c>
      <c r="P667" t="str">
        <f>IFERROR(IF(OR(HLOOKUP($A667,#REF!,14,FALSE)&gt;2,HLOOKUP($A667,#REF!,14,FALSE)&lt;-2),"",#REF!),"")</f>
        <v/>
      </c>
      <c r="Q667" t="str">
        <f>IFERROR(IF(OR(HLOOKUP($A667,#REF!,15,FALSE)&gt;2,HLOOKUP($A667,#REF!,15,FALSE)&lt;-2),"",#REF!),"")</f>
        <v/>
      </c>
      <c r="R667" t="str">
        <f>IFERROR(IF(OR(HLOOKUP($A667,#REF!,16,FALSE)&gt;2,HLOOKUP($A667,#REF!,16,FALSE)&lt;-2),"",#REF!),"")</f>
        <v/>
      </c>
      <c r="S667" t="str">
        <f>IFERROR(IF(OR(HLOOKUP($A667,#REF!,17,FALSE)&gt;2,HLOOKUP($A667,#REF!,17,FALSE)&lt;-2),"",#REF!),"")</f>
        <v/>
      </c>
      <c r="T667" t="str">
        <f>IFERROR(IF(OR(HLOOKUP($A667,#REF!,18,FALSE)&gt;2,HLOOKUP($A667,#REF!,18,FALSE)&lt;-2),"",#REF!),"")</f>
        <v/>
      </c>
      <c r="U667" t="str">
        <f>IFERROR(IF(OR(HLOOKUP($A667,#REF!,19,FALSE)&gt;2,HLOOKUP($A667,#REF!,19,FALSE)&lt;-2),"",#REF!),"")</f>
        <v/>
      </c>
      <c r="V667">
        <f t="shared" si="40"/>
        <v>1</v>
      </c>
      <c r="W667" t="str">
        <f t="shared" si="41"/>
        <v/>
      </c>
      <c r="X667" t="str">
        <f t="shared" si="42"/>
        <v/>
      </c>
      <c r="Y667" t="str">
        <f t="shared" si="43"/>
        <v/>
      </c>
    </row>
    <row r="668" spans="1:25" x14ac:dyDescent="0.35">
      <c r="A668">
        <v>676</v>
      </c>
      <c r="B668" t="s">
        <v>938</v>
      </c>
      <c r="C668">
        <v>72600</v>
      </c>
      <c r="D668">
        <v>830</v>
      </c>
      <c r="E668" t="str">
        <f>IFERROR(IF(OR(HLOOKUP($A668,#REF!,3,FALSE)&gt;2,HLOOKUP(A668,#REF!,3,FALSE)&lt;-2),"",#REF!),"")</f>
        <v/>
      </c>
      <c r="F668" t="str">
        <f>IFERROR(IF(OR(HLOOKUP($A668,#REF!,4,FALSE)&gt;2,HLOOKUP($A668,#REF!,4,FALSE)&lt;-2),"",#REF!),"")</f>
        <v/>
      </c>
      <c r="G668" t="str">
        <f>IFERROR(IF(OR(HLOOKUP($A668,#REF!,5,FALSE)&gt;2,HLOOKUP($A668,#REF!,5,FALSE)&lt;-2),"",#REF!),"")</f>
        <v/>
      </c>
      <c r="H668" t="str">
        <f>IFERROR(IF(OR(HLOOKUP($A668,#REF!,6,FALSE)&gt;2,HLOOKUP($A668,#REF!,6,FALSE)&lt;-2),"",#REF!),"")</f>
        <v/>
      </c>
      <c r="I668" t="str">
        <f>IFERROR(IF(OR(HLOOKUP($A668,#REF!,7,FALSE)&gt;2,HLOOKUP($A668,#REF!,7,FALSE)&lt;-2),"",#REF!),"")</f>
        <v/>
      </c>
      <c r="J668" t="str">
        <f>IFERROR(IF(OR(HLOOKUP($A668,#REF!,8,FALSE)&gt;2,HLOOKUP($A668,#REF!,8,FALSE)&lt;-2),"",#REF!),"")</f>
        <v/>
      </c>
      <c r="K668" t="str">
        <f>IFERROR(IF(OR(HLOOKUP($A668,#REF!,9,FALSE)&gt;2,HLOOKUP($A668,#REF!,9,FALSE)&lt;-2),"",#REF!),"")</f>
        <v/>
      </c>
      <c r="L668" t="str">
        <f>IFERROR(IF(OR(HLOOKUP($A668,#REF!,10,FALSE)&gt;2,HLOOKUP($A668,#REF!,10,FALSE)&lt;-2),"",#REF!),"")</f>
        <v/>
      </c>
      <c r="M668" t="str">
        <f>IFERROR(IF(OR(HLOOKUP($A668,#REF!,11,FALSE)&gt;2,HLOOKUP($A668,#REF!,11,FALSE)&lt;-2),"",#REF!),"")</f>
        <v/>
      </c>
      <c r="N668" t="str">
        <f>IFERROR(IF(OR(HLOOKUP($A668,#REF!,12,FALSE)&gt;2,HLOOKUP($A668,#REF!,12,FALSE)&lt;-2),"",#REF!),"")</f>
        <v/>
      </c>
      <c r="O668" t="str">
        <f>IFERROR(IF(OR(HLOOKUP($A668,#REF!,13,FALSE)&gt;2,HLOOKUP($A668,#REF!,13,FALSE)&lt;-2),"",#REF!),"")</f>
        <v/>
      </c>
      <c r="P668" t="str">
        <f>IFERROR(IF(OR(HLOOKUP($A668,#REF!,14,FALSE)&gt;2,HLOOKUP($A668,#REF!,14,FALSE)&lt;-2),"",#REF!),"")</f>
        <v/>
      </c>
      <c r="Q668" t="str">
        <f>IFERROR(IF(OR(HLOOKUP($A668,#REF!,15,FALSE)&gt;2,HLOOKUP($A668,#REF!,15,FALSE)&lt;-2),"",#REF!),"")</f>
        <v/>
      </c>
      <c r="R668" t="str">
        <f>IFERROR(IF(OR(HLOOKUP($A668,#REF!,16,FALSE)&gt;2,HLOOKUP($A668,#REF!,16,FALSE)&lt;-2),"",#REF!),"")</f>
        <v/>
      </c>
      <c r="S668" t="str">
        <f>IFERROR(IF(OR(HLOOKUP($A668,#REF!,17,FALSE)&gt;2,HLOOKUP($A668,#REF!,17,FALSE)&lt;-2),"",#REF!),"")</f>
        <v/>
      </c>
      <c r="T668" t="str">
        <f>IFERROR(IF(OR(HLOOKUP($A668,#REF!,18,FALSE)&gt;2,HLOOKUP($A668,#REF!,18,FALSE)&lt;-2),"",#REF!),"")</f>
        <v/>
      </c>
      <c r="U668" t="str">
        <f>IFERROR(IF(OR(HLOOKUP($A668,#REF!,19,FALSE)&gt;2,HLOOKUP($A668,#REF!,19,FALSE)&lt;-2),"",#REF!),"")</f>
        <v/>
      </c>
      <c r="V668">
        <f t="shared" si="40"/>
        <v>1</v>
      </c>
      <c r="W668" t="str">
        <f t="shared" si="41"/>
        <v/>
      </c>
      <c r="X668" t="str">
        <f t="shared" si="42"/>
        <v/>
      </c>
      <c r="Y668" t="str">
        <f t="shared" si="43"/>
        <v/>
      </c>
    </row>
    <row r="669" spans="1:25" x14ac:dyDescent="0.35">
      <c r="A669">
        <v>677</v>
      </c>
      <c r="B669" t="s">
        <v>939</v>
      </c>
      <c r="C669">
        <v>9800</v>
      </c>
      <c r="D669">
        <v>315</v>
      </c>
      <c r="E669" t="str">
        <f>IFERROR(IF(OR(HLOOKUP($A669,#REF!,3,FALSE)&gt;2,HLOOKUP(A669,#REF!,3,FALSE)&lt;-2),"",#REF!),"")</f>
        <v/>
      </c>
      <c r="F669" t="str">
        <f>IFERROR(IF(OR(HLOOKUP($A669,#REF!,4,FALSE)&gt;2,HLOOKUP($A669,#REF!,4,FALSE)&lt;-2),"",#REF!),"")</f>
        <v/>
      </c>
      <c r="G669" t="str">
        <f>IFERROR(IF(OR(HLOOKUP($A669,#REF!,5,FALSE)&gt;2,HLOOKUP($A669,#REF!,5,FALSE)&lt;-2),"",#REF!),"")</f>
        <v/>
      </c>
      <c r="H669" t="str">
        <f>IFERROR(IF(OR(HLOOKUP($A669,#REF!,6,FALSE)&gt;2,HLOOKUP($A669,#REF!,6,FALSE)&lt;-2),"",#REF!),"")</f>
        <v/>
      </c>
      <c r="I669" t="str">
        <f>IFERROR(IF(OR(HLOOKUP($A669,#REF!,7,FALSE)&gt;2,HLOOKUP($A669,#REF!,7,FALSE)&lt;-2),"",#REF!),"")</f>
        <v/>
      </c>
      <c r="J669" t="str">
        <f>IFERROR(IF(OR(HLOOKUP($A669,#REF!,8,FALSE)&gt;2,HLOOKUP($A669,#REF!,8,FALSE)&lt;-2),"",#REF!),"")</f>
        <v/>
      </c>
      <c r="K669" t="str">
        <f>IFERROR(IF(OR(HLOOKUP($A669,#REF!,9,FALSE)&gt;2,HLOOKUP($A669,#REF!,9,FALSE)&lt;-2),"",#REF!),"")</f>
        <v/>
      </c>
      <c r="L669" t="str">
        <f>IFERROR(IF(OR(HLOOKUP($A669,#REF!,10,FALSE)&gt;2,HLOOKUP($A669,#REF!,10,FALSE)&lt;-2),"",#REF!),"")</f>
        <v/>
      </c>
      <c r="M669" t="str">
        <f>IFERROR(IF(OR(HLOOKUP($A669,#REF!,11,FALSE)&gt;2,HLOOKUP($A669,#REF!,11,FALSE)&lt;-2),"",#REF!),"")</f>
        <v/>
      </c>
      <c r="N669" t="str">
        <f>IFERROR(IF(OR(HLOOKUP($A669,#REF!,12,FALSE)&gt;2,HLOOKUP($A669,#REF!,12,FALSE)&lt;-2),"",#REF!),"")</f>
        <v/>
      </c>
      <c r="O669" t="str">
        <f>IFERROR(IF(OR(HLOOKUP($A669,#REF!,13,FALSE)&gt;2,HLOOKUP($A669,#REF!,13,FALSE)&lt;-2),"",#REF!),"")</f>
        <v/>
      </c>
      <c r="P669" t="str">
        <f>IFERROR(IF(OR(HLOOKUP($A669,#REF!,14,FALSE)&gt;2,HLOOKUP($A669,#REF!,14,FALSE)&lt;-2),"",#REF!),"")</f>
        <v/>
      </c>
      <c r="Q669" t="str">
        <f>IFERROR(IF(OR(HLOOKUP($A669,#REF!,15,FALSE)&gt;2,HLOOKUP($A669,#REF!,15,FALSE)&lt;-2),"",#REF!),"")</f>
        <v/>
      </c>
      <c r="R669" t="str">
        <f>IFERROR(IF(OR(HLOOKUP($A669,#REF!,16,FALSE)&gt;2,HLOOKUP($A669,#REF!,16,FALSE)&lt;-2),"",#REF!),"")</f>
        <v/>
      </c>
      <c r="S669" t="str">
        <f>IFERROR(IF(OR(HLOOKUP($A669,#REF!,17,FALSE)&gt;2,HLOOKUP($A669,#REF!,17,FALSE)&lt;-2),"",#REF!),"")</f>
        <v/>
      </c>
      <c r="T669" t="str">
        <f>IFERROR(IF(OR(HLOOKUP($A669,#REF!,18,FALSE)&gt;2,HLOOKUP($A669,#REF!,18,FALSE)&lt;-2),"",#REF!),"")</f>
        <v/>
      </c>
      <c r="U669" t="str">
        <f>IFERROR(IF(OR(HLOOKUP($A669,#REF!,19,FALSE)&gt;2,HLOOKUP($A669,#REF!,19,FALSE)&lt;-2),"",#REF!),"")</f>
        <v/>
      </c>
      <c r="V669">
        <f t="shared" si="40"/>
        <v>1</v>
      </c>
      <c r="W669" t="str">
        <f t="shared" si="41"/>
        <v/>
      </c>
      <c r="X669" t="str">
        <f t="shared" si="42"/>
        <v/>
      </c>
      <c r="Y669" t="str">
        <f t="shared" si="43"/>
        <v/>
      </c>
    </row>
    <row r="670" spans="1:25" x14ac:dyDescent="0.35">
      <c r="A670">
        <v>678</v>
      </c>
      <c r="B670" t="s">
        <v>333</v>
      </c>
      <c r="C670">
        <v>10900</v>
      </c>
      <c r="D670">
        <v>1011</v>
      </c>
      <c r="E670" t="str">
        <f>IFERROR(IF(OR(HLOOKUP($A670,#REF!,3,FALSE)&gt;2,HLOOKUP(A670,#REF!,3,FALSE)&lt;-2),"",#REF!),"")</f>
        <v/>
      </c>
      <c r="F670" t="str">
        <f>IFERROR(IF(OR(HLOOKUP($A670,#REF!,4,FALSE)&gt;2,HLOOKUP($A670,#REF!,4,FALSE)&lt;-2),"",#REF!),"")</f>
        <v/>
      </c>
      <c r="G670" t="str">
        <f>IFERROR(IF(OR(HLOOKUP($A670,#REF!,5,FALSE)&gt;2,HLOOKUP($A670,#REF!,5,FALSE)&lt;-2),"",#REF!),"")</f>
        <v/>
      </c>
      <c r="H670" t="str">
        <f>IFERROR(IF(OR(HLOOKUP($A670,#REF!,6,FALSE)&gt;2,HLOOKUP($A670,#REF!,6,FALSE)&lt;-2),"",#REF!),"")</f>
        <v/>
      </c>
      <c r="I670" t="str">
        <f>IFERROR(IF(OR(HLOOKUP($A670,#REF!,7,FALSE)&gt;2,HLOOKUP($A670,#REF!,7,FALSE)&lt;-2),"",#REF!),"")</f>
        <v/>
      </c>
      <c r="J670" t="str">
        <f>IFERROR(IF(OR(HLOOKUP($A670,#REF!,8,FALSE)&gt;2,HLOOKUP($A670,#REF!,8,FALSE)&lt;-2),"",#REF!),"")</f>
        <v/>
      </c>
      <c r="K670" t="str">
        <f>IFERROR(IF(OR(HLOOKUP($A670,#REF!,9,FALSE)&gt;2,HLOOKUP($A670,#REF!,9,FALSE)&lt;-2),"",#REF!),"")</f>
        <v/>
      </c>
      <c r="L670" t="str">
        <f>IFERROR(IF(OR(HLOOKUP($A670,#REF!,10,FALSE)&gt;2,HLOOKUP($A670,#REF!,10,FALSE)&lt;-2),"",#REF!),"")</f>
        <v/>
      </c>
      <c r="M670" t="str">
        <f>IFERROR(IF(OR(HLOOKUP($A670,#REF!,11,FALSE)&gt;2,HLOOKUP($A670,#REF!,11,FALSE)&lt;-2),"",#REF!),"")</f>
        <v/>
      </c>
      <c r="N670" t="str">
        <f>IFERROR(IF(OR(HLOOKUP($A670,#REF!,12,FALSE)&gt;2,HLOOKUP($A670,#REF!,12,FALSE)&lt;-2),"",#REF!),"")</f>
        <v/>
      </c>
      <c r="O670" t="str">
        <f>IFERROR(IF(OR(HLOOKUP($A670,#REF!,13,FALSE)&gt;2,HLOOKUP($A670,#REF!,13,FALSE)&lt;-2),"",#REF!),"")</f>
        <v/>
      </c>
      <c r="P670" t="str">
        <f>IFERROR(IF(OR(HLOOKUP($A670,#REF!,14,FALSE)&gt;2,HLOOKUP($A670,#REF!,14,FALSE)&lt;-2),"",#REF!),"")</f>
        <v/>
      </c>
      <c r="Q670" t="str">
        <f>IFERROR(IF(OR(HLOOKUP($A670,#REF!,15,FALSE)&gt;2,HLOOKUP($A670,#REF!,15,FALSE)&lt;-2),"",#REF!),"")</f>
        <v/>
      </c>
      <c r="R670" t="str">
        <f>IFERROR(IF(OR(HLOOKUP($A670,#REF!,16,FALSE)&gt;2,HLOOKUP($A670,#REF!,16,FALSE)&lt;-2),"",#REF!),"")</f>
        <v/>
      </c>
      <c r="S670" t="str">
        <f>IFERROR(IF(OR(HLOOKUP($A670,#REF!,17,FALSE)&gt;2,HLOOKUP($A670,#REF!,17,FALSE)&lt;-2),"",#REF!),"")</f>
        <v/>
      </c>
      <c r="T670" t="str">
        <f>IFERROR(IF(OR(HLOOKUP($A670,#REF!,18,FALSE)&gt;2,HLOOKUP($A670,#REF!,18,FALSE)&lt;-2),"",#REF!),"")</f>
        <v/>
      </c>
      <c r="U670" t="str">
        <f>IFERROR(IF(OR(HLOOKUP($A670,#REF!,19,FALSE)&gt;2,HLOOKUP($A670,#REF!,19,FALSE)&lt;-2),"",#REF!),"")</f>
        <v/>
      </c>
      <c r="V670">
        <f t="shared" si="40"/>
        <v>1</v>
      </c>
      <c r="W670" t="str">
        <f t="shared" si="41"/>
        <v/>
      </c>
      <c r="X670" t="str">
        <f t="shared" si="42"/>
        <v/>
      </c>
      <c r="Y670" t="str">
        <f t="shared" si="43"/>
        <v/>
      </c>
    </row>
    <row r="671" spans="1:25" x14ac:dyDescent="0.35">
      <c r="A671">
        <v>679</v>
      </c>
      <c r="B671" t="s">
        <v>940</v>
      </c>
      <c r="C671">
        <v>88400</v>
      </c>
      <c r="D671">
        <v>1117</v>
      </c>
      <c r="E671" t="str">
        <f>IFERROR(IF(OR(HLOOKUP($A671,#REF!,3,FALSE)&gt;2,HLOOKUP(A671,#REF!,3,FALSE)&lt;-2),"",#REF!),"")</f>
        <v/>
      </c>
      <c r="F671" t="str">
        <f>IFERROR(IF(OR(HLOOKUP($A671,#REF!,4,FALSE)&gt;2,HLOOKUP($A671,#REF!,4,FALSE)&lt;-2),"",#REF!),"")</f>
        <v/>
      </c>
      <c r="G671" t="str">
        <f>IFERROR(IF(OR(HLOOKUP($A671,#REF!,5,FALSE)&gt;2,HLOOKUP($A671,#REF!,5,FALSE)&lt;-2),"",#REF!),"")</f>
        <v/>
      </c>
      <c r="H671" t="str">
        <f>IFERROR(IF(OR(HLOOKUP($A671,#REF!,6,FALSE)&gt;2,HLOOKUP($A671,#REF!,6,FALSE)&lt;-2),"",#REF!),"")</f>
        <v/>
      </c>
      <c r="I671" t="str">
        <f>IFERROR(IF(OR(HLOOKUP($A671,#REF!,7,FALSE)&gt;2,HLOOKUP($A671,#REF!,7,FALSE)&lt;-2),"",#REF!),"")</f>
        <v/>
      </c>
      <c r="J671" t="str">
        <f>IFERROR(IF(OR(HLOOKUP($A671,#REF!,8,FALSE)&gt;2,HLOOKUP($A671,#REF!,8,FALSE)&lt;-2),"",#REF!),"")</f>
        <v/>
      </c>
      <c r="K671" t="str">
        <f>IFERROR(IF(OR(HLOOKUP($A671,#REF!,9,FALSE)&gt;2,HLOOKUP($A671,#REF!,9,FALSE)&lt;-2),"",#REF!),"")</f>
        <v/>
      </c>
      <c r="L671" t="str">
        <f>IFERROR(IF(OR(HLOOKUP($A671,#REF!,10,FALSE)&gt;2,HLOOKUP($A671,#REF!,10,FALSE)&lt;-2),"",#REF!),"")</f>
        <v/>
      </c>
      <c r="M671" t="str">
        <f>IFERROR(IF(OR(HLOOKUP($A671,#REF!,11,FALSE)&gt;2,HLOOKUP($A671,#REF!,11,FALSE)&lt;-2),"",#REF!),"")</f>
        <v/>
      </c>
      <c r="N671" t="str">
        <f>IFERROR(IF(OR(HLOOKUP($A671,#REF!,12,FALSE)&gt;2,HLOOKUP($A671,#REF!,12,FALSE)&lt;-2),"",#REF!),"")</f>
        <v/>
      </c>
      <c r="O671" t="str">
        <f>IFERROR(IF(OR(HLOOKUP($A671,#REF!,13,FALSE)&gt;2,HLOOKUP($A671,#REF!,13,FALSE)&lt;-2),"",#REF!),"")</f>
        <v/>
      </c>
      <c r="P671" t="str">
        <f>IFERROR(IF(OR(HLOOKUP($A671,#REF!,14,FALSE)&gt;2,HLOOKUP($A671,#REF!,14,FALSE)&lt;-2),"",#REF!),"")</f>
        <v/>
      </c>
      <c r="Q671" t="str">
        <f>IFERROR(IF(OR(HLOOKUP($A671,#REF!,15,FALSE)&gt;2,HLOOKUP($A671,#REF!,15,FALSE)&lt;-2),"",#REF!),"")</f>
        <v/>
      </c>
      <c r="R671" t="str">
        <f>IFERROR(IF(OR(HLOOKUP($A671,#REF!,16,FALSE)&gt;2,HLOOKUP($A671,#REF!,16,FALSE)&lt;-2),"",#REF!),"")</f>
        <v/>
      </c>
      <c r="S671" t="str">
        <f>IFERROR(IF(OR(HLOOKUP($A671,#REF!,17,FALSE)&gt;2,HLOOKUP($A671,#REF!,17,FALSE)&lt;-2),"",#REF!),"")</f>
        <v/>
      </c>
      <c r="T671" t="str">
        <f>IFERROR(IF(OR(HLOOKUP($A671,#REF!,18,FALSE)&gt;2,HLOOKUP($A671,#REF!,18,FALSE)&lt;-2),"",#REF!),"")</f>
        <v/>
      </c>
      <c r="U671" t="str">
        <f>IFERROR(IF(OR(HLOOKUP($A671,#REF!,19,FALSE)&gt;2,HLOOKUP($A671,#REF!,19,FALSE)&lt;-2),"",#REF!),"")</f>
        <v/>
      </c>
      <c r="V671">
        <f t="shared" si="40"/>
        <v>1</v>
      </c>
      <c r="W671" t="str">
        <f t="shared" si="41"/>
        <v/>
      </c>
      <c r="X671" t="str">
        <f t="shared" si="42"/>
        <v/>
      </c>
      <c r="Y671" t="str">
        <f t="shared" si="43"/>
        <v/>
      </c>
    </row>
    <row r="672" spans="1:25" x14ac:dyDescent="0.35">
      <c r="A672">
        <v>680</v>
      </c>
      <c r="B672" t="s">
        <v>334</v>
      </c>
      <c r="C672">
        <v>23200</v>
      </c>
      <c r="D672">
        <v>746</v>
      </c>
      <c r="E672" t="str">
        <f>IFERROR(IF(OR(HLOOKUP($A672,#REF!,3,FALSE)&gt;2,HLOOKUP(A672,#REF!,3,FALSE)&lt;-2),"",#REF!),"")</f>
        <v/>
      </c>
      <c r="F672" t="str">
        <f>IFERROR(IF(OR(HLOOKUP($A672,#REF!,4,FALSE)&gt;2,HLOOKUP($A672,#REF!,4,FALSE)&lt;-2),"",#REF!),"")</f>
        <v/>
      </c>
      <c r="G672" t="str">
        <f>IFERROR(IF(OR(HLOOKUP($A672,#REF!,5,FALSE)&gt;2,HLOOKUP($A672,#REF!,5,FALSE)&lt;-2),"",#REF!),"")</f>
        <v/>
      </c>
      <c r="H672" t="str">
        <f>IFERROR(IF(OR(HLOOKUP($A672,#REF!,6,FALSE)&gt;2,HLOOKUP($A672,#REF!,6,FALSE)&lt;-2),"",#REF!),"")</f>
        <v/>
      </c>
      <c r="I672" t="str">
        <f>IFERROR(IF(OR(HLOOKUP($A672,#REF!,7,FALSE)&gt;2,HLOOKUP($A672,#REF!,7,FALSE)&lt;-2),"",#REF!),"")</f>
        <v/>
      </c>
      <c r="J672" t="str">
        <f>IFERROR(IF(OR(HLOOKUP($A672,#REF!,8,FALSE)&gt;2,HLOOKUP($A672,#REF!,8,FALSE)&lt;-2),"",#REF!),"")</f>
        <v/>
      </c>
      <c r="K672" t="str">
        <f>IFERROR(IF(OR(HLOOKUP($A672,#REF!,9,FALSE)&gt;2,HLOOKUP($A672,#REF!,9,FALSE)&lt;-2),"",#REF!),"")</f>
        <v/>
      </c>
      <c r="L672" t="str">
        <f>IFERROR(IF(OR(HLOOKUP($A672,#REF!,10,FALSE)&gt;2,HLOOKUP($A672,#REF!,10,FALSE)&lt;-2),"",#REF!),"")</f>
        <v/>
      </c>
      <c r="M672" t="str">
        <f>IFERROR(IF(OR(HLOOKUP($A672,#REF!,11,FALSE)&gt;2,HLOOKUP($A672,#REF!,11,FALSE)&lt;-2),"",#REF!),"")</f>
        <v/>
      </c>
      <c r="N672" t="str">
        <f>IFERROR(IF(OR(HLOOKUP($A672,#REF!,12,FALSE)&gt;2,HLOOKUP($A672,#REF!,12,FALSE)&lt;-2),"",#REF!),"")</f>
        <v/>
      </c>
      <c r="O672" t="str">
        <f>IFERROR(IF(OR(HLOOKUP($A672,#REF!,13,FALSE)&gt;2,HLOOKUP($A672,#REF!,13,FALSE)&lt;-2),"",#REF!),"")</f>
        <v/>
      </c>
      <c r="P672" t="str">
        <f>IFERROR(IF(OR(HLOOKUP($A672,#REF!,14,FALSE)&gt;2,HLOOKUP($A672,#REF!,14,FALSE)&lt;-2),"",#REF!),"")</f>
        <v/>
      </c>
      <c r="Q672" t="str">
        <f>IFERROR(IF(OR(HLOOKUP($A672,#REF!,15,FALSE)&gt;2,HLOOKUP($A672,#REF!,15,FALSE)&lt;-2),"",#REF!),"")</f>
        <v/>
      </c>
      <c r="R672" t="str">
        <f>IFERROR(IF(OR(HLOOKUP($A672,#REF!,16,FALSE)&gt;2,HLOOKUP($A672,#REF!,16,FALSE)&lt;-2),"",#REF!),"")</f>
        <v/>
      </c>
      <c r="S672" t="str">
        <f>IFERROR(IF(OR(HLOOKUP($A672,#REF!,17,FALSE)&gt;2,HLOOKUP($A672,#REF!,17,FALSE)&lt;-2),"",#REF!),"")</f>
        <v/>
      </c>
      <c r="T672" t="str">
        <f>IFERROR(IF(OR(HLOOKUP($A672,#REF!,18,FALSE)&gt;2,HLOOKUP($A672,#REF!,18,FALSE)&lt;-2),"",#REF!),"")</f>
        <v/>
      </c>
      <c r="U672" t="str">
        <f>IFERROR(IF(OR(HLOOKUP($A672,#REF!,19,FALSE)&gt;2,HLOOKUP($A672,#REF!,19,FALSE)&lt;-2),"",#REF!),"")</f>
        <v/>
      </c>
      <c r="V672">
        <f t="shared" si="40"/>
        <v>1</v>
      </c>
      <c r="W672" t="str">
        <f t="shared" si="41"/>
        <v/>
      </c>
      <c r="X672" t="str">
        <f t="shared" si="42"/>
        <v/>
      </c>
      <c r="Y672" t="str">
        <f t="shared" si="43"/>
        <v/>
      </c>
    </row>
    <row r="673" spans="1:25" x14ac:dyDescent="0.35">
      <c r="A673">
        <v>681</v>
      </c>
      <c r="B673" t="s">
        <v>335</v>
      </c>
      <c r="C673">
        <v>114600</v>
      </c>
      <c r="D673">
        <v>46</v>
      </c>
      <c r="E673" t="str">
        <f>IFERROR(IF(OR(HLOOKUP($A673,#REF!,3,FALSE)&gt;2,HLOOKUP(A673,#REF!,3,FALSE)&lt;-2),"",#REF!),"")</f>
        <v/>
      </c>
      <c r="F673" t="str">
        <f>IFERROR(IF(OR(HLOOKUP($A673,#REF!,4,FALSE)&gt;2,HLOOKUP($A673,#REF!,4,FALSE)&lt;-2),"",#REF!),"")</f>
        <v/>
      </c>
      <c r="G673" t="str">
        <f>IFERROR(IF(OR(HLOOKUP($A673,#REF!,5,FALSE)&gt;2,HLOOKUP($A673,#REF!,5,FALSE)&lt;-2),"",#REF!),"")</f>
        <v/>
      </c>
      <c r="H673" t="str">
        <f>IFERROR(IF(OR(HLOOKUP($A673,#REF!,6,FALSE)&gt;2,HLOOKUP($A673,#REF!,6,FALSE)&lt;-2),"",#REF!),"")</f>
        <v/>
      </c>
      <c r="I673" t="str">
        <f>IFERROR(IF(OR(HLOOKUP($A673,#REF!,7,FALSE)&gt;2,HLOOKUP($A673,#REF!,7,FALSE)&lt;-2),"",#REF!),"")</f>
        <v/>
      </c>
      <c r="J673" t="str">
        <f>IFERROR(IF(OR(HLOOKUP($A673,#REF!,8,FALSE)&gt;2,HLOOKUP($A673,#REF!,8,FALSE)&lt;-2),"",#REF!),"")</f>
        <v/>
      </c>
      <c r="K673" t="str">
        <f>IFERROR(IF(OR(HLOOKUP($A673,#REF!,9,FALSE)&gt;2,HLOOKUP($A673,#REF!,9,FALSE)&lt;-2),"",#REF!),"")</f>
        <v/>
      </c>
      <c r="L673" t="str">
        <f>IFERROR(IF(OR(HLOOKUP($A673,#REF!,10,FALSE)&gt;2,HLOOKUP($A673,#REF!,10,FALSE)&lt;-2),"",#REF!),"")</f>
        <v/>
      </c>
      <c r="M673" t="str">
        <f>IFERROR(IF(OR(HLOOKUP($A673,#REF!,11,FALSE)&gt;2,HLOOKUP($A673,#REF!,11,FALSE)&lt;-2),"",#REF!),"")</f>
        <v/>
      </c>
      <c r="N673" t="str">
        <f>IFERROR(IF(OR(HLOOKUP($A673,#REF!,12,FALSE)&gt;2,HLOOKUP($A673,#REF!,12,FALSE)&lt;-2),"",#REF!),"")</f>
        <v/>
      </c>
      <c r="O673" t="str">
        <f>IFERROR(IF(OR(HLOOKUP($A673,#REF!,13,FALSE)&gt;2,HLOOKUP($A673,#REF!,13,FALSE)&lt;-2),"",#REF!),"")</f>
        <v/>
      </c>
      <c r="P673" t="str">
        <f>IFERROR(IF(OR(HLOOKUP($A673,#REF!,14,FALSE)&gt;2,HLOOKUP($A673,#REF!,14,FALSE)&lt;-2),"",#REF!),"")</f>
        <v/>
      </c>
      <c r="Q673" t="str">
        <f>IFERROR(IF(OR(HLOOKUP($A673,#REF!,15,FALSE)&gt;2,HLOOKUP($A673,#REF!,15,FALSE)&lt;-2),"",#REF!),"")</f>
        <v/>
      </c>
      <c r="R673" t="str">
        <f>IFERROR(IF(OR(HLOOKUP($A673,#REF!,16,FALSE)&gt;2,HLOOKUP($A673,#REF!,16,FALSE)&lt;-2),"",#REF!),"")</f>
        <v/>
      </c>
      <c r="S673" t="str">
        <f>IFERROR(IF(OR(HLOOKUP($A673,#REF!,17,FALSE)&gt;2,HLOOKUP($A673,#REF!,17,FALSE)&lt;-2),"",#REF!),"")</f>
        <v/>
      </c>
      <c r="T673" t="str">
        <f>IFERROR(IF(OR(HLOOKUP($A673,#REF!,18,FALSE)&gt;2,HLOOKUP($A673,#REF!,18,FALSE)&lt;-2),"",#REF!),"")</f>
        <v/>
      </c>
      <c r="U673" t="str">
        <f>IFERROR(IF(OR(HLOOKUP($A673,#REF!,19,FALSE)&gt;2,HLOOKUP($A673,#REF!,19,FALSE)&lt;-2),"",#REF!),"")</f>
        <v/>
      </c>
      <c r="V673">
        <f t="shared" si="40"/>
        <v>1</v>
      </c>
      <c r="W673" t="str">
        <f t="shared" si="41"/>
        <v/>
      </c>
      <c r="X673" t="str">
        <f t="shared" si="42"/>
        <v/>
      </c>
      <c r="Y673" t="str">
        <f t="shared" si="43"/>
        <v/>
      </c>
    </row>
    <row r="674" spans="1:25" x14ac:dyDescent="0.35">
      <c r="A674">
        <v>682</v>
      </c>
      <c r="B674" t="s">
        <v>941</v>
      </c>
      <c r="C674">
        <v>91100</v>
      </c>
      <c r="D674">
        <v>651</v>
      </c>
      <c r="E674" t="str">
        <f>IFERROR(IF(OR(HLOOKUP($A674,#REF!,3,FALSE)&gt;2,HLOOKUP(A674,#REF!,3,FALSE)&lt;-2),"",#REF!),"")</f>
        <v/>
      </c>
      <c r="F674" t="str">
        <f>IFERROR(IF(OR(HLOOKUP($A674,#REF!,4,FALSE)&gt;2,HLOOKUP($A674,#REF!,4,FALSE)&lt;-2),"",#REF!),"")</f>
        <v/>
      </c>
      <c r="G674" t="str">
        <f>IFERROR(IF(OR(HLOOKUP($A674,#REF!,5,FALSE)&gt;2,HLOOKUP($A674,#REF!,5,FALSE)&lt;-2),"",#REF!),"")</f>
        <v/>
      </c>
      <c r="H674" t="str">
        <f>IFERROR(IF(OR(HLOOKUP($A674,#REF!,6,FALSE)&gt;2,HLOOKUP($A674,#REF!,6,FALSE)&lt;-2),"",#REF!),"")</f>
        <v/>
      </c>
      <c r="I674" t="str">
        <f>IFERROR(IF(OR(HLOOKUP($A674,#REF!,7,FALSE)&gt;2,HLOOKUP($A674,#REF!,7,FALSE)&lt;-2),"",#REF!),"")</f>
        <v/>
      </c>
      <c r="J674" t="str">
        <f>IFERROR(IF(OR(HLOOKUP($A674,#REF!,8,FALSE)&gt;2,HLOOKUP($A674,#REF!,8,FALSE)&lt;-2),"",#REF!),"")</f>
        <v/>
      </c>
      <c r="K674" t="str">
        <f>IFERROR(IF(OR(HLOOKUP($A674,#REF!,9,FALSE)&gt;2,HLOOKUP($A674,#REF!,9,FALSE)&lt;-2),"",#REF!),"")</f>
        <v/>
      </c>
      <c r="L674" t="str">
        <f>IFERROR(IF(OR(HLOOKUP($A674,#REF!,10,FALSE)&gt;2,HLOOKUP($A674,#REF!,10,FALSE)&lt;-2),"",#REF!),"")</f>
        <v/>
      </c>
      <c r="M674" t="str">
        <f>IFERROR(IF(OR(HLOOKUP($A674,#REF!,11,FALSE)&gt;2,HLOOKUP($A674,#REF!,11,FALSE)&lt;-2),"",#REF!),"")</f>
        <v/>
      </c>
      <c r="N674" t="str">
        <f>IFERROR(IF(OR(HLOOKUP($A674,#REF!,12,FALSE)&gt;2,HLOOKUP($A674,#REF!,12,FALSE)&lt;-2),"",#REF!),"")</f>
        <v/>
      </c>
      <c r="O674" t="str">
        <f>IFERROR(IF(OR(HLOOKUP($A674,#REF!,13,FALSE)&gt;2,HLOOKUP($A674,#REF!,13,FALSE)&lt;-2),"",#REF!),"")</f>
        <v/>
      </c>
      <c r="P674" t="str">
        <f>IFERROR(IF(OR(HLOOKUP($A674,#REF!,14,FALSE)&gt;2,HLOOKUP($A674,#REF!,14,FALSE)&lt;-2),"",#REF!),"")</f>
        <v/>
      </c>
      <c r="Q674" t="str">
        <f>IFERROR(IF(OR(HLOOKUP($A674,#REF!,15,FALSE)&gt;2,HLOOKUP($A674,#REF!,15,FALSE)&lt;-2),"",#REF!),"")</f>
        <v/>
      </c>
      <c r="R674" t="str">
        <f>IFERROR(IF(OR(HLOOKUP($A674,#REF!,16,FALSE)&gt;2,HLOOKUP($A674,#REF!,16,FALSE)&lt;-2),"",#REF!),"")</f>
        <v/>
      </c>
      <c r="S674" t="str">
        <f>IFERROR(IF(OR(HLOOKUP($A674,#REF!,17,FALSE)&gt;2,HLOOKUP($A674,#REF!,17,FALSE)&lt;-2),"",#REF!),"")</f>
        <v/>
      </c>
      <c r="T674" t="str">
        <f>IFERROR(IF(OR(HLOOKUP($A674,#REF!,18,FALSE)&gt;2,HLOOKUP($A674,#REF!,18,FALSE)&lt;-2),"",#REF!),"")</f>
        <v/>
      </c>
      <c r="U674" t="str">
        <f>IFERROR(IF(OR(HLOOKUP($A674,#REF!,19,FALSE)&gt;2,HLOOKUP($A674,#REF!,19,FALSE)&lt;-2),"",#REF!),"")</f>
        <v/>
      </c>
      <c r="V674">
        <f t="shared" si="40"/>
        <v>1</v>
      </c>
      <c r="W674" t="str">
        <f t="shared" si="41"/>
        <v/>
      </c>
      <c r="X674" t="str">
        <f t="shared" si="42"/>
        <v/>
      </c>
      <c r="Y674" t="str">
        <f t="shared" si="43"/>
        <v/>
      </c>
    </row>
    <row r="675" spans="1:25" x14ac:dyDescent="0.35">
      <c r="A675">
        <v>683</v>
      </c>
      <c r="B675" t="s">
        <v>942</v>
      </c>
      <c r="C675">
        <v>27700</v>
      </c>
      <c r="D675">
        <v>22</v>
      </c>
      <c r="E675" t="str">
        <f>IFERROR(IF(OR(HLOOKUP($A675,#REF!,3,FALSE)&gt;2,HLOOKUP(A675,#REF!,3,FALSE)&lt;-2),"",#REF!),"")</f>
        <v/>
      </c>
      <c r="F675" t="str">
        <f>IFERROR(IF(OR(HLOOKUP($A675,#REF!,4,FALSE)&gt;2,HLOOKUP($A675,#REF!,4,FALSE)&lt;-2),"",#REF!),"")</f>
        <v/>
      </c>
      <c r="G675" t="str">
        <f>IFERROR(IF(OR(HLOOKUP($A675,#REF!,5,FALSE)&gt;2,HLOOKUP($A675,#REF!,5,FALSE)&lt;-2),"",#REF!),"")</f>
        <v/>
      </c>
      <c r="H675" t="str">
        <f>IFERROR(IF(OR(HLOOKUP($A675,#REF!,6,FALSE)&gt;2,HLOOKUP($A675,#REF!,6,FALSE)&lt;-2),"",#REF!),"")</f>
        <v/>
      </c>
      <c r="I675" t="str">
        <f>IFERROR(IF(OR(HLOOKUP($A675,#REF!,7,FALSE)&gt;2,HLOOKUP($A675,#REF!,7,FALSE)&lt;-2),"",#REF!),"")</f>
        <v/>
      </c>
      <c r="J675" t="str">
        <f>IFERROR(IF(OR(HLOOKUP($A675,#REF!,8,FALSE)&gt;2,HLOOKUP($A675,#REF!,8,FALSE)&lt;-2),"",#REF!),"")</f>
        <v/>
      </c>
      <c r="K675" t="str">
        <f>IFERROR(IF(OR(HLOOKUP($A675,#REF!,9,FALSE)&gt;2,HLOOKUP($A675,#REF!,9,FALSE)&lt;-2),"",#REF!),"")</f>
        <v/>
      </c>
      <c r="L675" t="str">
        <f>IFERROR(IF(OR(HLOOKUP($A675,#REF!,10,FALSE)&gt;2,HLOOKUP($A675,#REF!,10,FALSE)&lt;-2),"",#REF!),"")</f>
        <v/>
      </c>
      <c r="M675" t="str">
        <f>IFERROR(IF(OR(HLOOKUP($A675,#REF!,11,FALSE)&gt;2,HLOOKUP($A675,#REF!,11,FALSE)&lt;-2),"",#REF!),"")</f>
        <v/>
      </c>
      <c r="N675" t="str">
        <f>IFERROR(IF(OR(HLOOKUP($A675,#REF!,12,FALSE)&gt;2,HLOOKUP($A675,#REF!,12,FALSE)&lt;-2),"",#REF!),"")</f>
        <v/>
      </c>
      <c r="O675" t="str">
        <f>IFERROR(IF(OR(HLOOKUP($A675,#REF!,13,FALSE)&gt;2,HLOOKUP($A675,#REF!,13,FALSE)&lt;-2),"",#REF!),"")</f>
        <v/>
      </c>
      <c r="P675" t="str">
        <f>IFERROR(IF(OR(HLOOKUP($A675,#REF!,14,FALSE)&gt;2,HLOOKUP($A675,#REF!,14,FALSE)&lt;-2),"",#REF!),"")</f>
        <v/>
      </c>
      <c r="Q675" t="str">
        <f>IFERROR(IF(OR(HLOOKUP($A675,#REF!,15,FALSE)&gt;2,HLOOKUP($A675,#REF!,15,FALSE)&lt;-2),"",#REF!),"")</f>
        <v/>
      </c>
      <c r="R675" t="str">
        <f>IFERROR(IF(OR(HLOOKUP($A675,#REF!,16,FALSE)&gt;2,HLOOKUP($A675,#REF!,16,FALSE)&lt;-2),"",#REF!),"")</f>
        <v/>
      </c>
      <c r="S675" t="str">
        <f>IFERROR(IF(OR(HLOOKUP($A675,#REF!,17,FALSE)&gt;2,HLOOKUP($A675,#REF!,17,FALSE)&lt;-2),"",#REF!),"")</f>
        <v/>
      </c>
      <c r="T675" t="str">
        <f>IFERROR(IF(OR(HLOOKUP($A675,#REF!,18,FALSE)&gt;2,HLOOKUP($A675,#REF!,18,FALSE)&lt;-2),"",#REF!),"")</f>
        <v/>
      </c>
      <c r="U675" t="str">
        <f>IFERROR(IF(OR(HLOOKUP($A675,#REF!,19,FALSE)&gt;2,HLOOKUP($A675,#REF!,19,FALSE)&lt;-2),"",#REF!),"")</f>
        <v/>
      </c>
      <c r="V675">
        <f t="shared" si="40"/>
        <v>1</v>
      </c>
      <c r="W675" t="str">
        <f t="shared" si="41"/>
        <v/>
      </c>
      <c r="X675" t="str">
        <f t="shared" si="42"/>
        <v/>
      </c>
      <c r="Y675" t="str">
        <f t="shared" si="43"/>
        <v/>
      </c>
    </row>
    <row r="676" spans="1:25" x14ac:dyDescent="0.35">
      <c r="A676">
        <v>684</v>
      </c>
      <c r="B676" t="s">
        <v>943</v>
      </c>
      <c r="C676">
        <v>72700</v>
      </c>
      <c r="D676">
        <v>830</v>
      </c>
      <c r="E676" t="str">
        <f>IFERROR(IF(OR(HLOOKUP($A676,#REF!,3,FALSE)&gt;2,HLOOKUP(A676,#REF!,3,FALSE)&lt;-2),"",#REF!),"")</f>
        <v/>
      </c>
      <c r="F676" t="str">
        <f>IFERROR(IF(OR(HLOOKUP($A676,#REF!,4,FALSE)&gt;2,HLOOKUP($A676,#REF!,4,FALSE)&lt;-2),"",#REF!),"")</f>
        <v/>
      </c>
      <c r="G676" t="str">
        <f>IFERROR(IF(OR(HLOOKUP($A676,#REF!,5,FALSE)&gt;2,HLOOKUP($A676,#REF!,5,FALSE)&lt;-2),"",#REF!),"")</f>
        <v/>
      </c>
      <c r="H676" t="str">
        <f>IFERROR(IF(OR(HLOOKUP($A676,#REF!,6,FALSE)&gt;2,HLOOKUP($A676,#REF!,6,FALSE)&lt;-2),"",#REF!),"")</f>
        <v/>
      </c>
      <c r="I676" t="str">
        <f>IFERROR(IF(OR(HLOOKUP($A676,#REF!,7,FALSE)&gt;2,HLOOKUP($A676,#REF!,7,FALSE)&lt;-2),"",#REF!),"")</f>
        <v/>
      </c>
      <c r="J676" t="str">
        <f>IFERROR(IF(OR(HLOOKUP($A676,#REF!,8,FALSE)&gt;2,HLOOKUP($A676,#REF!,8,FALSE)&lt;-2),"",#REF!),"")</f>
        <v/>
      </c>
      <c r="K676" t="str">
        <f>IFERROR(IF(OR(HLOOKUP($A676,#REF!,9,FALSE)&gt;2,HLOOKUP($A676,#REF!,9,FALSE)&lt;-2),"",#REF!),"")</f>
        <v/>
      </c>
      <c r="L676" t="str">
        <f>IFERROR(IF(OR(HLOOKUP($A676,#REF!,10,FALSE)&gt;2,HLOOKUP($A676,#REF!,10,FALSE)&lt;-2),"",#REF!),"")</f>
        <v/>
      </c>
      <c r="M676" t="str">
        <f>IFERROR(IF(OR(HLOOKUP($A676,#REF!,11,FALSE)&gt;2,HLOOKUP($A676,#REF!,11,FALSE)&lt;-2),"",#REF!),"")</f>
        <v/>
      </c>
      <c r="N676" t="str">
        <f>IFERROR(IF(OR(HLOOKUP($A676,#REF!,12,FALSE)&gt;2,HLOOKUP($A676,#REF!,12,FALSE)&lt;-2),"",#REF!),"")</f>
        <v/>
      </c>
      <c r="O676" t="str">
        <f>IFERROR(IF(OR(HLOOKUP($A676,#REF!,13,FALSE)&gt;2,HLOOKUP($A676,#REF!,13,FALSE)&lt;-2),"",#REF!),"")</f>
        <v/>
      </c>
      <c r="P676" t="str">
        <f>IFERROR(IF(OR(HLOOKUP($A676,#REF!,14,FALSE)&gt;2,HLOOKUP($A676,#REF!,14,FALSE)&lt;-2),"",#REF!),"")</f>
        <v/>
      </c>
      <c r="Q676" t="str">
        <f>IFERROR(IF(OR(HLOOKUP($A676,#REF!,15,FALSE)&gt;2,HLOOKUP($A676,#REF!,15,FALSE)&lt;-2),"",#REF!),"")</f>
        <v/>
      </c>
      <c r="R676" t="str">
        <f>IFERROR(IF(OR(HLOOKUP($A676,#REF!,16,FALSE)&gt;2,HLOOKUP($A676,#REF!,16,FALSE)&lt;-2),"",#REF!),"")</f>
        <v/>
      </c>
      <c r="S676" t="str">
        <f>IFERROR(IF(OR(HLOOKUP($A676,#REF!,17,FALSE)&gt;2,HLOOKUP($A676,#REF!,17,FALSE)&lt;-2),"",#REF!),"")</f>
        <v/>
      </c>
      <c r="T676" t="str">
        <f>IFERROR(IF(OR(HLOOKUP($A676,#REF!,18,FALSE)&gt;2,HLOOKUP($A676,#REF!,18,FALSE)&lt;-2),"",#REF!),"")</f>
        <v/>
      </c>
      <c r="U676" t="str">
        <f>IFERROR(IF(OR(HLOOKUP($A676,#REF!,19,FALSE)&gt;2,HLOOKUP($A676,#REF!,19,FALSE)&lt;-2),"",#REF!),"")</f>
        <v/>
      </c>
      <c r="V676">
        <f t="shared" si="40"/>
        <v>1</v>
      </c>
      <c r="W676" t="str">
        <f t="shared" si="41"/>
        <v/>
      </c>
      <c r="X676" t="str">
        <f t="shared" si="42"/>
        <v/>
      </c>
      <c r="Y676" t="str">
        <f t="shared" si="43"/>
        <v/>
      </c>
    </row>
    <row r="677" spans="1:25" x14ac:dyDescent="0.35">
      <c r="A677">
        <v>685</v>
      </c>
      <c r="B677" t="s">
        <v>336</v>
      </c>
      <c r="C677">
        <v>63900</v>
      </c>
      <c r="D677">
        <v>637</v>
      </c>
      <c r="E677" t="str">
        <f>IFERROR(IF(OR(HLOOKUP($A677,#REF!,3,FALSE)&gt;2,HLOOKUP(A677,#REF!,3,FALSE)&lt;-2),"",#REF!),"")</f>
        <v/>
      </c>
      <c r="F677" t="str">
        <f>IFERROR(IF(OR(HLOOKUP($A677,#REF!,4,FALSE)&gt;2,HLOOKUP($A677,#REF!,4,FALSE)&lt;-2),"",#REF!),"")</f>
        <v/>
      </c>
      <c r="G677" t="str">
        <f>IFERROR(IF(OR(HLOOKUP($A677,#REF!,5,FALSE)&gt;2,HLOOKUP($A677,#REF!,5,FALSE)&lt;-2),"",#REF!),"")</f>
        <v/>
      </c>
      <c r="H677" t="str">
        <f>IFERROR(IF(OR(HLOOKUP($A677,#REF!,6,FALSE)&gt;2,HLOOKUP($A677,#REF!,6,FALSE)&lt;-2),"",#REF!),"")</f>
        <v/>
      </c>
      <c r="I677" t="str">
        <f>IFERROR(IF(OR(HLOOKUP($A677,#REF!,7,FALSE)&gt;2,HLOOKUP($A677,#REF!,7,FALSE)&lt;-2),"",#REF!),"")</f>
        <v/>
      </c>
      <c r="J677" t="str">
        <f>IFERROR(IF(OR(HLOOKUP($A677,#REF!,8,FALSE)&gt;2,HLOOKUP($A677,#REF!,8,FALSE)&lt;-2),"",#REF!),"")</f>
        <v/>
      </c>
      <c r="K677" t="str">
        <f>IFERROR(IF(OR(HLOOKUP($A677,#REF!,9,FALSE)&gt;2,HLOOKUP($A677,#REF!,9,FALSE)&lt;-2),"",#REF!),"")</f>
        <v/>
      </c>
      <c r="L677" t="str">
        <f>IFERROR(IF(OR(HLOOKUP($A677,#REF!,10,FALSE)&gt;2,HLOOKUP($A677,#REF!,10,FALSE)&lt;-2),"",#REF!),"")</f>
        <v/>
      </c>
      <c r="M677" t="str">
        <f>IFERROR(IF(OR(HLOOKUP($A677,#REF!,11,FALSE)&gt;2,HLOOKUP($A677,#REF!,11,FALSE)&lt;-2),"",#REF!),"")</f>
        <v/>
      </c>
      <c r="N677" t="str">
        <f>IFERROR(IF(OR(HLOOKUP($A677,#REF!,12,FALSE)&gt;2,HLOOKUP($A677,#REF!,12,FALSE)&lt;-2),"",#REF!),"")</f>
        <v/>
      </c>
      <c r="O677" t="str">
        <f>IFERROR(IF(OR(HLOOKUP($A677,#REF!,13,FALSE)&gt;2,HLOOKUP($A677,#REF!,13,FALSE)&lt;-2),"",#REF!),"")</f>
        <v/>
      </c>
      <c r="P677" t="str">
        <f>IFERROR(IF(OR(HLOOKUP($A677,#REF!,14,FALSE)&gt;2,HLOOKUP($A677,#REF!,14,FALSE)&lt;-2),"",#REF!),"")</f>
        <v/>
      </c>
      <c r="Q677" t="str">
        <f>IFERROR(IF(OR(HLOOKUP($A677,#REF!,15,FALSE)&gt;2,HLOOKUP($A677,#REF!,15,FALSE)&lt;-2),"",#REF!),"")</f>
        <v/>
      </c>
      <c r="R677" t="str">
        <f>IFERROR(IF(OR(HLOOKUP($A677,#REF!,16,FALSE)&gt;2,HLOOKUP($A677,#REF!,16,FALSE)&lt;-2),"",#REF!),"")</f>
        <v/>
      </c>
      <c r="S677" t="str">
        <f>IFERROR(IF(OR(HLOOKUP($A677,#REF!,17,FALSE)&gt;2,HLOOKUP($A677,#REF!,17,FALSE)&lt;-2),"",#REF!),"")</f>
        <v/>
      </c>
      <c r="T677" t="str">
        <f>IFERROR(IF(OR(HLOOKUP($A677,#REF!,18,FALSE)&gt;2,HLOOKUP($A677,#REF!,18,FALSE)&lt;-2),"",#REF!),"")</f>
        <v/>
      </c>
      <c r="U677" t="str">
        <f>IFERROR(IF(OR(HLOOKUP($A677,#REF!,19,FALSE)&gt;2,HLOOKUP($A677,#REF!,19,FALSE)&lt;-2),"",#REF!),"")</f>
        <v/>
      </c>
      <c r="V677">
        <f t="shared" si="40"/>
        <v>1</v>
      </c>
      <c r="W677" t="str">
        <f t="shared" si="41"/>
        <v/>
      </c>
      <c r="X677" t="str">
        <f t="shared" si="42"/>
        <v/>
      </c>
      <c r="Y677" t="str">
        <f t="shared" si="43"/>
        <v/>
      </c>
    </row>
    <row r="678" spans="1:25" x14ac:dyDescent="0.35">
      <c r="A678">
        <v>686</v>
      </c>
      <c r="B678" t="s">
        <v>944</v>
      </c>
      <c r="C678">
        <v>3300</v>
      </c>
      <c r="D678">
        <v>322</v>
      </c>
      <c r="E678" t="str">
        <f>IFERROR(IF(OR(HLOOKUP($A678,#REF!,3,FALSE)&gt;2,HLOOKUP(A678,#REF!,3,FALSE)&lt;-2),"",#REF!),"")</f>
        <v/>
      </c>
      <c r="F678" t="str">
        <f>IFERROR(IF(OR(HLOOKUP($A678,#REF!,4,FALSE)&gt;2,HLOOKUP($A678,#REF!,4,FALSE)&lt;-2),"",#REF!),"")</f>
        <v/>
      </c>
      <c r="G678" t="str">
        <f>IFERROR(IF(OR(HLOOKUP($A678,#REF!,5,FALSE)&gt;2,HLOOKUP($A678,#REF!,5,FALSE)&lt;-2),"",#REF!),"")</f>
        <v/>
      </c>
      <c r="H678" t="str">
        <f>IFERROR(IF(OR(HLOOKUP($A678,#REF!,6,FALSE)&gt;2,HLOOKUP($A678,#REF!,6,FALSE)&lt;-2),"",#REF!),"")</f>
        <v/>
      </c>
      <c r="I678" t="str">
        <f>IFERROR(IF(OR(HLOOKUP($A678,#REF!,7,FALSE)&gt;2,HLOOKUP($A678,#REF!,7,FALSE)&lt;-2),"",#REF!),"")</f>
        <v/>
      </c>
      <c r="J678" t="str">
        <f>IFERROR(IF(OR(HLOOKUP($A678,#REF!,8,FALSE)&gt;2,HLOOKUP($A678,#REF!,8,FALSE)&lt;-2),"",#REF!),"")</f>
        <v/>
      </c>
      <c r="K678" t="str">
        <f>IFERROR(IF(OR(HLOOKUP($A678,#REF!,9,FALSE)&gt;2,HLOOKUP($A678,#REF!,9,FALSE)&lt;-2),"",#REF!),"")</f>
        <v/>
      </c>
      <c r="L678" t="str">
        <f>IFERROR(IF(OR(HLOOKUP($A678,#REF!,10,FALSE)&gt;2,HLOOKUP($A678,#REF!,10,FALSE)&lt;-2),"",#REF!),"")</f>
        <v/>
      </c>
      <c r="M678" t="str">
        <f>IFERROR(IF(OR(HLOOKUP($A678,#REF!,11,FALSE)&gt;2,HLOOKUP($A678,#REF!,11,FALSE)&lt;-2),"",#REF!),"")</f>
        <v/>
      </c>
      <c r="N678" t="str">
        <f>IFERROR(IF(OR(HLOOKUP($A678,#REF!,12,FALSE)&gt;2,HLOOKUP($A678,#REF!,12,FALSE)&lt;-2),"",#REF!),"")</f>
        <v/>
      </c>
      <c r="O678" t="str">
        <f>IFERROR(IF(OR(HLOOKUP($A678,#REF!,13,FALSE)&gt;2,HLOOKUP($A678,#REF!,13,FALSE)&lt;-2),"",#REF!),"")</f>
        <v/>
      </c>
      <c r="P678" t="str">
        <f>IFERROR(IF(OR(HLOOKUP($A678,#REF!,14,FALSE)&gt;2,HLOOKUP($A678,#REF!,14,FALSE)&lt;-2),"",#REF!),"")</f>
        <v/>
      </c>
      <c r="Q678" t="str">
        <f>IFERROR(IF(OR(HLOOKUP($A678,#REF!,15,FALSE)&gt;2,HLOOKUP($A678,#REF!,15,FALSE)&lt;-2),"",#REF!),"")</f>
        <v/>
      </c>
      <c r="R678" t="str">
        <f>IFERROR(IF(OR(HLOOKUP($A678,#REF!,16,FALSE)&gt;2,HLOOKUP($A678,#REF!,16,FALSE)&lt;-2),"",#REF!),"")</f>
        <v/>
      </c>
      <c r="S678" t="str">
        <f>IFERROR(IF(OR(HLOOKUP($A678,#REF!,17,FALSE)&gt;2,HLOOKUP($A678,#REF!,17,FALSE)&lt;-2),"",#REF!),"")</f>
        <v/>
      </c>
      <c r="T678" t="str">
        <f>IFERROR(IF(OR(HLOOKUP($A678,#REF!,18,FALSE)&gt;2,HLOOKUP($A678,#REF!,18,FALSE)&lt;-2),"",#REF!),"")</f>
        <v/>
      </c>
      <c r="U678" t="str">
        <f>IFERROR(IF(OR(HLOOKUP($A678,#REF!,19,FALSE)&gt;2,HLOOKUP($A678,#REF!,19,FALSE)&lt;-2),"",#REF!),"")</f>
        <v/>
      </c>
      <c r="V678">
        <f t="shared" si="40"/>
        <v>1</v>
      </c>
      <c r="W678" t="str">
        <f t="shared" si="41"/>
        <v/>
      </c>
      <c r="X678" t="str">
        <f t="shared" si="42"/>
        <v/>
      </c>
      <c r="Y678" t="str">
        <f t="shared" si="43"/>
        <v/>
      </c>
    </row>
    <row r="679" spans="1:25" x14ac:dyDescent="0.35">
      <c r="A679">
        <v>687</v>
      </c>
      <c r="B679" t="s">
        <v>337</v>
      </c>
      <c r="C679">
        <v>27000</v>
      </c>
      <c r="D679">
        <v>886</v>
      </c>
      <c r="E679" t="str">
        <f>IFERROR(IF(OR(HLOOKUP($A679,#REF!,3,FALSE)&gt;2,HLOOKUP(A679,#REF!,3,FALSE)&lt;-2),"",#REF!),"")</f>
        <v/>
      </c>
      <c r="F679" t="str">
        <f>IFERROR(IF(OR(HLOOKUP($A679,#REF!,4,FALSE)&gt;2,HLOOKUP($A679,#REF!,4,FALSE)&lt;-2),"",#REF!),"")</f>
        <v/>
      </c>
      <c r="G679" t="str">
        <f>IFERROR(IF(OR(HLOOKUP($A679,#REF!,5,FALSE)&gt;2,HLOOKUP($A679,#REF!,5,FALSE)&lt;-2),"",#REF!),"")</f>
        <v/>
      </c>
      <c r="H679" t="str">
        <f>IFERROR(IF(OR(HLOOKUP($A679,#REF!,6,FALSE)&gt;2,HLOOKUP($A679,#REF!,6,FALSE)&lt;-2),"",#REF!),"")</f>
        <v/>
      </c>
      <c r="I679" t="str">
        <f>IFERROR(IF(OR(HLOOKUP($A679,#REF!,7,FALSE)&gt;2,HLOOKUP($A679,#REF!,7,FALSE)&lt;-2),"",#REF!),"")</f>
        <v/>
      </c>
      <c r="J679" t="str">
        <f>IFERROR(IF(OR(HLOOKUP($A679,#REF!,8,FALSE)&gt;2,HLOOKUP($A679,#REF!,8,FALSE)&lt;-2),"",#REF!),"")</f>
        <v/>
      </c>
      <c r="K679" t="str">
        <f>IFERROR(IF(OR(HLOOKUP($A679,#REF!,9,FALSE)&gt;2,HLOOKUP($A679,#REF!,9,FALSE)&lt;-2),"",#REF!),"")</f>
        <v/>
      </c>
      <c r="L679" t="str">
        <f>IFERROR(IF(OR(HLOOKUP($A679,#REF!,10,FALSE)&gt;2,HLOOKUP($A679,#REF!,10,FALSE)&lt;-2),"",#REF!),"")</f>
        <v/>
      </c>
      <c r="M679" t="str">
        <f>IFERROR(IF(OR(HLOOKUP($A679,#REF!,11,FALSE)&gt;2,HLOOKUP($A679,#REF!,11,FALSE)&lt;-2),"",#REF!),"")</f>
        <v/>
      </c>
      <c r="N679" t="str">
        <f>IFERROR(IF(OR(HLOOKUP($A679,#REF!,12,FALSE)&gt;2,HLOOKUP($A679,#REF!,12,FALSE)&lt;-2),"",#REF!),"")</f>
        <v/>
      </c>
      <c r="O679" t="str">
        <f>IFERROR(IF(OR(HLOOKUP($A679,#REF!,13,FALSE)&gt;2,HLOOKUP($A679,#REF!,13,FALSE)&lt;-2),"",#REF!),"")</f>
        <v/>
      </c>
      <c r="P679" t="str">
        <f>IFERROR(IF(OR(HLOOKUP($A679,#REF!,14,FALSE)&gt;2,HLOOKUP($A679,#REF!,14,FALSE)&lt;-2),"",#REF!),"")</f>
        <v/>
      </c>
      <c r="Q679" t="str">
        <f>IFERROR(IF(OR(HLOOKUP($A679,#REF!,15,FALSE)&gt;2,HLOOKUP($A679,#REF!,15,FALSE)&lt;-2),"",#REF!),"")</f>
        <v/>
      </c>
      <c r="R679" t="str">
        <f>IFERROR(IF(OR(HLOOKUP($A679,#REF!,16,FALSE)&gt;2,HLOOKUP($A679,#REF!,16,FALSE)&lt;-2),"",#REF!),"")</f>
        <v/>
      </c>
      <c r="S679" t="str">
        <f>IFERROR(IF(OR(HLOOKUP($A679,#REF!,17,FALSE)&gt;2,HLOOKUP($A679,#REF!,17,FALSE)&lt;-2),"",#REF!),"")</f>
        <v/>
      </c>
      <c r="T679" t="str">
        <f>IFERROR(IF(OR(HLOOKUP($A679,#REF!,18,FALSE)&gt;2,HLOOKUP($A679,#REF!,18,FALSE)&lt;-2),"",#REF!),"")</f>
        <v/>
      </c>
      <c r="U679" t="str">
        <f>IFERROR(IF(OR(HLOOKUP($A679,#REF!,19,FALSE)&gt;2,HLOOKUP($A679,#REF!,19,FALSE)&lt;-2),"",#REF!),"")</f>
        <v/>
      </c>
      <c r="V679">
        <f t="shared" si="40"/>
        <v>1</v>
      </c>
      <c r="W679" t="str">
        <f t="shared" si="41"/>
        <v/>
      </c>
      <c r="X679" t="str">
        <f t="shared" si="42"/>
        <v/>
      </c>
      <c r="Y679" t="str">
        <f t="shared" si="43"/>
        <v/>
      </c>
    </row>
    <row r="680" spans="1:25" x14ac:dyDescent="0.35">
      <c r="A680">
        <v>688</v>
      </c>
      <c r="B680" t="s">
        <v>945</v>
      </c>
      <c r="C680">
        <v>300</v>
      </c>
      <c r="D680">
        <v>567</v>
      </c>
      <c r="E680" t="str">
        <f>IFERROR(IF(OR(HLOOKUP($A680,#REF!,3,FALSE)&gt;2,HLOOKUP(A680,#REF!,3,FALSE)&lt;-2),"",#REF!),"")</f>
        <v/>
      </c>
      <c r="F680" t="str">
        <f>IFERROR(IF(OR(HLOOKUP($A680,#REF!,4,FALSE)&gt;2,HLOOKUP($A680,#REF!,4,FALSE)&lt;-2),"",#REF!),"")</f>
        <v/>
      </c>
      <c r="G680" t="str">
        <f>IFERROR(IF(OR(HLOOKUP($A680,#REF!,5,FALSE)&gt;2,HLOOKUP($A680,#REF!,5,FALSE)&lt;-2),"",#REF!),"")</f>
        <v/>
      </c>
      <c r="H680" t="str">
        <f>IFERROR(IF(OR(HLOOKUP($A680,#REF!,6,FALSE)&gt;2,HLOOKUP($A680,#REF!,6,FALSE)&lt;-2),"",#REF!),"")</f>
        <v/>
      </c>
      <c r="I680" t="str">
        <f>IFERROR(IF(OR(HLOOKUP($A680,#REF!,7,FALSE)&gt;2,HLOOKUP($A680,#REF!,7,FALSE)&lt;-2),"",#REF!),"")</f>
        <v/>
      </c>
      <c r="J680" t="str">
        <f>IFERROR(IF(OR(HLOOKUP($A680,#REF!,8,FALSE)&gt;2,HLOOKUP($A680,#REF!,8,FALSE)&lt;-2),"",#REF!),"")</f>
        <v/>
      </c>
      <c r="K680" t="str">
        <f>IFERROR(IF(OR(HLOOKUP($A680,#REF!,9,FALSE)&gt;2,HLOOKUP($A680,#REF!,9,FALSE)&lt;-2),"",#REF!),"")</f>
        <v/>
      </c>
      <c r="L680" t="str">
        <f>IFERROR(IF(OR(HLOOKUP($A680,#REF!,10,FALSE)&gt;2,HLOOKUP($A680,#REF!,10,FALSE)&lt;-2),"",#REF!),"")</f>
        <v/>
      </c>
      <c r="M680" t="str">
        <f>IFERROR(IF(OR(HLOOKUP($A680,#REF!,11,FALSE)&gt;2,HLOOKUP($A680,#REF!,11,FALSE)&lt;-2),"",#REF!),"")</f>
        <v/>
      </c>
      <c r="N680" t="str">
        <f>IFERROR(IF(OR(HLOOKUP($A680,#REF!,12,FALSE)&gt;2,HLOOKUP($A680,#REF!,12,FALSE)&lt;-2),"",#REF!),"")</f>
        <v/>
      </c>
      <c r="O680" t="str">
        <f>IFERROR(IF(OR(HLOOKUP($A680,#REF!,13,FALSE)&gt;2,HLOOKUP($A680,#REF!,13,FALSE)&lt;-2),"",#REF!),"")</f>
        <v/>
      </c>
      <c r="P680" t="str">
        <f>IFERROR(IF(OR(HLOOKUP($A680,#REF!,14,FALSE)&gt;2,HLOOKUP($A680,#REF!,14,FALSE)&lt;-2),"",#REF!),"")</f>
        <v/>
      </c>
      <c r="Q680" t="str">
        <f>IFERROR(IF(OR(HLOOKUP($A680,#REF!,15,FALSE)&gt;2,HLOOKUP($A680,#REF!,15,FALSE)&lt;-2),"",#REF!),"")</f>
        <v/>
      </c>
      <c r="R680" t="str">
        <f>IFERROR(IF(OR(HLOOKUP($A680,#REF!,16,FALSE)&gt;2,HLOOKUP($A680,#REF!,16,FALSE)&lt;-2),"",#REF!),"")</f>
        <v/>
      </c>
      <c r="S680" t="str">
        <f>IFERROR(IF(OR(HLOOKUP($A680,#REF!,17,FALSE)&gt;2,HLOOKUP($A680,#REF!,17,FALSE)&lt;-2),"",#REF!),"")</f>
        <v/>
      </c>
      <c r="T680" t="str">
        <f>IFERROR(IF(OR(HLOOKUP($A680,#REF!,18,FALSE)&gt;2,HLOOKUP($A680,#REF!,18,FALSE)&lt;-2),"",#REF!),"")</f>
        <v/>
      </c>
      <c r="U680" t="str">
        <f>IFERROR(IF(OR(HLOOKUP($A680,#REF!,19,FALSE)&gt;2,HLOOKUP($A680,#REF!,19,FALSE)&lt;-2),"",#REF!),"")</f>
        <v/>
      </c>
      <c r="V680">
        <f t="shared" si="40"/>
        <v>1</v>
      </c>
      <c r="W680" t="str">
        <f t="shared" si="41"/>
        <v/>
      </c>
      <c r="X680" t="str">
        <f t="shared" si="42"/>
        <v/>
      </c>
      <c r="Y680" t="str">
        <f t="shared" si="43"/>
        <v/>
      </c>
    </row>
    <row r="681" spans="1:25" x14ac:dyDescent="0.35">
      <c r="A681">
        <v>689</v>
      </c>
      <c r="B681" t="s">
        <v>338</v>
      </c>
      <c r="C681">
        <v>73900</v>
      </c>
      <c r="D681">
        <v>141</v>
      </c>
      <c r="E681" t="str">
        <f>IFERROR(IF(OR(HLOOKUP($A681,#REF!,3,FALSE)&gt;2,HLOOKUP(A681,#REF!,3,FALSE)&lt;-2),"",#REF!),"")</f>
        <v/>
      </c>
      <c r="F681" t="str">
        <f>IFERROR(IF(OR(HLOOKUP($A681,#REF!,4,FALSE)&gt;2,HLOOKUP($A681,#REF!,4,FALSE)&lt;-2),"",#REF!),"")</f>
        <v/>
      </c>
      <c r="G681" t="str">
        <f>IFERROR(IF(OR(HLOOKUP($A681,#REF!,5,FALSE)&gt;2,HLOOKUP($A681,#REF!,5,FALSE)&lt;-2),"",#REF!),"")</f>
        <v/>
      </c>
      <c r="H681" t="str">
        <f>IFERROR(IF(OR(HLOOKUP($A681,#REF!,6,FALSE)&gt;2,HLOOKUP($A681,#REF!,6,FALSE)&lt;-2),"",#REF!),"")</f>
        <v/>
      </c>
      <c r="I681" t="str">
        <f>IFERROR(IF(OR(HLOOKUP($A681,#REF!,7,FALSE)&gt;2,HLOOKUP($A681,#REF!,7,FALSE)&lt;-2),"",#REF!),"")</f>
        <v/>
      </c>
      <c r="J681" t="str">
        <f>IFERROR(IF(OR(HLOOKUP($A681,#REF!,8,FALSE)&gt;2,HLOOKUP($A681,#REF!,8,FALSE)&lt;-2),"",#REF!),"")</f>
        <v/>
      </c>
      <c r="K681" t="str">
        <f>IFERROR(IF(OR(HLOOKUP($A681,#REF!,9,FALSE)&gt;2,HLOOKUP($A681,#REF!,9,FALSE)&lt;-2),"",#REF!),"")</f>
        <v/>
      </c>
      <c r="L681" t="str">
        <f>IFERROR(IF(OR(HLOOKUP($A681,#REF!,10,FALSE)&gt;2,HLOOKUP($A681,#REF!,10,FALSE)&lt;-2),"",#REF!),"")</f>
        <v/>
      </c>
      <c r="M681" t="str">
        <f>IFERROR(IF(OR(HLOOKUP($A681,#REF!,11,FALSE)&gt;2,HLOOKUP($A681,#REF!,11,FALSE)&lt;-2),"",#REF!),"")</f>
        <v/>
      </c>
      <c r="N681" t="str">
        <f>IFERROR(IF(OR(HLOOKUP($A681,#REF!,12,FALSE)&gt;2,HLOOKUP($A681,#REF!,12,FALSE)&lt;-2),"",#REF!),"")</f>
        <v/>
      </c>
      <c r="O681" t="str">
        <f>IFERROR(IF(OR(HLOOKUP($A681,#REF!,13,FALSE)&gt;2,HLOOKUP($A681,#REF!,13,FALSE)&lt;-2),"",#REF!),"")</f>
        <v/>
      </c>
      <c r="P681" t="str">
        <f>IFERROR(IF(OR(HLOOKUP($A681,#REF!,14,FALSE)&gt;2,HLOOKUP($A681,#REF!,14,FALSE)&lt;-2),"",#REF!),"")</f>
        <v/>
      </c>
      <c r="Q681" t="str">
        <f>IFERROR(IF(OR(HLOOKUP($A681,#REF!,15,FALSE)&gt;2,HLOOKUP($A681,#REF!,15,FALSE)&lt;-2),"",#REF!),"")</f>
        <v/>
      </c>
      <c r="R681" t="str">
        <f>IFERROR(IF(OR(HLOOKUP($A681,#REF!,16,FALSE)&gt;2,HLOOKUP($A681,#REF!,16,FALSE)&lt;-2),"",#REF!),"")</f>
        <v/>
      </c>
      <c r="S681" t="str">
        <f>IFERROR(IF(OR(HLOOKUP($A681,#REF!,17,FALSE)&gt;2,HLOOKUP($A681,#REF!,17,FALSE)&lt;-2),"",#REF!),"")</f>
        <v/>
      </c>
      <c r="T681" t="str">
        <f>IFERROR(IF(OR(HLOOKUP($A681,#REF!,18,FALSE)&gt;2,HLOOKUP($A681,#REF!,18,FALSE)&lt;-2),"",#REF!),"")</f>
        <v/>
      </c>
      <c r="U681" t="str">
        <f>IFERROR(IF(OR(HLOOKUP($A681,#REF!,19,FALSE)&gt;2,HLOOKUP($A681,#REF!,19,FALSE)&lt;-2),"",#REF!),"")</f>
        <v/>
      </c>
      <c r="V681">
        <f t="shared" si="40"/>
        <v>1</v>
      </c>
      <c r="W681" t="str">
        <f t="shared" si="41"/>
        <v/>
      </c>
      <c r="X681" t="str">
        <f t="shared" si="42"/>
        <v/>
      </c>
      <c r="Y681" t="str">
        <f t="shared" si="43"/>
        <v/>
      </c>
    </row>
    <row r="682" spans="1:25" x14ac:dyDescent="0.35">
      <c r="A682">
        <v>690</v>
      </c>
      <c r="B682" t="s">
        <v>339</v>
      </c>
      <c r="C682">
        <v>114500</v>
      </c>
      <c r="D682">
        <v>46</v>
      </c>
      <c r="E682" t="str">
        <f>IFERROR(IF(OR(HLOOKUP($A682,#REF!,3,FALSE)&gt;2,HLOOKUP(A682,#REF!,3,FALSE)&lt;-2),"",#REF!),"")</f>
        <v/>
      </c>
      <c r="F682" t="str">
        <f>IFERROR(IF(OR(HLOOKUP($A682,#REF!,4,FALSE)&gt;2,HLOOKUP($A682,#REF!,4,FALSE)&lt;-2),"",#REF!),"")</f>
        <v/>
      </c>
      <c r="G682" t="str">
        <f>IFERROR(IF(OR(HLOOKUP($A682,#REF!,5,FALSE)&gt;2,HLOOKUP($A682,#REF!,5,FALSE)&lt;-2),"",#REF!),"")</f>
        <v/>
      </c>
      <c r="H682" t="str">
        <f>IFERROR(IF(OR(HLOOKUP($A682,#REF!,6,FALSE)&gt;2,HLOOKUP($A682,#REF!,6,FALSE)&lt;-2),"",#REF!),"")</f>
        <v/>
      </c>
      <c r="I682" t="str">
        <f>IFERROR(IF(OR(HLOOKUP($A682,#REF!,7,FALSE)&gt;2,HLOOKUP($A682,#REF!,7,FALSE)&lt;-2),"",#REF!),"")</f>
        <v/>
      </c>
      <c r="J682" t="str">
        <f>IFERROR(IF(OR(HLOOKUP($A682,#REF!,8,FALSE)&gt;2,HLOOKUP($A682,#REF!,8,FALSE)&lt;-2),"",#REF!),"")</f>
        <v/>
      </c>
      <c r="K682" t="str">
        <f>IFERROR(IF(OR(HLOOKUP($A682,#REF!,9,FALSE)&gt;2,HLOOKUP($A682,#REF!,9,FALSE)&lt;-2),"",#REF!),"")</f>
        <v/>
      </c>
      <c r="L682" t="str">
        <f>IFERROR(IF(OR(HLOOKUP($A682,#REF!,10,FALSE)&gt;2,HLOOKUP($A682,#REF!,10,FALSE)&lt;-2),"",#REF!),"")</f>
        <v/>
      </c>
      <c r="M682" t="str">
        <f>IFERROR(IF(OR(HLOOKUP($A682,#REF!,11,FALSE)&gt;2,HLOOKUP($A682,#REF!,11,FALSE)&lt;-2),"",#REF!),"")</f>
        <v/>
      </c>
      <c r="N682" t="str">
        <f>IFERROR(IF(OR(HLOOKUP($A682,#REF!,12,FALSE)&gt;2,HLOOKUP($A682,#REF!,12,FALSE)&lt;-2),"",#REF!),"")</f>
        <v/>
      </c>
      <c r="O682" t="str">
        <f>IFERROR(IF(OR(HLOOKUP($A682,#REF!,13,FALSE)&gt;2,HLOOKUP($A682,#REF!,13,FALSE)&lt;-2),"",#REF!),"")</f>
        <v/>
      </c>
      <c r="P682" t="str">
        <f>IFERROR(IF(OR(HLOOKUP($A682,#REF!,14,FALSE)&gt;2,HLOOKUP($A682,#REF!,14,FALSE)&lt;-2),"",#REF!),"")</f>
        <v/>
      </c>
      <c r="Q682" t="str">
        <f>IFERROR(IF(OR(HLOOKUP($A682,#REF!,15,FALSE)&gt;2,HLOOKUP($A682,#REF!,15,FALSE)&lt;-2),"",#REF!),"")</f>
        <v/>
      </c>
      <c r="R682" t="str">
        <f>IFERROR(IF(OR(HLOOKUP($A682,#REF!,16,FALSE)&gt;2,HLOOKUP($A682,#REF!,16,FALSE)&lt;-2),"",#REF!),"")</f>
        <v/>
      </c>
      <c r="S682" t="str">
        <f>IFERROR(IF(OR(HLOOKUP($A682,#REF!,17,FALSE)&gt;2,HLOOKUP($A682,#REF!,17,FALSE)&lt;-2),"",#REF!),"")</f>
        <v/>
      </c>
      <c r="T682" t="str">
        <f>IFERROR(IF(OR(HLOOKUP($A682,#REF!,18,FALSE)&gt;2,HLOOKUP($A682,#REF!,18,FALSE)&lt;-2),"",#REF!),"")</f>
        <v/>
      </c>
      <c r="U682" t="str">
        <f>IFERROR(IF(OR(HLOOKUP($A682,#REF!,19,FALSE)&gt;2,HLOOKUP($A682,#REF!,19,FALSE)&lt;-2),"",#REF!),"")</f>
        <v/>
      </c>
      <c r="V682">
        <f t="shared" si="40"/>
        <v>1</v>
      </c>
      <c r="W682" t="str">
        <f t="shared" si="41"/>
        <v/>
      </c>
      <c r="X682" t="str">
        <f t="shared" si="42"/>
        <v/>
      </c>
      <c r="Y682" t="str">
        <f t="shared" si="43"/>
        <v/>
      </c>
    </row>
    <row r="683" spans="1:25" x14ac:dyDescent="0.35">
      <c r="A683">
        <v>691</v>
      </c>
      <c r="B683" t="s">
        <v>946</v>
      </c>
      <c r="C683">
        <v>91200</v>
      </c>
      <c r="D683">
        <v>651</v>
      </c>
      <c r="E683" t="str">
        <f>IFERROR(IF(OR(HLOOKUP($A683,#REF!,3,FALSE)&gt;2,HLOOKUP(A683,#REF!,3,FALSE)&lt;-2),"",#REF!),"")</f>
        <v/>
      </c>
      <c r="F683" t="str">
        <f>IFERROR(IF(OR(HLOOKUP($A683,#REF!,4,FALSE)&gt;2,HLOOKUP($A683,#REF!,4,FALSE)&lt;-2),"",#REF!),"")</f>
        <v/>
      </c>
      <c r="G683" t="str">
        <f>IFERROR(IF(OR(HLOOKUP($A683,#REF!,5,FALSE)&gt;2,HLOOKUP($A683,#REF!,5,FALSE)&lt;-2),"",#REF!),"")</f>
        <v/>
      </c>
      <c r="H683" t="str">
        <f>IFERROR(IF(OR(HLOOKUP($A683,#REF!,6,FALSE)&gt;2,HLOOKUP($A683,#REF!,6,FALSE)&lt;-2),"",#REF!),"")</f>
        <v/>
      </c>
      <c r="I683" t="str">
        <f>IFERROR(IF(OR(HLOOKUP($A683,#REF!,7,FALSE)&gt;2,HLOOKUP($A683,#REF!,7,FALSE)&lt;-2),"",#REF!),"")</f>
        <v/>
      </c>
      <c r="J683" t="str">
        <f>IFERROR(IF(OR(HLOOKUP($A683,#REF!,8,FALSE)&gt;2,HLOOKUP($A683,#REF!,8,FALSE)&lt;-2),"",#REF!),"")</f>
        <v/>
      </c>
      <c r="K683" t="str">
        <f>IFERROR(IF(OR(HLOOKUP($A683,#REF!,9,FALSE)&gt;2,HLOOKUP($A683,#REF!,9,FALSE)&lt;-2),"",#REF!),"")</f>
        <v/>
      </c>
      <c r="L683" t="str">
        <f>IFERROR(IF(OR(HLOOKUP($A683,#REF!,10,FALSE)&gt;2,HLOOKUP($A683,#REF!,10,FALSE)&lt;-2),"",#REF!),"")</f>
        <v/>
      </c>
      <c r="M683" t="str">
        <f>IFERROR(IF(OR(HLOOKUP($A683,#REF!,11,FALSE)&gt;2,HLOOKUP($A683,#REF!,11,FALSE)&lt;-2),"",#REF!),"")</f>
        <v/>
      </c>
      <c r="N683" t="str">
        <f>IFERROR(IF(OR(HLOOKUP($A683,#REF!,12,FALSE)&gt;2,HLOOKUP($A683,#REF!,12,FALSE)&lt;-2),"",#REF!),"")</f>
        <v/>
      </c>
      <c r="O683" t="str">
        <f>IFERROR(IF(OR(HLOOKUP($A683,#REF!,13,FALSE)&gt;2,HLOOKUP($A683,#REF!,13,FALSE)&lt;-2),"",#REF!),"")</f>
        <v/>
      </c>
      <c r="P683" t="str">
        <f>IFERROR(IF(OR(HLOOKUP($A683,#REF!,14,FALSE)&gt;2,HLOOKUP($A683,#REF!,14,FALSE)&lt;-2),"",#REF!),"")</f>
        <v/>
      </c>
      <c r="Q683" t="str">
        <f>IFERROR(IF(OR(HLOOKUP($A683,#REF!,15,FALSE)&gt;2,HLOOKUP($A683,#REF!,15,FALSE)&lt;-2),"",#REF!),"")</f>
        <v/>
      </c>
      <c r="R683" t="str">
        <f>IFERROR(IF(OR(HLOOKUP($A683,#REF!,16,FALSE)&gt;2,HLOOKUP($A683,#REF!,16,FALSE)&lt;-2),"",#REF!),"")</f>
        <v/>
      </c>
      <c r="S683" t="str">
        <f>IFERROR(IF(OR(HLOOKUP($A683,#REF!,17,FALSE)&gt;2,HLOOKUP($A683,#REF!,17,FALSE)&lt;-2),"",#REF!),"")</f>
        <v/>
      </c>
      <c r="T683" t="str">
        <f>IFERROR(IF(OR(HLOOKUP($A683,#REF!,18,FALSE)&gt;2,HLOOKUP($A683,#REF!,18,FALSE)&lt;-2),"",#REF!),"")</f>
        <v/>
      </c>
      <c r="U683" t="str">
        <f>IFERROR(IF(OR(HLOOKUP($A683,#REF!,19,FALSE)&gt;2,HLOOKUP($A683,#REF!,19,FALSE)&lt;-2),"",#REF!),"")</f>
        <v/>
      </c>
      <c r="V683">
        <f t="shared" si="40"/>
        <v>1</v>
      </c>
      <c r="W683" t="str">
        <f t="shared" si="41"/>
        <v/>
      </c>
      <c r="X683" t="str">
        <f t="shared" si="42"/>
        <v/>
      </c>
      <c r="Y683" t="str">
        <f t="shared" si="43"/>
        <v/>
      </c>
    </row>
    <row r="684" spans="1:25" x14ac:dyDescent="0.35">
      <c r="A684">
        <v>692</v>
      </c>
      <c r="B684" t="s">
        <v>340</v>
      </c>
      <c r="C684">
        <v>29100</v>
      </c>
      <c r="D684">
        <v>922</v>
      </c>
      <c r="E684" t="str">
        <f>IFERROR(IF(OR(HLOOKUP($A684,#REF!,3,FALSE)&gt;2,HLOOKUP(A684,#REF!,3,FALSE)&lt;-2),"",#REF!),"")</f>
        <v/>
      </c>
      <c r="F684" t="str">
        <f>IFERROR(IF(OR(HLOOKUP($A684,#REF!,4,FALSE)&gt;2,HLOOKUP($A684,#REF!,4,FALSE)&lt;-2),"",#REF!),"")</f>
        <v/>
      </c>
      <c r="G684" t="str">
        <f>IFERROR(IF(OR(HLOOKUP($A684,#REF!,5,FALSE)&gt;2,HLOOKUP($A684,#REF!,5,FALSE)&lt;-2),"",#REF!),"")</f>
        <v/>
      </c>
      <c r="H684" t="str">
        <f>IFERROR(IF(OR(HLOOKUP($A684,#REF!,6,FALSE)&gt;2,HLOOKUP($A684,#REF!,6,FALSE)&lt;-2),"",#REF!),"")</f>
        <v/>
      </c>
      <c r="I684" t="str">
        <f>IFERROR(IF(OR(HLOOKUP($A684,#REF!,7,FALSE)&gt;2,HLOOKUP($A684,#REF!,7,FALSE)&lt;-2),"",#REF!),"")</f>
        <v/>
      </c>
      <c r="J684" t="str">
        <f>IFERROR(IF(OR(HLOOKUP($A684,#REF!,8,FALSE)&gt;2,HLOOKUP($A684,#REF!,8,FALSE)&lt;-2),"",#REF!),"")</f>
        <v/>
      </c>
      <c r="K684" t="str">
        <f>IFERROR(IF(OR(HLOOKUP($A684,#REF!,9,FALSE)&gt;2,HLOOKUP($A684,#REF!,9,FALSE)&lt;-2),"",#REF!),"")</f>
        <v/>
      </c>
      <c r="L684" t="str">
        <f>IFERROR(IF(OR(HLOOKUP($A684,#REF!,10,FALSE)&gt;2,HLOOKUP($A684,#REF!,10,FALSE)&lt;-2),"",#REF!),"")</f>
        <v/>
      </c>
      <c r="M684" t="str">
        <f>IFERROR(IF(OR(HLOOKUP($A684,#REF!,11,FALSE)&gt;2,HLOOKUP($A684,#REF!,11,FALSE)&lt;-2),"",#REF!),"")</f>
        <v/>
      </c>
      <c r="N684" t="str">
        <f>IFERROR(IF(OR(HLOOKUP($A684,#REF!,12,FALSE)&gt;2,HLOOKUP($A684,#REF!,12,FALSE)&lt;-2),"",#REF!),"")</f>
        <v/>
      </c>
      <c r="O684" t="str">
        <f>IFERROR(IF(OR(HLOOKUP($A684,#REF!,13,FALSE)&gt;2,HLOOKUP($A684,#REF!,13,FALSE)&lt;-2),"",#REF!),"")</f>
        <v/>
      </c>
      <c r="P684" t="str">
        <f>IFERROR(IF(OR(HLOOKUP($A684,#REF!,14,FALSE)&gt;2,HLOOKUP($A684,#REF!,14,FALSE)&lt;-2),"",#REF!),"")</f>
        <v/>
      </c>
      <c r="Q684" t="str">
        <f>IFERROR(IF(OR(HLOOKUP($A684,#REF!,15,FALSE)&gt;2,HLOOKUP($A684,#REF!,15,FALSE)&lt;-2),"",#REF!),"")</f>
        <v/>
      </c>
      <c r="R684" t="str">
        <f>IFERROR(IF(OR(HLOOKUP($A684,#REF!,16,FALSE)&gt;2,HLOOKUP($A684,#REF!,16,FALSE)&lt;-2),"",#REF!),"")</f>
        <v/>
      </c>
      <c r="S684" t="str">
        <f>IFERROR(IF(OR(HLOOKUP($A684,#REF!,17,FALSE)&gt;2,HLOOKUP($A684,#REF!,17,FALSE)&lt;-2),"",#REF!),"")</f>
        <v/>
      </c>
      <c r="T684" t="str">
        <f>IFERROR(IF(OR(HLOOKUP($A684,#REF!,18,FALSE)&gt;2,HLOOKUP($A684,#REF!,18,FALSE)&lt;-2),"",#REF!),"")</f>
        <v/>
      </c>
      <c r="U684" t="str">
        <f>IFERROR(IF(OR(HLOOKUP($A684,#REF!,19,FALSE)&gt;2,HLOOKUP($A684,#REF!,19,FALSE)&lt;-2),"",#REF!),"")</f>
        <v/>
      </c>
      <c r="V684">
        <f t="shared" si="40"/>
        <v>1</v>
      </c>
      <c r="W684" t="str">
        <f t="shared" si="41"/>
        <v/>
      </c>
      <c r="X684" t="str">
        <f t="shared" si="42"/>
        <v/>
      </c>
      <c r="Y684" t="str">
        <f t="shared" si="43"/>
        <v/>
      </c>
    </row>
    <row r="685" spans="1:25" x14ac:dyDescent="0.35">
      <c r="A685">
        <v>693</v>
      </c>
      <c r="B685" t="s">
        <v>341</v>
      </c>
      <c r="C685">
        <v>76700</v>
      </c>
      <c r="D685">
        <v>467</v>
      </c>
      <c r="E685" t="str">
        <f>IFERROR(IF(OR(HLOOKUP($A685,#REF!,3,FALSE)&gt;2,HLOOKUP(A685,#REF!,3,FALSE)&lt;-2),"",#REF!),"")</f>
        <v/>
      </c>
      <c r="F685" t="str">
        <f>IFERROR(IF(OR(HLOOKUP($A685,#REF!,4,FALSE)&gt;2,HLOOKUP($A685,#REF!,4,FALSE)&lt;-2),"",#REF!),"")</f>
        <v/>
      </c>
      <c r="G685" t="str">
        <f>IFERROR(IF(OR(HLOOKUP($A685,#REF!,5,FALSE)&gt;2,HLOOKUP($A685,#REF!,5,FALSE)&lt;-2),"",#REF!),"")</f>
        <v/>
      </c>
      <c r="H685" t="str">
        <f>IFERROR(IF(OR(HLOOKUP($A685,#REF!,6,FALSE)&gt;2,HLOOKUP($A685,#REF!,6,FALSE)&lt;-2),"",#REF!),"")</f>
        <v/>
      </c>
      <c r="I685" t="str">
        <f>IFERROR(IF(OR(HLOOKUP($A685,#REF!,7,FALSE)&gt;2,HLOOKUP($A685,#REF!,7,FALSE)&lt;-2),"",#REF!),"")</f>
        <v/>
      </c>
      <c r="J685" t="str">
        <f>IFERROR(IF(OR(HLOOKUP($A685,#REF!,8,FALSE)&gt;2,HLOOKUP($A685,#REF!,8,FALSE)&lt;-2),"",#REF!),"")</f>
        <v/>
      </c>
      <c r="K685" t="str">
        <f>IFERROR(IF(OR(HLOOKUP($A685,#REF!,9,FALSE)&gt;2,HLOOKUP($A685,#REF!,9,FALSE)&lt;-2),"",#REF!),"")</f>
        <v/>
      </c>
      <c r="L685" t="str">
        <f>IFERROR(IF(OR(HLOOKUP($A685,#REF!,10,FALSE)&gt;2,HLOOKUP($A685,#REF!,10,FALSE)&lt;-2),"",#REF!),"")</f>
        <v/>
      </c>
      <c r="M685" t="str">
        <f>IFERROR(IF(OR(HLOOKUP($A685,#REF!,11,FALSE)&gt;2,HLOOKUP($A685,#REF!,11,FALSE)&lt;-2),"",#REF!),"")</f>
        <v/>
      </c>
      <c r="N685" t="str">
        <f>IFERROR(IF(OR(HLOOKUP($A685,#REF!,12,FALSE)&gt;2,HLOOKUP($A685,#REF!,12,FALSE)&lt;-2),"",#REF!),"")</f>
        <v/>
      </c>
      <c r="O685" t="str">
        <f>IFERROR(IF(OR(HLOOKUP($A685,#REF!,13,FALSE)&gt;2,HLOOKUP($A685,#REF!,13,FALSE)&lt;-2),"",#REF!),"")</f>
        <v/>
      </c>
      <c r="P685" t="str">
        <f>IFERROR(IF(OR(HLOOKUP($A685,#REF!,14,FALSE)&gt;2,HLOOKUP($A685,#REF!,14,FALSE)&lt;-2),"",#REF!),"")</f>
        <v/>
      </c>
      <c r="Q685" t="str">
        <f>IFERROR(IF(OR(HLOOKUP($A685,#REF!,15,FALSE)&gt;2,HLOOKUP($A685,#REF!,15,FALSE)&lt;-2),"",#REF!),"")</f>
        <v/>
      </c>
      <c r="R685" t="str">
        <f>IFERROR(IF(OR(HLOOKUP($A685,#REF!,16,FALSE)&gt;2,HLOOKUP($A685,#REF!,16,FALSE)&lt;-2),"",#REF!),"")</f>
        <v/>
      </c>
      <c r="S685" t="str">
        <f>IFERROR(IF(OR(HLOOKUP($A685,#REF!,17,FALSE)&gt;2,HLOOKUP($A685,#REF!,17,FALSE)&lt;-2),"",#REF!),"")</f>
        <v/>
      </c>
      <c r="T685" t="str">
        <f>IFERROR(IF(OR(HLOOKUP($A685,#REF!,18,FALSE)&gt;2,HLOOKUP($A685,#REF!,18,FALSE)&lt;-2),"",#REF!),"")</f>
        <v/>
      </c>
      <c r="U685" t="str">
        <f>IFERROR(IF(OR(HLOOKUP($A685,#REF!,19,FALSE)&gt;2,HLOOKUP($A685,#REF!,19,FALSE)&lt;-2),"",#REF!),"")</f>
        <v/>
      </c>
      <c r="V685">
        <f t="shared" si="40"/>
        <v>1</v>
      </c>
      <c r="W685" t="str">
        <f t="shared" si="41"/>
        <v/>
      </c>
      <c r="X685" t="str">
        <f t="shared" si="42"/>
        <v/>
      </c>
      <c r="Y685" t="str">
        <f t="shared" si="43"/>
        <v/>
      </c>
    </row>
    <row r="686" spans="1:25" x14ac:dyDescent="0.35">
      <c r="A686">
        <v>694</v>
      </c>
      <c r="B686" t="s">
        <v>342</v>
      </c>
      <c r="C686">
        <v>24800</v>
      </c>
      <c r="D686">
        <v>119</v>
      </c>
      <c r="E686" t="str">
        <f>IFERROR(IF(OR(HLOOKUP($A686,#REF!,3,FALSE)&gt;2,HLOOKUP(A686,#REF!,3,FALSE)&lt;-2),"",#REF!),"")</f>
        <v/>
      </c>
      <c r="F686" t="str">
        <f>IFERROR(IF(OR(HLOOKUP($A686,#REF!,4,FALSE)&gt;2,HLOOKUP($A686,#REF!,4,FALSE)&lt;-2),"",#REF!),"")</f>
        <v/>
      </c>
      <c r="G686" t="str">
        <f>IFERROR(IF(OR(HLOOKUP($A686,#REF!,5,FALSE)&gt;2,HLOOKUP($A686,#REF!,5,FALSE)&lt;-2),"",#REF!),"")</f>
        <v/>
      </c>
      <c r="H686" t="str">
        <f>IFERROR(IF(OR(HLOOKUP($A686,#REF!,6,FALSE)&gt;2,HLOOKUP($A686,#REF!,6,FALSE)&lt;-2),"",#REF!),"")</f>
        <v/>
      </c>
      <c r="I686" t="str">
        <f>IFERROR(IF(OR(HLOOKUP($A686,#REF!,7,FALSE)&gt;2,HLOOKUP($A686,#REF!,7,FALSE)&lt;-2),"",#REF!),"")</f>
        <v/>
      </c>
      <c r="J686" t="str">
        <f>IFERROR(IF(OR(HLOOKUP($A686,#REF!,8,FALSE)&gt;2,HLOOKUP($A686,#REF!,8,FALSE)&lt;-2),"",#REF!),"")</f>
        <v/>
      </c>
      <c r="K686" t="str">
        <f>IFERROR(IF(OR(HLOOKUP($A686,#REF!,9,FALSE)&gt;2,HLOOKUP($A686,#REF!,9,FALSE)&lt;-2),"",#REF!),"")</f>
        <v/>
      </c>
      <c r="L686" t="str">
        <f>IFERROR(IF(OR(HLOOKUP($A686,#REF!,10,FALSE)&gt;2,HLOOKUP($A686,#REF!,10,FALSE)&lt;-2),"",#REF!),"")</f>
        <v/>
      </c>
      <c r="M686" t="str">
        <f>IFERROR(IF(OR(HLOOKUP($A686,#REF!,11,FALSE)&gt;2,HLOOKUP($A686,#REF!,11,FALSE)&lt;-2),"",#REF!),"")</f>
        <v/>
      </c>
      <c r="N686" t="str">
        <f>IFERROR(IF(OR(HLOOKUP($A686,#REF!,12,FALSE)&gt;2,HLOOKUP($A686,#REF!,12,FALSE)&lt;-2),"",#REF!),"")</f>
        <v/>
      </c>
      <c r="O686" t="str">
        <f>IFERROR(IF(OR(HLOOKUP($A686,#REF!,13,FALSE)&gt;2,HLOOKUP($A686,#REF!,13,FALSE)&lt;-2),"",#REF!),"")</f>
        <v/>
      </c>
      <c r="P686" t="str">
        <f>IFERROR(IF(OR(HLOOKUP($A686,#REF!,14,FALSE)&gt;2,HLOOKUP($A686,#REF!,14,FALSE)&lt;-2),"",#REF!),"")</f>
        <v/>
      </c>
      <c r="Q686" t="str">
        <f>IFERROR(IF(OR(HLOOKUP($A686,#REF!,15,FALSE)&gt;2,HLOOKUP($A686,#REF!,15,FALSE)&lt;-2),"",#REF!),"")</f>
        <v/>
      </c>
      <c r="R686" t="str">
        <f>IFERROR(IF(OR(HLOOKUP($A686,#REF!,16,FALSE)&gt;2,HLOOKUP($A686,#REF!,16,FALSE)&lt;-2),"",#REF!),"")</f>
        <v/>
      </c>
      <c r="S686" t="str">
        <f>IFERROR(IF(OR(HLOOKUP($A686,#REF!,17,FALSE)&gt;2,HLOOKUP($A686,#REF!,17,FALSE)&lt;-2),"",#REF!),"")</f>
        <v/>
      </c>
      <c r="T686" t="str">
        <f>IFERROR(IF(OR(HLOOKUP($A686,#REF!,18,FALSE)&gt;2,HLOOKUP($A686,#REF!,18,FALSE)&lt;-2),"",#REF!),"")</f>
        <v/>
      </c>
      <c r="U686" t="str">
        <f>IFERROR(IF(OR(HLOOKUP($A686,#REF!,19,FALSE)&gt;2,HLOOKUP($A686,#REF!,19,FALSE)&lt;-2),"",#REF!),"")</f>
        <v/>
      </c>
      <c r="V686">
        <f t="shared" si="40"/>
        <v>1</v>
      </c>
      <c r="W686" t="str">
        <f t="shared" si="41"/>
        <v/>
      </c>
      <c r="X686" t="str">
        <f t="shared" si="42"/>
        <v/>
      </c>
      <c r="Y686" t="str">
        <f t="shared" si="43"/>
        <v/>
      </c>
    </row>
    <row r="687" spans="1:25" x14ac:dyDescent="0.35">
      <c r="A687">
        <v>695</v>
      </c>
      <c r="B687" t="s">
        <v>947</v>
      </c>
      <c r="C687">
        <v>400</v>
      </c>
      <c r="D687">
        <v>688</v>
      </c>
      <c r="E687" t="str">
        <f>IFERROR(IF(OR(HLOOKUP($A687,#REF!,3,FALSE)&gt;2,HLOOKUP(A687,#REF!,3,FALSE)&lt;-2),"",#REF!),"")</f>
        <v/>
      </c>
      <c r="F687" t="str">
        <f>IFERROR(IF(OR(HLOOKUP($A687,#REF!,4,FALSE)&gt;2,HLOOKUP($A687,#REF!,4,FALSE)&lt;-2),"",#REF!),"")</f>
        <v/>
      </c>
      <c r="G687" t="str">
        <f>IFERROR(IF(OR(HLOOKUP($A687,#REF!,5,FALSE)&gt;2,HLOOKUP($A687,#REF!,5,FALSE)&lt;-2),"",#REF!),"")</f>
        <v/>
      </c>
      <c r="H687" t="str">
        <f>IFERROR(IF(OR(HLOOKUP($A687,#REF!,6,FALSE)&gt;2,HLOOKUP($A687,#REF!,6,FALSE)&lt;-2),"",#REF!),"")</f>
        <v/>
      </c>
      <c r="I687" t="str">
        <f>IFERROR(IF(OR(HLOOKUP($A687,#REF!,7,FALSE)&gt;2,HLOOKUP($A687,#REF!,7,FALSE)&lt;-2),"",#REF!),"")</f>
        <v/>
      </c>
      <c r="J687" t="str">
        <f>IFERROR(IF(OR(HLOOKUP($A687,#REF!,8,FALSE)&gt;2,HLOOKUP($A687,#REF!,8,FALSE)&lt;-2),"",#REF!),"")</f>
        <v/>
      </c>
      <c r="K687" t="str">
        <f>IFERROR(IF(OR(HLOOKUP($A687,#REF!,9,FALSE)&gt;2,HLOOKUP($A687,#REF!,9,FALSE)&lt;-2),"",#REF!),"")</f>
        <v/>
      </c>
      <c r="L687" t="str">
        <f>IFERROR(IF(OR(HLOOKUP($A687,#REF!,10,FALSE)&gt;2,HLOOKUP($A687,#REF!,10,FALSE)&lt;-2),"",#REF!),"")</f>
        <v/>
      </c>
      <c r="M687" t="str">
        <f>IFERROR(IF(OR(HLOOKUP($A687,#REF!,11,FALSE)&gt;2,HLOOKUP($A687,#REF!,11,FALSE)&lt;-2),"",#REF!),"")</f>
        <v/>
      </c>
      <c r="N687" t="str">
        <f>IFERROR(IF(OR(HLOOKUP($A687,#REF!,12,FALSE)&gt;2,HLOOKUP($A687,#REF!,12,FALSE)&lt;-2),"",#REF!),"")</f>
        <v/>
      </c>
      <c r="O687" t="str">
        <f>IFERROR(IF(OR(HLOOKUP($A687,#REF!,13,FALSE)&gt;2,HLOOKUP($A687,#REF!,13,FALSE)&lt;-2),"",#REF!),"")</f>
        <v/>
      </c>
      <c r="P687" t="str">
        <f>IFERROR(IF(OR(HLOOKUP($A687,#REF!,14,FALSE)&gt;2,HLOOKUP($A687,#REF!,14,FALSE)&lt;-2),"",#REF!),"")</f>
        <v/>
      </c>
      <c r="Q687" t="str">
        <f>IFERROR(IF(OR(HLOOKUP($A687,#REF!,15,FALSE)&gt;2,HLOOKUP($A687,#REF!,15,FALSE)&lt;-2),"",#REF!),"")</f>
        <v/>
      </c>
      <c r="R687" t="str">
        <f>IFERROR(IF(OR(HLOOKUP($A687,#REF!,16,FALSE)&gt;2,HLOOKUP($A687,#REF!,16,FALSE)&lt;-2),"",#REF!),"")</f>
        <v/>
      </c>
      <c r="S687" t="str">
        <f>IFERROR(IF(OR(HLOOKUP($A687,#REF!,17,FALSE)&gt;2,HLOOKUP($A687,#REF!,17,FALSE)&lt;-2),"",#REF!),"")</f>
        <v/>
      </c>
      <c r="T687" t="str">
        <f>IFERROR(IF(OR(HLOOKUP($A687,#REF!,18,FALSE)&gt;2,HLOOKUP($A687,#REF!,18,FALSE)&lt;-2),"",#REF!),"")</f>
        <v/>
      </c>
      <c r="U687" t="str">
        <f>IFERROR(IF(OR(HLOOKUP($A687,#REF!,19,FALSE)&gt;2,HLOOKUP($A687,#REF!,19,FALSE)&lt;-2),"",#REF!),"")</f>
        <v/>
      </c>
      <c r="V687">
        <f t="shared" si="40"/>
        <v>1</v>
      </c>
      <c r="W687" t="str">
        <f t="shared" si="41"/>
        <v/>
      </c>
      <c r="X687" t="str">
        <f t="shared" si="42"/>
        <v/>
      </c>
      <c r="Y687" t="str">
        <f t="shared" si="43"/>
        <v/>
      </c>
    </row>
    <row r="688" spans="1:25" x14ac:dyDescent="0.35">
      <c r="A688">
        <v>696</v>
      </c>
      <c r="B688" t="s">
        <v>343</v>
      </c>
      <c r="C688">
        <v>12100</v>
      </c>
      <c r="D688">
        <v>1027</v>
      </c>
      <c r="E688" t="str">
        <f>IFERROR(IF(OR(HLOOKUP($A688,#REF!,3,FALSE)&gt;2,HLOOKUP(A688,#REF!,3,FALSE)&lt;-2),"",#REF!),"")</f>
        <v/>
      </c>
      <c r="F688" t="str">
        <f>IFERROR(IF(OR(HLOOKUP($A688,#REF!,4,FALSE)&gt;2,HLOOKUP($A688,#REF!,4,FALSE)&lt;-2),"",#REF!),"")</f>
        <v/>
      </c>
      <c r="G688" t="str">
        <f>IFERROR(IF(OR(HLOOKUP($A688,#REF!,5,FALSE)&gt;2,HLOOKUP($A688,#REF!,5,FALSE)&lt;-2),"",#REF!),"")</f>
        <v/>
      </c>
      <c r="H688" t="str">
        <f>IFERROR(IF(OR(HLOOKUP($A688,#REF!,6,FALSE)&gt;2,HLOOKUP($A688,#REF!,6,FALSE)&lt;-2),"",#REF!),"")</f>
        <v/>
      </c>
      <c r="I688" t="str">
        <f>IFERROR(IF(OR(HLOOKUP($A688,#REF!,7,FALSE)&gt;2,HLOOKUP($A688,#REF!,7,FALSE)&lt;-2),"",#REF!),"")</f>
        <v/>
      </c>
      <c r="J688" t="str">
        <f>IFERROR(IF(OR(HLOOKUP($A688,#REF!,8,FALSE)&gt;2,HLOOKUP($A688,#REF!,8,FALSE)&lt;-2),"",#REF!),"")</f>
        <v/>
      </c>
      <c r="K688" t="str">
        <f>IFERROR(IF(OR(HLOOKUP($A688,#REF!,9,FALSE)&gt;2,HLOOKUP($A688,#REF!,9,FALSE)&lt;-2),"",#REF!),"")</f>
        <v/>
      </c>
      <c r="L688" t="str">
        <f>IFERROR(IF(OR(HLOOKUP($A688,#REF!,10,FALSE)&gt;2,HLOOKUP($A688,#REF!,10,FALSE)&lt;-2),"",#REF!),"")</f>
        <v/>
      </c>
      <c r="M688" t="str">
        <f>IFERROR(IF(OR(HLOOKUP($A688,#REF!,11,FALSE)&gt;2,HLOOKUP($A688,#REF!,11,FALSE)&lt;-2),"",#REF!),"")</f>
        <v/>
      </c>
      <c r="N688" t="str">
        <f>IFERROR(IF(OR(HLOOKUP($A688,#REF!,12,FALSE)&gt;2,HLOOKUP($A688,#REF!,12,FALSE)&lt;-2),"",#REF!),"")</f>
        <v/>
      </c>
      <c r="O688" t="str">
        <f>IFERROR(IF(OR(HLOOKUP($A688,#REF!,13,FALSE)&gt;2,HLOOKUP($A688,#REF!,13,FALSE)&lt;-2),"",#REF!),"")</f>
        <v/>
      </c>
      <c r="P688" t="str">
        <f>IFERROR(IF(OR(HLOOKUP($A688,#REF!,14,FALSE)&gt;2,HLOOKUP($A688,#REF!,14,FALSE)&lt;-2),"",#REF!),"")</f>
        <v/>
      </c>
      <c r="Q688" t="str">
        <f>IFERROR(IF(OR(HLOOKUP($A688,#REF!,15,FALSE)&gt;2,HLOOKUP($A688,#REF!,15,FALSE)&lt;-2),"",#REF!),"")</f>
        <v/>
      </c>
      <c r="R688" t="str">
        <f>IFERROR(IF(OR(HLOOKUP($A688,#REF!,16,FALSE)&gt;2,HLOOKUP($A688,#REF!,16,FALSE)&lt;-2),"",#REF!),"")</f>
        <v/>
      </c>
      <c r="S688" t="str">
        <f>IFERROR(IF(OR(HLOOKUP($A688,#REF!,17,FALSE)&gt;2,HLOOKUP($A688,#REF!,17,FALSE)&lt;-2),"",#REF!),"")</f>
        <v/>
      </c>
      <c r="T688" t="str">
        <f>IFERROR(IF(OR(HLOOKUP($A688,#REF!,18,FALSE)&gt;2,HLOOKUP($A688,#REF!,18,FALSE)&lt;-2),"",#REF!),"")</f>
        <v/>
      </c>
      <c r="U688" t="str">
        <f>IFERROR(IF(OR(HLOOKUP($A688,#REF!,19,FALSE)&gt;2,HLOOKUP($A688,#REF!,19,FALSE)&lt;-2),"",#REF!),"")</f>
        <v/>
      </c>
      <c r="V688">
        <f t="shared" si="40"/>
        <v>1</v>
      </c>
      <c r="W688" t="str">
        <f t="shared" si="41"/>
        <v/>
      </c>
      <c r="X688" t="str">
        <f t="shared" si="42"/>
        <v/>
      </c>
      <c r="Y688" t="str">
        <f t="shared" si="43"/>
        <v/>
      </c>
    </row>
    <row r="689" spans="1:25" x14ac:dyDescent="0.35">
      <c r="A689">
        <v>697</v>
      </c>
      <c r="B689" t="s">
        <v>344</v>
      </c>
      <c r="C689">
        <v>103000</v>
      </c>
      <c r="D689">
        <v>932</v>
      </c>
      <c r="E689" t="str">
        <f>IFERROR(IF(OR(HLOOKUP($A689,#REF!,3,FALSE)&gt;2,HLOOKUP(A689,#REF!,3,FALSE)&lt;-2),"",#REF!),"")</f>
        <v/>
      </c>
      <c r="F689" t="str">
        <f>IFERROR(IF(OR(HLOOKUP($A689,#REF!,4,FALSE)&gt;2,HLOOKUP($A689,#REF!,4,FALSE)&lt;-2),"",#REF!),"")</f>
        <v/>
      </c>
      <c r="G689" t="str">
        <f>IFERROR(IF(OR(HLOOKUP($A689,#REF!,5,FALSE)&gt;2,HLOOKUP($A689,#REF!,5,FALSE)&lt;-2),"",#REF!),"")</f>
        <v/>
      </c>
      <c r="H689" t="str">
        <f>IFERROR(IF(OR(HLOOKUP($A689,#REF!,6,FALSE)&gt;2,HLOOKUP($A689,#REF!,6,FALSE)&lt;-2),"",#REF!),"")</f>
        <v/>
      </c>
      <c r="I689" t="str">
        <f>IFERROR(IF(OR(HLOOKUP($A689,#REF!,7,FALSE)&gt;2,HLOOKUP($A689,#REF!,7,FALSE)&lt;-2),"",#REF!),"")</f>
        <v/>
      </c>
      <c r="J689" t="str">
        <f>IFERROR(IF(OR(HLOOKUP($A689,#REF!,8,FALSE)&gt;2,HLOOKUP($A689,#REF!,8,FALSE)&lt;-2),"",#REF!),"")</f>
        <v/>
      </c>
      <c r="K689" t="str">
        <f>IFERROR(IF(OR(HLOOKUP($A689,#REF!,9,FALSE)&gt;2,HLOOKUP($A689,#REF!,9,FALSE)&lt;-2),"",#REF!),"")</f>
        <v/>
      </c>
      <c r="L689" t="str">
        <f>IFERROR(IF(OR(HLOOKUP($A689,#REF!,10,FALSE)&gt;2,HLOOKUP($A689,#REF!,10,FALSE)&lt;-2),"",#REF!),"")</f>
        <v/>
      </c>
      <c r="M689" t="str">
        <f>IFERROR(IF(OR(HLOOKUP($A689,#REF!,11,FALSE)&gt;2,HLOOKUP($A689,#REF!,11,FALSE)&lt;-2),"",#REF!),"")</f>
        <v/>
      </c>
      <c r="N689" t="str">
        <f>IFERROR(IF(OR(HLOOKUP($A689,#REF!,12,FALSE)&gt;2,HLOOKUP($A689,#REF!,12,FALSE)&lt;-2),"",#REF!),"")</f>
        <v/>
      </c>
      <c r="O689" t="str">
        <f>IFERROR(IF(OR(HLOOKUP($A689,#REF!,13,FALSE)&gt;2,HLOOKUP($A689,#REF!,13,FALSE)&lt;-2),"",#REF!),"")</f>
        <v/>
      </c>
      <c r="P689" t="str">
        <f>IFERROR(IF(OR(HLOOKUP($A689,#REF!,14,FALSE)&gt;2,HLOOKUP($A689,#REF!,14,FALSE)&lt;-2),"",#REF!),"")</f>
        <v/>
      </c>
      <c r="Q689" t="str">
        <f>IFERROR(IF(OR(HLOOKUP($A689,#REF!,15,FALSE)&gt;2,HLOOKUP($A689,#REF!,15,FALSE)&lt;-2),"",#REF!),"")</f>
        <v/>
      </c>
      <c r="R689" t="str">
        <f>IFERROR(IF(OR(HLOOKUP($A689,#REF!,16,FALSE)&gt;2,HLOOKUP($A689,#REF!,16,FALSE)&lt;-2),"",#REF!),"")</f>
        <v/>
      </c>
      <c r="S689" t="str">
        <f>IFERROR(IF(OR(HLOOKUP($A689,#REF!,17,FALSE)&gt;2,HLOOKUP($A689,#REF!,17,FALSE)&lt;-2),"",#REF!),"")</f>
        <v/>
      </c>
      <c r="T689" t="str">
        <f>IFERROR(IF(OR(HLOOKUP($A689,#REF!,18,FALSE)&gt;2,HLOOKUP($A689,#REF!,18,FALSE)&lt;-2),"",#REF!),"")</f>
        <v/>
      </c>
      <c r="U689" t="str">
        <f>IFERROR(IF(OR(HLOOKUP($A689,#REF!,19,FALSE)&gt;2,HLOOKUP($A689,#REF!,19,FALSE)&lt;-2),"",#REF!),"")</f>
        <v/>
      </c>
      <c r="V689">
        <f t="shared" si="40"/>
        <v>1</v>
      </c>
      <c r="W689" t="str">
        <f t="shared" si="41"/>
        <v/>
      </c>
      <c r="X689" t="str">
        <f t="shared" si="42"/>
        <v/>
      </c>
      <c r="Y689" t="str">
        <f t="shared" si="43"/>
        <v/>
      </c>
    </row>
    <row r="690" spans="1:25" x14ac:dyDescent="0.35">
      <c r="A690">
        <v>698</v>
      </c>
      <c r="B690" t="s">
        <v>345</v>
      </c>
      <c r="C690">
        <v>29900</v>
      </c>
      <c r="D690">
        <v>695</v>
      </c>
      <c r="E690" t="str">
        <f>IFERROR(IF(OR(HLOOKUP($A690,#REF!,3,FALSE)&gt;2,HLOOKUP(A690,#REF!,3,FALSE)&lt;-2),"",#REF!),"")</f>
        <v/>
      </c>
      <c r="F690" t="str">
        <f>IFERROR(IF(OR(HLOOKUP($A690,#REF!,4,FALSE)&gt;2,HLOOKUP($A690,#REF!,4,FALSE)&lt;-2),"",#REF!),"")</f>
        <v/>
      </c>
      <c r="G690" t="str">
        <f>IFERROR(IF(OR(HLOOKUP($A690,#REF!,5,FALSE)&gt;2,HLOOKUP($A690,#REF!,5,FALSE)&lt;-2),"",#REF!),"")</f>
        <v/>
      </c>
      <c r="H690" t="str">
        <f>IFERROR(IF(OR(HLOOKUP($A690,#REF!,6,FALSE)&gt;2,HLOOKUP($A690,#REF!,6,FALSE)&lt;-2),"",#REF!),"")</f>
        <v/>
      </c>
      <c r="I690" t="str">
        <f>IFERROR(IF(OR(HLOOKUP($A690,#REF!,7,FALSE)&gt;2,HLOOKUP($A690,#REF!,7,FALSE)&lt;-2),"",#REF!),"")</f>
        <v/>
      </c>
      <c r="J690" t="str">
        <f>IFERROR(IF(OR(HLOOKUP($A690,#REF!,8,FALSE)&gt;2,HLOOKUP($A690,#REF!,8,FALSE)&lt;-2),"",#REF!),"")</f>
        <v/>
      </c>
      <c r="K690" t="str">
        <f>IFERROR(IF(OR(HLOOKUP($A690,#REF!,9,FALSE)&gt;2,HLOOKUP($A690,#REF!,9,FALSE)&lt;-2),"",#REF!),"")</f>
        <v/>
      </c>
      <c r="L690" t="str">
        <f>IFERROR(IF(OR(HLOOKUP($A690,#REF!,10,FALSE)&gt;2,HLOOKUP($A690,#REF!,10,FALSE)&lt;-2),"",#REF!),"")</f>
        <v/>
      </c>
      <c r="M690" t="str">
        <f>IFERROR(IF(OR(HLOOKUP($A690,#REF!,11,FALSE)&gt;2,HLOOKUP($A690,#REF!,11,FALSE)&lt;-2),"",#REF!),"")</f>
        <v/>
      </c>
      <c r="N690" t="str">
        <f>IFERROR(IF(OR(HLOOKUP($A690,#REF!,12,FALSE)&gt;2,HLOOKUP($A690,#REF!,12,FALSE)&lt;-2),"",#REF!),"")</f>
        <v/>
      </c>
      <c r="O690" t="str">
        <f>IFERROR(IF(OR(HLOOKUP($A690,#REF!,13,FALSE)&gt;2,HLOOKUP($A690,#REF!,13,FALSE)&lt;-2),"",#REF!),"")</f>
        <v/>
      </c>
      <c r="P690" t="str">
        <f>IFERROR(IF(OR(HLOOKUP($A690,#REF!,14,FALSE)&gt;2,HLOOKUP($A690,#REF!,14,FALSE)&lt;-2),"",#REF!),"")</f>
        <v/>
      </c>
      <c r="Q690" t="str">
        <f>IFERROR(IF(OR(HLOOKUP($A690,#REF!,15,FALSE)&gt;2,HLOOKUP($A690,#REF!,15,FALSE)&lt;-2),"",#REF!),"")</f>
        <v/>
      </c>
      <c r="R690" t="str">
        <f>IFERROR(IF(OR(HLOOKUP($A690,#REF!,16,FALSE)&gt;2,HLOOKUP($A690,#REF!,16,FALSE)&lt;-2),"",#REF!),"")</f>
        <v/>
      </c>
      <c r="S690" t="str">
        <f>IFERROR(IF(OR(HLOOKUP($A690,#REF!,17,FALSE)&gt;2,HLOOKUP($A690,#REF!,17,FALSE)&lt;-2),"",#REF!),"")</f>
        <v/>
      </c>
      <c r="T690" t="str">
        <f>IFERROR(IF(OR(HLOOKUP($A690,#REF!,18,FALSE)&gt;2,HLOOKUP($A690,#REF!,18,FALSE)&lt;-2),"",#REF!),"")</f>
        <v/>
      </c>
      <c r="U690" t="str">
        <f>IFERROR(IF(OR(HLOOKUP($A690,#REF!,19,FALSE)&gt;2,HLOOKUP($A690,#REF!,19,FALSE)&lt;-2),"",#REF!),"")</f>
        <v/>
      </c>
      <c r="V690">
        <f t="shared" si="40"/>
        <v>1</v>
      </c>
      <c r="W690" t="str">
        <f t="shared" si="41"/>
        <v/>
      </c>
      <c r="X690" t="str">
        <f t="shared" si="42"/>
        <v/>
      </c>
      <c r="Y690" t="str">
        <f t="shared" si="43"/>
        <v/>
      </c>
    </row>
    <row r="691" spans="1:25" x14ac:dyDescent="0.35">
      <c r="A691">
        <v>699</v>
      </c>
      <c r="B691" t="s">
        <v>948</v>
      </c>
      <c r="C691">
        <v>25100</v>
      </c>
      <c r="D691">
        <v>119</v>
      </c>
      <c r="E691" t="str">
        <f>IFERROR(IF(OR(HLOOKUP($A691,#REF!,3,FALSE)&gt;2,HLOOKUP(A691,#REF!,3,FALSE)&lt;-2),"",#REF!),"")</f>
        <v/>
      </c>
      <c r="F691" t="str">
        <f>IFERROR(IF(OR(HLOOKUP($A691,#REF!,4,FALSE)&gt;2,HLOOKUP($A691,#REF!,4,FALSE)&lt;-2),"",#REF!),"")</f>
        <v/>
      </c>
      <c r="G691" t="str">
        <f>IFERROR(IF(OR(HLOOKUP($A691,#REF!,5,FALSE)&gt;2,HLOOKUP($A691,#REF!,5,FALSE)&lt;-2),"",#REF!),"")</f>
        <v/>
      </c>
      <c r="H691" t="str">
        <f>IFERROR(IF(OR(HLOOKUP($A691,#REF!,6,FALSE)&gt;2,HLOOKUP($A691,#REF!,6,FALSE)&lt;-2),"",#REF!),"")</f>
        <v/>
      </c>
      <c r="I691" t="str">
        <f>IFERROR(IF(OR(HLOOKUP($A691,#REF!,7,FALSE)&gt;2,HLOOKUP($A691,#REF!,7,FALSE)&lt;-2),"",#REF!),"")</f>
        <v/>
      </c>
      <c r="J691" t="str">
        <f>IFERROR(IF(OR(HLOOKUP($A691,#REF!,8,FALSE)&gt;2,HLOOKUP($A691,#REF!,8,FALSE)&lt;-2),"",#REF!),"")</f>
        <v/>
      </c>
      <c r="K691" t="str">
        <f>IFERROR(IF(OR(HLOOKUP($A691,#REF!,9,FALSE)&gt;2,HLOOKUP($A691,#REF!,9,FALSE)&lt;-2),"",#REF!),"")</f>
        <v/>
      </c>
      <c r="L691" t="str">
        <f>IFERROR(IF(OR(HLOOKUP($A691,#REF!,10,FALSE)&gt;2,HLOOKUP($A691,#REF!,10,FALSE)&lt;-2),"",#REF!),"")</f>
        <v/>
      </c>
      <c r="M691" t="str">
        <f>IFERROR(IF(OR(HLOOKUP($A691,#REF!,11,FALSE)&gt;2,HLOOKUP($A691,#REF!,11,FALSE)&lt;-2),"",#REF!),"")</f>
        <v/>
      </c>
      <c r="N691" t="str">
        <f>IFERROR(IF(OR(HLOOKUP($A691,#REF!,12,FALSE)&gt;2,HLOOKUP($A691,#REF!,12,FALSE)&lt;-2),"",#REF!),"")</f>
        <v/>
      </c>
      <c r="O691" t="str">
        <f>IFERROR(IF(OR(HLOOKUP($A691,#REF!,13,FALSE)&gt;2,HLOOKUP($A691,#REF!,13,FALSE)&lt;-2),"",#REF!),"")</f>
        <v/>
      </c>
      <c r="P691" t="str">
        <f>IFERROR(IF(OR(HLOOKUP($A691,#REF!,14,FALSE)&gt;2,HLOOKUP($A691,#REF!,14,FALSE)&lt;-2),"",#REF!),"")</f>
        <v/>
      </c>
      <c r="Q691" t="str">
        <f>IFERROR(IF(OR(HLOOKUP($A691,#REF!,15,FALSE)&gt;2,HLOOKUP($A691,#REF!,15,FALSE)&lt;-2),"",#REF!),"")</f>
        <v/>
      </c>
      <c r="R691" t="str">
        <f>IFERROR(IF(OR(HLOOKUP($A691,#REF!,16,FALSE)&gt;2,HLOOKUP($A691,#REF!,16,FALSE)&lt;-2),"",#REF!),"")</f>
        <v/>
      </c>
      <c r="S691" t="str">
        <f>IFERROR(IF(OR(HLOOKUP($A691,#REF!,17,FALSE)&gt;2,HLOOKUP($A691,#REF!,17,FALSE)&lt;-2),"",#REF!),"")</f>
        <v/>
      </c>
      <c r="T691" t="str">
        <f>IFERROR(IF(OR(HLOOKUP($A691,#REF!,18,FALSE)&gt;2,HLOOKUP($A691,#REF!,18,FALSE)&lt;-2),"",#REF!),"")</f>
        <v/>
      </c>
      <c r="U691" t="str">
        <f>IFERROR(IF(OR(HLOOKUP($A691,#REF!,19,FALSE)&gt;2,HLOOKUP($A691,#REF!,19,FALSE)&lt;-2),"",#REF!),"")</f>
        <v/>
      </c>
      <c r="V691">
        <f t="shared" si="40"/>
        <v>1</v>
      </c>
      <c r="W691" t="str">
        <f t="shared" si="41"/>
        <v/>
      </c>
      <c r="X691" t="str">
        <f t="shared" si="42"/>
        <v/>
      </c>
      <c r="Y691" t="str">
        <f t="shared" si="43"/>
        <v/>
      </c>
    </row>
    <row r="692" spans="1:25" x14ac:dyDescent="0.35">
      <c r="A692">
        <v>700</v>
      </c>
      <c r="B692" t="s">
        <v>949</v>
      </c>
      <c r="C692">
        <v>74200</v>
      </c>
      <c r="D692">
        <v>88</v>
      </c>
      <c r="E692" t="str">
        <f>IFERROR(IF(OR(HLOOKUP($A692,#REF!,3,FALSE)&gt;2,HLOOKUP(A692,#REF!,3,FALSE)&lt;-2),"",#REF!),"")</f>
        <v/>
      </c>
      <c r="F692" t="str">
        <f>IFERROR(IF(OR(HLOOKUP($A692,#REF!,4,FALSE)&gt;2,HLOOKUP($A692,#REF!,4,FALSE)&lt;-2),"",#REF!),"")</f>
        <v/>
      </c>
      <c r="G692" t="str">
        <f>IFERROR(IF(OR(HLOOKUP($A692,#REF!,5,FALSE)&gt;2,HLOOKUP($A692,#REF!,5,FALSE)&lt;-2),"",#REF!),"")</f>
        <v/>
      </c>
      <c r="H692" t="str">
        <f>IFERROR(IF(OR(HLOOKUP($A692,#REF!,6,FALSE)&gt;2,HLOOKUP($A692,#REF!,6,FALSE)&lt;-2),"",#REF!),"")</f>
        <v/>
      </c>
      <c r="I692" t="str">
        <f>IFERROR(IF(OR(HLOOKUP($A692,#REF!,7,FALSE)&gt;2,HLOOKUP($A692,#REF!,7,FALSE)&lt;-2),"",#REF!),"")</f>
        <v/>
      </c>
      <c r="J692" t="str">
        <f>IFERROR(IF(OR(HLOOKUP($A692,#REF!,8,FALSE)&gt;2,HLOOKUP($A692,#REF!,8,FALSE)&lt;-2),"",#REF!),"")</f>
        <v/>
      </c>
      <c r="K692" t="str">
        <f>IFERROR(IF(OR(HLOOKUP($A692,#REF!,9,FALSE)&gt;2,HLOOKUP($A692,#REF!,9,FALSE)&lt;-2),"",#REF!),"")</f>
        <v/>
      </c>
      <c r="L692" t="str">
        <f>IFERROR(IF(OR(HLOOKUP($A692,#REF!,10,FALSE)&gt;2,HLOOKUP($A692,#REF!,10,FALSE)&lt;-2),"",#REF!),"")</f>
        <v/>
      </c>
      <c r="M692" t="str">
        <f>IFERROR(IF(OR(HLOOKUP($A692,#REF!,11,FALSE)&gt;2,HLOOKUP($A692,#REF!,11,FALSE)&lt;-2),"",#REF!),"")</f>
        <v/>
      </c>
      <c r="N692" t="str">
        <f>IFERROR(IF(OR(HLOOKUP($A692,#REF!,12,FALSE)&gt;2,HLOOKUP($A692,#REF!,12,FALSE)&lt;-2),"",#REF!),"")</f>
        <v/>
      </c>
      <c r="O692" t="str">
        <f>IFERROR(IF(OR(HLOOKUP($A692,#REF!,13,FALSE)&gt;2,HLOOKUP($A692,#REF!,13,FALSE)&lt;-2),"",#REF!),"")</f>
        <v/>
      </c>
      <c r="P692" t="str">
        <f>IFERROR(IF(OR(HLOOKUP($A692,#REF!,14,FALSE)&gt;2,HLOOKUP($A692,#REF!,14,FALSE)&lt;-2),"",#REF!),"")</f>
        <v/>
      </c>
      <c r="Q692" t="str">
        <f>IFERROR(IF(OR(HLOOKUP($A692,#REF!,15,FALSE)&gt;2,HLOOKUP($A692,#REF!,15,FALSE)&lt;-2),"",#REF!),"")</f>
        <v/>
      </c>
      <c r="R692" t="str">
        <f>IFERROR(IF(OR(HLOOKUP($A692,#REF!,16,FALSE)&gt;2,HLOOKUP($A692,#REF!,16,FALSE)&lt;-2),"",#REF!),"")</f>
        <v/>
      </c>
      <c r="S692" t="str">
        <f>IFERROR(IF(OR(HLOOKUP($A692,#REF!,17,FALSE)&gt;2,HLOOKUP($A692,#REF!,17,FALSE)&lt;-2),"",#REF!),"")</f>
        <v/>
      </c>
      <c r="T692" t="str">
        <f>IFERROR(IF(OR(HLOOKUP($A692,#REF!,18,FALSE)&gt;2,HLOOKUP($A692,#REF!,18,FALSE)&lt;-2),"",#REF!),"")</f>
        <v/>
      </c>
      <c r="U692" t="str">
        <f>IFERROR(IF(OR(HLOOKUP($A692,#REF!,19,FALSE)&gt;2,HLOOKUP($A692,#REF!,19,FALSE)&lt;-2),"",#REF!),"")</f>
        <v/>
      </c>
      <c r="V692">
        <f t="shared" si="40"/>
        <v>1</v>
      </c>
      <c r="W692" t="str">
        <f t="shared" si="41"/>
        <v/>
      </c>
      <c r="X692" t="str">
        <f t="shared" si="42"/>
        <v/>
      </c>
      <c r="Y692" t="str">
        <f t="shared" si="43"/>
        <v/>
      </c>
    </row>
    <row r="693" spans="1:25" x14ac:dyDescent="0.35">
      <c r="A693">
        <v>701</v>
      </c>
      <c r="B693" t="s">
        <v>950</v>
      </c>
      <c r="C693">
        <v>95900</v>
      </c>
      <c r="D693">
        <v>370</v>
      </c>
      <c r="E693" t="str">
        <f>IFERROR(IF(OR(HLOOKUP($A693,#REF!,3,FALSE)&gt;2,HLOOKUP(A693,#REF!,3,FALSE)&lt;-2),"",#REF!),"")</f>
        <v/>
      </c>
      <c r="F693" t="str">
        <f>IFERROR(IF(OR(HLOOKUP($A693,#REF!,4,FALSE)&gt;2,HLOOKUP($A693,#REF!,4,FALSE)&lt;-2),"",#REF!),"")</f>
        <v/>
      </c>
      <c r="G693" t="str">
        <f>IFERROR(IF(OR(HLOOKUP($A693,#REF!,5,FALSE)&gt;2,HLOOKUP($A693,#REF!,5,FALSE)&lt;-2),"",#REF!),"")</f>
        <v/>
      </c>
      <c r="H693" t="str">
        <f>IFERROR(IF(OR(HLOOKUP($A693,#REF!,6,FALSE)&gt;2,HLOOKUP($A693,#REF!,6,FALSE)&lt;-2),"",#REF!),"")</f>
        <v/>
      </c>
      <c r="I693" t="str">
        <f>IFERROR(IF(OR(HLOOKUP($A693,#REF!,7,FALSE)&gt;2,HLOOKUP($A693,#REF!,7,FALSE)&lt;-2),"",#REF!),"")</f>
        <v/>
      </c>
      <c r="J693" t="str">
        <f>IFERROR(IF(OR(HLOOKUP($A693,#REF!,8,FALSE)&gt;2,HLOOKUP($A693,#REF!,8,FALSE)&lt;-2),"",#REF!),"")</f>
        <v/>
      </c>
      <c r="K693" t="str">
        <f>IFERROR(IF(OR(HLOOKUP($A693,#REF!,9,FALSE)&gt;2,HLOOKUP($A693,#REF!,9,FALSE)&lt;-2),"",#REF!),"")</f>
        <v/>
      </c>
      <c r="L693" t="str">
        <f>IFERROR(IF(OR(HLOOKUP($A693,#REF!,10,FALSE)&gt;2,HLOOKUP($A693,#REF!,10,FALSE)&lt;-2),"",#REF!),"")</f>
        <v/>
      </c>
      <c r="M693" t="str">
        <f>IFERROR(IF(OR(HLOOKUP($A693,#REF!,11,FALSE)&gt;2,HLOOKUP($A693,#REF!,11,FALSE)&lt;-2),"",#REF!),"")</f>
        <v/>
      </c>
      <c r="N693" t="str">
        <f>IFERROR(IF(OR(HLOOKUP($A693,#REF!,12,FALSE)&gt;2,HLOOKUP($A693,#REF!,12,FALSE)&lt;-2),"",#REF!),"")</f>
        <v/>
      </c>
      <c r="O693" t="str">
        <f>IFERROR(IF(OR(HLOOKUP($A693,#REF!,13,FALSE)&gt;2,HLOOKUP($A693,#REF!,13,FALSE)&lt;-2),"",#REF!),"")</f>
        <v/>
      </c>
      <c r="P693" t="str">
        <f>IFERROR(IF(OR(HLOOKUP($A693,#REF!,14,FALSE)&gt;2,HLOOKUP($A693,#REF!,14,FALSE)&lt;-2),"",#REF!),"")</f>
        <v/>
      </c>
      <c r="Q693" t="str">
        <f>IFERROR(IF(OR(HLOOKUP($A693,#REF!,15,FALSE)&gt;2,HLOOKUP($A693,#REF!,15,FALSE)&lt;-2),"",#REF!),"")</f>
        <v/>
      </c>
      <c r="R693" t="str">
        <f>IFERROR(IF(OR(HLOOKUP($A693,#REF!,16,FALSE)&gt;2,HLOOKUP($A693,#REF!,16,FALSE)&lt;-2),"",#REF!),"")</f>
        <v/>
      </c>
      <c r="S693" t="str">
        <f>IFERROR(IF(OR(HLOOKUP($A693,#REF!,17,FALSE)&gt;2,HLOOKUP($A693,#REF!,17,FALSE)&lt;-2),"",#REF!),"")</f>
        <v/>
      </c>
      <c r="T693" t="str">
        <f>IFERROR(IF(OR(HLOOKUP($A693,#REF!,18,FALSE)&gt;2,HLOOKUP($A693,#REF!,18,FALSE)&lt;-2),"",#REF!),"")</f>
        <v/>
      </c>
      <c r="U693" t="str">
        <f>IFERROR(IF(OR(HLOOKUP($A693,#REF!,19,FALSE)&gt;2,HLOOKUP($A693,#REF!,19,FALSE)&lt;-2),"",#REF!),"")</f>
        <v/>
      </c>
      <c r="V693">
        <f t="shared" si="40"/>
        <v>1</v>
      </c>
      <c r="W693" t="str">
        <f t="shared" si="41"/>
        <v/>
      </c>
      <c r="X693" t="str">
        <f t="shared" si="42"/>
        <v/>
      </c>
      <c r="Y693" t="str">
        <f t="shared" si="43"/>
        <v/>
      </c>
    </row>
    <row r="694" spans="1:25" x14ac:dyDescent="0.35">
      <c r="A694">
        <v>702</v>
      </c>
      <c r="B694" t="s">
        <v>346</v>
      </c>
      <c r="C694">
        <v>3900</v>
      </c>
      <c r="D694">
        <v>353</v>
      </c>
      <c r="E694" t="str">
        <f>IFERROR(IF(OR(HLOOKUP($A694,#REF!,3,FALSE)&gt;2,HLOOKUP(A694,#REF!,3,FALSE)&lt;-2),"",#REF!),"")</f>
        <v/>
      </c>
      <c r="F694" t="str">
        <f>IFERROR(IF(OR(HLOOKUP($A694,#REF!,4,FALSE)&gt;2,HLOOKUP($A694,#REF!,4,FALSE)&lt;-2),"",#REF!),"")</f>
        <v/>
      </c>
      <c r="G694" t="str">
        <f>IFERROR(IF(OR(HLOOKUP($A694,#REF!,5,FALSE)&gt;2,HLOOKUP($A694,#REF!,5,FALSE)&lt;-2),"",#REF!),"")</f>
        <v/>
      </c>
      <c r="H694" t="str">
        <f>IFERROR(IF(OR(HLOOKUP($A694,#REF!,6,FALSE)&gt;2,HLOOKUP($A694,#REF!,6,FALSE)&lt;-2),"",#REF!),"")</f>
        <v/>
      </c>
      <c r="I694" t="str">
        <f>IFERROR(IF(OR(HLOOKUP($A694,#REF!,7,FALSE)&gt;2,HLOOKUP($A694,#REF!,7,FALSE)&lt;-2),"",#REF!),"")</f>
        <v/>
      </c>
      <c r="J694" t="str">
        <f>IFERROR(IF(OR(HLOOKUP($A694,#REF!,8,FALSE)&gt;2,HLOOKUP($A694,#REF!,8,FALSE)&lt;-2),"",#REF!),"")</f>
        <v/>
      </c>
      <c r="K694" t="str">
        <f>IFERROR(IF(OR(HLOOKUP($A694,#REF!,9,FALSE)&gt;2,HLOOKUP($A694,#REF!,9,FALSE)&lt;-2),"",#REF!),"")</f>
        <v/>
      </c>
      <c r="L694" t="str">
        <f>IFERROR(IF(OR(HLOOKUP($A694,#REF!,10,FALSE)&gt;2,HLOOKUP($A694,#REF!,10,FALSE)&lt;-2),"",#REF!),"")</f>
        <v/>
      </c>
      <c r="M694" t="str">
        <f>IFERROR(IF(OR(HLOOKUP($A694,#REF!,11,FALSE)&gt;2,HLOOKUP($A694,#REF!,11,FALSE)&lt;-2),"",#REF!),"")</f>
        <v/>
      </c>
      <c r="N694" t="str">
        <f>IFERROR(IF(OR(HLOOKUP($A694,#REF!,12,FALSE)&gt;2,HLOOKUP($A694,#REF!,12,FALSE)&lt;-2),"",#REF!),"")</f>
        <v/>
      </c>
      <c r="O694" t="str">
        <f>IFERROR(IF(OR(HLOOKUP($A694,#REF!,13,FALSE)&gt;2,HLOOKUP($A694,#REF!,13,FALSE)&lt;-2),"",#REF!),"")</f>
        <v/>
      </c>
      <c r="P694" t="str">
        <f>IFERROR(IF(OR(HLOOKUP($A694,#REF!,14,FALSE)&gt;2,HLOOKUP($A694,#REF!,14,FALSE)&lt;-2),"",#REF!),"")</f>
        <v/>
      </c>
      <c r="Q694" t="str">
        <f>IFERROR(IF(OR(HLOOKUP($A694,#REF!,15,FALSE)&gt;2,HLOOKUP($A694,#REF!,15,FALSE)&lt;-2),"",#REF!),"")</f>
        <v/>
      </c>
      <c r="R694" t="str">
        <f>IFERROR(IF(OR(HLOOKUP($A694,#REF!,16,FALSE)&gt;2,HLOOKUP($A694,#REF!,16,FALSE)&lt;-2),"",#REF!),"")</f>
        <v/>
      </c>
      <c r="S694" t="str">
        <f>IFERROR(IF(OR(HLOOKUP($A694,#REF!,17,FALSE)&gt;2,HLOOKUP($A694,#REF!,17,FALSE)&lt;-2),"",#REF!),"")</f>
        <v/>
      </c>
      <c r="T694" t="str">
        <f>IFERROR(IF(OR(HLOOKUP($A694,#REF!,18,FALSE)&gt;2,HLOOKUP($A694,#REF!,18,FALSE)&lt;-2),"",#REF!),"")</f>
        <v/>
      </c>
      <c r="U694" t="str">
        <f>IFERROR(IF(OR(HLOOKUP($A694,#REF!,19,FALSE)&gt;2,HLOOKUP($A694,#REF!,19,FALSE)&lt;-2),"",#REF!),"")</f>
        <v/>
      </c>
      <c r="V694">
        <f t="shared" si="40"/>
        <v>1</v>
      </c>
      <c r="W694" t="str">
        <f t="shared" si="41"/>
        <v/>
      </c>
      <c r="X694" t="str">
        <f t="shared" si="42"/>
        <v/>
      </c>
      <c r="Y694" t="str">
        <f t="shared" si="43"/>
        <v/>
      </c>
    </row>
    <row r="695" spans="1:25" x14ac:dyDescent="0.35">
      <c r="A695">
        <v>703</v>
      </c>
      <c r="B695" t="s">
        <v>347</v>
      </c>
      <c r="C695">
        <v>46400</v>
      </c>
      <c r="D695">
        <v>688</v>
      </c>
      <c r="E695" t="str">
        <f>IFERROR(IF(OR(HLOOKUP($A695,#REF!,3,FALSE)&gt;2,HLOOKUP(A695,#REF!,3,FALSE)&lt;-2),"",#REF!),"")</f>
        <v/>
      </c>
      <c r="F695" t="str">
        <f>IFERROR(IF(OR(HLOOKUP($A695,#REF!,4,FALSE)&gt;2,HLOOKUP($A695,#REF!,4,FALSE)&lt;-2),"",#REF!),"")</f>
        <v/>
      </c>
      <c r="G695" t="str">
        <f>IFERROR(IF(OR(HLOOKUP($A695,#REF!,5,FALSE)&gt;2,HLOOKUP($A695,#REF!,5,FALSE)&lt;-2),"",#REF!),"")</f>
        <v/>
      </c>
      <c r="H695" t="str">
        <f>IFERROR(IF(OR(HLOOKUP($A695,#REF!,6,FALSE)&gt;2,HLOOKUP($A695,#REF!,6,FALSE)&lt;-2),"",#REF!),"")</f>
        <v/>
      </c>
      <c r="I695" t="str">
        <f>IFERROR(IF(OR(HLOOKUP($A695,#REF!,7,FALSE)&gt;2,HLOOKUP($A695,#REF!,7,FALSE)&lt;-2),"",#REF!),"")</f>
        <v/>
      </c>
      <c r="J695" t="str">
        <f>IFERROR(IF(OR(HLOOKUP($A695,#REF!,8,FALSE)&gt;2,HLOOKUP($A695,#REF!,8,FALSE)&lt;-2),"",#REF!),"")</f>
        <v/>
      </c>
      <c r="K695" t="str">
        <f>IFERROR(IF(OR(HLOOKUP($A695,#REF!,9,FALSE)&gt;2,HLOOKUP($A695,#REF!,9,FALSE)&lt;-2),"",#REF!),"")</f>
        <v/>
      </c>
      <c r="L695" t="str">
        <f>IFERROR(IF(OR(HLOOKUP($A695,#REF!,10,FALSE)&gt;2,HLOOKUP($A695,#REF!,10,FALSE)&lt;-2),"",#REF!),"")</f>
        <v/>
      </c>
      <c r="M695" t="str">
        <f>IFERROR(IF(OR(HLOOKUP($A695,#REF!,11,FALSE)&gt;2,HLOOKUP($A695,#REF!,11,FALSE)&lt;-2),"",#REF!),"")</f>
        <v/>
      </c>
      <c r="N695" t="str">
        <f>IFERROR(IF(OR(HLOOKUP($A695,#REF!,12,FALSE)&gt;2,HLOOKUP($A695,#REF!,12,FALSE)&lt;-2),"",#REF!),"")</f>
        <v/>
      </c>
      <c r="O695" t="str">
        <f>IFERROR(IF(OR(HLOOKUP($A695,#REF!,13,FALSE)&gt;2,HLOOKUP($A695,#REF!,13,FALSE)&lt;-2),"",#REF!),"")</f>
        <v/>
      </c>
      <c r="P695" t="str">
        <f>IFERROR(IF(OR(HLOOKUP($A695,#REF!,14,FALSE)&gt;2,HLOOKUP($A695,#REF!,14,FALSE)&lt;-2),"",#REF!),"")</f>
        <v/>
      </c>
      <c r="Q695" t="str">
        <f>IFERROR(IF(OR(HLOOKUP($A695,#REF!,15,FALSE)&gt;2,HLOOKUP($A695,#REF!,15,FALSE)&lt;-2),"",#REF!),"")</f>
        <v/>
      </c>
      <c r="R695" t="str">
        <f>IFERROR(IF(OR(HLOOKUP($A695,#REF!,16,FALSE)&gt;2,HLOOKUP($A695,#REF!,16,FALSE)&lt;-2),"",#REF!),"")</f>
        <v/>
      </c>
      <c r="S695" t="str">
        <f>IFERROR(IF(OR(HLOOKUP($A695,#REF!,17,FALSE)&gt;2,HLOOKUP($A695,#REF!,17,FALSE)&lt;-2),"",#REF!),"")</f>
        <v/>
      </c>
      <c r="T695" t="str">
        <f>IFERROR(IF(OR(HLOOKUP($A695,#REF!,18,FALSE)&gt;2,HLOOKUP($A695,#REF!,18,FALSE)&lt;-2),"",#REF!),"")</f>
        <v/>
      </c>
      <c r="U695" t="str">
        <f>IFERROR(IF(OR(HLOOKUP($A695,#REF!,19,FALSE)&gt;2,HLOOKUP($A695,#REF!,19,FALSE)&lt;-2),"",#REF!),"")</f>
        <v/>
      </c>
      <c r="V695">
        <f t="shared" si="40"/>
        <v>1</v>
      </c>
      <c r="W695" t="str">
        <f t="shared" si="41"/>
        <v/>
      </c>
      <c r="X695" t="str">
        <f t="shared" si="42"/>
        <v/>
      </c>
      <c r="Y695" t="str">
        <f t="shared" si="43"/>
        <v/>
      </c>
    </row>
    <row r="696" spans="1:25" x14ac:dyDescent="0.35">
      <c r="A696">
        <v>704</v>
      </c>
      <c r="B696" t="s">
        <v>348</v>
      </c>
      <c r="C696">
        <v>24700</v>
      </c>
      <c r="D696">
        <v>119</v>
      </c>
      <c r="E696" t="str">
        <f>IFERROR(IF(OR(HLOOKUP($A696,#REF!,3,FALSE)&gt;2,HLOOKUP(A696,#REF!,3,FALSE)&lt;-2),"",#REF!),"")</f>
        <v/>
      </c>
      <c r="F696" t="str">
        <f>IFERROR(IF(OR(HLOOKUP($A696,#REF!,4,FALSE)&gt;2,HLOOKUP($A696,#REF!,4,FALSE)&lt;-2),"",#REF!),"")</f>
        <v/>
      </c>
      <c r="G696" t="str">
        <f>IFERROR(IF(OR(HLOOKUP($A696,#REF!,5,FALSE)&gt;2,HLOOKUP($A696,#REF!,5,FALSE)&lt;-2),"",#REF!),"")</f>
        <v/>
      </c>
      <c r="H696" t="str">
        <f>IFERROR(IF(OR(HLOOKUP($A696,#REF!,6,FALSE)&gt;2,HLOOKUP($A696,#REF!,6,FALSE)&lt;-2),"",#REF!),"")</f>
        <v/>
      </c>
      <c r="I696" t="str">
        <f>IFERROR(IF(OR(HLOOKUP($A696,#REF!,7,FALSE)&gt;2,HLOOKUP($A696,#REF!,7,FALSE)&lt;-2),"",#REF!),"")</f>
        <v/>
      </c>
      <c r="J696" t="str">
        <f>IFERROR(IF(OR(HLOOKUP($A696,#REF!,8,FALSE)&gt;2,HLOOKUP($A696,#REF!,8,FALSE)&lt;-2),"",#REF!),"")</f>
        <v/>
      </c>
      <c r="K696" t="str">
        <f>IFERROR(IF(OR(HLOOKUP($A696,#REF!,9,FALSE)&gt;2,HLOOKUP($A696,#REF!,9,FALSE)&lt;-2),"",#REF!),"")</f>
        <v/>
      </c>
      <c r="L696" t="str">
        <f>IFERROR(IF(OR(HLOOKUP($A696,#REF!,10,FALSE)&gt;2,HLOOKUP($A696,#REF!,10,FALSE)&lt;-2),"",#REF!),"")</f>
        <v/>
      </c>
      <c r="M696" t="str">
        <f>IFERROR(IF(OR(HLOOKUP($A696,#REF!,11,FALSE)&gt;2,HLOOKUP($A696,#REF!,11,FALSE)&lt;-2),"",#REF!),"")</f>
        <v/>
      </c>
      <c r="N696" t="str">
        <f>IFERROR(IF(OR(HLOOKUP($A696,#REF!,12,FALSE)&gt;2,HLOOKUP($A696,#REF!,12,FALSE)&lt;-2),"",#REF!),"")</f>
        <v/>
      </c>
      <c r="O696" t="str">
        <f>IFERROR(IF(OR(HLOOKUP($A696,#REF!,13,FALSE)&gt;2,HLOOKUP($A696,#REF!,13,FALSE)&lt;-2),"",#REF!),"")</f>
        <v/>
      </c>
      <c r="P696" t="str">
        <f>IFERROR(IF(OR(HLOOKUP($A696,#REF!,14,FALSE)&gt;2,HLOOKUP($A696,#REF!,14,FALSE)&lt;-2),"",#REF!),"")</f>
        <v/>
      </c>
      <c r="Q696" t="str">
        <f>IFERROR(IF(OR(HLOOKUP($A696,#REF!,15,FALSE)&gt;2,HLOOKUP($A696,#REF!,15,FALSE)&lt;-2),"",#REF!),"")</f>
        <v/>
      </c>
      <c r="R696" t="str">
        <f>IFERROR(IF(OR(HLOOKUP($A696,#REF!,16,FALSE)&gt;2,HLOOKUP($A696,#REF!,16,FALSE)&lt;-2),"",#REF!),"")</f>
        <v/>
      </c>
      <c r="S696" t="str">
        <f>IFERROR(IF(OR(HLOOKUP($A696,#REF!,17,FALSE)&gt;2,HLOOKUP($A696,#REF!,17,FALSE)&lt;-2),"",#REF!),"")</f>
        <v/>
      </c>
      <c r="T696" t="str">
        <f>IFERROR(IF(OR(HLOOKUP($A696,#REF!,18,FALSE)&gt;2,HLOOKUP($A696,#REF!,18,FALSE)&lt;-2),"",#REF!),"")</f>
        <v/>
      </c>
      <c r="U696" t="str">
        <f>IFERROR(IF(OR(HLOOKUP($A696,#REF!,19,FALSE)&gt;2,HLOOKUP($A696,#REF!,19,FALSE)&lt;-2),"",#REF!),"")</f>
        <v/>
      </c>
      <c r="V696">
        <f t="shared" si="40"/>
        <v>1</v>
      </c>
      <c r="W696" t="str">
        <f t="shared" si="41"/>
        <v/>
      </c>
      <c r="X696" t="str">
        <f t="shared" si="42"/>
        <v/>
      </c>
      <c r="Y696" t="str">
        <f t="shared" si="43"/>
        <v/>
      </c>
    </row>
    <row r="697" spans="1:25" x14ac:dyDescent="0.35">
      <c r="A697">
        <v>705</v>
      </c>
      <c r="B697" t="s">
        <v>349</v>
      </c>
      <c r="C697">
        <v>99900</v>
      </c>
      <c r="D697">
        <v>229</v>
      </c>
      <c r="E697" t="str">
        <f>IFERROR(IF(OR(HLOOKUP($A697,#REF!,3,FALSE)&gt;2,HLOOKUP(A697,#REF!,3,FALSE)&lt;-2),"",#REF!),"")</f>
        <v/>
      </c>
      <c r="F697" t="str">
        <f>IFERROR(IF(OR(HLOOKUP($A697,#REF!,4,FALSE)&gt;2,HLOOKUP($A697,#REF!,4,FALSE)&lt;-2),"",#REF!),"")</f>
        <v/>
      </c>
      <c r="G697" t="str">
        <f>IFERROR(IF(OR(HLOOKUP($A697,#REF!,5,FALSE)&gt;2,HLOOKUP($A697,#REF!,5,FALSE)&lt;-2),"",#REF!),"")</f>
        <v/>
      </c>
      <c r="H697" t="str">
        <f>IFERROR(IF(OR(HLOOKUP($A697,#REF!,6,FALSE)&gt;2,HLOOKUP($A697,#REF!,6,FALSE)&lt;-2),"",#REF!),"")</f>
        <v/>
      </c>
      <c r="I697" t="str">
        <f>IFERROR(IF(OR(HLOOKUP($A697,#REF!,7,FALSE)&gt;2,HLOOKUP($A697,#REF!,7,FALSE)&lt;-2),"",#REF!),"")</f>
        <v/>
      </c>
      <c r="J697" t="str">
        <f>IFERROR(IF(OR(HLOOKUP($A697,#REF!,8,FALSE)&gt;2,HLOOKUP($A697,#REF!,8,FALSE)&lt;-2),"",#REF!),"")</f>
        <v/>
      </c>
      <c r="K697" t="str">
        <f>IFERROR(IF(OR(HLOOKUP($A697,#REF!,9,FALSE)&gt;2,HLOOKUP($A697,#REF!,9,FALSE)&lt;-2),"",#REF!),"")</f>
        <v/>
      </c>
      <c r="L697" t="str">
        <f>IFERROR(IF(OR(HLOOKUP($A697,#REF!,10,FALSE)&gt;2,HLOOKUP($A697,#REF!,10,FALSE)&lt;-2),"",#REF!),"")</f>
        <v/>
      </c>
      <c r="M697" t="str">
        <f>IFERROR(IF(OR(HLOOKUP($A697,#REF!,11,FALSE)&gt;2,HLOOKUP($A697,#REF!,11,FALSE)&lt;-2),"",#REF!),"")</f>
        <v/>
      </c>
      <c r="N697" t="str">
        <f>IFERROR(IF(OR(HLOOKUP($A697,#REF!,12,FALSE)&gt;2,HLOOKUP($A697,#REF!,12,FALSE)&lt;-2),"",#REF!),"")</f>
        <v/>
      </c>
      <c r="O697" t="str">
        <f>IFERROR(IF(OR(HLOOKUP($A697,#REF!,13,FALSE)&gt;2,HLOOKUP($A697,#REF!,13,FALSE)&lt;-2),"",#REF!),"")</f>
        <v/>
      </c>
      <c r="P697" t="str">
        <f>IFERROR(IF(OR(HLOOKUP($A697,#REF!,14,FALSE)&gt;2,HLOOKUP($A697,#REF!,14,FALSE)&lt;-2),"",#REF!),"")</f>
        <v/>
      </c>
      <c r="Q697" t="str">
        <f>IFERROR(IF(OR(HLOOKUP($A697,#REF!,15,FALSE)&gt;2,HLOOKUP($A697,#REF!,15,FALSE)&lt;-2),"",#REF!),"")</f>
        <v/>
      </c>
      <c r="R697" t="str">
        <f>IFERROR(IF(OR(HLOOKUP($A697,#REF!,16,FALSE)&gt;2,HLOOKUP($A697,#REF!,16,FALSE)&lt;-2),"",#REF!),"")</f>
        <v/>
      </c>
      <c r="S697" t="str">
        <f>IFERROR(IF(OR(HLOOKUP($A697,#REF!,17,FALSE)&gt;2,HLOOKUP($A697,#REF!,17,FALSE)&lt;-2),"",#REF!),"")</f>
        <v/>
      </c>
      <c r="T697" t="str">
        <f>IFERROR(IF(OR(HLOOKUP($A697,#REF!,18,FALSE)&gt;2,HLOOKUP($A697,#REF!,18,FALSE)&lt;-2),"",#REF!),"")</f>
        <v/>
      </c>
      <c r="U697" t="str">
        <f>IFERROR(IF(OR(HLOOKUP($A697,#REF!,19,FALSE)&gt;2,HLOOKUP($A697,#REF!,19,FALSE)&lt;-2),"",#REF!),"")</f>
        <v/>
      </c>
      <c r="V697">
        <f t="shared" si="40"/>
        <v>1</v>
      </c>
      <c r="W697" t="str">
        <f t="shared" si="41"/>
        <v/>
      </c>
      <c r="X697" t="str">
        <f t="shared" si="42"/>
        <v/>
      </c>
      <c r="Y697" t="str">
        <f t="shared" si="43"/>
        <v/>
      </c>
    </row>
    <row r="698" spans="1:25" x14ac:dyDescent="0.35">
      <c r="A698">
        <v>706</v>
      </c>
      <c r="B698" t="s">
        <v>350</v>
      </c>
      <c r="C698">
        <v>82400</v>
      </c>
      <c r="D698">
        <v>1100</v>
      </c>
      <c r="E698" t="str">
        <f>IFERROR(IF(OR(HLOOKUP($A698,#REF!,3,FALSE)&gt;2,HLOOKUP(A698,#REF!,3,FALSE)&lt;-2),"",#REF!),"")</f>
        <v/>
      </c>
      <c r="F698" t="str">
        <f>IFERROR(IF(OR(HLOOKUP($A698,#REF!,4,FALSE)&gt;2,HLOOKUP($A698,#REF!,4,FALSE)&lt;-2),"",#REF!),"")</f>
        <v/>
      </c>
      <c r="G698" t="str">
        <f>IFERROR(IF(OR(HLOOKUP($A698,#REF!,5,FALSE)&gt;2,HLOOKUP($A698,#REF!,5,FALSE)&lt;-2),"",#REF!),"")</f>
        <v/>
      </c>
      <c r="H698" t="str">
        <f>IFERROR(IF(OR(HLOOKUP($A698,#REF!,6,FALSE)&gt;2,HLOOKUP($A698,#REF!,6,FALSE)&lt;-2),"",#REF!),"")</f>
        <v/>
      </c>
      <c r="I698" t="str">
        <f>IFERROR(IF(OR(HLOOKUP($A698,#REF!,7,FALSE)&gt;2,HLOOKUP($A698,#REF!,7,FALSE)&lt;-2),"",#REF!),"")</f>
        <v/>
      </c>
      <c r="J698" t="str">
        <f>IFERROR(IF(OR(HLOOKUP($A698,#REF!,8,FALSE)&gt;2,HLOOKUP($A698,#REF!,8,FALSE)&lt;-2),"",#REF!),"")</f>
        <v/>
      </c>
      <c r="K698" t="str">
        <f>IFERROR(IF(OR(HLOOKUP($A698,#REF!,9,FALSE)&gt;2,HLOOKUP($A698,#REF!,9,FALSE)&lt;-2),"",#REF!),"")</f>
        <v/>
      </c>
      <c r="L698" t="str">
        <f>IFERROR(IF(OR(HLOOKUP($A698,#REF!,10,FALSE)&gt;2,HLOOKUP($A698,#REF!,10,FALSE)&lt;-2),"",#REF!),"")</f>
        <v/>
      </c>
      <c r="M698" t="str">
        <f>IFERROR(IF(OR(HLOOKUP($A698,#REF!,11,FALSE)&gt;2,HLOOKUP($A698,#REF!,11,FALSE)&lt;-2),"",#REF!),"")</f>
        <v/>
      </c>
      <c r="N698" t="str">
        <f>IFERROR(IF(OR(HLOOKUP($A698,#REF!,12,FALSE)&gt;2,HLOOKUP($A698,#REF!,12,FALSE)&lt;-2),"",#REF!),"")</f>
        <v/>
      </c>
      <c r="O698" t="str">
        <f>IFERROR(IF(OR(HLOOKUP($A698,#REF!,13,FALSE)&gt;2,HLOOKUP($A698,#REF!,13,FALSE)&lt;-2),"",#REF!),"")</f>
        <v/>
      </c>
      <c r="P698" t="str">
        <f>IFERROR(IF(OR(HLOOKUP($A698,#REF!,14,FALSE)&gt;2,HLOOKUP($A698,#REF!,14,FALSE)&lt;-2),"",#REF!),"")</f>
        <v/>
      </c>
      <c r="Q698" t="str">
        <f>IFERROR(IF(OR(HLOOKUP($A698,#REF!,15,FALSE)&gt;2,HLOOKUP($A698,#REF!,15,FALSE)&lt;-2),"",#REF!),"")</f>
        <v/>
      </c>
      <c r="R698" t="str">
        <f>IFERROR(IF(OR(HLOOKUP($A698,#REF!,16,FALSE)&gt;2,HLOOKUP($A698,#REF!,16,FALSE)&lt;-2),"",#REF!),"")</f>
        <v/>
      </c>
      <c r="S698" t="str">
        <f>IFERROR(IF(OR(HLOOKUP($A698,#REF!,17,FALSE)&gt;2,HLOOKUP($A698,#REF!,17,FALSE)&lt;-2),"",#REF!),"")</f>
        <v/>
      </c>
      <c r="T698" t="str">
        <f>IFERROR(IF(OR(HLOOKUP($A698,#REF!,18,FALSE)&gt;2,HLOOKUP($A698,#REF!,18,FALSE)&lt;-2),"",#REF!),"")</f>
        <v/>
      </c>
      <c r="U698" t="str">
        <f>IFERROR(IF(OR(HLOOKUP($A698,#REF!,19,FALSE)&gt;2,HLOOKUP($A698,#REF!,19,FALSE)&lt;-2),"",#REF!),"")</f>
        <v/>
      </c>
      <c r="V698">
        <f t="shared" si="40"/>
        <v>1</v>
      </c>
      <c r="W698" t="str">
        <f t="shared" si="41"/>
        <v/>
      </c>
      <c r="X698" t="str">
        <f t="shared" si="42"/>
        <v/>
      </c>
      <c r="Y698" t="str">
        <f t="shared" si="43"/>
        <v/>
      </c>
    </row>
    <row r="699" spans="1:25" x14ac:dyDescent="0.35">
      <c r="A699">
        <v>707</v>
      </c>
      <c r="B699" t="s">
        <v>351</v>
      </c>
      <c r="C699">
        <v>8500</v>
      </c>
      <c r="D699">
        <v>44</v>
      </c>
      <c r="E699" t="str">
        <f>IFERROR(IF(OR(HLOOKUP($A699,#REF!,3,FALSE)&gt;2,HLOOKUP(A699,#REF!,3,FALSE)&lt;-2),"",#REF!),"")</f>
        <v/>
      </c>
      <c r="F699" t="str">
        <f>IFERROR(IF(OR(HLOOKUP($A699,#REF!,4,FALSE)&gt;2,HLOOKUP($A699,#REF!,4,FALSE)&lt;-2),"",#REF!),"")</f>
        <v/>
      </c>
      <c r="G699" t="str">
        <f>IFERROR(IF(OR(HLOOKUP($A699,#REF!,5,FALSE)&gt;2,HLOOKUP($A699,#REF!,5,FALSE)&lt;-2),"",#REF!),"")</f>
        <v/>
      </c>
      <c r="H699" t="str">
        <f>IFERROR(IF(OR(HLOOKUP($A699,#REF!,6,FALSE)&gt;2,HLOOKUP($A699,#REF!,6,FALSE)&lt;-2),"",#REF!),"")</f>
        <v/>
      </c>
      <c r="I699" t="str">
        <f>IFERROR(IF(OR(HLOOKUP($A699,#REF!,7,FALSE)&gt;2,HLOOKUP($A699,#REF!,7,FALSE)&lt;-2),"",#REF!),"")</f>
        <v/>
      </c>
      <c r="J699" t="str">
        <f>IFERROR(IF(OR(HLOOKUP($A699,#REF!,8,FALSE)&gt;2,HLOOKUP($A699,#REF!,8,FALSE)&lt;-2),"",#REF!),"")</f>
        <v/>
      </c>
      <c r="K699" t="str">
        <f>IFERROR(IF(OR(HLOOKUP($A699,#REF!,9,FALSE)&gt;2,HLOOKUP($A699,#REF!,9,FALSE)&lt;-2),"",#REF!),"")</f>
        <v/>
      </c>
      <c r="L699" t="str">
        <f>IFERROR(IF(OR(HLOOKUP($A699,#REF!,10,FALSE)&gt;2,HLOOKUP($A699,#REF!,10,FALSE)&lt;-2),"",#REF!),"")</f>
        <v/>
      </c>
      <c r="M699" t="str">
        <f>IFERROR(IF(OR(HLOOKUP($A699,#REF!,11,FALSE)&gt;2,HLOOKUP($A699,#REF!,11,FALSE)&lt;-2),"",#REF!),"")</f>
        <v/>
      </c>
      <c r="N699" t="str">
        <f>IFERROR(IF(OR(HLOOKUP($A699,#REF!,12,FALSE)&gt;2,HLOOKUP($A699,#REF!,12,FALSE)&lt;-2),"",#REF!),"")</f>
        <v/>
      </c>
      <c r="O699" t="str">
        <f>IFERROR(IF(OR(HLOOKUP($A699,#REF!,13,FALSE)&gt;2,HLOOKUP($A699,#REF!,13,FALSE)&lt;-2),"",#REF!),"")</f>
        <v/>
      </c>
      <c r="P699" t="str">
        <f>IFERROR(IF(OR(HLOOKUP($A699,#REF!,14,FALSE)&gt;2,HLOOKUP($A699,#REF!,14,FALSE)&lt;-2),"",#REF!),"")</f>
        <v/>
      </c>
      <c r="Q699" t="str">
        <f>IFERROR(IF(OR(HLOOKUP($A699,#REF!,15,FALSE)&gt;2,HLOOKUP($A699,#REF!,15,FALSE)&lt;-2),"",#REF!),"")</f>
        <v/>
      </c>
      <c r="R699" t="str">
        <f>IFERROR(IF(OR(HLOOKUP($A699,#REF!,16,FALSE)&gt;2,HLOOKUP($A699,#REF!,16,FALSE)&lt;-2),"",#REF!),"")</f>
        <v/>
      </c>
      <c r="S699" t="str">
        <f>IFERROR(IF(OR(HLOOKUP($A699,#REF!,17,FALSE)&gt;2,HLOOKUP($A699,#REF!,17,FALSE)&lt;-2),"",#REF!),"")</f>
        <v/>
      </c>
      <c r="T699" t="str">
        <f>IFERROR(IF(OR(HLOOKUP($A699,#REF!,18,FALSE)&gt;2,HLOOKUP($A699,#REF!,18,FALSE)&lt;-2),"",#REF!),"")</f>
        <v/>
      </c>
      <c r="U699" t="str">
        <f>IFERROR(IF(OR(HLOOKUP($A699,#REF!,19,FALSE)&gt;2,HLOOKUP($A699,#REF!,19,FALSE)&lt;-2),"",#REF!),"")</f>
        <v/>
      </c>
      <c r="V699">
        <f t="shared" si="40"/>
        <v>1</v>
      </c>
      <c r="W699" t="str">
        <f t="shared" si="41"/>
        <v/>
      </c>
      <c r="X699" t="str">
        <f t="shared" si="42"/>
        <v/>
      </c>
      <c r="Y699" t="str">
        <f t="shared" si="43"/>
        <v/>
      </c>
    </row>
    <row r="700" spans="1:25" x14ac:dyDescent="0.35">
      <c r="A700">
        <v>708</v>
      </c>
      <c r="B700" t="s">
        <v>951</v>
      </c>
      <c r="C700">
        <v>74300</v>
      </c>
      <c r="D700">
        <v>88</v>
      </c>
      <c r="E700" t="str">
        <f>IFERROR(IF(OR(HLOOKUP($A700,#REF!,3,FALSE)&gt;2,HLOOKUP(A700,#REF!,3,FALSE)&lt;-2),"",#REF!),"")</f>
        <v/>
      </c>
      <c r="F700" t="str">
        <f>IFERROR(IF(OR(HLOOKUP($A700,#REF!,4,FALSE)&gt;2,HLOOKUP($A700,#REF!,4,FALSE)&lt;-2),"",#REF!),"")</f>
        <v/>
      </c>
      <c r="G700" t="str">
        <f>IFERROR(IF(OR(HLOOKUP($A700,#REF!,5,FALSE)&gt;2,HLOOKUP($A700,#REF!,5,FALSE)&lt;-2),"",#REF!),"")</f>
        <v/>
      </c>
      <c r="H700" t="str">
        <f>IFERROR(IF(OR(HLOOKUP($A700,#REF!,6,FALSE)&gt;2,HLOOKUP($A700,#REF!,6,FALSE)&lt;-2),"",#REF!),"")</f>
        <v/>
      </c>
      <c r="I700" t="str">
        <f>IFERROR(IF(OR(HLOOKUP($A700,#REF!,7,FALSE)&gt;2,HLOOKUP($A700,#REF!,7,FALSE)&lt;-2),"",#REF!),"")</f>
        <v/>
      </c>
      <c r="J700" t="str">
        <f>IFERROR(IF(OR(HLOOKUP($A700,#REF!,8,FALSE)&gt;2,HLOOKUP($A700,#REF!,8,FALSE)&lt;-2),"",#REF!),"")</f>
        <v/>
      </c>
      <c r="K700" t="str">
        <f>IFERROR(IF(OR(HLOOKUP($A700,#REF!,9,FALSE)&gt;2,HLOOKUP($A700,#REF!,9,FALSE)&lt;-2),"",#REF!),"")</f>
        <v/>
      </c>
      <c r="L700" t="str">
        <f>IFERROR(IF(OR(HLOOKUP($A700,#REF!,10,FALSE)&gt;2,HLOOKUP($A700,#REF!,10,FALSE)&lt;-2),"",#REF!),"")</f>
        <v/>
      </c>
      <c r="M700" t="str">
        <f>IFERROR(IF(OR(HLOOKUP($A700,#REF!,11,FALSE)&gt;2,HLOOKUP($A700,#REF!,11,FALSE)&lt;-2),"",#REF!),"")</f>
        <v/>
      </c>
      <c r="N700" t="str">
        <f>IFERROR(IF(OR(HLOOKUP($A700,#REF!,12,FALSE)&gt;2,HLOOKUP($A700,#REF!,12,FALSE)&lt;-2),"",#REF!),"")</f>
        <v/>
      </c>
      <c r="O700" t="str">
        <f>IFERROR(IF(OR(HLOOKUP($A700,#REF!,13,FALSE)&gt;2,HLOOKUP($A700,#REF!,13,FALSE)&lt;-2),"",#REF!),"")</f>
        <v/>
      </c>
      <c r="P700" t="str">
        <f>IFERROR(IF(OR(HLOOKUP($A700,#REF!,14,FALSE)&gt;2,HLOOKUP($A700,#REF!,14,FALSE)&lt;-2),"",#REF!),"")</f>
        <v/>
      </c>
      <c r="Q700" t="str">
        <f>IFERROR(IF(OR(HLOOKUP($A700,#REF!,15,FALSE)&gt;2,HLOOKUP($A700,#REF!,15,FALSE)&lt;-2),"",#REF!),"")</f>
        <v/>
      </c>
      <c r="R700" t="str">
        <f>IFERROR(IF(OR(HLOOKUP($A700,#REF!,16,FALSE)&gt;2,HLOOKUP($A700,#REF!,16,FALSE)&lt;-2),"",#REF!),"")</f>
        <v/>
      </c>
      <c r="S700" t="str">
        <f>IFERROR(IF(OR(HLOOKUP($A700,#REF!,17,FALSE)&gt;2,HLOOKUP($A700,#REF!,17,FALSE)&lt;-2),"",#REF!),"")</f>
        <v/>
      </c>
      <c r="T700" t="str">
        <f>IFERROR(IF(OR(HLOOKUP($A700,#REF!,18,FALSE)&gt;2,HLOOKUP($A700,#REF!,18,FALSE)&lt;-2),"",#REF!),"")</f>
        <v/>
      </c>
      <c r="U700" t="str">
        <f>IFERROR(IF(OR(HLOOKUP($A700,#REF!,19,FALSE)&gt;2,HLOOKUP($A700,#REF!,19,FALSE)&lt;-2),"",#REF!),"")</f>
        <v/>
      </c>
      <c r="V700">
        <f t="shared" si="40"/>
        <v>1</v>
      </c>
      <c r="W700" t="str">
        <f t="shared" si="41"/>
        <v/>
      </c>
      <c r="X700" t="str">
        <f t="shared" si="42"/>
        <v/>
      </c>
      <c r="Y700" t="str">
        <f t="shared" si="43"/>
        <v/>
      </c>
    </row>
    <row r="701" spans="1:25" x14ac:dyDescent="0.35">
      <c r="A701">
        <v>709</v>
      </c>
      <c r="B701" t="s">
        <v>952</v>
      </c>
      <c r="C701">
        <v>64000</v>
      </c>
      <c r="D701">
        <v>637</v>
      </c>
      <c r="E701" t="str">
        <f>IFERROR(IF(OR(HLOOKUP($A701,#REF!,3,FALSE)&gt;2,HLOOKUP(A701,#REF!,3,FALSE)&lt;-2),"",#REF!),"")</f>
        <v/>
      </c>
      <c r="F701" t="str">
        <f>IFERROR(IF(OR(HLOOKUP($A701,#REF!,4,FALSE)&gt;2,HLOOKUP($A701,#REF!,4,FALSE)&lt;-2),"",#REF!),"")</f>
        <v/>
      </c>
      <c r="G701" t="str">
        <f>IFERROR(IF(OR(HLOOKUP($A701,#REF!,5,FALSE)&gt;2,HLOOKUP($A701,#REF!,5,FALSE)&lt;-2),"",#REF!),"")</f>
        <v/>
      </c>
      <c r="H701" t="str">
        <f>IFERROR(IF(OR(HLOOKUP($A701,#REF!,6,FALSE)&gt;2,HLOOKUP($A701,#REF!,6,FALSE)&lt;-2),"",#REF!),"")</f>
        <v/>
      </c>
      <c r="I701" t="str">
        <f>IFERROR(IF(OR(HLOOKUP($A701,#REF!,7,FALSE)&gt;2,HLOOKUP($A701,#REF!,7,FALSE)&lt;-2),"",#REF!),"")</f>
        <v/>
      </c>
      <c r="J701" t="str">
        <f>IFERROR(IF(OR(HLOOKUP($A701,#REF!,8,FALSE)&gt;2,HLOOKUP($A701,#REF!,8,FALSE)&lt;-2),"",#REF!),"")</f>
        <v/>
      </c>
      <c r="K701" t="str">
        <f>IFERROR(IF(OR(HLOOKUP($A701,#REF!,9,FALSE)&gt;2,HLOOKUP($A701,#REF!,9,FALSE)&lt;-2),"",#REF!),"")</f>
        <v/>
      </c>
      <c r="L701" t="str">
        <f>IFERROR(IF(OR(HLOOKUP($A701,#REF!,10,FALSE)&gt;2,HLOOKUP($A701,#REF!,10,FALSE)&lt;-2),"",#REF!),"")</f>
        <v/>
      </c>
      <c r="M701" t="str">
        <f>IFERROR(IF(OR(HLOOKUP($A701,#REF!,11,FALSE)&gt;2,HLOOKUP($A701,#REF!,11,FALSE)&lt;-2),"",#REF!),"")</f>
        <v/>
      </c>
      <c r="N701" t="str">
        <f>IFERROR(IF(OR(HLOOKUP($A701,#REF!,12,FALSE)&gt;2,HLOOKUP($A701,#REF!,12,FALSE)&lt;-2),"",#REF!),"")</f>
        <v/>
      </c>
      <c r="O701" t="str">
        <f>IFERROR(IF(OR(HLOOKUP($A701,#REF!,13,FALSE)&gt;2,HLOOKUP($A701,#REF!,13,FALSE)&lt;-2),"",#REF!),"")</f>
        <v/>
      </c>
      <c r="P701" t="str">
        <f>IFERROR(IF(OR(HLOOKUP($A701,#REF!,14,FALSE)&gt;2,HLOOKUP($A701,#REF!,14,FALSE)&lt;-2),"",#REF!),"")</f>
        <v/>
      </c>
      <c r="Q701" t="str">
        <f>IFERROR(IF(OR(HLOOKUP($A701,#REF!,15,FALSE)&gt;2,HLOOKUP($A701,#REF!,15,FALSE)&lt;-2),"",#REF!),"")</f>
        <v/>
      </c>
      <c r="R701" t="str">
        <f>IFERROR(IF(OR(HLOOKUP($A701,#REF!,16,FALSE)&gt;2,HLOOKUP($A701,#REF!,16,FALSE)&lt;-2),"",#REF!),"")</f>
        <v/>
      </c>
      <c r="S701" t="str">
        <f>IFERROR(IF(OR(HLOOKUP($A701,#REF!,17,FALSE)&gt;2,HLOOKUP($A701,#REF!,17,FALSE)&lt;-2),"",#REF!),"")</f>
        <v/>
      </c>
      <c r="T701" t="str">
        <f>IFERROR(IF(OR(HLOOKUP($A701,#REF!,18,FALSE)&gt;2,HLOOKUP($A701,#REF!,18,FALSE)&lt;-2),"",#REF!),"")</f>
        <v/>
      </c>
      <c r="U701" t="str">
        <f>IFERROR(IF(OR(HLOOKUP($A701,#REF!,19,FALSE)&gt;2,HLOOKUP($A701,#REF!,19,FALSE)&lt;-2),"",#REF!),"")</f>
        <v/>
      </c>
      <c r="V701">
        <f t="shared" si="40"/>
        <v>1</v>
      </c>
      <c r="W701" t="str">
        <f t="shared" si="41"/>
        <v/>
      </c>
      <c r="X701" t="str">
        <f t="shared" si="42"/>
        <v/>
      </c>
      <c r="Y701" t="str">
        <f t="shared" si="43"/>
        <v/>
      </c>
    </row>
    <row r="702" spans="1:25" x14ac:dyDescent="0.35">
      <c r="A702">
        <v>710</v>
      </c>
      <c r="B702" t="s">
        <v>953</v>
      </c>
      <c r="C702">
        <v>99500</v>
      </c>
      <c r="D702">
        <v>967</v>
      </c>
      <c r="E702" t="str">
        <f>IFERROR(IF(OR(HLOOKUP($A702,#REF!,3,FALSE)&gt;2,HLOOKUP(A702,#REF!,3,FALSE)&lt;-2),"",#REF!),"")</f>
        <v/>
      </c>
      <c r="F702" t="str">
        <f>IFERROR(IF(OR(HLOOKUP($A702,#REF!,4,FALSE)&gt;2,HLOOKUP($A702,#REF!,4,FALSE)&lt;-2),"",#REF!),"")</f>
        <v/>
      </c>
      <c r="G702" t="str">
        <f>IFERROR(IF(OR(HLOOKUP($A702,#REF!,5,FALSE)&gt;2,HLOOKUP($A702,#REF!,5,FALSE)&lt;-2),"",#REF!),"")</f>
        <v/>
      </c>
      <c r="H702" t="str">
        <f>IFERROR(IF(OR(HLOOKUP($A702,#REF!,6,FALSE)&gt;2,HLOOKUP($A702,#REF!,6,FALSE)&lt;-2),"",#REF!),"")</f>
        <v/>
      </c>
      <c r="I702" t="str">
        <f>IFERROR(IF(OR(HLOOKUP($A702,#REF!,7,FALSE)&gt;2,HLOOKUP($A702,#REF!,7,FALSE)&lt;-2),"",#REF!),"")</f>
        <v/>
      </c>
      <c r="J702" t="str">
        <f>IFERROR(IF(OR(HLOOKUP($A702,#REF!,8,FALSE)&gt;2,HLOOKUP($A702,#REF!,8,FALSE)&lt;-2),"",#REF!),"")</f>
        <v/>
      </c>
      <c r="K702" t="str">
        <f>IFERROR(IF(OR(HLOOKUP($A702,#REF!,9,FALSE)&gt;2,HLOOKUP($A702,#REF!,9,FALSE)&lt;-2),"",#REF!),"")</f>
        <v/>
      </c>
      <c r="L702" t="str">
        <f>IFERROR(IF(OR(HLOOKUP($A702,#REF!,10,FALSE)&gt;2,HLOOKUP($A702,#REF!,10,FALSE)&lt;-2),"",#REF!),"")</f>
        <v/>
      </c>
      <c r="M702" t="str">
        <f>IFERROR(IF(OR(HLOOKUP($A702,#REF!,11,FALSE)&gt;2,HLOOKUP($A702,#REF!,11,FALSE)&lt;-2),"",#REF!),"")</f>
        <v/>
      </c>
      <c r="N702" t="str">
        <f>IFERROR(IF(OR(HLOOKUP($A702,#REF!,12,FALSE)&gt;2,HLOOKUP($A702,#REF!,12,FALSE)&lt;-2),"",#REF!),"")</f>
        <v/>
      </c>
      <c r="O702" t="str">
        <f>IFERROR(IF(OR(HLOOKUP($A702,#REF!,13,FALSE)&gt;2,HLOOKUP($A702,#REF!,13,FALSE)&lt;-2),"",#REF!),"")</f>
        <v/>
      </c>
      <c r="P702" t="str">
        <f>IFERROR(IF(OR(HLOOKUP($A702,#REF!,14,FALSE)&gt;2,HLOOKUP($A702,#REF!,14,FALSE)&lt;-2),"",#REF!),"")</f>
        <v/>
      </c>
      <c r="Q702" t="str">
        <f>IFERROR(IF(OR(HLOOKUP($A702,#REF!,15,FALSE)&gt;2,HLOOKUP($A702,#REF!,15,FALSE)&lt;-2),"",#REF!),"")</f>
        <v/>
      </c>
      <c r="R702" t="str">
        <f>IFERROR(IF(OR(HLOOKUP($A702,#REF!,16,FALSE)&gt;2,HLOOKUP($A702,#REF!,16,FALSE)&lt;-2),"",#REF!),"")</f>
        <v/>
      </c>
      <c r="S702" t="str">
        <f>IFERROR(IF(OR(HLOOKUP($A702,#REF!,17,FALSE)&gt;2,HLOOKUP($A702,#REF!,17,FALSE)&lt;-2),"",#REF!),"")</f>
        <v/>
      </c>
      <c r="T702" t="str">
        <f>IFERROR(IF(OR(HLOOKUP($A702,#REF!,18,FALSE)&gt;2,HLOOKUP($A702,#REF!,18,FALSE)&lt;-2),"",#REF!),"")</f>
        <v/>
      </c>
      <c r="U702" t="str">
        <f>IFERROR(IF(OR(HLOOKUP($A702,#REF!,19,FALSE)&gt;2,HLOOKUP($A702,#REF!,19,FALSE)&lt;-2),"",#REF!),"")</f>
        <v/>
      </c>
      <c r="V702">
        <f t="shared" si="40"/>
        <v>1</v>
      </c>
      <c r="W702" t="str">
        <f t="shared" si="41"/>
        <v/>
      </c>
      <c r="X702" t="str">
        <f t="shared" si="42"/>
        <v/>
      </c>
      <c r="Y702" t="str">
        <f t="shared" si="43"/>
        <v/>
      </c>
    </row>
    <row r="703" spans="1:25" x14ac:dyDescent="0.35">
      <c r="A703">
        <v>711</v>
      </c>
      <c r="B703" t="s">
        <v>352</v>
      </c>
      <c r="C703">
        <v>90300</v>
      </c>
      <c r="D703">
        <v>720</v>
      </c>
      <c r="E703" t="str">
        <f>IFERROR(IF(OR(HLOOKUP($A703,#REF!,3,FALSE)&gt;2,HLOOKUP(A703,#REF!,3,FALSE)&lt;-2),"",#REF!),"")</f>
        <v/>
      </c>
      <c r="F703" t="str">
        <f>IFERROR(IF(OR(HLOOKUP($A703,#REF!,4,FALSE)&gt;2,HLOOKUP($A703,#REF!,4,FALSE)&lt;-2),"",#REF!),"")</f>
        <v/>
      </c>
      <c r="G703" t="str">
        <f>IFERROR(IF(OR(HLOOKUP($A703,#REF!,5,FALSE)&gt;2,HLOOKUP($A703,#REF!,5,FALSE)&lt;-2),"",#REF!),"")</f>
        <v/>
      </c>
      <c r="H703" t="str">
        <f>IFERROR(IF(OR(HLOOKUP($A703,#REF!,6,FALSE)&gt;2,HLOOKUP($A703,#REF!,6,FALSE)&lt;-2),"",#REF!),"")</f>
        <v/>
      </c>
      <c r="I703" t="str">
        <f>IFERROR(IF(OR(HLOOKUP($A703,#REF!,7,FALSE)&gt;2,HLOOKUP($A703,#REF!,7,FALSE)&lt;-2),"",#REF!),"")</f>
        <v/>
      </c>
      <c r="J703" t="str">
        <f>IFERROR(IF(OR(HLOOKUP($A703,#REF!,8,FALSE)&gt;2,HLOOKUP($A703,#REF!,8,FALSE)&lt;-2),"",#REF!),"")</f>
        <v/>
      </c>
      <c r="K703" t="str">
        <f>IFERROR(IF(OR(HLOOKUP($A703,#REF!,9,FALSE)&gt;2,HLOOKUP($A703,#REF!,9,FALSE)&lt;-2),"",#REF!),"")</f>
        <v/>
      </c>
      <c r="L703" t="str">
        <f>IFERROR(IF(OR(HLOOKUP($A703,#REF!,10,FALSE)&gt;2,HLOOKUP($A703,#REF!,10,FALSE)&lt;-2),"",#REF!),"")</f>
        <v/>
      </c>
      <c r="M703" t="str">
        <f>IFERROR(IF(OR(HLOOKUP($A703,#REF!,11,FALSE)&gt;2,HLOOKUP($A703,#REF!,11,FALSE)&lt;-2),"",#REF!),"")</f>
        <v/>
      </c>
      <c r="N703" t="str">
        <f>IFERROR(IF(OR(HLOOKUP($A703,#REF!,12,FALSE)&gt;2,HLOOKUP($A703,#REF!,12,FALSE)&lt;-2),"",#REF!),"")</f>
        <v/>
      </c>
      <c r="O703" t="str">
        <f>IFERROR(IF(OR(HLOOKUP($A703,#REF!,13,FALSE)&gt;2,HLOOKUP($A703,#REF!,13,FALSE)&lt;-2),"",#REF!),"")</f>
        <v/>
      </c>
      <c r="P703" t="str">
        <f>IFERROR(IF(OR(HLOOKUP($A703,#REF!,14,FALSE)&gt;2,HLOOKUP($A703,#REF!,14,FALSE)&lt;-2),"",#REF!),"")</f>
        <v/>
      </c>
      <c r="Q703" t="str">
        <f>IFERROR(IF(OR(HLOOKUP($A703,#REF!,15,FALSE)&gt;2,HLOOKUP($A703,#REF!,15,FALSE)&lt;-2),"",#REF!),"")</f>
        <v/>
      </c>
      <c r="R703" t="str">
        <f>IFERROR(IF(OR(HLOOKUP($A703,#REF!,16,FALSE)&gt;2,HLOOKUP($A703,#REF!,16,FALSE)&lt;-2),"",#REF!),"")</f>
        <v/>
      </c>
      <c r="S703" t="str">
        <f>IFERROR(IF(OR(HLOOKUP($A703,#REF!,17,FALSE)&gt;2,HLOOKUP($A703,#REF!,17,FALSE)&lt;-2),"",#REF!),"")</f>
        <v/>
      </c>
      <c r="T703" t="str">
        <f>IFERROR(IF(OR(HLOOKUP($A703,#REF!,18,FALSE)&gt;2,HLOOKUP($A703,#REF!,18,FALSE)&lt;-2),"",#REF!),"")</f>
        <v/>
      </c>
      <c r="U703" t="str">
        <f>IFERROR(IF(OR(HLOOKUP($A703,#REF!,19,FALSE)&gt;2,HLOOKUP($A703,#REF!,19,FALSE)&lt;-2),"",#REF!),"")</f>
        <v/>
      </c>
      <c r="V703">
        <f t="shared" si="40"/>
        <v>1</v>
      </c>
      <c r="W703" t="str">
        <f t="shared" si="41"/>
        <v/>
      </c>
      <c r="X703" t="str">
        <f t="shared" si="42"/>
        <v/>
      </c>
      <c r="Y703" t="str">
        <f t="shared" si="43"/>
        <v/>
      </c>
    </row>
    <row r="704" spans="1:25" x14ac:dyDescent="0.35">
      <c r="A704">
        <v>712</v>
      </c>
      <c r="B704" t="s">
        <v>954</v>
      </c>
      <c r="C704">
        <v>43300</v>
      </c>
      <c r="D704">
        <v>926</v>
      </c>
      <c r="E704" t="str">
        <f>IFERROR(IF(OR(HLOOKUP($A704,#REF!,3,FALSE)&gt;2,HLOOKUP(A704,#REF!,3,FALSE)&lt;-2),"",#REF!),"")</f>
        <v/>
      </c>
      <c r="F704" t="str">
        <f>IFERROR(IF(OR(HLOOKUP($A704,#REF!,4,FALSE)&gt;2,HLOOKUP($A704,#REF!,4,FALSE)&lt;-2),"",#REF!),"")</f>
        <v/>
      </c>
      <c r="G704" t="str">
        <f>IFERROR(IF(OR(HLOOKUP($A704,#REF!,5,FALSE)&gt;2,HLOOKUP($A704,#REF!,5,FALSE)&lt;-2),"",#REF!),"")</f>
        <v/>
      </c>
      <c r="H704" t="str">
        <f>IFERROR(IF(OR(HLOOKUP($A704,#REF!,6,FALSE)&gt;2,HLOOKUP($A704,#REF!,6,FALSE)&lt;-2),"",#REF!),"")</f>
        <v/>
      </c>
      <c r="I704" t="str">
        <f>IFERROR(IF(OR(HLOOKUP($A704,#REF!,7,FALSE)&gt;2,HLOOKUP($A704,#REF!,7,FALSE)&lt;-2),"",#REF!),"")</f>
        <v/>
      </c>
      <c r="J704" t="str">
        <f>IFERROR(IF(OR(HLOOKUP($A704,#REF!,8,FALSE)&gt;2,HLOOKUP($A704,#REF!,8,FALSE)&lt;-2),"",#REF!),"")</f>
        <v/>
      </c>
      <c r="K704" t="str">
        <f>IFERROR(IF(OR(HLOOKUP($A704,#REF!,9,FALSE)&gt;2,HLOOKUP($A704,#REF!,9,FALSE)&lt;-2),"",#REF!),"")</f>
        <v/>
      </c>
      <c r="L704" t="str">
        <f>IFERROR(IF(OR(HLOOKUP($A704,#REF!,10,FALSE)&gt;2,HLOOKUP($A704,#REF!,10,FALSE)&lt;-2),"",#REF!),"")</f>
        <v/>
      </c>
      <c r="M704" t="str">
        <f>IFERROR(IF(OR(HLOOKUP($A704,#REF!,11,FALSE)&gt;2,HLOOKUP($A704,#REF!,11,FALSE)&lt;-2),"",#REF!),"")</f>
        <v/>
      </c>
      <c r="N704" t="str">
        <f>IFERROR(IF(OR(HLOOKUP($A704,#REF!,12,FALSE)&gt;2,HLOOKUP($A704,#REF!,12,FALSE)&lt;-2),"",#REF!),"")</f>
        <v/>
      </c>
      <c r="O704" t="str">
        <f>IFERROR(IF(OR(HLOOKUP($A704,#REF!,13,FALSE)&gt;2,HLOOKUP($A704,#REF!,13,FALSE)&lt;-2),"",#REF!),"")</f>
        <v/>
      </c>
      <c r="P704" t="str">
        <f>IFERROR(IF(OR(HLOOKUP($A704,#REF!,14,FALSE)&gt;2,HLOOKUP($A704,#REF!,14,FALSE)&lt;-2),"",#REF!),"")</f>
        <v/>
      </c>
      <c r="Q704" t="str">
        <f>IFERROR(IF(OR(HLOOKUP($A704,#REF!,15,FALSE)&gt;2,HLOOKUP($A704,#REF!,15,FALSE)&lt;-2),"",#REF!),"")</f>
        <v/>
      </c>
      <c r="R704" t="str">
        <f>IFERROR(IF(OR(HLOOKUP($A704,#REF!,16,FALSE)&gt;2,HLOOKUP($A704,#REF!,16,FALSE)&lt;-2),"",#REF!),"")</f>
        <v/>
      </c>
      <c r="S704" t="str">
        <f>IFERROR(IF(OR(HLOOKUP($A704,#REF!,17,FALSE)&gt;2,HLOOKUP($A704,#REF!,17,FALSE)&lt;-2),"",#REF!),"")</f>
        <v/>
      </c>
      <c r="T704" t="str">
        <f>IFERROR(IF(OR(HLOOKUP($A704,#REF!,18,FALSE)&gt;2,HLOOKUP($A704,#REF!,18,FALSE)&lt;-2),"",#REF!),"")</f>
        <v/>
      </c>
      <c r="U704" t="str">
        <f>IFERROR(IF(OR(HLOOKUP($A704,#REF!,19,FALSE)&gt;2,HLOOKUP($A704,#REF!,19,FALSE)&lt;-2),"",#REF!),"")</f>
        <v/>
      </c>
      <c r="V704">
        <f t="shared" si="40"/>
        <v>1</v>
      </c>
      <c r="W704" t="str">
        <f t="shared" si="41"/>
        <v/>
      </c>
      <c r="X704" t="str">
        <f t="shared" si="42"/>
        <v/>
      </c>
      <c r="Y704" t="str">
        <f t="shared" si="43"/>
        <v/>
      </c>
    </row>
    <row r="705" spans="1:25" x14ac:dyDescent="0.35">
      <c r="A705">
        <v>713</v>
      </c>
      <c r="B705" t="s">
        <v>955</v>
      </c>
      <c r="C705">
        <v>112300</v>
      </c>
      <c r="D705">
        <v>1099</v>
      </c>
      <c r="E705" t="str">
        <f>IFERROR(IF(OR(HLOOKUP($A705,#REF!,3,FALSE)&gt;2,HLOOKUP(A705,#REF!,3,FALSE)&lt;-2),"",#REF!),"")</f>
        <v/>
      </c>
      <c r="F705" t="str">
        <f>IFERROR(IF(OR(HLOOKUP($A705,#REF!,4,FALSE)&gt;2,HLOOKUP($A705,#REF!,4,FALSE)&lt;-2),"",#REF!),"")</f>
        <v/>
      </c>
      <c r="G705" t="str">
        <f>IFERROR(IF(OR(HLOOKUP($A705,#REF!,5,FALSE)&gt;2,HLOOKUP($A705,#REF!,5,FALSE)&lt;-2),"",#REF!),"")</f>
        <v/>
      </c>
      <c r="H705" t="str">
        <f>IFERROR(IF(OR(HLOOKUP($A705,#REF!,6,FALSE)&gt;2,HLOOKUP($A705,#REF!,6,FALSE)&lt;-2),"",#REF!),"")</f>
        <v/>
      </c>
      <c r="I705" t="str">
        <f>IFERROR(IF(OR(HLOOKUP($A705,#REF!,7,FALSE)&gt;2,HLOOKUP($A705,#REF!,7,FALSE)&lt;-2),"",#REF!),"")</f>
        <v/>
      </c>
      <c r="J705" t="str">
        <f>IFERROR(IF(OR(HLOOKUP($A705,#REF!,8,FALSE)&gt;2,HLOOKUP($A705,#REF!,8,FALSE)&lt;-2),"",#REF!),"")</f>
        <v/>
      </c>
      <c r="K705" t="str">
        <f>IFERROR(IF(OR(HLOOKUP($A705,#REF!,9,FALSE)&gt;2,HLOOKUP($A705,#REF!,9,FALSE)&lt;-2),"",#REF!),"")</f>
        <v/>
      </c>
      <c r="L705" t="str">
        <f>IFERROR(IF(OR(HLOOKUP($A705,#REF!,10,FALSE)&gt;2,HLOOKUP($A705,#REF!,10,FALSE)&lt;-2),"",#REF!),"")</f>
        <v/>
      </c>
      <c r="M705" t="str">
        <f>IFERROR(IF(OR(HLOOKUP($A705,#REF!,11,FALSE)&gt;2,HLOOKUP($A705,#REF!,11,FALSE)&lt;-2),"",#REF!),"")</f>
        <v/>
      </c>
      <c r="N705" t="str">
        <f>IFERROR(IF(OR(HLOOKUP($A705,#REF!,12,FALSE)&gt;2,HLOOKUP($A705,#REF!,12,FALSE)&lt;-2),"",#REF!),"")</f>
        <v/>
      </c>
      <c r="O705" t="str">
        <f>IFERROR(IF(OR(HLOOKUP($A705,#REF!,13,FALSE)&gt;2,HLOOKUP($A705,#REF!,13,FALSE)&lt;-2),"",#REF!),"")</f>
        <v/>
      </c>
      <c r="P705" t="str">
        <f>IFERROR(IF(OR(HLOOKUP($A705,#REF!,14,FALSE)&gt;2,HLOOKUP($A705,#REF!,14,FALSE)&lt;-2),"",#REF!),"")</f>
        <v/>
      </c>
      <c r="Q705" t="str">
        <f>IFERROR(IF(OR(HLOOKUP($A705,#REF!,15,FALSE)&gt;2,HLOOKUP($A705,#REF!,15,FALSE)&lt;-2),"",#REF!),"")</f>
        <v/>
      </c>
      <c r="R705" t="str">
        <f>IFERROR(IF(OR(HLOOKUP($A705,#REF!,16,FALSE)&gt;2,HLOOKUP($A705,#REF!,16,FALSE)&lt;-2),"",#REF!),"")</f>
        <v/>
      </c>
      <c r="S705" t="str">
        <f>IFERROR(IF(OR(HLOOKUP($A705,#REF!,17,FALSE)&gt;2,HLOOKUP($A705,#REF!,17,FALSE)&lt;-2),"",#REF!),"")</f>
        <v/>
      </c>
      <c r="T705" t="str">
        <f>IFERROR(IF(OR(HLOOKUP($A705,#REF!,18,FALSE)&gt;2,HLOOKUP($A705,#REF!,18,FALSE)&lt;-2),"",#REF!),"")</f>
        <v/>
      </c>
      <c r="U705" t="str">
        <f>IFERROR(IF(OR(HLOOKUP($A705,#REF!,19,FALSE)&gt;2,HLOOKUP($A705,#REF!,19,FALSE)&lt;-2),"",#REF!),"")</f>
        <v/>
      </c>
      <c r="V705">
        <f t="shared" si="40"/>
        <v>1</v>
      </c>
      <c r="W705" t="str">
        <f t="shared" si="41"/>
        <v/>
      </c>
      <c r="X705" t="str">
        <f t="shared" si="42"/>
        <v/>
      </c>
      <c r="Y705" t="str">
        <f t="shared" si="43"/>
        <v/>
      </c>
    </row>
    <row r="706" spans="1:25" x14ac:dyDescent="0.35">
      <c r="A706">
        <v>714</v>
      </c>
      <c r="B706" t="s">
        <v>956</v>
      </c>
      <c r="C706">
        <v>20800</v>
      </c>
      <c r="D706">
        <v>315</v>
      </c>
      <c r="E706" t="str">
        <f>IFERROR(IF(OR(HLOOKUP($A706,#REF!,3,FALSE)&gt;2,HLOOKUP(A706,#REF!,3,FALSE)&lt;-2),"",#REF!),"")</f>
        <v/>
      </c>
      <c r="F706" t="str">
        <f>IFERROR(IF(OR(HLOOKUP($A706,#REF!,4,FALSE)&gt;2,HLOOKUP($A706,#REF!,4,FALSE)&lt;-2),"",#REF!),"")</f>
        <v/>
      </c>
      <c r="G706" t="str">
        <f>IFERROR(IF(OR(HLOOKUP($A706,#REF!,5,FALSE)&gt;2,HLOOKUP($A706,#REF!,5,FALSE)&lt;-2),"",#REF!),"")</f>
        <v/>
      </c>
      <c r="H706" t="str">
        <f>IFERROR(IF(OR(HLOOKUP($A706,#REF!,6,FALSE)&gt;2,HLOOKUP($A706,#REF!,6,FALSE)&lt;-2),"",#REF!),"")</f>
        <v/>
      </c>
      <c r="I706" t="str">
        <f>IFERROR(IF(OR(HLOOKUP($A706,#REF!,7,FALSE)&gt;2,HLOOKUP($A706,#REF!,7,FALSE)&lt;-2),"",#REF!),"")</f>
        <v/>
      </c>
      <c r="J706" t="str">
        <f>IFERROR(IF(OR(HLOOKUP($A706,#REF!,8,FALSE)&gt;2,HLOOKUP($A706,#REF!,8,FALSE)&lt;-2),"",#REF!),"")</f>
        <v/>
      </c>
      <c r="K706" t="str">
        <f>IFERROR(IF(OR(HLOOKUP($A706,#REF!,9,FALSE)&gt;2,HLOOKUP($A706,#REF!,9,FALSE)&lt;-2),"",#REF!),"")</f>
        <v/>
      </c>
      <c r="L706" t="str">
        <f>IFERROR(IF(OR(HLOOKUP($A706,#REF!,10,FALSE)&gt;2,HLOOKUP($A706,#REF!,10,FALSE)&lt;-2),"",#REF!),"")</f>
        <v/>
      </c>
      <c r="M706" t="str">
        <f>IFERROR(IF(OR(HLOOKUP($A706,#REF!,11,FALSE)&gt;2,HLOOKUP($A706,#REF!,11,FALSE)&lt;-2),"",#REF!),"")</f>
        <v/>
      </c>
      <c r="N706" t="str">
        <f>IFERROR(IF(OR(HLOOKUP($A706,#REF!,12,FALSE)&gt;2,HLOOKUP($A706,#REF!,12,FALSE)&lt;-2),"",#REF!),"")</f>
        <v/>
      </c>
      <c r="O706" t="str">
        <f>IFERROR(IF(OR(HLOOKUP($A706,#REF!,13,FALSE)&gt;2,HLOOKUP($A706,#REF!,13,FALSE)&lt;-2),"",#REF!),"")</f>
        <v/>
      </c>
      <c r="P706" t="str">
        <f>IFERROR(IF(OR(HLOOKUP($A706,#REF!,14,FALSE)&gt;2,HLOOKUP($A706,#REF!,14,FALSE)&lt;-2),"",#REF!),"")</f>
        <v/>
      </c>
      <c r="Q706" t="str">
        <f>IFERROR(IF(OR(HLOOKUP($A706,#REF!,15,FALSE)&gt;2,HLOOKUP($A706,#REF!,15,FALSE)&lt;-2),"",#REF!),"")</f>
        <v/>
      </c>
      <c r="R706" t="str">
        <f>IFERROR(IF(OR(HLOOKUP($A706,#REF!,16,FALSE)&gt;2,HLOOKUP($A706,#REF!,16,FALSE)&lt;-2),"",#REF!),"")</f>
        <v/>
      </c>
      <c r="S706" t="str">
        <f>IFERROR(IF(OR(HLOOKUP($A706,#REF!,17,FALSE)&gt;2,HLOOKUP($A706,#REF!,17,FALSE)&lt;-2),"",#REF!),"")</f>
        <v/>
      </c>
      <c r="T706" t="str">
        <f>IFERROR(IF(OR(HLOOKUP($A706,#REF!,18,FALSE)&gt;2,HLOOKUP($A706,#REF!,18,FALSE)&lt;-2),"",#REF!),"")</f>
        <v/>
      </c>
      <c r="U706" t="str">
        <f>IFERROR(IF(OR(HLOOKUP($A706,#REF!,19,FALSE)&gt;2,HLOOKUP($A706,#REF!,19,FALSE)&lt;-2),"",#REF!),"")</f>
        <v/>
      </c>
      <c r="V706">
        <f t="shared" si="40"/>
        <v>1</v>
      </c>
      <c r="W706" t="str">
        <f t="shared" si="41"/>
        <v/>
      </c>
      <c r="X706" t="str">
        <f t="shared" si="42"/>
        <v/>
      </c>
      <c r="Y706" t="str">
        <f t="shared" si="43"/>
        <v/>
      </c>
    </row>
    <row r="707" spans="1:25" x14ac:dyDescent="0.35">
      <c r="A707">
        <v>715</v>
      </c>
      <c r="B707" t="s">
        <v>957</v>
      </c>
      <c r="C707">
        <v>41700</v>
      </c>
      <c r="D707">
        <v>918</v>
      </c>
      <c r="E707" t="str">
        <f>IFERROR(IF(OR(HLOOKUP($A707,#REF!,3,FALSE)&gt;2,HLOOKUP(A707,#REF!,3,FALSE)&lt;-2),"",#REF!),"")</f>
        <v/>
      </c>
      <c r="F707" t="str">
        <f>IFERROR(IF(OR(HLOOKUP($A707,#REF!,4,FALSE)&gt;2,HLOOKUP($A707,#REF!,4,FALSE)&lt;-2),"",#REF!),"")</f>
        <v/>
      </c>
      <c r="G707" t="str">
        <f>IFERROR(IF(OR(HLOOKUP($A707,#REF!,5,FALSE)&gt;2,HLOOKUP($A707,#REF!,5,FALSE)&lt;-2),"",#REF!),"")</f>
        <v/>
      </c>
      <c r="H707" t="str">
        <f>IFERROR(IF(OR(HLOOKUP($A707,#REF!,6,FALSE)&gt;2,HLOOKUP($A707,#REF!,6,FALSE)&lt;-2),"",#REF!),"")</f>
        <v/>
      </c>
      <c r="I707" t="str">
        <f>IFERROR(IF(OR(HLOOKUP($A707,#REF!,7,FALSE)&gt;2,HLOOKUP($A707,#REF!,7,FALSE)&lt;-2),"",#REF!),"")</f>
        <v/>
      </c>
      <c r="J707" t="str">
        <f>IFERROR(IF(OR(HLOOKUP($A707,#REF!,8,FALSE)&gt;2,HLOOKUP($A707,#REF!,8,FALSE)&lt;-2),"",#REF!),"")</f>
        <v/>
      </c>
      <c r="K707" t="str">
        <f>IFERROR(IF(OR(HLOOKUP($A707,#REF!,9,FALSE)&gt;2,HLOOKUP($A707,#REF!,9,FALSE)&lt;-2),"",#REF!),"")</f>
        <v/>
      </c>
      <c r="L707" t="str">
        <f>IFERROR(IF(OR(HLOOKUP($A707,#REF!,10,FALSE)&gt;2,HLOOKUP($A707,#REF!,10,FALSE)&lt;-2),"",#REF!),"")</f>
        <v/>
      </c>
      <c r="M707" t="str">
        <f>IFERROR(IF(OR(HLOOKUP($A707,#REF!,11,FALSE)&gt;2,HLOOKUP($A707,#REF!,11,FALSE)&lt;-2),"",#REF!),"")</f>
        <v/>
      </c>
      <c r="N707" t="str">
        <f>IFERROR(IF(OR(HLOOKUP($A707,#REF!,12,FALSE)&gt;2,HLOOKUP($A707,#REF!,12,FALSE)&lt;-2),"",#REF!),"")</f>
        <v/>
      </c>
      <c r="O707" t="str">
        <f>IFERROR(IF(OR(HLOOKUP($A707,#REF!,13,FALSE)&gt;2,HLOOKUP($A707,#REF!,13,FALSE)&lt;-2),"",#REF!),"")</f>
        <v/>
      </c>
      <c r="P707" t="str">
        <f>IFERROR(IF(OR(HLOOKUP($A707,#REF!,14,FALSE)&gt;2,HLOOKUP($A707,#REF!,14,FALSE)&lt;-2),"",#REF!),"")</f>
        <v/>
      </c>
      <c r="Q707" t="str">
        <f>IFERROR(IF(OR(HLOOKUP($A707,#REF!,15,FALSE)&gt;2,HLOOKUP($A707,#REF!,15,FALSE)&lt;-2),"",#REF!),"")</f>
        <v/>
      </c>
      <c r="R707" t="str">
        <f>IFERROR(IF(OR(HLOOKUP($A707,#REF!,16,FALSE)&gt;2,HLOOKUP($A707,#REF!,16,FALSE)&lt;-2),"",#REF!),"")</f>
        <v/>
      </c>
      <c r="S707" t="str">
        <f>IFERROR(IF(OR(HLOOKUP($A707,#REF!,17,FALSE)&gt;2,HLOOKUP($A707,#REF!,17,FALSE)&lt;-2),"",#REF!),"")</f>
        <v/>
      </c>
      <c r="T707" t="str">
        <f>IFERROR(IF(OR(HLOOKUP($A707,#REF!,18,FALSE)&gt;2,HLOOKUP($A707,#REF!,18,FALSE)&lt;-2),"",#REF!),"")</f>
        <v/>
      </c>
      <c r="U707" t="str">
        <f>IFERROR(IF(OR(HLOOKUP($A707,#REF!,19,FALSE)&gt;2,HLOOKUP($A707,#REF!,19,FALSE)&lt;-2),"",#REF!),"")</f>
        <v/>
      </c>
      <c r="V707">
        <f t="shared" si="40"/>
        <v>1</v>
      </c>
      <c r="W707" t="str">
        <f t="shared" si="41"/>
        <v/>
      </c>
      <c r="X707" t="str">
        <f t="shared" si="42"/>
        <v/>
      </c>
      <c r="Y707" t="str">
        <f t="shared" si="43"/>
        <v/>
      </c>
    </row>
    <row r="708" spans="1:25" x14ac:dyDescent="0.35">
      <c r="A708">
        <v>716</v>
      </c>
      <c r="B708" t="s">
        <v>958</v>
      </c>
      <c r="C708">
        <v>74400</v>
      </c>
      <c r="D708">
        <v>88</v>
      </c>
      <c r="E708" t="str">
        <f>IFERROR(IF(OR(HLOOKUP($A708,#REF!,3,FALSE)&gt;2,HLOOKUP(A708,#REF!,3,FALSE)&lt;-2),"",#REF!),"")</f>
        <v/>
      </c>
      <c r="F708" t="str">
        <f>IFERROR(IF(OR(HLOOKUP($A708,#REF!,4,FALSE)&gt;2,HLOOKUP($A708,#REF!,4,FALSE)&lt;-2),"",#REF!),"")</f>
        <v/>
      </c>
      <c r="G708" t="str">
        <f>IFERROR(IF(OR(HLOOKUP($A708,#REF!,5,FALSE)&gt;2,HLOOKUP($A708,#REF!,5,FALSE)&lt;-2),"",#REF!),"")</f>
        <v/>
      </c>
      <c r="H708" t="str">
        <f>IFERROR(IF(OR(HLOOKUP($A708,#REF!,6,FALSE)&gt;2,HLOOKUP($A708,#REF!,6,FALSE)&lt;-2),"",#REF!),"")</f>
        <v/>
      </c>
      <c r="I708" t="str">
        <f>IFERROR(IF(OR(HLOOKUP($A708,#REF!,7,FALSE)&gt;2,HLOOKUP($A708,#REF!,7,FALSE)&lt;-2),"",#REF!),"")</f>
        <v/>
      </c>
      <c r="J708" t="str">
        <f>IFERROR(IF(OR(HLOOKUP($A708,#REF!,8,FALSE)&gt;2,HLOOKUP($A708,#REF!,8,FALSE)&lt;-2),"",#REF!),"")</f>
        <v/>
      </c>
      <c r="K708" t="str">
        <f>IFERROR(IF(OR(HLOOKUP($A708,#REF!,9,FALSE)&gt;2,HLOOKUP($A708,#REF!,9,FALSE)&lt;-2),"",#REF!),"")</f>
        <v/>
      </c>
      <c r="L708" t="str">
        <f>IFERROR(IF(OR(HLOOKUP($A708,#REF!,10,FALSE)&gt;2,HLOOKUP($A708,#REF!,10,FALSE)&lt;-2),"",#REF!),"")</f>
        <v/>
      </c>
      <c r="M708" t="str">
        <f>IFERROR(IF(OR(HLOOKUP($A708,#REF!,11,FALSE)&gt;2,HLOOKUP($A708,#REF!,11,FALSE)&lt;-2),"",#REF!),"")</f>
        <v/>
      </c>
      <c r="N708" t="str">
        <f>IFERROR(IF(OR(HLOOKUP($A708,#REF!,12,FALSE)&gt;2,HLOOKUP($A708,#REF!,12,FALSE)&lt;-2),"",#REF!),"")</f>
        <v/>
      </c>
      <c r="O708" t="str">
        <f>IFERROR(IF(OR(HLOOKUP($A708,#REF!,13,FALSE)&gt;2,HLOOKUP($A708,#REF!,13,FALSE)&lt;-2),"",#REF!),"")</f>
        <v/>
      </c>
      <c r="P708" t="str">
        <f>IFERROR(IF(OR(HLOOKUP($A708,#REF!,14,FALSE)&gt;2,HLOOKUP($A708,#REF!,14,FALSE)&lt;-2),"",#REF!),"")</f>
        <v/>
      </c>
      <c r="Q708" t="str">
        <f>IFERROR(IF(OR(HLOOKUP($A708,#REF!,15,FALSE)&gt;2,HLOOKUP($A708,#REF!,15,FALSE)&lt;-2),"",#REF!),"")</f>
        <v/>
      </c>
      <c r="R708" t="str">
        <f>IFERROR(IF(OR(HLOOKUP($A708,#REF!,16,FALSE)&gt;2,HLOOKUP($A708,#REF!,16,FALSE)&lt;-2),"",#REF!),"")</f>
        <v/>
      </c>
      <c r="S708" t="str">
        <f>IFERROR(IF(OR(HLOOKUP($A708,#REF!,17,FALSE)&gt;2,HLOOKUP($A708,#REF!,17,FALSE)&lt;-2),"",#REF!),"")</f>
        <v/>
      </c>
      <c r="T708" t="str">
        <f>IFERROR(IF(OR(HLOOKUP($A708,#REF!,18,FALSE)&gt;2,HLOOKUP($A708,#REF!,18,FALSE)&lt;-2),"",#REF!),"")</f>
        <v/>
      </c>
      <c r="U708" t="str">
        <f>IFERROR(IF(OR(HLOOKUP($A708,#REF!,19,FALSE)&gt;2,HLOOKUP($A708,#REF!,19,FALSE)&lt;-2),"",#REF!),"")</f>
        <v/>
      </c>
      <c r="V708">
        <f t="shared" ref="V708:V771" si="44">IFERROR(IF(AND(X708=0,Y708=0),0,1),0)</f>
        <v>1</v>
      </c>
      <c r="W708" t="str">
        <f t="shared" ref="W708:W771" si="45">IFERROR(_xlfn.T.TEST(E708:M708,N708:U708,2,2),"")</f>
        <v/>
      </c>
      <c r="X708" t="str">
        <f t="shared" ref="X708:X771" si="46">IFERROR(AVERAGE(E708:M708),"")</f>
        <v/>
      </c>
      <c r="Y708" t="str">
        <f t="shared" ref="Y708:Y771" si="47">IFERROR(AVERAGE(N708:U708),"")</f>
        <v/>
      </c>
    </row>
    <row r="709" spans="1:25" x14ac:dyDescent="0.35">
      <c r="A709">
        <v>717</v>
      </c>
      <c r="B709" t="s">
        <v>959</v>
      </c>
      <c r="C709">
        <v>101700</v>
      </c>
      <c r="D709">
        <v>967</v>
      </c>
      <c r="E709" t="str">
        <f>IFERROR(IF(OR(HLOOKUP($A709,#REF!,3,FALSE)&gt;2,HLOOKUP(A709,#REF!,3,FALSE)&lt;-2),"",#REF!),"")</f>
        <v/>
      </c>
      <c r="F709" t="str">
        <f>IFERROR(IF(OR(HLOOKUP($A709,#REF!,4,FALSE)&gt;2,HLOOKUP($A709,#REF!,4,FALSE)&lt;-2),"",#REF!),"")</f>
        <v/>
      </c>
      <c r="G709" t="str">
        <f>IFERROR(IF(OR(HLOOKUP($A709,#REF!,5,FALSE)&gt;2,HLOOKUP($A709,#REF!,5,FALSE)&lt;-2),"",#REF!),"")</f>
        <v/>
      </c>
      <c r="H709" t="str">
        <f>IFERROR(IF(OR(HLOOKUP($A709,#REF!,6,FALSE)&gt;2,HLOOKUP($A709,#REF!,6,FALSE)&lt;-2),"",#REF!),"")</f>
        <v/>
      </c>
      <c r="I709" t="str">
        <f>IFERROR(IF(OR(HLOOKUP($A709,#REF!,7,FALSE)&gt;2,HLOOKUP($A709,#REF!,7,FALSE)&lt;-2),"",#REF!),"")</f>
        <v/>
      </c>
      <c r="J709" t="str">
        <f>IFERROR(IF(OR(HLOOKUP($A709,#REF!,8,FALSE)&gt;2,HLOOKUP($A709,#REF!,8,FALSE)&lt;-2),"",#REF!),"")</f>
        <v/>
      </c>
      <c r="K709" t="str">
        <f>IFERROR(IF(OR(HLOOKUP($A709,#REF!,9,FALSE)&gt;2,HLOOKUP($A709,#REF!,9,FALSE)&lt;-2),"",#REF!),"")</f>
        <v/>
      </c>
      <c r="L709" t="str">
        <f>IFERROR(IF(OR(HLOOKUP($A709,#REF!,10,FALSE)&gt;2,HLOOKUP($A709,#REF!,10,FALSE)&lt;-2),"",#REF!),"")</f>
        <v/>
      </c>
      <c r="M709" t="str">
        <f>IFERROR(IF(OR(HLOOKUP($A709,#REF!,11,FALSE)&gt;2,HLOOKUP($A709,#REF!,11,FALSE)&lt;-2),"",#REF!),"")</f>
        <v/>
      </c>
      <c r="N709" t="str">
        <f>IFERROR(IF(OR(HLOOKUP($A709,#REF!,12,FALSE)&gt;2,HLOOKUP($A709,#REF!,12,FALSE)&lt;-2),"",#REF!),"")</f>
        <v/>
      </c>
      <c r="O709" t="str">
        <f>IFERROR(IF(OR(HLOOKUP($A709,#REF!,13,FALSE)&gt;2,HLOOKUP($A709,#REF!,13,FALSE)&lt;-2),"",#REF!),"")</f>
        <v/>
      </c>
      <c r="P709" t="str">
        <f>IFERROR(IF(OR(HLOOKUP($A709,#REF!,14,FALSE)&gt;2,HLOOKUP($A709,#REF!,14,FALSE)&lt;-2),"",#REF!),"")</f>
        <v/>
      </c>
      <c r="Q709" t="str">
        <f>IFERROR(IF(OR(HLOOKUP($A709,#REF!,15,FALSE)&gt;2,HLOOKUP($A709,#REF!,15,FALSE)&lt;-2),"",#REF!),"")</f>
        <v/>
      </c>
      <c r="R709" t="str">
        <f>IFERROR(IF(OR(HLOOKUP($A709,#REF!,16,FALSE)&gt;2,HLOOKUP($A709,#REF!,16,FALSE)&lt;-2),"",#REF!),"")</f>
        <v/>
      </c>
      <c r="S709" t="str">
        <f>IFERROR(IF(OR(HLOOKUP($A709,#REF!,17,FALSE)&gt;2,HLOOKUP($A709,#REF!,17,FALSE)&lt;-2),"",#REF!),"")</f>
        <v/>
      </c>
      <c r="T709" t="str">
        <f>IFERROR(IF(OR(HLOOKUP($A709,#REF!,18,FALSE)&gt;2,HLOOKUP($A709,#REF!,18,FALSE)&lt;-2),"",#REF!),"")</f>
        <v/>
      </c>
      <c r="U709" t="str">
        <f>IFERROR(IF(OR(HLOOKUP($A709,#REF!,19,FALSE)&gt;2,HLOOKUP($A709,#REF!,19,FALSE)&lt;-2),"",#REF!),"")</f>
        <v/>
      </c>
      <c r="V709">
        <f t="shared" si="44"/>
        <v>1</v>
      </c>
      <c r="W709" t="str">
        <f t="shared" si="45"/>
        <v/>
      </c>
      <c r="X709" t="str">
        <f t="shared" si="46"/>
        <v/>
      </c>
      <c r="Y709" t="str">
        <f t="shared" si="47"/>
        <v/>
      </c>
    </row>
    <row r="710" spans="1:25" x14ac:dyDescent="0.35">
      <c r="A710">
        <v>718</v>
      </c>
      <c r="B710" t="s">
        <v>353</v>
      </c>
      <c r="C710">
        <v>64100</v>
      </c>
      <c r="D710">
        <v>709</v>
      </c>
      <c r="E710" t="str">
        <f>IFERROR(IF(OR(HLOOKUP($A710,#REF!,3,FALSE)&gt;2,HLOOKUP(A710,#REF!,3,FALSE)&lt;-2),"",#REF!),"")</f>
        <v/>
      </c>
      <c r="F710" t="str">
        <f>IFERROR(IF(OR(HLOOKUP($A710,#REF!,4,FALSE)&gt;2,HLOOKUP($A710,#REF!,4,FALSE)&lt;-2),"",#REF!),"")</f>
        <v/>
      </c>
      <c r="G710" t="str">
        <f>IFERROR(IF(OR(HLOOKUP($A710,#REF!,5,FALSE)&gt;2,HLOOKUP($A710,#REF!,5,FALSE)&lt;-2),"",#REF!),"")</f>
        <v/>
      </c>
      <c r="H710" t="str">
        <f>IFERROR(IF(OR(HLOOKUP($A710,#REF!,6,FALSE)&gt;2,HLOOKUP($A710,#REF!,6,FALSE)&lt;-2),"",#REF!),"")</f>
        <v/>
      </c>
      <c r="I710" t="str">
        <f>IFERROR(IF(OR(HLOOKUP($A710,#REF!,7,FALSE)&gt;2,HLOOKUP($A710,#REF!,7,FALSE)&lt;-2),"",#REF!),"")</f>
        <v/>
      </c>
      <c r="J710" t="str">
        <f>IFERROR(IF(OR(HLOOKUP($A710,#REF!,8,FALSE)&gt;2,HLOOKUP($A710,#REF!,8,FALSE)&lt;-2),"",#REF!),"")</f>
        <v/>
      </c>
      <c r="K710" t="str">
        <f>IFERROR(IF(OR(HLOOKUP($A710,#REF!,9,FALSE)&gt;2,HLOOKUP($A710,#REF!,9,FALSE)&lt;-2),"",#REF!),"")</f>
        <v/>
      </c>
      <c r="L710" t="str">
        <f>IFERROR(IF(OR(HLOOKUP($A710,#REF!,10,FALSE)&gt;2,HLOOKUP($A710,#REF!,10,FALSE)&lt;-2),"",#REF!),"")</f>
        <v/>
      </c>
      <c r="M710" t="str">
        <f>IFERROR(IF(OR(HLOOKUP($A710,#REF!,11,FALSE)&gt;2,HLOOKUP($A710,#REF!,11,FALSE)&lt;-2),"",#REF!),"")</f>
        <v/>
      </c>
      <c r="N710" t="str">
        <f>IFERROR(IF(OR(HLOOKUP($A710,#REF!,12,FALSE)&gt;2,HLOOKUP($A710,#REF!,12,FALSE)&lt;-2),"",#REF!),"")</f>
        <v/>
      </c>
      <c r="O710" t="str">
        <f>IFERROR(IF(OR(HLOOKUP($A710,#REF!,13,FALSE)&gt;2,HLOOKUP($A710,#REF!,13,FALSE)&lt;-2),"",#REF!),"")</f>
        <v/>
      </c>
      <c r="P710" t="str">
        <f>IFERROR(IF(OR(HLOOKUP($A710,#REF!,14,FALSE)&gt;2,HLOOKUP($A710,#REF!,14,FALSE)&lt;-2),"",#REF!),"")</f>
        <v/>
      </c>
      <c r="Q710" t="str">
        <f>IFERROR(IF(OR(HLOOKUP($A710,#REF!,15,FALSE)&gt;2,HLOOKUP($A710,#REF!,15,FALSE)&lt;-2),"",#REF!),"")</f>
        <v/>
      </c>
      <c r="R710" t="str">
        <f>IFERROR(IF(OR(HLOOKUP($A710,#REF!,16,FALSE)&gt;2,HLOOKUP($A710,#REF!,16,FALSE)&lt;-2),"",#REF!),"")</f>
        <v/>
      </c>
      <c r="S710" t="str">
        <f>IFERROR(IF(OR(HLOOKUP($A710,#REF!,17,FALSE)&gt;2,HLOOKUP($A710,#REF!,17,FALSE)&lt;-2),"",#REF!),"")</f>
        <v/>
      </c>
      <c r="T710" t="str">
        <f>IFERROR(IF(OR(HLOOKUP($A710,#REF!,18,FALSE)&gt;2,HLOOKUP($A710,#REF!,18,FALSE)&lt;-2),"",#REF!),"")</f>
        <v/>
      </c>
      <c r="U710" t="str">
        <f>IFERROR(IF(OR(HLOOKUP($A710,#REF!,19,FALSE)&gt;2,HLOOKUP($A710,#REF!,19,FALSE)&lt;-2),"",#REF!),"")</f>
        <v/>
      </c>
      <c r="V710">
        <f t="shared" si="44"/>
        <v>1</v>
      </c>
      <c r="W710" t="str">
        <f t="shared" si="45"/>
        <v/>
      </c>
      <c r="X710" t="str">
        <f t="shared" si="46"/>
        <v/>
      </c>
      <c r="Y710" t="str">
        <f t="shared" si="47"/>
        <v/>
      </c>
    </row>
    <row r="711" spans="1:25" x14ac:dyDescent="0.35">
      <c r="A711">
        <v>719</v>
      </c>
      <c r="B711" t="s">
        <v>960</v>
      </c>
      <c r="C711">
        <v>3400</v>
      </c>
      <c r="D711">
        <v>322</v>
      </c>
      <c r="E711" t="str">
        <f>IFERROR(IF(OR(HLOOKUP($A711,#REF!,3,FALSE)&gt;2,HLOOKUP(A711,#REF!,3,FALSE)&lt;-2),"",#REF!),"")</f>
        <v/>
      </c>
      <c r="F711" t="str">
        <f>IFERROR(IF(OR(HLOOKUP($A711,#REF!,4,FALSE)&gt;2,HLOOKUP($A711,#REF!,4,FALSE)&lt;-2),"",#REF!),"")</f>
        <v/>
      </c>
      <c r="G711" t="str">
        <f>IFERROR(IF(OR(HLOOKUP($A711,#REF!,5,FALSE)&gt;2,HLOOKUP($A711,#REF!,5,FALSE)&lt;-2),"",#REF!),"")</f>
        <v/>
      </c>
      <c r="H711" t="str">
        <f>IFERROR(IF(OR(HLOOKUP($A711,#REF!,6,FALSE)&gt;2,HLOOKUP($A711,#REF!,6,FALSE)&lt;-2),"",#REF!),"")</f>
        <v/>
      </c>
      <c r="I711" t="str">
        <f>IFERROR(IF(OR(HLOOKUP($A711,#REF!,7,FALSE)&gt;2,HLOOKUP($A711,#REF!,7,FALSE)&lt;-2),"",#REF!),"")</f>
        <v/>
      </c>
      <c r="J711" t="str">
        <f>IFERROR(IF(OR(HLOOKUP($A711,#REF!,8,FALSE)&gt;2,HLOOKUP($A711,#REF!,8,FALSE)&lt;-2),"",#REF!),"")</f>
        <v/>
      </c>
      <c r="K711" t="str">
        <f>IFERROR(IF(OR(HLOOKUP($A711,#REF!,9,FALSE)&gt;2,HLOOKUP($A711,#REF!,9,FALSE)&lt;-2),"",#REF!),"")</f>
        <v/>
      </c>
      <c r="L711" t="str">
        <f>IFERROR(IF(OR(HLOOKUP($A711,#REF!,10,FALSE)&gt;2,HLOOKUP($A711,#REF!,10,FALSE)&lt;-2),"",#REF!),"")</f>
        <v/>
      </c>
      <c r="M711" t="str">
        <f>IFERROR(IF(OR(HLOOKUP($A711,#REF!,11,FALSE)&gt;2,HLOOKUP($A711,#REF!,11,FALSE)&lt;-2),"",#REF!),"")</f>
        <v/>
      </c>
      <c r="N711" t="str">
        <f>IFERROR(IF(OR(HLOOKUP($A711,#REF!,12,FALSE)&gt;2,HLOOKUP($A711,#REF!,12,FALSE)&lt;-2),"",#REF!),"")</f>
        <v/>
      </c>
      <c r="O711" t="str">
        <f>IFERROR(IF(OR(HLOOKUP($A711,#REF!,13,FALSE)&gt;2,HLOOKUP($A711,#REF!,13,FALSE)&lt;-2),"",#REF!),"")</f>
        <v/>
      </c>
      <c r="P711" t="str">
        <f>IFERROR(IF(OR(HLOOKUP($A711,#REF!,14,FALSE)&gt;2,HLOOKUP($A711,#REF!,14,FALSE)&lt;-2),"",#REF!),"")</f>
        <v/>
      </c>
      <c r="Q711" t="str">
        <f>IFERROR(IF(OR(HLOOKUP($A711,#REF!,15,FALSE)&gt;2,HLOOKUP($A711,#REF!,15,FALSE)&lt;-2),"",#REF!),"")</f>
        <v/>
      </c>
      <c r="R711" t="str">
        <f>IFERROR(IF(OR(HLOOKUP($A711,#REF!,16,FALSE)&gt;2,HLOOKUP($A711,#REF!,16,FALSE)&lt;-2),"",#REF!),"")</f>
        <v/>
      </c>
      <c r="S711" t="str">
        <f>IFERROR(IF(OR(HLOOKUP($A711,#REF!,17,FALSE)&gt;2,HLOOKUP($A711,#REF!,17,FALSE)&lt;-2),"",#REF!),"")</f>
        <v/>
      </c>
      <c r="T711" t="str">
        <f>IFERROR(IF(OR(HLOOKUP($A711,#REF!,18,FALSE)&gt;2,HLOOKUP($A711,#REF!,18,FALSE)&lt;-2),"",#REF!),"")</f>
        <v/>
      </c>
      <c r="U711" t="str">
        <f>IFERROR(IF(OR(HLOOKUP($A711,#REF!,19,FALSE)&gt;2,HLOOKUP($A711,#REF!,19,FALSE)&lt;-2),"",#REF!),"")</f>
        <v/>
      </c>
      <c r="V711">
        <f t="shared" si="44"/>
        <v>1</v>
      </c>
      <c r="W711" t="str">
        <f t="shared" si="45"/>
        <v/>
      </c>
      <c r="X711" t="str">
        <f t="shared" si="46"/>
        <v/>
      </c>
      <c r="Y711" t="str">
        <f t="shared" si="47"/>
        <v/>
      </c>
    </row>
    <row r="712" spans="1:25" x14ac:dyDescent="0.35">
      <c r="A712">
        <v>720</v>
      </c>
      <c r="B712" t="s">
        <v>961</v>
      </c>
      <c r="C712">
        <v>90200</v>
      </c>
      <c r="D712">
        <v>386</v>
      </c>
      <c r="E712" t="str">
        <f>IFERROR(IF(OR(HLOOKUP($A712,#REF!,3,FALSE)&gt;2,HLOOKUP(A712,#REF!,3,FALSE)&lt;-2),"",#REF!),"")</f>
        <v/>
      </c>
      <c r="F712" t="str">
        <f>IFERROR(IF(OR(HLOOKUP($A712,#REF!,4,FALSE)&gt;2,HLOOKUP($A712,#REF!,4,FALSE)&lt;-2),"",#REF!),"")</f>
        <v/>
      </c>
      <c r="G712" t="str">
        <f>IFERROR(IF(OR(HLOOKUP($A712,#REF!,5,FALSE)&gt;2,HLOOKUP($A712,#REF!,5,FALSE)&lt;-2),"",#REF!),"")</f>
        <v/>
      </c>
      <c r="H712" t="str">
        <f>IFERROR(IF(OR(HLOOKUP($A712,#REF!,6,FALSE)&gt;2,HLOOKUP($A712,#REF!,6,FALSE)&lt;-2),"",#REF!),"")</f>
        <v/>
      </c>
      <c r="I712" t="str">
        <f>IFERROR(IF(OR(HLOOKUP($A712,#REF!,7,FALSE)&gt;2,HLOOKUP($A712,#REF!,7,FALSE)&lt;-2),"",#REF!),"")</f>
        <v/>
      </c>
      <c r="J712" t="str">
        <f>IFERROR(IF(OR(HLOOKUP($A712,#REF!,8,FALSE)&gt;2,HLOOKUP($A712,#REF!,8,FALSE)&lt;-2),"",#REF!),"")</f>
        <v/>
      </c>
      <c r="K712" t="str">
        <f>IFERROR(IF(OR(HLOOKUP($A712,#REF!,9,FALSE)&gt;2,HLOOKUP($A712,#REF!,9,FALSE)&lt;-2),"",#REF!),"")</f>
        <v/>
      </c>
      <c r="L712" t="str">
        <f>IFERROR(IF(OR(HLOOKUP($A712,#REF!,10,FALSE)&gt;2,HLOOKUP($A712,#REF!,10,FALSE)&lt;-2),"",#REF!),"")</f>
        <v/>
      </c>
      <c r="M712" t="str">
        <f>IFERROR(IF(OR(HLOOKUP($A712,#REF!,11,FALSE)&gt;2,HLOOKUP($A712,#REF!,11,FALSE)&lt;-2),"",#REF!),"")</f>
        <v/>
      </c>
      <c r="N712" t="str">
        <f>IFERROR(IF(OR(HLOOKUP($A712,#REF!,12,FALSE)&gt;2,HLOOKUP($A712,#REF!,12,FALSE)&lt;-2),"",#REF!),"")</f>
        <v/>
      </c>
      <c r="O712" t="str">
        <f>IFERROR(IF(OR(HLOOKUP($A712,#REF!,13,FALSE)&gt;2,HLOOKUP($A712,#REF!,13,FALSE)&lt;-2),"",#REF!),"")</f>
        <v/>
      </c>
      <c r="P712" t="str">
        <f>IFERROR(IF(OR(HLOOKUP($A712,#REF!,14,FALSE)&gt;2,HLOOKUP($A712,#REF!,14,FALSE)&lt;-2),"",#REF!),"")</f>
        <v/>
      </c>
      <c r="Q712" t="str">
        <f>IFERROR(IF(OR(HLOOKUP($A712,#REF!,15,FALSE)&gt;2,HLOOKUP($A712,#REF!,15,FALSE)&lt;-2),"",#REF!),"")</f>
        <v/>
      </c>
      <c r="R712" t="str">
        <f>IFERROR(IF(OR(HLOOKUP($A712,#REF!,16,FALSE)&gt;2,HLOOKUP($A712,#REF!,16,FALSE)&lt;-2),"",#REF!),"")</f>
        <v/>
      </c>
      <c r="S712" t="str">
        <f>IFERROR(IF(OR(HLOOKUP($A712,#REF!,17,FALSE)&gt;2,HLOOKUP($A712,#REF!,17,FALSE)&lt;-2),"",#REF!),"")</f>
        <v/>
      </c>
      <c r="T712" t="str">
        <f>IFERROR(IF(OR(HLOOKUP($A712,#REF!,18,FALSE)&gt;2,HLOOKUP($A712,#REF!,18,FALSE)&lt;-2),"",#REF!),"")</f>
        <v/>
      </c>
      <c r="U712" t="str">
        <f>IFERROR(IF(OR(HLOOKUP($A712,#REF!,19,FALSE)&gt;2,HLOOKUP($A712,#REF!,19,FALSE)&lt;-2),"",#REF!),"")</f>
        <v/>
      </c>
      <c r="V712">
        <f t="shared" si="44"/>
        <v>1</v>
      </c>
      <c r="W712" t="str">
        <f t="shared" si="45"/>
        <v/>
      </c>
      <c r="X712" t="str">
        <f t="shared" si="46"/>
        <v/>
      </c>
      <c r="Y712" t="str">
        <f t="shared" si="47"/>
        <v/>
      </c>
    </row>
    <row r="713" spans="1:25" x14ac:dyDescent="0.35">
      <c r="A713">
        <v>721</v>
      </c>
      <c r="B713" t="s">
        <v>354</v>
      </c>
      <c r="C713">
        <v>16500</v>
      </c>
      <c r="D713">
        <v>385</v>
      </c>
      <c r="E713" t="str">
        <f>IFERROR(IF(OR(HLOOKUP($A713,#REF!,3,FALSE)&gt;2,HLOOKUP(A713,#REF!,3,FALSE)&lt;-2),"",#REF!),"")</f>
        <v/>
      </c>
      <c r="F713" t="str">
        <f>IFERROR(IF(OR(HLOOKUP($A713,#REF!,4,FALSE)&gt;2,HLOOKUP($A713,#REF!,4,FALSE)&lt;-2),"",#REF!),"")</f>
        <v/>
      </c>
      <c r="G713" t="str">
        <f>IFERROR(IF(OR(HLOOKUP($A713,#REF!,5,FALSE)&gt;2,HLOOKUP($A713,#REF!,5,FALSE)&lt;-2),"",#REF!),"")</f>
        <v/>
      </c>
      <c r="H713" t="str">
        <f>IFERROR(IF(OR(HLOOKUP($A713,#REF!,6,FALSE)&gt;2,HLOOKUP($A713,#REF!,6,FALSE)&lt;-2),"",#REF!),"")</f>
        <v/>
      </c>
      <c r="I713" t="str">
        <f>IFERROR(IF(OR(HLOOKUP($A713,#REF!,7,FALSE)&gt;2,HLOOKUP($A713,#REF!,7,FALSE)&lt;-2),"",#REF!),"")</f>
        <v/>
      </c>
      <c r="J713" t="str">
        <f>IFERROR(IF(OR(HLOOKUP($A713,#REF!,8,FALSE)&gt;2,HLOOKUP($A713,#REF!,8,FALSE)&lt;-2),"",#REF!),"")</f>
        <v/>
      </c>
      <c r="K713" t="str">
        <f>IFERROR(IF(OR(HLOOKUP($A713,#REF!,9,FALSE)&gt;2,HLOOKUP($A713,#REF!,9,FALSE)&lt;-2),"",#REF!),"")</f>
        <v/>
      </c>
      <c r="L713" t="str">
        <f>IFERROR(IF(OR(HLOOKUP($A713,#REF!,10,FALSE)&gt;2,HLOOKUP($A713,#REF!,10,FALSE)&lt;-2),"",#REF!),"")</f>
        <v/>
      </c>
      <c r="M713" t="str">
        <f>IFERROR(IF(OR(HLOOKUP($A713,#REF!,11,FALSE)&gt;2,HLOOKUP($A713,#REF!,11,FALSE)&lt;-2),"",#REF!),"")</f>
        <v/>
      </c>
      <c r="N713" t="str">
        <f>IFERROR(IF(OR(HLOOKUP($A713,#REF!,12,FALSE)&gt;2,HLOOKUP($A713,#REF!,12,FALSE)&lt;-2),"",#REF!),"")</f>
        <v/>
      </c>
      <c r="O713" t="str">
        <f>IFERROR(IF(OR(HLOOKUP($A713,#REF!,13,FALSE)&gt;2,HLOOKUP($A713,#REF!,13,FALSE)&lt;-2),"",#REF!),"")</f>
        <v/>
      </c>
      <c r="P713" t="str">
        <f>IFERROR(IF(OR(HLOOKUP($A713,#REF!,14,FALSE)&gt;2,HLOOKUP($A713,#REF!,14,FALSE)&lt;-2),"",#REF!),"")</f>
        <v/>
      </c>
      <c r="Q713" t="str">
        <f>IFERROR(IF(OR(HLOOKUP($A713,#REF!,15,FALSE)&gt;2,HLOOKUP($A713,#REF!,15,FALSE)&lt;-2),"",#REF!),"")</f>
        <v/>
      </c>
      <c r="R713" t="str">
        <f>IFERROR(IF(OR(HLOOKUP($A713,#REF!,16,FALSE)&gt;2,HLOOKUP($A713,#REF!,16,FALSE)&lt;-2),"",#REF!),"")</f>
        <v/>
      </c>
      <c r="S713" t="str">
        <f>IFERROR(IF(OR(HLOOKUP($A713,#REF!,17,FALSE)&gt;2,HLOOKUP($A713,#REF!,17,FALSE)&lt;-2),"",#REF!),"")</f>
        <v/>
      </c>
      <c r="T713" t="str">
        <f>IFERROR(IF(OR(HLOOKUP($A713,#REF!,18,FALSE)&gt;2,HLOOKUP($A713,#REF!,18,FALSE)&lt;-2),"",#REF!),"")</f>
        <v/>
      </c>
      <c r="U713" t="str">
        <f>IFERROR(IF(OR(HLOOKUP($A713,#REF!,19,FALSE)&gt;2,HLOOKUP($A713,#REF!,19,FALSE)&lt;-2),"",#REF!),"")</f>
        <v/>
      </c>
      <c r="V713">
        <f t="shared" si="44"/>
        <v>1</v>
      </c>
      <c r="W713" t="str">
        <f t="shared" si="45"/>
        <v/>
      </c>
      <c r="X713" t="str">
        <f t="shared" si="46"/>
        <v/>
      </c>
      <c r="Y713" t="str">
        <f t="shared" si="47"/>
        <v/>
      </c>
    </row>
    <row r="714" spans="1:25" x14ac:dyDescent="0.35">
      <c r="A714">
        <v>722</v>
      </c>
      <c r="B714" t="s">
        <v>962</v>
      </c>
      <c r="C714">
        <v>114900</v>
      </c>
      <c r="D714">
        <v>1068</v>
      </c>
      <c r="E714" t="str">
        <f>IFERROR(IF(OR(HLOOKUP($A714,#REF!,3,FALSE)&gt;2,HLOOKUP(A714,#REF!,3,FALSE)&lt;-2),"",#REF!),"")</f>
        <v/>
      </c>
      <c r="F714" t="str">
        <f>IFERROR(IF(OR(HLOOKUP($A714,#REF!,4,FALSE)&gt;2,HLOOKUP($A714,#REF!,4,FALSE)&lt;-2),"",#REF!),"")</f>
        <v/>
      </c>
      <c r="G714" t="str">
        <f>IFERROR(IF(OR(HLOOKUP($A714,#REF!,5,FALSE)&gt;2,HLOOKUP($A714,#REF!,5,FALSE)&lt;-2),"",#REF!),"")</f>
        <v/>
      </c>
      <c r="H714" t="str">
        <f>IFERROR(IF(OR(HLOOKUP($A714,#REF!,6,FALSE)&gt;2,HLOOKUP($A714,#REF!,6,FALSE)&lt;-2),"",#REF!),"")</f>
        <v/>
      </c>
      <c r="I714" t="str">
        <f>IFERROR(IF(OR(HLOOKUP($A714,#REF!,7,FALSE)&gt;2,HLOOKUP($A714,#REF!,7,FALSE)&lt;-2),"",#REF!),"")</f>
        <v/>
      </c>
      <c r="J714" t="str">
        <f>IFERROR(IF(OR(HLOOKUP($A714,#REF!,8,FALSE)&gt;2,HLOOKUP($A714,#REF!,8,FALSE)&lt;-2),"",#REF!),"")</f>
        <v/>
      </c>
      <c r="K714" t="str">
        <f>IFERROR(IF(OR(HLOOKUP($A714,#REF!,9,FALSE)&gt;2,HLOOKUP($A714,#REF!,9,FALSE)&lt;-2),"",#REF!),"")</f>
        <v/>
      </c>
      <c r="L714" t="str">
        <f>IFERROR(IF(OR(HLOOKUP($A714,#REF!,10,FALSE)&gt;2,HLOOKUP($A714,#REF!,10,FALSE)&lt;-2),"",#REF!),"")</f>
        <v/>
      </c>
      <c r="M714" t="str">
        <f>IFERROR(IF(OR(HLOOKUP($A714,#REF!,11,FALSE)&gt;2,HLOOKUP($A714,#REF!,11,FALSE)&lt;-2),"",#REF!),"")</f>
        <v/>
      </c>
      <c r="N714" t="str">
        <f>IFERROR(IF(OR(HLOOKUP($A714,#REF!,12,FALSE)&gt;2,HLOOKUP($A714,#REF!,12,FALSE)&lt;-2),"",#REF!),"")</f>
        <v/>
      </c>
      <c r="O714" t="str">
        <f>IFERROR(IF(OR(HLOOKUP($A714,#REF!,13,FALSE)&gt;2,HLOOKUP($A714,#REF!,13,FALSE)&lt;-2),"",#REF!),"")</f>
        <v/>
      </c>
      <c r="P714" t="str">
        <f>IFERROR(IF(OR(HLOOKUP($A714,#REF!,14,FALSE)&gt;2,HLOOKUP($A714,#REF!,14,FALSE)&lt;-2),"",#REF!),"")</f>
        <v/>
      </c>
      <c r="Q714" t="str">
        <f>IFERROR(IF(OR(HLOOKUP($A714,#REF!,15,FALSE)&gt;2,HLOOKUP($A714,#REF!,15,FALSE)&lt;-2),"",#REF!),"")</f>
        <v/>
      </c>
      <c r="R714" t="str">
        <f>IFERROR(IF(OR(HLOOKUP($A714,#REF!,16,FALSE)&gt;2,HLOOKUP($A714,#REF!,16,FALSE)&lt;-2),"",#REF!),"")</f>
        <v/>
      </c>
      <c r="S714" t="str">
        <f>IFERROR(IF(OR(HLOOKUP($A714,#REF!,17,FALSE)&gt;2,HLOOKUP($A714,#REF!,17,FALSE)&lt;-2),"",#REF!),"")</f>
        <v/>
      </c>
      <c r="T714" t="str">
        <f>IFERROR(IF(OR(HLOOKUP($A714,#REF!,18,FALSE)&gt;2,HLOOKUP($A714,#REF!,18,FALSE)&lt;-2),"",#REF!),"")</f>
        <v/>
      </c>
      <c r="U714" t="str">
        <f>IFERROR(IF(OR(HLOOKUP($A714,#REF!,19,FALSE)&gt;2,HLOOKUP($A714,#REF!,19,FALSE)&lt;-2),"",#REF!),"")</f>
        <v/>
      </c>
      <c r="V714">
        <f t="shared" si="44"/>
        <v>1</v>
      </c>
      <c r="W714" t="str">
        <f t="shared" si="45"/>
        <v/>
      </c>
      <c r="X714" t="str">
        <f t="shared" si="46"/>
        <v/>
      </c>
      <c r="Y714" t="str">
        <f t="shared" si="47"/>
        <v/>
      </c>
    </row>
    <row r="715" spans="1:25" x14ac:dyDescent="0.35">
      <c r="A715">
        <v>723</v>
      </c>
      <c r="B715" t="s">
        <v>963</v>
      </c>
      <c r="C715">
        <v>21400</v>
      </c>
      <c r="D715">
        <v>714</v>
      </c>
      <c r="E715" t="str">
        <f>IFERROR(IF(OR(HLOOKUP($A715,#REF!,3,FALSE)&gt;2,HLOOKUP(A715,#REF!,3,FALSE)&lt;-2),"",#REF!),"")</f>
        <v/>
      </c>
      <c r="F715" t="str">
        <f>IFERROR(IF(OR(HLOOKUP($A715,#REF!,4,FALSE)&gt;2,HLOOKUP($A715,#REF!,4,FALSE)&lt;-2),"",#REF!),"")</f>
        <v/>
      </c>
      <c r="G715" t="str">
        <f>IFERROR(IF(OR(HLOOKUP($A715,#REF!,5,FALSE)&gt;2,HLOOKUP($A715,#REF!,5,FALSE)&lt;-2),"",#REF!),"")</f>
        <v/>
      </c>
      <c r="H715" t="str">
        <f>IFERROR(IF(OR(HLOOKUP($A715,#REF!,6,FALSE)&gt;2,HLOOKUP($A715,#REF!,6,FALSE)&lt;-2),"",#REF!),"")</f>
        <v/>
      </c>
      <c r="I715" t="str">
        <f>IFERROR(IF(OR(HLOOKUP($A715,#REF!,7,FALSE)&gt;2,HLOOKUP($A715,#REF!,7,FALSE)&lt;-2),"",#REF!),"")</f>
        <v/>
      </c>
      <c r="J715" t="str">
        <f>IFERROR(IF(OR(HLOOKUP($A715,#REF!,8,FALSE)&gt;2,HLOOKUP($A715,#REF!,8,FALSE)&lt;-2),"",#REF!),"")</f>
        <v/>
      </c>
      <c r="K715" t="str">
        <f>IFERROR(IF(OR(HLOOKUP($A715,#REF!,9,FALSE)&gt;2,HLOOKUP($A715,#REF!,9,FALSE)&lt;-2),"",#REF!),"")</f>
        <v/>
      </c>
      <c r="L715" t="str">
        <f>IFERROR(IF(OR(HLOOKUP($A715,#REF!,10,FALSE)&gt;2,HLOOKUP($A715,#REF!,10,FALSE)&lt;-2),"",#REF!),"")</f>
        <v/>
      </c>
      <c r="M715" t="str">
        <f>IFERROR(IF(OR(HLOOKUP($A715,#REF!,11,FALSE)&gt;2,HLOOKUP($A715,#REF!,11,FALSE)&lt;-2),"",#REF!),"")</f>
        <v/>
      </c>
      <c r="N715" t="str">
        <f>IFERROR(IF(OR(HLOOKUP($A715,#REF!,12,FALSE)&gt;2,HLOOKUP($A715,#REF!,12,FALSE)&lt;-2),"",#REF!),"")</f>
        <v/>
      </c>
      <c r="O715" t="str">
        <f>IFERROR(IF(OR(HLOOKUP($A715,#REF!,13,FALSE)&gt;2,HLOOKUP($A715,#REF!,13,FALSE)&lt;-2),"",#REF!),"")</f>
        <v/>
      </c>
      <c r="P715" t="str">
        <f>IFERROR(IF(OR(HLOOKUP($A715,#REF!,14,FALSE)&gt;2,HLOOKUP($A715,#REF!,14,FALSE)&lt;-2),"",#REF!),"")</f>
        <v/>
      </c>
      <c r="Q715" t="str">
        <f>IFERROR(IF(OR(HLOOKUP($A715,#REF!,15,FALSE)&gt;2,HLOOKUP($A715,#REF!,15,FALSE)&lt;-2),"",#REF!),"")</f>
        <v/>
      </c>
      <c r="R715" t="str">
        <f>IFERROR(IF(OR(HLOOKUP($A715,#REF!,16,FALSE)&gt;2,HLOOKUP($A715,#REF!,16,FALSE)&lt;-2),"",#REF!),"")</f>
        <v/>
      </c>
      <c r="S715" t="str">
        <f>IFERROR(IF(OR(HLOOKUP($A715,#REF!,17,FALSE)&gt;2,HLOOKUP($A715,#REF!,17,FALSE)&lt;-2),"",#REF!),"")</f>
        <v/>
      </c>
      <c r="T715" t="str">
        <f>IFERROR(IF(OR(HLOOKUP($A715,#REF!,18,FALSE)&gt;2,HLOOKUP($A715,#REF!,18,FALSE)&lt;-2),"",#REF!),"")</f>
        <v/>
      </c>
      <c r="U715" t="str">
        <f>IFERROR(IF(OR(HLOOKUP($A715,#REF!,19,FALSE)&gt;2,HLOOKUP($A715,#REF!,19,FALSE)&lt;-2),"",#REF!),"")</f>
        <v/>
      </c>
      <c r="V715">
        <f t="shared" si="44"/>
        <v>1</v>
      </c>
      <c r="W715" t="str">
        <f t="shared" si="45"/>
        <v/>
      </c>
      <c r="X715" t="str">
        <f t="shared" si="46"/>
        <v/>
      </c>
      <c r="Y715" t="str">
        <f t="shared" si="47"/>
        <v/>
      </c>
    </row>
    <row r="716" spans="1:25" x14ac:dyDescent="0.35">
      <c r="A716">
        <v>724</v>
      </c>
      <c r="B716" t="s">
        <v>964</v>
      </c>
      <c r="C716">
        <v>74500</v>
      </c>
      <c r="D716">
        <v>88</v>
      </c>
      <c r="E716" t="str">
        <f>IFERROR(IF(OR(HLOOKUP($A716,#REF!,3,FALSE)&gt;2,HLOOKUP(A716,#REF!,3,FALSE)&lt;-2),"",#REF!),"")</f>
        <v/>
      </c>
      <c r="F716" t="str">
        <f>IFERROR(IF(OR(HLOOKUP($A716,#REF!,4,FALSE)&gt;2,HLOOKUP($A716,#REF!,4,FALSE)&lt;-2),"",#REF!),"")</f>
        <v/>
      </c>
      <c r="G716" t="str">
        <f>IFERROR(IF(OR(HLOOKUP($A716,#REF!,5,FALSE)&gt;2,HLOOKUP($A716,#REF!,5,FALSE)&lt;-2),"",#REF!),"")</f>
        <v/>
      </c>
      <c r="H716" t="str">
        <f>IFERROR(IF(OR(HLOOKUP($A716,#REF!,6,FALSE)&gt;2,HLOOKUP($A716,#REF!,6,FALSE)&lt;-2),"",#REF!),"")</f>
        <v/>
      </c>
      <c r="I716" t="str">
        <f>IFERROR(IF(OR(HLOOKUP($A716,#REF!,7,FALSE)&gt;2,HLOOKUP($A716,#REF!,7,FALSE)&lt;-2),"",#REF!),"")</f>
        <v/>
      </c>
      <c r="J716" t="str">
        <f>IFERROR(IF(OR(HLOOKUP($A716,#REF!,8,FALSE)&gt;2,HLOOKUP($A716,#REF!,8,FALSE)&lt;-2),"",#REF!),"")</f>
        <v/>
      </c>
      <c r="K716" t="str">
        <f>IFERROR(IF(OR(HLOOKUP($A716,#REF!,9,FALSE)&gt;2,HLOOKUP($A716,#REF!,9,FALSE)&lt;-2),"",#REF!),"")</f>
        <v/>
      </c>
      <c r="L716" t="str">
        <f>IFERROR(IF(OR(HLOOKUP($A716,#REF!,10,FALSE)&gt;2,HLOOKUP($A716,#REF!,10,FALSE)&lt;-2),"",#REF!),"")</f>
        <v/>
      </c>
      <c r="M716" t="str">
        <f>IFERROR(IF(OR(HLOOKUP($A716,#REF!,11,FALSE)&gt;2,HLOOKUP($A716,#REF!,11,FALSE)&lt;-2),"",#REF!),"")</f>
        <v/>
      </c>
      <c r="N716" t="str">
        <f>IFERROR(IF(OR(HLOOKUP($A716,#REF!,12,FALSE)&gt;2,HLOOKUP($A716,#REF!,12,FALSE)&lt;-2),"",#REF!),"")</f>
        <v/>
      </c>
      <c r="O716" t="str">
        <f>IFERROR(IF(OR(HLOOKUP($A716,#REF!,13,FALSE)&gt;2,HLOOKUP($A716,#REF!,13,FALSE)&lt;-2),"",#REF!),"")</f>
        <v/>
      </c>
      <c r="P716" t="str">
        <f>IFERROR(IF(OR(HLOOKUP($A716,#REF!,14,FALSE)&gt;2,HLOOKUP($A716,#REF!,14,FALSE)&lt;-2),"",#REF!),"")</f>
        <v/>
      </c>
      <c r="Q716" t="str">
        <f>IFERROR(IF(OR(HLOOKUP($A716,#REF!,15,FALSE)&gt;2,HLOOKUP($A716,#REF!,15,FALSE)&lt;-2),"",#REF!),"")</f>
        <v/>
      </c>
      <c r="R716" t="str">
        <f>IFERROR(IF(OR(HLOOKUP($A716,#REF!,16,FALSE)&gt;2,HLOOKUP($A716,#REF!,16,FALSE)&lt;-2),"",#REF!),"")</f>
        <v/>
      </c>
      <c r="S716" t="str">
        <f>IFERROR(IF(OR(HLOOKUP($A716,#REF!,17,FALSE)&gt;2,HLOOKUP($A716,#REF!,17,FALSE)&lt;-2),"",#REF!),"")</f>
        <v/>
      </c>
      <c r="T716" t="str">
        <f>IFERROR(IF(OR(HLOOKUP($A716,#REF!,18,FALSE)&gt;2,HLOOKUP($A716,#REF!,18,FALSE)&lt;-2),"",#REF!),"")</f>
        <v/>
      </c>
      <c r="U716" t="str">
        <f>IFERROR(IF(OR(HLOOKUP($A716,#REF!,19,FALSE)&gt;2,HLOOKUP($A716,#REF!,19,FALSE)&lt;-2),"",#REF!),"")</f>
        <v/>
      </c>
      <c r="V716">
        <f t="shared" si="44"/>
        <v>1</v>
      </c>
      <c r="W716" t="str">
        <f t="shared" si="45"/>
        <v/>
      </c>
      <c r="X716" t="str">
        <f t="shared" si="46"/>
        <v/>
      </c>
      <c r="Y716" t="str">
        <f t="shared" si="47"/>
        <v/>
      </c>
    </row>
    <row r="717" spans="1:25" x14ac:dyDescent="0.35">
      <c r="A717">
        <v>725</v>
      </c>
      <c r="B717" t="s">
        <v>355</v>
      </c>
      <c r="C717">
        <v>64200</v>
      </c>
      <c r="D717">
        <v>709</v>
      </c>
      <c r="E717" t="str">
        <f>IFERROR(IF(OR(HLOOKUP($A717,#REF!,3,FALSE)&gt;2,HLOOKUP(A717,#REF!,3,FALSE)&lt;-2),"",#REF!),"")</f>
        <v/>
      </c>
      <c r="F717" t="str">
        <f>IFERROR(IF(OR(HLOOKUP($A717,#REF!,4,FALSE)&gt;2,HLOOKUP($A717,#REF!,4,FALSE)&lt;-2),"",#REF!),"")</f>
        <v/>
      </c>
      <c r="G717" t="str">
        <f>IFERROR(IF(OR(HLOOKUP($A717,#REF!,5,FALSE)&gt;2,HLOOKUP($A717,#REF!,5,FALSE)&lt;-2),"",#REF!),"")</f>
        <v/>
      </c>
      <c r="H717" t="str">
        <f>IFERROR(IF(OR(HLOOKUP($A717,#REF!,6,FALSE)&gt;2,HLOOKUP($A717,#REF!,6,FALSE)&lt;-2),"",#REF!),"")</f>
        <v/>
      </c>
      <c r="I717" t="str">
        <f>IFERROR(IF(OR(HLOOKUP($A717,#REF!,7,FALSE)&gt;2,HLOOKUP($A717,#REF!,7,FALSE)&lt;-2),"",#REF!),"")</f>
        <v/>
      </c>
      <c r="J717" t="str">
        <f>IFERROR(IF(OR(HLOOKUP($A717,#REF!,8,FALSE)&gt;2,HLOOKUP($A717,#REF!,8,FALSE)&lt;-2),"",#REF!),"")</f>
        <v/>
      </c>
      <c r="K717" t="str">
        <f>IFERROR(IF(OR(HLOOKUP($A717,#REF!,9,FALSE)&gt;2,HLOOKUP($A717,#REF!,9,FALSE)&lt;-2),"",#REF!),"")</f>
        <v/>
      </c>
      <c r="L717" t="str">
        <f>IFERROR(IF(OR(HLOOKUP($A717,#REF!,10,FALSE)&gt;2,HLOOKUP($A717,#REF!,10,FALSE)&lt;-2),"",#REF!),"")</f>
        <v/>
      </c>
      <c r="M717" t="str">
        <f>IFERROR(IF(OR(HLOOKUP($A717,#REF!,11,FALSE)&gt;2,HLOOKUP($A717,#REF!,11,FALSE)&lt;-2),"",#REF!),"")</f>
        <v/>
      </c>
      <c r="N717" t="str">
        <f>IFERROR(IF(OR(HLOOKUP($A717,#REF!,12,FALSE)&gt;2,HLOOKUP($A717,#REF!,12,FALSE)&lt;-2),"",#REF!),"")</f>
        <v/>
      </c>
      <c r="O717" t="str">
        <f>IFERROR(IF(OR(HLOOKUP($A717,#REF!,13,FALSE)&gt;2,HLOOKUP($A717,#REF!,13,FALSE)&lt;-2),"",#REF!),"")</f>
        <v/>
      </c>
      <c r="P717" t="str">
        <f>IFERROR(IF(OR(HLOOKUP($A717,#REF!,14,FALSE)&gt;2,HLOOKUP($A717,#REF!,14,FALSE)&lt;-2),"",#REF!),"")</f>
        <v/>
      </c>
      <c r="Q717" t="str">
        <f>IFERROR(IF(OR(HLOOKUP($A717,#REF!,15,FALSE)&gt;2,HLOOKUP($A717,#REF!,15,FALSE)&lt;-2),"",#REF!),"")</f>
        <v/>
      </c>
      <c r="R717" t="str">
        <f>IFERROR(IF(OR(HLOOKUP($A717,#REF!,16,FALSE)&gt;2,HLOOKUP($A717,#REF!,16,FALSE)&lt;-2),"",#REF!),"")</f>
        <v/>
      </c>
      <c r="S717" t="str">
        <f>IFERROR(IF(OR(HLOOKUP($A717,#REF!,17,FALSE)&gt;2,HLOOKUP($A717,#REF!,17,FALSE)&lt;-2),"",#REF!),"")</f>
        <v/>
      </c>
      <c r="T717" t="str">
        <f>IFERROR(IF(OR(HLOOKUP($A717,#REF!,18,FALSE)&gt;2,HLOOKUP($A717,#REF!,18,FALSE)&lt;-2),"",#REF!),"")</f>
        <v/>
      </c>
      <c r="U717" t="str">
        <f>IFERROR(IF(OR(HLOOKUP($A717,#REF!,19,FALSE)&gt;2,HLOOKUP($A717,#REF!,19,FALSE)&lt;-2),"",#REF!),"")</f>
        <v/>
      </c>
      <c r="V717">
        <f t="shared" si="44"/>
        <v>1</v>
      </c>
      <c r="W717" t="str">
        <f t="shared" si="45"/>
        <v/>
      </c>
      <c r="X717" t="str">
        <f t="shared" si="46"/>
        <v/>
      </c>
      <c r="Y717" t="str">
        <f t="shared" si="47"/>
        <v/>
      </c>
    </row>
    <row r="718" spans="1:25" x14ac:dyDescent="0.35">
      <c r="A718">
        <v>726</v>
      </c>
      <c r="B718" t="s">
        <v>356</v>
      </c>
      <c r="C718">
        <v>39300</v>
      </c>
      <c r="D718">
        <v>1080</v>
      </c>
      <c r="E718" t="str">
        <f>IFERROR(IF(OR(HLOOKUP($A718,#REF!,3,FALSE)&gt;2,HLOOKUP(A718,#REF!,3,FALSE)&lt;-2),"",#REF!),"")</f>
        <v/>
      </c>
      <c r="F718" t="str">
        <f>IFERROR(IF(OR(HLOOKUP($A718,#REF!,4,FALSE)&gt;2,HLOOKUP($A718,#REF!,4,FALSE)&lt;-2),"",#REF!),"")</f>
        <v/>
      </c>
      <c r="G718" t="str">
        <f>IFERROR(IF(OR(HLOOKUP($A718,#REF!,5,FALSE)&gt;2,HLOOKUP($A718,#REF!,5,FALSE)&lt;-2),"",#REF!),"")</f>
        <v/>
      </c>
      <c r="H718" t="str">
        <f>IFERROR(IF(OR(HLOOKUP($A718,#REF!,6,FALSE)&gt;2,HLOOKUP($A718,#REF!,6,FALSE)&lt;-2),"",#REF!),"")</f>
        <v/>
      </c>
      <c r="I718" t="str">
        <f>IFERROR(IF(OR(HLOOKUP($A718,#REF!,7,FALSE)&gt;2,HLOOKUP($A718,#REF!,7,FALSE)&lt;-2),"",#REF!),"")</f>
        <v/>
      </c>
      <c r="J718" t="str">
        <f>IFERROR(IF(OR(HLOOKUP($A718,#REF!,8,FALSE)&gt;2,HLOOKUP($A718,#REF!,8,FALSE)&lt;-2),"",#REF!),"")</f>
        <v/>
      </c>
      <c r="K718" t="str">
        <f>IFERROR(IF(OR(HLOOKUP($A718,#REF!,9,FALSE)&gt;2,HLOOKUP($A718,#REF!,9,FALSE)&lt;-2),"",#REF!),"")</f>
        <v/>
      </c>
      <c r="L718" t="str">
        <f>IFERROR(IF(OR(HLOOKUP($A718,#REF!,10,FALSE)&gt;2,HLOOKUP($A718,#REF!,10,FALSE)&lt;-2),"",#REF!),"")</f>
        <v/>
      </c>
      <c r="M718" t="str">
        <f>IFERROR(IF(OR(HLOOKUP($A718,#REF!,11,FALSE)&gt;2,HLOOKUP($A718,#REF!,11,FALSE)&lt;-2),"",#REF!),"")</f>
        <v/>
      </c>
      <c r="N718" t="str">
        <f>IFERROR(IF(OR(HLOOKUP($A718,#REF!,12,FALSE)&gt;2,HLOOKUP($A718,#REF!,12,FALSE)&lt;-2),"",#REF!),"")</f>
        <v/>
      </c>
      <c r="O718" t="str">
        <f>IFERROR(IF(OR(HLOOKUP($A718,#REF!,13,FALSE)&gt;2,HLOOKUP($A718,#REF!,13,FALSE)&lt;-2),"",#REF!),"")</f>
        <v/>
      </c>
      <c r="P718" t="str">
        <f>IFERROR(IF(OR(HLOOKUP($A718,#REF!,14,FALSE)&gt;2,HLOOKUP($A718,#REF!,14,FALSE)&lt;-2),"",#REF!),"")</f>
        <v/>
      </c>
      <c r="Q718" t="str">
        <f>IFERROR(IF(OR(HLOOKUP($A718,#REF!,15,FALSE)&gt;2,HLOOKUP($A718,#REF!,15,FALSE)&lt;-2),"",#REF!),"")</f>
        <v/>
      </c>
      <c r="R718" t="str">
        <f>IFERROR(IF(OR(HLOOKUP($A718,#REF!,16,FALSE)&gt;2,HLOOKUP($A718,#REF!,16,FALSE)&lt;-2),"",#REF!),"")</f>
        <v/>
      </c>
      <c r="S718" t="str">
        <f>IFERROR(IF(OR(HLOOKUP($A718,#REF!,17,FALSE)&gt;2,HLOOKUP($A718,#REF!,17,FALSE)&lt;-2),"",#REF!),"")</f>
        <v/>
      </c>
      <c r="T718" t="str">
        <f>IFERROR(IF(OR(HLOOKUP($A718,#REF!,18,FALSE)&gt;2,HLOOKUP($A718,#REF!,18,FALSE)&lt;-2),"",#REF!),"")</f>
        <v/>
      </c>
      <c r="U718" t="str">
        <f>IFERROR(IF(OR(HLOOKUP($A718,#REF!,19,FALSE)&gt;2,HLOOKUP($A718,#REF!,19,FALSE)&lt;-2),"",#REF!),"")</f>
        <v/>
      </c>
      <c r="V718">
        <f t="shared" si="44"/>
        <v>1</v>
      </c>
      <c r="W718" t="str">
        <f t="shared" si="45"/>
        <v/>
      </c>
      <c r="X718" t="str">
        <f t="shared" si="46"/>
        <v/>
      </c>
      <c r="Y718" t="str">
        <f t="shared" si="47"/>
        <v/>
      </c>
    </row>
    <row r="719" spans="1:25" x14ac:dyDescent="0.35">
      <c r="A719">
        <v>727</v>
      </c>
      <c r="B719" t="s">
        <v>965</v>
      </c>
      <c r="C719">
        <v>43400</v>
      </c>
      <c r="D719">
        <v>926</v>
      </c>
      <c r="E719" t="str">
        <f>IFERROR(IF(OR(HLOOKUP($A719,#REF!,3,FALSE)&gt;2,HLOOKUP(A719,#REF!,3,FALSE)&lt;-2),"",#REF!),"")</f>
        <v/>
      </c>
      <c r="F719" t="str">
        <f>IFERROR(IF(OR(HLOOKUP($A719,#REF!,4,FALSE)&gt;2,HLOOKUP($A719,#REF!,4,FALSE)&lt;-2),"",#REF!),"")</f>
        <v/>
      </c>
      <c r="G719" t="str">
        <f>IFERROR(IF(OR(HLOOKUP($A719,#REF!,5,FALSE)&gt;2,HLOOKUP($A719,#REF!,5,FALSE)&lt;-2),"",#REF!),"")</f>
        <v/>
      </c>
      <c r="H719" t="str">
        <f>IFERROR(IF(OR(HLOOKUP($A719,#REF!,6,FALSE)&gt;2,HLOOKUP($A719,#REF!,6,FALSE)&lt;-2),"",#REF!),"")</f>
        <v/>
      </c>
      <c r="I719" t="str">
        <f>IFERROR(IF(OR(HLOOKUP($A719,#REF!,7,FALSE)&gt;2,HLOOKUP($A719,#REF!,7,FALSE)&lt;-2),"",#REF!),"")</f>
        <v/>
      </c>
      <c r="J719" t="str">
        <f>IFERROR(IF(OR(HLOOKUP($A719,#REF!,8,FALSE)&gt;2,HLOOKUP($A719,#REF!,8,FALSE)&lt;-2),"",#REF!),"")</f>
        <v/>
      </c>
      <c r="K719" t="str">
        <f>IFERROR(IF(OR(HLOOKUP($A719,#REF!,9,FALSE)&gt;2,HLOOKUP($A719,#REF!,9,FALSE)&lt;-2),"",#REF!),"")</f>
        <v/>
      </c>
      <c r="L719" t="str">
        <f>IFERROR(IF(OR(HLOOKUP($A719,#REF!,10,FALSE)&gt;2,HLOOKUP($A719,#REF!,10,FALSE)&lt;-2),"",#REF!),"")</f>
        <v/>
      </c>
      <c r="M719" t="str">
        <f>IFERROR(IF(OR(HLOOKUP($A719,#REF!,11,FALSE)&gt;2,HLOOKUP($A719,#REF!,11,FALSE)&lt;-2),"",#REF!),"")</f>
        <v/>
      </c>
      <c r="N719" t="str">
        <f>IFERROR(IF(OR(HLOOKUP($A719,#REF!,12,FALSE)&gt;2,HLOOKUP($A719,#REF!,12,FALSE)&lt;-2),"",#REF!),"")</f>
        <v/>
      </c>
      <c r="O719" t="str">
        <f>IFERROR(IF(OR(HLOOKUP($A719,#REF!,13,FALSE)&gt;2,HLOOKUP($A719,#REF!,13,FALSE)&lt;-2),"",#REF!),"")</f>
        <v/>
      </c>
      <c r="P719" t="str">
        <f>IFERROR(IF(OR(HLOOKUP($A719,#REF!,14,FALSE)&gt;2,HLOOKUP($A719,#REF!,14,FALSE)&lt;-2),"",#REF!),"")</f>
        <v/>
      </c>
      <c r="Q719" t="str">
        <f>IFERROR(IF(OR(HLOOKUP($A719,#REF!,15,FALSE)&gt;2,HLOOKUP($A719,#REF!,15,FALSE)&lt;-2),"",#REF!),"")</f>
        <v/>
      </c>
      <c r="R719" t="str">
        <f>IFERROR(IF(OR(HLOOKUP($A719,#REF!,16,FALSE)&gt;2,HLOOKUP($A719,#REF!,16,FALSE)&lt;-2),"",#REF!),"")</f>
        <v/>
      </c>
      <c r="S719" t="str">
        <f>IFERROR(IF(OR(HLOOKUP($A719,#REF!,17,FALSE)&gt;2,HLOOKUP($A719,#REF!,17,FALSE)&lt;-2),"",#REF!),"")</f>
        <v/>
      </c>
      <c r="T719" t="str">
        <f>IFERROR(IF(OR(HLOOKUP($A719,#REF!,18,FALSE)&gt;2,HLOOKUP($A719,#REF!,18,FALSE)&lt;-2),"",#REF!),"")</f>
        <v/>
      </c>
      <c r="U719" t="str">
        <f>IFERROR(IF(OR(HLOOKUP($A719,#REF!,19,FALSE)&gt;2,HLOOKUP($A719,#REF!,19,FALSE)&lt;-2),"",#REF!),"")</f>
        <v/>
      </c>
      <c r="V719">
        <f t="shared" si="44"/>
        <v>1</v>
      </c>
      <c r="W719" t="str">
        <f t="shared" si="45"/>
        <v/>
      </c>
      <c r="X719" t="str">
        <f t="shared" si="46"/>
        <v/>
      </c>
      <c r="Y719" t="str">
        <f t="shared" si="47"/>
        <v/>
      </c>
    </row>
    <row r="720" spans="1:25" x14ac:dyDescent="0.35">
      <c r="A720">
        <v>728</v>
      </c>
      <c r="B720" t="s">
        <v>357</v>
      </c>
      <c r="C720">
        <v>105900</v>
      </c>
      <c r="D720">
        <v>960</v>
      </c>
      <c r="E720" t="str">
        <f>IFERROR(IF(OR(HLOOKUP($A720,#REF!,3,FALSE)&gt;2,HLOOKUP(A720,#REF!,3,FALSE)&lt;-2),"",#REF!),"")</f>
        <v/>
      </c>
      <c r="F720" t="str">
        <f>IFERROR(IF(OR(HLOOKUP($A720,#REF!,4,FALSE)&gt;2,HLOOKUP($A720,#REF!,4,FALSE)&lt;-2),"",#REF!),"")</f>
        <v/>
      </c>
      <c r="G720" t="str">
        <f>IFERROR(IF(OR(HLOOKUP($A720,#REF!,5,FALSE)&gt;2,HLOOKUP($A720,#REF!,5,FALSE)&lt;-2),"",#REF!),"")</f>
        <v/>
      </c>
      <c r="H720" t="str">
        <f>IFERROR(IF(OR(HLOOKUP($A720,#REF!,6,FALSE)&gt;2,HLOOKUP($A720,#REF!,6,FALSE)&lt;-2),"",#REF!),"")</f>
        <v/>
      </c>
      <c r="I720" t="str">
        <f>IFERROR(IF(OR(HLOOKUP($A720,#REF!,7,FALSE)&gt;2,HLOOKUP($A720,#REF!,7,FALSE)&lt;-2),"",#REF!),"")</f>
        <v/>
      </c>
      <c r="J720" t="str">
        <f>IFERROR(IF(OR(HLOOKUP($A720,#REF!,8,FALSE)&gt;2,HLOOKUP($A720,#REF!,8,FALSE)&lt;-2),"",#REF!),"")</f>
        <v/>
      </c>
      <c r="K720" t="str">
        <f>IFERROR(IF(OR(HLOOKUP($A720,#REF!,9,FALSE)&gt;2,HLOOKUP($A720,#REF!,9,FALSE)&lt;-2),"",#REF!),"")</f>
        <v/>
      </c>
      <c r="L720" t="str">
        <f>IFERROR(IF(OR(HLOOKUP($A720,#REF!,10,FALSE)&gt;2,HLOOKUP($A720,#REF!,10,FALSE)&lt;-2),"",#REF!),"")</f>
        <v/>
      </c>
      <c r="M720" t="str">
        <f>IFERROR(IF(OR(HLOOKUP($A720,#REF!,11,FALSE)&gt;2,HLOOKUP($A720,#REF!,11,FALSE)&lt;-2),"",#REF!),"")</f>
        <v/>
      </c>
      <c r="N720" t="str">
        <f>IFERROR(IF(OR(HLOOKUP($A720,#REF!,12,FALSE)&gt;2,HLOOKUP($A720,#REF!,12,FALSE)&lt;-2),"",#REF!),"")</f>
        <v/>
      </c>
      <c r="O720" t="str">
        <f>IFERROR(IF(OR(HLOOKUP($A720,#REF!,13,FALSE)&gt;2,HLOOKUP($A720,#REF!,13,FALSE)&lt;-2),"",#REF!),"")</f>
        <v/>
      </c>
      <c r="P720" t="str">
        <f>IFERROR(IF(OR(HLOOKUP($A720,#REF!,14,FALSE)&gt;2,HLOOKUP($A720,#REF!,14,FALSE)&lt;-2),"",#REF!),"")</f>
        <v/>
      </c>
      <c r="Q720" t="str">
        <f>IFERROR(IF(OR(HLOOKUP($A720,#REF!,15,FALSE)&gt;2,HLOOKUP($A720,#REF!,15,FALSE)&lt;-2),"",#REF!),"")</f>
        <v/>
      </c>
      <c r="R720" t="str">
        <f>IFERROR(IF(OR(HLOOKUP($A720,#REF!,16,FALSE)&gt;2,HLOOKUP($A720,#REF!,16,FALSE)&lt;-2),"",#REF!),"")</f>
        <v/>
      </c>
      <c r="S720" t="str">
        <f>IFERROR(IF(OR(HLOOKUP($A720,#REF!,17,FALSE)&gt;2,HLOOKUP($A720,#REF!,17,FALSE)&lt;-2),"",#REF!),"")</f>
        <v/>
      </c>
      <c r="T720" t="str">
        <f>IFERROR(IF(OR(HLOOKUP($A720,#REF!,18,FALSE)&gt;2,HLOOKUP($A720,#REF!,18,FALSE)&lt;-2),"",#REF!),"")</f>
        <v/>
      </c>
      <c r="U720" t="str">
        <f>IFERROR(IF(OR(HLOOKUP($A720,#REF!,19,FALSE)&gt;2,HLOOKUP($A720,#REF!,19,FALSE)&lt;-2),"",#REF!),"")</f>
        <v/>
      </c>
      <c r="V720">
        <f t="shared" si="44"/>
        <v>1</v>
      </c>
      <c r="W720" t="str">
        <f t="shared" si="45"/>
        <v/>
      </c>
      <c r="X720" t="str">
        <f t="shared" si="46"/>
        <v/>
      </c>
      <c r="Y720" t="str">
        <f t="shared" si="47"/>
        <v/>
      </c>
    </row>
    <row r="721" spans="1:25" x14ac:dyDescent="0.35">
      <c r="A721">
        <v>729</v>
      </c>
      <c r="B721" t="s">
        <v>358</v>
      </c>
      <c r="C721">
        <v>28500</v>
      </c>
      <c r="D721">
        <v>541</v>
      </c>
      <c r="E721" t="str">
        <f>IFERROR(IF(OR(HLOOKUP($A721,#REF!,3,FALSE)&gt;2,HLOOKUP(A721,#REF!,3,FALSE)&lt;-2),"",#REF!),"")</f>
        <v/>
      </c>
      <c r="F721" t="str">
        <f>IFERROR(IF(OR(HLOOKUP($A721,#REF!,4,FALSE)&gt;2,HLOOKUP($A721,#REF!,4,FALSE)&lt;-2),"",#REF!),"")</f>
        <v/>
      </c>
      <c r="G721" t="str">
        <f>IFERROR(IF(OR(HLOOKUP($A721,#REF!,5,FALSE)&gt;2,HLOOKUP($A721,#REF!,5,FALSE)&lt;-2),"",#REF!),"")</f>
        <v/>
      </c>
      <c r="H721" t="str">
        <f>IFERROR(IF(OR(HLOOKUP($A721,#REF!,6,FALSE)&gt;2,HLOOKUP($A721,#REF!,6,FALSE)&lt;-2),"",#REF!),"")</f>
        <v/>
      </c>
      <c r="I721" t="str">
        <f>IFERROR(IF(OR(HLOOKUP($A721,#REF!,7,FALSE)&gt;2,HLOOKUP($A721,#REF!,7,FALSE)&lt;-2),"",#REF!),"")</f>
        <v/>
      </c>
      <c r="J721" t="str">
        <f>IFERROR(IF(OR(HLOOKUP($A721,#REF!,8,FALSE)&gt;2,HLOOKUP($A721,#REF!,8,FALSE)&lt;-2),"",#REF!),"")</f>
        <v/>
      </c>
      <c r="K721" t="str">
        <f>IFERROR(IF(OR(HLOOKUP($A721,#REF!,9,FALSE)&gt;2,HLOOKUP($A721,#REF!,9,FALSE)&lt;-2),"",#REF!),"")</f>
        <v/>
      </c>
      <c r="L721" t="str">
        <f>IFERROR(IF(OR(HLOOKUP($A721,#REF!,10,FALSE)&gt;2,HLOOKUP($A721,#REF!,10,FALSE)&lt;-2),"",#REF!),"")</f>
        <v/>
      </c>
      <c r="M721" t="str">
        <f>IFERROR(IF(OR(HLOOKUP($A721,#REF!,11,FALSE)&gt;2,HLOOKUP($A721,#REF!,11,FALSE)&lt;-2),"",#REF!),"")</f>
        <v/>
      </c>
      <c r="N721" t="str">
        <f>IFERROR(IF(OR(HLOOKUP($A721,#REF!,12,FALSE)&gt;2,HLOOKUP($A721,#REF!,12,FALSE)&lt;-2),"",#REF!),"")</f>
        <v/>
      </c>
      <c r="O721" t="str">
        <f>IFERROR(IF(OR(HLOOKUP($A721,#REF!,13,FALSE)&gt;2,HLOOKUP($A721,#REF!,13,FALSE)&lt;-2),"",#REF!),"")</f>
        <v/>
      </c>
      <c r="P721" t="str">
        <f>IFERROR(IF(OR(HLOOKUP($A721,#REF!,14,FALSE)&gt;2,HLOOKUP($A721,#REF!,14,FALSE)&lt;-2),"",#REF!),"")</f>
        <v/>
      </c>
      <c r="Q721" t="str">
        <f>IFERROR(IF(OR(HLOOKUP($A721,#REF!,15,FALSE)&gt;2,HLOOKUP($A721,#REF!,15,FALSE)&lt;-2),"",#REF!),"")</f>
        <v/>
      </c>
      <c r="R721" t="str">
        <f>IFERROR(IF(OR(HLOOKUP($A721,#REF!,16,FALSE)&gt;2,HLOOKUP($A721,#REF!,16,FALSE)&lt;-2),"",#REF!),"")</f>
        <v/>
      </c>
      <c r="S721" t="str">
        <f>IFERROR(IF(OR(HLOOKUP($A721,#REF!,17,FALSE)&gt;2,HLOOKUP($A721,#REF!,17,FALSE)&lt;-2),"",#REF!),"")</f>
        <v/>
      </c>
      <c r="T721" t="str">
        <f>IFERROR(IF(OR(HLOOKUP($A721,#REF!,18,FALSE)&gt;2,HLOOKUP($A721,#REF!,18,FALSE)&lt;-2),"",#REF!),"")</f>
        <v/>
      </c>
      <c r="U721" t="str">
        <f>IFERROR(IF(OR(HLOOKUP($A721,#REF!,19,FALSE)&gt;2,HLOOKUP($A721,#REF!,19,FALSE)&lt;-2),"",#REF!),"")</f>
        <v/>
      </c>
      <c r="V721">
        <f t="shared" si="44"/>
        <v>1</v>
      </c>
      <c r="W721" t="str">
        <f t="shared" si="45"/>
        <v/>
      </c>
      <c r="X721" t="str">
        <f t="shared" si="46"/>
        <v/>
      </c>
      <c r="Y721" t="str">
        <f t="shared" si="47"/>
        <v/>
      </c>
    </row>
    <row r="722" spans="1:25" x14ac:dyDescent="0.35">
      <c r="A722">
        <v>730</v>
      </c>
      <c r="B722" t="s">
        <v>966</v>
      </c>
      <c r="C722">
        <v>115400</v>
      </c>
      <c r="D722">
        <v>1083</v>
      </c>
      <c r="E722" t="str">
        <f>IFERROR(IF(OR(HLOOKUP($A722,#REF!,3,FALSE)&gt;2,HLOOKUP(A722,#REF!,3,FALSE)&lt;-2),"",#REF!),"")</f>
        <v/>
      </c>
      <c r="F722" t="str">
        <f>IFERROR(IF(OR(HLOOKUP($A722,#REF!,4,FALSE)&gt;2,HLOOKUP($A722,#REF!,4,FALSE)&lt;-2),"",#REF!),"")</f>
        <v/>
      </c>
      <c r="G722" t="str">
        <f>IFERROR(IF(OR(HLOOKUP($A722,#REF!,5,FALSE)&gt;2,HLOOKUP($A722,#REF!,5,FALSE)&lt;-2),"",#REF!),"")</f>
        <v/>
      </c>
      <c r="H722" t="str">
        <f>IFERROR(IF(OR(HLOOKUP($A722,#REF!,6,FALSE)&gt;2,HLOOKUP($A722,#REF!,6,FALSE)&lt;-2),"",#REF!),"")</f>
        <v/>
      </c>
      <c r="I722" t="str">
        <f>IFERROR(IF(OR(HLOOKUP($A722,#REF!,7,FALSE)&gt;2,HLOOKUP($A722,#REF!,7,FALSE)&lt;-2),"",#REF!),"")</f>
        <v/>
      </c>
      <c r="J722" t="str">
        <f>IFERROR(IF(OR(HLOOKUP($A722,#REF!,8,FALSE)&gt;2,HLOOKUP($A722,#REF!,8,FALSE)&lt;-2),"",#REF!),"")</f>
        <v/>
      </c>
      <c r="K722" t="str">
        <f>IFERROR(IF(OR(HLOOKUP($A722,#REF!,9,FALSE)&gt;2,HLOOKUP($A722,#REF!,9,FALSE)&lt;-2),"",#REF!),"")</f>
        <v/>
      </c>
      <c r="L722" t="str">
        <f>IFERROR(IF(OR(HLOOKUP($A722,#REF!,10,FALSE)&gt;2,HLOOKUP($A722,#REF!,10,FALSE)&lt;-2),"",#REF!),"")</f>
        <v/>
      </c>
      <c r="M722" t="str">
        <f>IFERROR(IF(OR(HLOOKUP($A722,#REF!,11,FALSE)&gt;2,HLOOKUP($A722,#REF!,11,FALSE)&lt;-2),"",#REF!),"")</f>
        <v/>
      </c>
      <c r="N722" t="str">
        <f>IFERROR(IF(OR(HLOOKUP($A722,#REF!,12,FALSE)&gt;2,HLOOKUP($A722,#REF!,12,FALSE)&lt;-2),"",#REF!),"")</f>
        <v/>
      </c>
      <c r="O722" t="str">
        <f>IFERROR(IF(OR(HLOOKUP($A722,#REF!,13,FALSE)&gt;2,HLOOKUP($A722,#REF!,13,FALSE)&lt;-2),"",#REF!),"")</f>
        <v/>
      </c>
      <c r="P722" t="str">
        <f>IFERROR(IF(OR(HLOOKUP($A722,#REF!,14,FALSE)&gt;2,HLOOKUP($A722,#REF!,14,FALSE)&lt;-2),"",#REF!),"")</f>
        <v/>
      </c>
      <c r="Q722" t="str">
        <f>IFERROR(IF(OR(HLOOKUP($A722,#REF!,15,FALSE)&gt;2,HLOOKUP($A722,#REF!,15,FALSE)&lt;-2),"",#REF!),"")</f>
        <v/>
      </c>
      <c r="R722" t="str">
        <f>IFERROR(IF(OR(HLOOKUP($A722,#REF!,16,FALSE)&gt;2,HLOOKUP($A722,#REF!,16,FALSE)&lt;-2),"",#REF!),"")</f>
        <v/>
      </c>
      <c r="S722" t="str">
        <f>IFERROR(IF(OR(HLOOKUP($A722,#REF!,17,FALSE)&gt;2,HLOOKUP($A722,#REF!,17,FALSE)&lt;-2),"",#REF!),"")</f>
        <v/>
      </c>
      <c r="T722" t="str">
        <f>IFERROR(IF(OR(HLOOKUP($A722,#REF!,18,FALSE)&gt;2,HLOOKUP($A722,#REF!,18,FALSE)&lt;-2),"",#REF!),"")</f>
        <v/>
      </c>
      <c r="U722" t="str">
        <f>IFERROR(IF(OR(HLOOKUP($A722,#REF!,19,FALSE)&gt;2,HLOOKUP($A722,#REF!,19,FALSE)&lt;-2),"",#REF!),"")</f>
        <v/>
      </c>
      <c r="V722">
        <f t="shared" si="44"/>
        <v>1</v>
      </c>
      <c r="W722" t="str">
        <f t="shared" si="45"/>
        <v/>
      </c>
      <c r="X722" t="str">
        <f t="shared" si="46"/>
        <v/>
      </c>
      <c r="Y722" t="str">
        <f t="shared" si="47"/>
        <v/>
      </c>
    </row>
    <row r="723" spans="1:25" x14ac:dyDescent="0.35">
      <c r="A723">
        <v>731</v>
      </c>
      <c r="B723" t="s">
        <v>967</v>
      </c>
      <c r="C723">
        <v>22000</v>
      </c>
      <c r="D723">
        <v>714</v>
      </c>
      <c r="E723" t="str">
        <f>IFERROR(IF(OR(HLOOKUP($A723,#REF!,3,FALSE)&gt;2,HLOOKUP(A723,#REF!,3,FALSE)&lt;-2),"",#REF!),"")</f>
        <v/>
      </c>
      <c r="F723" t="str">
        <f>IFERROR(IF(OR(HLOOKUP($A723,#REF!,4,FALSE)&gt;2,HLOOKUP($A723,#REF!,4,FALSE)&lt;-2),"",#REF!),"")</f>
        <v/>
      </c>
      <c r="G723" t="str">
        <f>IFERROR(IF(OR(HLOOKUP($A723,#REF!,5,FALSE)&gt;2,HLOOKUP($A723,#REF!,5,FALSE)&lt;-2),"",#REF!),"")</f>
        <v/>
      </c>
      <c r="H723" t="str">
        <f>IFERROR(IF(OR(HLOOKUP($A723,#REF!,6,FALSE)&gt;2,HLOOKUP($A723,#REF!,6,FALSE)&lt;-2),"",#REF!),"")</f>
        <v/>
      </c>
      <c r="I723" t="str">
        <f>IFERROR(IF(OR(HLOOKUP($A723,#REF!,7,FALSE)&gt;2,HLOOKUP($A723,#REF!,7,FALSE)&lt;-2),"",#REF!),"")</f>
        <v/>
      </c>
      <c r="J723" t="str">
        <f>IFERROR(IF(OR(HLOOKUP($A723,#REF!,8,FALSE)&gt;2,HLOOKUP($A723,#REF!,8,FALSE)&lt;-2),"",#REF!),"")</f>
        <v/>
      </c>
      <c r="K723" t="str">
        <f>IFERROR(IF(OR(HLOOKUP($A723,#REF!,9,FALSE)&gt;2,HLOOKUP($A723,#REF!,9,FALSE)&lt;-2),"",#REF!),"")</f>
        <v/>
      </c>
      <c r="L723" t="str">
        <f>IFERROR(IF(OR(HLOOKUP($A723,#REF!,10,FALSE)&gt;2,HLOOKUP($A723,#REF!,10,FALSE)&lt;-2),"",#REF!),"")</f>
        <v/>
      </c>
      <c r="M723" t="str">
        <f>IFERROR(IF(OR(HLOOKUP($A723,#REF!,11,FALSE)&gt;2,HLOOKUP($A723,#REF!,11,FALSE)&lt;-2),"",#REF!),"")</f>
        <v/>
      </c>
      <c r="N723" t="str">
        <f>IFERROR(IF(OR(HLOOKUP($A723,#REF!,12,FALSE)&gt;2,HLOOKUP($A723,#REF!,12,FALSE)&lt;-2),"",#REF!),"")</f>
        <v/>
      </c>
      <c r="O723" t="str">
        <f>IFERROR(IF(OR(HLOOKUP($A723,#REF!,13,FALSE)&gt;2,HLOOKUP($A723,#REF!,13,FALSE)&lt;-2),"",#REF!),"")</f>
        <v/>
      </c>
      <c r="P723" t="str">
        <f>IFERROR(IF(OR(HLOOKUP($A723,#REF!,14,FALSE)&gt;2,HLOOKUP($A723,#REF!,14,FALSE)&lt;-2),"",#REF!),"")</f>
        <v/>
      </c>
      <c r="Q723" t="str">
        <f>IFERROR(IF(OR(HLOOKUP($A723,#REF!,15,FALSE)&gt;2,HLOOKUP($A723,#REF!,15,FALSE)&lt;-2),"",#REF!),"")</f>
        <v/>
      </c>
      <c r="R723" t="str">
        <f>IFERROR(IF(OR(HLOOKUP($A723,#REF!,16,FALSE)&gt;2,HLOOKUP($A723,#REF!,16,FALSE)&lt;-2),"",#REF!),"")</f>
        <v/>
      </c>
      <c r="S723" t="str">
        <f>IFERROR(IF(OR(HLOOKUP($A723,#REF!,17,FALSE)&gt;2,HLOOKUP($A723,#REF!,17,FALSE)&lt;-2),"",#REF!),"")</f>
        <v/>
      </c>
      <c r="T723" t="str">
        <f>IFERROR(IF(OR(HLOOKUP($A723,#REF!,18,FALSE)&gt;2,HLOOKUP($A723,#REF!,18,FALSE)&lt;-2),"",#REF!),"")</f>
        <v/>
      </c>
      <c r="U723" t="str">
        <f>IFERROR(IF(OR(HLOOKUP($A723,#REF!,19,FALSE)&gt;2,HLOOKUP($A723,#REF!,19,FALSE)&lt;-2),"",#REF!),"")</f>
        <v/>
      </c>
      <c r="V723">
        <f t="shared" si="44"/>
        <v>1</v>
      </c>
      <c r="W723" t="str">
        <f t="shared" si="45"/>
        <v/>
      </c>
      <c r="X723" t="str">
        <f t="shared" si="46"/>
        <v/>
      </c>
      <c r="Y723" t="str">
        <f t="shared" si="47"/>
        <v/>
      </c>
    </row>
    <row r="724" spans="1:25" x14ac:dyDescent="0.35">
      <c r="A724">
        <v>732</v>
      </c>
      <c r="B724" t="s">
        <v>968</v>
      </c>
      <c r="C724">
        <v>74900</v>
      </c>
      <c r="D724">
        <v>491</v>
      </c>
      <c r="E724" t="str">
        <f>IFERROR(IF(OR(HLOOKUP($A724,#REF!,3,FALSE)&gt;2,HLOOKUP(A724,#REF!,3,FALSE)&lt;-2),"",#REF!),"")</f>
        <v/>
      </c>
      <c r="F724" t="str">
        <f>IFERROR(IF(OR(HLOOKUP($A724,#REF!,4,FALSE)&gt;2,HLOOKUP($A724,#REF!,4,FALSE)&lt;-2),"",#REF!),"")</f>
        <v/>
      </c>
      <c r="G724" t="str">
        <f>IFERROR(IF(OR(HLOOKUP($A724,#REF!,5,FALSE)&gt;2,HLOOKUP($A724,#REF!,5,FALSE)&lt;-2),"",#REF!),"")</f>
        <v/>
      </c>
      <c r="H724" t="str">
        <f>IFERROR(IF(OR(HLOOKUP($A724,#REF!,6,FALSE)&gt;2,HLOOKUP($A724,#REF!,6,FALSE)&lt;-2),"",#REF!),"")</f>
        <v/>
      </c>
      <c r="I724" t="str">
        <f>IFERROR(IF(OR(HLOOKUP($A724,#REF!,7,FALSE)&gt;2,HLOOKUP($A724,#REF!,7,FALSE)&lt;-2),"",#REF!),"")</f>
        <v/>
      </c>
      <c r="J724" t="str">
        <f>IFERROR(IF(OR(HLOOKUP($A724,#REF!,8,FALSE)&gt;2,HLOOKUP($A724,#REF!,8,FALSE)&lt;-2),"",#REF!),"")</f>
        <v/>
      </c>
      <c r="K724" t="str">
        <f>IFERROR(IF(OR(HLOOKUP($A724,#REF!,9,FALSE)&gt;2,HLOOKUP($A724,#REF!,9,FALSE)&lt;-2),"",#REF!),"")</f>
        <v/>
      </c>
      <c r="L724" t="str">
        <f>IFERROR(IF(OR(HLOOKUP($A724,#REF!,10,FALSE)&gt;2,HLOOKUP($A724,#REF!,10,FALSE)&lt;-2),"",#REF!),"")</f>
        <v/>
      </c>
      <c r="M724" t="str">
        <f>IFERROR(IF(OR(HLOOKUP($A724,#REF!,11,FALSE)&gt;2,HLOOKUP($A724,#REF!,11,FALSE)&lt;-2),"",#REF!),"")</f>
        <v/>
      </c>
      <c r="N724" t="str">
        <f>IFERROR(IF(OR(HLOOKUP($A724,#REF!,12,FALSE)&gt;2,HLOOKUP($A724,#REF!,12,FALSE)&lt;-2),"",#REF!),"")</f>
        <v/>
      </c>
      <c r="O724" t="str">
        <f>IFERROR(IF(OR(HLOOKUP($A724,#REF!,13,FALSE)&gt;2,HLOOKUP($A724,#REF!,13,FALSE)&lt;-2),"",#REF!),"")</f>
        <v/>
      </c>
      <c r="P724" t="str">
        <f>IFERROR(IF(OR(HLOOKUP($A724,#REF!,14,FALSE)&gt;2,HLOOKUP($A724,#REF!,14,FALSE)&lt;-2),"",#REF!),"")</f>
        <v/>
      </c>
      <c r="Q724" t="str">
        <f>IFERROR(IF(OR(HLOOKUP($A724,#REF!,15,FALSE)&gt;2,HLOOKUP($A724,#REF!,15,FALSE)&lt;-2),"",#REF!),"")</f>
        <v/>
      </c>
      <c r="R724" t="str">
        <f>IFERROR(IF(OR(HLOOKUP($A724,#REF!,16,FALSE)&gt;2,HLOOKUP($A724,#REF!,16,FALSE)&lt;-2),"",#REF!),"")</f>
        <v/>
      </c>
      <c r="S724" t="str">
        <f>IFERROR(IF(OR(HLOOKUP($A724,#REF!,17,FALSE)&gt;2,HLOOKUP($A724,#REF!,17,FALSE)&lt;-2),"",#REF!),"")</f>
        <v/>
      </c>
      <c r="T724" t="str">
        <f>IFERROR(IF(OR(HLOOKUP($A724,#REF!,18,FALSE)&gt;2,HLOOKUP($A724,#REF!,18,FALSE)&lt;-2),"",#REF!),"")</f>
        <v/>
      </c>
      <c r="U724" t="str">
        <f>IFERROR(IF(OR(HLOOKUP($A724,#REF!,19,FALSE)&gt;2,HLOOKUP($A724,#REF!,19,FALSE)&lt;-2),"",#REF!),"")</f>
        <v/>
      </c>
      <c r="V724">
        <f t="shared" si="44"/>
        <v>1</v>
      </c>
      <c r="W724" t="str">
        <f t="shared" si="45"/>
        <v/>
      </c>
      <c r="X724" t="str">
        <f t="shared" si="46"/>
        <v/>
      </c>
      <c r="Y724" t="str">
        <f t="shared" si="47"/>
        <v/>
      </c>
    </row>
    <row r="725" spans="1:25" x14ac:dyDescent="0.35">
      <c r="A725">
        <v>733</v>
      </c>
      <c r="B725" t="s">
        <v>359</v>
      </c>
      <c r="C725">
        <v>64300</v>
      </c>
      <c r="D725">
        <v>709</v>
      </c>
      <c r="E725" t="str">
        <f>IFERROR(IF(OR(HLOOKUP($A725,#REF!,3,FALSE)&gt;2,HLOOKUP(A725,#REF!,3,FALSE)&lt;-2),"",#REF!),"")</f>
        <v/>
      </c>
      <c r="F725" t="str">
        <f>IFERROR(IF(OR(HLOOKUP($A725,#REF!,4,FALSE)&gt;2,HLOOKUP($A725,#REF!,4,FALSE)&lt;-2),"",#REF!),"")</f>
        <v/>
      </c>
      <c r="G725" t="str">
        <f>IFERROR(IF(OR(HLOOKUP($A725,#REF!,5,FALSE)&gt;2,HLOOKUP($A725,#REF!,5,FALSE)&lt;-2),"",#REF!),"")</f>
        <v/>
      </c>
      <c r="H725" t="str">
        <f>IFERROR(IF(OR(HLOOKUP($A725,#REF!,6,FALSE)&gt;2,HLOOKUP($A725,#REF!,6,FALSE)&lt;-2),"",#REF!),"")</f>
        <v/>
      </c>
      <c r="I725" t="str">
        <f>IFERROR(IF(OR(HLOOKUP($A725,#REF!,7,FALSE)&gt;2,HLOOKUP($A725,#REF!,7,FALSE)&lt;-2),"",#REF!),"")</f>
        <v/>
      </c>
      <c r="J725" t="str">
        <f>IFERROR(IF(OR(HLOOKUP($A725,#REF!,8,FALSE)&gt;2,HLOOKUP($A725,#REF!,8,FALSE)&lt;-2),"",#REF!),"")</f>
        <v/>
      </c>
      <c r="K725" t="str">
        <f>IFERROR(IF(OR(HLOOKUP($A725,#REF!,9,FALSE)&gt;2,HLOOKUP($A725,#REF!,9,FALSE)&lt;-2),"",#REF!),"")</f>
        <v/>
      </c>
      <c r="L725" t="str">
        <f>IFERROR(IF(OR(HLOOKUP($A725,#REF!,10,FALSE)&gt;2,HLOOKUP($A725,#REF!,10,FALSE)&lt;-2),"",#REF!),"")</f>
        <v/>
      </c>
      <c r="M725" t="str">
        <f>IFERROR(IF(OR(HLOOKUP($A725,#REF!,11,FALSE)&gt;2,HLOOKUP($A725,#REF!,11,FALSE)&lt;-2),"",#REF!),"")</f>
        <v/>
      </c>
      <c r="N725" t="str">
        <f>IFERROR(IF(OR(HLOOKUP($A725,#REF!,12,FALSE)&gt;2,HLOOKUP($A725,#REF!,12,FALSE)&lt;-2),"",#REF!),"")</f>
        <v/>
      </c>
      <c r="O725" t="str">
        <f>IFERROR(IF(OR(HLOOKUP($A725,#REF!,13,FALSE)&gt;2,HLOOKUP($A725,#REF!,13,FALSE)&lt;-2),"",#REF!),"")</f>
        <v/>
      </c>
      <c r="P725" t="str">
        <f>IFERROR(IF(OR(HLOOKUP($A725,#REF!,14,FALSE)&gt;2,HLOOKUP($A725,#REF!,14,FALSE)&lt;-2),"",#REF!),"")</f>
        <v/>
      </c>
      <c r="Q725" t="str">
        <f>IFERROR(IF(OR(HLOOKUP($A725,#REF!,15,FALSE)&gt;2,HLOOKUP($A725,#REF!,15,FALSE)&lt;-2),"",#REF!),"")</f>
        <v/>
      </c>
      <c r="R725" t="str">
        <f>IFERROR(IF(OR(HLOOKUP($A725,#REF!,16,FALSE)&gt;2,HLOOKUP($A725,#REF!,16,FALSE)&lt;-2),"",#REF!),"")</f>
        <v/>
      </c>
      <c r="S725" t="str">
        <f>IFERROR(IF(OR(HLOOKUP($A725,#REF!,17,FALSE)&gt;2,HLOOKUP($A725,#REF!,17,FALSE)&lt;-2),"",#REF!),"")</f>
        <v/>
      </c>
      <c r="T725" t="str">
        <f>IFERROR(IF(OR(HLOOKUP($A725,#REF!,18,FALSE)&gt;2,HLOOKUP($A725,#REF!,18,FALSE)&lt;-2),"",#REF!),"")</f>
        <v/>
      </c>
      <c r="U725" t="str">
        <f>IFERROR(IF(OR(HLOOKUP($A725,#REF!,19,FALSE)&gt;2,HLOOKUP($A725,#REF!,19,FALSE)&lt;-2),"",#REF!),"")</f>
        <v/>
      </c>
      <c r="V725">
        <f t="shared" si="44"/>
        <v>1</v>
      </c>
      <c r="W725" t="str">
        <f t="shared" si="45"/>
        <v/>
      </c>
      <c r="X725" t="str">
        <f t="shared" si="46"/>
        <v/>
      </c>
      <c r="Y725" t="str">
        <f t="shared" si="47"/>
        <v/>
      </c>
    </row>
    <row r="726" spans="1:25" x14ac:dyDescent="0.35">
      <c r="A726">
        <v>734</v>
      </c>
      <c r="B726" t="s">
        <v>969</v>
      </c>
      <c r="C726">
        <v>39800</v>
      </c>
      <c r="D726">
        <v>726</v>
      </c>
      <c r="E726" t="str">
        <f>IFERROR(IF(OR(HLOOKUP($A726,#REF!,3,FALSE)&gt;2,HLOOKUP(A726,#REF!,3,FALSE)&lt;-2),"",#REF!),"")</f>
        <v/>
      </c>
      <c r="F726" t="str">
        <f>IFERROR(IF(OR(HLOOKUP($A726,#REF!,4,FALSE)&gt;2,HLOOKUP($A726,#REF!,4,FALSE)&lt;-2),"",#REF!),"")</f>
        <v/>
      </c>
      <c r="G726" t="str">
        <f>IFERROR(IF(OR(HLOOKUP($A726,#REF!,5,FALSE)&gt;2,HLOOKUP($A726,#REF!,5,FALSE)&lt;-2),"",#REF!),"")</f>
        <v/>
      </c>
      <c r="H726" t="str">
        <f>IFERROR(IF(OR(HLOOKUP($A726,#REF!,6,FALSE)&gt;2,HLOOKUP($A726,#REF!,6,FALSE)&lt;-2),"",#REF!),"")</f>
        <v/>
      </c>
      <c r="I726" t="str">
        <f>IFERROR(IF(OR(HLOOKUP($A726,#REF!,7,FALSE)&gt;2,HLOOKUP($A726,#REF!,7,FALSE)&lt;-2),"",#REF!),"")</f>
        <v/>
      </c>
      <c r="J726" t="str">
        <f>IFERROR(IF(OR(HLOOKUP($A726,#REF!,8,FALSE)&gt;2,HLOOKUP($A726,#REF!,8,FALSE)&lt;-2),"",#REF!),"")</f>
        <v/>
      </c>
      <c r="K726" t="str">
        <f>IFERROR(IF(OR(HLOOKUP($A726,#REF!,9,FALSE)&gt;2,HLOOKUP($A726,#REF!,9,FALSE)&lt;-2),"",#REF!),"")</f>
        <v/>
      </c>
      <c r="L726" t="str">
        <f>IFERROR(IF(OR(HLOOKUP($A726,#REF!,10,FALSE)&gt;2,HLOOKUP($A726,#REF!,10,FALSE)&lt;-2),"",#REF!),"")</f>
        <v/>
      </c>
      <c r="M726" t="str">
        <f>IFERROR(IF(OR(HLOOKUP($A726,#REF!,11,FALSE)&gt;2,HLOOKUP($A726,#REF!,11,FALSE)&lt;-2),"",#REF!),"")</f>
        <v/>
      </c>
      <c r="N726" t="str">
        <f>IFERROR(IF(OR(HLOOKUP($A726,#REF!,12,FALSE)&gt;2,HLOOKUP($A726,#REF!,12,FALSE)&lt;-2),"",#REF!),"")</f>
        <v/>
      </c>
      <c r="O726" t="str">
        <f>IFERROR(IF(OR(HLOOKUP($A726,#REF!,13,FALSE)&gt;2,HLOOKUP($A726,#REF!,13,FALSE)&lt;-2),"",#REF!),"")</f>
        <v/>
      </c>
      <c r="P726" t="str">
        <f>IFERROR(IF(OR(HLOOKUP($A726,#REF!,14,FALSE)&gt;2,HLOOKUP($A726,#REF!,14,FALSE)&lt;-2),"",#REF!),"")</f>
        <v/>
      </c>
      <c r="Q726" t="str">
        <f>IFERROR(IF(OR(HLOOKUP($A726,#REF!,15,FALSE)&gt;2,HLOOKUP($A726,#REF!,15,FALSE)&lt;-2),"",#REF!),"")</f>
        <v/>
      </c>
      <c r="R726" t="str">
        <f>IFERROR(IF(OR(HLOOKUP($A726,#REF!,16,FALSE)&gt;2,HLOOKUP($A726,#REF!,16,FALSE)&lt;-2),"",#REF!),"")</f>
        <v/>
      </c>
      <c r="S726" t="str">
        <f>IFERROR(IF(OR(HLOOKUP($A726,#REF!,17,FALSE)&gt;2,HLOOKUP($A726,#REF!,17,FALSE)&lt;-2),"",#REF!),"")</f>
        <v/>
      </c>
      <c r="T726" t="str">
        <f>IFERROR(IF(OR(HLOOKUP($A726,#REF!,18,FALSE)&gt;2,HLOOKUP($A726,#REF!,18,FALSE)&lt;-2),"",#REF!),"")</f>
        <v/>
      </c>
      <c r="U726" t="str">
        <f>IFERROR(IF(OR(HLOOKUP($A726,#REF!,19,FALSE)&gt;2,HLOOKUP($A726,#REF!,19,FALSE)&lt;-2),"",#REF!),"")</f>
        <v/>
      </c>
      <c r="V726">
        <f t="shared" si="44"/>
        <v>1</v>
      </c>
      <c r="W726" t="str">
        <f t="shared" si="45"/>
        <v/>
      </c>
      <c r="X726" t="str">
        <f t="shared" si="46"/>
        <v/>
      </c>
      <c r="Y726" t="str">
        <f t="shared" si="47"/>
        <v/>
      </c>
    </row>
    <row r="727" spans="1:25" x14ac:dyDescent="0.35">
      <c r="A727">
        <v>735</v>
      </c>
      <c r="B727" t="s">
        <v>360</v>
      </c>
      <c r="C727">
        <v>11400</v>
      </c>
      <c r="D727">
        <v>1002</v>
      </c>
      <c r="E727" t="str">
        <f>IFERROR(IF(OR(HLOOKUP($A727,#REF!,3,FALSE)&gt;2,HLOOKUP(A727,#REF!,3,FALSE)&lt;-2),"",#REF!),"")</f>
        <v/>
      </c>
      <c r="F727" t="str">
        <f>IFERROR(IF(OR(HLOOKUP($A727,#REF!,4,FALSE)&gt;2,HLOOKUP($A727,#REF!,4,FALSE)&lt;-2),"",#REF!),"")</f>
        <v/>
      </c>
      <c r="G727" t="str">
        <f>IFERROR(IF(OR(HLOOKUP($A727,#REF!,5,FALSE)&gt;2,HLOOKUP($A727,#REF!,5,FALSE)&lt;-2),"",#REF!),"")</f>
        <v/>
      </c>
      <c r="H727" t="str">
        <f>IFERROR(IF(OR(HLOOKUP($A727,#REF!,6,FALSE)&gt;2,HLOOKUP($A727,#REF!,6,FALSE)&lt;-2),"",#REF!),"")</f>
        <v/>
      </c>
      <c r="I727" t="str">
        <f>IFERROR(IF(OR(HLOOKUP($A727,#REF!,7,FALSE)&gt;2,HLOOKUP($A727,#REF!,7,FALSE)&lt;-2),"",#REF!),"")</f>
        <v/>
      </c>
      <c r="J727" t="str">
        <f>IFERROR(IF(OR(HLOOKUP($A727,#REF!,8,FALSE)&gt;2,HLOOKUP($A727,#REF!,8,FALSE)&lt;-2),"",#REF!),"")</f>
        <v/>
      </c>
      <c r="K727" t="str">
        <f>IFERROR(IF(OR(HLOOKUP($A727,#REF!,9,FALSE)&gt;2,HLOOKUP($A727,#REF!,9,FALSE)&lt;-2),"",#REF!),"")</f>
        <v/>
      </c>
      <c r="L727" t="str">
        <f>IFERROR(IF(OR(HLOOKUP($A727,#REF!,10,FALSE)&gt;2,HLOOKUP($A727,#REF!,10,FALSE)&lt;-2),"",#REF!),"")</f>
        <v/>
      </c>
      <c r="M727" t="str">
        <f>IFERROR(IF(OR(HLOOKUP($A727,#REF!,11,FALSE)&gt;2,HLOOKUP($A727,#REF!,11,FALSE)&lt;-2),"",#REF!),"")</f>
        <v/>
      </c>
      <c r="N727" t="str">
        <f>IFERROR(IF(OR(HLOOKUP($A727,#REF!,12,FALSE)&gt;2,HLOOKUP($A727,#REF!,12,FALSE)&lt;-2),"",#REF!),"")</f>
        <v/>
      </c>
      <c r="O727" t="str">
        <f>IFERROR(IF(OR(HLOOKUP($A727,#REF!,13,FALSE)&gt;2,HLOOKUP($A727,#REF!,13,FALSE)&lt;-2),"",#REF!),"")</f>
        <v/>
      </c>
      <c r="P727" t="str">
        <f>IFERROR(IF(OR(HLOOKUP($A727,#REF!,14,FALSE)&gt;2,HLOOKUP($A727,#REF!,14,FALSE)&lt;-2),"",#REF!),"")</f>
        <v/>
      </c>
      <c r="Q727" t="str">
        <f>IFERROR(IF(OR(HLOOKUP($A727,#REF!,15,FALSE)&gt;2,HLOOKUP($A727,#REF!,15,FALSE)&lt;-2),"",#REF!),"")</f>
        <v/>
      </c>
      <c r="R727" t="str">
        <f>IFERROR(IF(OR(HLOOKUP($A727,#REF!,16,FALSE)&gt;2,HLOOKUP($A727,#REF!,16,FALSE)&lt;-2),"",#REF!),"")</f>
        <v/>
      </c>
      <c r="S727" t="str">
        <f>IFERROR(IF(OR(HLOOKUP($A727,#REF!,17,FALSE)&gt;2,HLOOKUP($A727,#REF!,17,FALSE)&lt;-2),"",#REF!),"")</f>
        <v/>
      </c>
      <c r="T727" t="str">
        <f>IFERROR(IF(OR(HLOOKUP($A727,#REF!,18,FALSE)&gt;2,HLOOKUP($A727,#REF!,18,FALSE)&lt;-2),"",#REF!),"")</f>
        <v/>
      </c>
      <c r="U727" t="str">
        <f>IFERROR(IF(OR(HLOOKUP($A727,#REF!,19,FALSE)&gt;2,HLOOKUP($A727,#REF!,19,FALSE)&lt;-2),"",#REF!),"")</f>
        <v/>
      </c>
      <c r="V727">
        <f t="shared" si="44"/>
        <v>1</v>
      </c>
      <c r="W727" t="str">
        <f t="shared" si="45"/>
        <v/>
      </c>
      <c r="X727" t="str">
        <f t="shared" si="46"/>
        <v/>
      </c>
      <c r="Y727" t="str">
        <f t="shared" si="47"/>
        <v/>
      </c>
    </row>
    <row r="728" spans="1:25" x14ac:dyDescent="0.35">
      <c r="A728">
        <v>736</v>
      </c>
      <c r="B728" t="s">
        <v>970</v>
      </c>
      <c r="C728">
        <v>110000</v>
      </c>
      <c r="D728">
        <v>1000</v>
      </c>
      <c r="E728" t="str">
        <f>IFERROR(IF(OR(HLOOKUP($A728,#REF!,3,FALSE)&gt;2,HLOOKUP(A728,#REF!,3,FALSE)&lt;-2),"",#REF!),"")</f>
        <v/>
      </c>
      <c r="F728" t="str">
        <f>IFERROR(IF(OR(HLOOKUP($A728,#REF!,4,FALSE)&gt;2,HLOOKUP($A728,#REF!,4,FALSE)&lt;-2),"",#REF!),"")</f>
        <v/>
      </c>
      <c r="G728" t="str">
        <f>IFERROR(IF(OR(HLOOKUP($A728,#REF!,5,FALSE)&gt;2,HLOOKUP($A728,#REF!,5,FALSE)&lt;-2),"",#REF!),"")</f>
        <v/>
      </c>
      <c r="H728" t="str">
        <f>IFERROR(IF(OR(HLOOKUP($A728,#REF!,6,FALSE)&gt;2,HLOOKUP($A728,#REF!,6,FALSE)&lt;-2),"",#REF!),"")</f>
        <v/>
      </c>
      <c r="I728" t="str">
        <f>IFERROR(IF(OR(HLOOKUP($A728,#REF!,7,FALSE)&gt;2,HLOOKUP($A728,#REF!,7,FALSE)&lt;-2),"",#REF!),"")</f>
        <v/>
      </c>
      <c r="J728" t="str">
        <f>IFERROR(IF(OR(HLOOKUP($A728,#REF!,8,FALSE)&gt;2,HLOOKUP($A728,#REF!,8,FALSE)&lt;-2),"",#REF!),"")</f>
        <v/>
      </c>
      <c r="K728" t="str">
        <f>IFERROR(IF(OR(HLOOKUP($A728,#REF!,9,FALSE)&gt;2,HLOOKUP($A728,#REF!,9,FALSE)&lt;-2),"",#REF!),"")</f>
        <v/>
      </c>
      <c r="L728" t="str">
        <f>IFERROR(IF(OR(HLOOKUP($A728,#REF!,10,FALSE)&gt;2,HLOOKUP($A728,#REF!,10,FALSE)&lt;-2),"",#REF!),"")</f>
        <v/>
      </c>
      <c r="M728" t="str">
        <f>IFERROR(IF(OR(HLOOKUP($A728,#REF!,11,FALSE)&gt;2,HLOOKUP($A728,#REF!,11,FALSE)&lt;-2),"",#REF!),"")</f>
        <v/>
      </c>
      <c r="N728" t="str">
        <f>IFERROR(IF(OR(HLOOKUP($A728,#REF!,12,FALSE)&gt;2,HLOOKUP($A728,#REF!,12,FALSE)&lt;-2),"",#REF!),"")</f>
        <v/>
      </c>
      <c r="O728" t="str">
        <f>IFERROR(IF(OR(HLOOKUP($A728,#REF!,13,FALSE)&gt;2,HLOOKUP($A728,#REF!,13,FALSE)&lt;-2),"",#REF!),"")</f>
        <v/>
      </c>
      <c r="P728" t="str">
        <f>IFERROR(IF(OR(HLOOKUP($A728,#REF!,14,FALSE)&gt;2,HLOOKUP($A728,#REF!,14,FALSE)&lt;-2),"",#REF!),"")</f>
        <v/>
      </c>
      <c r="Q728" t="str">
        <f>IFERROR(IF(OR(HLOOKUP($A728,#REF!,15,FALSE)&gt;2,HLOOKUP($A728,#REF!,15,FALSE)&lt;-2),"",#REF!),"")</f>
        <v/>
      </c>
      <c r="R728" t="str">
        <f>IFERROR(IF(OR(HLOOKUP($A728,#REF!,16,FALSE)&gt;2,HLOOKUP($A728,#REF!,16,FALSE)&lt;-2),"",#REF!),"")</f>
        <v/>
      </c>
      <c r="S728" t="str">
        <f>IFERROR(IF(OR(HLOOKUP($A728,#REF!,17,FALSE)&gt;2,HLOOKUP($A728,#REF!,17,FALSE)&lt;-2),"",#REF!),"")</f>
        <v/>
      </c>
      <c r="T728" t="str">
        <f>IFERROR(IF(OR(HLOOKUP($A728,#REF!,18,FALSE)&gt;2,HLOOKUP($A728,#REF!,18,FALSE)&lt;-2),"",#REF!),"")</f>
        <v/>
      </c>
      <c r="U728" t="str">
        <f>IFERROR(IF(OR(HLOOKUP($A728,#REF!,19,FALSE)&gt;2,HLOOKUP($A728,#REF!,19,FALSE)&lt;-2),"",#REF!),"")</f>
        <v/>
      </c>
      <c r="V728">
        <f t="shared" si="44"/>
        <v>1</v>
      </c>
      <c r="W728" t="str">
        <f t="shared" si="45"/>
        <v/>
      </c>
      <c r="X728" t="str">
        <f t="shared" si="46"/>
        <v/>
      </c>
      <c r="Y728" t="str">
        <f t="shared" si="47"/>
        <v/>
      </c>
    </row>
    <row r="729" spans="1:25" x14ac:dyDescent="0.35">
      <c r="A729">
        <v>737</v>
      </c>
      <c r="B729" t="s">
        <v>971</v>
      </c>
      <c r="C729">
        <v>111700</v>
      </c>
      <c r="D729">
        <v>1099</v>
      </c>
      <c r="E729" t="str">
        <f>IFERROR(IF(OR(HLOOKUP($A729,#REF!,3,FALSE)&gt;2,HLOOKUP(A729,#REF!,3,FALSE)&lt;-2),"",#REF!),"")</f>
        <v/>
      </c>
      <c r="F729" t="str">
        <f>IFERROR(IF(OR(HLOOKUP($A729,#REF!,4,FALSE)&gt;2,HLOOKUP($A729,#REF!,4,FALSE)&lt;-2),"",#REF!),"")</f>
        <v/>
      </c>
      <c r="G729" t="str">
        <f>IFERROR(IF(OR(HLOOKUP($A729,#REF!,5,FALSE)&gt;2,HLOOKUP($A729,#REF!,5,FALSE)&lt;-2),"",#REF!),"")</f>
        <v/>
      </c>
      <c r="H729" t="str">
        <f>IFERROR(IF(OR(HLOOKUP($A729,#REF!,6,FALSE)&gt;2,HLOOKUP($A729,#REF!,6,FALSE)&lt;-2),"",#REF!),"")</f>
        <v/>
      </c>
      <c r="I729" t="str">
        <f>IFERROR(IF(OR(HLOOKUP($A729,#REF!,7,FALSE)&gt;2,HLOOKUP($A729,#REF!,7,FALSE)&lt;-2),"",#REF!),"")</f>
        <v/>
      </c>
      <c r="J729" t="str">
        <f>IFERROR(IF(OR(HLOOKUP($A729,#REF!,8,FALSE)&gt;2,HLOOKUP($A729,#REF!,8,FALSE)&lt;-2),"",#REF!),"")</f>
        <v/>
      </c>
      <c r="K729" t="str">
        <f>IFERROR(IF(OR(HLOOKUP($A729,#REF!,9,FALSE)&gt;2,HLOOKUP($A729,#REF!,9,FALSE)&lt;-2),"",#REF!),"")</f>
        <v/>
      </c>
      <c r="L729" t="str">
        <f>IFERROR(IF(OR(HLOOKUP($A729,#REF!,10,FALSE)&gt;2,HLOOKUP($A729,#REF!,10,FALSE)&lt;-2),"",#REF!),"")</f>
        <v/>
      </c>
      <c r="M729" t="str">
        <f>IFERROR(IF(OR(HLOOKUP($A729,#REF!,11,FALSE)&gt;2,HLOOKUP($A729,#REF!,11,FALSE)&lt;-2),"",#REF!),"")</f>
        <v/>
      </c>
      <c r="N729" t="str">
        <f>IFERROR(IF(OR(HLOOKUP($A729,#REF!,12,FALSE)&gt;2,HLOOKUP($A729,#REF!,12,FALSE)&lt;-2),"",#REF!),"")</f>
        <v/>
      </c>
      <c r="O729" t="str">
        <f>IFERROR(IF(OR(HLOOKUP($A729,#REF!,13,FALSE)&gt;2,HLOOKUP($A729,#REF!,13,FALSE)&lt;-2),"",#REF!),"")</f>
        <v/>
      </c>
      <c r="P729" t="str">
        <f>IFERROR(IF(OR(HLOOKUP($A729,#REF!,14,FALSE)&gt;2,HLOOKUP($A729,#REF!,14,FALSE)&lt;-2),"",#REF!),"")</f>
        <v/>
      </c>
      <c r="Q729" t="str">
        <f>IFERROR(IF(OR(HLOOKUP($A729,#REF!,15,FALSE)&gt;2,HLOOKUP($A729,#REF!,15,FALSE)&lt;-2),"",#REF!),"")</f>
        <v/>
      </c>
      <c r="R729" t="str">
        <f>IFERROR(IF(OR(HLOOKUP($A729,#REF!,16,FALSE)&gt;2,HLOOKUP($A729,#REF!,16,FALSE)&lt;-2),"",#REF!),"")</f>
        <v/>
      </c>
      <c r="S729" t="str">
        <f>IFERROR(IF(OR(HLOOKUP($A729,#REF!,17,FALSE)&gt;2,HLOOKUP($A729,#REF!,17,FALSE)&lt;-2),"",#REF!),"")</f>
        <v/>
      </c>
      <c r="T729" t="str">
        <f>IFERROR(IF(OR(HLOOKUP($A729,#REF!,18,FALSE)&gt;2,HLOOKUP($A729,#REF!,18,FALSE)&lt;-2),"",#REF!),"")</f>
        <v/>
      </c>
      <c r="U729" t="str">
        <f>IFERROR(IF(OR(HLOOKUP($A729,#REF!,19,FALSE)&gt;2,HLOOKUP($A729,#REF!,19,FALSE)&lt;-2),"",#REF!),"")</f>
        <v/>
      </c>
      <c r="V729">
        <f t="shared" si="44"/>
        <v>1</v>
      </c>
      <c r="W729" t="str">
        <f t="shared" si="45"/>
        <v/>
      </c>
      <c r="X729" t="str">
        <f t="shared" si="46"/>
        <v/>
      </c>
      <c r="Y729" t="str">
        <f t="shared" si="47"/>
        <v/>
      </c>
    </row>
    <row r="730" spans="1:25" x14ac:dyDescent="0.35">
      <c r="A730">
        <v>738</v>
      </c>
      <c r="B730" t="s">
        <v>972</v>
      </c>
      <c r="C730">
        <v>22600</v>
      </c>
      <c r="D730">
        <v>714</v>
      </c>
      <c r="E730" t="str">
        <f>IFERROR(IF(OR(HLOOKUP($A730,#REF!,3,FALSE)&gt;2,HLOOKUP(A730,#REF!,3,FALSE)&lt;-2),"",#REF!),"")</f>
        <v/>
      </c>
      <c r="F730" t="str">
        <f>IFERROR(IF(OR(HLOOKUP($A730,#REF!,4,FALSE)&gt;2,HLOOKUP($A730,#REF!,4,FALSE)&lt;-2),"",#REF!),"")</f>
        <v/>
      </c>
      <c r="G730" t="str">
        <f>IFERROR(IF(OR(HLOOKUP($A730,#REF!,5,FALSE)&gt;2,HLOOKUP($A730,#REF!,5,FALSE)&lt;-2),"",#REF!),"")</f>
        <v/>
      </c>
      <c r="H730" t="str">
        <f>IFERROR(IF(OR(HLOOKUP($A730,#REF!,6,FALSE)&gt;2,HLOOKUP($A730,#REF!,6,FALSE)&lt;-2),"",#REF!),"")</f>
        <v/>
      </c>
      <c r="I730" t="str">
        <f>IFERROR(IF(OR(HLOOKUP($A730,#REF!,7,FALSE)&gt;2,HLOOKUP($A730,#REF!,7,FALSE)&lt;-2),"",#REF!),"")</f>
        <v/>
      </c>
      <c r="J730" t="str">
        <f>IFERROR(IF(OR(HLOOKUP($A730,#REF!,8,FALSE)&gt;2,HLOOKUP($A730,#REF!,8,FALSE)&lt;-2),"",#REF!),"")</f>
        <v/>
      </c>
      <c r="K730" t="str">
        <f>IFERROR(IF(OR(HLOOKUP($A730,#REF!,9,FALSE)&gt;2,HLOOKUP($A730,#REF!,9,FALSE)&lt;-2),"",#REF!),"")</f>
        <v/>
      </c>
      <c r="L730" t="str">
        <f>IFERROR(IF(OR(HLOOKUP($A730,#REF!,10,FALSE)&gt;2,HLOOKUP($A730,#REF!,10,FALSE)&lt;-2),"",#REF!),"")</f>
        <v/>
      </c>
      <c r="M730" t="str">
        <f>IFERROR(IF(OR(HLOOKUP($A730,#REF!,11,FALSE)&gt;2,HLOOKUP($A730,#REF!,11,FALSE)&lt;-2),"",#REF!),"")</f>
        <v/>
      </c>
      <c r="N730" t="str">
        <f>IFERROR(IF(OR(HLOOKUP($A730,#REF!,12,FALSE)&gt;2,HLOOKUP($A730,#REF!,12,FALSE)&lt;-2),"",#REF!),"")</f>
        <v/>
      </c>
      <c r="O730" t="str">
        <f>IFERROR(IF(OR(HLOOKUP($A730,#REF!,13,FALSE)&gt;2,HLOOKUP($A730,#REF!,13,FALSE)&lt;-2),"",#REF!),"")</f>
        <v/>
      </c>
      <c r="P730" t="str">
        <f>IFERROR(IF(OR(HLOOKUP($A730,#REF!,14,FALSE)&gt;2,HLOOKUP($A730,#REF!,14,FALSE)&lt;-2),"",#REF!),"")</f>
        <v/>
      </c>
      <c r="Q730" t="str">
        <f>IFERROR(IF(OR(HLOOKUP($A730,#REF!,15,FALSE)&gt;2,HLOOKUP($A730,#REF!,15,FALSE)&lt;-2),"",#REF!),"")</f>
        <v/>
      </c>
      <c r="R730" t="str">
        <f>IFERROR(IF(OR(HLOOKUP($A730,#REF!,16,FALSE)&gt;2,HLOOKUP($A730,#REF!,16,FALSE)&lt;-2),"",#REF!),"")</f>
        <v/>
      </c>
      <c r="S730" t="str">
        <f>IFERROR(IF(OR(HLOOKUP($A730,#REF!,17,FALSE)&gt;2,HLOOKUP($A730,#REF!,17,FALSE)&lt;-2),"",#REF!),"")</f>
        <v/>
      </c>
      <c r="T730" t="str">
        <f>IFERROR(IF(OR(HLOOKUP($A730,#REF!,18,FALSE)&gt;2,HLOOKUP($A730,#REF!,18,FALSE)&lt;-2),"",#REF!),"")</f>
        <v/>
      </c>
      <c r="U730" t="str">
        <f>IFERROR(IF(OR(HLOOKUP($A730,#REF!,19,FALSE)&gt;2,HLOOKUP($A730,#REF!,19,FALSE)&lt;-2),"",#REF!),"")</f>
        <v/>
      </c>
      <c r="V730">
        <f t="shared" si="44"/>
        <v>1</v>
      </c>
      <c r="W730" t="str">
        <f t="shared" si="45"/>
        <v/>
      </c>
      <c r="X730" t="str">
        <f t="shared" si="46"/>
        <v/>
      </c>
      <c r="Y730" t="str">
        <f t="shared" si="47"/>
        <v/>
      </c>
    </row>
    <row r="731" spans="1:25" x14ac:dyDescent="0.35">
      <c r="A731">
        <v>739</v>
      </c>
      <c r="B731" t="s">
        <v>973</v>
      </c>
      <c r="C731">
        <v>18600</v>
      </c>
      <c r="D731">
        <v>31</v>
      </c>
      <c r="E731" t="str">
        <f>IFERROR(IF(OR(HLOOKUP($A731,#REF!,3,FALSE)&gt;2,HLOOKUP(A731,#REF!,3,FALSE)&lt;-2),"",#REF!),"")</f>
        <v/>
      </c>
      <c r="F731" t="str">
        <f>IFERROR(IF(OR(HLOOKUP($A731,#REF!,4,FALSE)&gt;2,HLOOKUP($A731,#REF!,4,FALSE)&lt;-2),"",#REF!),"")</f>
        <v/>
      </c>
      <c r="G731" t="str">
        <f>IFERROR(IF(OR(HLOOKUP($A731,#REF!,5,FALSE)&gt;2,HLOOKUP($A731,#REF!,5,FALSE)&lt;-2),"",#REF!),"")</f>
        <v/>
      </c>
      <c r="H731" t="str">
        <f>IFERROR(IF(OR(HLOOKUP($A731,#REF!,6,FALSE)&gt;2,HLOOKUP($A731,#REF!,6,FALSE)&lt;-2),"",#REF!),"")</f>
        <v/>
      </c>
      <c r="I731" t="str">
        <f>IFERROR(IF(OR(HLOOKUP($A731,#REF!,7,FALSE)&gt;2,HLOOKUP($A731,#REF!,7,FALSE)&lt;-2),"",#REF!),"")</f>
        <v/>
      </c>
      <c r="J731" t="str">
        <f>IFERROR(IF(OR(HLOOKUP($A731,#REF!,8,FALSE)&gt;2,HLOOKUP($A731,#REF!,8,FALSE)&lt;-2),"",#REF!),"")</f>
        <v/>
      </c>
      <c r="K731" t="str">
        <f>IFERROR(IF(OR(HLOOKUP($A731,#REF!,9,FALSE)&gt;2,HLOOKUP($A731,#REF!,9,FALSE)&lt;-2),"",#REF!),"")</f>
        <v/>
      </c>
      <c r="L731" t="str">
        <f>IFERROR(IF(OR(HLOOKUP($A731,#REF!,10,FALSE)&gt;2,HLOOKUP($A731,#REF!,10,FALSE)&lt;-2),"",#REF!),"")</f>
        <v/>
      </c>
      <c r="M731" t="str">
        <f>IFERROR(IF(OR(HLOOKUP($A731,#REF!,11,FALSE)&gt;2,HLOOKUP($A731,#REF!,11,FALSE)&lt;-2),"",#REF!),"")</f>
        <v/>
      </c>
      <c r="N731" t="str">
        <f>IFERROR(IF(OR(HLOOKUP($A731,#REF!,12,FALSE)&gt;2,HLOOKUP($A731,#REF!,12,FALSE)&lt;-2),"",#REF!),"")</f>
        <v/>
      </c>
      <c r="O731" t="str">
        <f>IFERROR(IF(OR(HLOOKUP($A731,#REF!,13,FALSE)&gt;2,HLOOKUP($A731,#REF!,13,FALSE)&lt;-2),"",#REF!),"")</f>
        <v/>
      </c>
      <c r="P731" t="str">
        <f>IFERROR(IF(OR(HLOOKUP($A731,#REF!,14,FALSE)&gt;2,HLOOKUP($A731,#REF!,14,FALSE)&lt;-2),"",#REF!),"")</f>
        <v/>
      </c>
      <c r="Q731" t="str">
        <f>IFERROR(IF(OR(HLOOKUP($A731,#REF!,15,FALSE)&gt;2,HLOOKUP($A731,#REF!,15,FALSE)&lt;-2),"",#REF!),"")</f>
        <v/>
      </c>
      <c r="R731" t="str">
        <f>IFERROR(IF(OR(HLOOKUP($A731,#REF!,16,FALSE)&gt;2,HLOOKUP($A731,#REF!,16,FALSE)&lt;-2),"",#REF!),"")</f>
        <v/>
      </c>
      <c r="S731" t="str">
        <f>IFERROR(IF(OR(HLOOKUP($A731,#REF!,17,FALSE)&gt;2,HLOOKUP($A731,#REF!,17,FALSE)&lt;-2),"",#REF!),"")</f>
        <v/>
      </c>
      <c r="T731" t="str">
        <f>IFERROR(IF(OR(HLOOKUP($A731,#REF!,18,FALSE)&gt;2,HLOOKUP($A731,#REF!,18,FALSE)&lt;-2),"",#REF!),"")</f>
        <v/>
      </c>
      <c r="U731" t="str">
        <f>IFERROR(IF(OR(HLOOKUP($A731,#REF!,19,FALSE)&gt;2,HLOOKUP($A731,#REF!,19,FALSE)&lt;-2),"",#REF!),"")</f>
        <v/>
      </c>
      <c r="V731">
        <f t="shared" si="44"/>
        <v>1</v>
      </c>
      <c r="W731" t="str">
        <f t="shared" si="45"/>
        <v/>
      </c>
      <c r="X731" t="str">
        <f t="shared" si="46"/>
        <v/>
      </c>
      <c r="Y731" t="str">
        <f t="shared" si="47"/>
        <v/>
      </c>
    </row>
    <row r="732" spans="1:25" x14ac:dyDescent="0.35">
      <c r="A732">
        <v>740</v>
      </c>
      <c r="B732" t="s">
        <v>974</v>
      </c>
      <c r="C732">
        <v>75700</v>
      </c>
      <c r="D732">
        <v>515</v>
      </c>
      <c r="E732" t="str">
        <f>IFERROR(IF(OR(HLOOKUP($A732,#REF!,3,FALSE)&gt;2,HLOOKUP(A732,#REF!,3,FALSE)&lt;-2),"",#REF!),"")</f>
        <v/>
      </c>
      <c r="F732" t="str">
        <f>IFERROR(IF(OR(HLOOKUP($A732,#REF!,4,FALSE)&gt;2,HLOOKUP($A732,#REF!,4,FALSE)&lt;-2),"",#REF!),"")</f>
        <v/>
      </c>
      <c r="G732" t="str">
        <f>IFERROR(IF(OR(HLOOKUP($A732,#REF!,5,FALSE)&gt;2,HLOOKUP($A732,#REF!,5,FALSE)&lt;-2),"",#REF!),"")</f>
        <v/>
      </c>
      <c r="H732" t="str">
        <f>IFERROR(IF(OR(HLOOKUP($A732,#REF!,6,FALSE)&gt;2,HLOOKUP($A732,#REF!,6,FALSE)&lt;-2),"",#REF!),"")</f>
        <v/>
      </c>
      <c r="I732" t="str">
        <f>IFERROR(IF(OR(HLOOKUP($A732,#REF!,7,FALSE)&gt;2,HLOOKUP($A732,#REF!,7,FALSE)&lt;-2),"",#REF!),"")</f>
        <v/>
      </c>
      <c r="J732" t="str">
        <f>IFERROR(IF(OR(HLOOKUP($A732,#REF!,8,FALSE)&gt;2,HLOOKUP($A732,#REF!,8,FALSE)&lt;-2),"",#REF!),"")</f>
        <v/>
      </c>
      <c r="K732" t="str">
        <f>IFERROR(IF(OR(HLOOKUP($A732,#REF!,9,FALSE)&gt;2,HLOOKUP($A732,#REF!,9,FALSE)&lt;-2),"",#REF!),"")</f>
        <v/>
      </c>
      <c r="L732" t="str">
        <f>IFERROR(IF(OR(HLOOKUP($A732,#REF!,10,FALSE)&gt;2,HLOOKUP($A732,#REF!,10,FALSE)&lt;-2),"",#REF!),"")</f>
        <v/>
      </c>
      <c r="M732" t="str">
        <f>IFERROR(IF(OR(HLOOKUP($A732,#REF!,11,FALSE)&gt;2,HLOOKUP($A732,#REF!,11,FALSE)&lt;-2),"",#REF!),"")</f>
        <v/>
      </c>
      <c r="N732" t="str">
        <f>IFERROR(IF(OR(HLOOKUP($A732,#REF!,12,FALSE)&gt;2,HLOOKUP($A732,#REF!,12,FALSE)&lt;-2),"",#REF!),"")</f>
        <v/>
      </c>
      <c r="O732" t="str">
        <f>IFERROR(IF(OR(HLOOKUP($A732,#REF!,13,FALSE)&gt;2,HLOOKUP($A732,#REF!,13,FALSE)&lt;-2),"",#REF!),"")</f>
        <v/>
      </c>
      <c r="P732" t="str">
        <f>IFERROR(IF(OR(HLOOKUP($A732,#REF!,14,FALSE)&gt;2,HLOOKUP($A732,#REF!,14,FALSE)&lt;-2),"",#REF!),"")</f>
        <v/>
      </c>
      <c r="Q732" t="str">
        <f>IFERROR(IF(OR(HLOOKUP($A732,#REF!,15,FALSE)&gt;2,HLOOKUP($A732,#REF!,15,FALSE)&lt;-2),"",#REF!),"")</f>
        <v/>
      </c>
      <c r="R732" t="str">
        <f>IFERROR(IF(OR(HLOOKUP($A732,#REF!,16,FALSE)&gt;2,HLOOKUP($A732,#REF!,16,FALSE)&lt;-2),"",#REF!),"")</f>
        <v/>
      </c>
      <c r="S732" t="str">
        <f>IFERROR(IF(OR(HLOOKUP($A732,#REF!,17,FALSE)&gt;2,HLOOKUP($A732,#REF!,17,FALSE)&lt;-2),"",#REF!),"")</f>
        <v/>
      </c>
      <c r="T732" t="str">
        <f>IFERROR(IF(OR(HLOOKUP($A732,#REF!,18,FALSE)&gt;2,HLOOKUP($A732,#REF!,18,FALSE)&lt;-2),"",#REF!),"")</f>
        <v/>
      </c>
      <c r="U732" t="str">
        <f>IFERROR(IF(OR(HLOOKUP($A732,#REF!,19,FALSE)&gt;2,HLOOKUP($A732,#REF!,19,FALSE)&lt;-2),"",#REF!),"")</f>
        <v/>
      </c>
      <c r="V732">
        <f t="shared" si="44"/>
        <v>1</v>
      </c>
      <c r="W732" t="str">
        <f t="shared" si="45"/>
        <v/>
      </c>
      <c r="X732" t="str">
        <f t="shared" si="46"/>
        <v/>
      </c>
      <c r="Y732" t="str">
        <f t="shared" si="47"/>
        <v/>
      </c>
    </row>
    <row r="733" spans="1:25" x14ac:dyDescent="0.35">
      <c r="A733">
        <v>741</v>
      </c>
      <c r="B733" t="s">
        <v>361</v>
      </c>
      <c r="C733">
        <v>64400</v>
      </c>
      <c r="D733">
        <v>733</v>
      </c>
      <c r="E733" t="str">
        <f>IFERROR(IF(OR(HLOOKUP($A733,#REF!,3,FALSE)&gt;2,HLOOKUP(A733,#REF!,3,FALSE)&lt;-2),"",#REF!),"")</f>
        <v/>
      </c>
      <c r="F733" t="str">
        <f>IFERROR(IF(OR(HLOOKUP($A733,#REF!,4,FALSE)&gt;2,HLOOKUP($A733,#REF!,4,FALSE)&lt;-2),"",#REF!),"")</f>
        <v/>
      </c>
      <c r="G733" t="str">
        <f>IFERROR(IF(OR(HLOOKUP($A733,#REF!,5,FALSE)&gt;2,HLOOKUP($A733,#REF!,5,FALSE)&lt;-2),"",#REF!),"")</f>
        <v/>
      </c>
      <c r="H733" t="str">
        <f>IFERROR(IF(OR(HLOOKUP($A733,#REF!,6,FALSE)&gt;2,HLOOKUP($A733,#REF!,6,FALSE)&lt;-2),"",#REF!),"")</f>
        <v/>
      </c>
      <c r="I733" t="str">
        <f>IFERROR(IF(OR(HLOOKUP($A733,#REF!,7,FALSE)&gt;2,HLOOKUP($A733,#REF!,7,FALSE)&lt;-2),"",#REF!),"")</f>
        <v/>
      </c>
      <c r="J733" t="str">
        <f>IFERROR(IF(OR(HLOOKUP($A733,#REF!,8,FALSE)&gt;2,HLOOKUP($A733,#REF!,8,FALSE)&lt;-2),"",#REF!),"")</f>
        <v/>
      </c>
      <c r="K733" t="str">
        <f>IFERROR(IF(OR(HLOOKUP($A733,#REF!,9,FALSE)&gt;2,HLOOKUP($A733,#REF!,9,FALSE)&lt;-2),"",#REF!),"")</f>
        <v/>
      </c>
      <c r="L733" t="str">
        <f>IFERROR(IF(OR(HLOOKUP($A733,#REF!,10,FALSE)&gt;2,HLOOKUP($A733,#REF!,10,FALSE)&lt;-2),"",#REF!),"")</f>
        <v/>
      </c>
      <c r="M733" t="str">
        <f>IFERROR(IF(OR(HLOOKUP($A733,#REF!,11,FALSE)&gt;2,HLOOKUP($A733,#REF!,11,FALSE)&lt;-2),"",#REF!),"")</f>
        <v/>
      </c>
      <c r="N733" t="str">
        <f>IFERROR(IF(OR(HLOOKUP($A733,#REF!,12,FALSE)&gt;2,HLOOKUP($A733,#REF!,12,FALSE)&lt;-2),"",#REF!),"")</f>
        <v/>
      </c>
      <c r="O733" t="str">
        <f>IFERROR(IF(OR(HLOOKUP($A733,#REF!,13,FALSE)&gt;2,HLOOKUP($A733,#REF!,13,FALSE)&lt;-2),"",#REF!),"")</f>
        <v/>
      </c>
      <c r="P733" t="str">
        <f>IFERROR(IF(OR(HLOOKUP($A733,#REF!,14,FALSE)&gt;2,HLOOKUP($A733,#REF!,14,FALSE)&lt;-2),"",#REF!),"")</f>
        <v/>
      </c>
      <c r="Q733" t="str">
        <f>IFERROR(IF(OR(HLOOKUP($A733,#REF!,15,FALSE)&gt;2,HLOOKUP($A733,#REF!,15,FALSE)&lt;-2),"",#REF!),"")</f>
        <v/>
      </c>
      <c r="R733" t="str">
        <f>IFERROR(IF(OR(HLOOKUP($A733,#REF!,16,FALSE)&gt;2,HLOOKUP($A733,#REF!,16,FALSE)&lt;-2),"",#REF!),"")</f>
        <v/>
      </c>
      <c r="S733" t="str">
        <f>IFERROR(IF(OR(HLOOKUP($A733,#REF!,17,FALSE)&gt;2,HLOOKUP($A733,#REF!,17,FALSE)&lt;-2),"",#REF!),"")</f>
        <v/>
      </c>
      <c r="T733" t="str">
        <f>IFERROR(IF(OR(HLOOKUP($A733,#REF!,18,FALSE)&gt;2,HLOOKUP($A733,#REF!,18,FALSE)&lt;-2),"",#REF!),"")</f>
        <v/>
      </c>
      <c r="U733" t="str">
        <f>IFERROR(IF(OR(HLOOKUP($A733,#REF!,19,FALSE)&gt;2,HLOOKUP($A733,#REF!,19,FALSE)&lt;-2),"",#REF!),"")</f>
        <v/>
      </c>
      <c r="V733">
        <f t="shared" si="44"/>
        <v>1</v>
      </c>
      <c r="W733" t="str">
        <f t="shared" si="45"/>
        <v/>
      </c>
      <c r="X733" t="str">
        <f t="shared" si="46"/>
        <v/>
      </c>
      <c r="Y733" t="str">
        <f t="shared" si="47"/>
        <v/>
      </c>
    </row>
    <row r="734" spans="1:25" x14ac:dyDescent="0.35">
      <c r="A734">
        <v>742</v>
      </c>
      <c r="B734" t="s">
        <v>975</v>
      </c>
      <c r="C734">
        <v>39900</v>
      </c>
      <c r="D734">
        <v>734</v>
      </c>
      <c r="E734" t="str">
        <f>IFERROR(IF(OR(HLOOKUP($A734,#REF!,3,FALSE)&gt;2,HLOOKUP(A734,#REF!,3,FALSE)&lt;-2),"",#REF!),"")</f>
        <v/>
      </c>
      <c r="F734" t="str">
        <f>IFERROR(IF(OR(HLOOKUP($A734,#REF!,4,FALSE)&gt;2,HLOOKUP($A734,#REF!,4,FALSE)&lt;-2),"",#REF!),"")</f>
        <v/>
      </c>
      <c r="G734" t="str">
        <f>IFERROR(IF(OR(HLOOKUP($A734,#REF!,5,FALSE)&gt;2,HLOOKUP($A734,#REF!,5,FALSE)&lt;-2),"",#REF!),"")</f>
        <v/>
      </c>
      <c r="H734" t="str">
        <f>IFERROR(IF(OR(HLOOKUP($A734,#REF!,6,FALSE)&gt;2,HLOOKUP($A734,#REF!,6,FALSE)&lt;-2),"",#REF!),"")</f>
        <v/>
      </c>
      <c r="I734" t="str">
        <f>IFERROR(IF(OR(HLOOKUP($A734,#REF!,7,FALSE)&gt;2,HLOOKUP($A734,#REF!,7,FALSE)&lt;-2),"",#REF!),"")</f>
        <v/>
      </c>
      <c r="J734" t="str">
        <f>IFERROR(IF(OR(HLOOKUP($A734,#REF!,8,FALSE)&gt;2,HLOOKUP($A734,#REF!,8,FALSE)&lt;-2),"",#REF!),"")</f>
        <v/>
      </c>
      <c r="K734" t="str">
        <f>IFERROR(IF(OR(HLOOKUP($A734,#REF!,9,FALSE)&gt;2,HLOOKUP($A734,#REF!,9,FALSE)&lt;-2),"",#REF!),"")</f>
        <v/>
      </c>
      <c r="L734" t="str">
        <f>IFERROR(IF(OR(HLOOKUP($A734,#REF!,10,FALSE)&gt;2,HLOOKUP($A734,#REF!,10,FALSE)&lt;-2),"",#REF!),"")</f>
        <v/>
      </c>
      <c r="M734" t="str">
        <f>IFERROR(IF(OR(HLOOKUP($A734,#REF!,11,FALSE)&gt;2,HLOOKUP($A734,#REF!,11,FALSE)&lt;-2),"",#REF!),"")</f>
        <v/>
      </c>
      <c r="N734" t="str">
        <f>IFERROR(IF(OR(HLOOKUP($A734,#REF!,12,FALSE)&gt;2,HLOOKUP($A734,#REF!,12,FALSE)&lt;-2),"",#REF!),"")</f>
        <v/>
      </c>
      <c r="O734" t="str">
        <f>IFERROR(IF(OR(HLOOKUP($A734,#REF!,13,FALSE)&gt;2,HLOOKUP($A734,#REF!,13,FALSE)&lt;-2),"",#REF!),"")</f>
        <v/>
      </c>
      <c r="P734" t="str">
        <f>IFERROR(IF(OR(HLOOKUP($A734,#REF!,14,FALSE)&gt;2,HLOOKUP($A734,#REF!,14,FALSE)&lt;-2),"",#REF!),"")</f>
        <v/>
      </c>
      <c r="Q734" t="str">
        <f>IFERROR(IF(OR(HLOOKUP($A734,#REF!,15,FALSE)&gt;2,HLOOKUP($A734,#REF!,15,FALSE)&lt;-2),"",#REF!),"")</f>
        <v/>
      </c>
      <c r="R734" t="str">
        <f>IFERROR(IF(OR(HLOOKUP($A734,#REF!,16,FALSE)&gt;2,HLOOKUP($A734,#REF!,16,FALSE)&lt;-2),"",#REF!),"")</f>
        <v/>
      </c>
      <c r="S734" t="str">
        <f>IFERROR(IF(OR(HLOOKUP($A734,#REF!,17,FALSE)&gt;2,HLOOKUP($A734,#REF!,17,FALSE)&lt;-2),"",#REF!),"")</f>
        <v/>
      </c>
      <c r="T734" t="str">
        <f>IFERROR(IF(OR(HLOOKUP($A734,#REF!,18,FALSE)&gt;2,HLOOKUP($A734,#REF!,18,FALSE)&lt;-2),"",#REF!),"")</f>
        <v/>
      </c>
      <c r="U734" t="str">
        <f>IFERROR(IF(OR(HLOOKUP($A734,#REF!,19,FALSE)&gt;2,HLOOKUP($A734,#REF!,19,FALSE)&lt;-2),"",#REF!),"")</f>
        <v/>
      </c>
      <c r="V734">
        <f t="shared" si="44"/>
        <v>1</v>
      </c>
      <c r="W734" t="str">
        <f t="shared" si="45"/>
        <v/>
      </c>
      <c r="X734" t="str">
        <f t="shared" si="46"/>
        <v/>
      </c>
      <c r="Y734" t="str">
        <f t="shared" si="47"/>
        <v/>
      </c>
    </row>
    <row r="735" spans="1:25" x14ac:dyDescent="0.35">
      <c r="A735">
        <v>743</v>
      </c>
      <c r="B735" t="s">
        <v>976</v>
      </c>
      <c r="C735">
        <v>43600</v>
      </c>
      <c r="D735">
        <v>926</v>
      </c>
      <c r="E735" t="str">
        <f>IFERROR(IF(OR(HLOOKUP($A735,#REF!,3,FALSE)&gt;2,HLOOKUP(A735,#REF!,3,FALSE)&lt;-2),"",#REF!),"")</f>
        <v/>
      </c>
      <c r="F735" t="str">
        <f>IFERROR(IF(OR(HLOOKUP($A735,#REF!,4,FALSE)&gt;2,HLOOKUP($A735,#REF!,4,FALSE)&lt;-2),"",#REF!),"")</f>
        <v/>
      </c>
      <c r="G735" t="str">
        <f>IFERROR(IF(OR(HLOOKUP($A735,#REF!,5,FALSE)&gt;2,HLOOKUP($A735,#REF!,5,FALSE)&lt;-2),"",#REF!),"")</f>
        <v/>
      </c>
      <c r="H735" t="str">
        <f>IFERROR(IF(OR(HLOOKUP($A735,#REF!,6,FALSE)&gt;2,HLOOKUP($A735,#REF!,6,FALSE)&lt;-2),"",#REF!),"")</f>
        <v/>
      </c>
      <c r="I735" t="str">
        <f>IFERROR(IF(OR(HLOOKUP($A735,#REF!,7,FALSE)&gt;2,HLOOKUP($A735,#REF!,7,FALSE)&lt;-2),"",#REF!),"")</f>
        <v/>
      </c>
      <c r="J735" t="str">
        <f>IFERROR(IF(OR(HLOOKUP($A735,#REF!,8,FALSE)&gt;2,HLOOKUP($A735,#REF!,8,FALSE)&lt;-2),"",#REF!),"")</f>
        <v/>
      </c>
      <c r="K735" t="str">
        <f>IFERROR(IF(OR(HLOOKUP($A735,#REF!,9,FALSE)&gt;2,HLOOKUP($A735,#REF!,9,FALSE)&lt;-2),"",#REF!),"")</f>
        <v/>
      </c>
      <c r="L735" t="str">
        <f>IFERROR(IF(OR(HLOOKUP($A735,#REF!,10,FALSE)&gt;2,HLOOKUP($A735,#REF!,10,FALSE)&lt;-2),"",#REF!),"")</f>
        <v/>
      </c>
      <c r="M735" t="str">
        <f>IFERROR(IF(OR(HLOOKUP($A735,#REF!,11,FALSE)&gt;2,HLOOKUP($A735,#REF!,11,FALSE)&lt;-2),"",#REF!),"")</f>
        <v/>
      </c>
      <c r="N735" t="str">
        <f>IFERROR(IF(OR(HLOOKUP($A735,#REF!,12,FALSE)&gt;2,HLOOKUP($A735,#REF!,12,FALSE)&lt;-2),"",#REF!),"")</f>
        <v/>
      </c>
      <c r="O735" t="str">
        <f>IFERROR(IF(OR(HLOOKUP($A735,#REF!,13,FALSE)&gt;2,HLOOKUP($A735,#REF!,13,FALSE)&lt;-2),"",#REF!),"")</f>
        <v/>
      </c>
      <c r="P735" t="str">
        <f>IFERROR(IF(OR(HLOOKUP($A735,#REF!,14,FALSE)&gt;2,HLOOKUP($A735,#REF!,14,FALSE)&lt;-2),"",#REF!),"")</f>
        <v/>
      </c>
      <c r="Q735" t="str">
        <f>IFERROR(IF(OR(HLOOKUP($A735,#REF!,15,FALSE)&gt;2,HLOOKUP($A735,#REF!,15,FALSE)&lt;-2),"",#REF!),"")</f>
        <v/>
      </c>
      <c r="R735" t="str">
        <f>IFERROR(IF(OR(HLOOKUP($A735,#REF!,16,FALSE)&gt;2,HLOOKUP($A735,#REF!,16,FALSE)&lt;-2),"",#REF!),"")</f>
        <v/>
      </c>
      <c r="S735" t="str">
        <f>IFERROR(IF(OR(HLOOKUP($A735,#REF!,17,FALSE)&gt;2,HLOOKUP($A735,#REF!,17,FALSE)&lt;-2),"",#REF!),"")</f>
        <v/>
      </c>
      <c r="T735" t="str">
        <f>IFERROR(IF(OR(HLOOKUP($A735,#REF!,18,FALSE)&gt;2,HLOOKUP($A735,#REF!,18,FALSE)&lt;-2),"",#REF!),"")</f>
        <v/>
      </c>
      <c r="U735" t="str">
        <f>IFERROR(IF(OR(HLOOKUP($A735,#REF!,19,FALSE)&gt;2,HLOOKUP($A735,#REF!,19,FALSE)&lt;-2),"",#REF!),"")</f>
        <v/>
      </c>
      <c r="V735">
        <f t="shared" si="44"/>
        <v>1</v>
      </c>
      <c r="W735" t="str">
        <f t="shared" si="45"/>
        <v/>
      </c>
      <c r="X735" t="str">
        <f t="shared" si="46"/>
        <v/>
      </c>
      <c r="Y735" t="str">
        <f t="shared" si="47"/>
        <v/>
      </c>
    </row>
    <row r="736" spans="1:25" x14ac:dyDescent="0.35">
      <c r="A736">
        <v>744</v>
      </c>
      <c r="B736" t="s">
        <v>977</v>
      </c>
      <c r="C736">
        <v>104300</v>
      </c>
      <c r="D736">
        <v>960</v>
      </c>
      <c r="E736" t="str">
        <f>IFERROR(IF(OR(HLOOKUP($A736,#REF!,3,FALSE)&gt;2,HLOOKUP(A736,#REF!,3,FALSE)&lt;-2),"",#REF!),"")</f>
        <v/>
      </c>
      <c r="F736" t="str">
        <f>IFERROR(IF(OR(HLOOKUP($A736,#REF!,4,FALSE)&gt;2,HLOOKUP($A736,#REF!,4,FALSE)&lt;-2),"",#REF!),"")</f>
        <v/>
      </c>
      <c r="G736" t="str">
        <f>IFERROR(IF(OR(HLOOKUP($A736,#REF!,5,FALSE)&gt;2,HLOOKUP($A736,#REF!,5,FALSE)&lt;-2),"",#REF!),"")</f>
        <v/>
      </c>
      <c r="H736" t="str">
        <f>IFERROR(IF(OR(HLOOKUP($A736,#REF!,6,FALSE)&gt;2,HLOOKUP($A736,#REF!,6,FALSE)&lt;-2),"",#REF!),"")</f>
        <v/>
      </c>
      <c r="I736" t="str">
        <f>IFERROR(IF(OR(HLOOKUP($A736,#REF!,7,FALSE)&gt;2,HLOOKUP($A736,#REF!,7,FALSE)&lt;-2),"",#REF!),"")</f>
        <v/>
      </c>
      <c r="J736" t="str">
        <f>IFERROR(IF(OR(HLOOKUP($A736,#REF!,8,FALSE)&gt;2,HLOOKUP($A736,#REF!,8,FALSE)&lt;-2),"",#REF!),"")</f>
        <v/>
      </c>
      <c r="K736" t="str">
        <f>IFERROR(IF(OR(HLOOKUP($A736,#REF!,9,FALSE)&gt;2,HLOOKUP($A736,#REF!,9,FALSE)&lt;-2),"",#REF!),"")</f>
        <v/>
      </c>
      <c r="L736" t="str">
        <f>IFERROR(IF(OR(HLOOKUP($A736,#REF!,10,FALSE)&gt;2,HLOOKUP($A736,#REF!,10,FALSE)&lt;-2),"",#REF!),"")</f>
        <v/>
      </c>
      <c r="M736" t="str">
        <f>IFERROR(IF(OR(HLOOKUP($A736,#REF!,11,FALSE)&gt;2,HLOOKUP($A736,#REF!,11,FALSE)&lt;-2),"",#REF!),"")</f>
        <v/>
      </c>
      <c r="N736" t="str">
        <f>IFERROR(IF(OR(HLOOKUP($A736,#REF!,12,FALSE)&gt;2,HLOOKUP($A736,#REF!,12,FALSE)&lt;-2),"",#REF!),"")</f>
        <v/>
      </c>
      <c r="O736" t="str">
        <f>IFERROR(IF(OR(HLOOKUP($A736,#REF!,13,FALSE)&gt;2,HLOOKUP($A736,#REF!,13,FALSE)&lt;-2),"",#REF!),"")</f>
        <v/>
      </c>
      <c r="P736" t="str">
        <f>IFERROR(IF(OR(HLOOKUP($A736,#REF!,14,FALSE)&gt;2,HLOOKUP($A736,#REF!,14,FALSE)&lt;-2),"",#REF!),"")</f>
        <v/>
      </c>
      <c r="Q736" t="str">
        <f>IFERROR(IF(OR(HLOOKUP($A736,#REF!,15,FALSE)&gt;2,HLOOKUP($A736,#REF!,15,FALSE)&lt;-2),"",#REF!),"")</f>
        <v/>
      </c>
      <c r="R736" t="str">
        <f>IFERROR(IF(OR(HLOOKUP($A736,#REF!,16,FALSE)&gt;2,HLOOKUP($A736,#REF!,16,FALSE)&lt;-2),"",#REF!),"")</f>
        <v/>
      </c>
      <c r="S736" t="str">
        <f>IFERROR(IF(OR(HLOOKUP($A736,#REF!,17,FALSE)&gt;2,HLOOKUP($A736,#REF!,17,FALSE)&lt;-2),"",#REF!),"")</f>
        <v/>
      </c>
      <c r="T736" t="str">
        <f>IFERROR(IF(OR(HLOOKUP($A736,#REF!,18,FALSE)&gt;2,HLOOKUP($A736,#REF!,18,FALSE)&lt;-2),"",#REF!),"")</f>
        <v/>
      </c>
      <c r="U736" t="str">
        <f>IFERROR(IF(OR(HLOOKUP($A736,#REF!,19,FALSE)&gt;2,HLOOKUP($A736,#REF!,19,FALSE)&lt;-2),"",#REF!),"")</f>
        <v/>
      </c>
      <c r="V736">
        <f t="shared" si="44"/>
        <v>1</v>
      </c>
      <c r="W736" t="str">
        <f t="shared" si="45"/>
        <v/>
      </c>
      <c r="X736" t="str">
        <f t="shared" si="46"/>
        <v/>
      </c>
      <c r="Y736" t="str">
        <f t="shared" si="47"/>
        <v/>
      </c>
    </row>
    <row r="737" spans="1:25" x14ac:dyDescent="0.35">
      <c r="A737">
        <v>745</v>
      </c>
      <c r="B737" t="s">
        <v>978</v>
      </c>
      <c r="C737">
        <v>111500</v>
      </c>
      <c r="D737">
        <v>1099</v>
      </c>
      <c r="E737" t="str">
        <f>IFERROR(IF(OR(HLOOKUP($A737,#REF!,3,FALSE)&gt;2,HLOOKUP(A737,#REF!,3,FALSE)&lt;-2),"",#REF!),"")</f>
        <v/>
      </c>
      <c r="F737" t="str">
        <f>IFERROR(IF(OR(HLOOKUP($A737,#REF!,4,FALSE)&gt;2,HLOOKUP($A737,#REF!,4,FALSE)&lt;-2),"",#REF!),"")</f>
        <v/>
      </c>
      <c r="G737" t="str">
        <f>IFERROR(IF(OR(HLOOKUP($A737,#REF!,5,FALSE)&gt;2,HLOOKUP($A737,#REF!,5,FALSE)&lt;-2),"",#REF!),"")</f>
        <v/>
      </c>
      <c r="H737" t="str">
        <f>IFERROR(IF(OR(HLOOKUP($A737,#REF!,6,FALSE)&gt;2,HLOOKUP($A737,#REF!,6,FALSE)&lt;-2),"",#REF!),"")</f>
        <v/>
      </c>
      <c r="I737" t="str">
        <f>IFERROR(IF(OR(HLOOKUP($A737,#REF!,7,FALSE)&gt;2,HLOOKUP($A737,#REF!,7,FALSE)&lt;-2),"",#REF!),"")</f>
        <v/>
      </c>
      <c r="J737" t="str">
        <f>IFERROR(IF(OR(HLOOKUP($A737,#REF!,8,FALSE)&gt;2,HLOOKUP($A737,#REF!,8,FALSE)&lt;-2),"",#REF!),"")</f>
        <v/>
      </c>
      <c r="K737" t="str">
        <f>IFERROR(IF(OR(HLOOKUP($A737,#REF!,9,FALSE)&gt;2,HLOOKUP($A737,#REF!,9,FALSE)&lt;-2),"",#REF!),"")</f>
        <v/>
      </c>
      <c r="L737" t="str">
        <f>IFERROR(IF(OR(HLOOKUP($A737,#REF!,10,FALSE)&gt;2,HLOOKUP($A737,#REF!,10,FALSE)&lt;-2),"",#REF!),"")</f>
        <v/>
      </c>
      <c r="M737" t="str">
        <f>IFERROR(IF(OR(HLOOKUP($A737,#REF!,11,FALSE)&gt;2,HLOOKUP($A737,#REF!,11,FALSE)&lt;-2),"",#REF!),"")</f>
        <v/>
      </c>
      <c r="N737" t="str">
        <f>IFERROR(IF(OR(HLOOKUP($A737,#REF!,12,FALSE)&gt;2,HLOOKUP($A737,#REF!,12,FALSE)&lt;-2),"",#REF!),"")</f>
        <v/>
      </c>
      <c r="O737" t="str">
        <f>IFERROR(IF(OR(HLOOKUP($A737,#REF!,13,FALSE)&gt;2,HLOOKUP($A737,#REF!,13,FALSE)&lt;-2),"",#REF!),"")</f>
        <v/>
      </c>
      <c r="P737" t="str">
        <f>IFERROR(IF(OR(HLOOKUP($A737,#REF!,14,FALSE)&gt;2,HLOOKUP($A737,#REF!,14,FALSE)&lt;-2),"",#REF!),"")</f>
        <v/>
      </c>
      <c r="Q737" t="str">
        <f>IFERROR(IF(OR(HLOOKUP($A737,#REF!,15,FALSE)&gt;2,HLOOKUP($A737,#REF!,15,FALSE)&lt;-2),"",#REF!),"")</f>
        <v/>
      </c>
      <c r="R737" t="str">
        <f>IFERROR(IF(OR(HLOOKUP($A737,#REF!,16,FALSE)&gt;2,HLOOKUP($A737,#REF!,16,FALSE)&lt;-2),"",#REF!),"")</f>
        <v/>
      </c>
      <c r="S737" t="str">
        <f>IFERROR(IF(OR(HLOOKUP($A737,#REF!,17,FALSE)&gt;2,HLOOKUP($A737,#REF!,17,FALSE)&lt;-2),"",#REF!),"")</f>
        <v/>
      </c>
      <c r="T737" t="str">
        <f>IFERROR(IF(OR(HLOOKUP($A737,#REF!,18,FALSE)&gt;2,HLOOKUP($A737,#REF!,18,FALSE)&lt;-2),"",#REF!),"")</f>
        <v/>
      </c>
      <c r="U737" t="str">
        <f>IFERROR(IF(OR(HLOOKUP($A737,#REF!,19,FALSE)&gt;2,HLOOKUP($A737,#REF!,19,FALSE)&lt;-2),"",#REF!),"")</f>
        <v/>
      </c>
      <c r="V737">
        <f t="shared" si="44"/>
        <v>1</v>
      </c>
      <c r="W737" t="str">
        <f t="shared" si="45"/>
        <v/>
      </c>
      <c r="X737" t="str">
        <f t="shared" si="46"/>
        <v/>
      </c>
      <c r="Y737" t="str">
        <f t="shared" si="47"/>
        <v/>
      </c>
    </row>
    <row r="738" spans="1:25" x14ac:dyDescent="0.35">
      <c r="A738">
        <v>746</v>
      </c>
      <c r="B738" t="s">
        <v>979</v>
      </c>
      <c r="C738">
        <v>22700</v>
      </c>
      <c r="D738">
        <v>714</v>
      </c>
      <c r="E738" t="str">
        <f>IFERROR(IF(OR(HLOOKUP($A738,#REF!,3,FALSE)&gt;2,HLOOKUP(A738,#REF!,3,FALSE)&lt;-2),"",#REF!),"")</f>
        <v/>
      </c>
      <c r="F738" t="str">
        <f>IFERROR(IF(OR(HLOOKUP($A738,#REF!,4,FALSE)&gt;2,HLOOKUP($A738,#REF!,4,FALSE)&lt;-2),"",#REF!),"")</f>
        <v/>
      </c>
      <c r="G738" t="str">
        <f>IFERROR(IF(OR(HLOOKUP($A738,#REF!,5,FALSE)&gt;2,HLOOKUP($A738,#REF!,5,FALSE)&lt;-2),"",#REF!),"")</f>
        <v/>
      </c>
      <c r="H738" t="str">
        <f>IFERROR(IF(OR(HLOOKUP($A738,#REF!,6,FALSE)&gt;2,HLOOKUP($A738,#REF!,6,FALSE)&lt;-2),"",#REF!),"")</f>
        <v/>
      </c>
      <c r="I738" t="str">
        <f>IFERROR(IF(OR(HLOOKUP($A738,#REF!,7,FALSE)&gt;2,HLOOKUP($A738,#REF!,7,FALSE)&lt;-2),"",#REF!),"")</f>
        <v/>
      </c>
      <c r="J738" t="str">
        <f>IFERROR(IF(OR(HLOOKUP($A738,#REF!,8,FALSE)&gt;2,HLOOKUP($A738,#REF!,8,FALSE)&lt;-2),"",#REF!),"")</f>
        <v/>
      </c>
      <c r="K738" t="str">
        <f>IFERROR(IF(OR(HLOOKUP($A738,#REF!,9,FALSE)&gt;2,HLOOKUP($A738,#REF!,9,FALSE)&lt;-2),"",#REF!),"")</f>
        <v/>
      </c>
      <c r="L738" t="str">
        <f>IFERROR(IF(OR(HLOOKUP($A738,#REF!,10,FALSE)&gt;2,HLOOKUP($A738,#REF!,10,FALSE)&lt;-2),"",#REF!),"")</f>
        <v/>
      </c>
      <c r="M738" t="str">
        <f>IFERROR(IF(OR(HLOOKUP($A738,#REF!,11,FALSE)&gt;2,HLOOKUP($A738,#REF!,11,FALSE)&lt;-2),"",#REF!),"")</f>
        <v/>
      </c>
      <c r="N738" t="str">
        <f>IFERROR(IF(OR(HLOOKUP($A738,#REF!,12,FALSE)&gt;2,HLOOKUP($A738,#REF!,12,FALSE)&lt;-2),"",#REF!),"")</f>
        <v/>
      </c>
      <c r="O738" t="str">
        <f>IFERROR(IF(OR(HLOOKUP($A738,#REF!,13,FALSE)&gt;2,HLOOKUP($A738,#REF!,13,FALSE)&lt;-2),"",#REF!),"")</f>
        <v/>
      </c>
      <c r="P738" t="str">
        <f>IFERROR(IF(OR(HLOOKUP($A738,#REF!,14,FALSE)&gt;2,HLOOKUP($A738,#REF!,14,FALSE)&lt;-2),"",#REF!),"")</f>
        <v/>
      </c>
      <c r="Q738" t="str">
        <f>IFERROR(IF(OR(HLOOKUP($A738,#REF!,15,FALSE)&gt;2,HLOOKUP($A738,#REF!,15,FALSE)&lt;-2),"",#REF!),"")</f>
        <v/>
      </c>
      <c r="R738" t="str">
        <f>IFERROR(IF(OR(HLOOKUP($A738,#REF!,16,FALSE)&gt;2,HLOOKUP($A738,#REF!,16,FALSE)&lt;-2),"",#REF!),"")</f>
        <v/>
      </c>
      <c r="S738" t="str">
        <f>IFERROR(IF(OR(HLOOKUP($A738,#REF!,17,FALSE)&gt;2,HLOOKUP($A738,#REF!,17,FALSE)&lt;-2),"",#REF!),"")</f>
        <v/>
      </c>
      <c r="T738" t="str">
        <f>IFERROR(IF(OR(HLOOKUP($A738,#REF!,18,FALSE)&gt;2,HLOOKUP($A738,#REF!,18,FALSE)&lt;-2),"",#REF!),"")</f>
        <v/>
      </c>
      <c r="U738" t="str">
        <f>IFERROR(IF(OR(HLOOKUP($A738,#REF!,19,FALSE)&gt;2,HLOOKUP($A738,#REF!,19,FALSE)&lt;-2),"",#REF!),"")</f>
        <v/>
      </c>
      <c r="V738">
        <f t="shared" si="44"/>
        <v>1</v>
      </c>
      <c r="W738" t="str">
        <f t="shared" si="45"/>
        <v/>
      </c>
      <c r="X738" t="str">
        <f t="shared" si="46"/>
        <v/>
      </c>
      <c r="Y738" t="str">
        <f t="shared" si="47"/>
        <v/>
      </c>
    </row>
    <row r="739" spans="1:25" x14ac:dyDescent="0.35">
      <c r="A739">
        <v>747</v>
      </c>
      <c r="B739" t="s">
        <v>980</v>
      </c>
      <c r="C739">
        <v>8600</v>
      </c>
      <c r="D739">
        <v>44</v>
      </c>
      <c r="E739" t="str">
        <f>IFERROR(IF(OR(HLOOKUP($A739,#REF!,3,FALSE)&gt;2,HLOOKUP(A739,#REF!,3,FALSE)&lt;-2),"",#REF!),"")</f>
        <v/>
      </c>
      <c r="F739" t="str">
        <f>IFERROR(IF(OR(HLOOKUP($A739,#REF!,4,FALSE)&gt;2,HLOOKUP($A739,#REF!,4,FALSE)&lt;-2),"",#REF!),"")</f>
        <v/>
      </c>
      <c r="G739" t="str">
        <f>IFERROR(IF(OR(HLOOKUP($A739,#REF!,5,FALSE)&gt;2,HLOOKUP($A739,#REF!,5,FALSE)&lt;-2),"",#REF!),"")</f>
        <v/>
      </c>
      <c r="H739" t="str">
        <f>IFERROR(IF(OR(HLOOKUP($A739,#REF!,6,FALSE)&gt;2,HLOOKUP($A739,#REF!,6,FALSE)&lt;-2),"",#REF!),"")</f>
        <v/>
      </c>
      <c r="I739" t="str">
        <f>IFERROR(IF(OR(HLOOKUP($A739,#REF!,7,FALSE)&gt;2,HLOOKUP($A739,#REF!,7,FALSE)&lt;-2),"",#REF!),"")</f>
        <v/>
      </c>
      <c r="J739" t="str">
        <f>IFERROR(IF(OR(HLOOKUP($A739,#REF!,8,FALSE)&gt;2,HLOOKUP($A739,#REF!,8,FALSE)&lt;-2),"",#REF!),"")</f>
        <v/>
      </c>
      <c r="K739" t="str">
        <f>IFERROR(IF(OR(HLOOKUP($A739,#REF!,9,FALSE)&gt;2,HLOOKUP($A739,#REF!,9,FALSE)&lt;-2),"",#REF!),"")</f>
        <v/>
      </c>
      <c r="L739" t="str">
        <f>IFERROR(IF(OR(HLOOKUP($A739,#REF!,10,FALSE)&gt;2,HLOOKUP($A739,#REF!,10,FALSE)&lt;-2),"",#REF!),"")</f>
        <v/>
      </c>
      <c r="M739" t="str">
        <f>IFERROR(IF(OR(HLOOKUP($A739,#REF!,11,FALSE)&gt;2,HLOOKUP($A739,#REF!,11,FALSE)&lt;-2),"",#REF!),"")</f>
        <v/>
      </c>
      <c r="N739" t="str">
        <f>IFERROR(IF(OR(HLOOKUP($A739,#REF!,12,FALSE)&gt;2,HLOOKUP($A739,#REF!,12,FALSE)&lt;-2),"",#REF!),"")</f>
        <v/>
      </c>
      <c r="O739" t="str">
        <f>IFERROR(IF(OR(HLOOKUP($A739,#REF!,13,FALSE)&gt;2,HLOOKUP($A739,#REF!,13,FALSE)&lt;-2),"",#REF!),"")</f>
        <v/>
      </c>
      <c r="P739" t="str">
        <f>IFERROR(IF(OR(HLOOKUP($A739,#REF!,14,FALSE)&gt;2,HLOOKUP($A739,#REF!,14,FALSE)&lt;-2),"",#REF!),"")</f>
        <v/>
      </c>
      <c r="Q739" t="str">
        <f>IFERROR(IF(OR(HLOOKUP($A739,#REF!,15,FALSE)&gt;2,HLOOKUP($A739,#REF!,15,FALSE)&lt;-2),"",#REF!),"")</f>
        <v/>
      </c>
      <c r="R739" t="str">
        <f>IFERROR(IF(OR(HLOOKUP($A739,#REF!,16,FALSE)&gt;2,HLOOKUP($A739,#REF!,16,FALSE)&lt;-2),"",#REF!),"")</f>
        <v/>
      </c>
      <c r="S739" t="str">
        <f>IFERROR(IF(OR(HLOOKUP($A739,#REF!,17,FALSE)&gt;2,HLOOKUP($A739,#REF!,17,FALSE)&lt;-2),"",#REF!),"")</f>
        <v/>
      </c>
      <c r="T739" t="str">
        <f>IFERROR(IF(OR(HLOOKUP($A739,#REF!,18,FALSE)&gt;2,HLOOKUP($A739,#REF!,18,FALSE)&lt;-2),"",#REF!),"")</f>
        <v/>
      </c>
      <c r="U739" t="str">
        <f>IFERROR(IF(OR(HLOOKUP($A739,#REF!,19,FALSE)&gt;2,HLOOKUP($A739,#REF!,19,FALSE)&lt;-2),"",#REF!),"")</f>
        <v/>
      </c>
      <c r="V739">
        <f t="shared" si="44"/>
        <v>1</v>
      </c>
      <c r="W739" t="str">
        <f t="shared" si="45"/>
        <v/>
      </c>
      <c r="X739" t="str">
        <f t="shared" si="46"/>
        <v/>
      </c>
      <c r="Y739" t="str">
        <f t="shared" si="47"/>
        <v/>
      </c>
    </row>
    <row r="740" spans="1:25" x14ac:dyDescent="0.35">
      <c r="A740">
        <v>748</v>
      </c>
      <c r="B740" t="s">
        <v>981</v>
      </c>
      <c r="C740">
        <v>75800</v>
      </c>
      <c r="D740">
        <v>515</v>
      </c>
      <c r="E740" t="str">
        <f>IFERROR(IF(OR(HLOOKUP($A740,#REF!,3,FALSE)&gt;2,HLOOKUP(A740,#REF!,3,FALSE)&lt;-2),"",#REF!),"")</f>
        <v/>
      </c>
      <c r="F740" t="str">
        <f>IFERROR(IF(OR(HLOOKUP($A740,#REF!,4,FALSE)&gt;2,HLOOKUP($A740,#REF!,4,FALSE)&lt;-2),"",#REF!),"")</f>
        <v/>
      </c>
      <c r="G740" t="str">
        <f>IFERROR(IF(OR(HLOOKUP($A740,#REF!,5,FALSE)&gt;2,HLOOKUP($A740,#REF!,5,FALSE)&lt;-2),"",#REF!),"")</f>
        <v/>
      </c>
      <c r="H740" t="str">
        <f>IFERROR(IF(OR(HLOOKUP($A740,#REF!,6,FALSE)&gt;2,HLOOKUP($A740,#REF!,6,FALSE)&lt;-2),"",#REF!),"")</f>
        <v/>
      </c>
      <c r="I740" t="str">
        <f>IFERROR(IF(OR(HLOOKUP($A740,#REF!,7,FALSE)&gt;2,HLOOKUP($A740,#REF!,7,FALSE)&lt;-2),"",#REF!),"")</f>
        <v/>
      </c>
      <c r="J740" t="str">
        <f>IFERROR(IF(OR(HLOOKUP($A740,#REF!,8,FALSE)&gt;2,HLOOKUP($A740,#REF!,8,FALSE)&lt;-2),"",#REF!),"")</f>
        <v/>
      </c>
      <c r="K740" t="str">
        <f>IFERROR(IF(OR(HLOOKUP($A740,#REF!,9,FALSE)&gt;2,HLOOKUP($A740,#REF!,9,FALSE)&lt;-2),"",#REF!),"")</f>
        <v/>
      </c>
      <c r="L740" t="str">
        <f>IFERROR(IF(OR(HLOOKUP($A740,#REF!,10,FALSE)&gt;2,HLOOKUP($A740,#REF!,10,FALSE)&lt;-2),"",#REF!),"")</f>
        <v/>
      </c>
      <c r="M740" t="str">
        <f>IFERROR(IF(OR(HLOOKUP($A740,#REF!,11,FALSE)&gt;2,HLOOKUP($A740,#REF!,11,FALSE)&lt;-2),"",#REF!),"")</f>
        <v/>
      </c>
      <c r="N740" t="str">
        <f>IFERROR(IF(OR(HLOOKUP($A740,#REF!,12,FALSE)&gt;2,HLOOKUP($A740,#REF!,12,FALSE)&lt;-2),"",#REF!),"")</f>
        <v/>
      </c>
      <c r="O740" t="str">
        <f>IFERROR(IF(OR(HLOOKUP($A740,#REF!,13,FALSE)&gt;2,HLOOKUP($A740,#REF!,13,FALSE)&lt;-2),"",#REF!),"")</f>
        <v/>
      </c>
      <c r="P740" t="str">
        <f>IFERROR(IF(OR(HLOOKUP($A740,#REF!,14,FALSE)&gt;2,HLOOKUP($A740,#REF!,14,FALSE)&lt;-2),"",#REF!),"")</f>
        <v/>
      </c>
      <c r="Q740" t="str">
        <f>IFERROR(IF(OR(HLOOKUP($A740,#REF!,15,FALSE)&gt;2,HLOOKUP($A740,#REF!,15,FALSE)&lt;-2),"",#REF!),"")</f>
        <v/>
      </c>
      <c r="R740" t="str">
        <f>IFERROR(IF(OR(HLOOKUP($A740,#REF!,16,FALSE)&gt;2,HLOOKUP($A740,#REF!,16,FALSE)&lt;-2),"",#REF!),"")</f>
        <v/>
      </c>
      <c r="S740" t="str">
        <f>IFERROR(IF(OR(HLOOKUP($A740,#REF!,17,FALSE)&gt;2,HLOOKUP($A740,#REF!,17,FALSE)&lt;-2),"",#REF!),"")</f>
        <v/>
      </c>
      <c r="T740" t="str">
        <f>IFERROR(IF(OR(HLOOKUP($A740,#REF!,18,FALSE)&gt;2,HLOOKUP($A740,#REF!,18,FALSE)&lt;-2),"",#REF!),"")</f>
        <v/>
      </c>
      <c r="U740" t="str">
        <f>IFERROR(IF(OR(HLOOKUP($A740,#REF!,19,FALSE)&gt;2,HLOOKUP($A740,#REF!,19,FALSE)&lt;-2),"",#REF!),"")</f>
        <v/>
      </c>
      <c r="V740">
        <f t="shared" si="44"/>
        <v>1</v>
      </c>
      <c r="W740" t="str">
        <f t="shared" si="45"/>
        <v/>
      </c>
      <c r="X740" t="str">
        <f t="shared" si="46"/>
        <v/>
      </c>
      <c r="Y740" t="str">
        <f t="shared" si="47"/>
        <v/>
      </c>
    </row>
    <row r="741" spans="1:25" x14ac:dyDescent="0.35">
      <c r="A741">
        <v>749</v>
      </c>
      <c r="B741" t="s">
        <v>362</v>
      </c>
      <c r="C741">
        <v>80100</v>
      </c>
      <c r="D741">
        <v>323</v>
      </c>
      <c r="E741" t="str">
        <f>IFERROR(IF(OR(HLOOKUP($A741,#REF!,3,FALSE)&gt;2,HLOOKUP(A741,#REF!,3,FALSE)&lt;-2),"",#REF!),"")</f>
        <v/>
      </c>
      <c r="F741" t="str">
        <f>IFERROR(IF(OR(HLOOKUP($A741,#REF!,4,FALSE)&gt;2,HLOOKUP($A741,#REF!,4,FALSE)&lt;-2),"",#REF!),"")</f>
        <v/>
      </c>
      <c r="G741" t="str">
        <f>IFERROR(IF(OR(HLOOKUP($A741,#REF!,5,FALSE)&gt;2,HLOOKUP($A741,#REF!,5,FALSE)&lt;-2),"",#REF!),"")</f>
        <v/>
      </c>
      <c r="H741" t="str">
        <f>IFERROR(IF(OR(HLOOKUP($A741,#REF!,6,FALSE)&gt;2,HLOOKUP($A741,#REF!,6,FALSE)&lt;-2),"",#REF!),"")</f>
        <v/>
      </c>
      <c r="I741" t="str">
        <f>IFERROR(IF(OR(HLOOKUP($A741,#REF!,7,FALSE)&gt;2,HLOOKUP($A741,#REF!,7,FALSE)&lt;-2),"",#REF!),"")</f>
        <v/>
      </c>
      <c r="J741" t="str">
        <f>IFERROR(IF(OR(HLOOKUP($A741,#REF!,8,FALSE)&gt;2,HLOOKUP($A741,#REF!,8,FALSE)&lt;-2),"",#REF!),"")</f>
        <v/>
      </c>
      <c r="K741" t="str">
        <f>IFERROR(IF(OR(HLOOKUP($A741,#REF!,9,FALSE)&gt;2,HLOOKUP($A741,#REF!,9,FALSE)&lt;-2),"",#REF!),"")</f>
        <v/>
      </c>
      <c r="L741" t="str">
        <f>IFERROR(IF(OR(HLOOKUP($A741,#REF!,10,FALSE)&gt;2,HLOOKUP($A741,#REF!,10,FALSE)&lt;-2),"",#REF!),"")</f>
        <v/>
      </c>
      <c r="M741" t="str">
        <f>IFERROR(IF(OR(HLOOKUP($A741,#REF!,11,FALSE)&gt;2,HLOOKUP($A741,#REF!,11,FALSE)&lt;-2),"",#REF!),"")</f>
        <v/>
      </c>
      <c r="N741" t="str">
        <f>IFERROR(IF(OR(HLOOKUP($A741,#REF!,12,FALSE)&gt;2,HLOOKUP($A741,#REF!,12,FALSE)&lt;-2),"",#REF!),"")</f>
        <v/>
      </c>
      <c r="O741" t="str">
        <f>IFERROR(IF(OR(HLOOKUP($A741,#REF!,13,FALSE)&gt;2,HLOOKUP($A741,#REF!,13,FALSE)&lt;-2),"",#REF!),"")</f>
        <v/>
      </c>
      <c r="P741" t="str">
        <f>IFERROR(IF(OR(HLOOKUP($A741,#REF!,14,FALSE)&gt;2,HLOOKUP($A741,#REF!,14,FALSE)&lt;-2),"",#REF!),"")</f>
        <v/>
      </c>
      <c r="Q741" t="str">
        <f>IFERROR(IF(OR(HLOOKUP($A741,#REF!,15,FALSE)&gt;2,HLOOKUP($A741,#REF!,15,FALSE)&lt;-2),"",#REF!),"")</f>
        <v/>
      </c>
      <c r="R741" t="str">
        <f>IFERROR(IF(OR(HLOOKUP($A741,#REF!,16,FALSE)&gt;2,HLOOKUP($A741,#REF!,16,FALSE)&lt;-2),"",#REF!),"")</f>
        <v/>
      </c>
      <c r="S741" t="str">
        <f>IFERROR(IF(OR(HLOOKUP($A741,#REF!,17,FALSE)&gt;2,HLOOKUP($A741,#REF!,17,FALSE)&lt;-2),"",#REF!),"")</f>
        <v/>
      </c>
      <c r="T741" t="str">
        <f>IFERROR(IF(OR(HLOOKUP($A741,#REF!,18,FALSE)&gt;2,HLOOKUP($A741,#REF!,18,FALSE)&lt;-2),"",#REF!),"")</f>
        <v/>
      </c>
      <c r="U741" t="str">
        <f>IFERROR(IF(OR(HLOOKUP($A741,#REF!,19,FALSE)&gt;2,HLOOKUP($A741,#REF!,19,FALSE)&lt;-2),"",#REF!),"")</f>
        <v/>
      </c>
      <c r="V741">
        <f t="shared" si="44"/>
        <v>1</v>
      </c>
      <c r="W741" t="str">
        <f t="shared" si="45"/>
        <v/>
      </c>
      <c r="X741" t="str">
        <f t="shared" si="46"/>
        <v/>
      </c>
      <c r="Y741" t="str">
        <f t="shared" si="47"/>
        <v/>
      </c>
    </row>
    <row r="742" spans="1:25" x14ac:dyDescent="0.35">
      <c r="A742">
        <v>750</v>
      </c>
      <c r="B742" t="s">
        <v>363</v>
      </c>
      <c r="C742">
        <v>17000</v>
      </c>
      <c r="D742">
        <v>425</v>
      </c>
      <c r="E742" t="str">
        <f>IFERROR(IF(OR(HLOOKUP($A742,#REF!,3,FALSE)&gt;2,HLOOKUP(A742,#REF!,3,FALSE)&lt;-2),"",#REF!),"")</f>
        <v/>
      </c>
      <c r="F742" t="str">
        <f>IFERROR(IF(OR(HLOOKUP($A742,#REF!,4,FALSE)&gt;2,HLOOKUP($A742,#REF!,4,FALSE)&lt;-2),"",#REF!),"")</f>
        <v/>
      </c>
      <c r="G742" t="str">
        <f>IFERROR(IF(OR(HLOOKUP($A742,#REF!,5,FALSE)&gt;2,HLOOKUP($A742,#REF!,5,FALSE)&lt;-2),"",#REF!),"")</f>
        <v/>
      </c>
      <c r="H742" t="str">
        <f>IFERROR(IF(OR(HLOOKUP($A742,#REF!,6,FALSE)&gt;2,HLOOKUP($A742,#REF!,6,FALSE)&lt;-2),"",#REF!),"")</f>
        <v/>
      </c>
      <c r="I742" t="str">
        <f>IFERROR(IF(OR(HLOOKUP($A742,#REF!,7,FALSE)&gt;2,HLOOKUP($A742,#REF!,7,FALSE)&lt;-2),"",#REF!),"")</f>
        <v/>
      </c>
      <c r="J742" t="str">
        <f>IFERROR(IF(OR(HLOOKUP($A742,#REF!,8,FALSE)&gt;2,HLOOKUP($A742,#REF!,8,FALSE)&lt;-2),"",#REF!),"")</f>
        <v/>
      </c>
      <c r="K742" t="str">
        <f>IFERROR(IF(OR(HLOOKUP($A742,#REF!,9,FALSE)&gt;2,HLOOKUP($A742,#REF!,9,FALSE)&lt;-2),"",#REF!),"")</f>
        <v/>
      </c>
      <c r="L742" t="str">
        <f>IFERROR(IF(OR(HLOOKUP($A742,#REF!,10,FALSE)&gt;2,HLOOKUP($A742,#REF!,10,FALSE)&lt;-2),"",#REF!),"")</f>
        <v/>
      </c>
      <c r="M742" t="str">
        <f>IFERROR(IF(OR(HLOOKUP($A742,#REF!,11,FALSE)&gt;2,HLOOKUP($A742,#REF!,11,FALSE)&lt;-2),"",#REF!),"")</f>
        <v/>
      </c>
      <c r="N742" t="str">
        <f>IFERROR(IF(OR(HLOOKUP($A742,#REF!,12,FALSE)&gt;2,HLOOKUP($A742,#REF!,12,FALSE)&lt;-2),"",#REF!),"")</f>
        <v/>
      </c>
      <c r="O742" t="str">
        <f>IFERROR(IF(OR(HLOOKUP($A742,#REF!,13,FALSE)&gt;2,HLOOKUP($A742,#REF!,13,FALSE)&lt;-2),"",#REF!),"")</f>
        <v/>
      </c>
      <c r="P742" t="str">
        <f>IFERROR(IF(OR(HLOOKUP($A742,#REF!,14,FALSE)&gt;2,HLOOKUP($A742,#REF!,14,FALSE)&lt;-2),"",#REF!),"")</f>
        <v/>
      </c>
      <c r="Q742" t="str">
        <f>IFERROR(IF(OR(HLOOKUP($A742,#REF!,15,FALSE)&gt;2,HLOOKUP($A742,#REF!,15,FALSE)&lt;-2),"",#REF!),"")</f>
        <v/>
      </c>
      <c r="R742" t="str">
        <f>IFERROR(IF(OR(HLOOKUP($A742,#REF!,16,FALSE)&gt;2,HLOOKUP($A742,#REF!,16,FALSE)&lt;-2),"",#REF!),"")</f>
        <v/>
      </c>
      <c r="S742" t="str">
        <f>IFERROR(IF(OR(HLOOKUP($A742,#REF!,17,FALSE)&gt;2,HLOOKUP($A742,#REF!,17,FALSE)&lt;-2),"",#REF!),"")</f>
        <v/>
      </c>
      <c r="T742" t="str">
        <f>IFERROR(IF(OR(HLOOKUP($A742,#REF!,18,FALSE)&gt;2,HLOOKUP($A742,#REF!,18,FALSE)&lt;-2),"",#REF!),"")</f>
        <v/>
      </c>
      <c r="U742" t="str">
        <f>IFERROR(IF(OR(HLOOKUP($A742,#REF!,19,FALSE)&gt;2,HLOOKUP($A742,#REF!,19,FALSE)&lt;-2),"",#REF!),"")</f>
        <v/>
      </c>
      <c r="V742">
        <f t="shared" si="44"/>
        <v>1</v>
      </c>
      <c r="W742" t="str">
        <f t="shared" si="45"/>
        <v/>
      </c>
      <c r="X742" t="str">
        <f t="shared" si="46"/>
        <v/>
      </c>
      <c r="Y742" t="str">
        <f t="shared" si="47"/>
        <v/>
      </c>
    </row>
    <row r="743" spans="1:25" x14ac:dyDescent="0.35">
      <c r="A743">
        <v>751</v>
      </c>
      <c r="B743" t="s">
        <v>982</v>
      </c>
      <c r="C743">
        <v>40000</v>
      </c>
      <c r="D743">
        <v>734</v>
      </c>
      <c r="E743" t="str">
        <f>IFERROR(IF(OR(HLOOKUP($A743,#REF!,3,FALSE)&gt;2,HLOOKUP(A743,#REF!,3,FALSE)&lt;-2),"",#REF!),"")</f>
        <v/>
      </c>
      <c r="F743" t="str">
        <f>IFERROR(IF(OR(HLOOKUP($A743,#REF!,4,FALSE)&gt;2,HLOOKUP($A743,#REF!,4,FALSE)&lt;-2),"",#REF!),"")</f>
        <v/>
      </c>
      <c r="G743" t="str">
        <f>IFERROR(IF(OR(HLOOKUP($A743,#REF!,5,FALSE)&gt;2,HLOOKUP($A743,#REF!,5,FALSE)&lt;-2),"",#REF!),"")</f>
        <v/>
      </c>
      <c r="H743" t="str">
        <f>IFERROR(IF(OR(HLOOKUP($A743,#REF!,6,FALSE)&gt;2,HLOOKUP($A743,#REF!,6,FALSE)&lt;-2),"",#REF!),"")</f>
        <v/>
      </c>
      <c r="I743" t="str">
        <f>IFERROR(IF(OR(HLOOKUP($A743,#REF!,7,FALSE)&gt;2,HLOOKUP($A743,#REF!,7,FALSE)&lt;-2),"",#REF!),"")</f>
        <v/>
      </c>
      <c r="J743" t="str">
        <f>IFERROR(IF(OR(HLOOKUP($A743,#REF!,8,FALSE)&gt;2,HLOOKUP($A743,#REF!,8,FALSE)&lt;-2),"",#REF!),"")</f>
        <v/>
      </c>
      <c r="K743" t="str">
        <f>IFERROR(IF(OR(HLOOKUP($A743,#REF!,9,FALSE)&gt;2,HLOOKUP($A743,#REF!,9,FALSE)&lt;-2),"",#REF!),"")</f>
        <v/>
      </c>
      <c r="L743" t="str">
        <f>IFERROR(IF(OR(HLOOKUP($A743,#REF!,10,FALSE)&gt;2,HLOOKUP($A743,#REF!,10,FALSE)&lt;-2),"",#REF!),"")</f>
        <v/>
      </c>
      <c r="M743" t="str">
        <f>IFERROR(IF(OR(HLOOKUP($A743,#REF!,11,FALSE)&gt;2,HLOOKUP($A743,#REF!,11,FALSE)&lt;-2),"",#REF!),"")</f>
        <v/>
      </c>
      <c r="N743" t="str">
        <f>IFERROR(IF(OR(HLOOKUP($A743,#REF!,12,FALSE)&gt;2,HLOOKUP($A743,#REF!,12,FALSE)&lt;-2),"",#REF!),"")</f>
        <v/>
      </c>
      <c r="O743" t="str">
        <f>IFERROR(IF(OR(HLOOKUP($A743,#REF!,13,FALSE)&gt;2,HLOOKUP($A743,#REF!,13,FALSE)&lt;-2),"",#REF!),"")</f>
        <v/>
      </c>
      <c r="P743" t="str">
        <f>IFERROR(IF(OR(HLOOKUP($A743,#REF!,14,FALSE)&gt;2,HLOOKUP($A743,#REF!,14,FALSE)&lt;-2),"",#REF!),"")</f>
        <v/>
      </c>
      <c r="Q743" t="str">
        <f>IFERROR(IF(OR(HLOOKUP($A743,#REF!,15,FALSE)&gt;2,HLOOKUP($A743,#REF!,15,FALSE)&lt;-2),"",#REF!),"")</f>
        <v/>
      </c>
      <c r="R743" t="str">
        <f>IFERROR(IF(OR(HLOOKUP($A743,#REF!,16,FALSE)&gt;2,HLOOKUP($A743,#REF!,16,FALSE)&lt;-2),"",#REF!),"")</f>
        <v/>
      </c>
      <c r="S743" t="str">
        <f>IFERROR(IF(OR(HLOOKUP($A743,#REF!,17,FALSE)&gt;2,HLOOKUP($A743,#REF!,17,FALSE)&lt;-2),"",#REF!),"")</f>
        <v/>
      </c>
      <c r="T743" t="str">
        <f>IFERROR(IF(OR(HLOOKUP($A743,#REF!,18,FALSE)&gt;2,HLOOKUP($A743,#REF!,18,FALSE)&lt;-2),"",#REF!),"")</f>
        <v/>
      </c>
      <c r="U743" t="str">
        <f>IFERROR(IF(OR(HLOOKUP($A743,#REF!,19,FALSE)&gt;2,HLOOKUP($A743,#REF!,19,FALSE)&lt;-2),"",#REF!),"")</f>
        <v/>
      </c>
      <c r="V743">
        <f t="shared" si="44"/>
        <v>1</v>
      </c>
      <c r="W743" t="str">
        <f t="shared" si="45"/>
        <v/>
      </c>
      <c r="X743" t="str">
        <f t="shared" si="46"/>
        <v/>
      </c>
      <c r="Y743" t="str">
        <f t="shared" si="47"/>
        <v/>
      </c>
    </row>
    <row r="744" spans="1:25" x14ac:dyDescent="0.35">
      <c r="A744">
        <v>752</v>
      </c>
      <c r="B744" t="s">
        <v>983</v>
      </c>
      <c r="C744">
        <v>104400</v>
      </c>
      <c r="D744">
        <v>960</v>
      </c>
      <c r="E744" t="str">
        <f>IFERROR(IF(OR(HLOOKUP($A744,#REF!,3,FALSE)&gt;2,HLOOKUP(A744,#REF!,3,FALSE)&lt;-2),"",#REF!),"")</f>
        <v/>
      </c>
      <c r="F744" t="str">
        <f>IFERROR(IF(OR(HLOOKUP($A744,#REF!,4,FALSE)&gt;2,HLOOKUP($A744,#REF!,4,FALSE)&lt;-2),"",#REF!),"")</f>
        <v/>
      </c>
      <c r="G744" t="str">
        <f>IFERROR(IF(OR(HLOOKUP($A744,#REF!,5,FALSE)&gt;2,HLOOKUP($A744,#REF!,5,FALSE)&lt;-2),"",#REF!),"")</f>
        <v/>
      </c>
      <c r="H744" t="str">
        <f>IFERROR(IF(OR(HLOOKUP($A744,#REF!,6,FALSE)&gt;2,HLOOKUP($A744,#REF!,6,FALSE)&lt;-2),"",#REF!),"")</f>
        <v/>
      </c>
      <c r="I744" t="str">
        <f>IFERROR(IF(OR(HLOOKUP($A744,#REF!,7,FALSE)&gt;2,HLOOKUP($A744,#REF!,7,FALSE)&lt;-2),"",#REF!),"")</f>
        <v/>
      </c>
      <c r="J744" t="str">
        <f>IFERROR(IF(OR(HLOOKUP($A744,#REF!,8,FALSE)&gt;2,HLOOKUP($A744,#REF!,8,FALSE)&lt;-2),"",#REF!),"")</f>
        <v/>
      </c>
      <c r="K744" t="str">
        <f>IFERROR(IF(OR(HLOOKUP($A744,#REF!,9,FALSE)&gt;2,HLOOKUP($A744,#REF!,9,FALSE)&lt;-2),"",#REF!),"")</f>
        <v/>
      </c>
      <c r="L744" t="str">
        <f>IFERROR(IF(OR(HLOOKUP($A744,#REF!,10,FALSE)&gt;2,HLOOKUP($A744,#REF!,10,FALSE)&lt;-2),"",#REF!),"")</f>
        <v/>
      </c>
      <c r="M744" t="str">
        <f>IFERROR(IF(OR(HLOOKUP($A744,#REF!,11,FALSE)&gt;2,HLOOKUP($A744,#REF!,11,FALSE)&lt;-2),"",#REF!),"")</f>
        <v/>
      </c>
      <c r="N744" t="str">
        <f>IFERROR(IF(OR(HLOOKUP($A744,#REF!,12,FALSE)&gt;2,HLOOKUP($A744,#REF!,12,FALSE)&lt;-2),"",#REF!),"")</f>
        <v/>
      </c>
      <c r="O744" t="str">
        <f>IFERROR(IF(OR(HLOOKUP($A744,#REF!,13,FALSE)&gt;2,HLOOKUP($A744,#REF!,13,FALSE)&lt;-2),"",#REF!),"")</f>
        <v/>
      </c>
      <c r="P744" t="str">
        <f>IFERROR(IF(OR(HLOOKUP($A744,#REF!,14,FALSE)&gt;2,HLOOKUP($A744,#REF!,14,FALSE)&lt;-2),"",#REF!),"")</f>
        <v/>
      </c>
      <c r="Q744" t="str">
        <f>IFERROR(IF(OR(HLOOKUP($A744,#REF!,15,FALSE)&gt;2,HLOOKUP($A744,#REF!,15,FALSE)&lt;-2),"",#REF!),"")</f>
        <v/>
      </c>
      <c r="R744" t="str">
        <f>IFERROR(IF(OR(HLOOKUP($A744,#REF!,16,FALSE)&gt;2,HLOOKUP($A744,#REF!,16,FALSE)&lt;-2),"",#REF!),"")</f>
        <v/>
      </c>
      <c r="S744" t="str">
        <f>IFERROR(IF(OR(HLOOKUP($A744,#REF!,17,FALSE)&gt;2,HLOOKUP($A744,#REF!,17,FALSE)&lt;-2),"",#REF!),"")</f>
        <v/>
      </c>
      <c r="T744" t="str">
        <f>IFERROR(IF(OR(HLOOKUP($A744,#REF!,18,FALSE)&gt;2,HLOOKUP($A744,#REF!,18,FALSE)&lt;-2),"",#REF!),"")</f>
        <v/>
      </c>
      <c r="U744" t="str">
        <f>IFERROR(IF(OR(HLOOKUP($A744,#REF!,19,FALSE)&gt;2,HLOOKUP($A744,#REF!,19,FALSE)&lt;-2),"",#REF!),"")</f>
        <v/>
      </c>
      <c r="V744">
        <f t="shared" si="44"/>
        <v>1</v>
      </c>
      <c r="W744" t="str">
        <f t="shared" si="45"/>
        <v/>
      </c>
      <c r="X744" t="str">
        <f t="shared" si="46"/>
        <v/>
      </c>
      <c r="Y744" t="str">
        <f t="shared" si="47"/>
        <v/>
      </c>
    </row>
    <row r="745" spans="1:25" x14ac:dyDescent="0.35">
      <c r="A745">
        <v>753</v>
      </c>
      <c r="B745" t="s">
        <v>984</v>
      </c>
      <c r="C745">
        <v>114400</v>
      </c>
      <c r="D745">
        <v>46</v>
      </c>
      <c r="E745" t="str">
        <f>IFERROR(IF(OR(HLOOKUP($A745,#REF!,3,FALSE)&gt;2,HLOOKUP(A745,#REF!,3,FALSE)&lt;-2),"",#REF!),"")</f>
        <v/>
      </c>
      <c r="F745" t="str">
        <f>IFERROR(IF(OR(HLOOKUP($A745,#REF!,4,FALSE)&gt;2,HLOOKUP($A745,#REF!,4,FALSE)&lt;-2),"",#REF!),"")</f>
        <v/>
      </c>
      <c r="G745" t="str">
        <f>IFERROR(IF(OR(HLOOKUP($A745,#REF!,5,FALSE)&gt;2,HLOOKUP($A745,#REF!,5,FALSE)&lt;-2),"",#REF!),"")</f>
        <v/>
      </c>
      <c r="H745" t="str">
        <f>IFERROR(IF(OR(HLOOKUP($A745,#REF!,6,FALSE)&gt;2,HLOOKUP($A745,#REF!,6,FALSE)&lt;-2),"",#REF!),"")</f>
        <v/>
      </c>
      <c r="I745" t="str">
        <f>IFERROR(IF(OR(HLOOKUP($A745,#REF!,7,FALSE)&gt;2,HLOOKUP($A745,#REF!,7,FALSE)&lt;-2),"",#REF!),"")</f>
        <v/>
      </c>
      <c r="J745" t="str">
        <f>IFERROR(IF(OR(HLOOKUP($A745,#REF!,8,FALSE)&gt;2,HLOOKUP($A745,#REF!,8,FALSE)&lt;-2),"",#REF!),"")</f>
        <v/>
      </c>
      <c r="K745" t="str">
        <f>IFERROR(IF(OR(HLOOKUP($A745,#REF!,9,FALSE)&gt;2,HLOOKUP($A745,#REF!,9,FALSE)&lt;-2),"",#REF!),"")</f>
        <v/>
      </c>
      <c r="L745" t="str">
        <f>IFERROR(IF(OR(HLOOKUP($A745,#REF!,10,FALSE)&gt;2,HLOOKUP($A745,#REF!,10,FALSE)&lt;-2),"",#REF!),"")</f>
        <v/>
      </c>
      <c r="M745" t="str">
        <f>IFERROR(IF(OR(HLOOKUP($A745,#REF!,11,FALSE)&gt;2,HLOOKUP($A745,#REF!,11,FALSE)&lt;-2),"",#REF!),"")</f>
        <v/>
      </c>
      <c r="N745" t="str">
        <f>IFERROR(IF(OR(HLOOKUP($A745,#REF!,12,FALSE)&gt;2,HLOOKUP($A745,#REF!,12,FALSE)&lt;-2),"",#REF!),"")</f>
        <v/>
      </c>
      <c r="O745" t="str">
        <f>IFERROR(IF(OR(HLOOKUP($A745,#REF!,13,FALSE)&gt;2,HLOOKUP($A745,#REF!,13,FALSE)&lt;-2),"",#REF!),"")</f>
        <v/>
      </c>
      <c r="P745" t="str">
        <f>IFERROR(IF(OR(HLOOKUP($A745,#REF!,14,FALSE)&gt;2,HLOOKUP($A745,#REF!,14,FALSE)&lt;-2),"",#REF!),"")</f>
        <v/>
      </c>
      <c r="Q745" t="str">
        <f>IFERROR(IF(OR(HLOOKUP($A745,#REF!,15,FALSE)&gt;2,HLOOKUP($A745,#REF!,15,FALSE)&lt;-2),"",#REF!),"")</f>
        <v/>
      </c>
      <c r="R745" t="str">
        <f>IFERROR(IF(OR(HLOOKUP($A745,#REF!,16,FALSE)&gt;2,HLOOKUP($A745,#REF!,16,FALSE)&lt;-2),"",#REF!),"")</f>
        <v/>
      </c>
      <c r="S745" t="str">
        <f>IFERROR(IF(OR(HLOOKUP($A745,#REF!,17,FALSE)&gt;2,HLOOKUP($A745,#REF!,17,FALSE)&lt;-2),"",#REF!),"")</f>
        <v/>
      </c>
      <c r="T745" t="str">
        <f>IFERROR(IF(OR(HLOOKUP($A745,#REF!,18,FALSE)&gt;2,HLOOKUP($A745,#REF!,18,FALSE)&lt;-2),"",#REF!),"")</f>
        <v/>
      </c>
      <c r="U745" t="str">
        <f>IFERROR(IF(OR(HLOOKUP($A745,#REF!,19,FALSE)&gt;2,HLOOKUP($A745,#REF!,19,FALSE)&lt;-2),"",#REF!),"")</f>
        <v/>
      </c>
      <c r="V745">
        <f t="shared" si="44"/>
        <v>1</v>
      </c>
      <c r="W745" t="str">
        <f t="shared" si="45"/>
        <v/>
      </c>
      <c r="X745" t="str">
        <f t="shared" si="46"/>
        <v/>
      </c>
      <c r="Y745" t="str">
        <f t="shared" si="47"/>
        <v/>
      </c>
    </row>
    <row r="746" spans="1:25" x14ac:dyDescent="0.35">
      <c r="A746">
        <v>754</v>
      </c>
      <c r="B746" t="s">
        <v>364</v>
      </c>
      <c r="C746">
        <v>48600</v>
      </c>
      <c r="D746">
        <v>493</v>
      </c>
      <c r="E746" t="str">
        <f>IFERROR(IF(OR(HLOOKUP($A746,#REF!,3,FALSE)&gt;2,HLOOKUP(A746,#REF!,3,FALSE)&lt;-2),"",#REF!),"")</f>
        <v/>
      </c>
      <c r="F746" t="str">
        <f>IFERROR(IF(OR(HLOOKUP($A746,#REF!,4,FALSE)&gt;2,HLOOKUP($A746,#REF!,4,FALSE)&lt;-2),"",#REF!),"")</f>
        <v/>
      </c>
      <c r="G746" t="str">
        <f>IFERROR(IF(OR(HLOOKUP($A746,#REF!,5,FALSE)&gt;2,HLOOKUP($A746,#REF!,5,FALSE)&lt;-2),"",#REF!),"")</f>
        <v/>
      </c>
      <c r="H746" t="str">
        <f>IFERROR(IF(OR(HLOOKUP($A746,#REF!,6,FALSE)&gt;2,HLOOKUP($A746,#REF!,6,FALSE)&lt;-2),"",#REF!),"")</f>
        <v/>
      </c>
      <c r="I746" t="str">
        <f>IFERROR(IF(OR(HLOOKUP($A746,#REF!,7,FALSE)&gt;2,HLOOKUP($A746,#REF!,7,FALSE)&lt;-2),"",#REF!),"")</f>
        <v/>
      </c>
      <c r="J746" t="str">
        <f>IFERROR(IF(OR(HLOOKUP($A746,#REF!,8,FALSE)&gt;2,HLOOKUP($A746,#REF!,8,FALSE)&lt;-2),"",#REF!),"")</f>
        <v/>
      </c>
      <c r="K746" t="str">
        <f>IFERROR(IF(OR(HLOOKUP($A746,#REF!,9,FALSE)&gt;2,HLOOKUP($A746,#REF!,9,FALSE)&lt;-2),"",#REF!),"")</f>
        <v/>
      </c>
      <c r="L746" t="str">
        <f>IFERROR(IF(OR(HLOOKUP($A746,#REF!,10,FALSE)&gt;2,HLOOKUP($A746,#REF!,10,FALSE)&lt;-2),"",#REF!),"")</f>
        <v/>
      </c>
      <c r="M746" t="str">
        <f>IFERROR(IF(OR(HLOOKUP($A746,#REF!,11,FALSE)&gt;2,HLOOKUP($A746,#REF!,11,FALSE)&lt;-2),"",#REF!),"")</f>
        <v/>
      </c>
      <c r="N746" t="str">
        <f>IFERROR(IF(OR(HLOOKUP($A746,#REF!,12,FALSE)&gt;2,HLOOKUP($A746,#REF!,12,FALSE)&lt;-2),"",#REF!),"")</f>
        <v/>
      </c>
      <c r="O746" t="str">
        <f>IFERROR(IF(OR(HLOOKUP($A746,#REF!,13,FALSE)&gt;2,HLOOKUP($A746,#REF!,13,FALSE)&lt;-2),"",#REF!),"")</f>
        <v/>
      </c>
      <c r="P746" t="str">
        <f>IFERROR(IF(OR(HLOOKUP($A746,#REF!,14,FALSE)&gt;2,HLOOKUP($A746,#REF!,14,FALSE)&lt;-2),"",#REF!),"")</f>
        <v/>
      </c>
      <c r="Q746" t="str">
        <f>IFERROR(IF(OR(HLOOKUP($A746,#REF!,15,FALSE)&gt;2,HLOOKUP($A746,#REF!,15,FALSE)&lt;-2),"",#REF!),"")</f>
        <v/>
      </c>
      <c r="R746" t="str">
        <f>IFERROR(IF(OR(HLOOKUP($A746,#REF!,16,FALSE)&gt;2,HLOOKUP($A746,#REF!,16,FALSE)&lt;-2),"",#REF!),"")</f>
        <v/>
      </c>
      <c r="S746" t="str">
        <f>IFERROR(IF(OR(HLOOKUP($A746,#REF!,17,FALSE)&gt;2,HLOOKUP($A746,#REF!,17,FALSE)&lt;-2),"",#REF!),"")</f>
        <v/>
      </c>
      <c r="T746" t="str">
        <f>IFERROR(IF(OR(HLOOKUP($A746,#REF!,18,FALSE)&gt;2,HLOOKUP($A746,#REF!,18,FALSE)&lt;-2),"",#REF!),"")</f>
        <v/>
      </c>
      <c r="U746" t="str">
        <f>IFERROR(IF(OR(HLOOKUP($A746,#REF!,19,FALSE)&gt;2,HLOOKUP($A746,#REF!,19,FALSE)&lt;-2),"",#REF!),"")</f>
        <v/>
      </c>
      <c r="V746">
        <f t="shared" si="44"/>
        <v>1</v>
      </c>
      <c r="W746" t="str">
        <f t="shared" si="45"/>
        <v/>
      </c>
      <c r="X746" t="str">
        <f t="shared" si="46"/>
        <v/>
      </c>
      <c r="Y746" t="str">
        <f t="shared" si="47"/>
        <v/>
      </c>
    </row>
    <row r="747" spans="1:25" x14ac:dyDescent="0.35">
      <c r="A747">
        <v>755</v>
      </c>
      <c r="B747" t="s">
        <v>365</v>
      </c>
      <c r="C747">
        <v>12900</v>
      </c>
      <c r="D747">
        <v>1018</v>
      </c>
      <c r="E747" t="str">
        <f>IFERROR(IF(OR(HLOOKUP($A747,#REF!,3,FALSE)&gt;2,HLOOKUP(A747,#REF!,3,FALSE)&lt;-2),"",#REF!),"")</f>
        <v/>
      </c>
      <c r="F747" t="str">
        <f>IFERROR(IF(OR(HLOOKUP($A747,#REF!,4,FALSE)&gt;2,HLOOKUP($A747,#REF!,4,FALSE)&lt;-2),"",#REF!),"")</f>
        <v/>
      </c>
      <c r="G747" t="str">
        <f>IFERROR(IF(OR(HLOOKUP($A747,#REF!,5,FALSE)&gt;2,HLOOKUP($A747,#REF!,5,FALSE)&lt;-2),"",#REF!),"")</f>
        <v/>
      </c>
      <c r="H747" t="str">
        <f>IFERROR(IF(OR(HLOOKUP($A747,#REF!,6,FALSE)&gt;2,HLOOKUP($A747,#REF!,6,FALSE)&lt;-2),"",#REF!),"")</f>
        <v/>
      </c>
      <c r="I747" t="str">
        <f>IFERROR(IF(OR(HLOOKUP($A747,#REF!,7,FALSE)&gt;2,HLOOKUP($A747,#REF!,7,FALSE)&lt;-2),"",#REF!),"")</f>
        <v/>
      </c>
      <c r="J747" t="str">
        <f>IFERROR(IF(OR(HLOOKUP($A747,#REF!,8,FALSE)&gt;2,HLOOKUP($A747,#REF!,8,FALSE)&lt;-2),"",#REF!),"")</f>
        <v/>
      </c>
      <c r="K747" t="str">
        <f>IFERROR(IF(OR(HLOOKUP($A747,#REF!,9,FALSE)&gt;2,HLOOKUP($A747,#REF!,9,FALSE)&lt;-2),"",#REF!),"")</f>
        <v/>
      </c>
      <c r="L747" t="str">
        <f>IFERROR(IF(OR(HLOOKUP($A747,#REF!,10,FALSE)&gt;2,HLOOKUP($A747,#REF!,10,FALSE)&lt;-2),"",#REF!),"")</f>
        <v/>
      </c>
      <c r="M747" t="str">
        <f>IFERROR(IF(OR(HLOOKUP($A747,#REF!,11,FALSE)&gt;2,HLOOKUP($A747,#REF!,11,FALSE)&lt;-2),"",#REF!),"")</f>
        <v/>
      </c>
      <c r="N747" t="str">
        <f>IFERROR(IF(OR(HLOOKUP($A747,#REF!,12,FALSE)&gt;2,HLOOKUP($A747,#REF!,12,FALSE)&lt;-2),"",#REF!),"")</f>
        <v/>
      </c>
      <c r="O747" t="str">
        <f>IFERROR(IF(OR(HLOOKUP($A747,#REF!,13,FALSE)&gt;2,HLOOKUP($A747,#REF!,13,FALSE)&lt;-2),"",#REF!),"")</f>
        <v/>
      </c>
      <c r="P747" t="str">
        <f>IFERROR(IF(OR(HLOOKUP($A747,#REF!,14,FALSE)&gt;2,HLOOKUP($A747,#REF!,14,FALSE)&lt;-2),"",#REF!),"")</f>
        <v/>
      </c>
      <c r="Q747" t="str">
        <f>IFERROR(IF(OR(HLOOKUP($A747,#REF!,15,FALSE)&gt;2,HLOOKUP($A747,#REF!,15,FALSE)&lt;-2),"",#REF!),"")</f>
        <v/>
      </c>
      <c r="R747" t="str">
        <f>IFERROR(IF(OR(HLOOKUP($A747,#REF!,16,FALSE)&gt;2,HLOOKUP($A747,#REF!,16,FALSE)&lt;-2),"",#REF!),"")</f>
        <v/>
      </c>
      <c r="S747" t="str">
        <f>IFERROR(IF(OR(HLOOKUP($A747,#REF!,17,FALSE)&gt;2,HLOOKUP($A747,#REF!,17,FALSE)&lt;-2),"",#REF!),"")</f>
        <v/>
      </c>
      <c r="T747" t="str">
        <f>IFERROR(IF(OR(HLOOKUP($A747,#REF!,18,FALSE)&gt;2,HLOOKUP($A747,#REF!,18,FALSE)&lt;-2),"",#REF!),"")</f>
        <v/>
      </c>
      <c r="U747" t="str">
        <f>IFERROR(IF(OR(HLOOKUP($A747,#REF!,19,FALSE)&gt;2,HLOOKUP($A747,#REF!,19,FALSE)&lt;-2),"",#REF!),"")</f>
        <v/>
      </c>
      <c r="V747">
        <f t="shared" si="44"/>
        <v>1</v>
      </c>
      <c r="W747" t="str">
        <f t="shared" si="45"/>
        <v/>
      </c>
      <c r="X747" t="str">
        <f t="shared" si="46"/>
        <v/>
      </c>
      <c r="Y747" t="str">
        <f t="shared" si="47"/>
        <v/>
      </c>
    </row>
    <row r="748" spans="1:25" x14ac:dyDescent="0.35">
      <c r="A748">
        <v>756</v>
      </c>
      <c r="B748" t="s">
        <v>985</v>
      </c>
      <c r="C748">
        <v>75900</v>
      </c>
      <c r="D748">
        <v>515</v>
      </c>
      <c r="E748" t="str">
        <f>IFERROR(IF(OR(HLOOKUP($A748,#REF!,3,FALSE)&gt;2,HLOOKUP(A748,#REF!,3,FALSE)&lt;-2),"",#REF!),"")</f>
        <v/>
      </c>
      <c r="F748" t="str">
        <f>IFERROR(IF(OR(HLOOKUP($A748,#REF!,4,FALSE)&gt;2,HLOOKUP($A748,#REF!,4,FALSE)&lt;-2),"",#REF!),"")</f>
        <v/>
      </c>
      <c r="G748" t="str">
        <f>IFERROR(IF(OR(HLOOKUP($A748,#REF!,5,FALSE)&gt;2,HLOOKUP($A748,#REF!,5,FALSE)&lt;-2),"",#REF!),"")</f>
        <v/>
      </c>
      <c r="H748" t="str">
        <f>IFERROR(IF(OR(HLOOKUP($A748,#REF!,6,FALSE)&gt;2,HLOOKUP($A748,#REF!,6,FALSE)&lt;-2),"",#REF!),"")</f>
        <v/>
      </c>
      <c r="I748" t="str">
        <f>IFERROR(IF(OR(HLOOKUP($A748,#REF!,7,FALSE)&gt;2,HLOOKUP($A748,#REF!,7,FALSE)&lt;-2),"",#REF!),"")</f>
        <v/>
      </c>
      <c r="J748" t="str">
        <f>IFERROR(IF(OR(HLOOKUP($A748,#REF!,8,FALSE)&gt;2,HLOOKUP($A748,#REF!,8,FALSE)&lt;-2),"",#REF!),"")</f>
        <v/>
      </c>
      <c r="K748" t="str">
        <f>IFERROR(IF(OR(HLOOKUP($A748,#REF!,9,FALSE)&gt;2,HLOOKUP($A748,#REF!,9,FALSE)&lt;-2),"",#REF!),"")</f>
        <v/>
      </c>
      <c r="L748" t="str">
        <f>IFERROR(IF(OR(HLOOKUP($A748,#REF!,10,FALSE)&gt;2,HLOOKUP($A748,#REF!,10,FALSE)&lt;-2),"",#REF!),"")</f>
        <v/>
      </c>
      <c r="M748" t="str">
        <f>IFERROR(IF(OR(HLOOKUP($A748,#REF!,11,FALSE)&gt;2,HLOOKUP($A748,#REF!,11,FALSE)&lt;-2),"",#REF!),"")</f>
        <v/>
      </c>
      <c r="N748" t="str">
        <f>IFERROR(IF(OR(HLOOKUP($A748,#REF!,12,FALSE)&gt;2,HLOOKUP($A748,#REF!,12,FALSE)&lt;-2),"",#REF!),"")</f>
        <v/>
      </c>
      <c r="O748" t="str">
        <f>IFERROR(IF(OR(HLOOKUP($A748,#REF!,13,FALSE)&gt;2,HLOOKUP($A748,#REF!,13,FALSE)&lt;-2),"",#REF!),"")</f>
        <v/>
      </c>
      <c r="P748" t="str">
        <f>IFERROR(IF(OR(HLOOKUP($A748,#REF!,14,FALSE)&gt;2,HLOOKUP($A748,#REF!,14,FALSE)&lt;-2),"",#REF!),"")</f>
        <v/>
      </c>
      <c r="Q748" t="str">
        <f>IFERROR(IF(OR(HLOOKUP($A748,#REF!,15,FALSE)&gt;2,HLOOKUP($A748,#REF!,15,FALSE)&lt;-2),"",#REF!),"")</f>
        <v/>
      </c>
      <c r="R748" t="str">
        <f>IFERROR(IF(OR(HLOOKUP($A748,#REF!,16,FALSE)&gt;2,HLOOKUP($A748,#REF!,16,FALSE)&lt;-2),"",#REF!),"")</f>
        <v/>
      </c>
      <c r="S748" t="str">
        <f>IFERROR(IF(OR(HLOOKUP($A748,#REF!,17,FALSE)&gt;2,HLOOKUP($A748,#REF!,17,FALSE)&lt;-2),"",#REF!),"")</f>
        <v/>
      </c>
      <c r="T748" t="str">
        <f>IFERROR(IF(OR(HLOOKUP($A748,#REF!,18,FALSE)&gt;2,HLOOKUP($A748,#REF!,18,FALSE)&lt;-2),"",#REF!),"")</f>
        <v/>
      </c>
      <c r="U748" t="str">
        <f>IFERROR(IF(OR(HLOOKUP($A748,#REF!,19,FALSE)&gt;2,HLOOKUP($A748,#REF!,19,FALSE)&lt;-2),"",#REF!),"")</f>
        <v/>
      </c>
      <c r="V748">
        <f t="shared" si="44"/>
        <v>1</v>
      </c>
      <c r="W748" t="str">
        <f t="shared" si="45"/>
        <v/>
      </c>
      <c r="X748" t="str">
        <f t="shared" si="46"/>
        <v/>
      </c>
      <c r="Y748" t="str">
        <f t="shared" si="47"/>
        <v/>
      </c>
    </row>
    <row r="749" spans="1:25" x14ac:dyDescent="0.35">
      <c r="A749">
        <v>757</v>
      </c>
      <c r="B749" t="s">
        <v>366</v>
      </c>
      <c r="C749">
        <v>83100</v>
      </c>
      <c r="D749">
        <v>323</v>
      </c>
      <c r="E749" t="str">
        <f>IFERROR(IF(OR(HLOOKUP($A749,#REF!,3,FALSE)&gt;2,HLOOKUP(A749,#REF!,3,FALSE)&lt;-2),"",#REF!),"")</f>
        <v/>
      </c>
      <c r="F749" t="str">
        <f>IFERROR(IF(OR(HLOOKUP($A749,#REF!,4,FALSE)&gt;2,HLOOKUP($A749,#REF!,4,FALSE)&lt;-2),"",#REF!),"")</f>
        <v/>
      </c>
      <c r="G749" t="str">
        <f>IFERROR(IF(OR(HLOOKUP($A749,#REF!,5,FALSE)&gt;2,HLOOKUP($A749,#REF!,5,FALSE)&lt;-2),"",#REF!),"")</f>
        <v/>
      </c>
      <c r="H749" t="str">
        <f>IFERROR(IF(OR(HLOOKUP($A749,#REF!,6,FALSE)&gt;2,HLOOKUP($A749,#REF!,6,FALSE)&lt;-2),"",#REF!),"")</f>
        <v/>
      </c>
      <c r="I749" t="str">
        <f>IFERROR(IF(OR(HLOOKUP($A749,#REF!,7,FALSE)&gt;2,HLOOKUP($A749,#REF!,7,FALSE)&lt;-2),"",#REF!),"")</f>
        <v/>
      </c>
      <c r="J749" t="str">
        <f>IFERROR(IF(OR(HLOOKUP($A749,#REF!,8,FALSE)&gt;2,HLOOKUP($A749,#REF!,8,FALSE)&lt;-2),"",#REF!),"")</f>
        <v/>
      </c>
      <c r="K749" t="str">
        <f>IFERROR(IF(OR(HLOOKUP($A749,#REF!,9,FALSE)&gt;2,HLOOKUP($A749,#REF!,9,FALSE)&lt;-2),"",#REF!),"")</f>
        <v/>
      </c>
      <c r="L749" t="str">
        <f>IFERROR(IF(OR(HLOOKUP($A749,#REF!,10,FALSE)&gt;2,HLOOKUP($A749,#REF!,10,FALSE)&lt;-2),"",#REF!),"")</f>
        <v/>
      </c>
      <c r="M749" t="str">
        <f>IFERROR(IF(OR(HLOOKUP($A749,#REF!,11,FALSE)&gt;2,HLOOKUP($A749,#REF!,11,FALSE)&lt;-2),"",#REF!),"")</f>
        <v/>
      </c>
      <c r="N749" t="str">
        <f>IFERROR(IF(OR(HLOOKUP($A749,#REF!,12,FALSE)&gt;2,HLOOKUP($A749,#REF!,12,FALSE)&lt;-2),"",#REF!),"")</f>
        <v/>
      </c>
      <c r="O749" t="str">
        <f>IFERROR(IF(OR(HLOOKUP($A749,#REF!,13,FALSE)&gt;2,HLOOKUP($A749,#REF!,13,FALSE)&lt;-2),"",#REF!),"")</f>
        <v/>
      </c>
      <c r="P749" t="str">
        <f>IFERROR(IF(OR(HLOOKUP($A749,#REF!,14,FALSE)&gt;2,HLOOKUP($A749,#REF!,14,FALSE)&lt;-2),"",#REF!),"")</f>
        <v/>
      </c>
      <c r="Q749" t="str">
        <f>IFERROR(IF(OR(HLOOKUP($A749,#REF!,15,FALSE)&gt;2,HLOOKUP($A749,#REF!,15,FALSE)&lt;-2),"",#REF!),"")</f>
        <v/>
      </c>
      <c r="R749" t="str">
        <f>IFERROR(IF(OR(HLOOKUP($A749,#REF!,16,FALSE)&gt;2,HLOOKUP($A749,#REF!,16,FALSE)&lt;-2),"",#REF!),"")</f>
        <v/>
      </c>
      <c r="S749" t="str">
        <f>IFERROR(IF(OR(HLOOKUP($A749,#REF!,17,FALSE)&gt;2,HLOOKUP($A749,#REF!,17,FALSE)&lt;-2),"",#REF!),"")</f>
        <v/>
      </c>
      <c r="T749" t="str">
        <f>IFERROR(IF(OR(HLOOKUP($A749,#REF!,18,FALSE)&gt;2,HLOOKUP($A749,#REF!,18,FALSE)&lt;-2),"",#REF!),"")</f>
        <v/>
      </c>
      <c r="U749" t="str">
        <f>IFERROR(IF(OR(HLOOKUP($A749,#REF!,19,FALSE)&gt;2,HLOOKUP($A749,#REF!,19,FALSE)&lt;-2),"",#REF!),"")</f>
        <v/>
      </c>
      <c r="V749">
        <f t="shared" si="44"/>
        <v>1</v>
      </c>
      <c r="W749" t="str">
        <f t="shared" si="45"/>
        <v/>
      </c>
      <c r="X749" t="str">
        <f t="shared" si="46"/>
        <v/>
      </c>
      <c r="Y749" t="str">
        <f t="shared" si="47"/>
        <v/>
      </c>
    </row>
    <row r="750" spans="1:25" x14ac:dyDescent="0.35">
      <c r="A750">
        <v>758</v>
      </c>
      <c r="B750" t="s">
        <v>986</v>
      </c>
      <c r="C750">
        <v>40100</v>
      </c>
      <c r="D750">
        <v>734</v>
      </c>
      <c r="E750" t="str">
        <f>IFERROR(IF(OR(HLOOKUP($A750,#REF!,3,FALSE)&gt;2,HLOOKUP(A750,#REF!,3,FALSE)&lt;-2),"",#REF!),"")</f>
        <v/>
      </c>
      <c r="F750" t="str">
        <f>IFERROR(IF(OR(HLOOKUP($A750,#REF!,4,FALSE)&gt;2,HLOOKUP($A750,#REF!,4,FALSE)&lt;-2),"",#REF!),"")</f>
        <v/>
      </c>
      <c r="G750" t="str">
        <f>IFERROR(IF(OR(HLOOKUP($A750,#REF!,5,FALSE)&gt;2,HLOOKUP($A750,#REF!,5,FALSE)&lt;-2),"",#REF!),"")</f>
        <v/>
      </c>
      <c r="H750" t="str">
        <f>IFERROR(IF(OR(HLOOKUP($A750,#REF!,6,FALSE)&gt;2,HLOOKUP($A750,#REF!,6,FALSE)&lt;-2),"",#REF!),"")</f>
        <v/>
      </c>
      <c r="I750" t="str">
        <f>IFERROR(IF(OR(HLOOKUP($A750,#REF!,7,FALSE)&gt;2,HLOOKUP($A750,#REF!,7,FALSE)&lt;-2),"",#REF!),"")</f>
        <v/>
      </c>
      <c r="J750" t="str">
        <f>IFERROR(IF(OR(HLOOKUP($A750,#REF!,8,FALSE)&gt;2,HLOOKUP($A750,#REF!,8,FALSE)&lt;-2),"",#REF!),"")</f>
        <v/>
      </c>
      <c r="K750" t="str">
        <f>IFERROR(IF(OR(HLOOKUP($A750,#REF!,9,FALSE)&gt;2,HLOOKUP($A750,#REF!,9,FALSE)&lt;-2),"",#REF!),"")</f>
        <v/>
      </c>
      <c r="L750" t="str">
        <f>IFERROR(IF(OR(HLOOKUP($A750,#REF!,10,FALSE)&gt;2,HLOOKUP($A750,#REF!,10,FALSE)&lt;-2),"",#REF!),"")</f>
        <v/>
      </c>
      <c r="M750" t="str">
        <f>IFERROR(IF(OR(HLOOKUP($A750,#REF!,11,FALSE)&gt;2,HLOOKUP($A750,#REF!,11,FALSE)&lt;-2),"",#REF!),"")</f>
        <v/>
      </c>
      <c r="N750" t="str">
        <f>IFERROR(IF(OR(HLOOKUP($A750,#REF!,12,FALSE)&gt;2,HLOOKUP($A750,#REF!,12,FALSE)&lt;-2),"",#REF!),"")</f>
        <v/>
      </c>
      <c r="O750" t="str">
        <f>IFERROR(IF(OR(HLOOKUP($A750,#REF!,13,FALSE)&gt;2,HLOOKUP($A750,#REF!,13,FALSE)&lt;-2),"",#REF!),"")</f>
        <v/>
      </c>
      <c r="P750" t="str">
        <f>IFERROR(IF(OR(HLOOKUP($A750,#REF!,14,FALSE)&gt;2,HLOOKUP($A750,#REF!,14,FALSE)&lt;-2),"",#REF!),"")</f>
        <v/>
      </c>
      <c r="Q750" t="str">
        <f>IFERROR(IF(OR(HLOOKUP($A750,#REF!,15,FALSE)&gt;2,HLOOKUP($A750,#REF!,15,FALSE)&lt;-2),"",#REF!),"")</f>
        <v/>
      </c>
      <c r="R750" t="str">
        <f>IFERROR(IF(OR(HLOOKUP($A750,#REF!,16,FALSE)&gt;2,HLOOKUP($A750,#REF!,16,FALSE)&lt;-2),"",#REF!),"")</f>
        <v/>
      </c>
      <c r="S750" t="str">
        <f>IFERROR(IF(OR(HLOOKUP($A750,#REF!,17,FALSE)&gt;2,HLOOKUP($A750,#REF!,17,FALSE)&lt;-2),"",#REF!),"")</f>
        <v/>
      </c>
      <c r="T750" t="str">
        <f>IFERROR(IF(OR(HLOOKUP($A750,#REF!,18,FALSE)&gt;2,HLOOKUP($A750,#REF!,18,FALSE)&lt;-2),"",#REF!),"")</f>
        <v/>
      </c>
      <c r="U750" t="str">
        <f>IFERROR(IF(OR(HLOOKUP($A750,#REF!,19,FALSE)&gt;2,HLOOKUP($A750,#REF!,19,FALSE)&lt;-2),"",#REF!),"")</f>
        <v/>
      </c>
      <c r="V750">
        <f t="shared" si="44"/>
        <v>1</v>
      </c>
      <c r="W750" t="str">
        <f t="shared" si="45"/>
        <v/>
      </c>
      <c r="X750" t="str">
        <f t="shared" si="46"/>
        <v/>
      </c>
      <c r="Y750" t="str">
        <f t="shared" si="47"/>
        <v/>
      </c>
    </row>
    <row r="751" spans="1:25" x14ac:dyDescent="0.35">
      <c r="A751">
        <v>759</v>
      </c>
      <c r="B751" t="s">
        <v>367</v>
      </c>
      <c r="C751">
        <v>12300</v>
      </c>
      <c r="D751">
        <v>1027</v>
      </c>
      <c r="E751" t="str">
        <f>IFERROR(IF(OR(HLOOKUP($A751,#REF!,3,FALSE)&gt;2,HLOOKUP(A751,#REF!,3,FALSE)&lt;-2),"",#REF!),"")</f>
        <v/>
      </c>
      <c r="F751" t="str">
        <f>IFERROR(IF(OR(HLOOKUP($A751,#REF!,4,FALSE)&gt;2,HLOOKUP($A751,#REF!,4,FALSE)&lt;-2),"",#REF!),"")</f>
        <v/>
      </c>
      <c r="G751" t="str">
        <f>IFERROR(IF(OR(HLOOKUP($A751,#REF!,5,FALSE)&gt;2,HLOOKUP($A751,#REF!,5,FALSE)&lt;-2),"",#REF!),"")</f>
        <v/>
      </c>
      <c r="H751" t="str">
        <f>IFERROR(IF(OR(HLOOKUP($A751,#REF!,6,FALSE)&gt;2,HLOOKUP($A751,#REF!,6,FALSE)&lt;-2),"",#REF!),"")</f>
        <v/>
      </c>
      <c r="I751" t="str">
        <f>IFERROR(IF(OR(HLOOKUP($A751,#REF!,7,FALSE)&gt;2,HLOOKUP($A751,#REF!,7,FALSE)&lt;-2),"",#REF!),"")</f>
        <v/>
      </c>
      <c r="J751" t="str">
        <f>IFERROR(IF(OR(HLOOKUP($A751,#REF!,8,FALSE)&gt;2,HLOOKUP($A751,#REF!,8,FALSE)&lt;-2),"",#REF!),"")</f>
        <v/>
      </c>
      <c r="K751" t="str">
        <f>IFERROR(IF(OR(HLOOKUP($A751,#REF!,9,FALSE)&gt;2,HLOOKUP($A751,#REF!,9,FALSE)&lt;-2),"",#REF!),"")</f>
        <v/>
      </c>
      <c r="L751" t="str">
        <f>IFERROR(IF(OR(HLOOKUP($A751,#REF!,10,FALSE)&gt;2,HLOOKUP($A751,#REF!,10,FALSE)&lt;-2),"",#REF!),"")</f>
        <v/>
      </c>
      <c r="M751" t="str">
        <f>IFERROR(IF(OR(HLOOKUP($A751,#REF!,11,FALSE)&gt;2,HLOOKUP($A751,#REF!,11,FALSE)&lt;-2),"",#REF!),"")</f>
        <v/>
      </c>
      <c r="N751" t="str">
        <f>IFERROR(IF(OR(HLOOKUP($A751,#REF!,12,FALSE)&gt;2,HLOOKUP($A751,#REF!,12,FALSE)&lt;-2),"",#REF!),"")</f>
        <v/>
      </c>
      <c r="O751" t="str">
        <f>IFERROR(IF(OR(HLOOKUP($A751,#REF!,13,FALSE)&gt;2,HLOOKUP($A751,#REF!,13,FALSE)&lt;-2),"",#REF!),"")</f>
        <v/>
      </c>
      <c r="P751" t="str">
        <f>IFERROR(IF(OR(HLOOKUP($A751,#REF!,14,FALSE)&gt;2,HLOOKUP($A751,#REF!,14,FALSE)&lt;-2),"",#REF!),"")</f>
        <v/>
      </c>
      <c r="Q751" t="str">
        <f>IFERROR(IF(OR(HLOOKUP($A751,#REF!,15,FALSE)&gt;2,HLOOKUP($A751,#REF!,15,FALSE)&lt;-2),"",#REF!),"")</f>
        <v/>
      </c>
      <c r="R751" t="str">
        <f>IFERROR(IF(OR(HLOOKUP($A751,#REF!,16,FALSE)&gt;2,HLOOKUP($A751,#REF!,16,FALSE)&lt;-2),"",#REF!),"")</f>
        <v/>
      </c>
      <c r="S751" t="str">
        <f>IFERROR(IF(OR(HLOOKUP($A751,#REF!,17,FALSE)&gt;2,HLOOKUP($A751,#REF!,17,FALSE)&lt;-2),"",#REF!),"")</f>
        <v/>
      </c>
      <c r="T751" t="str">
        <f>IFERROR(IF(OR(HLOOKUP($A751,#REF!,18,FALSE)&gt;2,HLOOKUP($A751,#REF!,18,FALSE)&lt;-2),"",#REF!),"")</f>
        <v/>
      </c>
      <c r="U751" t="str">
        <f>IFERROR(IF(OR(HLOOKUP($A751,#REF!,19,FALSE)&gt;2,HLOOKUP($A751,#REF!,19,FALSE)&lt;-2),"",#REF!),"")</f>
        <v/>
      </c>
      <c r="V751">
        <f t="shared" si="44"/>
        <v>1</v>
      </c>
      <c r="W751" t="str">
        <f t="shared" si="45"/>
        <v/>
      </c>
      <c r="X751" t="str">
        <f t="shared" si="46"/>
        <v/>
      </c>
      <c r="Y751" t="str">
        <f t="shared" si="47"/>
        <v/>
      </c>
    </row>
    <row r="752" spans="1:25" x14ac:dyDescent="0.35">
      <c r="A752">
        <v>760</v>
      </c>
      <c r="B752" t="s">
        <v>987</v>
      </c>
      <c r="C752">
        <v>108600</v>
      </c>
      <c r="D752">
        <v>1000</v>
      </c>
      <c r="E752" t="str">
        <f>IFERROR(IF(OR(HLOOKUP($A752,#REF!,3,FALSE)&gt;2,HLOOKUP(A752,#REF!,3,FALSE)&lt;-2),"",#REF!),"")</f>
        <v/>
      </c>
      <c r="F752" t="str">
        <f>IFERROR(IF(OR(HLOOKUP($A752,#REF!,4,FALSE)&gt;2,HLOOKUP($A752,#REF!,4,FALSE)&lt;-2),"",#REF!),"")</f>
        <v/>
      </c>
      <c r="G752" t="str">
        <f>IFERROR(IF(OR(HLOOKUP($A752,#REF!,5,FALSE)&gt;2,HLOOKUP($A752,#REF!,5,FALSE)&lt;-2),"",#REF!),"")</f>
        <v/>
      </c>
      <c r="H752" t="str">
        <f>IFERROR(IF(OR(HLOOKUP($A752,#REF!,6,FALSE)&gt;2,HLOOKUP($A752,#REF!,6,FALSE)&lt;-2),"",#REF!),"")</f>
        <v/>
      </c>
      <c r="I752" t="str">
        <f>IFERROR(IF(OR(HLOOKUP($A752,#REF!,7,FALSE)&gt;2,HLOOKUP($A752,#REF!,7,FALSE)&lt;-2),"",#REF!),"")</f>
        <v/>
      </c>
      <c r="J752" t="str">
        <f>IFERROR(IF(OR(HLOOKUP($A752,#REF!,8,FALSE)&gt;2,HLOOKUP($A752,#REF!,8,FALSE)&lt;-2),"",#REF!),"")</f>
        <v/>
      </c>
      <c r="K752" t="str">
        <f>IFERROR(IF(OR(HLOOKUP($A752,#REF!,9,FALSE)&gt;2,HLOOKUP($A752,#REF!,9,FALSE)&lt;-2),"",#REF!),"")</f>
        <v/>
      </c>
      <c r="L752" t="str">
        <f>IFERROR(IF(OR(HLOOKUP($A752,#REF!,10,FALSE)&gt;2,HLOOKUP($A752,#REF!,10,FALSE)&lt;-2),"",#REF!),"")</f>
        <v/>
      </c>
      <c r="M752" t="str">
        <f>IFERROR(IF(OR(HLOOKUP($A752,#REF!,11,FALSE)&gt;2,HLOOKUP($A752,#REF!,11,FALSE)&lt;-2),"",#REF!),"")</f>
        <v/>
      </c>
      <c r="N752" t="str">
        <f>IFERROR(IF(OR(HLOOKUP($A752,#REF!,12,FALSE)&gt;2,HLOOKUP($A752,#REF!,12,FALSE)&lt;-2),"",#REF!),"")</f>
        <v/>
      </c>
      <c r="O752" t="str">
        <f>IFERROR(IF(OR(HLOOKUP($A752,#REF!,13,FALSE)&gt;2,HLOOKUP($A752,#REF!,13,FALSE)&lt;-2),"",#REF!),"")</f>
        <v/>
      </c>
      <c r="P752" t="str">
        <f>IFERROR(IF(OR(HLOOKUP($A752,#REF!,14,FALSE)&gt;2,HLOOKUP($A752,#REF!,14,FALSE)&lt;-2),"",#REF!),"")</f>
        <v/>
      </c>
      <c r="Q752" t="str">
        <f>IFERROR(IF(OR(HLOOKUP($A752,#REF!,15,FALSE)&gt;2,HLOOKUP($A752,#REF!,15,FALSE)&lt;-2),"",#REF!),"")</f>
        <v/>
      </c>
      <c r="R752" t="str">
        <f>IFERROR(IF(OR(HLOOKUP($A752,#REF!,16,FALSE)&gt;2,HLOOKUP($A752,#REF!,16,FALSE)&lt;-2),"",#REF!),"")</f>
        <v/>
      </c>
      <c r="S752" t="str">
        <f>IFERROR(IF(OR(HLOOKUP($A752,#REF!,17,FALSE)&gt;2,HLOOKUP($A752,#REF!,17,FALSE)&lt;-2),"",#REF!),"")</f>
        <v/>
      </c>
      <c r="T752" t="str">
        <f>IFERROR(IF(OR(HLOOKUP($A752,#REF!,18,FALSE)&gt;2,HLOOKUP($A752,#REF!,18,FALSE)&lt;-2),"",#REF!),"")</f>
        <v/>
      </c>
      <c r="U752" t="str">
        <f>IFERROR(IF(OR(HLOOKUP($A752,#REF!,19,FALSE)&gt;2,HLOOKUP($A752,#REF!,19,FALSE)&lt;-2),"",#REF!),"")</f>
        <v/>
      </c>
      <c r="V752">
        <f t="shared" si="44"/>
        <v>1</v>
      </c>
      <c r="W752" t="str">
        <f t="shared" si="45"/>
        <v/>
      </c>
      <c r="X752" t="str">
        <f t="shared" si="46"/>
        <v/>
      </c>
      <c r="Y752" t="str">
        <f t="shared" si="47"/>
        <v/>
      </c>
    </row>
    <row r="753" spans="1:25" x14ac:dyDescent="0.35">
      <c r="A753">
        <v>761</v>
      </c>
      <c r="B753" t="s">
        <v>988</v>
      </c>
      <c r="C753">
        <v>76800</v>
      </c>
      <c r="D753">
        <v>693</v>
      </c>
      <c r="E753" t="str">
        <f>IFERROR(IF(OR(HLOOKUP($A753,#REF!,3,FALSE)&gt;2,HLOOKUP(A753,#REF!,3,FALSE)&lt;-2),"",#REF!),"")</f>
        <v/>
      </c>
      <c r="F753" t="str">
        <f>IFERROR(IF(OR(HLOOKUP($A753,#REF!,4,FALSE)&gt;2,HLOOKUP($A753,#REF!,4,FALSE)&lt;-2),"",#REF!),"")</f>
        <v/>
      </c>
      <c r="G753" t="str">
        <f>IFERROR(IF(OR(HLOOKUP($A753,#REF!,5,FALSE)&gt;2,HLOOKUP($A753,#REF!,5,FALSE)&lt;-2),"",#REF!),"")</f>
        <v/>
      </c>
      <c r="H753" t="str">
        <f>IFERROR(IF(OR(HLOOKUP($A753,#REF!,6,FALSE)&gt;2,HLOOKUP($A753,#REF!,6,FALSE)&lt;-2),"",#REF!),"")</f>
        <v/>
      </c>
      <c r="I753" t="str">
        <f>IFERROR(IF(OR(HLOOKUP($A753,#REF!,7,FALSE)&gt;2,HLOOKUP($A753,#REF!,7,FALSE)&lt;-2),"",#REF!),"")</f>
        <v/>
      </c>
      <c r="J753" t="str">
        <f>IFERROR(IF(OR(HLOOKUP($A753,#REF!,8,FALSE)&gt;2,HLOOKUP($A753,#REF!,8,FALSE)&lt;-2),"",#REF!),"")</f>
        <v/>
      </c>
      <c r="K753" t="str">
        <f>IFERROR(IF(OR(HLOOKUP($A753,#REF!,9,FALSE)&gt;2,HLOOKUP($A753,#REF!,9,FALSE)&lt;-2),"",#REF!),"")</f>
        <v/>
      </c>
      <c r="L753" t="str">
        <f>IFERROR(IF(OR(HLOOKUP($A753,#REF!,10,FALSE)&gt;2,HLOOKUP($A753,#REF!,10,FALSE)&lt;-2),"",#REF!),"")</f>
        <v/>
      </c>
      <c r="M753" t="str">
        <f>IFERROR(IF(OR(HLOOKUP($A753,#REF!,11,FALSE)&gt;2,HLOOKUP($A753,#REF!,11,FALSE)&lt;-2),"",#REF!),"")</f>
        <v/>
      </c>
      <c r="N753" t="str">
        <f>IFERROR(IF(OR(HLOOKUP($A753,#REF!,12,FALSE)&gt;2,HLOOKUP($A753,#REF!,12,FALSE)&lt;-2),"",#REF!),"")</f>
        <v/>
      </c>
      <c r="O753" t="str">
        <f>IFERROR(IF(OR(HLOOKUP($A753,#REF!,13,FALSE)&gt;2,HLOOKUP($A753,#REF!,13,FALSE)&lt;-2),"",#REF!),"")</f>
        <v/>
      </c>
      <c r="P753" t="str">
        <f>IFERROR(IF(OR(HLOOKUP($A753,#REF!,14,FALSE)&gt;2,HLOOKUP($A753,#REF!,14,FALSE)&lt;-2),"",#REF!),"")</f>
        <v/>
      </c>
      <c r="Q753" t="str">
        <f>IFERROR(IF(OR(HLOOKUP($A753,#REF!,15,FALSE)&gt;2,HLOOKUP($A753,#REF!,15,FALSE)&lt;-2),"",#REF!),"")</f>
        <v/>
      </c>
      <c r="R753" t="str">
        <f>IFERROR(IF(OR(HLOOKUP($A753,#REF!,16,FALSE)&gt;2,HLOOKUP($A753,#REF!,16,FALSE)&lt;-2),"",#REF!),"")</f>
        <v/>
      </c>
      <c r="S753" t="str">
        <f>IFERROR(IF(OR(HLOOKUP($A753,#REF!,17,FALSE)&gt;2,HLOOKUP($A753,#REF!,17,FALSE)&lt;-2),"",#REF!),"")</f>
        <v/>
      </c>
      <c r="T753" t="str">
        <f>IFERROR(IF(OR(HLOOKUP($A753,#REF!,18,FALSE)&gt;2,HLOOKUP($A753,#REF!,18,FALSE)&lt;-2),"",#REF!),"")</f>
        <v/>
      </c>
      <c r="U753" t="str">
        <f>IFERROR(IF(OR(HLOOKUP($A753,#REF!,19,FALSE)&gt;2,HLOOKUP($A753,#REF!,19,FALSE)&lt;-2),"",#REF!),"")</f>
        <v/>
      </c>
      <c r="V753">
        <f t="shared" si="44"/>
        <v>1</v>
      </c>
      <c r="W753" t="str">
        <f t="shared" si="45"/>
        <v/>
      </c>
      <c r="X753" t="str">
        <f t="shared" si="46"/>
        <v/>
      </c>
      <c r="Y753" t="str">
        <f t="shared" si="47"/>
        <v/>
      </c>
    </row>
    <row r="754" spans="1:25" x14ac:dyDescent="0.35">
      <c r="A754">
        <v>762</v>
      </c>
      <c r="B754" t="s">
        <v>989</v>
      </c>
      <c r="C754">
        <v>113800</v>
      </c>
      <c r="D754">
        <v>182</v>
      </c>
      <c r="E754" t="str">
        <f>IFERROR(IF(OR(HLOOKUP($A754,#REF!,3,FALSE)&gt;2,HLOOKUP(A754,#REF!,3,FALSE)&lt;-2),"",#REF!),"")</f>
        <v/>
      </c>
      <c r="F754" t="str">
        <f>IFERROR(IF(OR(HLOOKUP($A754,#REF!,4,FALSE)&gt;2,HLOOKUP($A754,#REF!,4,FALSE)&lt;-2),"",#REF!),"")</f>
        <v/>
      </c>
      <c r="G754" t="str">
        <f>IFERROR(IF(OR(HLOOKUP($A754,#REF!,5,FALSE)&gt;2,HLOOKUP($A754,#REF!,5,FALSE)&lt;-2),"",#REF!),"")</f>
        <v/>
      </c>
      <c r="H754" t="str">
        <f>IFERROR(IF(OR(HLOOKUP($A754,#REF!,6,FALSE)&gt;2,HLOOKUP($A754,#REF!,6,FALSE)&lt;-2),"",#REF!),"")</f>
        <v/>
      </c>
      <c r="I754" t="str">
        <f>IFERROR(IF(OR(HLOOKUP($A754,#REF!,7,FALSE)&gt;2,HLOOKUP($A754,#REF!,7,FALSE)&lt;-2),"",#REF!),"")</f>
        <v/>
      </c>
      <c r="J754" t="str">
        <f>IFERROR(IF(OR(HLOOKUP($A754,#REF!,8,FALSE)&gt;2,HLOOKUP($A754,#REF!,8,FALSE)&lt;-2),"",#REF!),"")</f>
        <v/>
      </c>
      <c r="K754" t="str">
        <f>IFERROR(IF(OR(HLOOKUP($A754,#REF!,9,FALSE)&gt;2,HLOOKUP($A754,#REF!,9,FALSE)&lt;-2),"",#REF!),"")</f>
        <v/>
      </c>
      <c r="L754" t="str">
        <f>IFERROR(IF(OR(HLOOKUP($A754,#REF!,10,FALSE)&gt;2,HLOOKUP($A754,#REF!,10,FALSE)&lt;-2),"",#REF!),"")</f>
        <v/>
      </c>
      <c r="M754" t="str">
        <f>IFERROR(IF(OR(HLOOKUP($A754,#REF!,11,FALSE)&gt;2,HLOOKUP($A754,#REF!,11,FALSE)&lt;-2),"",#REF!),"")</f>
        <v/>
      </c>
      <c r="N754" t="str">
        <f>IFERROR(IF(OR(HLOOKUP($A754,#REF!,12,FALSE)&gt;2,HLOOKUP($A754,#REF!,12,FALSE)&lt;-2),"",#REF!),"")</f>
        <v/>
      </c>
      <c r="O754" t="str">
        <f>IFERROR(IF(OR(HLOOKUP($A754,#REF!,13,FALSE)&gt;2,HLOOKUP($A754,#REF!,13,FALSE)&lt;-2),"",#REF!),"")</f>
        <v/>
      </c>
      <c r="P754" t="str">
        <f>IFERROR(IF(OR(HLOOKUP($A754,#REF!,14,FALSE)&gt;2,HLOOKUP($A754,#REF!,14,FALSE)&lt;-2),"",#REF!),"")</f>
        <v/>
      </c>
      <c r="Q754" t="str">
        <f>IFERROR(IF(OR(HLOOKUP($A754,#REF!,15,FALSE)&gt;2,HLOOKUP($A754,#REF!,15,FALSE)&lt;-2),"",#REF!),"")</f>
        <v/>
      </c>
      <c r="R754" t="str">
        <f>IFERROR(IF(OR(HLOOKUP($A754,#REF!,16,FALSE)&gt;2,HLOOKUP($A754,#REF!,16,FALSE)&lt;-2),"",#REF!),"")</f>
        <v/>
      </c>
      <c r="S754" t="str">
        <f>IFERROR(IF(OR(HLOOKUP($A754,#REF!,17,FALSE)&gt;2,HLOOKUP($A754,#REF!,17,FALSE)&lt;-2),"",#REF!),"")</f>
        <v/>
      </c>
      <c r="T754" t="str">
        <f>IFERROR(IF(OR(HLOOKUP($A754,#REF!,18,FALSE)&gt;2,HLOOKUP($A754,#REF!,18,FALSE)&lt;-2),"",#REF!),"")</f>
        <v/>
      </c>
      <c r="U754" t="str">
        <f>IFERROR(IF(OR(HLOOKUP($A754,#REF!,19,FALSE)&gt;2,HLOOKUP($A754,#REF!,19,FALSE)&lt;-2),"",#REF!),"")</f>
        <v/>
      </c>
      <c r="V754">
        <f t="shared" si="44"/>
        <v>1</v>
      </c>
      <c r="W754" t="str">
        <f t="shared" si="45"/>
        <v/>
      </c>
      <c r="X754" t="str">
        <f t="shared" si="46"/>
        <v/>
      </c>
      <c r="Y754" t="str">
        <f t="shared" si="47"/>
        <v/>
      </c>
    </row>
    <row r="755" spans="1:25" x14ac:dyDescent="0.35">
      <c r="A755">
        <v>763</v>
      </c>
      <c r="B755" t="s">
        <v>990</v>
      </c>
      <c r="C755">
        <v>73000</v>
      </c>
      <c r="D755">
        <v>141</v>
      </c>
      <c r="E755" t="str">
        <f>IFERROR(IF(OR(HLOOKUP($A755,#REF!,3,FALSE)&gt;2,HLOOKUP(A755,#REF!,3,FALSE)&lt;-2),"",#REF!),"")</f>
        <v/>
      </c>
      <c r="F755" t="str">
        <f>IFERROR(IF(OR(HLOOKUP($A755,#REF!,4,FALSE)&gt;2,HLOOKUP($A755,#REF!,4,FALSE)&lt;-2),"",#REF!),"")</f>
        <v/>
      </c>
      <c r="G755" t="str">
        <f>IFERROR(IF(OR(HLOOKUP($A755,#REF!,5,FALSE)&gt;2,HLOOKUP($A755,#REF!,5,FALSE)&lt;-2),"",#REF!),"")</f>
        <v/>
      </c>
      <c r="H755" t="str">
        <f>IFERROR(IF(OR(HLOOKUP($A755,#REF!,6,FALSE)&gt;2,HLOOKUP($A755,#REF!,6,FALSE)&lt;-2),"",#REF!),"")</f>
        <v/>
      </c>
      <c r="I755" t="str">
        <f>IFERROR(IF(OR(HLOOKUP($A755,#REF!,7,FALSE)&gt;2,HLOOKUP($A755,#REF!,7,FALSE)&lt;-2),"",#REF!),"")</f>
        <v/>
      </c>
      <c r="J755" t="str">
        <f>IFERROR(IF(OR(HLOOKUP($A755,#REF!,8,FALSE)&gt;2,HLOOKUP($A755,#REF!,8,FALSE)&lt;-2),"",#REF!),"")</f>
        <v/>
      </c>
      <c r="K755" t="str">
        <f>IFERROR(IF(OR(HLOOKUP($A755,#REF!,9,FALSE)&gt;2,HLOOKUP($A755,#REF!,9,FALSE)&lt;-2),"",#REF!),"")</f>
        <v/>
      </c>
      <c r="L755" t="str">
        <f>IFERROR(IF(OR(HLOOKUP($A755,#REF!,10,FALSE)&gt;2,HLOOKUP($A755,#REF!,10,FALSE)&lt;-2),"",#REF!),"")</f>
        <v/>
      </c>
      <c r="M755" t="str">
        <f>IFERROR(IF(OR(HLOOKUP($A755,#REF!,11,FALSE)&gt;2,HLOOKUP($A755,#REF!,11,FALSE)&lt;-2),"",#REF!),"")</f>
        <v/>
      </c>
      <c r="N755" t="str">
        <f>IFERROR(IF(OR(HLOOKUP($A755,#REF!,12,FALSE)&gt;2,HLOOKUP($A755,#REF!,12,FALSE)&lt;-2),"",#REF!),"")</f>
        <v/>
      </c>
      <c r="O755" t="str">
        <f>IFERROR(IF(OR(HLOOKUP($A755,#REF!,13,FALSE)&gt;2,HLOOKUP($A755,#REF!,13,FALSE)&lt;-2),"",#REF!),"")</f>
        <v/>
      </c>
      <c r="P755" t="str">
        <f>IFERROR(IF(OR(HLOOKUP($A755,#REF!,14,FALSE)&gt;2,HLOOKUP($A755,#REF!,14,FALSE)&lt;-2),"",#REF!),"")</f>
        <v/>
      </c>
      <c r="Q755" t="str">
        <f>IFERROR(IF(OR(HLOOKUP($A755,#REF!,15,FALSE)&gt;2,HLOOKUP($A755,#REF!,15,FALSE)&lt;-2),"",#REF!),"")</f>
        <v/>
      </c>
      <c r="R755" t="str">
        <f>IFERROR(IF(OR(HLOOKUP($A755,#REF!,16,FALSE)&gt;2,HLOOKUP($A755,#REF!,16,FALSE)&lt;-2),"",#REF!),"")</f>
        <v/>
      </c>
      <c r="S755" t="str">
        <f>IFERROR(IF(OR(HLOOKUP($A755,#REF!,17,FALSE)&gt;2,HLOOKUP($A755,#REF!,17,FALSE)&lt;-2),"",#REF!),"")</f>
        <v/>
      </c>
      <c r="T755" t="str">
        <f>IFERROR(IF(OR(HLOOKUP($A755,#REF!,18,FALSE)&gt;2,HLOOKUP($A755,#REF!,18,FALSE)&lt;-2),"",#REF!),"")</f>
        <v/>
      </c>
      <c r="U755" t="str">
        <f>IFERROR(IF(OR(HLOOKUP($A755,#REF!,19,FALSE)&gt;2,HLOOKUP($A755,#REF!,19,FALSE)&lt;-2),"",#REF!),"")</f>
        <v/>
      </c>
      <c r="V755">
        <f t="shared" si="44"/>
        <v>1</v>
      </c>
      <c r="W755" t="str">
        <f t="shared" si="45"/>
        <v/>
      </c>
      <c r="X755" t="str">
        <f t="shared" si="46"/>
        <v/>
      </c>
      <c r="Y755" t="str">
        <f t="shared" si="47"/>
        <v/>
      </c>
    </row>
    <row r="756" spans="1:25" x14ac:dyDescent="0.35">
      <c r="A756">
        <v>764</v>
      </c>
      <c r="B756" t="s">
        <v>991</v>
      </c>
      <c r="C756">
        <v>41800</v>
      </c>
      <c r="D756">
        <v>918</v>
      </c>
      <c r="E756" t="str">
        <f>IFERROR(IF(OR(HLOOKUP($A756,#REF!,3,FALSE)&gt;2,HLOOKUP(A756,#REF!,3,FALSE)&lt;-2),"",#REF!),"")</f>
        <v/>
      </c>
      <c r="F756" t="str">
        <f>IFERROR(IF(OR(HLOOKUP($A756,#REF!,4,FALSE)&gt;2,HLOOKUP($A756,#REF!,4,FALSE)&lt;-2),"",#REF!),"")</f>
        <v/>
      </c>
      <c r="G756" t="str">
        <f>IFERROR(IF(OR(HLOOKUP($A756,#REF!,5,FALSE)&gt;2,HLOOKUP($A756,#REF!,5,FALSE)&lt;-2),"",#REF!),"")</f>
        <v/>
      </c>
      <c r="H756" t="str">
        <f>IFERROR(IF(OR(HLOOKUP($A756,#REF!,6,FALSE)&gt;2,HLOOKUP($A756,#REF!,6,FALSE)&lt;-2),"",#REF!),"")</f>
        <v/>
      </c>
      <c r="I756" t="str">
        <f>IFERROR(IF(OR(HLOOKUP($A756,#REF!,7,FALSE)&gt;2,HLOOKUP($A756,#REF!,7,FALSE)&lt;-2),"",#REF!),"")</f>
        <v/>
      </c>
      <c r="J756" t="str">
        <f>IFERROR(IF(OR(HLOOKUP($A756,#REF!,8,FALSE)&gt;2,HLOOKUP($A756,#REF!,8,FALSE)&lt;-2),"",#REF!),"")</f>
        <v/>
      </c>
      <c r="K756" t="str">
        <f>IFERROR(IF(OR(HLOOKUP($A756,#REF!,9,FALSE)&gt;2,HLOOKUP($A756,#REF!,9,FALSE)&lt;-2),"",#REF!),"")</f>
        <v/>
      </c>
      <c r="L756" t="str">
        <f>IFERROR(IF(OR(HLOOKUP($A756,#REF!,10,FALSE)&gt;2,HLOOKUP($A756,#REF!,10,FALSE)&lt;-2),"",#REF!),"")</f>
        <v/>
      </c>
      <c r="M756" t="str">
        <f>IFERROR(IF(OR(HLOOKUP($A756,#REF!,11,FALSE)&gt;2,HLOOKUP($A756,#REF!,11,FALSE)&lt;-2),"",#REF!),"")</f>
        <v/>
      </c>
      <c r="N756" t="str">
        <f>IFERROR(IF(OR(HLOOKUP($A756,#REF!,12,FALSE)&gt;2,HLOOKUP($A756,#REF!,12,FALSE)&lt;-2),"",#REF!),"")</f>
        <v/>
      </c>
      <c r="O756" t="str">
        <f>IFERROR(IF(OR(HLOOKUP($A756,#REF!,13,FALSE)&gt;2,HLOOKUP($A756,#REF!,13,FALSE)&lt;-2),"",#REF!),"")</f>
        <v/>
      </c>
      <c r="P756" t="str">
        <f>IFERROR(IF(OR(HLOOKUP($A756,#REF!,14,FALSE)&gt;2,HLOOKUP($A756,#REF!,14,FALSE)&lt;-2),"",#REF!),"")</f>
        <v/>
      </c>
      <c r="Q756" t="str">
        <f>IFERROR(IF(OR(HLOOKUP($A756,#REF!,15,FALSE)&gt;2,HLOOKUP($A756,#REF!,15,FALSE)&lt;-2),"",#REF!),"")</f>
        <v/>
      </c>
      <c r="R756" t="str">
        <f>IFERROR(IF(OR(HLOOKUP($A756,#REF!,16,FALSE)&gt;2,HLOOKUP($A756,#REF!,16,FALSE)&lt;-2),"",#REF!),"")</f>
        <v/>
      </c>
      <c r="S756" t="str">
        <f>IFERROR(IF(OR(HLOOKUP($A756,#REF!,17,FALSE)&gt;2,HLOOKUP($A756,#REF!,17,FALSE)&lt;-2),"",#REF!),"")</f>
        <v/>
      </c>
      <c r="T756" t="str">
        <f>IFERROR(IF(OR(HLOOKUP($A756,#REF!,18,FALSE)&gt;2,HLOOKUP($A756,#REF!,18,FALSE)&lt;-2),"",#REF!),"")</f>
        <v/>
      </c>
      <c r="U756" t="str">
        <f>IFERROR(IF(OR(HLOOKUP($A756,#REF!,19,FALSE)&gt;2,HLOOKUP($A756,#REF!,19,FALSE)&lt;-2),"",#REF!),"")</f>
        <v/>
      </c>
      <c r="V756">
        <f t="shared" si="44"/>
        <v>1</v>
      </c>
      <c r="W756" t="str">
        <f t="shared" si="45"/>
        <v/>
      </c>
      <c r="X756" t="str">
        <f t="shared" si="46"/>
        <v/>
      </c>
      <c r="Y756" t="str">
        <f t="shared" si="47"/>
        <v/>
      </c>
    </row>
    <row r="757" spans="1:25" x14ac:dyDescent="0.35">
      <c r="A757">
        <v>765</v>
      </c>
      <c r="B757" t="s">
        <v>368</v>
      </c>
      <c r="C757">
        <v>96400</v>
      </c>
      <c r="D757">
        <v>370</v>
      </c>
      <c r="E757" t="str">
        <f>IFERROR(IF(OR(HLOOKUP($A757,#REF!,3,FALSE)&gt;2,HLOOKUP(A757,#REF!,3,FALSE)&lt;-2),"",#REF!),"")</f>
        <v/>
      </c>
      <c r="F757" t="str">
        <f>IFERROR(IF(OR(HLOOKUP($A757,#REF!,4,FALSE)&gt;2,HLOOKUP($A757,#REF!,4,FALSE)&lt;-2),"",#REF!),"")</f>
        <v/>
      </c>
      <c r="G757" t="str">
        <f>IFERROR(IF(OR(HLOOKUP($A757,#REF!,5,FALSE)&gt;2,HLOOKUP($A757,#REF!,5,FALSE)&lt;-2),"",#REF!),"")</f>
        <v/>
      </c>
      <c r="H757" t="str">
        <f>IFERROR(IF(OR(HLOOKUP($A757,#REF!,6,FALSE)&gt;2,HLOOKUP($A757,#REF!,6,FALSE)&lt;-2),"",#REF!),"")</f>
        <v/>
      </c>
      <c r="I757" t="str">
        <f>IFERROR(IF(OR(HLOOKUP($A757,#REF!,7,FALSE)&gt;2,HLOOKUP($A757,#REF!,7,FALSE)&lt;-2),"",#REF!),"")</f>
        <v/>
      </c>
      <c r="J757" t="str">
        <f>IFERROR(IF(OR(HLOOKUP($A757,#REF!,8,FALSE)&gt;2,HLOOKUP($A757,#REF!,8,FALSE)&lt;-2),"",#REF!),"")</f>
        <v/>
      </c>
      <c r="K757" t="str">
        <f>IFERROR(IF(OR(HLOOKUP($A757,#REF!,9,FALSE)&gt;2,HLOOKUP($A757,#REF!,9,FALSE)&lt;-2),"",#REF!),"")</f>
        <v/>
      </c>
      <c r="L757" t="str">
        <f>IFERROR(IF(OR(HLOOKUP($A757,#REF!,10,FALSE)&gt;2,HLOOKUP($A757,#REF!,10,FALSE)&lt;-2),"",#REF!),"")</f>
        <v/>
      </c>
      <c r="M757" t="str">
        <f>IFERROR(IF(OR(HLOOKUP($A757,#REF!,11,FALSE)&gt;2,HLOOKUP($A757,#REF!,11,FALSE)&lt;-2),"",#REF!),"")</f>
        <v/>
      </c>
      <c r="N757" t="str">
        <f>IFERROR(IF(OR(HLOOKUP($A757,#REF!,12,FALSE)&gt;2,HLOOKUP($A757,#REF!,12,FALSE)&lt;-2),"",#REF!),"")</f>
        <v/>
      </c>
      <c r="O757" t="str">
        <f>IFERROR(IF(OR(HLOOKUP($A757,#REF!,13,FALSE)&gt;2,HLOOKUP($A757,#REF!,13,FALSE)&lt;-2),"",#REF!),"")</f>
        <v/>
      </c>
      <c r="P757" t="str">
        <f>IFERROR(IF(OR(HLOOKUP($A757,#REF!,14,FALSE)&gt;2,HLOOKUP($A757,#REF!,14,FALSE)&lt;-2),"",#REF!),"")</f>
        <v/>
      </c>
      <c r="Q757" t="str">
        <f>IFERROR(IF(OR(HLOOKUP($A757,#REF!,15,FALSE)&gt;2,HLOOKUP($A757,#REF!,15,FALSE)&lt;-2),"",#REF!),"")</f>
        <v/>
      </c>
      <c r="R757" t="str">
        <f>IFERROR(IF(OR(HLOOKUP($A757,#REF!,16,FALSE)&gt;2,HLOOKUP($A757,#REF!,16,FALSE)&lt;-2),"",#REF!),"")</f>
        <v/>
      </c>
      <c r="S757" t="str">
        <f>IFERROR(IF(OR(HLOOKUP($A757,#REF!,17,FALSE)&gt;2,HLOOKUP($A757,#REF!,17,FALSE)&lt;-2),"",#REF!),"")</f>
        <v/>
      </c>
      <c r="T757" t="str">
        <f>IFERROR(IF(OR(HLOOKUP($A757,#REF!,18,FALSE)&gt;2,HLOOKUP($A757,#REF!,18,FALSE)&lt;-2),"",#REF!),"")</f>
        <v/>
      </c>
      <c r="U757" t="str">
        <f>IFERROR(IF(OR(HLOOKUP($A757,#REF!,19,FALSE)&gt;2,HLOOKUP($A757,#REF!,19,FALSE)&lt;-2),"",#REF!),"")</f>
        <v/>
      </c>
      <c r="V757">
        <f t="shared" si="44"/>
        <v>1</v>
      </c>
      <c r="W757" t="str">
        <f t="shared" si="45"/>
        <v/>
      </c>
      <c r="X757" t="str">
        <f t="shared" si="46"/>
        <v/>
      </c>
      <c r="Y757" t="str">
        <f t="shared" si="47"/>
        <v/>
      </c>
    </row>
    <row r="758" spans="1:25" x14ac:dyDescent="0.35">
      <c r="A758">
        <v>766</v>
      </c>
      <c r="B758" t="s">
        <v>992</v>
      </c>
      <c r="C758">
        <v>40200</v>
      </c>
      <c r="D758">
        <v>726</v>
      </c>
      <c r="E758" t="str">
        <f>IFERROR(IF(OR(HLOOKUP($A758,#REF!,3,FALSE)&gt;2,HLOOKUP(A758,#REF!,3,FALSE)&lt;-2),"",#REF!),"")</f>
        <v/>
      </c>
      <c r="F758" t="str">
        <f>IFERROR(IF(OR(HLOOKUP($A758,#REF!,4,FALSE)&gt;2,HLOOKUP($A758,#REF!,4,FALSE)&lt;-2),"",#REF!),"")</f>
        <v/>
      </c>
      <c r="G758" t="str">
        <f>IFERROR(IF(OR(HLOOKUP($A758,#REF!,5,FALSE)&gt;2,HLOOKUP($A758,#REF!,5,FALSE)&lt;-2),"",#REF!),"")</f>
        <v/>
      </c>
      <c r="H758" t="str">
        <f>IFERROR(IF(OR(HLOOKUP($A758,#REF!,6,FALSE)&gt;2,HLOOKUP($A758,#REF!,6,FALSE)&lt;-2),"",#REF!),"")</f>
        <v/>
      </c>
      <c r="I758" t="str">
        <f>IFERROR(IF(OR(HLOOKUP($A758,#REF!,7,FALSE)&gt;2,HLOOKUP($A758,#REF!,7,FALSE)&lt;-2),"",#REF!),"")</f>
        <v/>
      </c>
      <c r="J758" t="str">
        <f>IFERROR(IF(OR(HLOOKUP($A758,#REF!,8,FALSE)&gt;2,HLOOKUP($A758,#REF!,8,FALSE)&lt;-2),"",#REF!),"")</f>
        <v/>
      </c>
      <c r="K758" t="str">
        <f>IFERROR(IF(OR(HLOOKUP($A758,#REF!,9,FALSE)&gt;2,HLOOKUP($A758,#REF!,9,FALSE)&lt;-2),"",#REF!),"")</f>
        <v/>
      </c>
      <c r="L758" t="str">
        <f>IFERROR(IF(OR(HLOOKUP($A758,#REF!,10,FALSE)&gt;2,HLOOKUP($A758,#REF!,10,FALSE)&lt;-2),"",#REF!),"")</f>
        <v/>
      </c>
      <c r="M758" t="str">
        <f>IFERROR(IF(OR(HLOOKUP($A758,#REF!,11,FALSE)&gt;2,HLOOKUP($A758,#REF!,11,FALSE)&lt;-2),"",#REF!),"")</f>
        <v/>
      </c>
      <c r="N758" t="str">
        <f>IFERROR(IF(OR(HLOOKUP($A758,#REF!,12,FALSE)&gt;2,HLOOKUP($A758,#REF!,12,FALSE)&lt;-2),"",#REF!),"")</f>
        <v/>
      </c>
      <c r="O758" t="str">
        <f>IFERROR(IF(OR(HLOOKUP($A758,#REF!,13,FALSE)&gt;2,HLOOKUP($A758,#REF!,13,FALSE)&lt;-2),"",#REF!),"")</f>
        <v/>
      </c>
      <c r="P758" t="str">
        <f>IFERROR(IF(OR(HLOOKUP($A758,#REF!,14,FALSE)&gt;2,HLOOKUP($A758,#REF!,14,FALSE)&lt;-2),"",#REF!),"")</f>
        <v/>
      </c>
      <c r="Q758" t="str">
        <f>IFERROR(IF(OR(HLOOKUP($A758,#REF!,15,FALSE)&gt;2,HLOOKUP($A758,#REF!,15,FALSE)&lt;-2),"",#REF!),"")</f>
        <v/>
      </c>
      <c r="R758" t="str">
        <f>IFERROR(IF(OR(HLOOKUP($A758,#REF!,16,FALSE)&gt;2,HLOOKUP($A758,#REF!,16,FALSE)&lt;-2),"",#REF!),"")</f>
        <v/>
      </c>
      <c r="S758" t="str">
        <f>IFERROR(IF(OR(HLOOKUP($A758,#REF!,17,FALSE)&gt;2,HLOOKUP($A758,#REF!,17,FALSE)&lt;-2),"",#REF!),"")</f>
        <v/>
      </c>
      <c r="T758" t="str">
        <f>IFERROR(IF(OR(HLOOKUP($A758,#REF!,18,FALSE)&gt;2,HLOOKUP($A758,#REF!,18,FALSE)&lt;-2),"",#REF!),"")</f>
        <v/>
      </c>
      <c r="U758" t="str">
        <f>IFERROR(IF(OR(HLOOKUP($A758,#REF!,19,FALSE)&gt;2,HLOOKUP($A758,#REF!,19,FALSE)&lt;-2),"",#REF!),"")</f>
        <v/>
      </c>
      <c r="V758">
        <f t="shared" si="44"/>
        <v>1</v>
      </c>
      <c r="W758" t="str">
        <f t="shared" si="45"/>
        <v/>
      </c>
      <c r="X758" t="str">
        <f t="shared" si="46"/>
        <v/>
      </c>
      <c r="Y758" t="str">
        <f t="shared" si="47"/>
        <v/>
      </c>
    </row>
    <row r="759" spans="1:25" x14ac:dyDescent="0.35">
      <c r="A759">
        <v>767</v>
      </c>
      <c r="B759" t="s">
        <v>369</v>
      </c>
      <c r="C759">
        <v>2400</v>
      </c>
      <c r="D759">
        <v>993</v>
      </c>
      <c r="E759" t="str">
        <f>IFERROR(IF(OR(HLOOKUP($A759,#REF!,3,FALSE)&gt;2,HLOOKUP(A759,#REF!,3,FALSE)&lt;-2),"",#REF!),"")</f>
        <v/>
      </c>
      <c r="F759" t="str">
        <f>IFERROR(IF(OR(HLOOKUP($A759,#REF!,4,FALSE)&gt;2,HLOOKUP($A759,#REF!,4,FALSE)&lt;-2),"",#REF!),"")</f>
        <v/>
      </c>
      <c r="G759" t="str">
        <f>IFERROR(IF(OR(HLOOKUP($A759,#REF!,5,FALSE)&gt;2,HLOOKUP($A759,#REF!,5,FALSE)&lt;-2),"",#REF!),"")</f>
        <v/>
      </c>
      <c r="H759" t="str">
        <f>IFERROR(IF(OR(HLOOKUP($A759,#REF!,6,FALSE)&gt;2,HLOOKUP($A759,#REF!,6,FALSE)&lt;-2),"",#REF!),"")</f>
        <v/>
      </c>
      <c r="I759" t="str">
        <f>IFERROR(IF(OR(HLOOKUP($A759,#REF!,7,FALSE)&gt;2,HLOOKUP($A759,#REF!,7,FALSE)&lt;-2),"",#REF!),"")</f>
        <v/>
      </c>
      <c r="J759" t="str">
        <f>IFERROR(IF(OR(HLOOKUP($A759,#REF!,8,FALSE)&gt;2,HLOOKUP($A759,#REF!,8,FALSE)&lt;-2),"",#REF!),"")</f>
        <v/>
      </c>
      <c r="K759" t="str">
        <f>IFERROR(IF(OR(HLOOKUP($A759,#REF!,9,FALSE)&gt;2,HLOOKUP($A759,#REF!,9,FALSE)&lt;-2),"",#REF!),"")</f>
        <v/>
      </c>
      <c r="L759" t="str">
        <f>IFERROR(IF(OR(HLOOKUP($A759,#REF!,10,FALSE)&gt;2,HLOOKUP($A759,#REF!,10,FALSE)&lt;-2),"",#REF!),"")</f>
        <v/>
      </c>
      <c r="M759" t="str">
        <f>IFERROR(IF(OR(HLOOKUP($A759,#REF!,11,FALSE)&gt;2,HLOOKUP($A759,#REF!,11,FALSE)&lt;-2),"",#REF!),"")</f>
        <v/>
      </c>
      <c r="N759" t="str">
        <f>IFERROR(IF(OR(HLOOKUP($A759,#REF!,12,FALSE)&gt;2,HLOOKUP($A759,#REF!,12,FALSE)&lt;-2),"",#REF!),"")</f>
        <v/>
      </c>
      <c r="O759" t="str">
        <f>IFERROR(IF(OR(HLOOKUP($A759,#REF!,13,FALSE)&gt;2,HLOOKUP($A759,#REF!,13,FALSE)&lt;-2),"",#REF!),"")</f>
        <v/>
      </c>
      <c r="P759" t="str">
        <f>IFERROR(IF(OR(HLOOKUP($A759,#REF!,14,FALSE)&gt;2,HLOOKUP($A759,#REF!,14,FALSE)&lt;-2),"",#REF!),"")</f>
        <v/>
      </c>
      <c r="Q759" t="str">
        <f>IFERROR(IF(OR(HLOOKUP($A759,#REF!,15,FALSE)&gt;2,HLOOKUP($A759,#REF!,15,FALSE)&lt;-2),"",#REF!),"")</f>
        <v/>
      </c>
      <c r="R759" t="str">
        <f>IFERROR(IF(OR(HLOOKUP($A759,#REF!,16,FALSE)&gt;2,HLOOKUP($A759,#REF!,16,FALSE)&lt;-2),"",#REF!),"")</f>
        <v/>
      </c>
      <c r="S759" t="str">
        <f>IFERROR(IF(OR(HLOOKUP($A759,#REF!,17,FALSE)&gt;2,HLOOKUP($A759,#REF!,17,FALSE)&lt;-2),"",#REF!),"")</f>
        <v/>
      </c>
      <c r="T759" t="str">
        <f>IFERROR(IF(OR(HLOOKUP($A759,#REF!,18,FALSE)&gt;2,HLOOKUP($A759,#REF!,18,FALSE)&lt;-2),"",#REF!),"")</f>
        <v/>
      </c>
      <c r="U759" t="str">
        <f>IFERROR(IF(OR(HLOOKUP($A759,#REF!,19,FALSE)&gt;2,HLOOKUP($A759,#REF!,19,FALSE)&lt;-2),"",#REF!),"")</f>
        <v/>
      </c>
      <c r="V759">
        <f t="shared" si="44"/>
        <v>1</v>
      </c>
      <c r="W759" t="str">
        <f t="shared" si="45"/>
        <v/>
      </c>
      <c r="X759" t="str">
        <f t="shared" si="46"/>
        <v/>
      </c>
      <c r="Y759" t="str">
        <f t="shared" si="47"/>
        <v/>
      </c>
    </row>
    <row r="760" spans="1:25" x14ac:dyDescent="0.35">
      <c r="A760">
        <v>768</v>
      </c>
      <c r="B760" t="s">
        <v>993</v>
      </c>
      <c r="C760">
        <v>110600</v>
      </c>
      <c r="D760">
        <v>991</v>
      </c>
      <c r="E760" t="str">
        <f>IFERROR(IF(OR(HLOOKUP($A760,#REF!,3,FALSE)&gt;2,HLOOKUP(A760,#REF!,3,FALSE)&lt;-2),"",#REF!),"")</f>
        <v/>
      </c>
      <c r="F760" t="str">
        <f>IFERROR(IF(OR(HLOOKUP($A760,#REF!,4,FALSE)&gt;2,HLOOKUP($A760,#REF!,4,FALSE)&lt;-2),"",#REF!),"")</f>
        <v/>
      </c>
      <c r="G760" t="str">
        <f>IFERROR(IF(OR(HLOOKUP($A760,#REF!,5,FALSE)&gt;2,HLOOKUP($A760,#REF!,5,FALSE)&lt;-2),"",#REF!),"")</f>
        <v/>
      </c>
      <c r="H760" t="str">
        <f>IFERROR(IF(OR(HLOOKUP($A760,#REF!,6,FALSE)&gt;2,HLOOKUP($A760,#REF!,6,FALSE)&lt;-2),"",#REF!),"")</f>
        <v/>
      </c>
      <c r="I760" t="str">
        <f>IFERROR(IF(OR(HLOOKUP($A760,#REF!,7,FALSE)&gt;2,HLOOKUP($A760,#REF!,7,FALSE)&lt;-2),"",#REF!),"")</f>
        <v/>
      </c>
      <c r="J760" t="str">
        <f>IFERROR(IF(OR(HLOOKUP($A760,#REF!,8,FALSE)&gt;2,HLOOKUP($A760,#REF!,8,FALSE)&lt;-2),"",#REF!),"")</f>
        <v/>
      </c>
      <c r="K760" t="str">
        <f>IFERROR(IF(OR(HLOOKUP($A760,#REF!,9,FALSE)&gt;2,HLOOKUP($A760,#REF!,9,FALSE)&lt;-2),"",#REF!),"")</f>
        <v/>
      </c>
      <c r="L760" t="str">
        <f>IFERROR(IF(OR(HLOOKUP($A760,#REF!,10,FALSE)&gt;2,HLOOKUP($A760,#REF!,10,FALSE)&lt;-2),"",#REF!),"")</f>
        <v/>
      </c>
      <c r="M760" t="str">
        <f>IFERROR(IF(OR(HLOOKUP($A760,#REF!,11,FALSE)&gt;2,HLOOKUP($A760,#REF!,11,FALSE)&lt;-2),"",#REF!),"")</f>
        <v/>
      </c>
      <c r="N760" t="str">
        <f>IFERROR(IF(OR(HLOOKUP($A760,#REF!,12,FALSE)&gt;2,HLOOKUP($A760,#REF!,12,FALSE)&lt;-2),"",#REF!),"")</f>
        <v/>
      </c>
      <c r="O760" t="str">
        <f>IFERROR(IF(OR(HLOOKUP($A760,#REF!,13,FALSE)&gt;2,HLOOKUP($A760,#REF!,13,FALSE)&lt;-2),"",#REF!),"")</f>
        <v/>
      </c>
      <c r="P760" t="str">
        <f>IFERROR(IF(OR(HLOOKUP($A760,#REF!,14,FALSE)&gt;2,HLOOKUP($A760,#REF!,14,FALSE)&lt;-2),"",#REF!),"")</f>
        <v/>
      </c>
      <c r="Q760" t="str">
        <f>IFERROR(IF(OR(HLOOKUP($A760,#REF!,15,FALSE)&gt;2,HLOOKUP($A760,#REF!,15,FALSE)&lt;-2),"",#REF!),"")</f>
        <v/>
      </c>
      <c r="R760" t="str">
        <f>IFERROR(IF(OR(HLOOKUP($A760,#REF!,16,FALSE)&gt;2,HLOOKUP($A760,#REF!,16,FALSE)&lt;-2),"",#REF!),"")</f>
        <v/>
      </c>
      <c r="S760" t="str">
        <f>IFERROR(IF(OR(HLOOKUP($A760,#REF!,17,FALSE)&gt;2,HLOOKUP($A760,#REF!,17,FALSE)&lt;-2),"",#REF!),"")</f>
        <v/>
      </c>
      <c r="T760" t="str">
        <f>IFERROR(IF(OR(HLOOKUP($A760,#REF!,18,FALSE)&gt;2,HLOOKUP($A760,#REF!,18,FALSE)&lt;-2),"",#REF!),"")</f>
        <v/>
      </c>
      <c r="U760" t="str">
        <f>IFERROR(IF(OR(HLOOKUP($A760,#REF!,19,FALSE)&gt;2,HLOOKUP($A760,#REF!,19,FALSE)&lt;-2),"",#REF!),"")</f>
        <v/>
      </c>
      <c r="V760">
        <f t="shared" si="44"/>
        <v>1</v>
      </c>
      <c r="W760" t="str">
        <f t="shared" si="45"/>
        <v/>
      </c>
      <c r="X760" t="str">
        <f t="shared" si="46"/>
        <v/>
      </c>
      <c r="Y760" t="str">
        <f t="shared" si="47"/>
        <v/>
      </c>
    </row>
    <row r="761" spans="1:25" x14ac:dyDescent="0.35">
      <c r="A761">
        <v>769</v>
      </c>
      <c r="B761" t="s">
        <v>994</v>
      </c>
      <c r="C761">
        <v>76900</v>
      </c>
      <c r="D761">
        <v>693</v>
      </c>
      <c r="E761" t="str">
        <f>IFERROR(IF(OR(HLOOKUP($A761,#REF!,3,FALSE)&gt;2,HLOOKUP(A761,#REF!,3,FALSE)&lt;-2),"",#REF!),"")</f>
        <v/>
      </c>
      <c r="F761" t="str">
        <f>IFERROR(IF(OR(HLOOKUP($A761,#REF!,4,FALSE)&gt;2,HLOOKUP($A761,#REF!,4,FALSE)&lt;-2),"",#REF!),"")</f>
        <v/>
      </c>
      <c r="G761" t="str">
        <f>IFERROR(IF(OR(HLOOKUP($A761,#REF!,5,FALSE)&gt;2,HLOOKUP($A761,#REF!,5,FALSE)&lt;-2),"",#REF!),"")</f>
        <v/>
      </c>
      <c r="H761" t="str">
        <f>IFERROR(IF(OR(HLOOKUP($A761,#REF!,6,FALSE)&gt;2,HLOOKUP($A761,#REF!,6,FALSE)&lt;-2),"",#REF!),"")</f>
        <v/>
      </c>
      <c r="I761" t="str">
        <f>IFERROR(IF(OR(HLOOKUP($A761,#REF!,7,FALSE)&gt;2,HLOOKUP($A761,#REF!,7,FALSE)&lt;-2),"",#REF!),"")</f>
        <v/>
      </c>
      <c r="J761" t="str">
        <f>IFERROR(IF(OR(HLOOKUP($A761,#REF!,8,FALSE)&gt;2,HLOOKUP($A761,#REF!,8,FALSE)&lt;-2),"",#REF!),"")</f>
        <v/>
      </c>
      <c r="K761" t="str">
        <f>IFERROR(IF(OR(HLOOKUP($A761,#REF!,9,FALSE)&gt;2,HLOOKUP($A761,#REF!,9,FALSE)&lt;-2),"",#REF!),"")</f>
        <v/>
      </c>
      <c r="L761" t="str">
        <f>IFERROR(IF(OR(HLOOKUP($A761,#REF!,10,FALSE)&gt;2,HLOOKUP($A761,#REF!,10,FALSE)&lt;-2),"",#REF!),"")</f>
        <v/>
      </c>
      <c r="M761" t="str">
        <f>IFERROR(IF(OR(HLOOKUP($A761,#REF!,11,FALSE)&gt;2,HLOOKUP($A761,#REF!,11,FALSE)&lt;-2),"",#REF!),"")</f>
        <v/>
      </c>
      <c r="N761" t="str">
        <f>IFERROR(IF(OR(HLOOKUP($A761,#REF!,12,FALSE)&gt;2,HLOOKUP($A761,#REF!,12,FALSE)&lt;-2),"",#REF!),"")</f>
        <v/>
      </c>
      <c r="O761" t="str">
        <f>IFERROR(IF(OR(HLOOKUP($A761,#REF!,13,FALSE)&gt;2,HLOOKUP($A761,#REF!,13,FALSE)&lt;-2),"",#REF!),"")</f>
        <v/>
      </c>
      <c r="P761" t="str">
        <f>IFERROR(IF(OR(HLOOKUP($A761,#REF!,14,FALSE)&gt;2,HLOOKUP($A761,#REF!,14,FALSE)&lt;-2),"",#REF!),"")</f>
        <v/>
      </c>
      <c r="Q761" t="str">
        <f>IFERROR(IF(OR(HLOOKUP($A761,#REF!,15,FALSE)&gt;2,HLOOKUP($A761,#REF!,15,FALSE)&lt;-2),"",#REF!),"")</f>
        <v/>
      </c>
      <c r="R761" t="str">
        <f>IFERROR(IF(OR(HLOOKUP($A761,#REF!,16,FALSE)&gt;2,HLOOKUP($A761,#REF!,16,FALSE)&lt;-2),"",#REF!),"")</f>
        <v/>
      </c>
      <c r="S761" t="str">
        <f>IFERROR(IF(OR(HLOOKUP($A761,#REF!,17,FALSE)&gt;2,HLOOKUP($A761,#REF!,17,FALSE)&lt;-2),"",#REF!),"")</f>
        <v/>
      </c>
      <c r="T761" t="str">
        <f>IFERROR(IF(OR(HLOOKUP($A761,#REF!,18,FALSE)&gt;2,HLOOKUP($A761,#REF!,18,FALSE)&lt;-2),"",#REF!),"")</f>
        <v/>
      </c>
      <c r="U761" t="str">
        <f>IFERROR(IF(OR(HLOOKUP($A761,#REF!,19,FALSE)&gt;2,HLOOKUP($A761,#REF!,19,FALSE)&lt;-2),"",#REF!),"")</f>
        <v/>
      </c>
      <c r="V761">
        <f t="shared" si="44"/>
        <v>1</v>
      </c>
      <c r="W761" t="str">
        <f t="shared" si="45"/>
        <v/>
      </c>
      <c r="X761" t="str">
        <f t="shared" si="46"/>
        <v/>
      </c>
      <c r="Y761" t="str">
        <f t="shared" si="47"/>
        <v/>
      </c>
    </row>
    <row r="762" spans="1:25" x14ac:dyDescent="0.35">
      <c r="A762">
        <v>770</v>
      </c>
      <c r="B762" t="s">
        <v>995</v>
      </c>
      <c r="C762">
        <v>113900</v>
      </c>
      <c r="D762">
        <v>182</v>
      </c>
      <c r="E762" t="str">
        <f>IFERROR(IF(OR(HLOOKUP($A762,#REF!,3,FALSE)&gt;2,HLOOKUP(A762,#REF!,3,FALSE)&lt;-2),"",#REF!),"")</f>
        <v/>
      </c>
      <c r="F762" t="str">
        <f>IFERROR(IF(OR(HLOOKUP($A762,#REF!,4,FALSE)&gt;2,HLOOKUP($A762,#REF!,4,FALSE)&lt;-2),"",#REF!),"")</f>
        <v/>
      </c>
      <c r="G762" t="str">
        <f>IFERROR(IF(OR(HLOOKUP($A762,#REF!,5,FALSE)&gt;2,HLOOKUP($A762,#REF!,5,FALSE)&lt;-2),"",#REF!),"")</f>
        <v/>
      </c>
      <c r="H762" t="str">
        <f>IFERROR(IF(OR(HLOOKUP($A762,#REF!,6,FALSE)&gt;2,HLOOKUP($A762,#REF!,6,FALSE)&lt;-2),"",#REF!),"")</f>
        <v/>
      </c>
      <c r="I762" t="str">
        <f>IFERROR(IF(OR(HLOOKUP($A762,#REF!,7,FALSE)&gt;2,HLOOKUP($A762,#REF!,7,FALSE)&lt;-2),"",#REF!),"")</f>
        <v/>
      </c>
      <c r="J762" t="str">
        <f>IFERROR(IF(OR(HLOOKUP($A762,#REF!,8,FALSE)&gt;2,HLOOKUP($A762,#REF!,8,FALSE)&lt;-2),"",#REF!),"")</f>
        <v/>
      </c>
      <c r="K762" t="str">
        <f>IFERROR(IF(OR(HLOOKUP($A762,#REF!,9,FALSE)&gt;2,HLOOKUP($A762,#REF!,9,FALSE)&lt;-2),"",#REF!),"")</f>
        <v/>
      </c>
      <c r="L762" t="str">
        <f>IFERROR(IF(OR(HLOOKUP($A762,#REF!,10,FALSE)&gt;2,HLOOKUP($A762,#REF!,10,FALSE)&lt;-2),"",#REF!),"")</f>
        <v/>
      </c>
      <c r="M762" t="str">
        <f>IFERROR(IF(OR(HLOOKUP($A762,#REF!,11,FALSE)&gt;2,HLOOKUP($A762,#REF!,11,FALSE)&lt;-2),"",#REF!),"")</f>
        <v/>
      </c>
      <c r="N762" t="str">
        <f>IFERROR(IF(OR(HLOOKUP($A762,#REF!,12,FALSE)&gt;2,HLOOKUP($A762,#REF!,12,FALSE)&lt;-2),"",#REF!),"")</f>
        <v/>
      </c>
      <c r="O762" t="str">
        <f>IFERROR(IF(OR(HLOOKUP($A762,#REF!,13,FALSE)&gt;2,HLOOKUP($A762,#REF!,13,FALSE)&lt;-2),"",#REF!),"")</f>
        <v/>
      </c>
      <c r="P762" t="str">
        <f>IFERROR(IF(OR(HLOOKUP($A762,#REF!,14,FALSE)&gt;2,HLOOKUP($A762,#REF!,14,FALSE)&lt;-2),"",#REF!),"")</f>
        <v/>
      </c>
      <c r="Q762" t="str">
        <f>IFERROR(IF(OR(HLOOKUP($A762,#REF!,15,FALSE)&gt;2,HLOOKUP($A762,#REF!,15,FALSE)&lt;-2),"",#REF!),"")</f>
        <v/>
      </c>
      <c r="R762" t="str">
        <f>IFERROR(IF(OR(HLOOKUP($A762,#REF!,16,FALSE)&gt;2,HLOOKUP($A762,#REF!,16,FALSE)&lt;-2),"",#REF!),"")</f>
        <v/>
      </c>
      <c r="S762" t="str">
        <f>IFERROR(IF(OR(HLOOKUP($A762,#REF!,17,FALSE)&gt;2,HLOOKUP($A762,#REF!,17,FALSE)&lt;-2),"",#REF!),"")</f>
        <v/>
      </c>
      <c r="T762" t="str">
        <f>IFERROR(IF(OR(HLOOKUP($A762,#REF!,18,FALSE)&gt;2,HLOOKUP($A762,#REF!,18,FALSE)&lt;-2),"",#REF!),"")</f>
        <v/>
      </c>
      <c r="U762" t="str">
        <f>IFERROR(IF(OR(HLOOKUP($A762,#REF!,19,FALSE)&gt;2,HLOOKUP($A762,#REF!,19,FALSE)&lt;-2),"",#REF!),"")</f>
        <v/>
      </c>
      <c r="V762">
        <f t="shared" si="44"/>
        <v>1</v>
      </c>
      <c r="W762" t="str">
        <f t="shared" si="45"/>
        <v/>
      </c>
      <c r="X762" t="str">
        <f t="shared" si="46"/>
        <v/>
      </c>
      <c r="Y762" t="str">
        <f t="shared" si="47"/>
        <v/>
      </c>
    </row>
    <row r="763" spans="1:25" x14ac:dyDescent="0.35">
      <c r="A763">
        <v>771</v>
      </c>
      <c r="B763" t="s">
        <v>370</v>
      </c>
      <c r="C763">
        <v>84700</v>
      </c>
      <c r="D763">
        <v>1065</v>
      </c>
      <c r="E763" t="str">
        <f>IFERROR(IF(OR(HLOOKUP($A763,#REF!,3,FALSE)&gt;2,HLOOKUP(A763,#REF!,3,FALSE)&lt;-2),"",#REF!),"")</f>
        <v/>
      </c>
      <c r="F763" t="str">
        <f>IFERROR(IF(OR(HLOOKUP($A763,#REF!,4,FALSE)&gt;2,HLOOKUP($A763,#REF!,4,FALSE)&lt;-2),"",#REF!),"")</f>
        <v/>
      </c>
      <c r="G763" t="str">
        <f>IFERROR(IF(OR(HLOOKUP($A763,#REF!,5,FALSE)&gt;2,HLOOKUP($A763,#REF!,5,FALSE)&lt;-2),"",#REF!),"")</f>
        <v/>
      </c>
      <c r="H763" t="str">
        <f>IFERROR(IF(OR(HLOOKUP($A763,#REF!,6,FALSE)&gt;2,HLOOKUP($A763,#REF!,6,FALSE)&lt;-2),"",#REF!),"")</f>
        <v/>
      </c>
      <c r="I763" t="str">
        <f>IFERROR(IF(OR(HLOOKUP($A763,#REF!,7,FALSE)&gt;2,HLOOKUP($A763,#REF!,7,FALSE)&lt;-2),"",#REF!),"")</f>
        <v/>
      </c>
      <c r="J763" t="str">
        <f>IFERROR(IF(OR(HLOOKUP($A763,#REF!,8,FALSE)&gt;2,HLOOKUP($A763,#REF!,8,FALSE)&lt;-2),"",#REF!),"")</f>
        <v/>
      </c>
      <c r="K763" t="str">
        <f>IFERROR(IF(OR(HLOOKUP($A763,#REF!,9,FALSE)&gt;2,HLOOKUP($A763,#REF!,9,FALSE)&lt;-2),"",#REF!),"")</f>
        <v/>
      </c>
      <c r="L763" t="str">
        <f>IFERROR(IF(OR(HLOOKUP($A763,#REF!,10,FALSE)&gt;2,HLOOKUP($A763,#REF!,10,FALSE)&lt;-2),"",#REF!),"")</f>
        <v/>
      </c>
      <c r="M763" t="str">
        <f>IFERROR(IF(OR(HLOOKUP($A763,#REF!,11,FALSE)&gt;2,HLOOKUP($A763,#REF!,11,FALSE)&lt;-2),"",#REF!),"")</f>
        <v/>
      </c>
      <c r="N763" t="str">
        <f>IFERROR(IF(OR(HLOOKUP($A763,#REF!,12,FALSE)&gt;2,HLOOKUP($A763,#REF!,12,FALSE)&lt;-2),"",#REF!),"")</f>
        <v/>
      </c>
      <c r="O763" t="str">
        <f>IFERROR(IF(OR(HLOOKUP($A763,#REF!,13,FALSE)&gt;2,HLOOKUP($A763,#REF!,13,FALSE)&lt;-2),"",#REF!),"")</f>
        <v/>
      </c>
      <c r="P763" t="str">
        <f>IFERROR(IF(OR(HLOOKUP($A763,#REF!,14,FALSE)&gt;2,HLOOKUP($A763,#REF!,14,FALSE)&lt;-2),"",#REF!),"")</f>
        <v/>
      </c>
      <c r="Q763" t="str">
        <f>IFERROR(IF(OR(HLOOKUP($A763,#REF!,15,FALSE)&gt;2,HLOOKUP($A763,#REF!,15,FALSE)&lt;-2),"",#REF!),"")</f>
        <v/>
      </c>
      <c r="R763" t="str">
        <f>IFERROR(IF(OR(HLOOKUP($A763,#REF!,16,FALSE)&gt;2,HLOOKUP($A763,#REF!,16,FALSE)&lt;-2),"",#REF!),"")</f>
        <v/>
      </c>
      <c r="S763" t="str">
        <f>IFERROR(IF(OR(HLOOKUP($A763,#REF!,17,FALSE)&gt;2,HLOOKUP($A763,#REF!,17,FALSE)&lt;-2),"",#REF!),"")</f>
        <v/>
      </c>
      <c r="T763" t="str">
        <f>IFERROR(IF(OR(HLOOKUP($A763,#REF!,18,FALSE)&gt;2,HLOOKUP($A763,#REF!,18,FALSE)&lt;-2),"",#REF!),"")</f>
        <v/>
      </c>
      <c r="U763" t="str">
        <f>IFERROR(IF(OR(HLOOKUP($A763,#REF!,19,FALSE)&gt;2,HLOOKUP($A763,#REF!,19,FALSE)&lt;-2),"",#REF!),"")</f>
        <v/>
      </c>
      <c r="V763">
        <f t="shared" si="44"/>
        <v>1</v>
      </c>
      <c r="W763" t="str">
        <f t="shared" si="45"/>
        <v/>
      </c>
      <c r="X763" t="str">
        <f t="shared" si="46"/>
        <v/>
      </c>
      <c r="Y763" t="str">
        <f t="shared" si="47"/>
        <v/>
      </c>
    </row>
    <row r="764" spans="1:25" x14ac:dyDescent="0.35">
      <c r="A764">
        <v>772</v>
      </c>
      <c r="B764" t="s">
        <v>371</v>
      </c>
      <c r="C764">
        <v>19800</v>
      </c>
      <c r="D764">
        <v>48</v>
      </c>
      <c r="E764" t="str">
        <f>IFERROR(IF(OR(HLOOKUP($A764,#REF!,3,FALSE)&gt;2,HLOOKUP(A764,#REF!,3,FALSE)&lt;-2),"",#REF!),"")</f>
        <v/>
      </c>
      <c r="F764" t="str">
        <f>IFERROR(IF(OR(HLOOKUP($A764,#REF!,4,FALSE)&gt;2,HLOOKUP($A764,#REF!,4,FALSE)&lt;-2),"",#REF!),"")</f>
        <v/>
      </c>
      <c r="G764" t="str">
        <f>IFERROR(IF(OR(HLOOKUP($A764,#REF!,5,FALSE)&gt;2,HLOOKUP($A764,#REF!,5,FALSE)&lt;-2),"",#REF!),"")</f>
        <v/>
      </c>
      <c r="H764" t="str">
        <f>IFERROR(IF(OR(HLOOKUP($A764,#REF!,6,FALSE)&gt;2,HLOOKUP($A764,#REF!,6,FALSE)&lt;-2),"",#REF!),"")</f>
        <v/>
      </c>
      <c r="I764" t="str">
        <f>IFERROR(IF(OR(HLOOKUP($A764,#REF!,7,FALSE)&gt;2,HLOOKUP($A764,#REF!,7,FALSE)&lt;-2),"",#REF!),"")</f>
        <v/>
      </c>
      <c r="J764" t="str">
        <f>IFERROR(IF(OR(HLOOKUP($A764,#REF!,8,FALSE)&gt;2,HLOOKUP($A764,#REF!,8,FALSE)&lt;-2),"",#REF!),"")</f>
        <v/>
      </c>
      <c r="K764" t="str">
        <f>IFERROR(IF(OR(HLOOKUP($A764,#REF!,9,FALSE)&gt;2,HLOOKUP($A764,#REF!,9,FALSE)&lt;-2),"",#REF!),"")</f>
        <v/>
      </c>
      <c r="L764" t="str">
        <f>IFERROR(IF(OR(HLOOKUP($A764,#REF!,10,FALSE)&gt;2,HLOOKUP($A764,#REF!,10,FALSE)&lt;-2),"",#REF!),"")</f>
        <v/>
      </c>
      <c r="M764" t="str">
        <f>IFERROR(IF(OR(HLOOKUP($A764,#REF!,11,FALSE)&gt;2,HLOOKUP($A764,#REF!,11,FALSE)&lt;-2),"",#REF!),"")</f>
        <v/>
      </c>
      <c r="N764" t="str">
        <f>IFERROR(IF(OR(HLOOKUP($A764,#REF!,12,FALSE)&gt;2,HLOOKUP($A764,#REF!,12,FALSE)&lt;-2),"",#REF!),"")</f>
        <v/>
      </c>
      <c r="O764" t="str">
        <f>IFERROR(IF(OR(HLOOKUP($A764,#REF!,13,FALSE)&gt;2,HLOOKUP($A764,#REF!,13,FALSE)&lt;-2),"",#REF!),"")</f>
        <v/>
      </c>
      <c r="P764" t="str">
        <f>IFERROR(IF(OR(HLOOKUP($A764,#REF!,14,FALSE)&gt;2,HLOOKUP($A764,#REF!,14,FALSE)&lt;-2),"",#REF!),"")</f>
        <v/>
      </c>
      <c r="Q764" t="str">
        <f>IFERROR(IF(OR(HLOOKUP($A764,#REF!,15,FALSE)&gt;2,HLOOKUP($A764,#REF!,15,FALSE)&lt;-2),"",#REF!),"")</f>
        <v/>
      </c>
      <c r="R764" t="str">
        <f>IFERROR(IF(OR(HLOOKUP($A764,#REF!,16,FALSE)&gt;2,HLOOKUP($A764,#REF!,16,FALSE)&lt;-2),"",#REF!),"")</f>
        <v/>
      </c>
      <c r="S764" t="str">
        <f>IFERROR(IF(OR(HLOOKUP($A764,#REF!,17,FALSE)&gt;2,HLOOKUP($A764,#REF!,17,FALSE)&lt;-2),"",#REF!),"")</f>
        <v/>
      </c>
      <c r="T764" t="str">
        <f>IFERROR(IF(OR(HLOOKUP($A764,#REF!,18,FALSE)&gt;2,HLOOKUP($A764,#REF!,18,FALSE)&lt;-2),"",#REF!),"")</f>
        <v/>
      </c>
      <c r="U764" t="str">
        <f>IFERROR(IF(OR(HLOOKUP($A764,#REF!,19,FALSE)&gt;2,HLOOKUP($A764,#REF!,19,FALSE)&lt;-2),"",#REF!),"")</f>
        <v/>
      </c>
      <c r="V764">
        <f t="shared" si="44"/>
        <v>1</v>
      </c>
      <c r="W764" t="str">
        <f t="shared" si="45"/>
        <v/>
      </c>
      <c r="X764" t="str">
        <f t="shared" si="46"/>
        <v/>
      </c>
      <c r="Y764" t="str">
        <f t="shared" si="47"/>
        <v/>
      </c>
    </row>
    <row r="765" spans="1:25" x14ac:dyDescent="0.35">
      <c r="A765">
        <v>773</v>
      </c>
      <c r="B765" t="s">
        <v>372</v>
      </c>
      <c r="C765">
        <v>96500</v>
      </c>
      <c r="D765">
        <v>370</v>
      </c>
      <c r="E765" t="str">
        <f>IFERROR(IF(OR(HLOOKUP($A765,#REF!,3,FALSE)&gt;2,HLOOKUP(A765,#REF!,3,FALSE)&lt;-2),"",#REF!),"")</f>
        <v/>
      </c>
      <c r="F765" t="str">
        <f>IFERROR(IF(OR(HLOOKUP($A765,#REF!,4,FALSE)&gt;2,HLOOKUP($A765,#REF!,4,FALSE)&lt;-2),"",#REF!),"")</f>
        <v/>
      </c>
      <c r="G765" t="str">
        <f>IFERROR(IF(OR(HLOOKUP($A765,#REF!,5,FALSE)&gt;2,HLOOKUP($A765,#REF!,5,FALSE)&lt;-2),"",#REF!),"")</f>
        <v/>
      </c>
      <c r="H765" t="str">
        <f>IFERROR(IF(OR(HLOOKUP($A765,#REF!,6,FALSE)&gt;2,HLOOKUP($A765,#REF!,6,FALSE)&lt;-2),"",#REF!),"")</f>
        <v/>
      </c>
      <c r="I765" t="str">
        <f>IFERROR(IF(OR(HLOOKUP($A765,#REF!,7,FALSE)&gt;2,HLOOKUP($A765,#REF!,7,FALSE)&lt;-2),"",#REF!),"")</f>
        <v/>
      </c>
      <c r="J765" t="str">
        <f>IFERROR(IF(OR(HLOOKUP($A765,#REF!,8,FALSE)&gt;2,HLOOKUP($A765,#REF!,8,FALSE)&lt;-2),"",#REF!),"")</f>
        <v/>
      </c>
      <c r="K765" t="str">
        <f>IFERROR(IF(OR(HLOOKUP($A765,#REF!,9,FALSE)&gt;2,HLOOKUP($A765,#REF!,9,FALSE)&lt;-2),"",#REF!),"")</f>
        <v/>
      </c>
      <c r="L765" t="str">
        <f>IFERROR(IF(OR(HLOOKUP($A765,#REF!,10,FALSE)&gt;2,HLOOKUP($A765,#REF!,10,FALSE)&lt;-2),"",#REF!),"")</f>
        <v/>
      </c>
      <c r="M765" t="str">
        <f>IFERROR(IF(OR(HLOOKUP($A765,#REF!,11,FALSE)&gt;2,HLOOKUP($A765,#REF!,11,FALSE)&lt;-2),"",#REF!),"")</f>
        <v/>
      </c>
      <c r="N765" t="str">
        <f>IFERROR(IF(OR(HLOOKUP($A765,#REF!,12,FALSE)&gt;2,HLOOKUP($A765,#REF!,12,FALSE)&lt;-2),"",#REF!),"")</f>
        <v/>
      </c>
      <c r="O765" t="str">
        <f>IFERROR(IF(OR(HLOOKUP($A765,#REF!,13,FALSE)&gt;2,HLOOKUP($A765,#REF!,13,FALSE)&lt;-2),"",#REF!),"")</f>
        <v/>
      </c>
      <c r="P765" t="str">
        <f>IFERROR(IF(OR(HLOOKUP($A765,#REF!,14,FALSE)&gt;2,HLOOKUP($A765,#REF!,14,FALSE)&lt;-2),"",#REF!),"")</f>
        <v/>
      </c>
      <c r="Q765" t="str">
        <f>IFERROR(IF(OR(HLOOKUP($A765,#REF!,15,FALSE)&gt;2,HLOOKUP($A765,#REF!,15,FALSE)&lt;-2),"",#REF!),"")</f>
        <v/>
      </c>
      <c r="R765" t="str">
        <f>IFERROR(IF(OR(HLOOKUP($A765,#REF!,16,FALSE)&gt;2,HLOOKUP($A765,#REF!,16,FALSE)&lt;-2),"",#REF!),"")</f>
        <v/>
      </c>
      <c r="S765" t="str">
        <f>IFERROR(IF(OR(HLOOKUP($A765,#REF!,17,FALSE)&gt;2,HLOOKUP($A765,#REF!,17,FALSE)&lt;-2),"",#REF!),"")</f>
        <v/>
      </c>
      <c r="T765" t="str">
        <f>IFERROR(IF(OR(HLOOKUP($A765,#REF!,18,FALSE)&gt;2,HLOOKUP($A765,#REF!,18,FALSE)&lt;-2),"",#REF!),"")</f>
        <v/>
      </c>
      <c r="U765" t="str">
        <f>IFERROR(IF(OR(HLOOKUP($A765,#REF!,19,FALSE)&gt;2,HLOOKUP($A765,#REF!,19,FALSE)&lt;-2),"",#REF!),"")</f>
        <v/>
      </c>
      <c r="V765">
        <f t="shared" si="44"/>
        <v>1</v>
      </c>
      <c r="W765" t="str">
        <f t="shared" si="45"/>
        <v/>
      </c>
      <c r="X765" t="str">
        <f t="shared" si="46"/>
        <v/>
      </c>
      <c r="Y765" t="str">
        <f t="shared" si="47"/>
        <v/>
      </c>
    </row>
    <row r="766" spans="1:25" x14ac:dyDescent="0.35">
      <c r="A766">
        <v>774</v>
      </c>
      <c r="B766" t="s">
        <v>373</v>
      </c>
      <c r="C766">
        <v>25600</v>
      </c>
      <c r="D766">
        <v>894</v>
      </c>
      <c r="E766" t="str">
        <f>IFERROR(IF(OR(HLOOKUP($A766,#REF!,3,FALSE)&gt;2,HLOOKUP(A766,#REF!,3,FALSE)&lt;-2),"",#REF!),"")</f>
        <v/>
      </c>
      <c r="F766" t="str">
        <f>IFERROR(IF(OR(HLOOKUP($A766,#REF!,4,FALSE)&gt;2,HLOOKUP($A766,#REF!,4,FALSE)&lt;-2),"",#REF!),"")</f>
        <v/>
      </c>
      <c r="G766" t="str">
        <f>IFERROR(IF(OR(HLOOKUP($A766,#REF!,5,FALSE)&gt;2,HLOOKUP($A766,#REF!,5,FALSE)&lt;-2),"",#REF!),"")</f>
        <v/>
      </c>
      <c r="H766" t="str">
        <f>IFERROR(IF(OR(HLOOKUP($A766,#REF!,6,FALSE)&gt;2,HLOOKUP($A766,#REF!,6,FALSE)&lt;-2),"",#REF!),"")</f>
        <v/>
      </c>
      <c r="I766" t="str">
        <f>IFERROR(IF(OR(HLOOKUP($A766,#REF!,7,FALSE)&gt;2,HLOOKUP($A766,#REF!,7,FALSE)&lt;-2),"",#REF!),"")</f>
        <v/>
      </c>
      <c r="J766" t="str">
        <f>IFERROR(IF(OR(HLOOKUP($A766,#REF!,8,FALSE)&gt;2,HLOOKUP($A766,#REF!,8,FALSE)&lt;-2),"",#REF!),"")</f>
        <v/>
      </c>
      <c r="K766" t="str">
        <f>IFERROR(IF(OR(HLOOKUP($A766,#REF!,9,FALSE)&gt;2,HLOOKUP($A766,#REF!,9,FALSE)&lt;-2),"",#REF!),"")</f>
        <v/>
      </c>
      <c r="L766" t="str">
        <f>IFERROR(IF(OR(HLOOKUP($A766,#REF!,10,FALSE)&gt;2,HLOOKUP($A766,#REF!,10,FALSE)&lt;-2),"",#REF!),"")</f>
        <v/>
      </c>
      <c r="M766" t="str">
        <f>IFERROR(IF(OR(HLOOKUP($A766,#REF!,11,FALSE)&gt;2,HLOOKUP($A766,#REF!,11,FALSE)&lt;-2),"",#REF!),"")</f>
        <v/>
      </c>
      <c r="N766" t="str">
        <f>IFERROR(IF(OR(HLOOKUP($A766,#REF!,12,FALSE)&gt;2,HLOOKUP($A766,#REF!,12,FALSE)&lt;-2),"",#REF!),"")</f>
        <v/>
      </c>
      <c r="O766" t="str">
        <f>IFERROR(IF(OR(HLOOKUP($A766,#REF!,13,FALSE)&gt;2,HLOOKUP($A766,#REF!,13,FALSE)&lt;-2),"",#REF!),"")</f>
        <v/>
      </c>
      <c r="P766" t="str">
        <f>IFERROR(IF(OR(HLOOKUP($A766,#REF!,14,FALSE)&gt;2,HLOOKUP($A766,#REF!,14,FALSE)&lt;-2),"",#REF!),"")</f>
        <v/>
      </c>
      <c r="Q766" t="str">
        <f>IFERROR(IF(OR(HLOOKUP($A766,#REF!,15,FALSE)&gt;2,HLOOKUP($A766,#REF!,15,FALSE)&lt;-2),"",#REF!),"")</f>
        <v/>
      </c>
      <c r="R766" t="str">
        <f>IFERROR(IF(OR(HLOOKUP($A766,#REF!,16,FALSE)&gt;2,HLOOKUP($A766,#REF!,16,FALSE)&lt;-2),"",#REF!),"")</f>
        <v/>
      </c>
      <c r="S766" t="str">
        <f>IFERROR(IF(OR(HLOOKUP($A766,#REF!,17,FALSE)&gt;2,HLOOKUP($A766,#REF!,17,FALSE)&lt;-2),"",#REF!),"")</f>
        <v/>
      </c>
      <c r="T766" t="str">
        <f>IFERROR(IF(OR(HLOOKUP($A766,#REF!,18,FALSE)&gt;2,HLOOKUP($A766,#REF!,18,FALSE)&lt;-2),"",#REF!),"")</f>
        <v/>
      </c>
      <c r="U766" t="str">
        <f>IFERROR(IF(OR(HLOOKUP($A766,#REF!,19,FALSE)&gt;2,HLOOKUP($A766,#REF!,19,FALSE)&lt;-2),"",#REF!),"")</f>
        <v/>
      </c>
      <c r="V766">
        <f t="shared" si="44"/>
        <v>1</v>
      </c>
      <c r="W766" t="str">
        <f t="shared" si="45"/>
        <v/>
      </c>
      <c r="X766" t="str">
        <f t="shared" si="46"/>
        <v/>
      </c>
      <c r="Y766" t="str">
        <f t="shared" si="47"/>
        <v/>
      </c>
    </row>
    <row r="767" spans="1:25" x14ac:dyDescent="0.35">
      <c r="A767">
        <v>775</v>
      </c>
      <c r="B767" t="s">
        <v>996</v>
      </c>
      <c r="C767">
        <v>40300</v>
      </c>
      <c r="D767">
        <v>766</v>
      </c>
      <c r="E767" t="str">
        <f>IFERROR(IF(OR(HLOOKUP($A767,#REF!,3,FALSE)&gt;2,HLOOKUP(A767,#REF!,3,FALSE)&lt;-2),"",#REF!),"")</f>
        <v/>
      </c>
      <c r="F767" t="str">
        <f>IFERROR(IF(OR(HLOOKUP($A767,#REF!,4,FALSE)&gt;2,HLOOKUP($A767,#REF!,4,FALSE)&lt;-2),"",#REF!),"")</f>
        <v/>
      </c>
      <c r="G767" t="str">
        <f>IFERROR(IF(OR(HLOOKUP($A767,#REF!,5,FALSE)&gt;2,HLOOKUP($A767,#REF!,5,FALSE)&lt;-2),"",#REF!),"")</f>
        <v/>
      </c>
      <c r="H767" t="str">
        <f>IFERROR(IF(OR(HLOOKUP($A767,#REF!,6,FALSE)&gt;2,HLOOKUP($A767,#REF!,6,FALSE)&lt;-2),"",#REF!),"")</f>
        <v/>
      </c>
      <c r="I767" t="str">
        <f>IFERROR(IF(OR(HLOOKUP($A767,#REF!,7,FALSE)&gt;2,HLOOKUP($A767,#REF!,7,FALSE)&lt;-2),"",#REF!),"")</f>
        <v/>
      </c>
      <c r="J767" t="str">
        <f>IFERROR(IF(OR(HLOOKUP($A767,#REF!,8,FALSE)&gt;2,HLOOKUP($A767,#REF!,8,FALSE)&lt;-2),"",#REF!),"")</f>
        <v/>
      </c>
      <c r="K767" t="str">
        <f>IFERROR(IF(OR(HLOOKUP($A767,#REF!,9,FALSE)&gt;2,HLOOKUP($A767,#REF!,9,FALSE)&lt;-2),"",#REF!),"")</f>
        <v/>
      </c>
      <c r="L767" t="str">
        <f>IFERROR(IF(OR(HLOOKUP($A767,#REF!,10,FALSE)&gt;2,HLOOKUP($A767,#REF!,10,FALSE)&lt;-2),"",#REF!),"")</f>
        <v/>
      </c>
      <c r="M767" t="str">
        <f>IFERROR(IF(OR(HLOOKUP($A767,#REF!,11,FALSE)&gt;2,HLOOKUP($A767,#REF!,11,FALSE)&lt;-2),"",#REF!),"")</f>
        <v/>
      </c>
      <c r="N767" t="str">
        <f>IFERROR(IF(OR(HLOOKUP($A767,#REF!,12,FALSE)&gt;2,HLOOKUP($A767,#REF!,12,FALSE)&lt;-2),"",#REF!),"")</f>
        <v/>
      </c>
      <c r="O767" t="str">
        <f>IFERROR(IF(OR(HLOOKUP($A767,#REF!,13,FALSE)&gt;2,HLOOKUP($A767,#REF!,13,FALSE)&lt;-2),"",#REF!),"")</f>
        <v/>
      </c>
      <c r="P767" t="str">
        <f>IFERROR(IF(OR(HLOOKUP($A767,#REF!,14,FALSE)&gt;2,HLOOKUP($A767,#REF!,14,FALSE)&lt;-2),"",#REF!),"")</f>
        <v/>
      </c>
      <c r="Q767" t="str">
        <f>IFERROR(IF(OR(HLOOKUP($A767,#REF!,15,FALSE)&gt;2,HLOOKUP($A767,#REF!,15,FALSE)&lt;-2),"",#REF!),"")</f>
        <v/>
      </c>
      <c r="R767" t="str">
        <f>IFERROR(IF(OR(HLOOKUP($A767,#REF!,16,FALSE)&gt;2,HLOOKUP($A767,#REF!,16,FALSE)&lt;-2),"",#REF!),"")</f>
        <v/>
      </c>
      <c r="S767" t="str">
        <f>IFERROR(IF(OR(HLOOKUP($A767,#REF!,17,FALSE)&gt;2,HLOOKUP($A767,#REF!,17,FALSE)&lt;-2),"",#REF!),"")</f>
        <v/>
      </c>
      <c r="T767" t="str">
        <f>IFERROR(IF(OR(HLOOKUP($A767,#REF!,18,FALSE)&gt;2,HLOOKUP($A767,#REF!,18,FALSE)&lt;-2),"",#REF!),"")</f>
        <v/>
      </c>
      <c r="U767" t="str">
        <f>IFERROR(IF(OR(HLOOKUP($A767,#REF!,19,FALSE)&gt;2,HLOOKUP($A767,#REF!,19,FALSE)&lt;-2),"",#REF!),"")</f>
        <v/>
      </c>
      <c r="V767">
        <f t="shared" si="44"/>
        <v>1</v>
      </c>
      <c r="W767" t="str">
        <f t="shared" si="45"/>
        <v/>
      </c>
      <c r="X767" t="str">
        <f t="shared" si="46"/>
        <v/>
      </c>
      <c r="Y767" t="str">
        <f t="shared" si="47"/>
        <v/>
      </c>
    </row>
    <row r="768" spans="1:25" x14ac:dyDescent="0.35">
      <c r="A768">
        <v>776</v>
      </c>
      <c r="B768" t="s">
        <v>374</v>
      </c>
      <c r="C768">
        <v>106100</v>
      </c>
      <c r="D768">
        <v>983</v>
      </c>
      <c r="E768" t="str">
        <f>IFERROR(IF(OR(HLOOKUP($A768,#REF!,3,FALSE)&gt;2,HLOOKUP(A768,#REF!,3,FALSE)&lt;-2),"",#REF!),"")</f>
        <v/>
      </c>
      <c r="F768" t="str">
        <f>IFERROR(IF(OR(HLOOKUP($A768,#REF!,4,FALSE)&gt;2,HLOOKUP($A768,#REF!,4,FALSE)&lt;-2),"",#REF!),"")</f>
        <v/>
      </c>
      <c r="G768" t="str">
        <f>IFERROR(IF(OR(HLOOKUP($A768,#REF!,5,FALSE)&gt;2,HLOOKUP($A768,#REF!,5,FALSE)&lt;-2),"",#REF!),"")</f>
        <v/>
      </c>
      <c r="H768" t="str">
        <f>IFERROR(IF(OR(HLOOKUP($A768,#REF!,6,FALSE)&gt;2,HLOOKUP($A768,#REF!,6,FALSE)&lt;-2),"",#REF!),"")</f>
        <v/>
      </c>
      <c r="I768" t="str">
        <f>IFERROR(IF(OR(HLOOKUP($A768,#REF!,7,FALSE)&gt;2,HLOOKUP($A768,#REF!,7,FALSE)&lt;-2),"",#REF!),"")</f>
        <v/>
      </c>
      <c r="J768" t="str">
        <f>IFERROR(IF(OR(HLOOKUP($A768,#REF!,8,FALSE)&gt;2,HLOOKUP($A768,#REF!,8,FALSE)&lt;-2),"",#REF!),"")</f>
        <v/>
      </c>
      <c r="K768" t="str">
        <f>IFERROR(IF(OR(HLOOKUP($A768,#REF!,9,FALSE)&gt;2,HLOOKUP($A768,#REF!,9,FALSE)&lt;-2),"",#REF!),"")</f>
        <v/>
      </c>
      <c r="L768" t="str">
        <f>IFERROR(IF(OR(HLOOKUP($A768,#REF!,10,FALSE)&gt;2,HLOOKUP($A768,#REF!,10,FALSE)&lt;-2),"",#REF!),"")</f>
        <v/>
      </c>
      <c r="M768" t="str">
        <f>IFERROR(IF(OR(HLOOKUP($A768,#REF!,11,FALSE)&gt;2,HLOOKUP($A768,#REF!,11,FALSE)&lt;-2),"",#REF!),"")</f>
        <v/>
      </c>
      <c r="N768" t="str">
        <f>IFERROR(IF(OR(HLOOKUP($A768,#REF!,12,FALSE)&gt;2,HLOOKUP($A768,#REF!,12,FALSE)&lt;-2),"",#REF!),"")</f>
        <v/>
      </c>
      <c r="O768" t="str">
        <f>IFERROR(IF(OR(HLOOKUP($A768,#REF!,13,FALSE)&gt;2,HLOOKUP($A768,#REF!,13,FALSE)&lt;-2),"",#REF!),"")</f>
        <v/>
      </c>
      <c r="P768" t="str">
        <f>IFERROR(IF(OR(HLOOKUP($A768,#REF!,14,FALSE)&gt;2,HLOOKUP($A768,#REF!,14,FALSE)&lt;-2),"",#REF!),"")</f>
        <v/>
      </c>
      <c r="Q768" t="str">
        <f>IFERROR(IF(OR(HLOOKUP($A768,#REF!,15,FALSE)&gt;2,HLOOKUP($A768,#REF!,15,FALSE)&lt;-2),"",#REF!),"")</f>
        <v/>
      </c>
      <c r="R768" t="str">
        <f>IFERROR(IF(OR(HLOOKUP($A768,#REF!,16,FALSE)&gt;2,HLOOKUP($A768,#REF!,16,FALSE)&lt;-2),"",#REF!),"")</f>
        <v/>
      </c>
      <c r="S768" t="str">
        <f>IFERROR(IF(OR(HLOOKUP($A768,#REF!,17,FALSE)&gt;2,HLOOKUP($A768,#REF!,17,FALSE)&lt;-2),"",#REF!),"")</f>
        <v/>
      </c>
      <c r="T768" t="str">
        <f>IFERROR(IF(OR(HLOOKUP($A768,#REF!,18,FALSE)&gt;2,HLOOKUP($A768,#REF!,18,FALSE)&lt;-2),"",#REF!),"")</f>
        <v/>
      </c>
      <c r="U768" t="str">
        <f>IFERROR(IF(OR(HLOOKUP($A768,#REF!,19,FALSE)&gt;2,HLOOKUP($A768,#REF!,19,FALSE)&lt;-2),"",#REF!),"")</f>
        <v/>
      </c>
      <c r="V768">
        <f t="shared" si="44"/>
        <v>1</v>
      </c>
      <c r="W768" t="str">
        <f t="shared" si="45"/>
        <v/>
      </c>
      <c r="X768" t="str">
        <f t="shared" si="46"/>
        <v/>
      </c>
      <c r="Y768" t="str">
        <f t="shared" si="47"/>
        <v/>
      </c>
    </row>
    <row r="769" spans="1:25" x14ac:dyDescent="0.35">
      <c r="A769">
        <v>777</v>
      </c>
      <c r="B769" t="s">
        <v>997</v>
      </c>
      <c r="C769">
        <v>77000</v>
      </c>
      <c r="D769">
        <v>693</v>
      </c>
      <c r="E769" t="str">
        <f>IFERROR(IF(OR(HLOOKUP($A769,#REF!,3,FALSE)&gt;2,HLOOKUP(A769,#REF!,3,FALSE)&lt;-2),"",#REF!),"")</f>
        <v/>
      </c>
      <c r="F769" t="str">
        <f>IFERROR(IF(OR(HLOOKUP($A769,#REF!,4,FALSE)&gt;2,HLOOKUP($A769,#REF!,4,FALSE)&lt;-2),"",#REF!),"")</f>
        <v/>
      </c>
      <c r="G769" t="str">
        <f>IFERROR(IF(OR(HLOOKUP($A769,#REF!,5,FALSE)&gt;2,HLOOKUP($A769,#REF!,5,FALSE)&lt;-2),"",#REF!),"")</f>
        <v/>
      </c>
      <c r="H769" t="str">
        <f>IFERROR(IF(OR(HLOOKUP($A769,#REF!,6,FALSE)&gt;2,HLOOKUP($A769,#REF!,6,FALSE)&lt;-2),"",#REF!),"")</f>
        <v/>
      </c>
      <c r="I769" t="str">
        <f>IFERROR(IF(OR(HLOOKUP($A769,#REF!,7,FALSE)&gt;2,HLOOKUP($A769,#REF!,7,FALSE)&lt;-2),"",#REF!),"")</f>
        <v/>
      </c>
      <c r="J769" t="str">
        <f>IFERROR(IF(OR(HLOOKUP($A769,#REF!,8,FALSE)&gt;2,HLOOKUP($A769,#REF!,8,FALSE)&lt;-2),"",#REF!),"")</f>
        <v/>
      </c>
      <c r="K769" t="str">
        <f>IFERROR(IF(OR(HLOOKUP($A769,#REF!,9,FALSE)&gt;2,HLOOKUP($A769,#REF!,9,FALSE)&lt;-2),"",#REF!),"")</f>
        <v/>
      </c>
      <c r="L769" t="str">
        <f>IFERROR(IF(OR(HLOOKUP($A769,#REF!,10,FALSE)&gt;2,HLOOKUP($A769,#REF!,10,FALSE)&lt;-2),"",#REF!),"")</f>
        <v/>
      </c>
      <c r="M769" t="str">
        <f>IFERROR(IF(OR(HLOOKUP($A769,#REF!,11,FALSE)&gt;2,HLOOKUP($A769,#REF!,11,FALSE)&lt;-2),"",#REF!),"")</f>
        <v/>
      </c>
      <c r="N769" t="str">
        <f>IFERROR(IF(OR(HLOOKUP($A769,#REF!,12,FALSE)&gt;2,HLOOKUP($A769,#REF!,12,FALSE)&lt;-2),"",#REF!),"")</f>
        <v/>
      </c>
      <c r="O769" t="str">
        <f>IFERROR(IF(OR(HLOOKUP($A769,#REF!,13,FALSE)&gt;2,HLOOKUP($A769,#REF!,13,FALSE)&lt;-2),"",#REF!),"")</f>
        <v/>
      </c>
      <c r="P769" t="str">
        <f>IFERROR(IF(OR(HLOOKUP($A769,#REF!,14,FALSE)&gt;2,HLOOKUP($A769,#REF!,14,FALSE)&lt;-2),"",#REF!),"")</f>
        <v/>
      </c>
      <c r="Q769" t="str">
        <f>IFERROR(IF(OR(HLOOKUP($A769,#REF!,15,FALSE)&gt;2,HLOOKUP($A769,#REF!,15,FALSE)&lt;-2),"",#REF!),"")</f>
        <v/>
      </c>
      <c r="R769" t="str">
        <f>IFERROR(IF(OR(HLOOKUP($A769,#REF!,16,FALSE)&gt;2,HLOOKUP($A769,#REF!,16,FALSE)&lt;-2),"",#REF!),"")</f>
        <v/>
      </c>
      <c r="S769" t="str">
        <f>IFERROR(IF(OR(HLOOKUP($A769,#REF!,17,FALSE)&gt;2,HLOOKUP($A769,#REF!,17,FALSE)&lt;-2),"",#REF!),"")</f>
        <v/>
      </c>
      <c r="T769" t="str">
        <f>IFERROR(IF(OR(HLOOKUP($A769,#REF!,18,FALSE)&gt;2,HLOOKUP($A769,#REF!,18,FALSE)&lt;-2),"",#REF!),"")</f>
        <v/>
      </c>
      <c r="U769" t="str">
        <f>IFERROR(IF(OR(HLOOKUP($A769,#REF!,19,FALSE)&gt;2,HLOOKUP($A769,#REF!,19,FALSE)&lt;-2),"",#REF!),"")</f>
        <v/>
      </c>
      <c r="V769">
        <f t="shared" si="44"/>
        <v>1</v>
      </c>
      <c r="W769" t="str">
        <f t="shared" si="45"/>
        <v/>
      </c>
      <c r="X769" t="str">
        <f t="shared" si="46"/>
        <v/>
      </c>
      <c r="Y769" t="str">
        <f t="shared" si="47"/>
        <v/>
      </c>
    </row>
    <row r="770" spans="1:25" x14ac:dyDescent="0.35">
      <c r="A770">
        <v>778</v>
      </c>
      <c r="B770" t="s">
        <v>375</v>
      </c>
      <c r="C770">
        <v>16600</v>
      </c>
      <c r="D770">
        <v>385</v>
      </c>
      <c r="E770" t="str">
        <f>IFERROR(IF(OR(HLOOKUP($A770,#REF!,3,FALSE)&gt;2,HLOOKUP(A770,#REF!,3,FALSE)&lt;-2),"",#REF!),"")</f>
        <v/>
      </c>
      <c r="F770" t="str">
        <f>IFERROR(IF(OR(HLOOKUP($A770,#REF!,4,FALSE)&gt;2,HLOOKUP($A770,#REF!,4,FALSE)&lt;-2),"",#REF!),"")</f>
        <v/>
      </c>
      <c r="G770" t="str">
        <f>IFERROR(IF(OR(HLOOKUP($A770,#REF!,5,FALSE)&gt;2,HLOOKUP($A770,#REF!,5,FALSE)&lt;-2),"",#REF!),"")</f>
        <v/>
      </c>
      <c r="H770" t="str">
        <f>IFERROR(IF(OR(HLOOKUP($A770,#REF!,6,FALSE)&gt;2,HLOOKUP($A770,#REF!,6,FALSE)&lt;-2),"",#REF!),"")</f>
        <v/>
      </c>
      <c r="I770" t="str">
        <f>IFERROR(IF(OR(HLOOKUP($A770,#REF!,7,FALSE)&gt;2,HLOOKUP($A770,#REF!,7,FALSE)&lt;-2),"",#REF!),"")</f>
        <v/>
      </c>
      <c r="J770" t="str">
        <f>IFERROR(IF(OR(HLOOKUP($A770,#REF!,8,FALSE)&gt;2,HLOOKUP($A770,#REF!,8,FALSE)&lt;-2),"",#REF!),"")</f>
        <v/>
      </c>
      <c r="K770" t="str">
        <f>IFERROR(IF(OR(HLOOKUP($A770,#REF!,9,FALSE)&gt;2,HLOOKUP($A770,#REF!,9,FALSE)&lt;-2),"",#REF!),"")</f>
        <v/>
      </c>
      <c r="L770" t="str">
        <f>IFERROR(IF(OR(HLOOKUP($A770,#REF!,10,FALSE)&gt;2,HLOOKUP($A770,#REF!,10,FALSE)&lt;-2),"",#REF!),"")</f>
        <v/>
      </c>
      <c r="M770" t="str">
        <f>IFERROR(IF(OR(HLOOKUP($A770,#REF!,11,FALSE)&gt;2,HLOOKUP($A770,#REF!,11,FALSE)&lt;-2),"",#REF!),"")</f>
        <v/>
      </c>
      <c r="N770" t="str">
        <f>IFERROR(IF(OR(HLOOKUP($A770,#REF!,12,FALSE)&gt;2,HLOOKUP($A770,#REF!,12,FALSE)&lt;-2),"",#REF!),"")</f>
        <v/>
      </c>
      <c r="O770" t="str">
        <f>IFERROR(IF(OR(HLOOKUP($A770,#REF!,13,FALSE)&gt;2,HLOOKUP($A770,#REF!,13,FALSE)&lt;-2),"",#REF!),"")</f>
        <v/>
      </c>
      <c r="P770" t="str">
        <f>IFERROR(IF(OR(HLOOKUP($A770,#REF!,14,FALSE)&gt;2,HLOOKUP($A770,#REF!,14,FALSE)&lt;-2),"",#REF!),"")</f>
        <v/>
      </c>
      <c r="Q770" t="str">
        <f>IFERROR(IF(OR(HLOOKUP($A770,#REF!,15,FALSE)&gt;2,HLOOKUP($A770,#REF!,15,FALSE)&lt;-2),"",#REF!),"")</f>
        <v/>
      </c>
      <c r="R770" t="str">
        <f>IFERROR(IF(OR(HLOOKUP($A770,#REF!,16,FALSE)&gt;2,HLOOKUP($A770,#REF!,16,FALSE)&lt;-2),"",#REF!),"")</f>
        <v/>
      </c>
      <c r="S770" t="str">
        <f>IFERROR(IF(OR(HLOOKUP($A770,#REF!,17,FALSE)&gt;2,HLOOKUP($A770,#REF!,17,FALSE)&lt;-2),"",#REF!),"")</f>
        <v/>
      </c>
      <c r="T770" t="str">
        <f>IFERROR(IF(OR(HLOOKUP($A770,#REF!,18,FALSE)&gt;2,HLOOKUP($A770,#REF!,18,FALSE)&lt;-2),"",#REF!),"")</f>
        <v/>
      </c>
      <c r="U770" t="str">
        <f>IFERROR(IF(OR(HLOOKUP($A770,#REF!,19,FALSE)&gt;2,HLOOKUP($A770,#REF!,19,FALSE)&lt;-2),"",#REF!),"")</f>
        <v/>
      </c>
      <c r="V770">
        <f t="shared" si="44"/>
        <v>1</v>
      </c>
      <c r="W770" t="str">
        <f t="shared" si="45"/>
        <v/>
      </c>
      <c r="X770" t="str">
        <f t="shared" si="46"/>
        <v/>
      </c>
      <c r="Y770" t="str">
        <f t="shared" si="47"/>
        <v/>
      </c>
    </row>
    <row r="771" spans="1:25" x14ac:dyDescent="0.35">
      <c r="A771">
        <v>779</v>
      </c>
      <c r="B771" t="s">
        <v>998</v>
      </c>
      <c r="C771">
        <v>114000</v>
      </c>
      <c r="D771">
        <v>182</v>
      </c>
      <c r="E771" t="str">
        <f>IFERROR(IF(OR(HLOOKUP($A771,#REF!,3,FALSE)&gt;2,HLOOKUP(A771,#REF!,3,FALSE)&lt;-2),"",#REF!),"")</f>
        <v/>
      </c>
      <c r="F771" t="str">
        <f>IFERROR(IF(OR(HLOOKUP($A771,#REF!,4,FALSE)&gt;2,HLOOKUP($A771,#REF!,4,FALSE)&lt;-2),"",#REF!),"")</f>
        <v/>
      </c>
      <c r="G771" t="str">
        <f>IFERROR(IF(OR(HLOOKUP($A771,#REF!,5,FALSE)&gt;2,HLOOKUP($A771,#REF!,5,FALSE)&lt;-2),"",#REF!),"")</f>
        <v/>
      </c>
      <c r="H771" t="str">
        <f>IFERROR(IF(OR(HLOOKUP($A771,#REF!,6,FALSE)&gt;2,HLOOKUP($A771,#REF!,6,FALSE)&lt;-2),"",#REF!),"")</f>
        <v/>
      </c>
      <c r="I771" t="str">
        <f>IFERROR(IF(OR(HLOOKUP($A771,#REF!,7,FALSE)&gt;2,HLOOKUP($A771,#REF!,7,FALSE)&lt;-2),"",#REF!),"")</f>
        <v/>
      </c>
      <c r="J771" t="str">
        <f>IFERROR(IF(OR(HLOOKUP($A771,#REF!,8,FALSE)&gt;2,HLOOKUP($A771,#REF!,8,FALSE)&lt;-2),"",#REF!),"")</f>
        <v/>
      </c>
      <c r="K771" t="str">
        <f>IFERROR(IF(OR(HLOOKUP($A771,#REF!,9,FALSE)&gt;2,HLOOKUP($A771,#REF!,9,FALSE)&lt;-2),"",#REF!),"")</f>
        <v/>
      </c>
      <c r="L771" t="str">
        <f>IFERROR(IF(OR(HLOOKUP($A771,#REF!,10,FALSE)&gt;2,HLOOKUP($A771,#REF!,10,FALSE)&lt;-2),"",#REF!),"")</f>
        <v/>
      </c>
      <c r="M771" t="str">
        <f>IFERROR(IF(OR(HLOOKUP($A771,#REF!,11,FALSE)&gt;2,HLOOKUP($A771,#REF!,11,FALSE)&lt;-2),"",#REF!),"")</f>
        <v/>
      </c>
      <c r="N771" t="str">
        <f>IFERROR(IF(OR(HLOOKUP($A771,#REF!,12,FALSE)&gt;2,HLOOKUP($A771,#REF!,12,FALSE)&lt;-2),"",#REF!),"")</f>
        <v/>
      </c>
      <c r="O771" t="str">
        <f>IFERROR(IF(OR(HLOOKUP($A771,#REF!,13,FALSE)&gt;2,HLOOKUP($A771,#REF!,13,FALSE)&lt;-2),"",#REF!),"")</f>
        <v/>
      </c>
      <c r="P771" t="str">
        <f>IFERROR(IF(OR(HLOOKUP($A771,#REF!,14,FALSE)&gt;2,HLOOKUP($A771,#REF!,14,FALSE)&lt;-2),"",#REF!),"")</f>
        <v/>
      </c>
      <c r="Q771" t="str">
        <f>IFERROR(IF(OR(HLOOKUP($A771,#REF!,15,FALSE)&gt;2,HLOOKUP($A771,#REF!,15,FALSE)&lt;-2),"",#REF!),"")</f>
        <v/>
      </c>
      <c r="R771" t="str">
        <f>IFERROR(IF(OR(HLOOKUP($A771,#REF!,16,FALSE)&gt;2,HLOOKUP($A771,#REF!,16,FALSE)&lt;-2),"",#REF!),"")</f>
        <v/>
      </c>
      <c r="S771" t="str">
        <f>IFERROR(IF(OR(HLOOKUP($A771,#REF!,17,FALSE)&gt;2,HLOOKUP($A771,#REF!,17,FALSE)&lt;-2),"",#REF!),"")</f>
        <v/>
      </c>
      <c r="T771" t="str">
        <f>IFERROR(IF(OR(HLOOKUP($A771,#REF!,18,FALSE)&gt;2,HLOOKUP($A771,#REF!,18,FALSE)&lt;-2),"",#REF!),"")</f>
        <v/>
      </c>
      <c r="U771" t="str">
        <f>IFERROR(IF(OR(HLOOKUP($A771,#REF!,19,FALSE)&gt;2,HLOOKUP($A771,#REF!,19,FALSE)&lt;-2),"",#REF!),"")</f>
        <v/>
      </c>
      <c r="V771">
        <f t="shared" si="44"/>
        <v>1</v>
      </c>
      <c r="W771" t="str">
        <f t="shared" si="45"/>
        <v/>
      </c>
      <c r="X771" t="str">
        <f t="shared" si="46"/>
        <v/>
      </c>
      <c r="Y771" t="str">
        <f t="shared" si="47"/>
        <v/>
      </c>
    </row>
    <row r="772" spans="1:25" x14ac:dyDescent="0.35">
      <c r="A772">
        <v>780</v>
      </c>
      <c r="B772" t="s">
        <v>376</v>
      </c>
      <c r="C772">
        <v>47800</v>
      </c>
      <c r="D772">
        <v>703</v>
      </c>
      <c r="E772" t="str">
        <f>IFERROR(IF(OR(HLOOKUP($A772,#REF!,3,FALSE)&gt;2,HLOOKUP(A772,#REF!,3,FALSE)&lt;-2),"",#REF!),"")</f>
        <v/>
      </c>
      <c r="F772" t="str">
        <f>IFERROR(IF(OR(HLOOKUP($A772,#REF!,4,FALSE)&gt;2,HLOOKUP($A772,#REF!,4,FALSE)&lt;-2),"",#REF!),"")</f>
        <v/>
      </c>
      <c r="G772" t="str">
        <f>IFERROR(IF(OR(HLOOKUP($A772,#REF!,5,FALSE)&gt;2,HLOOKUP($A772,#REF!,5,FALSE)&lt;-2),"",#REF!),"")</f>
        <v/>
      </c>
      <c r="H772" t="str">
        <f>IFERROR(IF(OR(HLOOKUP($A772,#REF!,6,FALSE)&gt;2,HLOOKUP($A772,#REF!,6,FALSE)&lt;-2),"",#REF!),"")</f>
        <v/>
      </c>
      <c r="I772" t="str">
        <f>IFERROR(IF(OR(HLOOKUP($A772,#REF!,7,FALSE)&gt;2,HLOOKUP($A772,#REF!,7,FALSE)&lt;-2),"",#REF!),"")</f>
        <v/>
      </c>
      <c r="J772" t="str">
        <f>IFERROR(IF(OR(HLOOKUP($A772,#REF!,8,FALSE)&gt;2,HLOOKUP($A772,#REF!,8,FALSE)&lt;-2),"",#REF!),"")</f>
        <v/>
      </c>
      <c r="K772" t="str">
        <f>IFERROR(IF(OR(HLOOKUP($A772,#REF!,9,FALSE)&gt;2,HLOOKUP($A772,#REF!,9,FALSE)&lt;-2),"",#REF!),"")</f>
        <v/>
      </c>
      <c r="L772" t="str">
        <f>IFERROR(IF(OR(HLOOKUP($A772,#REF!,10,FALSE)&gt;2,HLOOKUP($A772,#REF!,10,FALSE)&lt;-2),"",#REF!),"")</f>
        <v/>
      </c>
      <c r="M772" t="str">
        <f>IFERROR(IF(OR(HLOOKUP($A772,#REF!,11,FALSE)&gt;2,HLOOKUP($A772,#REF!,11,FALSE)&lt;-2),"",#REF!),"")</f>
        <v/>
      </c>
      <c r="N772" t="str">
        <f>IFERROR(IF(OR(HLOOKUP($A772,#REF!,12,FALSE)&gt;2,HLOOKUP($A772,#REF!,12,FALSE)&lt;-2),"",#REF!),"")</f>
        <v/>
      </c>
      <c r="O772" t="str">
        <f>IFERROR(IF(OR(HLOOKUP($A772,#REF!,13,FALSE)&gt;2,HLOOKUP($A772,#REF!,13,FALSE)&lt;-2),"",#REF!),"")</f>
        <v/>
      </c>
      <c r="P772" t="str">
        <f>IFERROR(IF(OR(HLOOKUP($A772,#REF!,14,FALSE)&gt;2,HLOOKUP($A772,#REF!,14,FALSE)&lt;-2),"",#REF!),"")</f>
        <v/>
      </c>
      <c r="Q772" t="str">
        <f>IFERROR(IF(OR(HLOOKUP($A772,#REF!,15,FALSE)&gt;2,HLOOKUP($A772,#REF!,15,FALSE)&lt;-2),"",#REF!),"")</f>
        <v/>
      </c>
      <c r="R772" t="str">
        <f>IFERROR(IF(OR(HLOOKUP($A772,#REF!,16,FALSE)&gt;2,HLOOKUP($A772,#REF!,16,FALSE)&lt;-2),"",#REF!),"")</f>
        <v/>
      </c>
      <c r="S772" t="str">
        <f>IFERROR(IF(OR(HLOOKUP($A772,#REF!,17,FALSE)&gt;2,HLOOKUP($A772,#REF!,17,FALSE)&lt;-2),"",#REF!),"")</f>
        <v/>
      </c>
      <c r="T772" t="str">
        <f>IFERROR(IF(OR(HLOOKUP($A772,#REF!,18,FALSE)&gt;2,HLOOKUP($A772,#REF!,18,FALSE)&lt;-2),"",#REF!),"")</f>
        <v/>
      </c>
      <c r="U772" t="str">
        <f>IFERROR(IF(OR(HLOOKUP($A772,#REF!,19,FALSE)&gt;2,HLOOKUP($A772,#REF!,19,FALSE)&lt;-2),"",#REF!),"")</f>
        <v/>
      </c>
      <c r="V772">
        <f t="shared" ref="V772:V835" si="48">IFERROR(IF(AND(X772=0,Y772=0),0,1),0)</f>
        <v>1</v>
      </c>
      <c r="W772" t="str">
        <f t="shared" ref="W772:W835" si="49">IFERROR(_xlfn.T.TEST(E772:M772,N772:U772,2,2),"")</f>
        <v/>
      </c>
      <c r="X772" t="str">
        <f t="shared" ref="X772:X835" si="50">IFERROR(AVERAGE(E772:M772),"")</f>
        <v/>
      </c>
      <c r="Y772" t="str">
        <f t="shared" ref="Y772:Y835" si="51">IFERROR(AVERAGE(N772:U772),"")</f>
        <v/>
      </c>
    </row>
    <row r="773" spans="1:25" x14ac:dyDescent="0.35">
      <c r="A773">
        <v>781</v>
      </c>
      <c r="B773" t="s">
        <v>377</v>
      </c>
      <c r="C773">
        <v>96600</v>
      </c>
      <c r="D773">
        <v>370</v>
      </c>
      <c r="E773" t="str">
        <f>IFERROR(IF(OR(HLOOKUP($A773,#REF!,3,FALSE)&gt;2,HLOOKUP(A773,#REF!,3,FALSE)&lt;-2),"",#REF!),"")</f>
        <v/>
      </c>
      <c r="F773" t="str">
        <f>IFERROR(IF(OR(HLOOKUP($A773,#REF!,4,FALSE)&gt;2,HLOOKUP($A773,#REF!,4,FALSE)&lt;-2),"",#REF!),"")</f>
        <v/>
      </c>
      <c r="G773" t="str">
        <f>IFERROR(IF(OR(HLOOKUP($A773,#REF!,5,FALSE)&gt;2,HLOOKUP($A773,#REF!,5,FALSE)&lt;-2),"",#REF!),"")</f>
        <v/>
      </c>
      <c r="H773" t="str">
        <f>IFERROR(IF(OR(HLOOKUP($A773,#REF!,6,FALSE)&gt;2,HLOOKUP($A773,#REF!,6,FALSE)&lt;-2),"",#REF!),"")</f>
        <v/>
      </c>
      <c r="I773" t="str">
        <f>IFERROR(IF(OR(HLOOKUP($A773,#REF!,7,FALSE)&gt;2,HLOOKUP($A773,#REF!,7,FALSE)&lt;-2),"",#REF!),"")</f>
        <v/>
      </c>
      <c r="J773" t="str">
        <f>IFERROR(IF(OR(HLOOKUP($A773,#REF!,8,FALSE)&gt;2,HLOOKUP($A773,#REF!,8,FALSE)&lt;-2),"",#REF!),"")</f>
        <v/>
      </c>
      <c r="K773" t="str">
        <f>IFERROR(IF(OR(HLOOKUP($A773,#REF!,9,FALSE)&gt;2,HLOOKUP($A773,#REF!,9,FALSE)&lt;-2),"",#REF!),"")</f>
        <v/>
      </c>
      <c r="L773" t="str">
        <f>IFERROR(IF(OR(HLOOKUP($A773,#REF!,10,FALSE)&gt;2,HLOOKUP($A773,#REF!,10,FALSE)&lt;-2),"",#REF!),"")</f>
        <v/>
      </c>
      <c r="M773" t="str">
        <f>IFERROR(IF(OR(HLOOKUP($A773,#REF!,11,FALSE)&gt;2,HLOOKUP($A773,#REF!,11,FALSE)&lt;-2),"",#REF!),"")</f>
        <v/>
      </c>
      <c r="N773" t="str">
        <f>IFERROR(IF(OR(HLOOKUP($A773,#REF!,12,FALSE)&gt;2,HLOOKUP($A773,#REF!,12,FALSE)&lt;-2),"",#REF!),"")</f>
        <v/>
      </c>
      <c r="O773" t="str">
        <f>IFERROR(IF(OR(HLOOKUP($A773,#REF!,13,FALSE)&gt;2,HLOOKUP($A773,#REF!,13,FALSE)&lt;-2),"",#REF!),"")</f>
        <v/>
      </c>
      <c r="P773" t="str">
        <f>IFERROR(IF(OR(HLOOKUP($A773,#REF!,14,FALSE)&gt;2,HLOOKUP($A773,#REF!,14,FALSE)&lt;-2),"",#REF!),"")</f>
        <v/>
      </c>
      <c r="Q773" t="str">
        <f>IFERROR(IF(OR(HLOOKUP($A773,#REF!,15,FALSE)&gt;2,HLOOKUP($A773,#REF!,15,FALSE)&lt;-2),"",#REF!),"")</f>
        <v/>
      </c>
      <c r="R773" t="str">
        <f>IFERROR(IF(OR(HLOOKUP($A773,#REF!,16,FALSE)&gt;2,HLOOKUP($A773,#REF!,16,FALSE)&lt;-2),"",#REF!),"")</f>
        <v/>
      </c>
      <c r="S773" t="str">
        <f>IFERROR(IF(OR(HLOOKUP($A773,#REF!,17,FALSE)&gt;2,HLOOKUP($A773,#REF!,17,FALSE)&lt;-2),"",#REF!),"")</f>
        <v/>
      </c>
      <c r="T773" t="str">
        <f>IFERROR(IF(OR(HLOOKUP($A773,#REF!,18,FALSE)&gt;2,HLOOKUP($A773,#REF!,18,FALSE)&lt;-2),"",#REF!),"")</f>
        <v/>
      </c>
      <c r="U773" t="str">
        <f>IFERROR(IF(OR(HLOOKUP($A773,#REF!,19,FALSE)&gt;2,HLOOKUP($A773,#REF!,19,FALSE)&lt;-2),"",#REF!),"")</f>
        <v/>
      </c>
      <c r="V773">
        <f t="shared" si="48"/>
        <v>1</v>
      </c>
      <c r="W773" t="str">
        <f t="shared" si="49"/>
        <v/>
      </c>
      <c r="X773" t="str">
        <f t="shared" si="50"/>
        <v/>
      </c>
      <c r="Y773" t="str">
        <f t="shared" si="51"/>
        <v/>
      </c>
    </row>
    <row r="774" spans="1:25" x14ac:dyDescent="0.35">
      <c r="A774">
        <v>782</v>
      </c>
      <c r="B774" t="s">
        <v>999</v>
      </c>
      <c r="C774">
        <v>40400</v>
      </c>
      <c r="D774">
        <v>766</v>
      </c>
      <c r="E774" t="str">
        <f>IFERROR(IF(OR(HLOOKUP($A774,#REF!,3,FALSE)&gt;2,HLOOKUP(A774,#REF!,3,FALSE)&lt;-2),"",#REF!),"")</f>
        <v/>
      </c>
      <c r="F774" t="str">
        <f>IFERROR(IF(OR(HLOOKUP($A774,#REF!,4,FALSE)&gt;2,HLOOKUP($A774,#REF!,4,FALSE)&lt;-2),"",#REF!),"")</f>
        <v/>
      </c>
      <c r="G774" t="str">
        <f>IFERROR(IF(OR(HLOOKUP($A774,#REF!,5,FALSE)&gt;2,HLOOKUP($A774,#REF!,5,FALSE)&lt;-2),"",#REF!),"")</f>
        <v/>
      </c>
      <c r="H774" t="str">
        <f>IFERROR(IF(OR(HLOOKUP($A774,#REF!,6,FALSE)&gt;2,HLOOKUP($A774,#REF!,6,FALSE)&lt;-2),"",#REF!),"")</f>
        <v/>
      </c>
      <c r="I774" t="str">
        <f>IFERROR(IF(OR(HLOOKUP($A774,#REF!,7,FALSE)&gt;2,HLOOKUP($A774,#REF!,7,FALSE)&lt;-2),"",#REF!),"")</f>
        <v/>
      </c>
      <c r="J774" t="str">
        <f>IFERROR(IF(OR(HLOOKUP($A774,#REF!,8,FALSE)&gt;2,HLOOKUP($A774,#REF!,8,FALSE)&lt;-2),"",#REF!),"")</f>
        <v/>
      </c>
      <c r="K774" t="str">
        <f>IFERROR(IF(OR(HLOOKUP($A774,#REF!,9,FALSE)&gt;2,HLOOKUP($A774,#REF!,9,FALSE)&lt;-2),"",#REF!),"")</f>
        <v/>
      </c>
      <c r="L774" t="str">
        <f>IFERROR(IF(OR(HLOOKUP($A774,#REF!,10,FALSE)&gt;2,HLOOKUP($A774,#REF!,10,FALSE)&lt;-2),"",#REF!),"")</f>
        <v/>
      </c>
      <c r="M774" t="str">
        <f>IFERROR(IF(OR(HLOOKUP($A774,#REF!,11,FALSE)&gt;2,HLOOKUP($A774,#REF!,11,FALSE)&lt;-2),"",#REF!),"")</f>
        <v/>
      </c>
      <c r="N774" t="str">
        <f>IFERROR(IF(OR(HLOOKUP($A774,#REF!,12,FALSE)&gt;2,HLOOKUP($A774,#REF!,12,FALSE)&lt;-2),"",#REF!),"")</f>
        <v/>
      </c>
      <c r="O774" t="str">
        <f>IFERROR(IF(OR(HLOOKUP($A774,#REF!,13,FALSE)&gt;2,HLOOKUP($A774,#REF!,13,FALSE)&lt;-2),"",#REF!),"")</f>
        <v/>
      </c>
      <c r="P774" t="str">
        <f>IFERROR(IF(OR(HLOOKUP($A774,#REF!,14,FALSE)&gt;2,HLOOKUP($A774,#REF!,14,FALSE)&lt;-2),"",#REF!),"")</f>
        <v/>
      </c>
      <c r="Q774" t="str">
        <f>IFERROR(IF(OR(HLOOKUP($A774,#REF!,15,FALSE)&gt;2,HLOOKUP($A774,#REF!,15,FALSE)&lt;-2),"",#REF!),"")</f>
        <v/>
      </c>
      <c r="R774" t="str">
        <f>IFERROR(IF(OR(HLOOKUP($A774,#REF!,16,FALSE)&gt;2,HLOOKUP($A774,#REF!,16,FALSE)&lt;-2),"",#REF!),"")</f>
        <v/>
      </c>
      <c r="S774" t="str">
        <f>IFERROR(IF(OR(HLOOKUP($A774,#REF!,17,FALSE)&gt;2,HLOOKUP($A774,#REF!,17,FALSE)&lt;-2),"",#REF!),"")</f>
        <v/>
      </c>
      <c r="T774" t="str">
        <f>IFERROR(IF(OR(HLOOKUP($A774,#REF!,18,FALSE)&gt;2,HLOOKUP($A774,#REF!,18,FALSE)&lt;-2),"",#REF!),"")</f>
        <v/>
      </c>
      <c r="U774" t="str">
        <f>IFERROR(IF(OR(HLOOKUP($A774,#REF!,19,FALSE)&gt;2,HLOOKUP($A774,#REF!,19,FALSE)&lt;-2),"",#REF!),"")</f>
        <v/>
      </c>
      <c r="V774">
        <f t="shared" si="48"/>
        <v>1</v>
      </c>
      <c r="W774" t="str">
        <f t="shared" si="49"/>
        <v/>
      </c>
      <c r="X774" t="str">
        <f t="shared" si="50"/>
        <v/>
      </c>
      <c r="Y774" t="str">
        <f t="shared" si="51"/>
        <v/>
      </c>
    </row>
    <row r="775" spans="1:25" x14ac:dyDescent="0.35">
      <c r="A775">
        <v>783</v>
      </c>
      <c r="B775" t="s">
        <v>378</v>
      </c>
      <c r="C775">
        <v>23800</v>
      </c>
      <c r="D775">
        <v>104</v>
      </c>
      <c r="E775" t="str">
        <f>IFERROR(IF(OR(HLOOKUP($A775,#REF!,3,FALSE)&gt;2,HLOOKUP(A775,#REF!,3,FALSE)&lt;-2),"",#REF!),"")</f>
        <v/>
      </c>
      <c r="F775" t="str">
        <f>IFERROR(IF(OR(HLOOKUP($A775,#REF!,4,FALSE)&gt;2,HLOOKUP($A775,#REF!,4,FALSE)&lt;-2),"",#REF!),"")</f>
        <v/>
      </c>
      <c r="G775" t="str">
        <f>IFERROR(IF(OR(HLOOKUP($A775,#REF!,5,FALSE)&gt;2,HLOOKUP($A775,#REF!,5,FALSE)&lt;-2),"",#REF!),"")</f>
        <v/>
      </c>
      <c r="H775" t="str">
        <f>IFERROR(IF(OR(HLOOKUP($A775,#REF!,6,FALSE)&gt;2,HLOOKUP($A775,#REF!,6,FALSE)&lt;-2),"",#REF!),"")</f>
        <v/>
      </c>
      <c r="I775" t="str">
        <f>IFERROR(IF(OR(HLOOKUP($A775,#REF!,7,FALSE)&gt;2,HLOOKUP($A775,#REF!,7,FALSE)&lt;-2),"",#REF!),"")</f>
        <v/>
      </c>
      <c r="J775" t="str">
        <f>IFERROR(IF(OR(HLOOKUP($A775,#REF!,8,FALSE)&gt;2,HLOOKUP($A775,#REF!,8,FALSE)&lt;-2),"",#REF!),"")</f>
        <v/>
      </c>
      <c r="K775" t="str">
        <f>IFERROR(IF(OR(HLOOKUP($A775,#REF!,9,FALSE)&gt;2,HLOOKUP($A775,#REF!,9,FALSE)&lt;-2),"",#REF!),"")</f>
        <v/>
      </c>
      <c r="L775" t="str">
        <f>IFERROR(IF(OR(HLOOKUP($A775,#REF!,10,FALSE)&gt;2,HLOOKUP($A775,#REF!,10,FALSE)&lt;-2),"",#REF!),"")</f>
        <v/>
      </c>
      <c r="M775" t="str">
        <f>IFERROR(IF(OR(HLOOKUP($A775,#REF!,11,FALSE)&gt;2,HLOOKUP($A775,#REF!,11,FALSE)&lt;-2),"",#REF!),"")</f>
        <v/>
      </c>
      <c r="N775" t="str">
        <f>IFERROR(IF(OR(HLOOKUP($A775,#REF!,12,FALSE)&gt;2,HLOOKUP($A775,#REF!,12,FALSE)&lt;-2),"",#REF!),"")</f>
        <v/>
      </c>
      <c r="O775" t="str">
        <f>IFERROR(IF(OR(HLOOKUP($A775,#REF!,13,FALSE)&gt;2,HLOOKUP($A775,#REF!,13,FALSE)&lt;-2),"",#REF!),"")</f>
        <v/>
      </c>
      <c r="P775" t="str">
        <f>IFERROR(IF(OR(HLOOKUP($A775,#REF!,14,FALSE)&gt;2,HLOOKUP($A775,#REF!,14,FALSE)&lt;-2),"",#REF!),"")</f>
        <v/>
      </c>
      <c r="Q775" t="str">
        <f>IFERROR(IF(OR(HLOOKUP($A775,#REF!,15,FALSE)&gt;2,HLOOKUP($A775,#REF!,15,FALSE)&lt;-2),"",#REF!),"")</f>
        <v/>
      </c>
      <c r="R775" t="str">
        <f>IFERROR(IF(OR(HLOOKUP($A775,#REF!,16,FALSE)&gt;2,HLOOKUP($A775,#REF!,16,FALSE)&lt;-2),"",#REF!),"")</f>
        <v/>
      </c>
      <c r="S775" t="str">
        <f>IFERROR(IF(OR(HLOOKUP($A775,#REF!,17,FALSE)&gt;2,HLOOKUP($A775,#REF!,17,FALSE)&lt;-2),"",#REF!),"")</f>
        <v/>
      </c>
      <c r="T775" t="str">
        <f>IFERROR(IF(OR(HLOOKUP($A775,#REF!,18,FALSE)&gt;2,HLOOKUP($A775,#REF!,18,FALSE)&lt;-2),"",#REF!),"")</f>
        <v/>
      </c>
      <c r="U775" t="str">
        <f>IFERROR(IF(OR(HLOOKUP($A775,#REF!,19,FALSE)&gt;2,HLOOKUP($A775,#REF!,19,FALSE)&lt;-2),"",#REF!),"")</f>
        <v/>
      </c>
      <c r="V775">
        <f t="shared" si="48"/>
        <v>1</v>
      </c>
      <c r="W775" t="str">
        <f t="shared" si="49"/>
        <v/>
      </c>
      <c r="X775" t="str">
        <f t="shared" si="50"/>
        <v/>
      </c>
      <c r="Y775" t="str">
        <f t="shared" si="51"/>
        <v/>
      </c>
    </row>
    <row r="776" spans="1:25" x14ac:dyDescent="0.35">
      <c r="A776">
        <v>784</v>
      </c>
      <c r="B776" t="s">
        <v>379</v>
      </c>
      <c r="C776">
        <v>106900</v>
      </c>
      <c r="D776">
        <v>983</v>
      </c>
      <c r="E776" t="str">
        <f>IFERROR(IF(OR(HLOOKUP($A776,#REF!,3,FALSE)&gt;2,HLOOKUP(A776,#REF!,3,FALSE)&lt;-2),"",#REF!),"")</f>
        <v/>
      </c>
      <c r="F776" t="str">
        <f>IFERROR(IF(OR(HLOOKUP($A776,#REF!,4,FALSE)&gt;2,HLOOKUP($A776,#REF!,4,FALSE)&lt;-2),"",#REF!),"")</f>
        <v/>
      </c>
      <c r="G776" t="str">
        <f>IFERROR(IF(OR(HLOOKUP($A776,#REF!,5,FALSE)&gt;2,HLOOKUP($A776,#REF!,5,FALSE)&lt;-2),"",#REF!),"")</f>
        <v/>
      </c>
      <c r="H776" t="str">
        <f>IFERROR(IF(OR(HLOOKUP($A776,#REF!,6,FALSE)&gt;2,HLOOKUP($A776,#REF!,6,FALSE)&lt;-2),"",#REF!),"")</f>
        <v/>
      </c>
      <c r="I776" t="str">
        <f>IFERROR(IF(OR(HLOOKUP($A776,#REF!,7,FALSE)&gt;2,HLOOKUP($A776,#REF!,7,FALSE)&lt;-2),"",#REF!),"")</f>
        <v/>
      </c>
      <c r="J776" t="str">
        <f>IFERROR(IF(OR(HLOOKUP($A776,#REF!,8,FALSE)&gt;2,HLOOKUP($A776,#REF!,8,FALSE)&lt;-2),"",#REF!),"")</f>
        <v/>
      </c>
      <c r="K776" t="str">
        <f>IFERROR(IF(OR(HLOOKUP($A776,#REF!,9,FALSE)&gt;2,HLOOKUP($A776,#REF!,9,FALSE)&lt;-2),"",#REF!),"")</f>
        <v/>
      </c>
      <c r="L776" t="str">
        <f>IFERROR(IF(OR(HLOOKUP($A776,#REF!,10,FALSE)&gt;2,HLOOKUP($A776,#REF!,10,FALSE)&lt;-2),"",#REF!),"")</f>
        <v/>
      </c>
      <c r="M776" t="str">
        <f>IFERROR(IF(OR(HLOOKUP($A776,#REF!,11,FALSE)&gt;2,HLOOKUP($A776,#REF!,11,FALSE)&lt;-2),"",#REF!),"")</f>
        <v/>
      </c>
      <c r="N776" t="str">
        <f>IFERROR(IF(OR(HLOOKUP($A776,#REF!,12,FALSE)&gt;2,HLOOKUP($A776,#REF!,12,FALSE)&lt;-2),"",#REF!),"")</f>
        <v/>
      </c>
      <c r="O776" t="str">
        <f>IFERROR(IF(OR(HLOOKUP($A776,#REF!,13,FALSE)&gt;2,HLOOKUP($A776,#REF!,13,FALSE)&lt;-2),"",#REF!),"")</f>
        <v/>
      </c>
      <c r="P776" t="str">
        <f>IFERROR(IF(OR(HLOOKUP($A776,#REF!,14,FALSE)&gt;2,HLOOKUP($A776,#REF!,14,FALSE)&lt;-2),"",#REF!),"")</f>
        <v/>
      </c>
      <c r="Q776" t="str">
        <f>IFERROR(IF(OR(HLOOKUP($A776,#REF!,15,FALSE)&gt;2,HLOOKUP($A776,#REF!,15,FALSE)&lt;-2),"",#REF!),"")</f>
        <v/>
      </c>
      <c r="R776" t="str">
        <f>IFERROR(IF(OR(HLOOKUP($A776,#REF!,16,FALSE)&gt;2,HLOOKUP($A776,#REF!,16,FALSE)&lt;-2),"",#REF!),"")</f>
        <v/>
      </c>
      <c r="S776" t="str">
        <f>IFERROR(IF(OR(HLOOKUP($A776,#REF!,17,FALSE)&gt;2,HLOOKUP($A776,#REF!,17,FALSE)&lt;-2),"",#REF!),"")</f>
        <v/>
      </c>
      <c r="T776" t="str">
        <f>IFERROR(IF(OR(HLOOKUP($A776,#REF!,18,FALSE)&gt;2,HLOOKUP($A776,#REF!,18,FALSE)&lt;-2),"",#REF!),"")</f>
        <v/>
      </c>
      <c r="U776" t="str">
        <f>IFERROR(IF(OR(HLOOKUP($A776,#REF!,19,FALSE)&gt;2,HLOOKUP($A776,#REF!,19,FALSE)&lt;-2),"",#REF!),"")</f>
        <v/>
      </c>
      <c r="V776">
        <f t="shared" si="48"/>
        <v>1</v>
      </c>
      <c r="W776" t="str">
        <f t="shared" si="49"/>
        <v/>
      </c>
      <c r="X776" t="str">
        <f t="shared" si="50"/>
        <v/>
      </c>
      <c r="Y776" t="str">
        <f t="shared" si="51"/>
        <v/>
      </c>
    </row>
    <row r="777" spans="1:25" x14ac:dyDescent="0.35">
      <c r="A777">
        <v>785</v>
      </c>
      <c r="B777" t="s">
        <v>1000</v>
      </c>
      <c r="C777">
        <v>77100</v>
      </c>
      <c r="D777">
        <v>693</v>
      </c>
      <c r="E777" t="str">
        <f>IFERROR(IF(OR(HLOOKUP($A777,#REF!,3,FALSE)&gt;2,HLOOKUP(A777,#REF!,3,FALSE)&lt;-2),"",#REF!),"")</f>
        <v/>
      </c>
      <c r="F777" t="str">
        <f>IFERROR(IF(OR(HLOOKUP($A777,#REF!,4,FALSE)&gt;2,HLOOKUP($A777,#REF!,4,FALSE)&lt;-2),"",#REF!),"")</f>
        <v/>
      </c>
      <c r="G777" t="str">
        <f>IFERROR(IF(OR(HLOOKUP($A777,#REF!,5,FALSE)&gt;2,HLOOKUP($A777,#REF!,5,FALSE)&lt;-2),"",#REF!),"")</f>
        <v/>
      </c>
      <c r="H777" t="str">
        <f>IFERROR(IF(OR(HLOOKUP($A777,#REF!,6,FALSE)&gt;2,HLOOKUP($A777,#REF!,6,FALSE)&lt;-2),"",#REF!),"")</f>
        <v/>
      </c>
      <c r="I777" t="str">
        <f>IFERROR(IF(OR(HLOOKUP($A777,#REF!,7,FALSE)&gt;2,HLOOKUP($A777,#REF!,7,FALSE)&lt;-2),"",#REF!),"")</f>
        <v/>
      </c>
      <c r="J777" t="str">
        <f>IFERROR(IF(OR(HLOOKUP($A777,#REF!,8,FALSE)&gt;2,HLOOKUP($A777,#REF!,8,FALSE)&lt;-2),"",#REF!),"")</f>
        <v/>
      </c>
      <c r="K777" t="str">
        <f>IFERROR(IF(OR(HLOOKUP($A777,#REF!,9,FALSE)&gt;2,HLOOKUP($A777,#REF!,9,FALSE)&lt;-2),"",#REF!),"")</f>
        <v/>
      </c>
      <c r="L777" t="str">
        <f>IFERROR(IF(OR(HLOOKUP($A777,#REF!,10,FALSE)&gt;2,HLOOKUP($A777,#REF!,10,FALSE)&lt;-2),"",#REF!),"")</f>
        <v/>
      </c>
      <c r="M777" t="str">
        <f>IFERROR(IF(OR(HLOOKUP($A777,#REF!,11,FALSE)&gt;2,HLOOKUP($A777,#REF!,11,FALSE)&lt;-2),"",#REF!),"")</f>
        <v/>
      </c>
      <c r="N777" t="str">
        <f>IFERROR(IF(OR(HLOOKUP($A777,#REF!,12,FALSE)&gt;2,HLOOKUP($A777,#REF!,12,FALSE)&lt;-2),"",#REF!),"")</f>
        <v/>
      </c>
      <c r="O777" t="str">
        <f>IFERROR(IF(OR(HLOOKUP($A777,#REF!,13,FALSE)&gt;2,HLOOKUP($A777,#REF!,13,FALSE)&lt;-2),"",#REF!),"")</f>
        <v/>
      </c>
      <c r="P777" t="str">
        <f>IFERROR(IF(OR(HLOOKUP($A777,#REF!,14,FALSE)&gt;2,HLOOKUP($A777,#REF!,14,FALSE)&lt;-2),"",#REF!),"")</f>
        <v/>
      </c>
      <c r="Q777" t="str">
        <f>IFERROR(IF(OR(HLOOKUP($A777,#REF!,15,FALSE)&gt;2,HLOOKUP($A777,#REF!,15,FALSE)&lt;-2),"",#REF!),"")</f>
        <v/>
      </c>
      <c r="R777" t="str">
        <f>IFERROR(IF(OR(HLOOKUP($A777,#REF!,16,FALSE)&gt;2,HLOOKUP($A777,#REF!,16,FALSE)&lt;-2),"",#REF!),"")</f>
        <v/>
      </c>
      <c r="S777" t="str">
        <f>IFERROR(IF(OR(HLOOKUP($A777,#REF!,17,FALSE)&gt;2,HLOOKUP($A777,#REF!,17,FALSE)&lt;-2),"",#REF!),"")</f>
        <v/>
      </c>
      <c r="T777" t="str">
        <f>IFERROR(IF(OR(HLOOKUP($A777,#REF!,18,FALSE)&gt;2,HLOOKUP($A777,#REF!,18,FALSE)&lt;-2),"",#REF!),"")</f>
        <v/>
      </c>
      <c r="U777" t="str">
        <f>IFERROR(IF(OR(HLOOKUP($A777,#REF!,19,FALSE)&gt;2,HLOOKUP($A777,#REF!,19,FALSE)&lt;-2),"",#REF!),"")</f>
        <v/>
      </c>
      <c r="V777">
        <f t="shared" si="48"/>
        <v>1</v>
      </c>
      <c r="W777" t="str">
        <f t="shared" si="49"/>
        <v/>
      </c>
      <c r="X777" t="str">
        <f t="shared" si="50"/>
        <v/>
      </c>
      <c r="Y777" t="str">
        <f t="shared" si="51"/>
        <v/>
      </c>
    </row>
    <row r="778" spans="1:25" x14ac:dyDescent="0.35">
      <c r="A778">
        <v>786</v>
      </c>
      <c r="B778" t="s">
        <v>380</v>
      </c>
      <c r="C778">
        <v>28600</v>
      </c>
      <c r="D778">
        <v>541</v>
      </c>
      <c r="E778" t="str">
        <f>IFERROR(IF(OR(HLOOKUP($A778,#REF!,3,FALSE)&gt;2,HLOOKUP(A778,#REF!,3,FALSE)&lt;-2),"",#REF!),"")</f>
        <v/>
      </c>
      <c r="F778" t="str">
        <f>IFERROR(IF(OR(HLOOKUP($A778,#REF!,4,FALSE)&gt;2,HLOOKUP($A778,#REF!,4,FALSE)&lt;-2),"",#REF!),"")</f>
        <v/>
      </c>
      <c r="G778" t="str">
        <f>IFERROR(IF(OR(HLOOKUP($A778,#REF!,5,FALSE)&gt;2,HLOOKUP($A778,#REF!,5,FALSE)&lt;-2),"",#REF!),"")</f>
        <v/>
      </c>
      <c r="H778" t="str">
        <f>IFERROR(IF(OR(HLOOKUP($A778,#REF!,6,FALSE)&gt;2,HLOOKUP($A778,#REF!,6,FALSE)&lt;-2),"",#REF!),"")</f>
        <v/>
      </c>
      <c r="I778" t="str">
        <f>IFERROR(IF(OR(HLOOKUP($A778,#REF!,7,FALSE)&gt;2,HLOOKUP($A778,#REF!,7,FALSE)&lt;-2),"",#REF!),"")</f>
        <v/>
      </c>
      <c r="J778" t="str">
        <f>IFERROR(IF(OR(HLOOKUP($A778,#REF!,8,FALSE)&gt;2,HLOOKUP($A778,#REF!,8,FALSE)&lt;-2),"",#REF!),"")</f>
        <v/>
      </c>
      <c r="K778" t="str">
        <f>IFERROR(IF(OR(HLOOKUP($A778,#REF!,9,FALSE)&gt;2,HLOOKUP($A778,#REF!,9,FALSE)&lt;-2),"",#REF!),"")</f>
        <v/>
      </c>
      <c r="L778" t="str">
        <f>IFERROR(IF(OR(HLOOKUP($A778,#REF!,10,FALSE)&gt;2,HLOOKUP($A778,#REF!,10,FALSE)&lt;-2),"",#REF!),"")</f>
        <v/>
      </c>
      <c r="M778" t="str">
        <f>IFERROR(IF(OR(HLOOKUP($A778,#REF!,11,FALSE)&gt;2,HLOOKUP($A778,#REF!,11,FALSE)&lt;-2),"",#REF!),"")</f>
        <v/>
      </c>
      <c r="N778" t="str">
        <f>IFERROR(IF(OR(HLOOKUP($A778,#REF!,12,FALSE)&gt;2,HLOOKUP($A778,#REF!,12,FALSE)&lt;-2),"",#REF!),"")</f>
        <v/>
      </c>
      <c r="O778" t="str">
        <f>IFERROR(IF(OR(HLOOKUP($A778,#REF!,13,FALSE)&gt;2,HLOOKUP($A778,#REF!,13,FALSE)&lt;-2),"",#REF!),"")</f>
        <v/>
      </c>
      <c r="P778" t="str">
        <f>IFERROR(IF(OR(HLOOKUP($A778,#REF!,14,FALSE)&gt;2,HLOOKUP($A778,#REF!,14,FALSE)&lt;-2),"",#REF!),"")</f>
        <v/>
      </c>
      <c r="Q778" t="str">
        <f>IFERROR(IF(OR(HLOOKUP($A778,#REF!,15,FALSE)&gt;2,HLOOKUP($A778,#REF!,15,FALSE)&lt;-2),"",#REF!),"")</f>
        <v/>
      </c>
      <c r="R778" t="str">
        <f>IFERROR(IF(OR(HLOOKUP($A778,#REF!,16,FALSE)&gt;2,HLOOKUP($A778,#REF!,16,FALSE)&lt;-2),"",#REF!),"")</f>
        <v/>
      </c>
      <c r="S778" t="str">
        <f>IFERROR(IF(OR(HLOOKUP($A778,#REF!,17,FALSE)&gt;2,HLOOKUP($A778,#REF!,17,FALSE)&lt;-2),"",#REF!),"")</f>
        <v/>
      </c>
      <c r="T778" t="str">
        <f>IFERROR(IF(OR(HLOOKUP($A778,#REF!,18,FALSE)&gt;2,HLOOKUP($A778,#REF!,18,FALSE)&lt;-2),"",#REF!),"")</f>
        <v/>
      </c>
      <c r="U778" t="str">
        <f>IFERROR(IF(OR(HLOOKUP($A778,#REF!,19,FALSE)&gt;2,HLOOKUP($A778,#REF!,19,FALSE)&lt;-2),"",#REF!),"")</f>
        <v/>
      </c>
      <c r="V778">
        <f t="shared" si="48"/>
        <v>1</v>
      </c>
      <c r="W778" t="str">
        <f t="shared" si="49"/>
        <v/>
      </c>
      <c r="X778" t="str">
        <f t="shared" si="50"/>
        <v/>
      </c>
      <c r="Y778" t="str">
        <f t="shared" si="51"/>
        <v/>
      </c>
    </row>
    <row r="779" spans="1:25" x14ac:dyDescent="0.35">
      <c r="A779">
        <v>787</v>
      </c>
      <c r="B779" t="s">
        <v>1001</v>
      </c>
      <c r="C779">
        <v>114100</v>
      </c>
      <c r="D779">
        <v>182</v>
      </c>
      <c r="E779" t="str">
        <f>IFERROR(IF(OR(HLOOKUP($A779,#REF!,3,FALSE)&gt;2,HLOOKUP(A779,#REF!,3,FALSE)&lt;-2),"",#REF!),"")</f>
        <v/>
      </c>
      <c r="F779" t="str">
        <f>IFERROR(IF(OR(HLOOKUP($A779,#REF!,4,FALSE)&gt;2,HLOOKUP($A779,#REF!,4,FALSE)&lt;-2),"",#REF!),"")</f>
        <v/>
      </c>
      <c r="G779" t="str">
        <f>IFERROR(IF(OR(HLOOKUP($A779,#REF!,5,FALSE)&gt;2,HLOOKUP($A779,#REF!,5,FALSE)&lt;-2),"",#REF!),"")</f>
        <v/>
      </c>
      <c r="H779" t="str">
        <f>IFERROR(IF(OR(HLOOKUP($A779,#REF!,6,FALSE)&gt;2,HLOOKUP($A779,#REF!,6,FALSE)&lt;-2),"",#REF!),"")</f>
        <v/>
      </c>
      <c r="I779" t="str">
        <f>IFERROR(IF(OR(HLOOKUP($A779,#REF!,7,FALSE)&gt;2,HLOOKUP($A779,#REF!,7,FALSE)&lt;-2),"",#REF!),"")</f>
        <v/>
      </c>
      <c r="J779" t="str">
        <f>IFERROR(IF(OR(HLOOKUP($A779,#REF!,8,FALSE)&gt;2,HLOOKUP($A779,#REF!,8,FALSE)&lt;-2),"",#REF!),"")</f>
        <v/>
      </c>
      <c r="K779" t="str">
        <f>IFERROR(IF(OR(HLOOKUP($A779,#REF!,9,FALSE)&gt;2,HLOOKUP($A779,#REF!,9,FALSE)&lt;-2),"",#REF!),"")</f>
        <v/>
      </c>
      <c r="L779" t="str">
        <f>IFERROR(IF(OR(HLOOKUP($A779,#REF!,10,FALSE)&gt;2,HLOOKUP($A779,#REF!,10,FALSE)&lt;-2),"",#REF!),"")</f>
        <v/>
      </c>
      <c r="M779" t="str">
        <f>IFERROR(IF(OR(HLOOKUP($A779,#REF!,11,FALSE)&gt;2,HLOOKUP($A779,#REF!,11,FALSE)&lt;-2),"",#REF!),"")</f>
        <v/>
      </c>
      <c r="N779" t="str">
        <f>IFERROR(IF(OR(HLOOKUP($A779,#REF!,12,FALSE)&gt;2,HLOOKUP($A779,#REF!,12,FALSE)&lt;-2),"",#REF!),"")</f>
        <v/>
      </c>
      <c r="O779" t="str">
        <f>IFERROR(IF(OR(HLOOKUP($A779,#REF!,13,FALSE)&gt;2,HLOOKUP($A779,#REF!,13,FALSE)&lt;-2),"",#REF!),"")</f>
        <v/>
      </c>
      <c r="P779" t="str">
        <f>IFERROR(IF(OR(HLOOKUP($A779,#REF!,14,FALSE)&gt;2,HLOOKUP($A779,#REF!,14,FALSE)&lt;-2),"",#REF!),"")</f>
        <v/>
      </c>
      <c r="Q779" t="str">
        <f>IFERROR(IF(OR(HLOOKUP($A779,#REF!,15,FALSE)&gt;2,HLOOKUP($A779,#REF!,15,FALSE)&lt;-2),"",#REF!),"")</f>
        <v/>
      </c>
      <c r="R779" t="str">
        <f>IFERROR(IF(OR(HLOOKUP($A779,#REF!,16,FALSE)&gt;2,HLOOKUP($A779,#REF!,16,FALSE)&lt;-2),"",#REF!),"")</f>
        <v/>
      </c>
      <c r="S779" t="str">
        <f>IFERROR(IF(OR(HLOOKUP($A779,#REF!,17,FALSE)&gt;2,HLOOKUP($A779,#REF!,17,FALSE)&lt;-2),"",#REF!),"")</f>
        <v/>
      </c>
      <c r="T779" t="str">
        <f>IFERROR(IF(OR(HLOOKUP($A779,#REF!,18,FALSE)&gt;2,HLOOKUP($A779,#REF!,18,FALSE)&lt;-2),"",#REF!),"")</f>
        <v/>
      </c>
      <c r="U779" t="str">
        <f>IFERROR(IF(OR(HLOOKUP($A779,#REF!,19,FALSE)&gt;2,HLOOKUP($A779,#REF!,19,FALSE)&lt;-2),"",#REF!),"")</f>
        <v/>
      </c>
      <c r="V779">
        <f t="shared" si="48"/>
        <v>1</v>
      </c>
      <c r="W779" t="str">
        <f t="shared" si="49"/>
        <v/>
      </c>
      <c r="X779" t="str">
        <f t="shared" si="50"/>
        <v/>
      </c>
      <c r="Y779" t="str">
        <f t="shared" si="51"/>
        <v/>
      </c>
    </row>
    <row r="780" spans="1:25" x14ac:dyDescent="0.35">
      <c r="A780">
        <v>788</v>
      </c>
      <c r="B780" t="s">
        <v>381</v>
      </c>
      <c r="C780">
        <v>36400</v>
      </c>
      <c r="D780">
        <v>698</v>
      </c>
      <c r="E780" t="str">
        <f>IFERROR(IF(OR(HLOOKUP($A780,#REF!,3,FALSE)&gt;2,HLOOKUP(A780,#REF!,3,FALSE)&lt;-2),"",#REF!),"")</f>
        <v/>
      </c>
      <c r="F780" t="str">
        <f>IFERROR(IF(OR(HLOOKUP($A780,#REF!,4,FALSE)&gt;2,HLOOKUP($A780,#REF!,4,FALSE)&lt;-2),"",#REF!),"")</f>
        <v/>
      </c>
      <c r="G780" t="str">
        <f>IFERROR(IF(OR(HLOOKUP($A780,#REF!,5,FALSE)&gt;2,HLOOKUP($A780,#REF!,5,FALSE)&lt;-2),"",#REF!),"")</f>
        <v/>
      </c>
      <c r="H780" t="str">
        <f>IFERROR(IF(OR(HLOOKUP($A780,#REF!,6,FALSE)&gt;2,HLOOKUP($A780,#REF!,6,FALSE)&lt;-2),"",#REF!),"")</f>
        <v/>
      </c>
      <c r="I780" t="str">
        <f>IFERROR(IF(OR(HLOOKUP($A780,#REF!,7,FALSE)&gt;2,HLOOKUP($A780,#REF!,7,FALSE)&lt;-2),"",#REF!),"")</f>
        <v/>
      </c>
      <c r="J780" t="str">
        <f>IFERROR(IF(OR(HLOOKUP($A780,#REF!,8,FALSE)&gt;2,HLOOKUP($A780,#REF!,8,FALSE)&lt;-2),"",#REF!),"")</f>
        <v/>
      </c>
      <c r="K780" t="str">
        <f>IFERROR(IF(OR(HLOOKUP($A780,#REF!,9,FALSE)&gt;2,HLOOKUP($A780,#REF!,9,FALSE)&lt;-2),"",#REF!),"")</f>
        <v/>
      </c>
      <c r="L780" t="str">
        <f>IFERROR(IF(OR(HLOOKUP($A780,#REF!,10,FALSE)&gt;2,HLOOKUP($A780,#REF!,10,FALSE)&lt;-2),"",#REF!),"")</f>
        <v/>
      </c>
      <c r="M780" t="str">
        <f>IFERROR(IF(OR(HLOOKUP($A780,#REF!,11,FALSE)&gt;2,HLOOKUP($A780,#REF!,11,FALSE)&lt;-2),"",#REF!),"")</f>
        <v/>
      </c>
      <c r="N780" t="str">
        <f>IFERROR(IF(OR(HLOOKUP($A780,#REF!,12,FALSE)&gt;2,HLOOKUP($A780,#REF!,12,FALSE)&lt;-2),"",#REF!),"")</f>
        <v/>
      </c>
      <c r="O780" t="str">
        <f>IFERROR(IF(OR(HLOOKUP($A780,#REF!,13,FALSE)&gt;2,HLOOKUP($A780,#REF!,13,FALSE)&lt;-2),"",#REF!),"")</f>
        <v/>
      </c>
      <c r="P780" t="str">
        <f>IFERROR(IF(OR(HLOOKUP($A780,#REF!,14,FALSE)&gt;2,HLOOKUP($A780,#REF!,14,FALSE)&lt;-2),"",#REF!),"")</f>
        <v/>
      </c>
      <c r="Q780" t="str">
        <f>IFERROR(IF(OR(HLOOKUP($A780,#REF!,15,FALSE)&gt;2,HLOOKUP($A780,#REF!,15,FALSE)&lt;-2),"",#REF!),"")</f>
        <v/>
      </c>
      <c r="R780" t="str">
        <f>IFERROR(IF(OR(HLOOKUP($A780,#REF!,16,FALSE)&gt;2,HLOOKUP($A780,#REF!,16,FALSE)&lt;-2),"",#REF!),"")</f>
        <v/>
      </c>
      <c r="S780" t="str">
        <f>IFERROR(IF(OR(HLOOKUP($A780,#REF!,17,FALSE)&gt;2,HLOOKUP($A780,#REF!,17,FALSE)&lt;-2),"",#REF!),"")</f>
        <v/>
      </c>
      <c r="T780" t="str">
        <f>IFERROR(IF(OR(HLOOKUP($A780,#REF!,18,FALSE)&gt;2,HLOOKUP($A780,#REF!,18,FALSE)&lt;-2),"",#REF!),"")</f>
        <v/>
      </c>
      <c r="U780" t="str">
        <f>IFERROR(IF(OR(HLOOKUP($A780,#REF!,19,FALSE)&gt;2,HLOOKUP($A780,#REF!,19,FALSE)&lt;-2),"",#REF!),"")</f>
        <v/>
      </c>
      <c r="V780">
        <f t="shared" si="48"/>
        <v>1</v>
      </c>
      <c r="W780" t="str">
        <f t="shared" si="49"/>
        <v/>
      </c>
      <c r="X780" t="str">
        <f t="shared" si="50"/>
        <v/>
      </c>
      <c r="Y780" t="str">
        <f t="shared" si="51"/>
        <v/>
      </c>
    </row>
    <row r="781" spans="1:25" x14ac:dyDescent="0.35">
      <c r="A781">
        <v>789</v>
      </c>
      <c r="B781" t="s">
        <v>1002</v>
      </c>
      <c r="C781">
        <v>92100</v>
      </c>
      <c r="D781">
        <v>386</v>
      </c>
      <c r="E781" t="str">
        <f>IFERROR(IF(OR(HLOOKUP($A781,#REF!,3,FALSE)&gt;2,HLOOKUP(A781,#REF!,3,FALSE)&lt;-2),"",#REF!),"")</f>
        <v/>
      </c>
      <c r="F781" t="str">
        <f>IFERROR(IF(OR(HLOOKUP($A781,#REF!,4,FALSE)&gt;2,HLOOKUP($A781,#REF!,4,FALSE)&lt;-2),"",#REF!),"")</f>
        <v/>
      </c>
      <c r="G781" t="str">
        <f>IFERROR(IF(OR(HLOOKUP($A781,#REF!,5,FALSE)&gt;2,HLOOKUP($A781,#REF!,5,FALSE)&lt;-2),"",#REF!),"")</f>
        <v/>
      </c>
      <c r="H781" t="str">
        <f>IFERROR(IF(OR(HLOOKUP($A781,#REF!,6,FALSE)&gt;2,HLOOKUP($A781,#REF!,6,FALSE)&lt;-2),"",#REF!),"")</f>
        <v/>
      </c>
      <c r="I781" t="str">
        <f>IFERROR(IF(OR(HLOOKUP($A781,#REF!,7,FALSE)&gt;2,HLOOKUP($A781,#REF!,7,FALSE)&lt;-2),"",#REF!),"")</f>
        <v/>
      </c>
      <c r="J781" t="str">
        <f>IFERROR(IF(OR(HLOOKUP($A781,#REF!,8,FALSE)&gt;2,HLOOKUP($A781,#REF!,8,FALSE)&lt;-2),"",#REF!),"")</f>
        <v/>
      </c>
      <c r="K781" t="str">
        <f>IFERROR(IF(OR(HLOOKUP($A781,#REF!,9,FALSE)&gt;2,HLOOKUP($A781,#REF!,9,FALSE)&lt;-2),"",#REF!),"")</f>
        <v/>
      </c>
      <c r="L781" t="str">
        <f>IFERROR(IF(OR(HLOOKUP($A781,#REF!,10,FALSE)&gt;2,HLOOKUP($A781,#REF!,10,FALSE)&lt;-2),"",#REF!),"")</f>
        <v/>
      </c>
      <c r="M781" t="str">
        <f>IFERROR(IF(OR(HLOOKUP($A781,#REF!,11,FALSE)&gt;2,HLOOKUP($A781,#REF!,11,FALSE)&lt;-2),"",#REF!),"")</f>
        <v/>
      </c>
      <c r="N781" t="str">
        <f>IFERROR(IF(OR(HLOOKUP($A781,#REF!,12,FALSE)&gt;2,HLOOKUP($A781,#REF!,12,FALSE)&lt;-2),"",#REF!),"")</f>
        <v/>
      </c>
      <c r="O781" t="str">
        <f>IFERROR(IF(OR(HLOOKUP($A781,#REF!,13,FALSE)&gt;2,HLOOKUP($A781,#REF!,13,FALSE)&lt;-2),"",#REF!),"")</f>
        <v/>
      </c>
      <c r="P781" t="str">
        <f>IFERROR(IF(OR(HLOOKUP($A781,#REF!,14,FALSE)&gt;2,HLOOKUP($A781,#REF!,14,FALSE)&lt;-2),"",#REF!),"")</f>
        <v/>
      </c>
      <c r="Q781" t="str">
        <f>IFERROR(IF(OR(HLOOKUP($A781,#REF!,15,FALSE)&gt;2,HLOOKUP($A781,#REF!,15,FALSE)&lt;-2),"",#REF!),"")</f>
        <v/>
      </c>
      <c r="R781" t="str">
        <f>IFERROR(IF(OR(HLOOKUP($A781,#REF!,16,FALSE)&gt;2,HLOOKUP($A781,#REF!,16,FALSE)&lt;-2),"",#REF!),"")</f>
        <v/>
      </c>
      <c r="S781" t="str">
        <f>IFERROR(IF(OR(HLOOKUP($A781,#REF!,17,FALSE)&gt;2,HLOOKUP($A781,#REF!,17,FALSE)&lt;-2),"",#REF!),"")</f>
        <v/>
      </c>
      <c r="T781" t="str">
        <f>IFERROR(IF(OR(HLOOKUP($A781,#REF!,18,FALSE)&gt;2,HLOOKUP($A781,#REF!,18,FALSE)&lt;-2),"",#REF!),"")</f>
        <v/>
      </c>
      <c r="U781" t="str">
        <f>IFERROR(IF(OR(HLOOKUP($A781,#REF!,19,FALSE)&gt;2,HLOOKUP($A781,#REF!,19,FALSE)&lt;-2),"",#REF!),"")</f>
        <v/>
      </c>
      <c r="V781">
        <f t="shared" si="48"/>
        <v>1</v>
      </c>
      <c r="W781" t="str">
        <f t="shared" si="49"/>
        <v/>
      </c>
      <c r="X781" t="str">
        <f t="shared" si="50"/>
        <v/>
      </c>
      <c r="Y781" t="str">
        <f t="shared" si="51"/>
        <v/>
      </c>
    </row>
    <row r="782" spans="1:25" x14ac:dyDescent="0.35">
      <c r="A782">
        <v>790</v>
      </c>
      <c r="B782" t="s">
        <v>1003</v>
      </c>
      <c r="C782">
        <v>40500</v>
      </c>
      <c r="D782">
        <v>766</v>
      </c>
      <c r="E782" t="str">
        <f>IFERROR(IF(OR(HLOOKUP($A782,#REF!,3,FALSE)&gt;2,HLOOKUP(A782,#REF!,3,FALSE)&lt;-2),"",#REF!),"")</f>
        <v/>
      </c>
      <c r="F782" t="str">
        <f>IFERROR(IF(OR(HLOOKUP($A782,#REF!,4,FALSE)&gt;2,HLOOKUP($A782,#REF!,4,FALSE)&lt;-2),"",#REF!),"")</f>
        <v/>
      </c>
      <c r="G782" t="str">
        <f>IFERROR(IF(OR(HLOOKUP($A782,#REF!,5,FALSE)&gt;2,HLOOKUP($A782,#REF!,5,FALSE)&lt;-2),"",#REF!),"")</f>
        <v/>
      </c>
      <c r="H782" t="str">
        <f>IFERROR(IF(OR(HLOOKUP($A782,#REF!,6,FALSE)&gt;2,HLOOKUP($A782,#REF!,6,FALSE)&lt;-2),"",#REF!),"")</f>
        <v/>
      </c>
      <c r="I782" t="str">
        <f>IFERROR(IF(OR(HLOOKUP($A782,#REF!,7,FALSE)&gt;2,HLOOKUP($A782,#REF!,7,FALSE)&lt;-2),"",#REF!),"")</f>
        <v/>
      </c>
      <c r="J782" t="str">
        <f>IFERROR(IF(OR(HLOOKUP($A782,#REF!,8,FALSE)&gt;2,HLOOKUP($A782,#REF!,8,FALSE)&lt;-2),"",#REF!),"")</f>
        <v/>
      </c>
      <c r="K782" t="str">
        <f>IFERROR(IF(OR(HLOOKUP($A782,#REF!,9,FALSE)&gt;2,HLOOKUP($A782,#REF!,9,FALSE)&lt;-2),"",#REF!),"")</f>
        <v/>
      </c>
      <c r="L782" t="str">
        <f>IFERROR(IF(OR(HLOOKUP($A782,#REF!,10,FALSE)&gt;2,HLOOKUP($A782,#REF!,10,FALSE)&lt;-2),"",#REF!),"")</f>
        <v/>
      </c>
      <c r="M782" t="str">
        <f>IFERROR(IF(OR(HLOOKUP($A782,#REF!,11,FALSE)&gt;2,HLOOKUP($A782,#REF!,11,FALSE)&lt;-2),"",#REF!),"")</f>
        <v/>
      </c>
      <c r="N782" t="str">
        <f>IFERROR(IF(OR(HLOOKUP($A782,#REF!,12,FALSE)&gt;2,HLOOKUP($A782,#REF!,12,FALSE)&lt;-2),"",#REF!),"")</f>
        <v/>
      </c>
      <c r="O782" t="str">
        <f>IFERROR(IF(OR(HLOOKUP($A782,#REF!,13,FALSE)&gt;2,HLOOKUP($A782,#REF!,13,FALSE)&lt;-2),"",#REF!),"")</f>
        <v/>
      </c>
      <c r="P782" t="str">
        <f>IFERROR(IF(OR(HLOOKUP($A782,#REF!,14,FALSE)&gt;2,HLOOKUP($A782,#REF!,14,FALSE)&lt;-2),"",#REF!),"")</f>
        <v/>
      </c>
      <c r="Q782" t="str">
        <f>IFERROR(IF(OR(HLOOKUP($A782,#REF!,15,FALSE)&gt;2,HLOOKUP($A782,#REF!,15,FALSE)&lt;-2),"",#REF!),"")</f>
        <v/>
      </c>
      <c r="R782" t="str">
        <f>IFERROR(IF(OR(HLOOKUP($A782,#REF!,16,FALSE)&gt;2,HLOOKUP($A782,#REF!,16,FALSE)&lt;-2),"",#REF!),"")</f>
        <v/>
      </c>
      <c r="S782" t="str">
        <f>IFERROR(IF(OR(HLOOKUP($A782,#REF!,17,FALSE)&gt;2,HLOOKUP($A782,#REF!,17,FALSE)&lt;-2),"",#REF!),"")</f>
        <v/>
      </c>
      <c r="T782" t="str">
        <f>IFERROR(IF(OR(HLOOKUP($A782,#REF!,18,FALSE)&gt;2,HLOOKUP($A782,#REF!,18,FALSE)&lt;-2),"",#REF!),"")</f>
        <v/>
      </c>
      <c r="U782" t="str">
        <f>IFERROR(IF(OR(HLOOKUP($A782,#REF!,19,FALSE)&gt;2,HLOOKUP($A782,#REF!,19,FALSE)&lt;-2),"",#REF!),"")</f>
        <v/>
      </c>
      <c r="V782">
        <f t="shared" si="48"/>
        <v>1</v>
      </c>
      <c r="W782" t="str">
        <f t="shared" si="49"/>
        <v/>
      </c>
      <c r="X782" t="str">
        <f t="shared" si="50"/>
        <v/>
      </c>
      <c r="Y782" t="str">
        <f t="shared" si="51"/>
        <v/>
      </c>
    </row>
    <row r="783" spans="1:25" x14ac:dyDescent="0.35">
      <c r="A783">
        <v>791</v>
      </c>
      <c r="B783" t="s">
        <v>382</v>
      </c>
      <c r="C783">
        <v>12400</v>
      </c>
      <c r="D783">
        <v>1027</v>
      </c>
      <c r="E783" t="str">
        <f>IFERROR(IF(OR(HLOOKUP($A783,#REF!,3,FALSE)&gt;2,HLOOKUP(A783,#REF!,3,FALSE)&lt;-2),"",#REF!),"")</f>
        <v/>
      </c>
      <c r="F783" t="str">
        <f>IFERROR(IF(OR(HLOOKUP($A783,#REF!,4,FALSE)&gt;2,HLOOKUP($A783,#REF!,4,FALSE)&lt;-2),"",#REF!),"")</f>
        <v/>
      </c>
      <c r="G783" t="str">
        <f>IFERROR(IF(OR(HLOOKUP($A783,#REF!,5,FALSE)&gt;2,HLOOKUP($A783,#REF!,5,FALSE)&lt;-2),"",#REF!),"")</f>
        <v/>
      </c>
      <c r="H783" t="str">
        <f>IFERROR(IF(OR(HLOOKUP($A783,#REF!,6,FALSE)&gt;2,HLOOKUP($A783,#REF!,6,FALSE)&lt;-2),"",#REF!),"")</f>
        <v/>
      </c>
      <c r="I783" t="str">
        <f>IFERROR(IF(OR(HLOOKUP($A783,#REF!,7,FALSE)&gt;2,HLOOKUP($A783,#REF!,7,FALSE)&lt;-2),"",#REF!),"")</f>
        <v/>
      </c>
      <c r="J783" t="str">
        <f>IFERROR(IF(OR(HLOOKUP($A783,#REF!,8,FALSE)&gt;2,HLOOKUP($A783,#REF!,8,FALSE)&lt;-2),"",#REF!),"")</f>
        <v/>
      </c>
      <c r="K783" t="str">
        <f>IFERROR(IF(OR(HLOOKUP($A783,#REF!,9,FALSE)&gt;2,HLOOKUP($A783,#REF!,9,FALSE)&lt;-2),"",#REF!),"")</f>
        <v/>
      </c>
      <c r="L783" t="str">
        <f>IFERROR(IF(OR(HLOOKUP($A783,#REF!,10,FALSE)&gt;2,HLOOKUP($A783,#REF!,10,FALSE)&lt;-2),"",#REF!),"")</f>
        <v/>
      </c>
      <c r="M783" t="str">
        <f>IFERROR(IF(OR(HLOOKUP($A783,#REF!,11,FALSE)&gt;2,HLOOKUP($A783,#REF!,11,FALSE)&lt;-2),"",#REF!),"")</f>
        <v/>
      </c>
      <c r="N783" t="str">
        <f>IFERROR(IF(OR(HLOOKUP($A783,#REF!,12,FALSE)&gt;2,HLOOKUP($A783,#REF!,12,FALSE)&lt;-2),"",#REF!),"")</f>
        <v/>
      </c>
      <c r="O783" t="str">
        <f>IFERROR(IF(OR(HLOOKUP($A783,#REF!,13,FALSE)&gt;2,HLOOKUP($A783,#REF!,13,FALSE)&lt;-2),"",#REF!),"")</f>
        <v/>
      </c>
      <c r="P783" t="str">
        <f>IFERROR(IF(OR(HLOOKUP($A783,#REF!,14,FALSE)&gt;2,HLOOKUP($A783,#REF!,14,FALSE)&lt;-2),"",#REF!),"")</f>
        <v/>
      </c>
      <c r="Q783" t="str">
        <f>IFERROR(IF(OR(HLOOKUP($A783,#REF!,15,FALSE)&gt;2,HLOOKUP($A783,#REF!,15,FALSE)&lt;-2),"",#REF!),"")</f>
        <v/>
      </c>
      <c r="R783" t="str">
        <f>IFERROR(IF(OR(HLOOKUP($A783,#REF!,16,FALSE)&gt;2,HLOOKUP($A783,#REF!,16,FALSE)&lt;-2),"",#REF!),"")</f>
        <v/>
      </c>
      <c r="S783" t="str">
        <f>IFERROR(IF(OR(HLOOKUP($A783,#REF!,17,FALSE)&gt;2,HLOOKUP($A783,#REF!,17,FALSE)&lt;-2),"",#REF!),"")</f>
        <v/>
      </c>
      <c r="T783" t="str">
        <f>IFERROR(IF(OR(HLOOKUP($A783,#REF!,18,FALSE)&gt;2,HLOOKUP($A783,#REF!,18,FALSE)&lt;-2),"",#REF!),"")</f>
        <v/>
      </c>
      <c r="U783" t="str">
        <f>IFERROR(IF(OR(HLOOKUP($A783,#REF!,19,FALSE)&gt;2,HLOOKUP($A783,#REF!,19,FALSE)&lt;-2),"",#REF!),"")</f>
        <v/>
      </c>
      <c r="V783">
        <f t="shared" si="48"/>
        <v>1</v>
      </c>
      <c r="W783" t="str">
        <f t="shared" si="49"/>
        <v/>
      </c>
      <c r="X783" t="str">
        <f t="shared" si="50"/>
        <v/>
      </c>
      <c r="Y783" t="str">
        <f t="shared" si="51"/>
        <v/>
      </c>
    </row>
    <row r="784" spans="1:25" x14ac:dyDescent="0.35">
      <c r="A784">
        <v>792</v>
      </c>
      <c r="B784" t="s">
        <v>1004</v>
      </c>
      <c r="C784">
        <v>102000</v>
      </c>
      <c r="D784">
        <v>967</v>
      </c>
      <c r="E784" t="str">
        <f>IFERROR(IF(OR(HLOOKUP($A784,#REF!,3,FALSE)&gt;2,HLOOKUP(A784,#REF!,3,FALSE)&lt;-2),"",#REF!),"")</f>
        <v/>
      </c>
      <c r="F784" t="str">
        <f>IFERROR(IF(OR(HLOOKUP($A784,#REF!,4,FALSE)&gt;2,HLOOKUP($A784,#REF!,4,FALSE)&lt;-2),"",#REF!),"")</f>
        <v/>
      </c>
      <c r="G784" t="str">
        <f>IFERROR(IF(OR(HLOOKUP($A784,#REF!,5,FALSE)&gt;2,HLOOKUP($A784,#REF!,5,FALSE)&lt;-2),"",#REF!),"")</f>
        <v/>
      </c>
      <c r="H784" t="str">
        <f>IFERROR(IF(OR(HLOOKUP($A784,#REF!,6,FALSE)&gt;2,HLOOKUP($A784,#REF!,6,FALSE)&lt;-2),"",#REF!),"")</f>
        <v/>
      </c>
      <c r="I784" t="str">
        <f>IFERROR(IF(OR(HLOOKUP($A784,#REF!,7,FALSE)&gt;2,HLOOKUP($A784,#REF!,7,FALSE)&lt;-2),"",#REF!),"")</f>
        <v/>
      </c>
      <c r="J784" t="str">
        <f>IFERROR(IF(OR(HLOOKUP($A784,#REF!,8,FALSE)&gt;2,HLOOKUP($A784,#REF!,8,FALSE)&lt;-2),"",#REF!),"")</f>
        <v/>
      </c>
      <c r="K784" t="str">
        <f>IFERROR(IF(OR(HLOOKUP($A784,#REF!,9,FALSE)&gt;2,HLOOKUP($A784,#REF!,9,FALSE)&lt;-2),"",#REF!),"")</f>
        <v/>
      </c>
      <c r="L784" t="str">
        <f>IFERROR(IF(OR(HLOOKUP($A784,#REF!,10,FALSE)&gt;2,HLOOKUP($A784,#REF!,10,FALSE)&lt;-2),"",#REF!),"")</f>
        <v/>
      </c>
      <c r="M784" t="str">
        <f>IFERROR(IF(OR(HLOOKUP($A784,#REF!,11,FALSE)&gt;2,HLOOKUP($A784,#REF!,11,FALSE)&lt;-2),"",#REF!),"")</f>
        <v/>
      </c>
      <c r="N784" t="str">
        <f>IFERROR(IF(OR(HLOOKUP($A784,#REF!,12,FALSE)&gt;2,HLOOKUP($A784,#REF!,12,FALSE)&lt;-2),"",#REF!),"")</f>
        <v/>
      </c>
      <c r="O784" t="str">
        <f>IFERROR(IF(OR(HLOOKUP($A784,#REF!,13,FALSE)&gt;2,HLOOKUP($A784,#REF!,13,FALSE)&lt;-2),"",#REF!),"")</f>
        <v/>
      </c>
      <c r="P784" t="str">
        <f>IFERROR(IF(OR(HLOOKUP($A784,#REF!,14,FALSE)&gt;2,HLOOKUP($A784,#REF!,14,FALSE)&lt;-2),"",#REF!),"")</f>
        <v/>
      </c>
      <c r="Q784" t="str">
        <f>IFERROR(IF(OR(HLOOKUP($A784,#REF!,15,FALSE)&gt;2,HLOOKUP($A784,#REF!,15,FALSE)&lt;-2),"",#REF!),"")</f>
        <v/>
      </c>
      <c r="R784" t="str">
        <f>IFERROR(IF(OR(HLOOKUP($A784,#REF!,16,FALSE)&gt;2,HLOOKUP($A784,#REF!,16,FALSE)&lt;-2),"",#REF!),"")</f>
        <v/>
      </c>
      <c r="S784" t="str">
        <f>IFERROR(IF(OR(HLOOKUP($A784,#REF!,17,FALSE)&gt;2,HLOOKUP($A784,#REF!,17,FALSE)&lt;-2),"",#REF!),"")</f>
        <v/>
      </c>
      <c r="T784" t="str">
        <f>IFERROR(IF(OR(HLOOKUP($A784,#REF!,18,FALSE)&gt;2,HLOOKUP($A784,#REF!,18,FALSE)&lt;-2),"",#REF!),"")</f>
        <v/>
      </c>
      <c r="U784" t="str">
        <f>IFERROR(IF(OR(HLOOKUP($A784,#REF!,19,FALSE)&gt;2,HLOOKUP($A784,#REF!,19,FALSE)&lt;-2),"",#REF!),"")</f>
        <v/>
      </c>
      <c r="V784">
        <f t="shared" si="48"/>
        <v>1</v>
      </c>
      <c r="W784" t="str">
        <f t="shared" si="49"/>
        <v/>
      </c>
      <c r="X784" t="str">
        <f t="shared" si="50"/>
        <v/>
      </c>
      <c r="Y784" t="str">
        <f t="shared" si="51"/>
        <v/>
      </c>
    </row>
    <row r="785" spans="1:25" x14ac:dyDescent="0.35">
      <c r="A785">
        <v>793</v>
      </c>
      <c r="B785" t="s">
        <v>1005</v>
      </c>
      <c r="C785">
        <v>2900</v>
      </c>
      <c r="D785">
        <v>322</v>
      </c>
      <c r="E785" t="str">
        <f>IFERROR(IF(OR(HLOOKUP($A785,#REF!,3,FALSE)&gt;2,HLOOKUP(A785,#REF!,3,FALSE)&lt;-2),"",#REF!),"")</f>
        <v/>
      </c>
      <c r="F785" t="str">
        <f>IFERROR(IF(OR(HLOOKUP($A785,#REF!,4,FALSE)&gt;2,HLOOKUP($A785,#REF!,4,FALSE)&lt;-2),"",#REF!),"")</f>
        <v/>
      </c>
      <c r="G785" t="str">
        <f>IFERROR(IF(OR(HLOOKUP($A785,#REF!,5,FALSE)&gt;2,HLOOKUP($A785,#REF!,5,FALSE)&lt;-2),"",#REF!),"")</f>
        <v/>
      </c>
      <c r="H785" t="str">
        <f>IFERROR(IF(OR(HLOOKUP($A785,#REF!,6,FALSE)&gt;2,HLOOKUP($A785,#REF!,6,FALSE)&lt;-2),"",#REF!),"")</f>
        <v/>
      </c>
      <c r="I785" t="str">
        <f>IFERROR(IF(OR(HLOOKUP($A785,#REF!,7,FALSE)&gt;2,HLOOKUP($A785,#REF!,7,FALSE)&lt;-2),"",#REF!),"")</f>
        <v/>
      </c>
      <c r="J785" t="str">
        <f>IFERROR(IF(OR(HLOOKUP($A785,#REF!,8,FALSE)&gt;2,HLOOKUP($A785,#REF!,8,FALSE)&lt;-2),"",#REF!),"")</f>
        <v/>
      </c>
      <c r="K785" t="str">
        <f>IFERROR(IF(OR(HLOOKUP($A785,#REF!,9,FALSE)&gt;2,HLOOKUP($A785,#REF!,9,FALSE)&lt;-2),"",#REF!),"")</f>
        <v/>
      </c>
      <c r="L785" t="str">
        <f>IFERROR(IF(OR(HLOOKUP($A785,#REF!,10,FALSE)&gt;2,HLOOKUP($A785,#REF!,10,FALSE)&lt;-2),"",#REF!),"")</f>
        <v/>
      </c>
      <c r="M785" t="str">
        <f>IFERROR(IF(OR(HLOOKUP($A785,#REF!,11,FALSE)&gt;2,HLOOKUP($A785,#REF!,11,FALSE)&lt;-2),"",#REF!),"")</f>
        <v/>
      </c>
      <c r="N785" t="str">
        <f>IFERROR(IF(OR(HLOOKUP($A785,#REF!,12,FALSE)&gt;2,HLOOKUP($A785,#REF!,12,FALSE)&lt;-2),"",#REF!),"")</f>
        <v/>
      </c>
      <c r="O785" t="str">
        <f>IFERROR(IF(OR(HLOOKUP($A785,#REF!,13,FALSE)&gt;2,HLOOKUP($A785,#REF!,13,FALSE)&lt;-2),"",#REF!),"")</f>
        <v/>
      </c>
      <c r="P785" t="str">
        <f>IFERROR(IF(OR(HLOOKUP($A785,#REF!,14,FALSE)&gt;2,HLOOKUP($A785,#REF!,14,FALSE)&lt;-2),"",#REF!),"")</f>
        <v/>
      </c>
      <c r="Q785" t="str">
        <f>IFERROR(IF(OR(HLOOKUP($A785,#REF!,15,FALSE)&gt;2,HLOOKUP($A785,#REF!,15,FALSE)&lt;-2),"",#REF!),"")</f>
        <v/>
      </c>
      <c r="R785" t="str">
        <f>IFERROR(IF(OR(HLOOKUP($A785,#REF!,16,FALSE)&gt;2,HLOOKUP($A785,#REF!,16,FALSE)&lt;-2),"",#REF!),"")</f>
        <v/>
      </c>
      <c r="S785" t="str">
        <f>IFERROR(IF(OR(HLOOKUP($A785,#REF!,17,FALSE)&gt;2,HLOOKUP($A785,#REF!,17,FALSE)&lt;-2),"",#REF!),"")</f>
        <v/>
      </c>
      <c r="T785" t="str">
        <f>IFERROR(IF(OR(HLOOKUP($A785,#REF!,18,FALSE)&gt;2,HLOOKUP($A785,#REF!,18,FALSE)&lt;-2),"",#REF!),"")</f>
        <v/>
      </c>
      <c r="U785" t="str">
        <f>IFERROR(IF(OR(HLOOKUP($A785,#REF!,19,FALSE)&gt;2,HLOOKUP($A785,#REF!,19,FALSE)&lt;-2),"",#REF!),"")</f>
        <v/>
      </c>
      <c r="V785">
        <f t="shared" si="48"/>
        <v>1</v>
      </c>
      <c r="W785" t="str">
        <f t="shared" si="49"/>
        <v/>
      </c>
      <c r="X785" t="str">
        <f t="shared" si="50"/>
        <v/>
      </c>
      <c r="Y785" t="str">
        <f t="shared" si="51"/>
        <v/>
      </c>
    </row>
    <row r="786" spans="1:25" x14ac:dyDescent="0.35">
      <c r="A786">
        <v>794</v>
      </c>
      <c r="B786" t="s">
        <v>383</v>
      </c>
      <c r="C786">
        <v>100000</v>
      </c>
      <c r="D786">
        <v>229</v>
      </c>
      <c r="E786" t="str">
        <f>IFERROR(IF(OR(HLOOKUP($A786,#REF!,3,FALSE)&gt;2,HLOOKUP(A786,#REF!,3,FALSE)&lt;-2),"",#REF!),"")</f>
        <v/>
      </c>
      <c r="F786" t="str">
        <f>IFERROR(IF(OR(HLOOKUP($A786,#REF!,4,FALSE)&gt;2,HLOOKUP($A786,#REF!,4,FALSE)&lt;-2),"",#REF!),"")</f>
        <v/>
      </c>
      <c r="G786" t="str">
        <f>IFERROR(IF(OR(HLOOKUP($A786,#REF!,5,FALSE)&gt;2,HLOOKUP($A786,#REF!,5,FALSE)&lt;-2),"",#REF!),"")</f>
        <v/>
      </c>
      <c r="H786" t="str">
        <f>IFERROR(IF(OR(HLOOKUP($A786,#REF!,6,FALSE)&gt;2,HLOOKUP($A786,#REF!,6,FALSE)&lt;-2),"",#REF!),"")</f>
        <v/>
      </c>
      <c r="I786" t="str">
        <f>IFERROR(IF(OR(HLOOKUP($A786,#REF!,7,FALSE)&gt;2,HLOOKUP($A786,#REF!,7,FALSE)&lt;-2),"",#REF!),"")</f>
        <v/>
      </c>
      <c r="J786" t="str">
        <f>IFERROR(IF(OR(HLOOKUP($A786,#REF!,8,FALSE)&gt;2,HLOOKUP($A786,#REF!,8,FALSE)&lt;-2),"",#REF!),"")</f>
        <v/>
      </c>
      <c r="K786" t="str">
        <f>IFERROR(IF(OR(HLOOKUP($A786,#REF!,9,FALSE)&gt;2,HLOOKUP($A786,#REF!,9,FALSE)&lt;-2),"",#REF!),"")</f>
        <v/>
      </c>
      <c r="L786" t="str">
        <f>IFERROR(IF(OR(HLOOKUP($A786,#REF!,10,FALSE)&gt;2,HLOOKUP($A786,#REF!,10,FALSE)&lt;-2),"",#REF!),"")</f>
        <v/>
      </c>
      <c r="M786" t="str">
        <f>IFERROR(IF(OR(HLOOKUP($A786,#REF!,11,FALSE)&gt;2,HLOOKUP($A786,#REF!,11,FALSE)&lt;-2),"",#REF!),"")</f>
        <v/>
      </c>
      <c r="N786" t="str">
        <f>IFERROR(IF(OR(HLOOKUP($A786,#REF!,12,FALSE)&gt;2,HLOOKUP($A786,#REF!,12,FALSE)&lt;-2),"",#REF!),"")</f>
        <v/>
      </c>
      <c r="O786" t="str">
        <f>IFERROR(IF(OR(HLOOKUP($A786,#REF!,13,FALSE)&gt;2,HLOOKUP($A786,#REF!,13,FALSE)&lt;-2),"",#REF!),"")</f>
        <v/>
      </c>
      <c r="P786" t="str">
        <f>IFERROR(IF(OR(HLOOKUP($A786,#REF!,14,FALSE)&gt;2,HLOOKUP($A786,#REF!,14,FALSE)&lt;-2),"",#REF!),"")</f>
        <v/>
      </c>
      <c r="Q786" t="str">
        <f>IFERROR(IF(OR(HLOOKUP($A786,#REF!,15,FALSE)&gt;2,HLOOKUP($A786,#REF!,15,FALSE)&lt;-2),"",#REF!),"")</f>
        <v/>
      </c>
      <c r="R786" t="str">
        <f>IFERROR(IF(OR(HLOOKUP($A786,#REF!,16,FALSE)&gt;2,HLOOKUP($A786,#REF!,16,FALSE)&lt;-2),"",#REF!),"")</f>
        <v/>
      </c>
      <c r="S786" t="str">
        <f>IFERROR(IF(OR(HLOOKUP($A786,#REF!,17,FALSE)&gt;2,HLOOKUP($A786,#REF!,17,FALSE)&lt;-2),"",#REF!),"")</f>
        <v/>
      </c>
      <c r="T786" t="str">
        <f>IFERROR(IF(OR(HLOOKUP($A786,#REF!,18,FALSE)&gt;2,HLOOKUP($A786,#REF!,18,FALSE)&lt;-2),"",#REF!),"")</f>
        <v/>
      </c>
      <c r="U786" t="str">
        <f>IFERROR(IF(OR(HLOOKUP($A786,#REF!,19,FALSE)&gt;2,HLOOKUP($A786,#REF!,19,FALSE)&lt;-2),"",#REF!),"")</f>
        <v/>
      </c>
      <c r="V786">
        <f t="shared" si="48"/>
        <v>1</v>
      </c>
      <c r="W786" t="str">
        <f t="shared" si="49"/>
        <v/>
      </c>
      <c r="X786" t="str">
        <f t="shared" si="50"/>
        <v/>
      </c>
      <c r="Y786" t="str">
        <f t="shared" si="51"/>
        <v/>
      </c>
    </row>
    <row r="787" spans="1:25" x14ac:dyDescent="0.35">
      <c r="A787">
        <v>795</v>
      </c>
      <c r="B787" t="s">
        <v>384</v>
      </c>
      <c r="C787">
        <v>81500</v>
      </c>
      <c r="D787">
        <v>323</v>
      </c>
      <c r="E787" t="str">
        <f>IFERROR(IF(OR(HLOOKUP($A787,#REF!,3,FALSE)&gt;2,HLOOKUP(A787,#REF!,3,FALSE)&lt;-2),"",#REF!),"")</f>
        <v/>
      </c>
      <c r="F787" t="str">
        <f>IFERROR(IF(OR(HLOOKUP($A787,#REF!,4,FALSE)&gt;2,HLOOKUP($A787,#REF!,4,FALSE)&lt;-2),"",#REF!),"")</f>
        <v/>
      </c>
      <c r="G787" t="str">
        <f>IFERROR(IF(OR(HLOOKUP($A787,#REF!,5,FALSE)&gt;2,HLOOKUP($A787,#REF!,5,FALSE)&lt;-2),"",#REF!),"")</f>
        <v/>
      </c>
      <c r="H787" t="str">
        <f>IFERROR(IF(OR(HLOOKUP($A787,#REF!,6,FALSE)&gt;2,HLOOKUP($A787,#REF!,6,FALSE)&lt;-2),"",#REF!),"")</f>
        <v/>
      </c>
      <c r="I787" t="str">
        <f>IFERROR(IF(OR(HLOOKUP($A787,#REF!,7,FALSE)&gt;2,HLOOKUP($A787,#REF!,7,FALSE)&lt;-2),"",#REF!),"")</f>
        <v/>
      </c>
      <c r="J787" t="str">
        <f>IFERROR(IF(OR(HLOOKUP($A787,#REF!,8,FALSE)&gt;2,HLOOKUP($A787,#REF!,8,FALSE)&lt;-2),"",#REF!),"")</f>
        <v/>
      </c>
      <c r="K787" t="str">
        <f>IFERROR(IF(OR(HLOOKUP($A787,#REF!,9,FALSE)&gt;2,HLOOKUP($A787,#REF!,9,FALSE)&lt;-2),"",#REF!),"")</f>
        <v/>
      </c>
      <c r="L787" t="str">
        <f>IFERROR(IF(OR(HLOOKUP($A787,#REF!,10,FALSE)&gt;2,HLOOKUP($A787,#REF!,10,FALSE)&lt;-2),"",#REF!),"")</f>
        <v/>
      </c>
      <c r="M787" t="str">
        <f>IFERROR(IF(OR(HLOOKUP($A787,#REF!,11,FALSE)&gt;2,HLOOKUP($A787,#REF!,11,FALSE)&lt;-2),"",#REF!),"")</f>
        <v/>
      </c>
      <c r="N787" t="str">
        <f>IFERROR(IF(OR(HLOOKUP($A787,#REF!,12,FALSE)&gt;2,HLOOKUP($A787,#REF!,12,FALSE)&lt;-2),"",#REF!),"")</f>
        <v/>
      </c>
      <c r="O787" t="str">
        <f>IFERROR(IF(OR(HLOOKUP($A787,#REF!,13,FALSE)&gt;2,HLOOKUP($A787,#REF!,13,FALSE)&lt;-2),"",#REF!),"")</f>
        <v/>
      </c>
      <c r="P787" t="str">
        <f>IFERROR(IF(OR(HLOOKUP($A787,#REF!,14,FALSE)&gt;2,HLOOKUP($A787,#REF!,14,FALSE)&lt;-2),"",#REF!),"")</f>
        <v/>
      </c>
      <c r="Q787" t="str">
        <f>IFERROR(IF(OR(HLOOKUP($A787,#REF!,15,FALSE)&gt;2,HLOOKUP($A787,#REF!,15,FALSE)&lt;-2),"",#REF!),"")</f>
        <v/>
      </c>
      <c r="R787" t="str">
        <f>IFERROR(IF(OR(HLOOKUP($A787,#REF!,16,FALSE)&gt;2,HLOOKUP($A787,#REF!,16,FALSE)&lt;-2),"",#REF!),"")</f>
        <v/>
      </c>
      <c r="S787" t="str">
        <f>IFERROR(IF(OR(HLOOKUP($A787,#REF!,17,FALSE)&gt;2,HLOOKUP($A787,#REF!,17,FALSE)&lt;-2),"",#REF!),"")</f>
        <v/>
      </c>
      <c r="T787" t="str">
        <f>IFERROR(IF(OR(HLOOKUP($A787,#REF!,18,FALSE)&gt;2,HLOOKUP($A787,#REF!,18,FALSE)&lt;-2),"",#REF!),"")</f>
        <v/>
      </c>
      <c r="U787" t="str">
        <f>IFERROR(IF(OR(HLOOKUP($A787,#REF!,19,FALSE)&gt;2,HLOOKUP($A787,#REF!,19,FALSE)&lt;-2),"",#REF!),"")</f>
        <v/>
      </c>
      <c r="V787">
        <f t="shared" si="48"/>
        <v>1</v>
      </c>
      <c r="W787" t="str">
        <f t="shared" si="49"/>
        <v/>
      </c>
      <c r="X787" t="str">
        <f t="shared" si="50"/>
        <v/>
      </c>
      <c r="Y787" t="str">
        <f t="shared" si="51"/>
        <v/>
      </c>
    </row>
    <row r="788" spans="1:25" x14ac:dyDescent="0.35">
      <c r="A788">
        <v>796</v>
      </c>
      <c r="B788" t="s">
        <v>1006</v>
      </c>
      <c r="C788">
        <v>78200</v>
      </c>
      <c r="D788">
        <v>797</v>
      </c>
      <c r="E788" t="str">
        <f>IFERROR(IF(OR(HLOOKUP($A788,#REF!,3,FALSE)&gt;2,HLOOKUP(A788,#REF!,3,FALSE)&lt;-2),"",#REF!),"")</f>
        <v/>
      </c>
      <c r="F788" t="str">
        <f>IFERROR(IF(OR(HLOOKUP($A788,#REF!,4,FALSE)&gt;2,HLOOKUP($A788,#REF!,4,FALSE)&lt;-2),"",#REF!),"")</f>
        <v/>
      </c>
      <c r="G788" t="str">
        <f>IFERROR(IF(OR(HLOOKUP($A788,#REF!,5,FALSE)&gt;2,HLOOKUP($A788,#REF!,5,FALSE)&lt;-2),"",#REF!),"")</f>
        <v/>
      </c>
      <c r="H788" t="str">
        <f>IFERROR(IF(OR(HLOOKUP($A788,#REF!,6,FALSE)&gt;2,HLOOKUP($A788,#REF!,6,FALSE)&lt;-2),"",#REF!),"")</f>
        <v/>
      </c>
      <c r="I788" t="str">
        <f>IFERROR(IF(OR(HLOOKUP($A788,#REF!,7,FALSE)&gt;2,HLOOKUP($A788,#REF!,7,FALSE)&lt;-2),"",#REF!),"")</f>
        <v/>
      </c>
      <c r="J788" t="str">
        <f>IFERROR(IF(OR(HLOOKUP($A788,#REF!,8,FALSE)&gt;2,HLOOKUP($A788,#REF!,8,FALSE)&lt;-2),"",#REF!),"")</f>
        <v/>
      </c>
      <c r="K788" t="str">
        <f>IFERROR(IF(OR(HLOOKUP($A788,#REF!,9,FALSE)&gt;2,HLOOKUP($A788,#REF!,9,FALSE)&lt;-2),"",#REF!),"")</f>
        <v/>
      </c>
      <c r="L788" t="str">
        <f>IFERROR(IF(OR(HLOOKUP($A788,#REF!,10,FALSE)&gt;2,HLOOKUP($A788,#REF!,10,FALSE)&lt;-2),"",#REF!),"")</f>
        <v/>
      </c>
      <c r="M788" t="str">
        <f>IFERROR(IF(OR(HLOOKUP($A788,#REF!,11,FALSE)&gt;2,HLOOKUP($A788,#REF!,11,FALSE)&lt;-2),"",#REF!),"")</f>
        <v/>
      </c>
      <c r="N788" t="str">
        <f>IFERROR(IF(OR(HLOOKUP($A788,#REF!,12,FALSE)&gt;2,HLOOKUP($A788,#REF!,12,FALSE)&lt;-2),"",#REF!),"")</f>
        <v/>
      </c>
      <c r="O788" t="str">
        <f>IFERROR(IF(OR(HLOOKUP($A788,#REF!,13,FALSE)&gt;2,HLOOKUP($A788,#REF!,13,FALSE)&lt;-2),"",#REF!),"")</f>
        <v/>
      </c>
      <c r="P788" t="str">
        <f>IFERROR(IF(OR(HLOOKUP($A788,#REF!,14,FALSE)&gt;2,HLOOKUP($A788,#REF!,14,FALSE)&lt;-2),"",#REF!),"")</f>
        <v/>
      </c>
      <c r="Q788" t="str">
        <f>IFERROR(IF(OR(HLOOKUP($A788,#REF!,15,FALSE)&gt;2,HLOOKUP($A788,#REF!,15,FALSE)&lt;-2),"",#REF!),"")</f>
        <v/>
      </c>
      <c r="R788" t="str">
        <f>IFERROR(IF(OR(HLOOKUP($A788,#REF!,16,FALSE)&gt;2,HLOOKUP($A788,#REF!,16,FALSE)&lt;-2),"",#REF!),"")</f>
        <v/>
      </c>
      <c r="S788" t="str">
        <f>IFERROR(IF(OR(HLOOKUP($A788,#REF!,17,FALSE)&gt;2,HLOOKUP($A788,#REF!,17,FALSE)&lt;-2),"",#REF!),"")</f>
        <v/>
      </c>
      <c r="T788" t="str">
        <f>IFERROR(IF(OR(HLOOKUP($A788,#REF!,18,FALSE)&gt;2,HLOOKUP($A788,#REF!,18,FALSE)&lt;-2),"",#REF!),"")</f>
        <v/>
      </c>
      <c r="U788" t="str">
        <f>IFERROR(IF(OR(HLOOKUP($A788,#REF!,19,FALSE)&gt;2,HLOOKUP($A788,#REF!,19,FALSE)&lt;-2),"",#REF!),"")</f>
        <v/>
      </c>
      <c r="V788">
        <f t="shared" si="48"/>
        <v>1</v>
      </c>
      <c r="W788" t="str">
        <f t="shared" si="49"/>
        <v/>
      </c>
      <c r="X788" t="str">
        <f t="shared" si="50"/>
        <v/>
      </c>
      <c r="Y788" t="str">
        <f t="shared" si="51"/>
        <v/>
      </c>
    </row>
    <row r="789" spans="1:25" x14ac:dyDescent="0.35">
      <c r="A789">
        <v>797</v>
      </c>
      <c r="B789" t="s">
        <v>385</v>
      </c>
      <c r="C789">
        <v>78100</v>
      </c>
      <c r="D789">
        <v>290</v>
      </c>
      <c r="E789" t="str">
        <f>IFERROR(IF(OR(HLOOKUP($A789,#REF!,3,FALSE)&gt;2,HLOOKUP(A789,#REF!,3,FALSE)&lt;-2),"",#REF!),"")</f>
        <v/>
      </c>
      <c r="F789" t="str">
        <f>IFERROR(IF(OR(HLOOKUP($A789,#REF!,4,FALSE)&gt;2,HLOOKUP($A789,#REF!,4,FALSE)&lt;-2),"",#REF!),"")</f>
        <v/>
      </c>
      <c r="G789" t="str">
        <f>IFERROR(IF(OR(HLOOKUP($A789,#REF!,5,FALSE)&gt;2,HLOOKUP($A789,#REF!,5,FALSE)&lt;-2),"",#REF!),"")</f>
        <v/>
      </c>
      <c r="H789" t="str">
        <f>IFERROR(IF(OR(HLOOKUP($A789,#REF!,6,FALSE)&gt;2,HLOOKUP($A789,#REF!,6,FALSE)&lt;-2),"",#REF!),"")</f>
        <v/>
      </c>
      <c r="I789" t="str">
        <f>IFERROR(IF(OR(HLOOKUP($A789,#REF!,7,FALSE)&gt;2,HLOOKUP($A789,#REF!,7,FALSE)&lt;-2),"",#REF!),"")</f>
        <v/>
      </c>
      <c r="J789" t="str">
        <f>IFERROR(IF(OR(HLOOKUP($A789,#REF!,8,FALSE)&gt;2,HLOOKUP($A789,#REF!,8,FALSE)&lt;-2),"",#REF!),"")</f>
        <v/>
      </c>
      <c r="K789" t="str">
        <f>IFERROR(IF(OR(HLOOKUP($A789,#REF!,9,FALSE)&gt;2,HLOOKUP($A789,#REF!,9,FALSE)&lt;-2),"",#REF!),"")</f>
        <v/>
      </c>
      <c r="L789" t="str">
        <f>IFERROR(IF(OR(HLOOKUP($A789,#REF!,10,FALSE)&gt;2,HLOOKUP($A789,#REF!,10,FALSE)&lt;-2),"",#REF!),"")</f>
        <v/>
      </c>
      <c r="M789" t="str">
        <f>IFERROR(IF(OR(HLOOKUP($A789,#REF!,11,FALSE)&gt;2,HLOOKUP($A789,#REF!,11,FALSE)&lt;-2),"",#REF!),"")</f>
        <v/>
      </c>
      <c r="N789" t="str">
        <f>IFERROR(IF(OR(HLOOKUP($A789,#REF!,12,FALSE)&gt;2,HLOOKUP($A789,#REF!,12,FALSE)&lt;-2),"",#REF!),"")</f>
        <v/>
      </c>
      <c r="O789" t="str">
        <f>IFERROR(IF(OR(HLOOKUP($A789,#REF!,13,FALSE)&gt;2,HLOOKUP($A789,#REF!,13,FALSE)&lt;-2),"",#REF!),"")</f>
        <v/>
      </c>
      <c r="P789" t="str">
        <f>IFERROR(IF(OR(HLOOKUP($A789,#REF!,14,FALSE)&gt;2,HLOOKUP($A789,#REF!,14,FALSE)&lt;-2),"",#REF!),"")</f>
        <v/>
      </c>
      <c r="Q789" t="str">
        <f>IFERROR(IF(OR(HLOOKUP($A789,#REF!,15,FALSE)&gt;2,HLOOKUP($A789,#REF!,15,FALSE)&lt;-2),"",#REF!),"")</f>
        <v/>
      </c>
      <c r="R789" t="str">
        <f>IFERROR(IF(OR(HLOOKUP($A789,#REF!,16,FALSE)&gt;2,HLOOKUP($A789,#REF!,16,FALSE)&lt;-2),"",#REF!),"")</f>
        <v/>
      </c>
      <c r="S789" t="str">
        <f>IFERROR(IF(OR(HLOOKUP($A789,#REF!,17,FALSE)&gt;2,HLOOKUP($A789,#REF!,17,FALSE)&lt;-2),"",#REF!),"")</f>
        <v/>
      </c>
      <c r="T789" t="str">
        <f>IFERROR(IF(OR(HLOOKUP($A789,#REF!,18,FALSE)&gt;2,HLOOKUP($A789,#REF!,18,FALSE)&lt;-2),"",#REF!),"")</f>
        <v/>
      </c>
      <c r="U789" t="str">
        <f>IFERROR(IF(OR(HLOOKUP($A789,#REF!,19,FALSE)&gt;2,HLOOKUP($A789,#REF!,19,FALSE)&lt;-2),"",#REF!),"")</f>
        <v/>
      </c>
      <c r="V789">
        <f t="shared" si="48"/>
        <v>1</v>
      </c>
      <c r="W789" t="str">
        <f t="shared" si="49"/>
        <v/>
      </c>
      <c r="X789" t="str">
        <f t="shared" si="50"/>
        <v/>
      </c>
      <c r="Y789" t="str">
        <f t="shared" si="51"/>
        <v/>
      </c>
    </row>
    <row r="790" spans="1:25" x14ac:dyDescent="0.35">
      <c r="A790">
        <v>798</v>
      </c>
      <c r="B790" t="s">
        <v>386</v>
      </c>
      <c r="C790">
        <v>100100</v>
      </c>
      <c r="D790">
        <v>967</v>
      </c>
      <c r="E790" t="str">
        <f>IFERROR(IF(OR(HLOOKUP($A790,#REF!,3,FALSE)&gt;2,HLOOKUP(A790,#REF!,3,FALSE)&lt;-2),"",#REF!),"")</f>
        <v/>
      </c>
      <c r="F790" t="str">
        <f>IFERROR(IF(OR(HLOOKUP($A790,#REF!,4,FALSE)&gt;2,HLOOKUP($A790,#REF!,4,FALSE)&lt;-2),"",#REF!),"")</f>
        <v/>
      </c>
      <c r="G790" t="str">
        <f>IFERROR(IF(OR(HLOOKUP($A790,#REF!,5,FALSE)&gt;2,HLOOKUP($A790,#REF!,5,FALSE)&lt;-2),"",#REF!),"")</f>
        <v/>
      </c>
      <c r="H790" t="str">
        <f>IFERROR(IF(OR(HLOOKUP($A790,#REF!,6,FALSE)&gt;2,HLOOKUP($A790,#REF!,6,FALSE)&lt;-2),"",#REF!),"")</f>
        <v/>
      </c>
      <c r="I790" t="str">
        <f>IFERROR(IF(OR(HLOOKUP($A790,#REF!,7,FALSE)&gt;2,HLOOKUP($A790,#REF!,7,FALSE)&lt;-2),"",#REF!),"")</f>
        <v/>
      </c>
      <c r="J790" t="str">
        <f>IFERROR(IF(OR(HLOOKUP($A790,#REF!,8,FALSE)&gt;2,HLOOKUP($A790,#REF!,8,FALSE)&lt;-2),"",#REF!),"")</f>
        <v/>
      </c>
      <c r="K790" t="str">
        <f>IFERROR(IF(OR(HLOOKUP($A790,#REF!,9,FALSE)&gt;2,HLOOKUP($A790,#REF!,9,FALSE)&lt;-2),"",#REF!),"")</f>
        <v/>
      </c>
      <c r="L790" t="str">
        <f>IFERROR(IF(OR(HLOOKUP($A790,#REF!,10,FALSE)&gt;2,HLOOKUP($A790,#REF!,10,FALSE)&lt;-2),"",#REF!),"")</f>
        <v/>
      </c>
      <c r="M790" t="str">
        <f>IFERROR(IF(OR(HLOOKUP($A790,#REF!,11,FALSE)&gt;2,HLOOKUP($A790,#REF!,11,FALSE)&lt;-2),"",#REF!),"")</f>
        <v/>
      </c>
      <c r="N790" t="str">
        <f>IFERROR(IF(OR(HLOOKUP($A790,#REF!,12,FALSE)&gt;2,HLOOKUP($A790,#REF!,12,FALSE)&lt;-2),"",#REF!),"")</f>
        <v/>
      </c>
      <c r="O790" t="str">
        <f>IFERROR(IF(OR(HLOOKUP($A790,#REF!,13,FALSE)&gt;2,HLOOKUP($A790,#REF!,13,FALSE)&lt;-2),"",#REF!),"")</f>
        <v/>
      </c>
      <c r="P790" t="str">
        <f>IFERROR(IF(OR(HLOOKUP($A790,#REF!,14,FALSE)&gt;2,HLOOKUP($A790,#REF!,14,FALSE)&lt;-2),"",#REF!),"")</f>
        <v/>
      </c>
      <c r="Q790" t="str">
        <f>IFERROR(IF(OR(HLOOKUP($A790,#REF!,15,FALSE)&gt;2,HLOOKUP($A790,#REF!,15,FALSE)&lt;-2),"",#REF!),"")</f>
        <v/>
      </c>
      <c r="R790" t="str">
        <f>IFERROR(IF(OR(HLOOKUP($A790,#REF!,16,FALSE)&gt;2,HLOOKUP($A790,#REF!,16,FALSE)&lt;-2),"",#REF!),"")</f>
        <v/>
      </c>
      <c r="S790" t="str">
        <f>IFERROR(IF(OR(HLOOKUP($A790,#REF!,17,FALSE)&gt;2,HLOOKUP($A790,#REF!,17,FALSE)&lt;-2),"",#REF!),"")</f>
        <v/>
      </c>
      <c r="T790" t="str">
        <f>IFERROR(IF(OR(HLOOKUP($A790,#REF!,18,FALSE)&gt;2,HLOOKUP($A790,#REF!,18,FALSE)&lt;-2),"",#REF!),"")</f>
        <v/>
      </c>
      <c r="U790" t="str">
        <f>IFERROR(IF(OR(HLOOKUP($A790,#REF!,19,FALSE)&gt;2,HLOOKUP($A790,#REF!,19,FALSE)&lt;-2),"",#REF!),"")</f>
        <v/>
      </c>
      <c r="V790">
        <f t="shared" si="48"/>
        <v>1</v>
      </c>
      <c r="W790" t="str">
        <f t="shared" si="49"/>
        <v/>
      </c>
      <c r="X790" t="str">
        <f t="shared" si="50"/>
        <v/>
      </c>
      <c r="Y790" t="str">
        <f t="shared" si="51"/>
        <v/>
      </c>
    </row>
    <row r="791" spans="1:25" x14ac:dyDescent="0.35">
      <c r="A791">
        <v>799</v>
      </c>
      <c r="B791" t="s">
        <v>1007</v>
      </c>
      <c r="C791">
        <v>40600</v>
      </c>
      <c r="D791">
        <v>726</v>
      </c>
      <c r="E791" t="str">
        <f>IFERROR(IF(OR(HLOOKUP($A791,#REF!,3,FALSE)&gt;2,HLOOKUP(A791,#REF!,3,FALSE)&lt;-2),"",#REF!),"")</f>
        <v/>
      </c>
      <c r="F791" t="str">
        <f>IFERROR(IF(OR(HLOOKUP($A791,#REF!,4,FALSE)&gt;2,HLOOKUP($A791,#REF!,4,FALSE)&lt;-2),"",#REF!),"")</f>
        <v/>
      </c>
      <c r="G791" t="str">
        <f>IFERROR(IF(OR(HLOOKUP($A791,#REF!,5,FALSE)&gt;2,HLOOKUP($A791,#REF!,5,FALSE)&lt;-2),"",#REF!),"")</f>
        <v/>
      </c>
      <c r="H791" t="str">
        <f>IFERROR(IF(OR(HLOOKUP($A791,#REF!,6,FALSE)&gt;2,HLOOKUP($A791,#REF!,6,FALSE)&lt;-2),"",#REF!),"")</f>
        <v/>
      </c>
      <c r="I791" t="str">
        <f>IFERROR(IF(OR(HLOOKUP($A791,#REF!,7,FALSE)&gt;2,HLOOKUP($A791,#REF!,7,FALSE)&lt;-2),"",#REF!),"")</f>
        <v/>
      </c>
      <c r="J791" t="str">
        <f>IFERROR(IF(OR(HLOOKUP($A791,#REF!,8,FALSE)&gt;2,HLOOKUP($A791,#REF!,8,FALSE)&lt;-2),"",#REF!),"")</f>
        <v/>
      </c>
      <c r="K791" t="str">
        <f>IFERROR(IF(OR(HLOOKUP($A791,#REF!,9,FALSE)&gt;2,HLOOKUP($A791,#REF!,9,FALSE)&lt;-2),"",#REF!),"")</f>
        <v/>
      </c>
      <c r="L791" t="str">
        <f>IFERROR(IF(OR(HLOOKUP($A791,#REF!,10,FALSE)&gt;2,HLOOKUP($A791,#REF!,10,FALSE)&lt;-2),"",#REF!),"")</f>
        <v/>
      </c>
      <c r="M791" t="str">
        <f>IFERROR(IF(OR(HLOOKUP($A791,#REF!,11,FALSE)&gt;2,HLOOKUP($A791,#REF!,11,FALSE)&lt;-2),"",#REF!),"")</f>
        <v/>
      </c>
      <c r="N791" t="str">
        <f>IFERROR(IF(OR(HLOOKUP($A791,#REF!,12,FALSE)&gt;2,HLOOKUP($A791,#REF!,12,FALSE)&lt;-2),"",#REF!),"")</f>
        <v/>
      </c>
      <c r="O791" t="str">
        <f>IFERROR(IF(OR(HLOOKUP($A791,#REF!,13,FALSE)&gt;2,HLOOKUP($A791,#REF!,13,FALSE)&lt;-2),"",#REF!),"")</f>
        <v/>
      </c>
      <c r="P791" t="str">
        <f>IFERROR(IF(OR(HLOOKUP($A791,#REF!,14,FALSE)&gt;2,HLOOKUP($A791,#REF!,14,FALSE)&lt;-2),"",#REF!),"")</f>
        <v/>
      </c>
      <c r="Q791" t="str">
        <f>IFERROR(IF(OR(HLOOKUP($A791,#REF!,15,FALSE)&gt;2,HLOOKUP($A791,#REF!,15,FALSE)&lt;-2),"",#REF!),"")</f>
        <v/>
      </c>
      <c r="R791" t="str">
        <f>IFERROR(IF(OR(HLOOKUP($A791,#REF!,16,FALSE)&gt;2,HLOOKUP($A791,#REF!,16,FALSE)&lt;-2),"",#REF!),"")</f>
        <v/>
      </c>
      <c r="S791" t="str">
        <f>IFERROR(IF(OR(HLOOKUP($A791,#REF!,17,FALSE)&gt;2,HLOOKUP($A791,#REF!,17,FALSE)&lt;-2),"",#REF!),"")</f>
        <v/>
      </c>
      <c r="T791" t="str">
        <f>IFERROR(IF(OR(HLOOKUP($A791,#REF!,18,FALSE)&gt;2,HLOOKUP($A791,#REF!,18,FALSE)&lt;-2),"",#REF!),"")</f>
        <v/>
      </c>
      <c r="U791" t="str">
        <f>IFERROR(IF(OR(HLOOKUP($A791,#REF!,19,FALSE)&gt;2,HLOOKUP($A791,#REF!,19,FALSE)&lt;-2),"",#REF!),"")</f>
        <v/>
      </c>
      <c r="V791">
        <f t="shared" si="48"/>
        <v>1</v>
      </c>
      <c r="W791" t="str">
        <f t="shared" si="49"/>
        <v/>
      </c>
      <c r="X791" t="str">
        <f t="shared" si="50"/>
        <v/>
      </c>
      <c r="Y791" t="str">
        <f t="shared" si="51"/>
        <v/>
      </c>
    </row>
    <row r="792" spans="1:25" x14ac:dyDescent="0.35">
      <c r="A792">
        <v>800</v>
      </c>
      <c r="B792" t="s">
        <v>387</v>
      </c>
      <c r="C792">
        <v>24900</v>
      </c>
      <c r="D792">
        <v>119</v>
      </c>
      <c r="E792" t="str">
        <f>IFERROR(IF(OR(HLOOKUP($A792,#REF!,3,FALSE)&gt;2,HLOOKUP(A792,#REF!,3,FALSE)&lt;-2),"",#REF!),"")</f>
        <v/>
      </c>
      <c r="F792" t="str">
        <f>IFERROR(IF(OR(HLOOKUP($A792,#REF!,4,FALSE)&gt;2,HLOOKUP($A792,#REF!,4,FALSE)&lt;-2),"",#REF!),"")</f>
        <v/>
      </c>
      <c r="G792" t="str">
        <f>IFERROR(IF(OR(HLOOKUP($A792,#REF!,5,FALSE)&gt;2,HLOOKUP($A792,#REF!,5,FALSE)&lt;-2),"",#REF!),"")</f>
        <v/>
      </c>
      <c r="H792" t="str">
        <f>IFERROR(IF(OR(HLOOKUP($A792,#REF!,6,FALSE)&gt;2,HLOOKUP($A792,#REF!,6,FALSE)&lt;-2),"",#REF!),"")</f>
        <v/>
      </c>
      <c r="I792" t="str">
        <f>IFERROR(IF(OR(HLOOKUP($A792,#REF!,7,FALSE)&gt;2,HLOOKUP($A792,#REF!,7,FALSE)&lt;-2),"",#REF!),"")</f>
        <v/>
      </c>
      <c r="J792" t="str">
        <f>IFERROR(IF(OR(HLOOKUP($A792,#REF!,8,FALSE)&gt;2,HLOOKUP($A792,#REF!,8,FALSE)&lt;-2),"",#REF!),"")</f>
        <v/>
      </c>
      <c r="K792" t="str">
        <f>IFERROR(IF(OR(HLOOKUP($A792,#REF!,9,FALSE)&gt;2,HLOOKUP($A792,#REF!,9,FALSE)&lt;-2),"",#REF!),"")</f>
        <v/>
      </c>
      <c r="L792" t="str">
        <f>IFERROR(IF(OR(HLOOKUP($A792,#REF!,10,FALSE)&gt;2,HLOOKUP($A792,#REF!,10,FALSE)&lt;-2),"",#REF!),"")</f>
        <v/>
      </c>
      <c r="M792" t="str">
        <f>IFERROR(IF(OR(HLOOKUP($A792,#REF!,11,FALSE)&gt;2,HLOOKUP($A792,#REF!,11,FALSE)&lt;-2),"",#REF!),"")</f>
        <v/>
      </c>
      <c r="N792" t="str">
        <f>IFERROR(IF(OR(HLOOKUP($A792,#REF!,12,FALSE)&gt;2,HLOOKUP($A792,#REF!,12,FALSE)&lt;-2),"",#REF!),"")</f>
        <v/>
      </c>
      <c r="O792" t="str">
        <f>IFERROR(IF(OR(HLOOKUP($A792,#REF!,13,FALSE)&gt;2,HLOOKUP($A792,#REF!,13,FALSE)&lt;-2),"",#REF!),"")</f>
        <v/>
      </c>
      <c r="P792" t="str">
        <f>IFERROR(IF(OR(HLOOKUP($A792,#REF!,14,FALSE)&gt;2,HLOOKUP($A792,#REF!,14,FALSE)&lt;-2),"",#REF!),"")</f>
        <v/>
      </c>
      <c r="Q792" t="str">
        <f>IFERROR(IF(OR(HLOOKUP($A792,#REF!,15,FALSE)&gt;2,HLOOKUP($A792,#REF!,15,FALSE)&lt;-2),"",#REF!),"")</f>
        <v/>
      </c>
      <c r="R792" t="str">
        <f>IFERROR(IF(OR(HLOOKUP($A792,#REF!,16,FALSE)&gt;2,HLOOKUP($A792,#REF!,16,FALSE)&lt;-2),"",#REF!),"")</f>
        <v/>
      </c>
      <c r="S792" t="str">
        <f>IFERROR(IF(OR(HLOOKUP($A792,#REF!,17,FALSE)&gt;2,HLOOKUP($A792,#REF!,17,FALSE)&lt;-2),"",#REF!),"")</f>
        <v/>
      </c>
      <c r="T792" t="str">
        <f>IFERROR(IF(OR(HLOOKUP($A792,#REF!,18,FALSE)&gt;2,HLOOKUP($A792,#REF!,18,FALSE)&lt;-2),"",#REF!),"")</f>
        <v/>
      </c>
      <c r="U792" t="str">
        <f>IFERROR(IF(OR(HLOOKUP($A792,#REF!,19,FALSE)&gt;2,HLOOKUP($A792,#REF!,19,FALSE)&lt;-2),"",#REF!),"")</f>
        <v/>
      </c>
      <c r="V792">
        <f t="shared" si="48"/>
        <v>1</v>
      </c>
      <c r="W792" t="str">
        <f t="shared" si="49"/>
        <v/>
      </c>
      <c r="X792" t="str">
        <f t="shared" si="50"/>
        <v/>
      </c>
      <c r="Y792" t="str">
        <f t="shared" si="51"/>
        <v/>
      </c>
    </row>
    <row r="793" spans="1:25" x14ac:dyDescent="0.35">
      <c r="A793">
        <v>801</v>
      </c>
      <c r="B793" t="s">
        <v>1008</v>
      </c>
      <c r="C793">
        <v>13500</v>
      </c>
      <c r="D793">
        <v>669</v>
      </c>
      <c r="E793" t="str">
        <f>IFERROR(IF(OR(HLOOKUP($A793,#REF!,3,FALSE)&gt;2,HLOOKUP(A793,#REF!,3,FALSE)&lt;-2),"",#REF!),"")</f>
        <v/>
      </c>
      <c r="F793" t="str">
        <f>IFERROR(IF(OR(HLOOKUP($A793,#REF!,4,FALSE)&gt;2,HLOOKUP($A793,#REF!,4,FALSE)&lt;-2),"",#REF!),"")</f>
        <v/>
      </c>
      <c r="G793" t="str">
        <f>IFERROR(IF(OR(HLOOKUP($A793,#REF!,5,FALSE)&gt;2,HLOOKUP($A793,#REF!,5,FALSE)&lt;-2),"",#REF!),"")</f>
        <v/>
      </c>
      <c r="H793" t="str">
        <f>IFERROR(IF(OR(HLOOKUP($A793,#REF!,6,FALSE)&gt;2,HLOOKUP($A793,#REF!,6,FALSE)&lt;-2),"",#REF!),"")</f>
        <v/>
      </c>
      <c r="I793" t="str">
        <f>IFERROR(IF(OR(HLOOKUP($A793,#REF!,7,FALSE)&gt;2,HLOOKUP($A793,#REF!,7,FALSE)&lt;-2),"",#REF!),"")</f>
        <v/>
      </c>
      <c r="J793" t="str">
        <f>IFERROR(IF(OR(HLOOKUP($A793,#REF!,8,FALSE)&gt;2,HLOOKUP($A793,#REF!,8,FALSE)&lt;-2),"",#REF!),"")</f>
        <v/>
      </c>
      <c r="K793" t="str">
        <f>IFERROR(IF(OR(HLOOKUP($A793,#REF!,9,FALSE)&gt;2,HLOOKUP($A793,#REF!,9,FALSE)&lt;-2),"",#REF!),"")</f>
        <v/>
      </c>
      <c r="L793" t="str">
        <f>IFERROR(IF(OR(HLOOKUP($A793,#REF!,10,FALSE)&gt;2,HLOOKUP($A793,#REF!,10,FALSE)&lt;-2),"",#REF!),"")</f>
        <v/>
      </c>
      <c r="M793" t="str">
        <f>IFERROR(IF(OR(HLOOKUP($A793,#REF!,11,FALSE)&gt;2,HLOOKUP($A793,#REF!,11,FALSE)&lt;-2),"",#REF!),"")</f>
        <v/>
      </c>
      <c r="N793" t="str">
        <f>IFERROR(IF(OR(HLOOKUP($A793,#REF!,12,FALSE)&gt;2,HLOOKUP($A793,#REF!,12,FALSE)&lt;-2),"",#REF!),"")</f>
        <v/>
      </c>
      <c r="O793" t="str">
        <f>IFERROR(IF(OR(HLOOKUP($A793,#REF!,13,FALSE)&gt;2,HLOOKUP($A793,#REF!,13,FALSE)&lt;-2),"",#REF!),"")</f>
        <v/>
      </c>
      <c r="P793" t="str">
        <f>IFERROR(IF(OR(HLOOKUP($A793,#REF!,14,FALSE)&gt;2,HLOOKUP($A793,#REF!,14,FALSE)&lt;-2),"",#REF!),"")</f>
        <v/>
      </c>
      <c r="Q793" t="str">
        <f>IFERROR(IF(OR(HLOOKUP($A793,#REF!,15,FALSE)&gt;2,HLOOKUP($A793,#REF!,15,FALSE)&lt;-2),"",#REF!),"")</f>
        <v/>
      </c>
      <c r="R793" t="str">
        <f>IFERROR(IF(OR(HLOOKUP($A793,#REF!,16,FALSE)&gt;2,HLOOKUP($A793,#REF!,16,FALSE)&lt;-2),"",#REF!),"")</f>
        <v/>
      </c>
      <c r="S793" t="str">
        <f>IFERROR(IF(OR(HLOOKUP($A793,#REF!,17,FALSE)&gt;2,HLOOKUP($A793,#REF!,17,FALSE)&lt;-2),"",#REF!),"")</f>
        <v/>
      </c>
      <c r="T793" t="str">
        <f>IFERROR(IF(OR(HLOOKUP($A793,#REF!,18,FALSE)&gt;2,HLOOKUP($A793,#REF!,18,FALSE)&lt;-2),"",#REF!),"")</f>
        <v/>
      </c>
      <c r="U793" t="str">
        <f>IFERROR(IF(OR(HLOOKUP($A793,#REF!,19,FALSE)&gt;2,HLOOKUP($A793,#REF!,19,FALSE)&lt;-2),"",#REF!),"")</f>
        <v/>
      </c>
      <c r="V793">
        <f t="shared" si="48"/>
        <v>1</v>
      </c>
      <c r="W793" t="str">
        <f t="shared" si="49"/>
        <v/>
      </c>
      <c r="X793" t="str">
        <f t="shared" si="50"/>
        <v/>
      </c>
      <c r="Y793" t="str">
        <f t="shared" si="51"/>
        <v/>
      </c>
    </row>
    <row r="794" spans="1:25" x14ac:dyDescent="0.35">
      <c r="A794">
        <v>802</v>
      </c>
      <c r="B794" t="s">
        <v>388</v>
      </c>
      <c r="C794">
        <v>115100</v>
      </c>
      <c r="D794">
        <v>1083</v>
      </c>
      <c r="E794" t="str">
        <f>IFERROR(IF(OR(HLOOKUP($A794,#REF!,3,FALSE)&gt;2,HLOOKUP(A794,#REF!,3,FALSE)&lt;-2),"",#REF!),"")</f>
        <v/>
      </c>
      <c r="F794" t="str">
        <f>IFERROR(IF(OR(HLOOKUP($A794,#REF!,4,FALSE)&gt;2,HLOOKUP($A794,#REF!,4,FALSE)&lt;-2),"",#REF!),"")</f>
        <v/>
      </c>
      <c r="G794" t="str">
        <f>IFERROR(IF(OR(HLOOKUP($A794,#REF!,5,FALSE)&gt;2,HLOOKUP($A794,#REF!,5,FALSE)&lt;-2),"",#REF!),"")</f>
        <v/>
      </c>
      <c r="H794" t="str">
        <f>IFERROR(IF(OR(HLOOKUP($A794,#REF!,6,FALSE)&gt;2,HLOOKUP($A794,#REF!,6,FALSE)&lt;-2),"",#REF!),"")</f>
        <v/>
      </c>
      <c r="I794" t="str">
        <f>IFERROR(IF(OR(HLOOKUP($A794,#REF!,7,FALSE)&gt;2,HLOOKUP($A794,#REF!,7,FALSE)&lt;-2),"",#REF!),"")</f>
        <v/>
      </c>
      <c r="J794" t="str">
        <f>IFERROR(IF(OR(HLOOKUP($A794,#REF!,8,FALSE)&gt;2,HLOOKUP($A794,#REF!,8,FALSE)&lt;-2),"",#REF!),"")</f>
        <v/>
      </c>
      <c r="K794" t="str">
        <f>IFERROR(IF(OR(HLOOKUP($A794,#REF!,9,FALSE)&gt;2,HLOOKUP($A794,#REF!,9,FALSE)&lt;-2),"",#REF!),"")</f>
        <v/>
      </c>
      <c r="L794" t="str">
        <f>IFERROR(IF(OR(HLOOKUP($A794,#REF!,10,FALSE)&gt;2,HLOOKUP($A794,#REF!,10,FALSE)&lt;-2),"",#REF!),"")</f>
        <v/>
      </c>
      <c r="M794" t="str">
        <f>IFERROR(IF(OR(HLOOKUP($A794,#REF!,11,FALSE)&gt;2,HLOOKUP($A794,#REF!,11,FALSE)&lt;-2),"",#REF!),"")</f>
        <v/>
      </c>
      <c r="N794" t="str">
        <f>IFERROR(IF(OR(HLOOKUP($A794,#REF!,12,FALSE)&gt;2,HLOOKUP($A794,#REF!,12,FALSE)&lt;-2),"",#REF!),"")</f>
        <v/>
      </c>
      <c r="O794" t="str">
        <f>IFERROR(IF(OR(HLOOKUP($A794,#REF!,13,FALSE)&gt;2,HLOOKUP($A794,#REF!,13,FALSE)&lt;-2),"",#REF!),"")</f>
        <v/>
      </c>
      <c r="P794" t="str">
        <f>IFERROR(IF(OR(HLOOKUP($A794,#REF!,14,FALSE)&gt;2,HLOOKUP($A794,#REF!,14,FALSE)&lt;-2),"",#REF!),"")</f>
        <v/>
      </c>
      <c r="Q794" t="str">
        <f>IFERROR(IF(OR(HLOOKUP($A794,#REF!,15,FALSE)&gt;2,HLOOKUP($A794,#REF!,15,FALSE)&lt;-2),"",#REF!),"")</f>
        <v/>
      </c>
      <c r="R794" t="str">
        <f>IFERROR(IF(OR(HLOOKUP($A794,#REF!,16,FALSE)&gt;2,HLOOKUP($A794,#REF!,16,FALSE)&lt;-2),"",#REF!),"")</f>
        <v/>
      </c>
      <c r="S794" t="str">
        <f>IFERROR(IF(OR(HLOOKUP($A794,#REF!,17,FALSE)&gt;2,HLOOKUP($A794,#REF!,17,FALSE)&lt;-2),"",#REF!),"")</f>
        <v/>
      </c>
      <c r="T794" t="str">
        <f>IFERROR(IF(OR(HLOOKUP($A794,#REF!,18,FALSE)&gt;2,HLOOKUP($A794,#REF!,18,FALSE)&lt;-2),"",#REF!),"")</f>
        <v/>
      </c>
      <c r="U794" t="str">
        <f>IFERROR(IF(OR(HLOOKUP($A794,#REF!,19,FALSE)&gt;2,HLOOKUP($A794,#REF!,19,FALSE)&lt;-2),"",#REF!),"")</f>
        <v/>
      </c>
      <c r="V794">
        <f t="shared" si="48"/>
        <v>1</v>
      </c>
      <c r="W794" t="str">
        <f t="shared" si="49"/>
        <v/>
      </c>
      <c r="X794" t="str">
        <f t="shared" si="50"/>
        <v/>
      </c>
      <c r="Y794" t="str">
        <f t="shared" si="51"/>
        <v/>
      </c>
    </row>
    <row r="795" spans="1:25" x14ac:dyDescent="0.35">
      <c r="A795">
        <v>803</v>
      </c>
      <c r="B795" t="s">
        <v>389</v>
      </c>
      <c r="C795">
        <v>51600</v>
      </c>
      <c r="D795">
        <v>623</v>
      </c>
      <c r="E795" t="str">
        <f>IFERROR(IF(OR(HLOOKUP($A795,#REF!,3,FALSE)&gt;2,HLOOKUP(A795,#REF!,3,FALSE)&lt;-2),"",#REF!),"")</f>
        <v/>
      </c>
      <c r="F795" t="str">
        <f>IFERROR(IF(OR(HLOOKUP($A795,#REF!,4,FALSE)&gt;2,HLOOKUP($A795,#REF!,4,FALSE)&lt;-2),"",#REF!),"")</f>
        <v/>
      </c>
      <c r="G795" t="str">
        <f>IFERROR(IF(OR(HLOOKUP($A795,#REF!,5,FALSE)&gt;2,HLOOKUP($A795,#REF!,5,FALSE)&lt;-2),"",#REF!),"")</f>
        <v/>
      </c>
      <c r="H795" t="str">
        <f>IFERROR(IF(OR(HLOOKUP($A795,#REF!,6,FALSE)&gt;2,HLOOKUP($A795,#REF!,6,FALSE)&lt;-2),"",#REF!),"")</f>
        <v/>
      </c>
      <c r="I795" t="str">
        <f>IFERROR(IF(OR(HLOOKUP($A795,#REF!,7,FALSE)&gt;2,HLOOKUP($A795,#REF!,7,FALSE)&lt;-2),"",#REF!),"")</f>
        <v/>
      </c>
      <c r="J795" t="str">
        <f>IFERROR(IF(OR(HLOOKUP($A795,#REF!,8,FALSE)&gt;2,HLOOKUP($A795,#REF!,8,FALSE)&lt;-2),"",#REF!),"")</f>
        <v/>
      </c>
      <c r="K795" t="str">
        <f>IFERROR(IF(OR(HLOOKUP($A795,#REF!,9,FALSE)&gt;2,HLOOKUP($A795,#REF!,9,FALSE)&lt;-2),"",#REF!),"")</f>
        <v/>
      </c>
      <c r="L795" t="str">
        <f>IFERROR(IF(OR(HLOOKUP($A795,#REF!,10,FALSE)&gt;2,HLOOKUP($A795,#REF!,10,FALSE)&lt;-2),"",#REF!),"")</f>
        <v/>
      </c>
      <c r="M795" t="str">
        <f>IFERROR(IF(OR(HLOOKUP($A795,#REF!,11,FALSE)&gt;2,HLOOKUP($A795,#REF!,11,FALSE)&lt;-2),"",#REF!),"")</f>
        <v/>
      </c>
      <c r="N795" t="str">
        <f>IFERROR(IF(OR(HLOOKUP($A795,#REF!,12,FALSE)&gt;2,HLOOKUP($A795,#REF!,12,FALSE)&lt;-2),"",#REF!),"")</f>
        <v/>
      </c>
      <c r="O795" t="str">
        <f>IFERROR(IF(OR(HLOOKUP($A795,#REF!,13,FALSE)&gt;2,HLOOKUP($A795,#REF!,13,FALSE)&lt;-2),"",#REF!),"")</f>
        <v/>
      </c>
      <c r="P795" t="str">
        <f>IFERROR(IF(OR(HLOOKUP($A795,#REF!,14,FALSE)&gt;2,HLOOKUP($A795,#REF!,14,FALSE)&lt;-2),"",#REF!),"")</f>
        <v/>
      </c>
      <c r="Q795" t="str">
        <f>IFERROR(IF(OR(HLOOKUP($A795,#REF!,15,FALSE)&gt;2,HLOOKUP($A795,#REF!,15,FALSE)&lt;-2),"",#REF!),"")</f>
        <v/>
      </c>
      <c r="R795" t="str">
        <f>IFERROR(IF(OR(HLOOKUP($A795,#REF!,16,FALSE)&gt;2,HLOOKUP($A795,#REF!,16,FALSE)&lt;-2),"",#REF!),"")</f>
        <v/>
      </c>
      <c r="S795" t="str">
        <f>IFERROR(IF(OR(HLOOKUP($A795,#REF!,17,FALSE)&gt;2,HLOOKUP($A795,#REF!,17,FALSE)&lt;-2),"",#REF!),"")</f>
        <v/>
      </c>
      <c r="T795" t="str">
        <f>IFERROR(IF(OR(HLOOKUP($A795,#REF!,18,FALSE)&gt;2,HLOOKUP($A795,#REF!,18,FALSE)&lt;-2),"",#REF!),"")</f>
        <v/>
      </c>
      <c r="U795" t="str">
        <f>IFERROR(IF(OR(HLOOKUP($A795,#REF!,19,FALSE)&gt;2,HLOOKUP($A795,#REF!,19,FALSE)&lt;-2),"",#REF!),"")</f>
        <v/>
      </c>
      <c r="V795">
        <f t="shared" si="48"/>
        <v>1</v>
      </c>
      <c r="W795" t="str">
        <f t="shared" si="49"/>
        <v/>
      </c>
      <c r="X795" t="str">
        <f t="shared" si="50"/>
        <v/>
      </c>
      <c r="Y795" t="str">
        <f t="shared" si="51"/>
        <v/>
      </c>
    </row>
    <row r="796" spans="1:25" x14ac:dyDescent="0.35">
      <c r="A796">
        <v>804</v>
      </c>
      <c r="B796" t="s">
        <v>390</v>
      </c>
      <c r="C796">
        <v>78300</v>
      </c>
      <c r="D796">
        <v>797</v>
      </c>
      <c r="E796" t="str">
        <f>IFERROR(IF(OR(HLOOKUP($A796,#REF!,3,FALSE)&gt;2,HLOOKUP(A796,#REF!,3,FALSE)&lt;-2),"",#REF!),"")</f>
        <v/>
      </c>
      <c r="F796" t="str">
        <f>IFERROR(IF(OR(HLOOKUP($A796,#REF!,4,FALSE)&gt;2,HLOOKUP($A796,#REF!,4,FALSE)&lt;-2),"",#REF!),"")</f>
        <v/>
      </c>
      <c r="G796" t="str">
        <f>IFERROR(IF(OR(HLOOKUP($A796,#REF!,5,FALSE)&gt;2,HLOOKUP($A796,#REF!,5,FALSE)&lt;-2),"",#REF!),"")</f>
        <v/>
      </c>
      <c r="H796" t="str">
        <f>IFERROR(IF(OR(HLOOKUP($A796,#REF!,6,FALSE)&gt;2,HLOOKUP($A796,#REF!,6,FALSE)&lt;-2),"",#REF!),"")</f>
        <v/>
      </c>
      <c r="I796" t="str">
        <f>IFERROR(IF(OR(HLOOKUP($A796,#REF!,7,FALSE)&gt;2,HLOOKUP($A796,#REF!,7,FALSE)&lt;-2),"",#REF!),"")</f>
        <v/>
      </c>
      <c r="J796" t="str">
        <f>IFERROR(IF(OR(HLOOKUP($A796,#REF!,8,FALSE)&gt;2,HLOOKUP($A796,#REF!,8,FALSE)&lt;-2),"",#REF!),"")</f>
        <v/>
      </c>
      <c r="K796" t="str">
        <f>IFERROR(IF(OR(HLOOKUP($A796,#REF!,9,FALSE)&gt;2,HLOOKUP($A796,#REF!,9,FALSE)&lt;-2),"",#REF!),"")</f>
        <v/>
      </c>
      <c r="L796" t="str">
        <f>IFERROR(IF(OR(HLOOKUP($A796,#REF!,10,FALSE)&gt;2,HLOOKUP($A796,#REF!,10,FALSE)&lt;-2),"",#REF!),"")</f>
        <v/>
      </c>
      <c r="M796" t="str">
        <f>IFERROR(IF(OR(HLOOKUP($A796,#REF!,11,FALSE)&gt;2,HLOOKUP($A796,#REF!,11,FALSE)&lt;-2),"",#REF!),"")</f>
        <v/>
      </c>
      <c r="N796" t="str">
        <f>IFERROR(IF(OR(HLOOKUP($A796,#REF!,12,FALSE)&gt;2,HLOOKUP($A796,#REF!,12,FALSE)&lt;-2),"",#REF!),"")</f>
        <v/>
      </c>
      <c r="O796" t="str">
        <f>IFERROR(IF(OR(HLOOKUP($A796,#REF!,13,FALSE)&gt;2,HLOOKUP($A796,#REF!,13,FALSE)&lt;-2),"",#REF!),"")</f>
        <v/>
      </c>
      <c r="P796" t="str">
        <f>IFERROR(IF(OR(HLOOKUP($A796,#REF!,14,FALSE)&gt;2,HLOOKUP($A796,#REF!,14,FALSE)&lt;-2),"",#REF!),"")</f>
        <v/>
      </c>
      <c r="Q796" t="str">
        <f>IFERROR(IF(OR(HLOOKUP($A796,#REF!,15,FALSE)&gt;2,HLOOKUP($A796,#REF!,15,FALSE)&lt;-2),"",#REF!),"")</f>
        <v/>
      </c>
      <c r="R796" t="str">
        <f>IFERROR(IF(OR(HLOOKUP($A796,#REF!,16,FALSE)&gt;2,HLOOKUP($A796,#REF!,16,FALSE)&lt;-2),"",#REF!),"")</f>
        <v/>
      </c>
      <c r="S796" t="str">
        <f>IFERROR(IF(OR(HLOOKUP($A796,#REF!,17,FALSE)&gt;2,HLOOKUP($A796,#REF!,17,FALSE)&lt;-2),"",#REF!),"")</f>
        <v/>
      </c>
      <c r="T796" t="str">
        <f>IFERROR(IF(OR(HLOOKUP($A796,#REF!,18,FALSE)&gt;2,HLOOKUP($A796,#REF!,18,FALSE)&lt;-2),"",#REF!),"")</f>
        <v/>
      </c>
      <c r="U796" t="str">
        <f>IFERROR(IF(OR(HLOOKUP($A796,#REF!,19,FALSE)&gt;2,HLOOKUP($A796,#REF!,19,FALSE)&lt;-2),"",#REF!),"")</f>
        <v/>
      </c>
      <c r="V796">
        <f t="shared" si="48"/>
        <v>1</v>
      </c>
      <c r="W796" t="str">
        <f t="shared" si="49"/>
        <v/>
      </c>
      <c r="X796" t="str">
        <f t="shared" si="50"/>
        <v/>
      </c>
      <c r="Y796" t="str">
        <f t="shared" si="51"/>
        <v/>
      </c>
    </row>
    <row r="797" spans="1:25" x14ac:dyDescent="0.35">
      <c r="A797">
        <v>805</v>
      </c>
      <c r="B797" t="s">
        <v>391</v>
      </c>
      <c r="C797">
        <v>17700</v>
      </c>
      <c r="D797">
        <v>533</v>
      </c>
      <c r="E797" t="str">
        <f>IFERROR(IF(OR(HLOOKUP($A797,#REF!,3,FALSE)&gt;2,HLOOKUP(A797,#REF!,3,FALSE)&lt;-2),"",#REF!),"")</f>
        <v/>
      </c>
      <c r="F797" t="str">
        <f>IFERROR(IF(OR(HLOOKUP($A797,#REF!,4,FALSE)&gt;2,HLOOKUP($A797,#REF!,4,FALSE)&lt;-2),"",#REF!),"")</f>
        <v/>
      </c>
      <c r="G797" t="str">
        <f>IFERROR(IF(OR(HLOOKUP($A797,#REF!,5,FALSE)&gt;2,HLOOKUP($A797,#REF!,5,FALSE)&lt;-2),"",#REF!),"")</f>
        <v/>
      </c>
      <c r="H797" t="str">
        <f>IFERROR(IF(OR(HLOOKUP($A797,#REF!,6,FALSE)&gt;2,HLOOKUP($A797,#REF!,6,FALSE)&lt;-2),"",#REF!),"")</f>
        <v/>
      </c>
      <c r="I797" t="str">
        <f>IFERROR(IF(OR(HLOOKUP($A797,#REF!,7,FALSE)&gt;2,HLOOKUP($A797,#REF!,7,FALSE)&lt;-2),"",#REF!),"")</f>
        <v/>
      </c>
      <c r="J797" t="str">
        <f>IFERROR(IF(OR(HLOOKUP($A797,#REF!,8,FALSE)&gt;2,HLOOKUP($A797,#REF!,8,FALSE)&lt;-2),"",#REF!),"")</f>
        <v/>
      </c>
      <c r="K797" t="str">
        <f>IFERROR(IF(OR(HLOOKUP($A797,#REF!,9,FALSE)&gt;2,HLOOKUP($A797,#REF!,9,FALSE)&lt;-2),"",#REF!),"")</f>
        <v/>
      </c>
      <c r="L797" t="str">
        <f>IFERROR(IF(OR(HLOOKUP($A797,#REF!,10,FALSE)&gt;2,HLOOKUP($A797,#REF!,10,FALSE)&lt;-2),"",#REF!),"")</f>
        <v/>
      </c>
      <c r="M797" t="str">
        <f>IFERROR(IF(OR(HLOOKUP($A797,#REF!,11,FALSE)&gt;2,HLOOKUP($A797,#REF!,11,FALSE)&lt;-2),"",#REF!),"")</f>
        <v/>
      </c>
      <c r="N797" t="str">
        <f>IFERROR(IF(OR(HLOOKUP($A797,#REF!,12,FALSE)&gt;2,HLOOKUP($A797,#REF!,12,FALSE)&lt;-2),"",#REF!),"")</f>
        <v/>
      </c>
      <c r="O797" t="str">
        <f>IFERROR(IF(OR(HLOOKUP($A797,#REF!,13,FALSE)&gt;2,HLOOKUP($A797,#REF!,13,FALSE)&lt;-2),"",#REF!),"")</f>
        <v/>
      </c>
      <c r="P797" t="str">
        <f>IFERROR(IF(OR(HLOOKUP($A797,#REF!,14,FALSE)&gt;2,HLOOKUP($A797,#REF!,14,FALSE)&lt;-2),"",#REF!),"")</f>
        <v/>
      </c>
      <c r="Q797" t="str">
        <f>IFERROR(IF(OR(HLOOKUP($A797,#REF!,15,FALSE)&gt;2,HLOOKUP($A797,#REF!,15,FALSE)&lt;-2),"",#REF!),"")</f>
        <v/>
      </c>
      <c r="R797" t="str">
        <f>IFERROR(IF(OR(HLOOKUP($A797,#REF!,16,FALSE)&gt;2,HLOOKUP($A797,#REF!,16,FALSE)&lt;-2),"",#REF!),"")</f>
        <v/>
      </c>
      <c r="S797" t="str">
        <f>IFERROR(IF(OR(HLOOKUP($A797,#REF!,17,FALSE)&gt;2,HLOOKUP($A797,#REF!,17,FALSE)&lt;-2),"",#REF!),"")</f>
        <v/>
      </c>
      <c r="T797" t="str">
        <f>IFERROR(IF(OR(HLOOKUP($A797,#REF!,18,FALSE)&gt;2,HLOOKUP($A797,#REF!,18,FALSE)&lt;-2),"",#REF!),"")</f>
        <v/>
      </c>
      <c r="U797" t="str">
        <f>IFERROR(IF(OR(HLOOKUP($A797,#REF!,19,FALSE)&gt;2,HLOOKUP($A797,#REF!,19,FALSE)&lt;-2),"",#REF!),"")</f>
        <v/>
      </c>
      <c r="V797">
        <f t="shared" si="48"/>
        <v>1</v>
      </c>
      <c r="W797" t="str">
        <f t="shared" si="49"/>
        <v/>
      </c>
      <c r="X797" t="str">
        <f t="shared" si="50"/>
        <v/>
      </c>
      <c r="Y797" t="str">
        <f t="shared" si="51"/>
        <v/>
      </c>
    </row>
    <row r="798" spans="1:25" x14ac:dyDescent="0.35">
      <c r="A798">
        <v>806</v>
      </c>
      <c r="B798" t="s">
        <v>392</v>
      </c>
      <c r="C798">
        <v>7900</v>
      </c>
      <c r="D798">
        <v>378</v>
      </c>
      <c r="E798" t="str">
        <f>IFERROR(IF(OR(HLOOKUP($A798,#REF!,3,FALSE)&gt;2,HLOOKUP(A798,#REF!,3,FALSE)&lt;-2),"",#REF!),"")</f>
        <v/>
      </c>
      <c r="F798" t="str">
        <f>IFERROR(IF(OR(HLOOKUP($A798,#REF!,4,FALSE)&gt;2,HLOOKUP($A798,#REF!,4,FALSE)&lt;-2),"",#REF!),"")</f>
        <v/>
      </c>
      <c r="G798" t="str">
        <f>IFERROR(IF(OR(HLOOKUP($A798,#REF!,5,FALSE)&gt;2,HLOOKUP($A798,#REF!,5,FALSE)&lt;-2),"",#REF!),"")</f>
        <v/>
      </c>
      <c r="H798" t="str">
        <f>IFERROR(IF(OR(HLOOKUP($A798,#REF!,6,FALSE)&gt;2,HLOOKUP($A798,#REF!,6,FALSE)&lt;-2),"",#REF!),"")</f>
        <v/>
      </c>
      <c r="I798" t="str">
        <f>IFERROR(IF(OR(HLOOKUP($A798,#REF!,7,FALSE)&gt;2,HLOOKUP($A798,#REF!,7,FALSE)&lt;-2),"",#REF!),"")</f>
        <v/>
      </c>
      <c r="J798" t="str">
        <f>IFERROR(IF(OR(HLOOKUP($A798,#REF!,8,FALSE)&gt;2,HLOOKUP($A798,#REF!,8,FALSE)&lt;-2),"",#REF!),"")</f>
        <v/>
      </c>
      <c r="K798" t="str">
        <f>IFERROR(IF(OR(HLOOKUP($A798,#REF!,9,FALSE)&gt;2,HLOOKUP($A798,#REF!,9,FALSE)&lt;-2),"",#REF!),"")</f>
        <v/>
      </c>
      <c r="L798" t="str">
        <f>IFERROR(IF(OR(HLOOKUP($A798,#REF!,10,FALSE)&gt;2,HLOOKUP($A798,#REF!,10,FALSE)&lt;-2),"",#REF!),"")</f>
        <v/>
      </c>
      <c r="M798" t="str">
        <f>IFERROR(IF(OR(HLOOKUP($A798,#REF!,11,FALSE)&gt;2,HLOOKUP($A798,#REF!,11,FALSE)&lt;-2),"",#REF!),"")</f>
        <v/>
      </c>
      <c r="N798" t="str">
        <f>IFERROR(IF(OR(HLOOKUP($A798,#REF!,12,FALSE)&gt;2,HLOOKUP($A798,#REF!,12,FALSE)&lt;-2),"",#REF!),"")</f>
        <v/>
      </c>
      <c r="O798" t="str">
        <f>IFERROR(IF(OR(HLOOKUP($A798,#REF!,13,FALSE)&gt;2,HLOOKUP($A798,#REF!,13,FALSE)&lt;-2),"",#REF!),"")</f>
        <v/>
      </c>
      <c r="P798" t="str">
        <f>IFERROR(IF(OR(HLOOKUP($A798,#REF!,14,FALSE)&gt;2,HLOOKUP($A798,#REF!,14,FALSE)&lt;-2),"",#REF!),"")</f>
        <v/>
      </c>
      <c r="Q798" t="str">
        <f>IFERROR(IF(OR(HLOOKUP($A798,#REF!,15,FALSE)&gt;2,HLOOKUP($A798,#REF!,15,FALSE)&lt;-2),"",#REF!),"")</f>
        <v/>
      </c>
      <c r="R798" t="str">
        <f>IFERROR(IF(OR(HLOOKUP($A798,#REF!,16,FALSE)&gt;2,HLOOKUP($A798,#REF!,16,FALSE)&lt;-2),"",#REF!),"")</f>
        <v/>
      </c>
      <c r="S798" t="str">
        <f>IFERROR(IF(OR(HLOOKUP($A798,#REF!,17,FALSE)&gt;2,HLOOKUP($A798,#REF!,17,FALSE)&lt;-2),"",#REF!),"")</f>
        <v/>
      </c>
      <c r="T798" t="str">
        <f>IFERROR(IF(OR(HLOOKUP($A798,#REF!,18,FALSE)&gt;2,HLOOKUP($A798,#REF!,18,FALSE)&lt;-2),"",#REF!),"")</f>
        <v/>
      </c>
      <c r="U798" t="str">
        <f>IFERROR(IF(OR(HLOOKUP($A798,#REF!,19,FALSE)&gt;2,HLOOKUP($A798,#REF!,19,FALSE)&lt;-2),"",#REF!),"")</f>
        <v/>
      </c>
      <c r="V798">
        <f t="shared" si="48"/>
        <v>1</v>
      </c>
      <c r="W798" t="str">
        <f t="shared" si="49"/>
        <v/>
      </c>
      <c r="X798" t="str">
        <f t="shared" si="50"/>
        <v/>
      </c>
      <c r="Y798" t="str">
        <f t="shared" si="51"/>
        <v/>
      </c>
    </row>
    <row r="799" spans="1:25" x14ac:dyDescent="0.35">
      <c r="A799">
        <v>807</v>
      </c>
      <c r="B799" t="s">
        <v>1009</v>
      </c>
      <c r="C799">
        <v>40700</v>
      </c>
      <c r="D799">
        <v>799</v>
      </c>
      <c r="E799" t="str">
        <f>IFERROR(IF(OR(HLOOKUP($A799,#REF!,3,FALSE)&gt;2,HLOOKUP(A799,#REF!,3,FALSE)&lt;-2),"",#REF!),"")</f>
        <v/>
      </c>
      <c r="F799" t="str">
        <f>IFERROR(IF(OR(HLOOKUP($A799,#REF!,4,FALSE)&gt;2,HLOOKUP($A799,#REF!,4,FALSE)&lt;-2),"",#REF!),"")</f>
        <v/>
      </c>
      <c r="G799" t="str">
        <f>IFERROR(IF(OR(HLOOKUP($A799,#REF!,5,FALSE)&gt;2,HLOOKUP($A799,#REF!,5,FALSE)&lt;-2),"",#REF!),"")</f>
        <v/>
      </c>
      <c r="H799" t="str">
        <f>IFERROR(IF(OR(HLOOKUP($A799,#REF!,6,FALSE)&gt;2,HLOOKUP($A799,#REF!,6,FALSE)&lt;-2),"",#REF!),"")</f>
        <v/>
      </c>
      <c r="I799" t="str">
        <f>IFERROR(IF(OR(HLOOKUP($A799,#REF!,7,FALSE)&gt;2,HLOOKUP($A799,#REF!,7,FALSE)&lt;-2),"",#REF!),"")</f>
        <v/>
      </c>
      <c r="J799" t="str">
        <f>IFERROR(IF(OR(HLOOKUP($A799,#REF!,8,FALSE)&gt;2,HLOOKUP($A799,#REF!,8,FALSE)&lt;-2),"",#REF!),"")</f>
        <v/>
      </c>
      <c r="K799" t="str">
        <f>IFERROR(IF(OR(HLOOKUP($A799,#REF!,9,FALSE)&gt;2,HLOOKUP($A799,#REF!,9,FALSE)&lt;-2),"",#REF!),"")</f>
        <v/>
      </c>
      <c r="L799" t="str">
        <f>IFERROR(IF(OR(HLOOKUP($A799,#REF!,10,FALSE)&gt;2,HLOOKUP($A799,#REF!,10,FALSE)&lt;-2),"",#REF!),"")</f>
        <v/>
      </c>
      <c r="M799" t="str">
        <f>IFERROR(IF(OR(HLOOKUP($A799,#REF!,11,FALSE)&gt;2,HLOOKUP($A799,#REF!,11,FALSE)&lt;-2),"",#REF!),"")</f>
        <v/>
      </c>
      <c r="N799" t="str">
        <f>IFERROR(IF(OR(HLOOKUP($A799,#REF!,12,FALSE)&gt;2,HLOOKUP($A799,#REF!,12,FALSE)&lt;-2),"",#REF!),"")</f>
        <v/>
      </c>
      <c r="O799" t="str">
        <f>IFERROR(IF(OR(HLOOKUP($A799,#REF!,13,FALSE)&gt;2,HLOOKUP($A799,#REF!,13,FALSE)&lt;-2),"",#REF!),"")</f>
        <v/>
      </c>
      <c r="P799" t="str">
        <f>IFERROR(IF(OR(HLOOKUP($A799,#REF!,14,FALSE)&gt;2,HLOOKUP($A799,#REF!,14,FALSE)&lt;-2),"",#REF!),"")</f>
        <v/>
      </c>
      <c r="Q799" t="str">
        <f>IFERROR(IF(OR(HLOOKUP($A799,#REF!,15,FALSE)&gt;2,HLOOKUP($A799,#REF!,15,FALSE)&lt;-2),"",#REF!),"")</f>
        <v/>
      </c>
      <c r="R799" t="str">
        <f>IFERROR(IF(OR(HLOOKUP($A799,#REF!,16,FALSE)&gt;2,HLOOKUP($A799,#REF!,16,FALSE)&lt;-2),"",#REF!),"")</f>
        <v/>
      </c>
      <c r="S799" t="str">
        <f>IFERROR(IF(OR(HLOOKUP($A799,#REF!,17,FALSE)&gt;2,HLOOKUP($A799,#REF!,17,FALSE)&lt;-2),"",#REF!),"")</f>
        <v/>
      </c>
      <c r="T799" t="str">
        <f>IFERROR(IF(OR(HLOOKUP($A799,#REF!,18,FALSE)&gt;2,HLOOKUP($A799,#REF!,18,FALSE)&lt;-2),"",#REF!),"")</f>
        <v/>
      </c>
      <c r="U799" t="str">
        <f>IFERROR(IF(OR(HLOOKUP($A799,#REF!,19,FALSE)&gt;2,HLOOKUP($A799,#REF!,19,FALSE)&lt;-2),"",#REF!),"")</f>
        <v/>
      </c>
      <c r="V799">
        <f t="shared" si="48"/>
        <v>1</v>
      </c>
      <c r="W799" t="str">
        <f t="shared" si="49"/>
        <v/>
      </c>
      <c r="X799" t="str">
        <f t="shared" si="50"/>
        <v/>
      </c>
      <c r="Y799" t="str">
        <f t="shared" si="51"/>
        <v/>
      </c>
    </row>
    <row r="800" spans="1:25" x14ac:dyDescent="0.35">
      <c r="A800">
        <v>808</v>
      </c>
      <c r="B800" t="s">
        <v>1010</v>
      </c>
      <c r="C800">
        <v>101400</v>
      </c>
      <c r="D800">
        <v>967</v>
      </c>
      <c r="E800" t="str">
        <f>IFERROR(IF(OR(HLOOKUP($A800,#REF!,3,FALSE)&gt;2,HLOOKUP(A800,#REF!,3,FALSE)&lt;-2),"",#REF!),"")</f>
        <v/>
      </c>
      <c r="F800" t="str">
        <f>IFERROR(IF(OR(HLOOKUP($A800,#REF!,4,FALSE)&gt;2,HLOOKUP($A800,#REF!,4,FALSE)&lt;-2),"",#REF!),"")</f>
        <v/>
      </c>
      <c r="G800" t="str">
        <f>IFERROR(IF(OR(HLOOKUP($A800,#REF!,5,FALSE)&gt;2,HLOOKUP($A800,#REF!,5,FALSE)&lt;-2),"",#REF!),"")</f>
        <v/>
      </c>
      <c r="H800" t="str">
        <f>IFERROR(IF(OR(HLOOKUP($A800,#REF!,6,FALSE)&gt;2,HLOOKUP($A800,#REF!,6,FALSE)&lt;-2),"",#REF!),"")</f>
        <v/>
      </c>
      <c r="I800" t="str">
        <f>IFERROR(IF(OR(HLOOKUP($A800,#REF!,7,FALSE)&gt;2,HLOOKUP($A800,#REF!,7,FALSE)&lt;-2),"",#REF!),"")</f>
        <v/>
      </c>
      <c r="J800" t="str">
        <f>IFERROR(IF(OR(HLOOKUP($A800,#REF!,8,FALSE)&gt;2,HLOOKUP($A800,#REF!,8,FALSE)&lt;-2),"",#REF!),"")</f>
        <v/>
      </c>
      <c r="K800" t="str">
        <f>IFERROR(IF(OR(HLOOKUP($A800,#REF!,9,FALSE)&gt;2,HLOOKUP($A800,#REF!,9,FALSE)&lt;-2),"",#REF!),"")</f>
        <v/>
      </c>
      <c r="L800" t="str">
        <f>IFERROR(IF(OR(HLOOKUP($A800,#REF!,10,FALSE)&gt;2,HLOOKUP($A800,#REF!,10,FALSE)&lt;-2),"",#REF!),"")</f>
        <v/>
      </c>
      <c r="M800" t="str">
        <f>IFERROR(IF(OR(HLOOKUP($A800,#REF!,11,FALSE)&gt;2,HLOOKUP($A800,#REF!,11,FALSE)&lt;-2),"",#REF!),"")</f>
        <v/>
      </c>
      <c r="N800" t="str">
        <f>IFERROR(IF(OR(HLOOKUP($A800,#REF!,12,FALSE)&gt;2,HLOOKUP($A800,#REF!,12,FALSE)&lt;-2),"",#REF!),"")</f>
        <v/>
      </c>
      <c r="O800" t="str">
        <f>IFERROR(IF(OR(HLOOKUP($A800,#REF!,13,FALSE)&gt;2,HLOOKUP($A800,#REF!,13,FALSE)&lt;-2),"",#REF!),"")</f>
        <v/>
      </c>
      <c r="P800" t="str">
        <f>IFERROR(IF(OR(HLOOKUP($A800,#REF!,14,FALSE)&gt;2,HLOOKUP($A800,#REF!,14,FALSE)&lt;-2),"",#REF!),"")</f>
        <v/>
      </c>
      <c r="Q800" t="str">
        <f>IFERROR(IF(OR(HLOOKUP($A800,#REF!,15,FALSE)&gt;2,HLOOKUP($A800,#REF!,15,FALSE)&lt;-2),"",#REF!),"")</f>
        <v/>
      </c>
      <c r="R800" t="str">
        <f>IFERROR(IF(OR(HLOOKUP($A800,#REF!,16,FALSE)&gt;2,HLOOKUP($A800,#REF!,16,FALSE)&lt;-2),"",#REF!),"")</f>
        <v/>
      </c>
      <c r="S800" t="str">
        <f>IFERROR(IF(OR(HLOOKUP($A800,#REF!,17,FALSE)&gt;2,HLOOKUP($A800,#REF!,17,FALSE)&lt;-2),"",#REF!),"")</f>
        <v/>
      </c>
      <c r="T800" t="str">
        <f>IFERROR(IF(OR(HLOOKUP($A800,#REF!,18,FALSE)&gt;2,HLOOKUP($A800,#REF!,18,FALSE)&lt;-2),"",#REF!),"")</f>
        <v/>
      </c>
      <c r="U800" t="str">
        <f>IFERROR(IF(OR(HLOOKUP($A800,#REF!,19,FALSE)&gt;2,HLOOKUP($A800,#REF!,19,FALSE)&lt;-2),"",#REF!),"")</f>
        <v/>
      </c>
      <c r="V800">
        <f t="shared" si="48"/>
        <v>1</v>
      </c>
      <c r="W800" t="str">
        <f t="shared" si="49"/>
        <v/>
      </c>
      <c r="X800" t="str">
        <f t="shared" si="50"/>
        <v/>
      </c>
      <c r="Y800" t="str">
        <f t="shared" si="51"/>
        <v/>
      </c>
    </row>
    <row r="801" spans="1:25" x14ac:dyDescent="0.35">
      <c r="A801">
        <v>809</v>
      </c>
      <c r="B801" t="s">
        <v>1011</v>
      </c>
      <c r="C801">
        <v>52800</v>
      </c>
      <c r="D801">
        <v>803</v>
      </c>
      <c r="E801" t="str">
        <f>IFERROR(IF(OR(HLOOKUP($A801,#REF!,3,FALSE)&gt;2,HLOOKUP(A801,#REF!,3,FALSE)&lt;-2),"",#REF!),"")</f>
        <v/>
      </c>
      <c r="F801" t="str">
        <f>IFERROR(IF(OR(HLOOKUP($A801,#REF!,4,FALSE)&gt;2,HLOOKUP($A801,#REF!,4,FALSE)&lt;-2),"",#REF!),"")</f>
        <v/>
      </c>
      <c r="G801" t="str">
        <f>IFERROR(IF(OR(HLOOKUP($A801,#REF!,5,FALSE)&gt;2,HLOOKUP($A801,#REF!,5,FALSE)&lt;-2),"",#REF!),"")</f>
        <v/>
      </c>
      <c r="H801" t="str">
        <f>IFERROR(IF(OR(HLOOKUP($A801,#REF!,6,FALSE)&gt;2,HLOOKUP($A801,#REF!,6,FALSE)&lt;-2),"",#REF!),"")</f>
        <v/>
      </c>
      <c r="I801" t="str">
        <f>IFERROR(IF(OR(HLOOKUP($A801,#REF!,7,FALSE)&gt;2,HLOOKUP($A801,#REF!,7,FALSE)&lt;-2),"",#REF!),"")</f>
        <v/>
      </c>
      <c r="J801" t="str">
        <f>IFERROR(IF(OR(HLOOKUP($A801,#REF!,8,FALSE)&gt;2,HLOOKUP($A801,#REF!,8,FALSE)&lt;-2),"",#REF!),"")</f>
        <v/>
      </c>
      <c r="K801" t="str">
        <f>IFERROR(IF(OR(HLOOKUP($A801,#REF!,9,FALSE)&gt;2,HLOOKUP($A801,#REF!,9,FALSE)&lt;-2),"",#REF!),"")</f>
        <v/>
      </c>
      <c r="L801" t="str">
        <f>IFERROR(IF(OR(HLOOKUP($A801,#REF!,10,FALSE)&gt;2,HLOOKUP($A801,#REF!,10,FALSE)&lt;-2),"",#REF!),"")</f>
        <v/>
      </c>
      <c r="M801" t="str">
        <f>IFERROR(IF(OR(HLOOKUP($A801,#REF!,11,FALSE)&gt;2,HLOOKUP($A801,#REF!,11,FALSE)&lt;-2),"",#REF!),"")</f>
        <v/>
      </c>
      <c r="N801" t="str">
        <f>IFERROR(IF(OR(HLOOKUP($A801,#REF!,12,FALSE)&gt;2,HLOOKUP($A801,#REF!,12,FALSE)&lt;-2),"",#REF!),"")</f>
        <v/>
      </c>
      <c r="O801" t="str">
        <f>IFERROR(IF(OR(HLOOKUP($A801,#REF!,13,FALSE)&gt;2,HLOOKUP($A801,#REF!,13,FALSE)&lt;-2),"",#REF!),"")</f>
        <v/>
      </c>
      <c r="P801" t="str">
        <f>IFERROR(IF(OR(HLOOKUP($A801,#REF!,14,FALSE)&gt;2,HLOOKUP($A801,#REF!,14,FALSE)&lt;-2),"",#REF!),"")</f>
        <v/>
      </c>
      <c r="Q801" t="str">
        <f>IFERROR(IF(OR(HLOOKUP($A801,#REF!,15,FALSE)&gt;2,HLOOKUP($A801,#REF!,15,FALSE)&lt;-2),"",#REF!),"")</f>
        <v/>
      </c>
      <c r="R801" t="str">
        <f>IFERROR(IF(OR(HLOOKUP($A801,#REF!,16,FALSE)&gt;2,HLOOKUP($A801,#REF!,16,FALSE)&lt;-2),"",#REF!),"")</f>
        <v/>
      </c>
      <c r="S801" t="str">
        <f>IFERROR(IF(OR(HLOOKUP($A801,#REF!,17,FALSE)&gt;2,HLOOKUP($A801,#REF!,17,FALSE)&lt;-2),"",#REF!),"")</f>
        <v/>
      </c>
      <c r="T801" t="str">
        <f>IFERROR(IF(OR(HLOOKUP($A801,#REF!,18,FALSE)&gt;2,HLOOKUP($A801,#REF!,18,FALSE)&lt;-2),"",#REF!),"")</f>
        <v/>
      </c>
      <c r="U801" t="str">
        <f>IFERROR(IF(OR(HLOOKUP($A801,#REF!,19,FALSE)&gt;2,HLOOKUP($A801,#REF!,19,FALSE)&lt;-2),"",#REF!),"")</f>
        <v/>
      </c>
      <c r="V801">
        <f t="shared" si="48"/>
        <v>1</v>
      </c>
      <c r="W801" t="str">
        <f t="shared" si="49"/>
        <v/>
      </c>
      <c r="X801" t="str">
        <f t="shared" si="50"/>
        <v/>
      </c>
      <c r="Y801" t="str">
        <f t="shared" si="51"/>
        <v/>
      </c>
    </row>
    <row r="802" spans="1:25" x14ac:dyDescent="0.35">
      <c r="A802">
        <v>810</v>
      </c>
      <c r="B802" t="s">
        <v>393</v>
      </c>
      <c r="C802">
        <v>19900</v>
      </c>
      <c r="D802">
        <v>48</v>
      </c>
      <c r="E802" t="str">
        <f>IFERROR(IF(OR(HLOOKUP($A802,#REF!,3,FALSE)&gt;2,HLOOKUP(A802,#REF!,3,FALSE)&lt;-2),"",#REF!),"")</f>
        <v/>
      </c>
      <c r="F802" t="str">
        <f>IFERROR(IF(OR(HLOOKUP($A802,#REF!,4,FALSE)&gt;2,HLOOKUP($A802,#REF!,4,FALSE)&lt;-2),"",#REF!),"")</f>
        <v/>
      </c>
      <c r="G802" t="str">
        <f>IFERROR(IF(OR(HLOOKUP($A802,#REF!,5,FALSE)&gt;2,HLOOKUP($A802,#REF!,5,FALSE)&lt;-2),"",#REF!),"")</f>
        <v/>
      </c>
      <c r="H802" t="str">
        <f>IFERROR(IF(OR(HLOOKUP($A802,#REF!,6,FALSE)&gt;2,HLOOKUP($A802,#REF!,6,FALSE)&lt;-2),"",#REF!),"")</f>
        <v/>
      </c>
      <c r="I802" t="str">
        <f>IFERROR(IF(OR(HLOOKUP($A802,#REF!,7,FALSE)&gt;2,HLOOKUP($A802,#REF!,7,FALSE)&lt;-2),"",#REF!),"")</f>
        <v/>
      </c>
      <c r="J802" t="str">
        <f>IFERROR(IF(OR(HLOOKUP($A802,#REF!,8,FALSE)&gt;2,HLOOKUP($A802,#REF!,8,FALSE)&lt;-2),"",#REF!),"")</f>
        <v/>
      </c>
      <c r="K802" t="str">
        <f>IFERROR(IF(OR(HLOOKUP($A802,#REF!,9,FALSE)&gt;2,HLOOKUP($A802,#REF!,9,FALSE)&lt;-2),"",#REF!),"")</f>
        <v/>
      </c>
      <c r="L802" t="str">
        <f>IFERROR(IF(OR(HLOOKUP($A802,#REF!,10,FALSE)&gt;2,HLOOKUP($A802,#REF!,10,FALSE)&lt;-2),"",#REF!),"")</f>
        <v/>
      </c>
      <c r="M802" t="str">
        <f>IFERROR(IF(OR(HLOOKUP($A802,#REF!,11,FALSE)&gt;2,HLOOKUP($A802,#REF!,11,FALSE)&lt;-2),"",#REF!),"")</f>
        <v/>
      </c>
      <c r="N802" t="str">
        <f>IFERROR(IF(OR(HLOOKUP($A802,#REF!,12,FALSE)&gt;2,HLOOKUP($A802,#REF!,12,FALSE)&lt;-2),"",#REF!),"")</f>
        <v/>
      </c>
      <c r="O802" t="str">
        <f>IFERROR(IF(OR(HLOOKUP($A802,#REF!,13,FALSE)&gt;2,HLOOKUP($A802,#REF!,13,FALSE)&lt;-2),"",#REF!),"")</f>
        <v/>
      </c>
      <c r="P802" t="str">
        <f>IFERROR(IF(OR(HLOOKUP($A802,#REF!,14,FALSE)&gt;2,HLOOKUP($A802,#REF!,14,FALSE)&lt;-2),"",#REF!),"")</f>
        <v/>
      </c>
      <c r="Q802" t="str">
        <f>IFERROR(IF(OR(HLOOKUP($A802,#REF!,15,FALSE)&gt;2,HLOOKUP($A802,#REF!,15,FALSE)&lt;-2),"",#REF!),"")</f>
        <v/>
      </c>
      <c r="R802" t="str">
        <f>IFERROR(IF(OR(HLOOKUP($A802,#REF!,16,FALSE)&gt;2,HLOOKUP($A802,#REF!,16,FALSE)&lt;-2),"",#REF!),"")</f>
        <v/>
      </c>
      <c r="S802" t="str">
        <f>IFERROR(IF(OR(HLOOKUP($A802,#REF!,17,FALSE)&gt;2,HLOOKUP($A802,#REF!,17,FALSE)&lt;-2),"",#REF!),"")</f>
        <v/>
      </c>
      <c r="T802" t="str">
        <f>IFERROR(IF(OR(HLOOKUP($A802,#REF!,18,FALSE)&gt;2,HLOOKUP($A802,#REF!,18,FALSE)&lt;-2),"",#REF!),"")</f>
        <v/>
      </c>
      <c r="U802" t="str">
        <f>IFERROR(IF(OR(HLOOKUP($A802,#REF!,19,FALSE)&gt;2,HLOOKUP($A802,#REF!,19,FALSE)&lt;-2),"",#REF!),"")</f>
        <v/>
      </c>
      <c r="V802">
        <f t="shared" si="48"/>
        <v>1</v>
      </c>
      <c r="W802" t="str">
        <f t="shared" si="49"/>
        <v/>
      </c>
      <c r="X802" t="str">
        <f t="shared" si="50"/>
        <v/>
      </c>
      <c r="Y802" t="str">
        <f t="shared" si="51"/>
        <v/>
      </c>
    </row>
    <row r="803" spans="1:25" x14ac:dyDescent="0.35">
      <c r="A803">
        <v>811</v>
      </c>
      <c r="B803" t="s">
        <v>1012</v>
      </c>
      <c r="C803">
        <v>79200</v>
      </c>
      <c r="D803">
        <v>4</v>
      </c>
      <c r="E803" t="str">
        <f>IFERROR(IF(OR(HLOOKUP($A803,#REF!,3,FALSE)&gt;2,HLOOKUP(A803,#REF!,3,FALSE)&lt;-2),"",#REF!),"")</f>
        <v/>
      </c>
      <c r="F803" t="str">
        <f>IFERROR(IF(OR(HLOOKUP($A803,#REF!,4,FALSE)&gt;2,HLOOKUP($A803,#REF!,4,FALSE)&lt;-2),"",#REF!),"")</f>
        <v/>
      </c>
      <c r="G803" t="str">
        <f>IFERROR(IF(OR(HLOOKUP($A803,#REF!,5,FALSE)&gt;2,HLOOKUP($A803,#REF!,5,FALSE)&lt;-2),"",#REF!),"")</f>
        <v/>
      </c>
      <c r="H803" t="str">
        <f>IFERROR(IF(OR(HLOOKUP($A803,#REF!,6,FALSE)&gt;2,HLOOKUP($A803,#REF!,6,FALSE)&lt;-2),"",#REF!),"")</f>
        <v/>
      </c>
      <c r="I803" t="str">
        <f>IFERROR(IF(OR(HLOOKUP($A803,#REF!,7,FALSE)&gt;2,HLOOKUP($A803,#REF!,7,FALSE)&lt;-2),"",#REF!),"")</f>
        <v/>
      </c>
      <c r="J803" t="str">
        <f>IFERROR(IF(OR(HLOOKUP($A803,#REF!,8,FALSE)&gt;2,HLOOKUP($A803,#REF!,8,FALSE)&lt;-2),"",#REF!),"")</f>
        <v/>
      </c>
      <c r="K803" t="str">
        <f>IFERROR(IF(OR(HLOOKUP($A803,#REF!,9,FALSE)&gt;2,HLOOKUP($A803,#REF!,9,FALSE)&lt;-2),"",#REF!),"")</f>
        <v/>
      </c>
      <c r="L803" t="str">
        <f>IFERROR(IF(OR(HLOOKUP($A803,#REF!,10,FALSE)&gt;2,HLOOKUP($A803,#REF!,10,FALSE)&lt;-2),"",#REF!),"")</f>
        <v/>
      </c>
      <c r="M803" t="str">
        <f>IFERROR(IF(OR(HLOOKUP($A803,#REF!,11,FALSE)&gt;2,HLOOKUP($A803,#REF!,11,FALSE)&lt;-2),"",#REF!),"")</f>
        <v/>
      </c>
      <c r="N803" t="str">
        <f>IFERROR(IF(OR(HLOOKUP($A803,#REF!,12,FALSE)&gt;2,HLOOKUP($A803,#REF!,12,FALSE)&lt;-2),"",#REF!),"")</f>
        <v/>
      </c>
      <c r="O803" t="str">
        <f>IFERROR(IF(OR(HLOOKUP($A803,#REF!,13,FALSE)&gt;2,HLOOKUP($A803,#REF!,13,FALSE)&lt;-2),"",#REF!),"")</f>
        <v/>
      </c>
      <c r="P803" t="str">
        <f>IFERROR(IF(OR(HLOOKUP($A803,#REF!,14,FALSE)&gt;2,HLOOKUP($A803,#REF!,14,FALSE)&lt;-2),"",#REF!),"")</f>
        <v/>
      </c>
      <c r="Q803" t="str">
        <f>IFERROR(IF(OR(HLOOKUP($A803,#REF!,15,FALSE)&gt;2,HLOOKUP($A803,#REF!,15,FALSE)&lt;-2),"",#REF!),"")</f>
        <v/>
      </c>
      <c r="R803" t="str">
        <f>IFERROR(IF(OR(HLOOKUP($A803,#REF!,16,FALSE)&gt;2,HLOOKUP($A803,#REF!,16,FALSE)&lt;-2),"",#REF!),"")</f>
        <v/>
      </c>
      <c r="S803" t="str">
        <f>IFERROR(IF(OR(HLOOKUP($A803,#REF!,17,FALSE)&gt;2,HLOOKUP($A803,#REF!,17,FALSE)&lt;-2),"",#REF!),"")</f>
        <v/>
      </c>
      <c r="T803" t="str">
        <f>IFERROR(IF(OR(HLOOKUP($A803,#REF!,18,FALSE)&gt;2,HLOOKUP($A803,#REF!,18,FALSE)&lt;-2),"",#REF!),"")</f>
        <v/>
      </c>
      <c r="U803" t="str">
        <f>IFERROR(IF(OR(HLOOKUP($A803,#REF!,19,FALSE)&gt;2,HLOOKUP($A803,#REF!,19,FALSE)&lt;-2),"",#REF!),"")</f>
        <v/>
      </c>
      <c r="V803">
        <f t="shared" si="48"/>
        <v>1</v>
      </c>
      <c r="W803" t="str">
        <f t="shared" si="49"/>
        <v/>
      </c>
      <c r="X803" t="str">
        <f t="shared" si="50"/>
        <v/>
      </c>
      <c r="Y803" t="str">
        <f t="shared" si="51"/>
        <v/>
      </c>
    </row>
    <row r="804" spans="1:25" x14ac:dyDescent="0.35">
      <c r="A804">
        <v>812</v>
      </c>
      <c r="B804" t="s">
        <v>1013</v>
      </c>
      <c r="C804">
        <v>104600</v>
      </c>
      <c r="D804">
        <v>326</v>
      </c>
      <c r="E804" t="str">
        <f>IFERROR(IF(OR(HLOOKUP($A804,#REF!,3,FALSE)&gt;2,HLOOKUP(A804,#REF!,3,FALSE)&lt;-2),"",#REF!),"")</f>
        <v/>
      </c>
      <c r="F804" t="str">
        <f>IFERROR(IF(OR(HLOOKUP($A804,#REF!,4,FALSE)&gt;2,HLOOKUP($A804,#REF!,4,FALSE)&lt;-2),"",#REF!),"")</f>
        <v/>
      </c>
      <c r="G804" t="str">
        <f>IFERROR(IF(OR(HLOOKUP($A804,#REF!,5,FALSE)&gt;2,HLOOKUP($A804,#REF!,5,FALSE)&lt;-2),"",#REF!),"")</f>
        <v/>
      </c>
      <c r="H804" t="str">
        <f>IFERROR(IF(OR(HLOOKUP($A804,#REF!,6,FALSE)&gt;2,HLOOKUP($A804,#REF!,6,FALSE)&lt;-2),"",#REF!),"")</f>
        <v/>
      </c>
      <c r="I804" t="str">
        <f>IFERROR(IF(OR(HLOOKUP($A804,#REF!,7,FALSE)&gt;2,HLOOKUP($A804,#REF!,7,FALSE)&lt;-2),"",#REF!),"")</f>
        <v/>
      </c>
      <c r="J804" t="str">
        <f>IFERROR(IF(OR(HLOOKUP($A804,#REF!,8,FALSE)&gt;2,HLOOKUP($A804,#REF!,8,FALSE)&lt;-2),"",#REF!),"")</f>
        <v/>
      </c>
      <c r="K804" t="str">
        <f>IFERROR(IF(OR(HLOOKUP($A804,#REF!,9,FALSE)&gt;2,HLOOKUP($A804,#REF!,9,FALSE)&lt;-2),"",#REF!),"")</f>
        <v/>
      </c>
      <c r="L804" t="str">
        <f>IFERROR(IF(OR(HLOOKUP($A804,#REF!,10,FALSE)&gt;2,HLOOKUP($A804,#REF!,10,FALSE)&lt;-2),"",#REF!),"")</f>
        <v/>
      </c>
      <c r="M804" t="str">
        <f>IFERROR(IF(OR(HLOOKUP($A804,#REF!,11,FALSE)&gt;2,HLOOKUP($A804,#REF!,11,FALSE)&lt;-2),"",#REF!),"")</f>
        <v/>
      </c>
      <c r="N804" t="str">
        <f>IFERROR(IF(OR(HLOOKUP($A804,#REF!,12,FALSE)&gt;2,HLOOKUP($A804,#REF!,12,FALSE)&lt;-2),"",#REF!),"")</f>
        <v/>
      </c>
      <c r="O804" t="str">
        <f>IFERROR(IF(OR(HLOOKUP($A804,#REF!,13,FALSE)&gt;2,HLOOKUP($A804,#REF!,13,FALSE)&lt;-2),"",#REF!),"")</f>
        <v/>
      </c>
      <c r="P804" t="str">
        <f>IFERROR(IF(OR(HLOOKUP($A804,#REF!,14,FALSE)&gt;2,HLOOKUP($A804,#REF!,14,FALSE)&lt;-2),"",#REF!),"")</f>
        <v/>
      </c>
      <c r="Q804" t="str">
        <f>IFERROR(IF(OR(HLOOKUP($A804,#REF!,15,FALSE)&gt;2,HLOOKUP($A804,#REF!,15,FALSE)&lt;-2),"",#REF!),"")</f>
        <v/>
      </c>
      <c r="R804" t="str">
        <f>IFERROR(IF(OR(HLOOKUP($A804,#REF!,16,FALSE)&gt;2,HLOOKUP($A804,#REF!,16,FALSE)&lt;-2),"",#REF!),"")</f>
        <v/>
      </c>
      <c r="S804" t="str">
        <f>IFERROR(IF(OR(HLOOKUP($A804,#REF!,17,FALSE)&gt;2,HLOOKUP($A804,#REF!,17,FALSE)&lt;-2),"",#REF!),"")</f>
        <v/>
      </c>
      <c r="T804" t="str">
        <f>IFERROR(IF(OR(HLOOKUP($A804,#REF!,18,FALSE)&gt;2,HLOOKUP($A804,#REF!,18,FALSE)&lt;-2),"",#REF!),"")</f>
        <v/>
      </c>
      <c r="U804" t="str">
        <f>IFERROR(IF(OR(HLOOKUP($A804,#REF!,19,FALSE)&gt;2,HLOOKUP($A804,#REF!,19,FALSE)&lt;-2),"",#REF!),"")</f>
        <v/>
      </c>
      <c r="V804">
        <f t="shared" si="48"/>
        <v>1</v>
      </c>
      <c r="W804" t="str">
        <f t="shared" si="49"/>
        <v/>
      </c>
      <c r="X804" t="str">
        <f t="shared" si="50"/>
        <v/>
      </c>
      <c r="Y804" t="str">
        <f t="shared" si="51"/>
        <v/>
      </c>
    </row>
    <row r="805" spans="1:25" x14ac:dyDescent="0.35">
      <c r="A805">
        <v>813</v>
      </c>
      <c r="B805" t="s">
        <v>1014</v>
      </c>
      <c r="C805">
        <v>101800</v>
      </c>
      <c r="D805">
        <v>967</v>
      </c>
      <c r="E805" t="str">
        <f>IFERROR(IF(OR(HLOOKUP($A805,#REF!,3,FALSE)&gt;2,HLOOKUP(A805,#REF!,3,FALSE)&lt;-2),"",#REF!),"")</f>
        <v/>
      </c>
      <c r="F805" t="str">
        <f>IFERROR(IF(OR(HLOOKUP($A805,#REF!,4,FALSE)&gt;2,HLOOKUP($A805,#REF!,4,FALSE)&lt;-2),"",#REF!),"")</f>
        <v/>
      </c>
      <c r="G805" t="str">
        <f>IFERROR(IF(OR(HLOOKUP($A805,#REF!,5,FALSE)&gt;2,HLOOKUP($A805,#REF!,5,FALSE)&lt;-2),"",#REF!),"")</f>
        <v/>
      </c>
      <c r="H805" t="str">
        <f>IFERROR(IF(OR(HLOOKUP($A805,#REF!,6,FALSE)&gt;2,HLOOKUP($A805,#REF!,6,FALSE)&lt;-2),"",#REF!),"")</f>
        <v/>
      </c>
      <c r="I805" t="str">
        <f>IFERROR(IF(OR(HLOOKUP($A805,#REF!,7,FALSE)&gt;2,HLOOKUP($A805,#REF!,7,FALSE)&lt;-2),"",#REF!),"")</f>
        <v/>
      </c>
      <c r="J805" t="str">
        <f>IFERROR(IF(OR(HLOOKUP($A805,#REF!,8,FALSE)&gt;2,HLOOKUP($A805,#REF!,8,FALSE)&lt;-2),"",#REF!),"")</f>
        <v/>
      </c>
      <c r="K805" t="str">
        <f>IFERROR(IF(OR(HLOOKUP($A805,#REF!,9,FALSE)&gt;2,HLOOKUP($A805,#REF!,9,FALSE)&lt;-2),"",#REF!),"")</f>
        <v/>
      </c>
      <c r="L805" t="str">
        <f>IFERROR(IF(OR(HLOOKUP($A805,#REF!,10,FALSE)&gt;2,HLOOKUP($A805,#REF!,10,FALSE)&lt;-2),"",#REF!),"")</f>
        <v/>
      </c>
      <c r="M805" t="str">
        <f>IFERROR(IF(OR(HLOOKUP($A805,#REF!,11,FALSE)&gt;2,HLOOKUP($A805,#REF!,11,FALSE)&lt;-2),"",#REF!),"")</f>
        <v/>
      </c>
      <c r="N805" t="str">
        <f>IFERROR(IF(OR(HLOOKUP($A805,#REF!,12,FALSE)&gt;2,HLOOKUP($A805,#REF!,12,FALSE)&lt;-2),"",#REF!),"")</f>
        <v/>
      </c>
      <c r="O805" t="str">
        <f>IFERROR(IF(OR(HLOOKUP($A805,#REF!,13,FALSE)&gt;2,HLOOKUP($A805,#REF!,13,FALSE)&lt;-2),"",#REF!),"")</f>
        <v/>
      </c>
      <c r="P805" t="str">
        <f>IFERROR(IF(OR(HLOOKUP($A805,#REF!,14,FALSE)&gt;2,HLOOKUP($A805,#REF!,14,FALSE)&lt;-2),"",#REF!),"")</f>
        <v/>
      </c>
      <c r="Q805" t="str">
        <f>IFERROR(IF(OR(HLOOKUP($A805,#REF!,15,FALSE)&gt;2,HLOOKUP($A805,#REF!,15,FALSE)&lt;-2),"",#REF!),"")</f>
        <v/>
      </c>
      <c r="R805" t="str">
        <f>IFERROR(IF(OR(HLOOKUP($A805,#REF!,16,FALSE)&gt;2,HLOOKUP($A805,#REF!,16,FALSE)&lt;-2),"",#REF!),"")</f>
        <v/>
      </c>
      <c r="S805" t="str">
        <f>IFERROR(IF(OR(HLOOKUP($A805,#REF!,17,FALSE)&gt;2,HLOOKUP($A805,#REF!,17,FALSE)&lt;-2),"",#REF!),"")</f>
        <v/>
      </c>
      <c r="T805" t="str">
        <f>IFERROR(IF(OR(HLOOKUP($A805,#REF!,18,FALSE)&gt;2,HLOOKUP($A805,#REF!,18,FALSE)&lt;-2),"",#REF!),"")</f>
        <v/>
      </c>
      <c r="U805" t="str">
        <f>IFERROR(IF(OR(HLOOKUP($A805,#REF!,19,FALSE)&gt;2,HLOOKUP($A805,#REF!,19,FALSE)&lt;-2),"",#REF!),"")</f>
        <v/>
      </c>
      <c r="V805">
        <f t="shared" si="48"/>
        <v>1</v>
      </c>
      <c r="W805" t="str">
        <f t="shared" si="49"/>
        <v/>
      </c>
      <c r="X805" t="str">
        <f t="shared" si="50"/>
        <v/>
      </c>
      <c r="Y805" t="str">
        <f t="shared" si="51"/>
        <v/>
      </c>
    </row>
    <row r="806" spans="1:25" x14ac:dyDescent="0.35">
      <c r="A806">
        <v>814</v>
      </c>
      <c r="B806" t="s">
        <v>394</v>
      </c>
      <c r="C806">
        <v>33000</v>
      </c>
      <c r="D806">
        <v>698</v>
      </c>
      <c r="E806" t="str">
        <f>IFERROR(IF(OR(HLOOKUP($A806,#REF!,3,FALSE)&gt;2,HLOOKUP(A806,#REF!,3,FALSE)&lt;-2),"",#REF!),"")</f>
        <v/>
      </c>
      <c r="F806" t="str">
        <f>IFERROR(IF(OR(HLOOKUP($A806,#REF!,4,FALSE)&gt;2,HLOOKUP($A806,#REF!,4,FALSE)&lt;-2),"",#REF!),"")</f>
        <v/>
      </c>
      <c r="G806" t="str">
        <f>IFERROR(IF(OR(HLOOKUP($A806,#REF!,5,FALSE)&gt;2,HLOOKUP($A806,#REF!,5,FALSE)&lt;-2),"",#REF!),"")</f>
        <v/>
      </c>
      <c r="H806" t="str">
        <f>IFERROR(IF(OR(HLOOKUP($A806,#REF!,6,FALSE)&gt;2,HLOOKUP($A806,#REF!,6,FALSE)&lt;-2),"",#REF!),"")</f>
        <v/>
      </c>
      <c r="I806" t="str">
        <f>IFERROR(IF(OR(HLOOKUP($A806,#REF!,7,FALSE)&gt;2,HLOOKUP($A806,#REF!,7,FALSE)&lt;-2),"",#REF!),"")</f>
        <v/>
      </c>
      <c r="J806" t="str">
        <f>IFERROR(IF(OR(HLOOKUP($A806,#REF!,8,FALSE)&gt;2,HLOOKUP($A806,#REF!,8,FALSE)&lt;-2),"",#REF!),"")</f>
        <v/>
      </c>
      <c r="K806" t="str">
        <f>IFERROR(IF(OR(HLOOKUP($A806,#REF!,9,FALSE)&gt;2,HLOOKUP($A806,#REF!,9,FALSE)&lt;-2),"",#REF!),"")</f>
        <v/>
      </c>
      <c r="L806" t="str">
        <f>IFERROR(IF(OR(HLOOKUP($A806,#REF!,10,FALSE)&gt;2,HLOOKUP($A806,#REF!,10,FALSE)&lt;-2),"",#REF!),"")</f>
        <v/>
      </c>
      <c r="M806" t="str">
        <f>IFERROR(IF(OR(HLOOKUP($A806,#REF!,11,FALSE)&gt;2,HLOOKUP($A806,#REF!,11,FALSE)&lt;-2),"",#REF!),"")</f>
        <v/>
      </c>
      <c r="N806" t="str">
        <f>IFERROR(IF(OR(HLOOKUP($A806,#REF!,12,FALSE)&gt;2,HLOOKUP($A806,#REF!,12,FALSE)&lt;-2),"",#REF!),"")</f>
        <v/>
      </c>
      <c r="O806" t="str">
        <f>IFERROR(IF(OR(HLOOKUP($A806,#REF!,13,FALSE)&gt;2,HLOOKUP($A806,#REF!,13,FALSE)&lt;-2),"",#REF!),"")</f>
        <v/>
      </c>
      <c r="P806" t="str">
        <f>IFERROR(IF(OR(HLOOKUP($A806,#REF!,14,FALSE)&gt;2,HLOOKUP($A806,#REF!,14,FALSE)&lt;-2),"",#REF!),"")</f>
        <v/>
      </c>
      <c r="Q806" t="str">
        <f>IFERROR(IF(OR(HLOOKUP($A806,#REF!,15,FALSE)&gt;2,HLOOKUP($A806,#REF!,15,FALSE)&lt;-2),"",#REF!),"")</f>
        <v/>
      </c>
      <c r="R806" t="str">
        <f>IFERROR(IF(OR(HLOOKUP($A806,#REF!,16,FALSE)&gt;2,HLOOKUP($A806,#REF!,16,FALSE)&lt;-2),"",#REF!),"")</f>
        <v/>
      </c>
      <c r="S806" t="str">
        <f>IFERROR(IF(OR(HLOOKUP($A806,#REF!,17,FALSE)&gt;2,HLOOKUP($A806,#REF!,17,FALSE)&lt;-2),"",#REF!),"")</f>
        <v/>
      </c>
      <c r="T806" t="str">
        <f>IFERROR(IF(OR(HLOOKUP($A806,#REF!,18,FALSE)&gt;2,HLOOKUP($A806,#REF!,18,FALSE)&lt;-2),"",#REF!),"")</f>
        <v/>
      </c>
      <c r="U806" t="str">
        <f>IFERROR(IF(OR(HLOOKUP($A806,#REF!,19,FALSE)&gt;2,HLOOKUP($A806,#REF!,19,FALSE)&lt;-2),"",#REF!),"")</f>
        <v/>
      </c>
      <c r="V806">
        <f t="shared" si="48"/>
        <v>1</v>
      </c>
      <c r="W806" t="str">
        <f t="shared" si="49"/>
        <v/>
      </c>
      <c r="X806" t="str">
        <f t="shared" si="50"/>
        <v/>
      </c>
      <c r="Y806" t="str">
        <f t="shared" si="51"/>
        <v/>
      </c>
    </row>
    <row r="807" spans="1:25" x14ac:dyDescent="0.35">
      <c r="A807">
        <v>815</v>
      </c>
      <c r="B807" t="s">
        <v>1015</v>
      </c>
      <c r="C807">
        <v>40800</v>
      </c>
      <c r="D807">
        <v>799</v>
      </c>
      <c r="E807" t="str">
        <f>IFERROR(IF(OR(HLOOKUP($A807,#REF!,3,FALSE)&gt;2,HLOOKUP(A807,#REF!,3,FALSE)&lt;-2),"",#REF!),"")</f>
        <v/>
      </c>
      <c r="F807" t="str">
        <f>IFERROR(IF(OR(HLOOKUP($A807,#REF!,4,FALSE)&gt;2,HLOOKUP($A807,#REF!,4,FALSE)&lt;-2),"",#REF!),"")</f>
        <v/>
      </c>
      <c r="G807" t="str">
        <f>IFERROR(IF(OR(HLOOKUP($A807,#REF!,5,FALSE)&gt;2,HLOOKUP($A807,#REF!,5,FALSE)&lt;-2),"",#REF!),"")</f>
        <v/>
      </c>
      <c r="H807" t="str">
        <f>IFERROR(IF(OR(HLOOKUP($A807,#REF!,6,FALSE)&gt;2,HLOOKUP($A807,#REF!,6,FALSE)&lt;-2),"",#REF!),"")</f>
        <v/>
      </c>
      <c r="I807" t="str">
        <f>IFERROR(IF(OR(HLOOKUP($A807,#REF!,7,FALSE)&gt;2,HLOOKUP($A807,#REF!,7,FALSE)&lt;-2),"",#REF!),"")</f>
        <v/>
      </c>
      <c r="J807" t="str">
        <f>IFERROR(IF(OR(HLOOKUP($A807,#REF!,8,FALSE)&gt;2,HLOOKUP($A807,#REF!,8,FALSE)&lt;-2),"",#REF!),"")</f>
        <v/>
      </c>
      <c r="K807" t="str">
        <f>IFERROR(IF(OR(HLOOKUP($A807,#REF!,9,FALSE)&gt;2,HLOOKUP($A807,#REF!,9,FALSE)&lt;-2),"",#REF!),"")</f>
        <v/>
      </c>
      <c r="L807" t="str">
        <f>IFERROR(IF(OR(HLOOKUP($A807,#REF!,10,FALSE)&gt;2,HLOOKUP($A807,#REF!,10,FALSE)&lt;-2),"",#REF!),"")</f>
        <v/>
      </c>
      <c r="M807" t="str">
        <f>IFERROR(IF(OR(HLOOKUP($A807,#REF!,11,FALSE)&gt;2,HLOOKUP($A807,#REF!,11,FALSE)&lt;-2),"",#REF!),"")</f>
        <v/>
      </c>
      <c r="N807" t="str">
        <f>IFERROR(IF(OR(HLOOKUP($A807,#REF!,12,FALSE)&gt;2,HLOOKUP($A807,#REF!,12,FALSE)&lt;-2),"",#REF!),"")</f>
        <v/>
      </c>
      <c r="O807" t="str">
        <f>IFERROR(IF(OR(HLOOKUP($A807,#REF!,13,FALSE)&gt;2,HLOOKUP($A807,#REF!,13,FALSE)&lt;-2),"",#REF!),"")</f>
        <v/>
      </c>
      <c r="P807" t="str">
        <f>IFERROR(IF(OR(HLOOKUP($A807,#REF!,14,FALSE)&gt;2,HLOOKUP($A807,#REF!,14,FALSE)&lt;-2),"",#REF!),"")</f>
        <v/>
      </c>
      <c r="Q807" t="str">
        <f>IFERROR(IF(OR(HLOOKUP($A807,#REF!,15,FALSE)&gt;2,HLOOKUP($A807,#REF!,15,FALSE)&lt;-2),"",#REF!),"")</f>
        <v/>
      </c>
      <c r="R807" t="str">
        <f>IFERROR(IF(OR(HLOOKUP($A807,#REF!,16,FALSE)&gt;2,HLOOKUP($A807,#REF!,16,FALSE)&lt;-2),"",#REF!),"")</f>
        <v/>
      </c>
      <c r="S807" t="str">
        <f>IFERROR(IF(OR(HLOOKUP($A807,#REF!,17,FALSE)&gt;2,HLOOKUP($A807,#REF!,17,FALSE)&lt;-2),"",#REF!),"")</f>
        <v/>
      </c>
      <c r="T807" t="str">
        <f>IFERROR(IF(OR(HLOOKUP($A807,#REF!,18,FALSE)&gt;2,HLOOKUP($A807,#REF!,18,FALSE)&lt;-2),"",#REF!),"")</f>
        <v/>
      </c>
      <c r="U807" t="str">
        <f>IFERROR(IF(OR(HLOOKUP($A807,#REF!,19,FALSE)&gt;2,HLOOKUP($A807,#REF!,19,FALSE)&lt;-2),"",#REF!),"")</f>
        <v/>
      </c>
      <c r="V807">
        <f t="shared" si="48"/>
        <v>1</v>
      </c>
      <c r="W807" t="str">
        <f t="shared" si="49"/>
        <v/>
      </c>
      <c r="X807" t="str">
        <f t="shared" si="50"/>
        <v/>
      </c>
      <c r="Y807" t="str">
        <f t="shared" si="51"/>
        <v/>
      </c>
    </row>
    <row r="808" spans="1:25" x14ac:dyDescent="0.35">
      <c r="A808">
        <v>816</v>
      </c>
      <c r="B808" t="s">
        <v>395</v>
      </c>
      <c r="C808">
        <v>11600</v>
      </c>
      <c r="D808">
        <v>1002</v>
      </c>
      <c r="E808" t="str">
        <f>IFERROR(IF(OR(HLOOKUP($A808,#REF!,3,FALSE)&gt;2,HLOOKUP(A808,#REF!,3,FALSE)&lt;-2),"",#REF!),"")</f>
        <v/>
      </c>
      <c r="F808" t="str">
        <f>IFERROR(IF(OR(HLOOKUP($A808,#REF!,4,FALSE)&gt;2,HLOOKUP($A808,#REF!,4,FALSE)&lt;-2),"",#REF!),"")</f>
        <v/>
      </c>
      <c r="G808" t="str">
        <f>IFERROR(IF(OR(HLOOKUP($A808,#REF!,5,FALSE)&gt;2,HLOOKUP($A808,#REF!,5,FALSE)&lt;-2),"",#REF!),"")</f>
        <v/>
      </c>
      <c r="H808" t="str">
        <f>IFERROR(IF(OR(HLOOKUP($A808,#REF!,6,FALSE)&gt;2,HLOOKUP($A808,#REF!,6,FALSE)&lt;-2),"",#REF!),"")</f>
        <v/>
      </c>
      <c r="I808" t="str">
        <f>IFERROR(IF(OR(HLOOKUP($A808,#REF!,7,FALSE)&gt;2,HLOOKUP($A808,#REF!,7,FALSE)&lt;-2),"",#REF!),"")</f>
        <v/>
      </c>
      <c r="J808" t="str">
        <f>IFERROR(IF(OR(HLOOKUP($A808,#REF!,8,FALSE)&gt;2,HLOOKUP($A808,#REF!,8,FALSE)&lt;-2),"",#REF!),"")</f>
        <v/>
      </c>
      <c r="K808" t="str">
        <f>IFERROR(IF(OR(HLOOKUP($A808,#REF!,9,FALSE)&gt;2,HLOOKUP($A808,#REF!,9,FALSE)&lt;-2),"",#REF!),"")</f>
        <v/>
      </c>
      <c r="L808" t="str">
        <f>IFERROR(IF(OR(HLOOKUP($A808,#REF!,10,FALSE)&gt;2,HLOOKUP($A808,#REF!,10,FALSE)&lt;-2),"",#REF!),"")</f>
        <v/>
      </c>
      <c r="M808" t="str">
        <f>IFERROR(IF(OR(HLOOKUP($A808,#REF!,11,FALSE)&gt;2,HLOOKUP($A808,#REF!,11,FALSE)&lt;-2),"",#REF!),"")</f>
        <v/>
      </c>
      <c r="N808" t="str">
        <f>IFERROR(IF(OR(HLOOKUP($A808,#REF!,12,FALSE)&gt;2,HLOOKUP($A808,#REF!,12,FALSE)&lt;-2),"",#REF!),"")</f>
        <v/>
      </c>
      <c r="O808" t="str">
        <f>IFERROR(IF(OR(HLOOKUP($A808,#REF!,13,FALSE)&gt;2,HLOOKUP($A808,#REF!,13,FALSE)&lt;-2),"",#REF!),"")</f>
        <v/>
      </c>
      <c r="P808" t="str">
        <f>IFERROR(IF(OR(HLOOKUP($A808,#REF!,14,FALSE)&gt;2,HLOOKUP($A808,#REF!,14,FALSE)&lt;-2),"",#REF!),"")</f>
        <v/>
      </c>
      <c r="Q808" t="str">
        <f>IFERROR(IF(OR(HLOOKUP($A808,#REF!,15,FALSE)&gt;2,HLOOKUP($A808,#REF!,15,FALSE)&lt;-2),"",#REF!),"")</f>
        <v/>
      </c>
      <c r="R808" t="str">
        <f>IFERROR(IF(OR(HLOOKUP($A808,#REF!,16,FALSE)&gt;2,HLOOKUP($A808,#REF!,16,FALSE)&lt;-2),"",#REF!),"")</f>
        <v/>
      </c>
      <c r="S808" t="str">
        <f>IFERROR(IF(OR(HLOOKUP($A808,#REF!,17,FALSE)&gt;2,HLOOKUP($A808,#REF!,17,FALSE)&lt;-2),"",#REF!),"")</f>
        <v/>
      </c>
      <c r="T808" t="str">
        <f>IFERROR(IF(OR(HLOOKUP($A808,#REF!,18,FALSE)&gt;2,HLOOKUP($A808,#REF!,18,FALSE)&lt;-2),"",#REF!),"")</f>
        <v/>
      </c>
      <c r="U808" t="str">
        <f>IFERROR(IF(OR(HLOOKUP($A808,#REF!,19,FALSE)&gt;2,HLOOKUP($A808,#REF!,19,FALSE)&lt;-2),"",#REF!),"")</f>
        <v/>
      </c>
      <c r="V808">
        <f t="shared" si="48"/>
        <v>1</v>
      </c>
      <c r="W808" t="str">
        <f t="shared" si="49"/>
        <v/>
      </c>
      <c r="X808" t="str">
        <f t="shared" si="50"/>
        <v/>
      </c>
      <c r="Y808" t="str">
        <f t="shared" si="51"/>
        <v/>
      </c>
    </row>
    <row r="809" spans="1:25" x14ac:dyDescent="0.35">
      <c r="A809">
        <v>817</v>
      </c>
      <c r="B809" t="s">
        <v>1016</v>
      </c>
      <c r="C809">
        <v>113200</v>
      </c>
      <c r="D809">
        <v>349</v>
      </c>
      <c r="E809" t="str">
        <f>IFERROR(IF(OR(HLOOKUP($A809,#REF!,3,FALSE)&gt;2,HLOOKUP(A809,#REF!,3,FALSE)&lt;-2),"",#REF!),"")</f>
        <v/>
      </c>
      <c r="F809" t="str">
        <f>IFERROR(IF(OR(HLOOKUP($A809,#REF!,4,FALSE)&gt;2,HLOOKUP($A809,#REF!,4,FALSE)&lt;-2),"",#REF!),"")</f>
        <v/>
      </c>
      <c r="G809" t="str">
        <f>IFERROR(IF(OR(HLOOKUP($A809,#REF!,5,FALSE)&gt;2,HLOOKUP($A809,#REF!,5,FALSE)&lt;-2),"",#REF!),"")</f>
        <v/>
      </c>
      <c r="H809" t="str">
        <f>IFERROR(IF(OR(HLOOKUP($A809,#REF!,6,FALSE)&gt;2,HLOOKUP($A809,#REF!,6,FALSE)&lt;-2),"",#REF!),"")</f>
        <v/>
      </c>
      <c r="I809" t="str">
        <f>IFERROR(IF(OR(HLOOKUP($A809,#REF!,7,FALSE)&gt;2,HLOOKUP($A809,#REF!,7,FALSE)&lt;-2),"",#REF!),"")</f>
        <v/>
      </c>
      <c r="J809" t="str">
        <f>IFERROR(IF(OR(HLOOKUP($A809,#REF!,8,FALSE)&gt;2,HLOOKUP($A809,#REF!,8,FALSE)&lt;-2),"",#REF!),"")</f>
        <v/>
      </c>
      <c r="K809" t="str">
        <f>IFERROR(IF(OR(HLOOKUP($A809,#REF!,9,FALSE)&gt;2,HLOOKUP($A809,#REF!,9,FALSE)&lt;-2),"",#REF!),"")</f>
        <v/>
      </c>
      <c r="L809" t="str">
        <f>IFERROR(IF(OR(HLOOKUP($A809,#REF!,10,FALSE)&gt;2,HLOOKUP($A809,#REF!,10,FALSE)&lt;-2),"",#REF!),"")</f>
        <v/>
      </c>
      <c r="M809" t="str">
        <f>IFERROR(IF(OR(HLOOKUP($A809,#REF!,11,FALSE)&gt;2,HLOOKUP($A809,#REF!,11,FALSE)&lt;-2),"",#REF!),"")</f>
        <v/>
      </c>
      <c r="N809" t="str">
        <f>IFERROR(IF(OR(HLOOKUP($A809,#REF!,12,FALSE)&gt;2,HLOOKUP($A809,#REF!,12,FALSE)&lt;-2),"",#REF!),"")</f>
        <v/>
      </c>
      <c r="O809" t="str">
        <f>IFERROR(IF(OR(HLOOKUP($A809,#REF!,13,FALSE)&gt;2,HLOOKUP($A809,#REF!,13,FALSE)&lt;-2),"",#REF!),"")</f>
        <v/>
      </c>
      <c r="P809" t="str">
        <f>IFERROR(IF(OR(HLOOKUP($A809,#REF!,14,FALSE)&gt;2,HLOOKUP($A809,#REF!,14,FALSE)&lt;-2),"",#REF!),"")</f>
        <v/>
      </c>
      <c r="Q809" t="str">
        <f>IFERROR(IF(OR(HLOOKUP($A809,#REF!,15,FALSE)&gt;2,HLOOKUP($A809,#REF!,15,FALSE)&lt;-2),"",#REF!),"")</f>
        <v/>
      </c>
      <c r="R809" t="str">
        <f>IFERROR(IF(OR(HLOOKUP($A809,#REF!,16,FALSE)&gt;2,HLOOKUP($A809,#REF!,16,FALSE)&lt;-2),"",#REF!),"")</f>
        <v/>
      </c>
      <c r="S809" t="str">
        <f>IFERROR(IF(OR(HLOOKUP($A809,#REF!,17,FALSE)&gt;2,HLOOKUP($A809,#REF!,17,FALSE)&lt;-2),"",#REF!),"")</f>
        <v/>
      </c>
      <c r="T809" t="str">
        <f>IFERROR(IF(OR(HLOOKUP($A809,#REF!,18,FALSE)&gt;2,HLOOKUP($A809,#REF!,18,FALSE)&lt;-2),"",#REF!),"")</f>
        <v/>
      </c>
      <c r="U809" t="str">
        <f>IFERROR(IF(OR(HLOOKUP($A809,#REF!,19,FALSE)&gt;2,HLOOKUP($A809,#REF!,19,FALSE)&lt;-2),"",#REF!),"")</f>
        <v/>
      </c>
      <c r="V809">
        <f t="shared" si="48"/>
        <v>1</v>
      </c>
      <c r="W809" t="str">
        <f t="shared" si="49"/>
        <v/>
      </c>
      <c r="X809" t="str">
        <f t="shared" si="50"/>
        <v/>
      </c>
      <c r="Y809" t="str">
        <f t="shared" si="51"/>
        <v/>
      </c>
    </row>
    <row r="810" spans="1:25" x14ac:dyDescent="0.35">
      <c r="A810">
        <v>818</v>
      </c>
      <c r="B810" t="s">
        <v>1017</v>
      </c>
      <c r="C810">
        <v>51700</v>
      </c>
      <c r="D810">
        <v>803</v>
      </c>
      <c r="E810" t="str">
        <f>IFERROR(IF(OR(HLOOKUP($A810,#REF!,3,FALSE)&gt;2,HLOOKUP(A810,#REF!,3,FALSE)&lt;-2),"",#REF!),"")</f>
        <v/>
      </c>
      <c r="F810" t="str">
        <f>IFERROR(IF(OR(HLOOKUP($A810,#REF!,4,FALSE)&gt;2,HLOOKUP($A810,#REF!,4,FALSE)&lt;-2),"",#REF!),"")</f>
        <v/>
      </c>
      <c r="G810" t="str">
        <f>IFERROR(IF(OR(HLOOKUP($A810,#REF!,5,FALSE)&gt;2,HLOOKUP($A810,#REF!,5,FALSE)&lt;-2),"",#REF!),"")</f>
        <v/>
      </c>
      <c r="H810" t="str">
        <f>IFERROR(IF(OR(HLOOKUP($A810,#REF!,6,FALSE)&gt;2,HLOOKUP($A810,#REF!,6,FALSE)&lt;-2),"",#REF!),"")</f>
        <v/>
      </c>
      <c r="I810" t="str">
        <f>IFERROR(IF(OR(HLOOKUP($A810,#REF!,7,FALSE)&gt;2,HLOOKUP($A810,#REF!,7,FALSE)&lt;-2),"",#REF!),"")</f>
        <v/>
      </c>
      <c r="J810" t="str">
        <f>IFERROR(IF(OR(HLOOKUP($A810,#REF!,8,FALSE)&gt;2,HLOOKUP($A810,#REF!,8,FALSE)&lt;-2),"",#REF!),"")</f>
        <v/>
      </c>
      <c r="K810" t="str">
        <f>IFERROR(IF(OR(HLOOKUP($A810,#REF!,9,FALSE)&gt;2,HLOOKUP($A810,#REF!,9,FALSE)&lt;-2),"",#REF!),"")</f>
        <v/>
      </c>
      <c r="L810" t="str">
        <f>IFERROR(IF(OR(HLOOKUP($A810,#REF!,10,FALSE)&gt;2,HLOOKUP($A810,#REF!,10,FALSE)&lt;-2),"",#REF!),"")</f>
        <v/>
      </c>
      <c r="M810" t="str">
        <f>IFERROR(IF(OR(HLOOKUP($A810,#REF!,11,FALSE)&gt;2,HLOOKUP($A810,#REF!,11,FALSE)&lt;-2),"",#REF!),"")</f>
        <v/>
      </c>
      <c r="N810" t="str">
        <f>IFERROR(IF(OR(HLOOKUP($A810,#REF!,12,FALSE)&gt;2,HLOOKUP($A810,#REF!,12,FALSE)&lt;-2),"",#REF!),"")</f>
        <v/>
      </c>
      <c r="O810" t="str">
        <f>IFERROR(IF(OR(HLOOKUP($A810,#REF!,13,FALSE)&gt;2,HLOOKUP($A810,#REF!,13,FALSE)&lt;-2),"",#REF!),"")</f>
        <v/>
      </c>
      <c r="P810" t="str">
        <f>IFERROR(IF(OR(HLOOKUP($A810,#REF!,14,FALSE)&gt;2,HLOOKUP($A810,#REF!,14,FALSE)&lt;-2),"",#REF!),"")</f>
        <v/>
      </c>
      <c r="Q810" t="str">
        <f>IFERROR(IF(OR(HLOOKUP($A810,#REF!,15,FALSE)&gt;2,HLOOKUP($A810,#REF!,15,FALSE)&lt;-2),"",#REF!),"")</f>
        <v/>
      </c>
      <c r="R810" t="str">
        <f>IFERROR(IF(OR(HLOOKUP($A810,#REF!,16,FALSE)&gt;2,HLOOKUP($A810,#REF!,16,FALSE)&lt;-2),"",#REF!),"")</f>
        <v/>
      </c>
      <c r="S810" t="str">
        <f>IFERROR(IF(OR(HLOOKUP($A810,#REF!,17,FALSE)&gt;2,HLOOKUP($A810,#REF!,17,FALSE)&lt;-2),"",#REF!),"")</f>
        <v/>
      </c>
      <c r="T810" t="str">
        <f>IFERROR(IF(OR(HLOOKUP($A810,#REF!,18,FALSE)&gt;2,HLOOKUP($A810,#REF!,18,FALSE)&lt;-2),"",#REF!),"")</f>
        <v/>
      </c>
      <c r="U810" t="str">
        <f>IFERROR(IF(OR(HLOOKUP($A810,#REF!,19,FALSE)&gt;2,HLOOKUP($A810,#REF!,19,FALSE)&lt;-2),"",#REF!),"")</f>
        <v/>
      </c>
      <c r="V810">
        <f t="shared" si="48"/>
        <v>1</v>
      </c>
      <c r="W810" t="str">
        <f t="shared" si="49"/>
        <v/>
      </c>
      <c r="X810" t="str">
        <f t="shared" si="50"/>
        <v/>
      </c>
      <c r="Y810" t="str">
        <f t="shared" si="51"/>
        <v/>
      </c>
    </row>
    <row r="811" spans="1:25" x14ac:dyDescent="0.35">
      <c r="A811">
        <v>819</v>
      </c>
      <c r="B811" t="s">
        <v>396</v>
      </c>
      <c r="C811">
        <v>20000</v>
      </c>
      <c r="D811">
        <v>48</v>
      </c>
      <c r="E811" t="str">
        <f>IFERROR(IF(OR(HLOOKUP($A811,#REF!,3,FALSE)&gt;2,HLOOKUP(A811,#REF!,3,FALSE)&lt;-2),"",#REF!),"")</f>
        <v/>
      </c>
      <c r="F811" t="str">
        <f>IFERROR(IF(OR(HLOOKUP($A811,#REF!,4,FALSE)&gt;2,HLOOKUP($A811,#REF!,4,FALSE)&lt;-2),"",#REF!),"")</f>
        <v/>
      </c>
      <c r="G811" t="str">
        <f>IFERROR(IF(OR(HLOOKUP($A811,#REF!,5,FALSE)&gt;2,HLOOKUP($A811,#REF!,5,FALSE)&lt;-2),"",#REF!),"")</f>
        <v/>
      </c>
      <c r="H811" t="str">
        <f>IFERROR(IF(OR(HLOOKUP($A811,#REF!,6,FALSE)&gt;2,HLOOKUP($A811,#REF!,6,FALSE)&lt;-2),"",#REF!),"")</f>
        <v/>
      </c>
      <c r="I811" t="str">
        <f>IFERROR(IF(OR(HLOOKUP($A811,#REF!,7,FALSE)&gt;2,HLOOKUP($A811,#REF!,7,FALSE)&lt;-2),"",#REF!),"")</f>
        <v/>
      </c>
      <c r="J811" t="str">
        <f>IFERROR(IF(OR(HLOOKUP($A811,#REF!,8,FALSE)&gt;2,HLOOKUP($A811,#REF!,8,FALSE)&lt;-2),"",#REF!),"")</f>
        <v/>
      </c>
      <c r="K811" t="str">
        <f>IFERROR(IF(OR(HLOOKUP($A811,#REF!,9,FALSE)&gt;2,HLOOKUP($A811,#REF!,9,FALSE)&lt;-2),"",#REF!),"")</f>
        <v/>
      </c>
      <c r="L811" t="str">
        <f>IFERROR(IF(OR(HLOOKUP($A811,#REF!,10,FALSE)&gt;2,HLOOKUP($A811,#REF!,10,FALSE)&lt;-2),"",#REF!),"")</f>
        <v/>
      </c>
      <c r="M811" t="str">
        <f>IFERROR(IF(OR(HLOOKUP($A811,#REF!,11,FALSE)&gt;2,HLOOKUP($A811,#REF!,11,FALSE)&lt;-2),"",#REF!),"")</f>
        <v/>
      </c>
      <c r="N811" t="str">
        <f>IFERROR(IF(OR(HLOOKUP($A811,#REF!,12,FALSE)&gt;2,HLOOKUP($A811,#REF!,12,FALSE)&lt;-2),"",#REF!),"")</f>
        <v/>
      </c>
      <c r="O811" t="str">
        <f>IFERROR(IF(OR(HLOOKUP($A811,#REF!,13,FALSE)&gt;2,HLOOKUP($A811,#REF!,13,FALSE)&lt;-2),"",#REF!),"")</f>
        <v/>
      </c>
      <c r="P811" t="str">
        <f>IFERROR(IF(OR(HLOOKUP($A811,#REF!,14,FALSE)&gt;2,HLOOKUP($A811,#REF!,14,FALSE)&lt;-2),"",#REF!),"")</f>
        <v/>
      </c>
      <c r="Q811" t="str">
        <f>IFERROR(IF(OR(HLOOKUP($A811,#REF!,15,FALSE)&gt;2,HLOOKUP($A811,#REF!,15,FALSE)&lt;-2),"",#REF!),"")</f>
        <v/>
      </c>
      <c r="R811" t="str">
        <f>IFERROR(IF(OR(HLOOKUP($A811,#REF!,16,FALSE)&gt;2,HLOOKUP($A811,#REF!,16,FALSE)&lt;-2),"",#REF!),"")</f>
        <v/>
      </c>
      <c r="S811" t="str">
        <f>IFERROR(IF(OR(HLOOKUP($A811,#REF!,17,FALSE)&gt;2,HLOOKUP($A811,#REF!,17,FALSE)&lt;-2),"",#REF!),"")</f>
        <v/>
      </c>
      <c r="T811" t="str">
        <f>IFERROR(IF(OR(HLOOKUP($A811,#REF!,18,FALSE)&gt;2,HLOOKUP($A811,#REF!,18,FALSE)&lt;-2),"",#REF!),"")</f>
        <v/>
      </c>
      <c r="U811" t="str">
        <f>IFERROR(IF(OR(HLOOKUP($A811,#REF!,19,FALSE)&gt;2,HLOOKUP($A811,#REF!,19,FALSE)&lt;-2),"",#REF!),"")</f>
        <v/>
      </c>
      <c r="V811">
        <f t="shared" si="48"/>
        <v>1</v>
      </c>
      <c r="W811" t="str">
        <f t="shared" si="49"/>
        <v/>
      </c>
      <c r="X811" t="str">
        <f t="shared" si="50"/>
        <v/>
      </c>
      <c r="Y811" t="str">
        <f t="shared" si="51"/>
        <v/>
      </c>
    </row>
    <row r="812" spans="1:25" x14ac:dyDescent="0.35">
      <c r="A812">
        <v>820</v>
      </c>
      <c r="B812" t="s">
        <v>1018</v>
      </c>
      <c r="C812">
        <v>79300</v>
      </c>
      <c r="D812">
        <v>4</v>
      </c>
      <c r="E812" t="str">
        <f>IFERROR(IF(OR(HLOOKUP($A812,#REF!,3,FALSE)&gt;2,HLOOKUP(A812,#REF!,3,FALSE)&lt;-2),"",#REF!),"")</f>
        <v/>
      </c>
      <c r="F812" t="str">
        <f>IFERROR(IF(OR(HLOOKUP($A812,#REF!,4,FALSE)&gt;2,HLOOKUP($A812,#REF!,4,FALSE)&lt;-2),"",#REF!),"")</f>
        <v/>
      </c>
      <c r="G812" t="str">
        <f>IFERROR(IF(OR(HLOOKUP($A812,#REF!,5,FALSE)&gt;2,HLOOKUP($A812,#REF!,5,FALSE)&lt;-2),"",#REF!),"")</f>
        <v/>
      </c>
      <c r="H812" t="str">
        <f>IFERROR(IF(OR(HLOOKUP($A812,#REF!,6,FALSE)&gt;2,HLOOKUP($A812,#REF!,6,FALSE)&lt;-2),"",#REF!),"")</f>
        <v/>
      </c>
      <c r="I812" t="str">
        <f>IFERROR(IF(OR(HLOOKUP($A812,#REF!,7,FALSE)&gt;2,HLOOKUP($A812,#REF!,7,FALSE)&lt;-2),"",#REF!),"")</f>
        <v/>
      </c>
      <c r="J812" t="str">
        <f>IFERROR(IF(OR(HLOOKUP($A812,#REF!,8,FALSE)&gt;2,HLOOKUP($A812,#REF!,8,FALSE)&lt;-2),"",#REF!),"")</f>
        <v/>
      </c>
      <c r="K812" t="str">
        <f>IFERROR(IF(OR(HLOOKUP($A812,#REF!,9,FALSE)&gt;2,HLOOKUP($A812,#REF!,9,FALSE)&lt;-2),"",#REF!),"")</f>
        <v/>
      </c>
      <c r="L812" t="str">
        <f>IFERROR(IF(OR(HLOOKUP($A812,#REF!,10,FALSE)&gt;2,HLOOKUP($A812,#REF!,10,FALSE)&lt;-2),"",#REF!),"")</f>
        <v/>
      </c>
      <c r="M812" t="str">
        <f>IFERROR(IF(OR(HLOOKUP($A812,#REF!,11,FALSE)&gt;2,HLOOKUP($A812,#REF!,11,FALSE)&lt;-2),"",#REF!),"")</f>
        <v/>
      </c>
      <c r="N812" t="str">
        <f>IFERROR(IF(OR(HLOOKUP($A812,#REF!,12,FALSE)&gt;2,HLOOKUP($A812,#REF!,12,FALSE)&lt;-2),"",#REF!),"")</f>
        <v/>
      </c>
      <c r="O812" t="str">
        <f>IFERROR(IF(OR(HLOOKUP($A812,#REF!,13,FALSE)&gt;2,HLOOKUP($A812,#REF!,13,FALSE)&lt;-2),"",#REF!),"")</f>
        <v/>
      </c>
      <c r="P812" t="str">
        <f>IFERROR(IF(OR(HLOOKUP($A812,#REF!,14,FALSE)&gt;2,HLOOKUP($A812,#REF!,14,FALSE)&lt;-2),"",#REF!),"")</f>
        <v/>
      </c>
      <c r="Q812" t="str">
        <f>IFERROR(IF(OR(HLOOKUP($A812,#REF!,15,FALSE)&gt;2,HLOOKUP($A812,#REF!,15,FALSE)&lt;-2),"",#REF!),"")</f>
        <v/>
      </c>
      <c r="R812" t="str">
        <f>IFERROR(IF(OR(HLOOKUP($A812,#REF!,16,FALSE)&gt;2,HLOOKUP($A812,#REF!,16,FALSE)&lt;-2),"",#REF!),"")</f>
        <v/>
      </c>
      <c r="S812" t="str">
        <f>IFERROR(IF(OR(HLOOKUP($A812,#REF!,17,FALSE)&gt;2,HLOOKUP($A812,#REF!,17,FALSE)&lt;-2),"",#REF!),"")</f>
        <v/>
      </c>
      <c r="T812" t="str">
        <f>IFERROR(IF(OR(HLOOKUP($A812,#REF!,18,FALSE)&gt;2,HLOOKUP($A812,#REF!,18,FALSE)&lt;-2),"",#REF!),"")</f>
        <v/>
      </c>
      <c r="U812" t="str">
        <f>IFERROR(IF(OR(HLOOKUP($A812,#REF!,19,FALSE)&gt;2,HLOOKUP($A812,#REF!,19,FALSE)&lt;-2),"",#REF!),"")</f>
        <v/>
      </c>
      <c r="V812">
        <f t="shared" si="48"/>
        <v>1</v>
      </c>
      <c r="W812" t="str">
        <f t="shared" si="49"/>
        <v/>
      </c>
      <c r="X812" t="str">
        <f t="shared" si="50"/>
        <v/>
      </c>
      <c r="Y812" t="str">
        <f t="shared" si="51"/>
        <v/>
      </c>
    </row>
    <row r="813" spans="1:25" x14ac:dyDescent="0.35">
      <c r="A813">
        <v>821</v>
      </c>
      <c r="B813" t="s">
        <v>397</v>
      </c>
      <c r="C813">
        <v>16400</v>
      </c>
      <c r="D813">
        <v>385</v>
      </c>
      <c r="E813" t="str">
        <f>IFERROR(IF(OR(HLOOKUP($A813,#REF!,3,FALSE)&gt;2,HLOOKUP(A813,#REF!,3,FALSE)&lt;-2),"",#REF!),"")</f>
        <v/>
      </c>
      <c r="F813" t="str">
        <f>IFERROR(IF(OR(HLOOKUP($A813,#REF!,4,FALSE)&gt;2,HLOOKUP($A813,#REF!,4,FALSE)&lt;-2),"",#REF!),"")</f>
        <v/>
      </c>
      <c r="G813" t="str">
        <f>IFERROR(IF(OR(HLOOKUP($A813,#REF!,5,FALSE)&gt;2,HLOOKUP($A813,#REF!,5,FALSE)&lt;-2),"",#REF!),"")</f>
        <v/>
      </c>
      <c r="H813" t="str">
        <f>IFERROR(IF(OR(HLOOKUP($A813,#REF!,6,FALSE)&gt;2,HLOOKUP($A813,#REF!,6,FALSE)&lt;-2),"",#REF!),"")</f>
        <v/>
      </c>
      <c r="I813" t="str">
        <f>IFERROR(IF(OR(HLOOKUP($A813,#REF!,7,FALSE)&gt;2,HLOOKUP($A813,#REF!,7,FALSE)&lt;-2),"",#REF!),"")</f>
        <v/>
      </c>
      <c r="J813" t="str">
        <f>IFERROR(IF(OR(HLOOKUP($A813,#REF!,8,FALSE)&gt;2,HLOOKUP($A813,#REF!,8,FALSE)&lt;-2),"",#REF!),"")</f>
        <v/>
      </c>
      <c r="K813" t="str">
        <f>IFERROR(IF(OR(HLOOKUP($A813,#REF!,9,FALSE)&gt;2,HLOOKUP($A813,#REF!,9,FALSE)&lt;-2),"",#REF!),"")</f>
        <v/>
      </c>
      <c r="L813" t="str">
        <f>IFERROR(IF(OR(HLOOKUP($A813,#REF!,10,FALSE)&gt;2,HLOOKUP($A813,#REF!,10,FALSE)&lt;-2),"",#REF!),"")</f>
        <v/>
      </c>
      <c r="M813" t="str">
        <f>IFERROR(IF(OR(HLOOKUP($A813,#REF!,11,FALSE)&gt;2,HLOOKUP($A813,#REF!,11,FALSE)&lt;-2),"",#REF!),"")</f>
        <v/>
      </c>
      <c r="N813" t="str">
        <f>IFERROR(IF(OR(HLOOKUP($A813,#REF!,12,FALSE)&gt;2,HLOOKUP($A813,#REF!,12,FALSE)&lt;-2),"",#REF!),"")</f>
        <v/>
      </c>
      <c r="O813" t="str">
        <f>IFERROR(IF(OR(HLOOKUP($A813,#REF!,13,FALSE)&gt;2,HLOOKUP($A813,#REF!,13,FALSE)&lt;-2),"",#REF!),"")</f>
        <v/>
      </c>
      <c r="P813" t="str">
        <f>IFERROR(IF(OR(HLOOKUP($A813,#REF!,14,FALSE)&gt;2,HLOOKUP($A813,#REF!,14,FALSE)&lt;-2),"",#REF!),"")</f>
        <v/>
      </c>
      <c r="Q813" t="str">
        <f>IFERROR(IF(OR(HLOOKUP($A813,#REF!,15,FALSE)&gt;2,HLOOKUP($A813,#REF!,15,FALSE)&lt;-2),"",#REF!),"")</f>
        <v/>
      </c>
      <c r="R813" t="str">
        <f>IFERROR(IF(OR(HLOOKUP($A813,#REF!,16,FALSE)&gt;2,HLOOKUP($A813,#REF!,16,FALSE)&lt;-2),"",#REF!),"")</f>
        <v/>
      </c>
      <c r="S813" t="str">
        <f>IFERROR(IF(OR(HLOOKUP($A813,#REF!,17,FALSE)&gt;2,HLOOKUP($A813,#REF!,17,FALSE)&lt;-2),"",#REF!),"")</f>
        <v/>
      </c>
      <c r="T813" t="str">
        <f>IFERROR(IF(OR(HLOOKUP($A813,#REF!,18,FALSE)&gt;2,HLOOKUP($A813,#REF!,18,FALSE)&lt;-2),"",#REF!),"")</f>
        <v/>
      </c>
      <c r="U813" t="str">
        <f>IFERROR(IF(OR(HLOOKUP($A813,#REF!,19,FALSE)&gt;2,HLOOKUP($A813,#REF!,19,FALSE)&lt;-2),"",#REF!),"")</f>
        <v/>
      </c>
      <c r="V813">
        <f t="shared" si="48"/>
        <v>1</v>
      </c>
      <c r="W813" t="str">
        <f t="shared" si="49"/>
        <v/>
      </c>
      <c r="X813" t="str">
        <f t="shared" si="50"/>
        <v/>
      </c>
      <c r="Y813" t="str">
        <f t="shared" si="51"/>
        <v/>
      </c>
    </row>
    <row r="814" spans="1:25" x14ac:dyDescent="0.35">
      <c r="A814">
        <v>822</v>
      </c>
      <c r="B814" t="s">
        <v>1019</v>
      </c>
      <c r="C814">
        <v>41200</v>
      </c>
      <c r="D814">
        <v>1089</v>
      </c>
      <c r="E814" t="str">
        <f>IFERROR(IF(OR(HLOOKUP($A814,#REF!,3,FALSE)&gt;2,HLOOKUP(A814,#REF!,3,FALSE)&lt;-2),"",#REF!),"")</f>
        <v/>
      </c>
      <c r="F814" t="str">
        <f>IFERROR(IF(OR(HLOOKUP($A814,#REF!,4,FALSE)&gt;2,HLOOKUP($A814,#REF!,4,FALSE)&lt;-2),"",#REF!),"")</f>
        <v/>
      </c>
      <c r="G814" t="str">
        <f>IFERROR(IF(OR(HLOOKUP($A814,#REF!,5,FALSE)&gt;2,HLOOKUP($A814,#REF!,5,FALSE)&lt;-2),"",#REF!),"")</f>
        <v/>
      </c>
      <c r="H814" t="str">
        <f>IFERROR(IF(OR(HLOOKUP($A814,#REF!,6,FALSE)&gt;2,HLOOKUP($A814,#REF!,6,FALSE)&lt;-2),"",#REF!),"")</f>
        <v/>
      </c>
      <c r="I814" t="str">
        <f>IFERROR(IF(OR(HLOOKUP($A814,#REF!,7,FALSE)&gt;2,HLOOKUP($A814,#REF!,7,FALSE)&lt;-2),"",#REF!),"")</f>
        <v/>
      </c>
      <c r="J814" t="str">
        <f>IFERROR(IF(OR(HLOOKUP($A814,#REF!,8,FALSE)&gt;2,HLOOKUP($A814,#REF!,8,FALSE)&lt;-2),"",#REF!),"")</f>
        <v/>
      </c>
      <c r="K814" t="str">
        <f>IFERROR(IF(OR(HLOOKUP($A814,#REF!,9,FALSE)&gt;2,HLOOKUP($A814,#REF!,9,FALSE)&lt;-2),"",#REF!),"")</f>
        <v/>
      </c>
      <c r="L814" t="str">
        <f>IFERROR(IF(OR(HLOOKUP($A814,#REF!,10,FALSE)&gt;2,HLOOKUP($A814,#REF!,10,FALSE)&lt;-2),"",#REF!),"")</f>
        <v/>
      </c>
      <c r="M814" t="str">
        <f>IFERROR(IF(OR(HLOOKUP($A814,#REF!,11,FALSE)&gt;2,HLOOKUP($A814,#REF!,11,FALSE)&lt;-2),"",#REF!),"")</f>
        <v/>
      </c>
      <c r="N814" t="str">
        <f>IFERROR(IF(OR(HLOOKUP($A814,#REF!,12,FALSE)&gt;2,HLOOKUP($A814,#REF!,12,FALSE)&lt;-2),"",#REF!),"")</f>
        <v/>
      </c>
      <c r="O814" t="str">
        <f>IFERROR(IF(OR(HLOOKUP($A814,#REF!,13,FALSE)&gt;2,HLOOKUP($A814,#REF!,13,FALSE)&lt;-2),"",#REF!),"")</f>
        <v/>
      </c>
      <c r="P814" t="str">
        <f>IFERROR(IF(OR(HLOOKUP($A814,#REF!,14,FALSE)&gt;2,HLOOKUP($A814,#REF!,14,FALSE)&lt;-2),"",#REF!),"")</f>
        <v/>
      </c>
      <c r="Q814" t="str">
        <f>IFERROR(IF(OR(HLOOKUP($A814,#REF!,15,FALSE)&gt;2,HLOOKUP($A814,#REF!,15,FALSE)&lt;-2),"",#REF!),"")</f>
        <v/>
      </c>
      <c r="R814" t="str">
        <f>IFERROR(IF(OR(HLOOKUP($A814,#REF!,16,FALSE)&gt;2,HLOOKUP($A814,#REF!,16,FALSE)&lt;-2),"",#REF!),"")</f>
        <v/>
      </c>
      <c r="S814" t="str">
        <f>IFERROR(IF(OR(HLOOKUP($A814,#REF!,17,FALSE)&gt;2,HLOOKUP($A814,#REF!,17,FALSE)&lt;-2),"",#REF!),"")</f>
        <v/>
      </c>
      <c r="T814" t="str">
        <f>IFERROR(IF(OR(HLOOKUP($A814,#REF!,18,FALSE)&gt;2,HLOOKUP($A814,#REF!,18,FALSE)&lt;-2),"",#REF!),"")</f>
        <v/>
      </c>
      <c r="U814" t="str">
        <f>IFERROR(IF(OR(HLOOKUP($A814,#REF!,19,FALSE)&gt;2,HLOOKUP($A814,#REF!,19,FALSE)&lt;-2),"",#REF!),"")</f>
        <v/>
      </c>
      <c r="V814">
        <f t="shared" si="48"/>
        <v>1</v>
      </c>
      <c r="W814" t="str">
        <f t="shared" si="49"/>
        <v/>
      </c>
      <c r="X814" t="str">
        <f t="shared" si="50"/>
        <v/>
      </c>
      <c r="Y814" t="str">
        <f t="shared" si="51"/>
        <v/>
      </c>
    </row>
    <row r="815" spans="1:25" x14ac:dyDescent="0.35">
      <c r="A815">
        <v>823</v>
      </c>
      <c r="B815" t="s">
        <v>1020</v>
      </c>
      <c r="C815">
        <v>40900</v>
      </c>
      <c r="D815">
        <v>799</v>
      </c>
      <c r="E815" t="str">
        <f>IFERROR(IF(OR(HLOOKUP($A815,#REF!,3,FALSE)&gt;2,HLOOKUP(A815,#REF!,3,FALSE)&lt;-2),"",#REF!),"")</f>
        <v/>
      </c>
      <c r="F815" t="str">
        <f>IFERROR(IF(OR(HLOOKUP($A815,#REF!,4,FALSE)&gt;2,HLOOKUP($A815,#REF!,4,FALSE)&lt;-2),"",#REF!),"")</f>
        <v/>
      </c>
      <c r="G815" t="str">
        <f>IFERROR(IF(OR(HLOOKUP($A815,#REF!,5,FALSE)&gt;2,HLOOKUP($A815,#REF!,5,FALSE)&lt;-2),"",#REF!),"")</f>
        <v/>
      </c>
      <c r="H815" t="str">
        <f>IFERROR(IF(OR(HLOOKUP($A815,#REF!,6,FALSE)&gt;2,HLOOKUP($A815,#REF!,6,FALSE)&lt;-2),"",#REF!),"")</f>
        <v/>
      </c>
      <c r="I815" t="str">
        <f>IFERROR(IF(OR(HLOOKUP($A815,#REF!,7,FALSE)&gt;2,HLOOKUP($A815,#REF!,7,FALSE)&lt;-2),"",#REF!),"")</f>
        <v/>
      </c>
      <c r="J815" t="str">
        <f>IFERROR(IF(OR(HLOOKUP($A815,#REF!,8,FALSE)&gt;2,HLOOKUP($A815,#REF!,8,FALSE)&lt;-2),"",#REF!),"")</f>
        <v/>
      </c>
      <c r="K815" t="str">
        <f>IFERROR(IF(OR(HLOOKUP($A815,#REF!,9,FALSE)&gt;2,HLOOKUP($A815,#REF!,9,FALSE)&lt;-2),"",#REF!),"")</f>
        <v/>
      </c>
      <c r="L815" t="str">
        <f>IFERROR(IF(OR(HLOOKUP($A815,#REF!,10,FALSE)&gt;2,HLOOKUP($A815,#REF!,10,FALSE)&lt;-2),"",#REF!),"")</f>
        <v/>
      </c>
      <c r="M815" t="str">
        <f>IFERROR(IF(OR(HLOOKUP($A815,#REF!,11,FALSE)&gt;2,HLOOKUP($A815,#REF!,11,FALSE)&lt;-2),"",#REF!),"")</f>
        <v/>
      </c>
      <c r="N815" t="str">
        <f>IFERROR(IF(OR(HLOOKUP($A815,#REF!,12,FALSE)&gt;2,HLOOKUP($A815,#REF!,12,FALSE)&lt;-2),"",#REF!),"")</f>
        <v/>
      </c>
      <c r="O815" t="str">
        <f>IFERROR(IF(OR(HLOOKUP($A815,#REF!,13,FALSE)&gt;2,HLOOKUP($A815,#REF!,13,FALSE)&lt;-2),"",#REF!),"")</f>
        <v/>
      </c>
      <c r="P815" t="str">
        <f>IFERROR(IF(OR(HLOOKUP($A815,#REF!,14,FALSE)&gt;2,HLOOKUP($A815,#REF!,14,FALSE)&lt;-2),"",#REF!),"")</f>
        <v/>
      </c>
      <c r="Q815" t="str">
        <f>IFERROR(IF(OR(HLOOKUP($A815,#REF!,15,FALSE)&gt;2,HLOOKUP($A815,#REF!,15,FALSE)&lt;-2),"",#REF!),"")</f>
        <v/>
      </c>
      <c r="R815" t="str">
        <f>IFERROR(IF(OR(HLOOKUP($A815,#REF!,16,FALSE)&gt;2,HLOOKUP($A815,#REF!,16,FALSE)&lt;-2),"",#REF!),"")</f>
        <v/>
      </c>
      <c r="S815" t="str">
        <f>IFERROR(IF(OR(HLOOKUP($A815,#REF!,17,FALSE)&gt;2,HLOOKUP($A815,#REF!,17,FALSE)&lt;-2),"",#REF!),"")</f>
        <v/>
      </c>
      <c r="T815" t="str">
        <f>IFERROR(IF(OR(HLOOKUP($A815,#REF!,18,FALSE)&gt;2,HLOOKUP($A815,#REF!,18,FALSE)&lt;-2),"",#REF!),"")</f>
        <v/>
      </c>
      <c r="U815" t="str">
        <f>IFERROR(IF(OR(HLOOKUP($A815,#REF!,19,FALSE)&gt;2,HLOOKUP($A815,#REF!,19,FALSE)&lt;-2),"",#REF!),"")</f>
        <v/>
      </c>
      <c r="V815">
        <f t="shared" si="48"/>
        <v>1</v>
      </c>
      <c r="W815" t="str">
        <f t="shared" si="49"/>
        <v/>
      </c>
      <c r="X815" t="str">
        <f t="shared" si="50"/>
        <v/>
      </c>
      <c r="Y815" t="str">
        <f t="shared" si="51"/>
        <v/>
      </c>
    </row>
    <row r="816" spans="1:25" x14ac:dyDescent="0.35">
      <c r="A816">
        <v>824</v>
      </c>
      <c r="B816" t="s">
        <v>1021</v>
      </c>
      <c r="C816">
        <v>112700</v>
      </c>
      <c r="D816">
        <v>991</v>
      </c>
      <c r="E816" t="str">
        <f>IFERROR(IF(OR(HLOOKUP($A816,#REF!,3,FALSE)&gt;2,HLOOKUP(A816,#REF!,3,FALSE)&lt;-2),"",#REF!),"")</f>
        <v/>
      </c>
      <c r="F816" t="str">
        <f>IFERROR(IF(OR(HLOOKUP($A816,#REF!,4,FALSE)&gt;2,HLOOKUP($A816,#REF!,4,FALSE)&lt;-2),"",#REF!),"")</f>
        <v/>
      </c>
      <c r="G816" t="str">
        <f>IFERROR(IF(OR(HLOOKUP($A816,#REF!,5,FALSE)&gt;2,HLOOKUP($A816,#REF!,5,FALSE)&lt;-2),"",#REF!),"")</f>
        <v/>
      </c>
      <c r="H816" t="str">
        <f>IFERROR(IF(OR(HLOOKUP($A816,#REF!,6,FALSE)&gt;2,HLOOKUP($A816,#REF!,6,FALSE)&lt;-2),"",#REF!),"")</f>
        <v/>
      </c>
      <c r="I816" t="str">
        <f>IFERROR(IF(OR(HLOOKUP($A816,#REF!,7,FALSE)&gt;2,HLOOKUP($A816,#REF!,7,FALSE)&lt;-2),"",#REF!),"")</f>
        <v/>
      </c>
      <c r="J816" t="str">
        <f>IFERROR(IF(OR(HLOOKUP($A816,#REF!,8,FALSE)&gt;2,HLOOKUP($A816,#REF!,8,FALSE)&lt;-2),"",#REF!),"")</f>
        <v/>
      </c>
      <c r="K816" t="str">
        <f>IFERROR(IF(OR(HLOOKUP($A816,#REF!,9,FALSE)&gt;2,HLOOKUP($A816,#REF!,9,FALSE)&lt;-2),"",#REF!),"")</f>
        <v/>
      </c>
      <c r="L816" t="str">
        <f>IFERROR(IF(OR(HLOOKUP($A816,#REF!,10,FALSE)&gt;2,HLOOKUP($A816,#REF!,10,FALSE)&lt;-2),"",#REF!),"")</f>
        <v/>
      </c>
      <c r="M816" t="str">
        <f>IFERROR(IF(OR(HLOOKUP($A816,#REF!,11,FALSE)&gt;2,HLOOKUP($A816,#REF!,11,FALSE)&lt;-2),"",#REF!),"")</f>
        <v/>
      </c>
      <c r="N816" t="str">
        <f>IFERROR(IF(OR(HLOOKUP($A816,#REF!,12,FALSE)&gt;2,HLOOKUP($A816,#REF!,12,FALSE)&lt;-2),"",#REF!),"")</f>
        <v/>
      </c>
      <c r="O816" t="str">
        <f>IFERROR(IF(OR(HLOOKUP($A816,#REF!,13,FALSE)&gt;2,HLOOKUP($A816,#REF!,13,FALSE)&lt;-2),"",#REF!),"")</f>
        <v/>
      </c>
      <c r="P816" t="str">
        <f>IFERROR(IF(OR(HLOOKUP($A816,#REF!,14,FALSE)&gt;2,HLOOKUP($A816,#REF!,14,FALSE)&lt;-2),"",#REF!),"")</f>
        <v/>
      </c>
      <c r="Q816" t="str">
        <f>IFERROR(IF(OR(HLOOKUP($A816,#REF!,15,FALSE)&gt;2,HLOOKUP($A816,#REF!,15,FALSE)&lt;-2),"",#REF!),"")</f>
        <v/>
      </c>
      <c r="R816" t="str">
        <f>IFERROR(IF(OR(HLOOKUP($A816,#REF!,16,FALSE)&gt;2,HLOOKUP($A816,#REF!,16,FALSE)&lt;-2),"",#REF!),"")</f>
        <v/>
      </c>
      <c r="S816" t="str">
        <f>IFERROR(IF(OR(HLOOKUP($A816,#REF!,17,FALSE)&gt;2,HLOOKUP($A816,#REF!,17,FALSE)&lt;-2),"",#REF!),"")</f>
        <v/>
      </c>
      <c r="T816" t="str">
        <f>IFERROR(IF(OR(HLOOKUP($A816,#REF!,18,FALSE)&gt;2,HLOOKUP($A816,#REF!,18,FALSE)&lt;-2),"",#REF!),"")</f>
        <v/>
      </c>
      <c r="U816" t="str">
        <f>IFERROR(IF(OR(HLOOKUP($A816,#REF!,19,FALSE)&gt;2,HLOOKUP($A816,#REF!,19,FALSE)&lt;-2),"",#REF!),"")</f>
        <v/>
      </c>
      <c r="V816">
        <f t="shared" si="48"/>
        <v>1</v>
      </c>
      <c r="W816" t="str">
        <f t="shared" si="49"/>
        <v/>
      </c>
      <c r="X816" t="str">
        <f t="shared" si="50"/>
        <v/>
      </c>
      <c r="Y816" t="str">
        <f t="shared" si="51"/>
        <v/>
      </c>
    </row>
    <row r="817" spans="1:25" x14ac:dyDescent="0.35">
      <c r="A817">
        <v>825</v>
      </c>
      <c r="B817" t="s">
        <v>1022</v>
      </c>
      <c r="C817">
        <v>113300</v>
      </c>
      <c r="D817">
        <v>349</v>
      </c>
      <c r="E817" t="str">
        <f>IFERROR(IF(OR(HLOOKUP($A817,#REF!,3,FALSE)&gt;2,HLOOKUP(A817,#REF!,3,FALSE)&lt;-2),"",#REF!),"")</f>
        <v/>
      </c>
      <c r="F817" t="str">
        <f>IFERROR(IF(OR(HLOOKUP($A817,#REF!,4,FALSE)&gt;2,HLOOKUP($A817,#REF!,4,FALSE)&lt;-2),"",#REF!),"")</f>
        <v/>
      </c>
      <c r="G817" t="str">
        <f>IFERROR(IF(OR(HLOOKUP($A817,#REF!,5,FALSE)&gt;2,HLOOKUP($A817,#REF!,5,FALSE)&lt;-2),"",#REF!),"")</f>
        <v/>
      </c>
      <c r="H817" t="str">
        <f>IFERROR(IF(OR(HLOOKUP($A817,#REF!,6,FALSE)&gt;2,HLOOKUP($A817,#REF!,6,FALSE)&lt;-2),"",#REF!),"")</f>
        <v/>
      </c>
      <c r="I817" t="str">
        <f>IFERROR(IF(OR(HLOOKUP($A817,#REF!,7,FALSE)&gt;2,HLOOKUP($A817,#REF!,7,FALSE)&lt;-2),"",#REF!),"")</f>
        <v/>
      </c>
      <c r="J817" t="str">
        <f>IFERROR(IF(OR(HLOOKUP($A817,#REF!,8,FALSE)&gt;2,HLOOKUP($A817,#REF!,8,FALSE)&lt;-2),"",#REF!),"")</f>
        <v/>
      </c>
      <c r="K817" t="str">
        <f>IFERROR(IF(OR(HLOOKUP($A817,#REF!,9,FALSE)&gt;2,HLOOKUP($A817,#REF!,9,FALSE)&lt;-2),"",#REF!),"")</f>
        <v/>
      </c>
      <c r="L817" t="str">
        <f>IFERROR(IF(OR(HLOOKUP($A817,#REF!,10,FALSE)&gt;2,HLOOKUP($A817,#REF!,10,FALSE)&lt;-2),"",#REF!),"")</f>
        <v/>
      </c>
      <c r="M817" t="str">
        <f>IFERROR(IF(OR(HLOOKUP($A817,#REF!,11,FALSE)&gt;2,HLOOKUP($A817,#REF!,11,FALSE)&lt;-2),"",#REF!),"")</f>
        <v/>
      </c>
      <c r="N817" t="str">
        <f>IFERROR(IF(OR(HLOOKUP($A817,#REF!,12,FALSE)&gt;2,HLOOKUP($A817,#REF!,12,FALSE)&lt;-2),"",#REF!),"")</f>
        <v/>
      </c>
      <c r="O817" t="str">
        <f>IFERROR(IF(OR(HLOOKUP($A817,#REF!,13,FALSE)&gt;2,HLOOKUP($A817,#REF!,13,FALSE)&lt;-2),"",#REF!),"")</f>
        <v/>
      </c>
      <c r="P817" t="str">
        <f>IFERROR(IF(OR(HLOOKUP($A817,#REF!,14,FALSE)&gt;2,HLOOKUP($A817,#REF!,14,FALSE)&lt;-2),"",#REF!),"")</f>
        <v/>
      </c>
      <c r="Q817" t="str">
        <f>IFERROR(IF(OR(HLOOKUP($A817,#REF!,15,FALSE)&gt;2,HLOOKUP($A817,#REF!,15,FALSE)&lt;-2),"",#REF!),"")</f>
        <v/>
      </c>
      <c r="R817" t="str">
        <f>IFERROR(IF(OR(HLOOKUP($A817,#REF!,16,FALSE)&gt;2,HLOOKUP($A817,#REF!,16,FALSE)&lt;-2),"",#REF!),"")</f>
        <v/>
      </c>
      <c r="S817" t="str">
        <f>IFERROR(IF(OR(HLOOKUP($A817,#REF!,17,FALSE)&gt;2,HLOOKUP($A817,#REF!,17,FALSE)&lt;-2),"",#REF!),"")</f>
        <v/>
      </c>
      <c r="T817" t="str">
        <f>IFERROR(IF(OR(HLOOKUP($A817,#REF!,18,FALSE)&gt;2,HLOOKUP($A817,#REF!,18,FALSE)&lt;-2),"",#REF!),"")</f>
        <v/>
      </c>
      <c r="U817" t="str">
        <f>IFERROR(IF(OR(HLOOKUP($A817,#REF!,19,FALSE)&gt;2,HLOOKUP($A817,#REF!,19,FALSE)&lt;-2),"",#REF!),"")</f>
        <v/>
      </c>
      <c r="V817">
        <f t="shared" si="48"/>
        <v>1</v>
      </c>
      <c r="W817" t="str">
        <f t="shared" si="49"/>
        <v/>
      </c>
      <c r="X817" t="str">
        <f t="shared" si="50"/>
        <v/>
      </c>
      <c r="Y817" t="str">
        <f t="shared" si="51"/>
        <v/>
      </c>
    </row>
    <row r="818" spans="1:25" x14ac:dyDescent="0.35">
      <c r="A818">
        <v>826</v>
      </c>
      <c r="B818" t="s">
        <v>1023</v>
      </c>
      <c r="C818">
        <v>52300</v>
      </c>
      <c r="D818">
        <v>803</v>
      </c>
      <c r="E818" t="str">
        <f>IFERROR(IF(OR(HLOOKUP($A818,#REF!,3,FALSE)&gt;2,HLOOKUP(A818,#REF!,3,FALSE)&lt;-2),"",#REF!),"")</f>
        <v/>
      </c>
      <c r="F818" t="str">
        <f>IFERROR(IF(OR(HLOOKUP($A818,#REF!,4,FALSE)&gt;2,HLOOKUP($A818,#REF!,4,FALSE)&lt;-2),"",#REF!),"")</f>
        <v/>
      </c>
      <c r="G818" t="str">
        <f>IFERROR(IF(OR(HLOOKUP($A818,#REF!,5,FALSE)&gt;2,HLOOKUP($A818,#REF!,5,FALSE)&lt;-2),"",#REF!),"")</f>
        <v/>
      </c>
      <c r="H818" t="str">
        <f>IFERROR(IF(OR(HLOOKUP($A818,#REF!,6,FALSE)&gt;2,HLOOKUP($A818,#REF!,6,FALSE)&lt;-2),"",#REF!),"")</f>
        <v/>
      </c>
      <c r="I818" t="str">
        <f>IFERROR(IF(OR(HLOOKUP($A818,#REF!,7,FALSE)&gt;2,HLOOKUP($A818,#REF!,7,FALSE)&lt;-2),"",#REF!),"")</f>
        <v/>
      </c>
      <c r="J818" t="str">
        <f>IFERROR(IF(OR(HLOOKUP($A818,#REF!,8,FALSE)&gt;2,HLOOKUP($A818,#REF!,8,FALSE)&lt;-2),"",#REF!),"")</f>
        <v/>
      </c>
      <c r="K818" t="str">
        <f>IFERROR(IF(OR(HLOOKUP($A818,#REF!,9,FALSE)&gt;2,HLOOKUP($A818,#REF!,9,FALSE)&lt;-2),"",#REF!),"")</f>
        <v/>
      </c>
      <c r="L818" t="str">
        <f>IFERROR(IF(OR(HLOOKUP($A818,#REF!,10,FALSE)&gt;2,HLOOKUP($A818,#REF!,10,FALSE)&lt;-2),"",#REF!),"")</f>
        <v/>
      </c>
      <c r="M818" t="str">
        <f>IFERROR(IF(OR(HLOOKUP($A818,#REF!,11,FALSE)&gt;2,HLOOKUP($A818,#REF!,11,FALSE)&lt;-2),"",#REF!),"")</f>
        <v/>
      </c>
      <c r="N818" t="str">
        <f>IFERROR(IF(OR(HLOOKUP($A818,#REF!,12,FALSE)&gt;2,HLOOKUP($A818,#REF!,12,FALSE)&lt;-2),"",#REF!),"")</f>
        <v/>
      </c>
      <c r="O818" t="str">
        <f>IFERROR(IF(OR(HLOOKUP($A818,#REF!,13,FALSE)&gt;2,HLOOKUP($A818,#REF!,13,FALSE)&lt;-2),"",#REF!),"")</f>
        <v/>
      </c>
      <c r="P818" t="str">
        <f>IFERROR(IF(OR(HLOOKUP($A818,#REF!,14,FALSE)&gt;2,HLOOKUP($A818,#REF!,14,FALSE)&lt;-2),"",#REF!),"")</f>
        <v/>
      </c>
      <c r="Q818" t="str">
        <f>IFERROR(IF(OR(HLOOKUP($A818,#REF!,15,FALSE)&gt;2,HLOOKUP($A818,#REF!,15,FALSE)&lt;-2),"",#REF!),"")</f>
        <v/>
      </c>
      <c r="R818" t="str">
        <f>IFERROR(IF(OR(HLOOKUP($A818,#REF!,16,FALSE)&gt;2,HLOOKUP($A818,#REF!,16,FALSE)&lt;-2),"",#REF!),"")</f>
        <v/>
      </c>
      <c r="S818" t="str">
        <f>IFERROR(IF(OR(HLOOKUP($A818,#REF!,17,FALSE)&gt;2,HLOOKUP($A818,#REF!,17,FALSE)&lt;-2),"",#REF!),"")</f>
        <v/>
      </c>
      <c r="T818" t="str">
        <f>IFERROR(IF(OR(HLOOKUP($A818,#REF!,18,FALSE)&gt;2,HLOOKUP($A818,#REF!,18,FALSE)&lt;-2),"",#REF!),"")</f>
        <v/>
      </c>
      <c r="U818" t="str">
        <f>IFERROR(IF(OR(HLOOKUP($A818,#REF!,19,FALSE)&gt;2,HLOOKUP($A818,#REF!,19,FALSE)&lt;-2),"",#REF!),"")</f>
        <v/>
      </c>
      <c r="V818">
        <f t="shared" si="48"/>
        <v>1</v>
      </c>
      <c r="W818" t="str">
        <f t="shared" si="49"/>
        <v/>
      </c>
      <c r="X818" t="str">
        <f t="shared" si="50"/>
        <v/>
      </c>
      <c r="Y818" t="str">
        <f t="shared" si="51"/>
        <v/>
      </c>
    </row>
    <row r="819" spans="1:25" x14ac:dyDescent="0.35">
      <c r="A819">
        <v>827</v>
      </c>
      <c r="B819" t="s">
        <v>398</v>
      </c>
      <c r="C819">
        <v>8800</v>
      </c>
      <c r="D819">
        <v>44</v>
      </c>
      <c r="E819" t="str">
        <f>IFERROR(IF(OR(HLOOKUP($A819,#REF!,3,FALSE)&gt;2,HLOOKUP(A819,#REF!,3,FALSE)&lt;-2),"",#REF!),"")</f>
        <v/>
      </c>
      <c r="F819" t="str">
        <f>IFERROR(IF(OR(HLOOKUP($A819,#REF!,4,FALSE)&gt;2,HLOOKUP($A819,#REF!,4,FALSE)&lt;-2),"",#REF!),"")</f>
        <v/>
      </c>
      <c r="G819" t="str">
        <f>IFERROR(IF(OR(HLOOKUP($A819,#REF!,5,FALSE)&gt;2,HLOOKUP($A819,#REF!,5,FALSE)&lt;-2),"",#REF!),"")</f>
        <v/>
      </c>
      <c r="H819" t="str">
        <f>IFERROR(IF(OR(HLOOKUP($A819,#REF!,6,FALSE)&gt;2,HLOOKUP($A819,#REF!,6,FALSE)&lt;-2),"",#REF!),"")</f>
        <v/>
      </c>
      <c r="I819" t="str">
        <f>IFERROR(IF(OR(HLOOKUP($A819,#REF!,7,FALSE)&gt;2,HLOOKUP($A819,#REF!,7,FALSE)&lt;-2),"",#REF!),"")</f>
        <v/>
      </c>
      <c r="J819" t="str">
        <f>IFERROR(IF(OR(HLOOKUP($A819,#REF!,8,FALSE)&gt;2,HLOOKUP($A819,#REF!,8,FALSE)&lt;-2),"",#REF!),"")</f>
        <v/>
      </c>
      <c r="K819" t="str">
        <f>IFERROR(IF(OR(HLOOKUP($A819,#REF!,9,FALSE)&gt;2,HLOOKUP($A819,#REF!,9,FALSE)&lt;-2),"",#REF!),"")</f>
        <v/>
      </c>
      <c r="L819" t="str">
        <f>IFERROR(IF(OR(HLOOKUP($A819,#REF!,10,FALSE)&gt;2,HLOOKUP($A819,#REF!,10,FALSE)&lt;-2),"",#REF!),"")</f>
        <v/>
      </c>
      <c r="M819" t="str">
        <f>IFERROR(IF(OR(HLOOKUP($A819,#REF!,11,FALSE)&gt;2,HLOOKUP($A819,#REF!,11,FALSE)&lt;-2),"",#REF!),"")</f>
        <v/>
      </c>
      <c r="N819" t="str">
        <f>IFERROR(IF(OR(HLOOKUP($A819,#REF!,12,FALSE)&gt;2,HLOOKUP($A819,#REF!,12,FALSE)&lt;-2),"",#REF!),"")</f>
        <v/>
      </c>
      <c r="O819" t="str">
        <f>IFERROR(IF(OR(HLOOKUP($A819,#REF!,13,FALSE)&gt;2,HLOOKUP($A819,#REF!,13,FALSE)&lt;-2),"",#REF!),"")</f>
        <v/>
      </c>
      <c r="P819" t="str">
        <f>IFERROR(IF(OR(HLOOKUP($A819,#REF!,14,FALSE)&gt;2,HLOOKUP($A819,#REF!,14,FALSE)&lt;-2),"",#REF!),"")</f>
        <v/>
      </c>
      <c r="Q819" t="str">
        <f>IFERROR(IF(OR(HLOOKUP($A819,#REF!,15,FALSE)&gt;2,HLOOKUP($A819,#REF!,15,FALSE)&lt;-2),"",#REF!),"")</f>
        <v/>
      </c>
      <c r="R819" t="str">
        <f>IFERROR(IF(OR(HLOOKUP($A819,#REF!,16,FALSE)&gt;2,HLOOKUP($A819,#REF!,16,FALSE)&lt;-2),"",#REF!),"")</f>
        <v/>
      </c>
      <c r="S819" t="str">
        <f>IFERROR(IF(OR(HLOOKUP($A819,#REF!,17,FALSE)&gt;2,HLOOKUP($A819,#REF!,17,FALSE)&lt;-2),"",#REF!),"")</f>
        <v/>
      </c>
      <c r="T819" t="str">
        <f>IFERROR(IF(OR(HLOOKUP($A819,#REF!,18,FALSE)&gt;2,HLOOKUP($A819,#REF!,18,FALSE)&lt;-2),"",#REF!),"")</f>
        <v/>
      </c>
      <c r="U819" t="str">
        <f>IFERROR(IF(OR(HLOOKUP($A819,#REF!,19,FALSE)&gt;2,HLOOKUP($A819,#REF!,19,FALSE)&lt;-2),"",#REF!),"")</f>
        <v/>
      </c>
      <c r="V819">
        <f t="shared" si="48"/>
        <v>1</v>
      </c>
      <c r="W819" t="str">
        <f t="shared" si="49"/>
        <v/>
      </c>
      <c r="X819" t="str">
        <f t="shared" si="50"/>
        <v/>
      </c>
      <c r="Y819" t="str">
        <f t="shared" si="51"/>
        <v/>
      </c>
    </row>
    <row r="820" spans="1:25" x14ac:dyDescent="0.35">
      <c r="A820">
        <v>828</v>
      </c>
      <c r="B820" t="s">
        <v>1024</v>
      </c>
      <c r="C820">
        <v>79400</v>
      </c>
      <c r="D820">
        <v>4</v>
      </c>
      <c r="E820" t="str">
        <f>IFERROR(IF(OR(HLOOKUP($A820,#REF!,3,FALSE)&gt;2,HLOOKUP(A820,#REF!,3,FALSE)&lt;-2),"",#REF!),"")</f>
        <v/>
      </c>
      <c r="F820" t="str">
        <f>IFERROR(IF(OR(HLOOKUP($A820,#REF!,4,FALSE)&gt;2,HLOOKUP($A820,#REF!,4,FALSE)&lt;-2),"",#REF!),"")</f>
        <v/>
      </c>
      <c r="G820" t="str">
        <f>IFERROR(IF(OR(HLOOKUP($A820,#REF!,5,FALSE)&gt;2,HLOOKUP($A820,#REF!,5,FALSE)&lt;-2),"",#REF!),"")</f>
        <v/>
      </c>
      <c r="H820" t="str">
        <f>IFERROR(IF(OR(HLOOKUP($A820,#REF!,6,FALSE)&gt;2,HLOOKUP($A820,#REF!,6,FALSE)&lt;-2),"",#REF!),"")</f>
        <v/>
      </c>
      <c r="I820" t="str">
        <f>IFERROR(IF(OR(HLOOKUP($A820,#REF!,7,FALSE)&gt;2,HLOOKUP($A820,#REF!,7,FALSE)&lt;-2),"",#REF!),"")</f>
        <v/>
      </c>
      <c r="J820" t="str">
        <f>IFERROR(IF(OR(HLOOKUP($A820,#REF!,8,FALSE)&gt;2,HLOOKUP($A820,#REF!,8,FALSE)&lt;-2),"",#REF!),"")</f>
        <v/>
      </c>
      <c r="K820" t="str">
        <f>IFERROR(IF(OR(HLOOKUP($A820,#REF!,9,FALSE)&gt;2,HLOOKUP($A820,#REF!,9,FALSE)&lt;-2),"",#REF!),"")</f>
        <v/>
      </c>
      <c r="L820" t="str">
        <f>IFERROR(IF(OR(HLOOKUP($A820,#REF!,10,FALSE)&gt;2,HLOOKUP($A820,#REF!,10,FALSE)&lt;-2),"",#REF!),"")</f>
        <v/>
      </c>
      <c r="M820" t="str">
        <f>IFERROR(IF(OR(HLOOKUP($A820,#REF!,11,FALSE)&gt;2,HLOOKUP($A820,#REF!,11,FALSE)&lt;-2),"",#REF!),"")</f>
        <v/>
      </c>
      <c r="N820" t="str">
        <f>IFERROR(IF(OR(HLOOKUP($A820,#REF!,12,FALSE)&gt;2,HLOOKUP($A820,#REF!,12,FALSE)&lt;-2),"",#REF!),"")</f>
        <v/>
      </c>
      <c r="O820" t="str">
        <f>IFERROR(IF(OR(HLOOKUP($A820,#REF!,13,FALSE)&gt;2,HLOOKUP($A820,#REF!,13,FALSE)&lt;-2),"",#REF!),"")</f>
        <v/>
      </c>
      <c r="P820" t="str">
        <f>IFERROR(IF(OR(HLOOKUP($A820,#REF!,14,FALSE)&gt;2,HLOOKUP($A820,#REF!,14,FALSE)&lt;-2),"",#REF!),"")</f>
        <v/>
      </c>
      <c r="Q820" t="str">
        <f>IFERROR(IF(OR(HLOOKUP($A820,#REF!,15,FALSE)&gt;2,HLOOKUP($A820,#REF!,15,FALSE)&lt;-2),"",#REF!),"")</f>
        <v/>
      </c>
      <c r="R820" t="str">
        <f>IFERROR(IF(OR(HLOOKUP($A820,#REF!,16,FALSE)&gt;2,HLOOKUP($A820,#REF!,16,FALSE)&lt;-2),"",#REF!),"")</f>
        <v/>
      </c>
      <c r="S820" t="str">
        <f>IFERROR(IF(OR(HLOOKUP($A820,#REF!,17,FALSE)&gt;2,HLOOKUP($A820,#REF!,17,FALSE)&lt;-2),"",#REF!),"")</f>
        <v/>
      </c>
      <c r="T820" t="str">
        <f>IFERROR(IF(OR(HLOOKUP($A820,#REF!,18,FALSE)&gt;2,HLOOKUP($A820,#REF!,18,FALSE)&lt;-2),"",#REF!),"")</f>
        <v/>
      </c>
      <c r="U820" t="str">
        <f>IFERROR(IF(OR(HLOOKUP($A820,#REF!,19,FALSE)&gt;2,HLOOKUP($A820,#REF!,19,FALSE)&lt;-2),"",#REF!),"")</f>
        <v/>
      </c>
      <c r="V820">
        <f t="shared" si="48"/>
        <v>1</v>
      </c>
      <c r="W820" t="str">
        <f t="shared" si="49"/>
        <v/>
      </c>
      <c r="X820" t="str">
        <f t="shared" si="50"/>
        <v/>
      </c>
      <c r="Y820" t="str">
        <f t="shared" si="51"/>
        <v/>
      </c>
    </row>
    <row r="821" spans="1:25" x14ac:dyDescent="0.35">
      <c r="A821">
        <v>829</v>
      </c>
      <c r="B821" t="s">
        <v>1025</v>
      </c>
      <c r="C821">
        <v>45700</v>
      </c>
      <c r="D821">
        <v>509</v>
      </c>
      <c r="E821" t="str">
        <f>IFERROR(IF(OR(HLOOKUP($A821,#REF!,3,FALSE)&gt;2,HLOOKUP(A821,#REF!,3,FALSE)&lt;-2),"",#REF!),"")</f>
        <v/>
      </c>
      <c r="F821" t="str">
        <f>IFERROR(IF(OR(HLOOKUP($A821,#REF!,4,FALSE)&gt;2,HLOOKUP($A821,#REF!,4,FALSE)&lt;-2),"",#REF!),"")</f>
        <v/>
      </c>
      <c r="G821" t="str">
        <f>IFERROR(IF(OR(HLOOKUP($A821,#REF!,5,FALSE)&gt;2,HLOOKUP($A821,#REF!,5,FALSE)&lt;-2),"",#REF!),"")</f>
        <v/>
      </c>
      <c r="H821" t="str">
        <f>IFERROR(IF(OR(HLOOKUP($A821,#REF!,6,FALSE)&gt;2,HLOOKUP($A821,#REF!,6,FALSE)&lt;-2),"",#REF!),"")</f>
        <v/>
      </c>
      <c r="I821" t="str">
        <f>IFERROR(IF(OR(HLOOKUP($A821,#REF!,7,FALSE)&gt;2,HLOOKUP($A821,#REF!,7,FALSE)&lt;-2),"",#REF!),"")</f>
        <v/>
      </c>
      <c r="J821" t="str">
        <f>IFERROR(IF(OR(HLOOKUP($A821,#REF!,8,FALSE)&gt;2,HLOOKUP($A821,#REF!,8,FALSE)&lt;-2),"",#REF!),"")</f>
        <v/>
      </c>
      <c r="K821" t="str">
        <f>IFERROR(IF(OR(HLOOKUP($A821,#REF!,9,FALSE)&gt;2,HLOOKUP($A821,#REF!,9,FALSE)&lt;-2),"",#REF!),"")</f>
        <v/>
      </c>
      <c r="L821" t="str">
        <f>IFERROR(IF(OR(HLOOKUP($A821,#REF!,10,FALSE)&gt;2,HLOOKUP($A821,#REF!,10,FALSE)&lt;-2),"",#REF!),"")</f>
        <v/>
      </c>
      <c r="M821" t="str">
        <f>IFERROR(IF(OR(HLOOKUP($A821,#REF!,11,FALSE)&gt;2,HLOOKUP($A821,#REF!,11,FALSE)&lt;-2),"",#REF!),"")</f>
        <v/>
      </c>
      <c r="N821" t="str">
        <f>IFERROR(IF(OR(HLOOKUP($A821,#REF!,12,FALSE)&gt;2,HLOOKUP($A821,#REF!,12,FALSE)&lt;-2),"",#REF!),"")</f>
        <v/>
      </c>
      <c r="O821" t="str">
        <f>IFERROR(IF(OR(HLOOKUP($A821,#REF!,13,FALSE)&gt;2,HLOOKUP($A821,#REF!,13,FALSE)&lt;-2),"",#REF!),"")</f>
        <v/>
      </c>
      <c r="P821" t="str">
        <f>IFERROR(IF(OR(HLOOKUP($A821,#REF!,14,FALSE)&gt;2,HLOOKUP($A821,#REF!,14,FALSE)&lt;-2),"",#REF!),"")</f>
        <v/>
      </c>
      <c r="Q821" t="str">
        <f>IFERROR(IF(OR(HLOOKUP($A821,#REF!,15,FALSE)&gt;2,HLOOKUP($A821,#REF!,15,FALSE)&lt;-2),"",#REF!),"")</f>
        <v/>
      </c>
      <c r="R821" t="str">
        <f>IFERROR(IF(OR(HLOOKUP($A821,#REF!,16,FALSE)&gt;2,HLOOKUP($A821,#REF!,16,FALSE)&lt;-2),"",#REF!),"")</f>
        <v/>
      </c>
      <c r="S821" t="str">
        <f>IFERROR(IF(OR(HLOOKUP($A821,#REF!,17,FALSE)&gt;2,HLOOKUP($A821,#REF!,17,FALSE)&lt;-2),"",#REF!),"")</f>
        <v/>
      </c>
      <c r="T821" t="str">
        <f>IFERROR(IF(OR(HLOOKUP($A821,#REF!,18,FALSE)&gt;2,HLOOKUP($A821,#REF!,18,FALSE)&lt;-2),"",#REF!),"")</f>
        <v/>
      </c>
      <c r="U821" t="str">
        <f>IFERROR(IF(OR(HLOOKUP($A821,#REF!,19,FALSE)&gt;2,HLOOKUP($A821,#REF!,19,FALSE)&lt;-2),"",#REF!),"")</f>
        <v/>
      </c>
      <c r="V821">
        <f t="shared" si="48"/>
        <v>1</v>
      </c>
      <c r="W821" t="str">
        <f t="shared" si="49"/>
        <v/>
      </c>
      <c r="X821" t="str">
        <f t="shared" si="50"/>
        <v/>
      </c>
      <c r="Y821" t="str">
        <f t="shared" si="51"/>
        <v/>
      </c>
    </row>
    <row r="822" spans="1:25" x14ac:dyDescent="0.35">
      <c r="A822">
        <v>830</v>
      </c>
      <c r="B822" t="s">
        <v>399</v>
      </c>
      <c r="C822">
        <v>72400</v>
      </c>
      <c r="D822">
        <v>141</v>
      </c>
      <c r="E822" t="str">
        <f>IFERROR(IF(OR(HLOOKUP($A822,#REF!,3,FALSE)&gt;2,HLOOKUP(A822,#REF!,3,FALSE)&lt;-2),"",#REF!),"")</f>
        <v/>
      </c>
      <c r="F822" t="str">
        <f>IFERROR(IF(OR(HLOOKUP($A822,#REF!,4,FALSE)&gt;2,HLOOKUP($A822,#REF!,4,FALSE)&lt;-2),"",#REF!),"")</f>
        <v/>
      </c>
      <c r="G822" t="str">
        <f>IFERROR(IF(OR(HLOOKUP($A822,#REF!,5,FALSE)&gt;2,HLOOKUP($A822,#REF!,5,FALSE)&lt;-2),"",#REF!),"")</f>
        <v/>
      </c>
      <c r="H822" t="str">
        <f>IFERROR(IF(OR(HLOOKUP($A822,#REF!,6,FALSE)&gt;2,HLOOKUP($A822,#REF!,6,FALSE)&lt;-2),"",#REF!),"")</f>
        <v/>
      </c>
      <c r="I822" t="str">
        <f>IFERROR(IF(OR(HLOOKUP($A822,#REF!,7,FALSE)&gt;2,HLOOKUP($A822,#REF!,7,FALSE)&lt;-2),"",#REF!),"")</f>
        <v/>
      </c>
      <c r="J822" t="str">
        <f>IFERROR(IF(OR(HLOOKUP($A822,#REF!,8,FALSE)&gt;2,HLOOKUP($A822,#REF!,8,FALSE)&lt;-2),"",#REF!),"")</f>
        <v/>
      </c>
      <c r="K822" t="str">
        <f>IFERROR(IF(OR(HLOOKUP($A822,#REF!,9,FALSE)&gt;2,HLOOKUP($A822,#REF!,9,FALSE)&lt;-2),"",#REF!),"")</f>
        <v/>
      </c>
      <c r="L822" t="str">
        <f>IFERROR(IF(OR(HLOOKUP($A822,#REF!,10,FALSE)&gt;2,HLOOKUP($A822,#REF!,10,FALSE)&lt;-2),"",#REF!),"")</f>
        <v/>
      </c>
      <c r="M822" t="str">
        <f>IFERROR(IF(OR(HLOOKUP($A822,#REF!,11,FALSE)&gt;2,HLOOKUP($A822,#REF!,11,FALSE)&lt;-2),"",#REF!),"")</f>
        <v/>
      </c>
      <c r="N822" t="str">
        <f>IFERROR(IF(OR(HLOOKUP($A822,#REF!,12,FALSE)&gt;2,HLOOKUP($A822,#REF!,12,FALSE)&lt;-2),"",#REF!),"")</f>
        <v/>
      </c>
      <c r="O822" t="str">
        <f>IFERROR(IF(OR(HLOOKUP($A822,#REF!,13,FALSE)&gt;2,HLOOKUP($A822,#REF!,13,FALSE)&lt;-2),"",#REF!),"")</f>
        <v/>
      </c>
      <c r="P822" t="str">
        <f>IFERROR(IF(OR(HLOOKUP($A822,#REF!,14,FALSE)&gt;2,HLOOKUP($A822,#REF!,14,FALSE)&lt;-2),"",#REF!),"")</f>
        <v/>
      </c>
      <c r="Q822" t="str">
        <f>IFERROR(IF(OR(HLOOKUP($A822,#REF!,15,FALSE)&gt;2,HLOOKUP($A822,#REF!,15,FALSE)&lt;-2),"",#REF!),"")</f>
        <v/>
      </c>
      <c r="R822" t="str">
        <f>IFERROR(IF(OR(HLOOKUP($A822,#REF!,16,FALSE)&gt;2,HLOOKUP($A822,#REF!,16,FALSE)&lt;-2),"",#REF!),"")</f>
        <v/>
      </c>
      <c r="S822" t="str">
        <f>IFERROR(IF(OR(HLOOKUP($A822,#REF!,17,FALSE)&gt;2,HLOOKUP($A822,#REF!,17,FALSE)&lt;-2),"",#REF!),"")</f>
        <v/>
      </c>
      <c r="T822" t="str">
        <f>IFERROR(IF(OR(HLOOKUP($A822,#REF!,18,FALSE)&gt;2,HLOOKUP($A822,#REF!,18,FALSE)&lt;-2),"",#REF!),"")</f>
        <v/>
      </c>
      <c r="U822" t="str">
        <f>IFERROR(IF(OR(HLOOKUP($A822,#REF!,19,FALSE)&gt;2,HLOOKUP($A822,#REF!,19,FALSE)&lt;-2),"",#REF!),"")</f>
        <v/>
      </c>
      <c r="V822">
        <f t="shared" si="48"/>
        <v>1</v>
      </c>
      <c r="W822" t="str">
        <f t="shared" si="49"/>
        <v/>
      </c>
      <c r="X822" t="str">
        <f t="shared" si="50"/>
        <v/>
      </c>
      <c r="Y822" t="str">
        <f t="shared" si="51"/>
        <v/>
      </c>
    </row>
    <row r="823" spans="1:25" x14ac:dyDescent="0.35">
      <c r="A823">
        <v>831</v>
      </c>
      <c r="B823" t="s">
        <v>400</v>
      </c>
      <c r="C823">
        <v>23900</v>
      </c>
      <c r="D823">
        <v>104</v>
      </c>
      <c r="E823" t="str">
        <f>IFERROR(IF(OR(HLOOKUP($A823,#REF!,3,FALSE)&gt;2,HLOOKUP(A823,#REF!,3,FALSE)&lt;-2),"",#REF!),"")</f>
        <v/>
      </c>
      <c r="F823" t="str">
        <f>IFERROR(IF(OR(HLOOKUP($A823,#REF!,4,FALSE)&gt;2,HLOOKUP($A823,#REF!,4,FALSE)&lt;-2),"",#REF!),"")</f>
        <v/>
      </c>
      <c r="G823" t="str">
        <f>IFERROR(IF(OR(HLOOKUP($A823,#REF!,5,FALSE)&gt;2,HLOOKUP($A823,#REF!,5,FALSE)&lt;-2),"",#REF!),"")</f>
        <v/>
      </c>
      <c r="H823" t="str">
        <f>IFERROR(IF(OR(HLOOKUP($A823,#REF!,6,FALSE)&gt;2,HLOOKUP($A823,#REF!,6,FALSE)&lt;-2),"",#REF!),"")</f>
        <v/>
      </c>
      <c r="I823" t="str">
        <f>IFERROR(IF(OR(HLOOKUP($A823,#REF!,7,FALSE)&gt;2,HLOOKUP($A823,#REF!,7,FALSE)&lt;-2),"",#REF!),"")</f>
        <v/>
      </c>
      <c r="J823" t="str">
        <f>IFERROR(IF(OR(HLOOKUP($A823,#REF!,8,FALSE)&gt;2,HLOOKUP($A823,#REF!,8,FALSE)&lt;-2),"",#REF!),"")</f>
        <v/>
      </c>
      <c r="K823" t="str">
        <f>IFERROR(IF(OR(HLOOKUP($A823,#REF!,9,FALSE)&gt;2,HLOOKUP($A823,#REF!,9,FALSE)&lt;-2),"",#REF!),"")</f>
        <v/>
      </c>
      <c r="L823" t="str">
        <f>IFERROR(IF(OR(HLOOKUP($A823,#REF!,10,FALSE)&gt;2,HLOOKUP($A823,#REF!,10,FALSE)&lt;-2),"",#REF!),"")</f>
        <v/>
      </c>
      <c r="M823" t="str">
        <f>IFERROR(IF(OR(HLOOKUP($A823,#REF!,11,FALSE)&gt;2,HLOOKUP($A823,#REF!,11,FALSE)&lt;-2),"",#REF!),"")</f>
        <v/>
      </c>
      <c r="N823" t="str">
        <f>IFERROR(IF(OR(HLOOKUP($A823,#REF!,12,FALSE)&gt;2,HLOOKUP($A823,#REF!,12,FALSE)&lt;-2),"",#REF!),"")</f>
        <v/>
      </c>
      <c r="O823" t="str">
        <f>IFERROR(IF(OR(HLOOKUP($A823,#REF!,13,FALSE)&gt;2,HLOOKUP($A823,#REF!,13,FALSE)&lt;-2),"",#REF!),"")</f>
        <v/>
      </c>
      <c r="P823" t="str">
        <f>IFERROR(IF(OR(HLOOKUP($A823,#REF!,14,FALSE)&gt;2,HLOOKUP($A823,#REF!,14,FALSE)&lt;-2),"",#REF!),"")</f>
        <v/>
      </c>
      <c r="Q823" t="str">
        <f>IFERROR(IF(OR(HLOOKUP($A823,#REF!,15,FALSE)&gt;2,HLOOKUP($A823,#REF!,15,FALSE)&lt;-2),"",#REF!),"")</f>
        <v/>
      </c>
      <c r="R823" t="str">
        <f>IFERROR(IF(OR(HLOOKUP($A823,#REF!,16,FALSE)&gt;2,HLOOKUP($A823,#REF!,16,FALSE)&lt;-2),"",#REF!),"")</f>
        <v/>
      </c>
      <c r="S823" t="str">
        <f>IFERROR(IF(OR(HLOOKUP($A823,#REF!,17,FALSE)&gt;2,HLOOKUP($A823,#REF!,17,FALSE)&lt;-2),"",#REF!),"")</f>
        <v/>
      </c>
      <c r="T823" t="str">
        <f>IFERROR(IF(OR(HLOOKUP($A823,#REF!,18,FALSE)&gt;2,HLOOKUP($A823,#REF!,18,FALSE)&lt;-2),"",#REF!),"")</f>
        <v/>
      </c>
      <c r="U823" t="str">
        <f>IFERROR(IF(OR(HLOOKUP($A823,#REF!,19,FALSE)&gt;2,HLOOKUP($A823,#REF!,19,FALSE)&lt;-2),"",#REF!),"")</f>
        <v/>
      </c>
      <c r="V823">
        <f t="shared" si="48"/>
        <v>1</v>
      </c>
      <c r="W823" t="str">
        <f t="shared" si="49"/>
        <v/>
      </c>
      <c r="X823" t="str">
        <f t="shared" si="50"/>
        <v/>
      </c>
      <c r="Y823" t="str">
        <f t="shared" si="51"/>
        <v/>
      </c>
    </row>
    <row r="824" spans="1:25" x14ac:dyDescent="0.35">
      <c r="A824">
        <v>832</v>
      </c>
      <c r="B824" t="s">
        <v>1026</v>
      </c>
      <c r="C824">
        <v>99000</v>
      </c>
      <c r="D824">
        <v>967</v>
      </c>
      <c r="E824" t="str">
        <f>IFERROR(IF(OR(HLOOKUP($A824,#REF!,3,FALSE)&gt;2,HLOOKUP(A824,#REF!,3,FALSE)&lt;-2),"",#REF!),"")</f>
        <v/>
      </c>
      <c r="F824" t="str">
        <f>IFERROR(IF(OR(HLOOKUP($A824,#REF!,4,FALSE)&gt;2,HLOOKUP($A824,#REF!,4,FALSE)&lt;-2),"",#REF!),"")</f>
        <v/>
      </c>
      <c r="G824" t="str">
        <f>IFERROR(IF(OR(HLOOKUP($A824,#REF!,5,FALSE)&gt;2,HLOOKUP($A824,#REF!,5,FALSE)&lt;-2),"",#REF!),"")</f>
        <v/>
      </c>
      <c r="H824" t="str">
        <f>IFERROR(IF(OR(HLOOKUP($A824,#REF!,6,FALSE)&gt;2,HLOOKUP($A824,#REF!,6,FALSE)&lt;-2),"",#REF!),"")</f>
        <v/>
      </c>
      <c r="I824" t="str">
        <f>IFERROR(IF(OR(HLOOKUP($A824,#REF!,7,FALSE)&gt;2,HLOOKUP($A824,#REF!,7,FALSE)&lt;-2),"",#REF!),"")</f>
        <v/>
      </c>
      <c r="J824" t="str">
        <f>IFERROR(IF(OR(HLOOKUP($A824,#REF!,8,FALSE)&gt;2,HLOOKUP($A824,#REF!,8,FALSE)&lt;-2),"",#REF!),"")</f>
        <v/>
      </c>
      <c r="K824" t="str">
        <f>IFERROR(IF(OR(HLOOKUP($A824,#REF!,9,FALSE)&gt;2,HLOOKUP($A824,#REF!,9,FALSE)&lt;-2),"",#REF!),"")</f>
        <v/>
      </c>
      <c r="L824" t="str">
        <f>IFERROR(IF(OR(HLOOKUP($A824,#REF!,10,FALSE)&gt;2,HLOOKUP($A824,#REF!,10,FALSE)&lt;-2),"",#REF!),"")</f>
        <v/>
      </c>
      <c r="M824" t="str">
        <f>IFERROR(IF(OR(HLOOKUP($A824,#REF!,11,FALSE)&gt;2,HLOOKUP($A824,#REF!,11,FALSE)&lt;-2),"",#REF!),"")</f>
        <v/>
      </c>
      <c r="N824" t="str">
        <f>IFERROR(IF(OR(HLOOKUP($A824,#REF!,12,FALSE)&gt;2,HLOOKUP($A824,#REF!,12,FALSE)&lt;-2),"",#REF!),"")</f>
        <v/>
      </c>
      <c r="O824" t="str">
        <f>IFERROR(IF(OR(HLOOKUP($A824,#REF!,13,FALSE)&gt;2,HLOOKUP($A824,#REF!,13,FALSE)&lt;-2),"",#REF!),"")</f>
        <v/>
      </c>
      <c r="P824" t="str">
        <f>IFERROR(IF(OR(HLOOKUP($A824,#REF!,14,FALSE)&gt;2,HLOOKUP($A824,#REF!,14,FALSE)&lt;-2),"",#REF!),"")</f>
        <v/>
      </c>
      <c r="Q824" t="str">
        <f>IFERROR(IF(OR(HLOOKUP($A824,#REF!,15,FALSE)&gt;2,HLOOKUP($A824,#REF!,15,FALSE)&lt;-2),"",#REF!),"")</f>
        <v/>
      </c>
      <c r="R824" t="str">
        <f>IFERROR(IF(OR(HLOOKUP($A824,#REF!,16,FALSE)&gt;2,HLOOKUP($A824,#REF!,16,FALSE)&lt;-2),"",#REF!),"")</f>
        <v/>
      </c>
      <c r="S824" t="str">
        <f>IFERROR(IF(OR(HLOOKUP($A824,#REF!,17,FALSE)&gt;2,HLOOKUP($A824,#REF!,17,FALSE)&lt;-2),"",#REF!),"")</f>
        <v/>
      </c>
      <c r="T824" t="str">
        <f>IFERROR(IF(OR(HLOOKUP($A824,#REF!,18,FALSE)&gt;2,HLOOKUP($A824,#REF!,18,FALSE)&lt;-2),"",#REF!),"")</f>
        <v/>
      </c>
      <c r="U824" t="str">
        <f>IFERROR(IF(OR(HLOOKUP($A824,#REF!,19,FALSE)&gt;2,HLOOKUP($A824,#REF!,19,FALSE)&lt;-2),"",#REF!),"")</f>
        <v/>
      </c>
      <c r="V824">
        <f t="shared" si="48"/>
        <v>1</v>
      </c>
      <c r="W824" t="str">
        <f t="shared" si="49"/>
        <v/>
      </c>
      <c r="X824" t="str">
        <f t="shared" si="50"/>
        <v/>
      </c>
      <c r="Y824" t="str">
        <f t="shared" si="51"/>
        <v/>
      </c>
    </row>
    <row r="825" spans="1:25" x14ac:dyDescent="0.35">
      <c r="A825">
        <v>833</v>
      </c>
      <c r="B825" t="s">
        <v>1027</v>
      </c>
      <c r="C825">
        <v>113400</v>
      </c>
      <c r="D825">
        <v>349</v>
      </c>
      <c r="E825" t="str">
        <f>IFERROR(IF(OR(HLOOKUP($A825,#REF!,3,FALSE)&gt;2,HLOOKUP(A825,#REF!,3,FALSE)&lt;-2),"",#REF!),"")</f>
        <v/>
      </c>
      <c r="F825" t="str">
        <f>IFERROR(IF(OR(HLOOKUP($A825,#REF!,4,FALSE)&gt;2,HLOOKUP($A825,#REF!,4,FALSE)&lt;-2),"",#REF!),"")</f>
        <v/>
      </c>
      <c r="G825" t="str">
        <f>IFERROR(IF(OR(HLOOKUP($A825,#REF!,5,FALSE)&gt;2,HLOOKUP($A825,#REF!,5,FALSE)&lt;-2),"",#REF!),"")</f>
        <v/>
      </c>
      <c r="H825" t="str">
        <f>IFERROR(IF(OR(HLOOKUP($A825,#REF!,6,FALSE)&gt;2,HLOOKUP($A825,#REF!,6,FALSE)&lt;-2),"",#REF!),"")</f>
        <v/>
      </c>
      <c r="I825" t="str">
        <f>IFERROR(IF(OR(HLOOKUP($A825,#REF!,7,FALSE)&gt;2,HLOOKUP($A825,#REF!,7,FALSE)&lt;-2),"",#REF!),"")</f>
        <v/>
      </c>
      <c r="J825" t="str">
        <f>IFERROR(IF(OR(HLOOKUP($A825,#REF!,8,FALSE)&gt;2,HLOOKUP($A825,#REF!,8,FALSE)&lt;-2),"",#REF!),"")</f>
        <v/>
      </c>
      <c r="K825" t="str">
        <f>IFERROR(IF(OR(HLOOKUP($A825,#REF!,9,FALSE)&gt;2,HLOOKUP($A825,#REF!,9,FALSE)&lt;-2),"",#REF!),"")</f>
        <v/>
      </c>
      <c r="L825" t="str">
        <f>IFERROR(IF(OR(HLOOKUP($A825,#REF!,10,FALSE)&gt;2,HLOOKUP($A825,#REF!,10,FALSE)&lt;-2),"",#REF!),"")</f>
        <v/>
      </c>
      <c r="M825" t="str">
        <f>IFERROR(IF(OR(HLOOKUP($A825,#REF!,11,FALSE)&gt;2,HLOOKUP($A825,#REF!,11,FALSE)&lt;-2),"",#REF!),"")</f>
        <v/>
      </c>
      <c r="N825" t="str">
        <f>IFERROR(IF(OR(HLOOKUP($A825,#REF!,12,FALSE)&gt;2,HLOOKUP($A825,#REF!,12,FALSE)&lt;-2),"",#REF!),"")</f>
        <v/>
      </c>
      <c r="O825" t="str">
        <f>IFERROR(IF(OR(HLOOKUP($A825,#REF!,13,FALSE)&gt;2,HLOOKUP($A825,#REF!,13,FALSE)&lt;-2),"",#REF!),"")</f>
        <v/>
      </c>
      <c r="P825" t="str">
        <f>IFERROR(IF(OR(HLOOKUP($A825,#REF!,14,FALSE)&gt;2,HLOOKUP($A825,#REF!,14,FALSE)&lt;-2),"",#REF!),"")</f>
        <v/>
      </c>
      <c r="Q825" t="str">
        <f>IFERROR(IF(OR(HLOOKUP($A825,#REF!,15,FALSE)&gt;2,HLOOKUP($A825,#REF!,15,FALSE)&lt;-2),"",#REF!),"")</f>
        <v/>
      </c>
      <c r="R825" t="str">
        <f>IFERROR(IF(OR(HLOOKUP($A825,#REF!,16,FALSE)&gt;2,HLOOKUP($A825,#REF!,16,FALSE)&lt;-2),"",#REF!),"")</f>
        <v/>
      </c>
      <c r="S825" t="str">
        <f>IFERROR(IF(OR(HLOOKUP($A825,#REF!,17,FALSE)&gt;2,HLOOKUP($A825,#REF!,17,FALSE)&lt;-2),"",#REF!),"")</f>
        <v/>
      </c>
      <c r="T825" t="str">
        <f>IFERROR(IF(OR(HLOOKUP($A825,#REF!,18,FALSE)&gt;2,HLOOKUP($A825,#REF!,18,FALSE)&lt;-2),"",#REF!),"")</f>
        <v/>
      </c>
      <c r="U825" t="str">
        <f>IFERROR(IF(OR(HLOOKUP($A825,#REF!,19,FALSE)&gt;2,HLOOKUP($A825,#REF!,19,FALSE)&lt;-2),"",#REF!),"")</f>
        <v/>
      </c>
      <c r="V825">
        <f t="shared" si="48"/>
        <v>1</v>
      </c>
      <c r="W825" t="str">
        <f t="shared" si="49"/>
        <v/>
      </c>
      <c r="X825" t="str">
        <f t="shared" si="50"/>
        <v/>
      </c>
      <c r="Y825" t="str">
        <f t="shared" si="51"/>
        <v/>
      </c>
    </row>
    <row r="826" spans="1:25" x14ac:dyDescent="0.35">
      <c r="A826">
        <v>834</v>
      </c>
      <c r="B826" t="s">
        <v>1028</v>
      </c>
      <c r="C826">
        <v>79000</v>
      </c>
      <c r="D826">
        <v>302</v>
      </c>
      <c r="E826" t="str">
        <f>IFERROR(IF(OR(HLOOKUP($A826,#REF!,3,FALSE)&gt;2,HLOOKUP(A826,#REF!,3,FALSE)&lt;-2),"",#REF!),"")</f>
        <v/>
      </c>
      <c r="F826" t="str">
        <f>IFERROR(IF(OR(HLOOKUP($A826,#REF!,4,FALSE)&gt;2,HLOOKUP($A826,#REF!,4,FALSE)&lt;-2),"",#REF!),"")</f>
        <v/>
      </c>
      <c r="G826" t="str">
        <f>IFERROR(IF(OR(HLOOKUP($A826,#REF!,5,FALSE)&gt;2,HLOOKUP($A826,#REF!,5,FALSE)&lt;-2),"",#REF!),"")</f>
        <v/>
      </c>
      <c r="H826" t="str">
        <f>IFERROR(IF(OR(HLOOKUP($A826,#REF!,6,FALSE)&gt;2,HLOOKUP($A826,#REF!,6,FALSE)&lt;-2),"",#REF!),"")</f>
        <v/>
      </c>
      <c r="I826" t="str">
        <f>IFERROR(IF(OR(HLOOKUP($A826,#REF!,7,FALSE)&gt;2,HLOOKUP($A826,#REF!,7,FALSE)&lt;-2),"",#REF!),"")</f>
        <v/>
      </c>
      <c r="J826" t="str">
        <f>IFERROR(IF(OR(HLOOKUP($A826,#REF!,8,FALSE)&gt;2,HLOOKUP($A826,#REF!,8,FALSE)&lt;-2),"",#REF!),"")</f>
        <v/>
      </c>
      <c r="K826" t="str">
        <f>IFERROR(IF(OR(HLOOKUP($A826,#REF!,9,FALSE)&gt;2,HLOOKUP($A826,#REF!,9,FALSE)&lt;-2),"",#REF!),"")</f>
        <v/>
      </c>
      <c r="L826" t="str">
        <f>IFERROR(IF(OR(HLOOKUP($A826,#REF!,10,FALSE)&gt;2,HLOOKUP($A826,#REF!,10,FALSE)&lt;-2),"",#REF!),"")</f>
        <v/>
      </c>
      <c r="M826" t="str">
        <f>IFERROR(IF(OR(HLOOKUP($A826,#REF!,11,FALSE)&gt;2,HLOOKUP($A826,#REF!,11,FALSE)&lt;-2),"",#REF!),"")</f>
        <v/>
      </c>
      <c r="N826" t="str">
        <f>IFERROR(IF(OR(HLOOKUP($A826,#REF!,12,FALSE)&gt;2,HLOOKUP($A826,#REF!,12,FALSE)&lt;-2),"",#REF!),"")</f>
        <v/>
      </c>
      <c r="O826" t="str">
        <f>IFERROR(IF(OR(HLOOKUP($A826,#REF!,13,FALSE)&gt;2,HLOOKUP($A826,#REF!,13,FALSE)&lt;-2),"",#REF!),"")</f>
        <v/>
      </c>
      <c r="P826" t="str">
        <f>IFERROR(IF(OR(HLOOKUP($A826,#REF!,14,FALSE)&gt;2,HLOOKUP($A826,#REF!,14,FALSE)&lt;-2),"",#REF!),"")</f>
        <v/>
      </c>
      <c r="Q826" t="str">
        <f>IFERROR(IF(OR(HLOOKUP($A826,#REF!,15,FALSE)&gt;2,HLOOKUP($A826,#REF!,15,FALSE)&lt;-2),"",#REF!),"")</f>
        <v/>
      </c>
      <c r="R826" t="str">
        <f>IFERROR(IF(OR(HLOOKUP($A826,#REF!,16,FALSE)&gt;2,HLOOKUP($A826,#REF!,16,FALSE)&lt;-2),"",#REF!),"")</f>
        <v/>
      </c>
      <c r="S826" t="str">
        <f>IFERROR(IF(OR(HLOOKUP($A826,#REF!,17,FALSE)&gt;2,HLOOKUP($A826,#REF!,17,FALSE)&lt;-2),"",#REF!),"")</f>
        <v/>
      </c>
      <c r="T826" t="str">
        <f>IFERROR(IF(OR(HLOOKUP($A826,#REF!,18,FALSE)&gt;2,HLOOKUP($A826,#REF!,18,FALSE)&lt;-2),"",#REF!),"")</f>
        <v/>
      </c>
      <c r="U826" t="str">
        <f>IFERROR(IF(OR(HLOOKUP($A826,#REF!,19,FALSE)&gt;2,HLOOKUP($A826,#REF!,19,FALSE)&lt;-2),"",#REF!),"")</f>
        <v/>
      </c>
      <c r="V826">
        <f t="shared" si="48"/>
        <v>1</v>
      </c>
      <c r="W826" t="str">
        <f t="shared" si="49"/>
        <v/>
      </c>
      <c r="X826" t="str">
        <f t="shared" si="50"/>
        <v/>
      </c>
      <c r="Y826" t="str">
        <f t="shared" si="51"/>
        <v/>
      </c>
    </row>
    <row r="827" spans="1:25" x14ac:dyDescent="0.35">
      <c r="A827">
        <v>835</v>
      </c>
      <c r="B827" t="s">
        <v>1029</v>
      </c>
      <c r="C827">
        <v>52000</v>
      </c>
      <c r="D827">
        <v>803</v>
      </c>
      <c r="E827" t="str">
        <f>IFERROR(IF(OR(HLOOKUP($A827,#REF!,3,FALSE)&gt;2,HLOOKUP(A827,#REF!,3,FALSE)&lt;-2),"",#REF!),"")</f>
        <v/>
      </c>
      <c r="F827" t="str">
        <f>IFERROR(IF(OR(HLOOKUP($A827,#REF!,4,FALSE)&gt;2,HLOOKUP($A827,#REF!,4,FALSE)&lt;-2),"",#REF!),"")</f>
        <v/>
      </c>
      <c r="G827" t="str">
        <f>IFERROR(IF(OR(HLOOKUP($A827,#REF!,5,FALSE)&gt;2,HLOOKUP($A827,#REF!,5,FALSE)&lt;-2),"",#REF!),"")</f>
        <v/>
      </c>
      <c r="H827" t="str">
        <f>IFERROR(IF(OR(HLOOKUP($A827,#REF!,6,FALSE)&gt;2,HLOOKUP($A827,#REF!,6,FALSE)&lt;-2),"",#REF!),"")</f>
        <v/>
      </c>
      <c r="I827" t="str">
        <f>IFERROR(IF(OR(HLOOKUP($A827,#REF!,7,FALSE)&gt;2,HLOOKUP($A827,#REF!,7,FALSE)&lt;-2),"",#REF!),"")</f>
        <v/>
      </c>
      <c r="J827" t="str">
        <f>IFERROR(IF(OR(HLOOKUP($A827,#REF!,8,FALSE)&gt;2,HLOOKUP($A827,#REF!,8,FALSE)&lt;-2),"",#REF!),"")</f>
        <v/>
      </c>
      <c r="K827" t="str">
        <f>IFERROR(IF(OR(HLOOKUP($A827,#REF!,9,FALSE)&gt;2,HLOOKUP($A827,#REF!,9,FALSE)&lt;-2),"",#REF!),"")</f>
        <v/>
      </c>
      <c r="L827" t="str">
        <f>IFERROR(IF(OR(HLOOKUP($A827,#REF!,10,FALSE)&gt;2,HLOOKUP($A827,#REF!,10,FALSE)&lt;-2),"",#REF!),"")</f>
        <v/>
      </c>
      <c r="M827" t="str">
        <f>IFERROR(IF(OR(HLOOKUP($A827,#REF!,11,FALSE)&gt;2,HLOOKUP($A827,#REF!,11,FALSE)&lt;-2),"",#REF!),"")</f>
        <v/>
      </c>
      <c r="N827" t="str">
        <f>IFERROR(IF(OR(HLOOKUP($A827,#REF!,12,FALSE)&gt;2,HLOOKUP($A827,#REF!,12,FALSE)&lt;-2),"",#REF!),"")</f>
        <v/>
      </c>
      <c r="O827" t="str">
        <f>IFERROR(IF(OR(HLOOKUP($A827,#REF!,13,FALSE)&gt;2,HLOOKUP($A827,#REF!,13,FALSE)&lt;-2),"",#REF!),"")</f>
        <v/>
      </c>
      <c r="P827" t="str">
        <f>IFERROR(IF(OR(HLOOKUP($A827,#REF!,14,FALSE)&gt;2,HLOOKUP($A827,#REF!,14,FALSE)&lt;-2),"",#REF!),"")</f>
        <v/>
      </c>
      <c r="Q827" t="str">
        <f>IFERROR(IF(OR(HLOOKUP($A827,#REF!,15,FALSE)&gt;2,HLOOKUP($A827,#REF!,15,FALSE)&lt;-2),"",#REF!),"")</f>
        <v/>
      </c>
      <c r="R827" t="str">
        <f>IFERROR(IF(OR(HLOOKUP($A827,#REF!,16,FALSE)&gt;2,HLOOKUP($A827,#REF!,16,FALSE)&lt;-2),"",#REF!),"")</f>
        <v/>
      </c>
      <c r="S827" t="str">
        <f>IFERROR(IF(OR(HLOOKUP($A827,#REF!,17,FALSE)&gt;2,HLOOKUP($A827,#REF!,17,FALSE)&lt;-2),"",#REF!),"")</f>
        <v/>
      </c>
      <c r="T827" t="str">
        <f>IFERROR(IF(OR(HLOOKUP($A827,#REF!,18,FALSE)&gt;2,HLOOKUP($A827,#REF!,18,FALSE)&lt;-2),"",#REF!),"")</f>
        <v/>
      </c>
      <c r="U827" t="str">
        <f>IFERROR(IF(OR(HLOOKUP($A827,#REF!,19,FALSE)&gt;2,HLOOKUP($A827,#REF!,19,FALSE)&lt;-2),"",#REF!),"")</f>
        <v/>
      </c>
      <c r="V827">
        <f t="shared" si="48"/>
        <v>1</v>
      </c>
      <c r="W827" t="str">
        <f t="shared" si="49"/>
        <v/>
      </c>
      <c r="X827" t="str">
        <f t="shared" si="50"/>
        <v/>
      </c>
      <c r="Y827" t="str">
        <f t="shared" si="51"/>
        <v/>
      </c>
    </row>
    <row r="828" spans="1:25" x14ac:dyDescent="0.35">
      <c r="A828">
        <v>836</v>
      </c>
      <c r="B828" t="s">
        <v>401</v>
      </c>
      <c r="C828">
        <v>29400</v>
      </c>
      <c r="D828">
        <v>895</v>
      </c>
      <c r="E828" t="str">
        <f>IFERROR(IF(OR(HLOOKUP($A828,#REF!,3,FALSE)&gt;2,HLOOKUP(A828,#REF!,3,FALSE)&lt;-2),"",#REF!),"")</f>
        <v/>
      </c>
      <c r="F828" t="str">
        <f>IFERROR(IF(OR(HLOOKUP($A828,#REF!,4,FALSE)&gt;2,HLOOKUP($A828,#REF!,4,FALSE)&lt;-2),"",#REF!),"")</f>
        <v/>
      </c>
      <c r="G828" t="str">
        <f>IFERROR(IF(OR(HLOOKUP($A828,#REF!,5,FALSE)&gt;2,HLOOKUP($A828,#REF!,5,FALSE)&lt;-2),"",#REF!),"")</f>
        <v/>
      </c>
      <c r="H828" t="str">
        <f>IFERROR(IF(OR(HLOOKUP($A828,#REF!,6,FALSE)&gt;2,HLOOKUP($A828,#REF!,6,FALSE)&lt;-2),"",#REF!),"")</f>
        <v/>
      </c>
      <c r="I828" t="str">
        <f>IFERROR(IF(OR(HLOOKUP($A828,#REF!,7,FALSE)&gt;2,HLOOKUP($A828,#REF!,7,FALSE)&lt;-2),"",#REF!),"")</f>
        <v/>
      </c>
      <c r="J828" t="str">
        <f>IFERROR(IF(OR(HLOOKUP($A828,#REF!,8,FALSE)&gt;2,HLOOKUP($A828,#REF!,8,FALSE)&lt;-2),"",#REF!),"")</f>
        <v/>
      </c>
      <c r="K828" t="str">
        <f>IFERROR(IF(OR(HLOOKUP($A828,#REF!,9,FALSE)&gt;2,HLOOKUP($A828,#REF!,9,FALSE)&lt;-2),"",#REF!),"")</f>
        <v/>
      </c>
      <c r="L828" t="str">
        <f>IFERROR(IF(OR(HLOOKUP($A828,#REF!,10,FALSE)&gt;2,HLOOKUP($A828,#REF!,10,FALSE)&lt;-2),"",#REF!),"")</f>
        <v/>
      </c>
      <c r="M828" t="str">
        <f>IFERROR(IF(OR(HLOOKUP($A828,#REF!,11,FALSE)&gt;2,HLOOKUP($A828,#REF!,11,FALSE)&lt;-2),"",#REF!),"")</f>
        <v/>
      </c>
      <c r="N828" t="str">
        <f>IFERROR(IF(OR(HLOOKUP($A828,#REF!,12,FALSE)&gt;2,HLOOKUP($A828,#REF!,12,FALSE)&lt;-2),"",#REF!),"")</f>
        <v/>
      </c>
      <c r="O828" t="str">
        <f>IFERROR(IF(OR(HLOOKUP($A828,#REF!,13,FALSE)&gt;2,HLOOKUP($A828,#REF!,13,FALSE)&lt;-2),"",#REF!),"")</f>
        <v/>
      </c>
      <c r="P828" t="str">
        <f>IFERROR(IF(OR(HLOOKUP($A828,#REF!,14,FALSE)&gt;2,HLOOKUP($A828,#REF!,14,FALSE)&lt;-2),"",#REF!),"")</f>
        <v/>
      </c>
      <c r="Q828" t="str">
        <f>IFERROR(IF(OR(HLOOKUP($A828,#REF!,15,FALSE)&gt;2,HLOOKUP($A828,#REF!,15,FALSE)&lt;-2),"",#REF!),"")</f>
        <v/>
      </c>
      <c r="R828" t="str">
        <f>IFERROR(IF(OR(HLOOKUP($A828,#REF!,16,FALSE)&gt;2,HLOOKUP($A828,#REF!,16,FALSE)&lt;-2),"",#REF!),"")</f>
        <v/>
      </c>
      <c r="S828" t="str">
        <f>IFERROR(IF(OR(HLOOKUP($A828,#REF!,17,FALSE)&gt;2,HLOOKUP($A828,#REF!,17,FALSE)&lt;-2),"",#REF!),"")</f>
        <v/>
      </c>
      <c r="T828" t="str">
        <f>IFERROR(IF(OR(HLOOKUP($A828,#REF!,18,FALSE)&gt;2,HLOOKUP($A828,#REF!,18,FALSE)&lt;-2),"",#REF!),"")</f>
        <v/>
      </c>
      <c r="U828" t="str">
        <f>IFERROR(IF(OR(HLOOKUP($A828,#REF!,19,FALSE)&gt;2,HLOOKUP($A828,#REF!,19,FALSE)&lt;-2),"",#REF!),"")</f>
        <v/>
      </c>
      <c r="V828">
        <f t="shared" si="48"/>
        <v>1</v>
      </c>
      <c r="W828" t="str">
        <f t="shared" si="49"/>
        <v/>
      </c>
      <c r="X828" t="str">
        <f t="shared" si="50"/>
        <v/>
      </c>
      <c r="Y828" t="str">
        <f t="shared" si="51"/>
        <v/>
      </c>
    </row>
    <row r="829" spans="1:25" x14ac:dyDescent="0.35">
      <c r="A829">
        <v>837</v>
      </c>
      <c r="B829" t="s">
        <v>1030</v>
      </c>
      <c r="C829">
        <v>45900</v>
      </c>
      <c r="D829">
        <v>509</v>
      </c>
      <c r="E829" t="str">
        <f>IFERROR(IF(OR(HLOOKUP($A829,#REF!,3,FALSE)&gt;2,HLOOKUP(A829,#REF!,3,FALSE)&lt;-2),"",#REF!),"")</f>
        <v/>
      </c>
      <c r="F829" t="str">
        <f>IFERROR(IF(OR(HLOOKUP($A829,#REF!,4,FALSE)&gt;2,HLOOKUP($A829,#REF!,4,FALSE)&lt;-2),"",#REF!),"")</f>
        <v/>
      </c>
      <c r="G829" t="str">
        <f>IFERROR(IF(OR(HLOOKUP($A829,#REF!,5,FALSE)&gt;2,HLOOKUP($A829,#REF!,5,FALSE)&lt;-2),"",#REF!),"")</f>
        <v/>
      </c>
      <c r="H829" t="str">
        <f>IFERROR(IF(OR(HLOOKUP($A829,#REF!,6,FALSE)&gt;2,HLOOKUP($A829,#REF!,6,FALSE)&lt;-2),"",#REF!),"")</f>
        <v/>
      </c>
      <c r="I829" t="str">
        <f>IFERROR(IF(OR(HLOOKUP($A829,#REF!,7,FALSE)&gt;2,HLOOKUP($A829,#REF!,7,FALSE)&lt;-2),"",#REF!),"")</f>
        <v/>
      </c>
      <c r="J829" t="str">
        <f>IFERROR(IF(OR(HLOOKUP($A829,#REF!,8,FALSE)&gt;2,HLOOKUP($A829,#REF!,8,FALSE)&lt;-2),"",#REF!),"")</f>
        <v/>
      </c>
      <c r="K829" t="str">
        <f>IFERROR(IF(OR(HLOOKUP($A829,#REF!,9,FALSE)&gt;2,HLOOKUP($A829,#REF!,9,FALSE)&lt;-2),"",#REF!),"")</f>
        <v/>
      </c>
      <c r="L829" t="str">
        <f>IFERROR(IF(OR(HLOOKUP($A829,#REF!,10,FALSE)&gt;2,HLOOKUP($A829,#REF!,10,FALSE)&lt;-2),"",#REF!),"")</f>
        <v/>
      </c>
      <c r="M829" t="str">
        <f>IFERROR(IF(OR(HLOOKUP($A829,#REF!,11,FALSE)&gt;2,HLOOKUP($A829,#REF!,11,FALSE)&lt;-2),"",#REF!),"")</f>
        <v/>
      </c>
      <c r="N829" t="str">
        <f>IFERROR(IF(OR(HLOOKUP($A829,#REF!,12,FALSE)&gt;2,HLOOKUP($A829,#REF!,12,FALSE)&lt;-2),"",#REF!),"")</f>
        <v/>
      </c>
      <c r="O829" t="str">
        <f>IFERROR(IF(OR(HLOOKUP($A829,#REF!,13,FALSE)&gt;2,HLOOKUP($A829,#REF!,13,FALSE)&lt;-2),"",#REF!),"")</f>
        <v/>
      </c>
      <c r="P829" t="str">
        <f>IFERROR(IF(OR(HLOOKUP($A829,#REF!,14,FALSE)&gt;2,HLOOKUP($A829,#REF!,14,FALSE)&lt;-2),"",#REF!),"")</f>
        <v/>
      </c>
      <c r="Q829" t="str">
        <f>IFERROR(IF(OR(HLOOKUP($A829,#REF!,15,FALSE)&gt;2,HLOOKUP($A829,#REF!,15,FALSE)&lt;-2),"",#REF!),"")</f>
        <v/>
      </c>
      <c r="R829" t="str">
        <f>IFERROR(IF(OR(HLOOKUP($A829,#REF!,16,FALSE)&gt;2,HLOOKUP($A829,#REF!,16,FALSE)&lt;-2),"",#REF!),"")</f>
        <v/>
      </c>
      <c r="S829" t="str">
        <f>IFERROR(IF(OR(HLOOKUP($A829,#REF!,17,FALSE)&gt;2,HLOOKUP($A829,#REF!,17,FALSE)&lt;-2),"",#REF!),"")</f>
        <v/>
      </c>
      <c r="T829" t="str">
        <f>IFERROR(IF(OR(HLOOKUP($A829,#REF!,18,FALSE)&gt;2,HLOOKUP($A829,#REF!,18,FALSE)&lt;-2),"",#REF!),"")</f>
        <v/>
      </c>
      <c r="U829" t="str">
        <f>IFERROR(IF(OR(HLOOKUP($A829,#REF!,19,FALSE)&gt;2,HLOOKUP($A829,#REF!,19,FALSE)&lt;-2),"",#REF!),"")</f>
        <v/>
      </c>
      <c r="V829">
        <f t="shared" si="48"/>
        <v>1</v>
      </c>
      <c r="W829" t="str">
        <f t="shared" si="49"/>
        <v/>
      </c>
      <c r="X829" t="str">
        <f t="shared" si="50"/>
        <v/>
      </c>
      <c r="Y829" t="str">
        <f t="shared" si="51"/>
        <v/>
      </c>
    </row>
    <row r="830" spans="1:25" x14ac:dyDescent="0.35">
      <c r="A830">
        <v>838</v>
      </c>
      <c r="B830" t="s">
        <v>402</v>
      </c>
      <c r="C830">
        <v>3700</v>
      </c>
      <c r="D830">
        <v>353</v>
      </c>
      <c r="E830" t="str">
        <f>IFERROR(IF(OR(HLOOKUP($A830,#REF!,3,FALSE)&gt;2,HLOOKUP(A830,#REF!,3,FALSE)&lt;-2),"",#REF!),"")</f>
        <v/>
      </c>
      <c r="F830" t="str">
        <f>IFERROR(IF(OR(HLOOKUP($A830,#REF!,4,FALSE)&gt;2,HLOOKUP($A830,#REF!,4,FALSE)&lt;-2),"",#REF!),"")</f>
        <v/>
      </c>
      <c r="G830" t="str">
        <f>IFERROR(IF(OR(HLOOKUP($A830,#REF!,5,FALSE)&gt;2,HLOOKUP($A830,#REF!,5,FALSE)&lt;-2),"",#REF!),"")</f>
        <v/>
      </c>
      <c r="H830" t="str">
        <f>IFERROR(IF(OR(HLOOKUP($A830,#REF!,6,FALSE)&gt;2,HLOOKUP($A830,#REF!,6,FALSE)&lt;-2),"",#REF!),"")</f>
        <v/>
      </c>
      <c r="I830" t="str">
        <f>IFERROR(IF(OR(HLOOKUP($A830,#REF!,7,FALSE)&gt;2,HLOOKUP($A830,#REF!,7,FALSE)&lt;-2),"",#REF!),"")</f>
        <v/>
      </c>
      <c r="J830" t="str">
        <f>IFERROR(IF(OR(HLOOKUP($A830,#REF!,8,FALSE)&gt;2,HLOOKUP($A830,#REF!,8,FALSE)&lt;-2),"",#REF!),"")</f>
        <v/>
      </c>
      <c r="K830" t="str">
        <f>IFERROR(IF(OR(HLOOKUP($A830,#REF!,9,FALSE)&gt;2,HLOOKUP($A830,#REF!,9,FALSE)&lt;-2),"",#REF!),"")</f>
        <v/>
      </c>
      <c r="L830" t="str">
        <f>IFERROR(IF(OR(HLOOKUP($A830,#REF!,10,FALSE)&gt;2,HLOOKUP($A830,#REF!,10,FALSE)&lt;-2),"",#REF!),"")</f>
        <v/>
      </c>
      <c r="M830" t="str">
        <f>IFERROR(IF(OR(HLOOKUP($A830,#REF!,11,FALSE)&gt;2,HLOOKUP($A830,#REF!,11,FALSE)&lt;-2),"",#REF!),"")</f>
        <v/>
      </c>
      <c r="N830" t="str">
        <f>IFERROR(IF(OR(HLOOKUP($A830,#REF!,12,FALSE)&gt;2,HLOOKUP($A830,#REF!,12,FALSE)&lt;-2),"",#REF!),"")</f>
        <v/>
      </c>
      <c r="O830" t="str">
        <f>IFERROR(IF(OR(HLOOKUP($A830,#REF!,13,FALSE)&gt;2,HLOOKUP($A830,#REF!,13,FALSE)&lt;-2),"",#REF!),"")</f>
        <v/>
      </c>
      <c r="P830" t="str">
        <f>IFERROR(IF(OR(HLOOKUP($A830,#REF!,14,FALSE)&gt;2,HLOOKUP($A830,#REF!,14,FALSE)&lt;-2),"",#REF!),"")</f>
        <v/>
      </c>
      <c r="Q830" t="str">
        <f>IFERROR(IF(OR(HLOOKUP($A830,#REF!,15,FALSE)&gt;2,HLOOKUP($A830,#REF!,15,FALSE)&lt;-2),"",#REF!),"")</f>
        <v/>
      </c>
      <c r="R830" t="str">
        <f>IFERROR(IF(OR(HLOOKUP($A830,#REF!,16,FALSE)&gt;2,HLOOKUP($A830,#REF!,16,FALSE)&lt;-2),"",#REF!),"")</f>
        <v/>
      </c>
      <c r="S830" t="str">
        <f>IFERROR(IF(OR(HLOOKUP($A830,#REF!,17,FALSE)&gt;2,HLOOKUP($A830,#REF!,17,FALSE)&lt;-2),"",#REF!),"")</f>
        <v/>
      </c>
      <c r="T830" t="str">
        <f>IFERROR(IF(OR(HLOOKUP($A830,#REF!,18,FALSE)&gt;2,HLOOKUP($A830,#REF!,18,FALSE)&lt;-2),"",#REF!),"")</f>
        <v/>
      </c>
      <c r="U830" t="str">
        <f>IFERROR(IF(OR(HLOOKUP($A830,#REF!,19,FALSE)&gt;2,HLOOKUP($A830,#REF!,19,FALSE)&lt;-2),"",#REF!),"")</f>
        <v/>
      </c>
      <c r="V830">
        <f t="shared" si="48"/>
        <v>1</v>
      </c>
      <c r="W830" t="str">
        <f t="shared" si="49"/>
        <v/>
      </c>
      <c r="X830" t="str">
        <f t="shared" si="50"/>
        <v/>
      </c>
      <c r="Y830" t="str">
        <f t="shared" si="51"/>
        <v/>
      </c>
    </row>
    <row r="831" spans="1:25" x14ac:dyDescent="0.35">
      <c r="A831">
        <v>839</v>
      </c>
      <c r="B831" t="s">
        <v>403</v>
      </c>
      <c r="C831">
        <v>93100</v>
      </c>
      <c r="D831">
        <v>370</v>
      </c>
      <c r="E831" t="str">
        <f>IFERROR(IF(OR(HLOOKUP($A831,#REF!,3,FALSE)&gt;2,HLOOKUP(A831,#REF!,3,FALSE)&lt;-2),"",#REF!),"")</f>
        <v/>
      </c>
      <c r="F831" t="str">
        <f>IFERROR(IF(OR(HLOOKUP($A831,#REF!,4,FALSE)&gt;2,HLOOKUP($A831,#REF!,4,FALSE)&lt;-2),"",#REF!),"")</f>
        <v/>
      </c>
      <c r="G831" t="str">
        <f>IFERROR(IF(OR(HLOOKUP($A831,#REF!,5,FALSE)&gt;2,HLOOKUP($A831,#REF!,5,FALSE)&lt;-2),"",#REF!),"")</f>
        <v/>
      </c>
      <c r="H831" t="str">
        <f>IFERROR(IF(OR(HLOOKUP($A831,#REF!,6,FALSE)&gt;2,HLOOKUP($A831,#REF!,6,FALSE)&lt;-2),"",#REF!),"")</f>
        <v/>
      </c>
      <c r="I831" t="str">
        <f>IFERROR(IF(OR(HLOOKUP($A831,#REF!,7,FALSE)&gt;2,HLOOKUP($A831,#REF!,7,FALSE)&lt;-2),"",#REF!),"")</f>
        <v/>
      </c>
      <c r="J831" t="str">
        <f>IFERROR(IF(OR(HLOOKUP($A831,#REF!,8,FALSE)&gt;2,HLOOKUP($A831,#REF!,8,FALSE)&lt;-2),"",#REF!),"")</f>
        <v/>
      </c>
      <c r="K831" t="str">
        <f>IFERROR(IF(OR(HLOOKUP($A831,#REF!,9,FALSE)&gt;2,HLOOKUP($A831,#REF!,9,FALSE)&lt;-2),"",#REF!),"")</f>
        <v/>
      </c>
      <c r="L831" t="str">
        <f>IFERROR(IF(OR(HLOOKUP($A831,#REF!,10,FALSE)&gt;2,HLOOKUP($A831,#REF!,10,FALSE)&lt;-2),"",#REF!),"")</f>
        <v/>
      </c>
      <c r="M831" t="str">
        <f>IFERROR(IF(OR(HLOOKUP($A831,#REF!,11,FALSE)&gt;2,HLOOKUP($A831,#REF!,11,FALSE)&lt;-2),"",#REF!),"")</f>
        <v/>
      </c>
      <c r="N831" t="str">
        <f>IFERROR(IF(OR(HLOOKUP($A831,#REF!,12,FALSE)&gt;2,HLOOKUP($A831,#REF!,12,FALSE)&lt;-2),"",#REF!),"")</f>
        <v/>
      </c>
      <c r="O831" t="str">
        <f>IFERROR(IF(OR(HLOOKUP($A831,#REF!,13,FALSE)&gt;2,HLOOKUP($A831,#REF!,13,FALSE)&lt;-2),"",#REF!),"")</f>
        <v/>
      </c>
      <c r="P831" t="str">
        <f>IFERROR(IF(OR(HLOOKUP($A831,#REF!,14,FALSE)&gt;2,HLOOKUP($A831,#REF!,14,FALSE)&lt;-2),"",#REF!),"")</f>
        <v/>
      </c>
      <c r="Q831" t="str">
        <f>IFERROR(IF(OR(HLOOKUP($A831,#REF!,15,FALSE)&gt;2,HLOOKUP($A831,#REF!,15,FALSE)&lt;-2),"",#REF!),"")</f>
        <v/>
      </c>
      <c r="R831" t="str">
        <f>IFERROR(IF(OR(HLOOKUP($A831,#REF!,16,FALSE)&gt;2,HLOOKUP($A831,#REF!,16,FALSE)&lt;-2),"",#REF!),"")</f>
        <v/>
      </c>
      <c r="S831" t="str">
        <f>IFERROR(IF(OR(HLOOKUP($A831,#REF!,17,FALSE)&gt;2,HLOOKUP($A831,#REF!,17,FALSE)&lt;-2),"",#REF!),"")</f>
        <v/>
      </c>
      <c r="T831" t="str">
        <f>IFERROR(IF(OR(HLOOKUP($A831,#REF!,18,FALSE)&gt;2,HLOOKUP($A831,#REF!,18,FALSE)&lt;-2),"",#REF!),"")</f>
        <v/>
      </c>
      <c r="U831" t="str">
        <f>IFERROR(IF(OR(HLOOKUP($A831,#REF!,19,FALSE)&gt;2,HLOOKUP($A831,#REF!,19,FALSE)&lt;-2),"",#REF!),"")</f>
        <v/>
      </c>
      <c r="V831">
        <f t="shared" si="48"/>
        <v>1</v>
      </c>
      <c r="W831" t="str">
        <f t="shared" si="49"/>
        <v/>
      </c>
      <c r="X831" t="str">
        <f t="shared" si="50"/>
        <v/>
      </c>
      <c r="Y831" t="str">
        <f t="shared" si="51"/>
        <v/>
      </c>
    </row>
    <row r="832" spans="1:25" x14ac:dyDescent="0.35">
      <c r="A832">
        <v>840</v>
      </c>
      <c r="B832" t="s">
        <v>1031</v>
      </c>
      <c r="C832">
        <v>97600</v>
      </c>
      <c r="D832">
        <v>967</v>
      </c>
      <c r="E832" t="str">
        <f>IFERROR(IF(OR(HLOOKUP($A832,#REF!,3,FALSE)&gt;2,HLOOKUP(A832,#REF!,3,FALSE)&lt;-2),"",#REF!),"")</f>
        <v/>
      </c>
      <c r="F832" t="str">
        <f>IFERROR(IF(OR(HLOOKUP($A832,#REF!,4,FALSE)&gt;2,HLOOKUP($A832,#REF!,4,FALSE)&lt;-2),"",#REF!),"")</f>
        <v/>
      </c>
      <c r="G832" t="str">
        <f>IFERROR(IF(OR(HLOOKUP($A832,#REF!,5,FALSE)&gt;2,HLOOKUP($A832,#REF!,5,FALSE)&lt;-2),"",#REF!),"")</f>
        <v/>
      </c>
      <c r="H832" t="str">
        <f>IFERROR(IF(OR(HLOOKUP($A832,#REF!,6,FALSE)&gt;2,HLOOKUP($A832,#REF!,6,FALSE)&lt;-2),"",#REF!),"")</f>
        <v/>
      </c>
      <c r="I832" t="str">
        <f>IFERROR(IF(OR(HLOOKUP($A832,#REF!,7,FALSE)&gt;2,HLOOKUP($A832,#REF!,7,FALSE)&lt;-2),"",#REF!),"")</f>
        <v/>
      </c>
      <c r="J832" t="str">
        <f>IFERROR(IF(OR(HLOOKUP($A832,#REF!,8,FALSE)&gt;2,HLOOKUP($A832,#REF!,8,FALSE)&lt;-2),"",#REF!),"")</f>
        <v/>
      </c>
      <c r="K832" t="str">
        <f>IFERROR(IF(OR(HLOOKUP($A832,#REF!,9,FALSE)&gt;2,HLOOKUP($A832,#REF!,9,FALSE)&lt;-2),"",#REF!),"")</f>
        <v/>
      </c>
      <c r="L832" t="str">
        <f>IFERROR(IF(OR(HLOOKUP($A832,#REF!,10,FALSE)&gt;2,HLOOKUP($A832,#REF!,10,FALSE)&lt;-2),"",#REF!),"")</f>
        <v/>
      </c>
      <c r="M832" t="str">
        <f>IFERROR(IF(OR(HLOOKUP($A832,#REF!,11,FALSE)&gt;2,HLOOKUP($A832,#REF!,11,FALSE)&lt;-2),"",#REF!),"")</f>
        <v/>
      </c>
      <c r="N832" t="str">
        <f>IFERROR(IF(OR(HLOOKUP($A832,#REF!,12,FALSE)&gt;2,HLOOKUP($A832,#REF!,12,FALSE)&lt;-2),"",#REF!),"")</f>
        <v/>
      </c>
      <c r="O832" t="str">
        <f>IFERROR(IF(OR(HLOOKUP($A832,#REF!,13,FALSE)&gt;2,HLOOKUP($A832,#REF!,13,FALSE)&lt;-2),"",#REF!),"")</f>
        <v/>
      </c>
      <c r="P832" t="str">
        <f>IFERROR(IF(OR(HLOOKUP($A832,#REF!,14,FALSE)&gt;2,HLOOKUP($A832,#REF!,14,FALSE)&lt;-2),"",#REF!),"")</f>
        <v/>
      </c>
      <c r="Q832" t="str">
        <f>IFERROR(IF(OR(HLOOKUP($A832,#REF!,15,FALSE)&gt;2,HLOOKUP($A832,#REF!,15,FALSE)&lt;-2),"",#REF!),"")</f>
        <v/>
      </c>
      <c r="R832" t="str">
        <f>IFERROR(IF(OR(HLOOKUP($A832,#REF!,16,FALSE)&gt;2,HLOOKUP($A832,#REF!,16,FALSE)&lt;-2),"",#REF!),"")</f>
        <v/>
      </c>
      <c r="S832" t="str">
        <f>IFERROR(IF(OR(HLOOKUP($A832,#REF!,17,FALSE)&gt;2,HLOOKUP($A832,#REF!,17,FALSE)&lt;-2),"",#REF!),"")</f>
        <v/>
      </c>
      <c r="T832" t="str">
        <f>IFERROR(IF(OR(HLOOKUP($A832,#REF!,18,FALSE)&gt;2,HLOOKUP($A832,#REF!,18,FALSE)&lt;-2),"",#REF!),"")</f>
        <v/>
      </c>
      <c r="U832" t="str">
        <f>IFERROR(IF(OR(HLOOKUP($A832,#REF!,19,FALSE)&gt;2,HLOOKUP($A832,#REF!,19,FALSE)&lt;-2),"",#REF!),"")</f>
        <v/>
      </c>
      <c r="V832">
        <f t="shared" si="48"/>
        <v>1</v>
      </c>
      <c r="W832" t="str">
        <f t="shared" si="49"/>
        <v/>
      </c>
      <c r="X832" t="str">
        <f t="shared" si="50"/>
        <v/>
      </c>
      <c r="Y832" t="str">
        <f t="shared" si="51"/>
        <v/>
      </c>
    </row>
    <row r="833" spans="1:25" x14ac:dyDescent="0.35">
      <c r="A833">
        <v>841</v>
      </c>
      <c r="B833" t="s">
        <v>404</v>
      </c>
      <c r="C833">
        <v>100800</v>
      </c>
      <c r="D833">
        <v>948</v>
      </c>
      <c r="E833" t="str">
        <f>IFERROR(IF(OR(HLOOKUP($A833,#REF!,3,FALSE)&gt;2,HLOOKUP(A833,#REF!,3,FALSE)&lt;-2),"",#REF!),"")</f>
        <v/>
      </c>
      <c r="F833" t="str">
        <f>IFERROR(IF(OR(HLOOKUP($A833,#REF!,4,FALSE)&gt;2,HLOOKUP($A833,#REF!,4,FALSE)&lt;-2),"",#REF!),"")</f>
        <v/>
      </c>
      <c r="G833" t="str">
        <f>IFERROR(IF(OR(HLOOKUP($A833,#REF!,5,FALSE)&gt;2,HLOOKUP($A833,#REF!,5,FALSE)&lt;-2),"",#REF!),"")</f>
        <v/>
      </c>
      <c r="H833" t="str">
        <f>IFERROR(IF(OR(HLOOKUP($A833,#REF!,6,FALSE)&gt;2,HLOOKUP($A833,#REF!,6,FALSE)&lt;-2),"",#REF!),"")</f>
        <v/>
      </c>
      <c r="I833" t="str">
        <f>IFERROR(IF(OR(HLOOKUP($A833,#REF!,7,FALSE)&gt;2,HLOOKUP($A833,#REF!,7,FALSE)&lt;-2),"",#REF!),"")</f>
        <v/>
      </c>
      <c r="J833" t="str">
        <f>IFERROR(IF(OR(HLOOKUP($A833,#REF!,8,FALSE)&gt;2,HLOOKUP($A833,#REF!,8,FALSE)&lt;-2),"",#REF!),"")</f>
        <v/>
      </c>
      <c r="K833" t="str">
        <f>IFERROR(IF(OR(HLOOKUP($A833,#REF!,9,FALSE)&gt;2,HLOOKUP($A833,#REF!,9,FALSE)&lt;-2),"",#REF!),"")</f>
        <v/>
      </c>
      <c r="L833" t="str">
        <f>IFERROR(IF(OR(HLOOKUP($A833,#REF!,10,FALSE)&gt;2,HLOOKUP($A833,#REF!,10,FALSE)&lt;-2),"",#REF!),"")</f>
        <v/>
      </c>
      <c r="M833" t="str">
        <f>IFERROR(IF(OR(HLOOKUP($A833,#REF!,11,FALSE)&gt;2,HLOOKUP($A833,#REF!,11,FALSE)&lt;-2),"",#REF!),"")</f>
        <v/>
      </c>
      <c r="N833" t="str">
        <f>IFERROR(IF(OR(HLOOKUP($A833,#REF!,12,FALSE)&gt;2,HLOOKUP($A833,#REF!,12,FALSE)&lt;-2),"",#REF!),"")</f>
        <v/>
      </c>
      <c r="O833" t="str">
        <f>IFERROR(IF(OR(HLOOKUP($A833,#REF!,13,FALSE)&gt;2,HLOOKUP($A833,#REF!,13,FALSE)&lt;-2),"",#REF!),"")</f>
        <v/>
      </c>
      <c r="P833" t="str">
        <f>IFERROR(IF(OR(HLOOKUP($A833,#REF!,14,FALSE)&gt;2,HLOOKUP($A833,#REF!,14,FALSE)&lt;-2),"",#REF!),"")</f>
        <v/>
      </c>
      <c r="Q833" t="str">
        <f>IFERROR(IF(OR(HLOOKUP($A833,#REF!,15,FALSE)&gt;2,HLOOKUP($A833,#REF!,15,FALSE)&lt;-2),"",#REF!),"")</f>
        <v/>
      </c>
      <c r="R833" t="str">
        <f>IFERROR(IF(OR(HLOOKUP($A833,#REF!,16,FALSE)&gt;2,HLOOKUP($A833,#REF!,16,FALSE)&lt;-2),"",#REF!),"")</f>
        <v/>
      </c>
      <c r="S833" t="str">
        <f>IFERROR(IF(OR(HLOOKUP($A833,#REF!,17,FALSE)&gt;2,HLOOKUP($A833,#REF!,17,FALSE)&lt;-2),"",#REF!),"")</f>
        <v/>
      </c>
      <c r="T833" t="str">
        <f>IFERROR(IF(OR(HLOOKUP($A833,#REF!,18,FALSE)&gt;2,HLOOKUP($A833,#REF!,18,FALSE)&lt;-2),"",#REF!),"")</f>
        <v/>
      </c>
      <c r="U833" t="str">
        <f>IFERROR(IF(OR(HLOOKUP($A833,#REF!,19,FALSE)&gt;2,HLOOKUP($A833,#REF!,19,FALSE)&lt;-2),"",#REF!),"")</f>
        <v/>
      </c>
      <c r="V833">
        <f t="shared" si="48"/>
        <v>1</v>
      </c>
      <c r="W833" t="str">
        <f t="shared" si="49"/>
        <v/>
      </c>
      <c r="X833" t="str">
        <f t="shared" si="50"/>
        <v/>
      </c>
      <c r="Y833" t="str">
        <f t="shared" si="51"/>
        <v/>
      </c>
    </row>
    <row r="834" spans="1:25" x14ac:dyDescent="0.35">
      <c r="A834">
        <v>842</v>
      </c>
      <c r="B834" t="s">
        <v>405</v>
      </c>
      <c r="C834">
        <v>78900</v>
      </c>
      <c r="D834">
        <v>302</v>
      </c>
      <c r="E834" t="str">
        <f>IFERROR(IF(OR(HLOOKUP($A834,#REF!,3,FALSE)&gt;2,HLOOKUP(A834,#REF!,3,FALSE)&lt;-2),"",#REF!),"")</f>
        <v/>
      </c>
      <c r="F834" t="str">
        <f>IFERROR(IF(OR(HLOOKUP($A834,#REF!,4,FALSE)&gt;2,HLOOKUP($A834,#REF!,4,FALSE)&lt;-2),"",#REF!),"")</f>
        <v/>
      </c>
      <c r="G834" t="str">
        <f>IFERROR(IF(OR(HLOOKUP($A834,#REF!,5,FALSE)&gt;2,HLOOKUP($A834,#REF!,5,FALSE)&lt;-2),"",#REF!),"")</f>
        <v/>
      </c>
      <c r="H834" t="str">
        <f>IFERROR(IF(OR(HLOOKUP($A834,#REF!,6,FALSE)&gt;2,HLOOKUP($A834,#REF!,6,FALSE)&lt;-2),"",#REF!),"")</f>
        <v/>
      </c>
      <c r="I834" t="str">
        <f>IFERROR(IF(OR(HLOOKUP($A834,#REF!,7,FALSE)&gt;2,HLOOKUP($A834,#REF!,7,FALSE)&lt;-2),"",#REF!),"")</f>
        <v/>
      </c>
      <c r="J834" t="str">
        <f>IFERROR(IF(OR(HLOOKUP($A834,#REF!,8,FALSE)&gt;2,HLOOKUP($A834,#REF!,8,FALSE)&lt;-2),"",#REF!),"")</f>
        <v/>
      </c>
      <c r="K834" t="str">
        <f>IFERROR(IF(OR(HLOOKUP($A834,#REF!,9,FALSE)&gt;2,HLOOKUP($A834,#REF!,9,FALSE)&lt;-2),"",#REF!),"")</f>
        <v/>
      </c>
      <c r="L834" t="str">
        <f>IFERROR(IF(OR(HLOOKUP($A834,#REF!,10,FALSE)&gt;2,HLOOKUP($A834,#REF!,10,FALSE)&lt;-2),"",#REF!),"")</f>
        <v/>
      </c>
      <c r="M834" t="str">
        <f>IFERROR(IF(OR(HLOOKUP($A834,#REF!,11,FALSE)&gt;2,HLOOKUP($A834,#REF!,11,FALSE)&lt;-2),"",#REF!),"")</f>
        <v/>
      </c>
      <c r="N834" t="str">
        <f>IFERROR(IF(OR(HLOOKUP($A834,#REF!,12,FALSE)&gt;2,HLOOKUP($A834,#REF!,12,FALSE)&lt;-2),"",#REF!),"")</f>
        <v/>
      </c>
      <c r="O834" t="str">
        <f>IFERROR(IF(OR(HLOOKUP($A834,#REF!,13,FALSE)&gt;2,HLOOKUP($A834,#REF!,13,FALSE)&lt;-2),"",#REF!),"")</f>
        <v/>
      </c>
      <c r="P834" t="str">
        <f>IFERROR(IF(OR(HLOOKUP($A834,#REF!,14,FALSE)&gt;2,HLOOKUP($A834,#REF!,14,FALSE)&lt;-2),"",#REF!),"")</f>
        <v/>
      </c>
      <c r="Q834" t="str">
        <f>IFERROR(IF(OR(HLOOKUP($A834,#REF!,15,FALSE)&gt;2,HLOOKUP($A834,#REF!,15,FALSE)&lt;-2),"",#REF!),"")</f>
        <v/>
      </c>
      <c r="R834" t="str">
        <f>IFERROR(IF(OR(HLOOKUP($A834,#REF!,16,FALSE)&gt;2,HLOOKUP($A834,#REF!,16,FALSE)&lt;-2),"",#REF!),"")</f>
        <v/>
      </c>
      <c r="S834" t="str">
        <f>IFERROR(IF(OR(HLOOKUP($A834,#REF!,17,FALSE)&gt;2,HLOOKUP($A834,#REF!,17,FALSE)&lt;-2),"",#REF!),"")</f>
        <v/>
      </c>
      <c r="T834" t="str">
        <f>IFERROR(IF(OR(HLOOKUP($A834,#REF!,18,FALSE)&gt;2,HLOOKUP($A834,#REF!,18,FALSE)&lt;-2),"",#REF!),"")</f>
        <v/>
      </c>
      <c r="U834" t="str">
        <f>IFERROR(IF(OR(HLOOKUP($A834,#REF!,19,FALSE)&gt;2,HLOOKUP($A834,#REF!,19,FALSE)&lt;-2),"",#REF!),"")</f>
        <v/>
      </c>
      <c r="V834">
        <f t="shared" si="48"/>
        <v>1</v>
      </c>
      <c r="W834" t="str">
        <f t="shared" si="49"/>
        <v/>
      </c>
      <c r="X834" t="str">
        <f t="shared" si="50"/>
        <v/>
      </c>
      <c r="Y834" t="str">
        <f t="shared" si="51"/>
        <v/>
      </c>
    </row>
    <row r="835" spans="1:25" x14ac:dyDescent="0.35">
      <c r="A835">
        <v>843</v>
      </c>
      <c r="B835" t="s">
        <v>406</v>
      </c>
      <c r="C835">
        <v>44300</v>
      </c>
      <c r="D835">
        <v>822</v>
      </c>
      <c r="E835" t="str">
        <f>IFERROR(IF(OR(HLOOKUP($A835,#REF!,3,FALSE)&gt;2,HLOOKUP(A835,#REF!,3,FALSE)&lt;-2),"",#REF!),"")</f>
        <v/>
      </c>
      <c r="F835" t="str">
        <f>IFERROR(IF(OR(HLOOKUP($A835,#REF!,4,FALSE)&gt;2,HLOOKUP($A835,#REF!,4,FALSE)&lt;-2),"",#REF!),"")</f>
        <v/>
      </c>
      <c r="G835" t="str">
        <f>IFERROR(IF(OR(HLOOKUP($A835,#REF!,5,FALSE)&gt;2,HLOOKUP($A835,#REF!,5,FALSE)&lt;-2),"",#REF!),"")</f>
        <v/>
      </c>
      <c r="H835" t="str">
        <f>IFERROR(IF(OR(HLOOKUP($A835,#REF!,6,FALSE)&gt;2,HLOOKUP($A835,#REF!,6,FALSE)&lt;-2),"",#REF!),"")</f>
        <v/>
      </c>
      <c r="I835" t="str">
        <f>IFERROR(IF(OR(HLOOKUP($A835,#REF!,7,FALSE)&gt;2,HLOOKUP($A835,#REF!,7,FALSE)&lt;-2),"",#REF!),"")</f>
        <v/>
      </c>
      <c r="J835" t="str">
        <f>IFERROR(IF(OR(HLOOKUP($A835,#REF!,8,FALSE)&gt;2,HLOOKUP($A835,#REF!,8,FALSE)&lt;-2),"",#REF!),"")</f>
        <v/>
      </c>
      <c r="K835" t="str">
        <f>IFERROR(IF(OR(HLOOKUP($A835,#REF!,9,FALSE)&gt;2,HLOOKUP($A835,#REF!,9,FALSE)&lt;-2),"",#REF!),"")</f>
        <v/>
      </c>
      <c r="L835" t="str">
        <f>IFERROR(IF(OR(HLOOKUP($A835,#REF!,10,FALSE)&gt;2,HLOOKUP($A835,#REF!,10,FALSE)&lt;-2),"",#REF!),"")</f>
        <v/>
      </c>
      <c r="M835" t="str">
        <f>IFERROR(IF(OR(HLOOKUP($A835,#REF!,11,FALSE)&gt;2,HLOOKUP($A835,#REF!,11,FALSE)&lt;-2),"",#REF!),"")</f>
        <v/>
      </c>
      <c r="N835" t="str">
        <f>IFERROR(IF(OR(HLOOKUP($A835,#REF!,12,FALSE)&gt;2,HLOOKUP($A835,#REF!,12,FALSE)&lt;-2),"",#REF!),"")</f>
        <v/>
      </c>
      <c r="O835" t="str">
        <f>IFERROR(IF(OR(HLOOKUP($A835,#REF!,13,FALSE)&gt;2,HLOOKUP($A835,#REF!,13,FALSE)&lt;-2),"",#REF!),"")</f>
        <v/>
      </c>
      <c r="P835" t="str">
        <f>IFERROR(IF(OR(HLOOKUP($A835,#REF!,14,FALSE)&gt;2,HLOOKUP($A835,#REF!,14,FALSE)&lt;-2),"",#REF!),"")</f>
        <v/>
      </c>
      <c r="Q835" t="str">
        <f>IFERROR(IF(OR(HLOOKUP($A835,#REF!,15,FALSE)&gt;2,HLOOKUP($A835,#REF!,15,FALSE)&lt;-2),"",#REF!),"")</f>
        <v/>
      </c>
      <c r="R835" t="str">
        <f>IFERROR(IF(OR(HLOOKUP($A835,#REF!,16,FALSE)&gt;2,HLOOKUP($A835,#REF!,16,FALSE)&lt;-2),"",#REF!),"")</f>
        <v/>
      </c>
      <c r="S835" t="str">
        <f>IFERROR(IF(OR(HLOOKUP($A835,#REF!,17,FALSE)&gt;2,HLOOKUP($A835,#REF!,17,FALSE)&lt;-2),"",#REF!),"")</f>
        <v/>
      </c>
      <c r="T835" t="str">
        <f>IFERROR(IF(OR(HLOOKUP($A835,#REF!,18,FALSE)&gt;2,HLOOKUP($A835,#REF!,18,FALSE)&lt;-2),"",#REF!),"")</f>
        <v/>
      </c>
      <c r="U835" t="str">
        <f>IFERROR(IF(OR(HLOOKUP($A835,#REF!,19,FALSE)&gt;2,HLOOKUP($A835,#REF!,19,FALSE)&lt;-2),"",#REF!),"")</f>
        <v/>
      </c>
      <c r="V835">
        <f t="shared" si="48"/>
        <v>1</v>
      </c>
      <c r="W835" t="str">
        <f t="shared" si="49"/>
        <v/>
      </c>
      <c r="X835" t="str">
        <f t="shared" si="50"/>
        <v/>
      </c>
      <c r="Y835" t="str">
        <f t="shared" si="51"/>
        <v/>
      </c>
    </row>
    <row r="836" spans="1:25" x14ac:dyDescent="0.35">
      <c r="A836">
        <v>844</v>
      </c>
      <c r="B836" t="s">
        <v>407</v>
      </c>
      <c r="C836">
        <v>1900</v>
      </c>
      <c r="D836">
        <v>985</v>
      </c>
      <c r="E836" t="str">
        <f>IFERROR(IF(OR(HLOOKUP($A836,#REF!,3,FALSE)&gt;2,HLOOKUP(A836,#REF!,3,FALSE)&lt;-2),"",#REF!),"")</f>
        <v/>
      </c>
      <c r="F836" t="str">
        <f>IFERROR(IF(OR(HLOOKUP($A836,#REF!,4,FALSE)&gt;2,HLOOKUP($A836,#REF!,4,FALSE)&lt;-2),"",#REF!),"")</f>
        <v/>
      </c>
      <c r="G836" t="str">
        <f>IFERROR(IF(OR(HLOOKUP($A836,#REF!,5,FALSE)&gt;2,HLOOKUP($A836,#REF!,5,FALSE)&lt;-2),"",#REF!),"")</f>
        <v/>
      </c>
      <c r="H836" t="str">
        <f>IFERROR(IF(OR(HLOOKUP($A836,#REF!,6,FALSE)&gt;2,HLOOKUP($A836,#REF!,6,FALSE)&lt;-2),"",#REF!),"")</f>
        <v/>
      </c>
      <c r="I836" t="str">
        <f>IFERROR(IF(OR(HLOOKUP($A836,#REF!,7,FALSE)&gt;2,HLOOKUP($A836,#REF!,7,FALSE)&lt;-2),"",#REF!),"")</f>
        <v/>
      </c>
      <c r="J836" t="str">
        <f>IFERROR(IF(OR(HLOOKUP($A836,#REF!,8,FALSE)&gt;2,HLOOKUP($A836,#REF!,8,FALSE)&lt;-2),"",#REF!),"")</f>
        <v/>
      </c>
      <c r="K836" t="str">
        <f>IFERROR(IF(OR(HLOOKUP($A836,#REF!,9,FALSE)&gt;2,HLOOKUP($A836,#REF!,9,FALSE)&lt;-2),"",#REF!),"")</f>
        <v/>
      </c>
      <c r="L836" t="str">
        <f>IFERROR(IF(OR(HLOOKUP($A836,#REF!,10,FALSE)&gt;2,HLOOKUP($A836,#REF!,10,FALSE)&lt;-2),"",#REF!),"")</f>
        <v/>
      </c>
      <c r="M836" t="str">
        <f>IFERROR(IF(OR(HLOOKUP($A836,#REF!,11,FALSE)&gt;2,HLOOKUP($A836,#REF!,11,FALSE)&lt;-2),"",#REF!),"")</f>
        <v/>
      </c>
      <c r="N836" t="str">
        <f>IFERROR(IF(OR(HLOOKUP($A836,#REF!,12,FALSE)&gt;2,HLOOKUP($A836,#REF!,12,FALSE)&lt;-2),"",#REF!),"")</f>
        <v/>
      </c>
      <c r="O836" t="str">
        <f>IFERROR(IF(OR(HLOOKUP($A836,#REF!,13,FALSE)&gt;2,HLOOKUP($A836,#REF!,13,FALSE)&lt;-2),"",#REF!),"")</f>
        <v/>
      </c>
      <c r="P836" t="str">
        <f>IFERROR(IF(OR(HLOOKUP($A836,#REF!,14,FALSE)&gt;2,HLOOKUP($A836,#REF!,14,FALSE)&lt;-2),"",#REF!),"")</f>
        <v/>
      </c>
      <c r="Q836" t="str">
        <f>IFERROR(IF(OR(HLOOKUP($A836,#REF!,15,FALSE)&gt;2,HLOOKUP($A836,#REF!,15,FALSE)&lt;-2),"",#REF!),"")</f>
        <v/>
      </c>
      <c r="R836" t="str">
        <f>IFERROR(IF(OR(HLOOKUP($A836,#REF!,16,FALSE)&gt;2,HLOOKUP($A836,#REF!,16,FALSE)&lt;-2),"",#REF!),"")</f>
        <v/>
      </c>
      <c r="S836" t="str">
        <f>IFERROR(IF(OR(HLOOKUP($A836,#REF!,17,FALSE)&gt;2,HLOOKUP($A836,#REF!,17,FALSE)&lt;-2),"",#REF!),"")</f>
        <v/>
      </c>
      <c r="T836" t="str">
        <f>IFERROR(IF(OR(HLOOKUP($A836,#REF!,18,FALSE)&gt;2,HLOOKUP($A836,#REF!,18,FALSE)&lt;-2),"",#REF!),"")</f>
        <v/>
      </c>
      <c r="U836" t="str">
        <f>IFERROR(IF(OR(HLOOKUP($A836,#REF!,19,FALSE)&gt;2,HLOOKUP($A836,#REF!,19,FALSE)&lt;-2),"",#REF!),"")</f>
        <v/>
      </c>
      <c r="V836">
        <f t="shared" ref="V836:V899" si="52">IFERROR(IF(AND(X836=0,Y836=0),0,1),0)</f>
        <v>1</v>
      </c>
      <c r="W836" t="str">
        <f t="shared" ref="W836:W899" si="53">IFERROR(_xlfn.T.TEST(E836:M836,N836:U836,2,2),"")</f>
        <v/>
      </c>
      <c r="X836" t="str">
        <f t="shared" ref="X836:X899" si="54">IFERROR(AVERAGE(E836:M836),"")</f>
        <v/>
      </c>
      <c r="Y836" t="str">
        <f t="shared" ref="Y836:Y899" si="55">IFERROR(AVERAGE(N836:U836),"")</f>
        <v/>
      </c>
    </row>
    <row r="837" spans="1:25" x14ac:dyDescent="0.35">
      <c r="A837">
        <v>845</v>
      </c>
      <c r="B837" t="s">
        <v>1032</v>
      </c>
      <c r="C837">
        <v>45800</v>
      </c>
      <c r="D837">
        <v>509</v>
      </c>
      <c r="E837" t="str">
        <f>IFERROR(IF(OR(HLOOKUP($A837,#REF!,3,FALSE)&gt;2,HLOOKUP(A837,#REF!,3,FALSE)&lt;-2),"",#REF!),"")</f>
        <v/>
      </c>
      <c r="F837" t="str">
        <f>IFERROR(IF(OR(HLOOKUP($A837,#REF!,4,FALSE)&gt;2,HLOOKUP($A837,#REF!,4,FALSE)&lt;-2),"",#REF!),"")</f>
        <v/>
      </c>
      <c r="G837" t="str">
        <f>IFERROR(IF(OR(HLOOKUP($A837,#REF!,5,FALSE)&gt;2,HLOOKUP($A837,#REF!,5,FALSE)&lt;-2),"",#REF!),"")</f>
        <v/>
      </c>
      <c r="H837" t="str">
        <f>IFERROR(IF(OR(HLOOKUP($A837,#REF!,6,FALSE)&gt;2,HLOOKUP($A837,#REF!,6,FALSE)&lt;-2),"",#REF!),"")</f>
        <v/>
      </c>
      <c r="I837" t="str">
        <f>IFERROR(IF(OR(HLOOKUP($A837,#REF!,7,FALSE)&gt;2,HLOOKUP($A837,#REF!,7,FALSE)&lt;-2),"",#REF!),"")</f>
        <v/>
      </c>
      <c r="J837" t="str">
        <f>IFERROR(IF(OR(HLOOKUP($A837,#REF!,8,FALSE)&gt;2,HLOOKUP($A837,#REF!,8,FALSE)&lt;-2),"",#REF!),"")</f>
        <v/>
      </c>
      <c r="K837" t="str">
        <f>IFERROR(IF(OR(HLOOKUP($A837,#REF!,9,FALSE)&gt;2,HLOOKUP($A837,#REF!,9,FALSE)&lt;-2),"",#REF!),"")</f>
        <v/>
      </c>
      <c r="L837" t="str">
        <f>IFERROR(IF(OR(HLOOKUP($A837,#REF!,10,FALSE)&gt;2,HLOOKUP($A837,#REF!,10,FALSE)&lt;-2),"",#REF!),"")</f>
        <v/>
      </c>
      <c r="M837" t="str">
        <f>IFERROR(IF(OR(HLOOKUP($A837,#REF!,11,FALSE)&gt;2,HLOOKUP($A837,#REF!,11,FALSE)&lt;-2),"",#REF!),"")</f>
        <v/>
      </c>
      <c r="N837" t="str">
        <f>IFERROR(IF(OR(HLOOKUP($A837,#REF!,12,FALSE)&gt;2,HLOOKUP($A837,#REF!,12,FALSE)&lt;-2),"",#REF!),"")</f>
        <v/>
      </c>
      <c r="O837" t="str">
        <f>IFERROR(IF(OR(HLOOKUP($A837,#REF!,13,FALSE)&gt;2,HLOOKUP($A837,#REF!,13,FALSE)&lt;-2),"",#REF!),"")</f>
        <v/>
      </c>
      <c r="P837" t="str">
        <f>IFERROR(IF(OR(HLOOKUP($A837,#REF!,14,FALSE)&gt;2,HLOOKUP($A837,#REF!,14,FALSE)&lt;-2),"",#REF!),"")</f>
        <v/>
      </c>
      <c r="Q837" t="str">
        <f>IFERROR(IF(OR(HLOOKUP($A837,#REF!,15,FALSE)&gt;2,HLOOKUP($A837,#REF!,15,FALSE)&lt;-2),"",#REF!),"")</f>
        <v/>
      </c>
      <c r="R837" t="str">
        <f>IFERROR(IF(OR(HLOOKUP($A837,#REF!,16,FALSE)&gt;2,HLOOKUP($A837,#REF!,16,FALSE)&lt;-2),"",#REF!),"")</f>
        <v/>
      </c>
      <c r="S837" t="str">
        <f>IFERROR(IF(OR(HLOOKUP($A837,#REF!,17,FALSE)&gt;2,HLOOKUP($A837,#REF!,17,FALSE)&lt;-2),"",#REF!),"")</f>
        <v/>
      </c>
      <c r="T837" t="str">
        <f>IFERROR(IF(OR(HLOOKUP($A837,#REF!,18,FALSE)&gt;2,HLOOKUP($A837,#REF!,18,FALSE)&lt;-2),"",#REF!),"")</f>
        <v/>
      </c>
      <c r="U837" t="str">
        <f>IFERROR(IF(OR(HLOOKUP($A837,#REF!,19,FALSE)&gt;2,HLOOKUP($A837,#REF!,19,FALSE)&lt;-2),"",#REF!),"")</f>
        <v/>
      </c>
      <c r="V837">
        <f t="shared" si="52"/>
        <v>1</v>
      </c>
      <c r="W837" t="str">
        <f t="shared" si="53"/>
        <v/>
      </c>
      <c r="X837" t="str">
        <f t="shared" si="54"/>
        <v/>
      </c>
      <c r="Y837" t="str">
        <f t="shared" si="55"/>
        <v/>
      </c>
    </row>
    <row r="838" spans="1:25" x14ac:dyDescent="0.35">
      <c r="A838">
        <v>846</v>
      </c>
      <c r="B838" t="s">
        <v>408</v>
      </c>
      <c r="C838">
        <v>63200</v>
      </c>
      <c r="D838">
        <v>519</v>
      </c>
      <c r="E838" t="str">
        <f>IFERROR(IF(OR(HLOOKUP($A838,#REF!,3,FALSE)&gt;2,HLOOKUP(A838,#REF!,3,FALSE)&lt;-2),"",#REF!),"")</f>
        <v/>
      </c>
      <c r="F838" t="str">
        <f>IFERROR(IF(OR(HLOOKUP($A838,#REF!,4,FALSE)&gt;2,HLOOKUP($A838,#REF!,4,FALSE)&lt;-2),"",#REF!),"")</f>
        <v/>
      </c>
      <c r="G838" t="str">
        <f>IFERROR(IF(OR(HLOOKUP($A838,#REF!,5,FALSE)&gt;2,HLOOKUP($A838,#REF!,5,FALSE)&lt;-2),"",#REF!),"")</f>
        <v/>
      </c>
      <c r="H838" t="str">
        <f>IFERROR(IF(OR(HLOOKUP($A838,#REF!,6,FALSE)&gt;2,HLOOKUP($A838,#REF!,6,FALSE)&lt;-2),"",#REF!),"")</f>
        <v/>
      </c>
      <c r="I838" t="str">
        <f>IFERROR(IF(OR(HLOOKUP($A838,#REF!,7,FALSE)&gt;2,HLOOKUP($A838,#REF!,7,FALSE)&lt;-2),"",#REF!),"")</f>
        <v/>
      </c>
      <c r="J838" t="str">
        <f>IFERROR(IF(OR(HLOOKUP($A838,#REF!,8,FALSE)&gt;2,HLOOKUP($A838,#REF!,8,FALSE)&lt;-2),"",#REF!),"")</f>
        <v/>
      </c>
      <c r="K838" t="str">
        <f>IFERROR(IF(OR(HLOOKUP($A838,#REF!,9,FALSE)&gt;2,HLOOKUP($A838,#REF!,9,FALSE)&lt;-2),"",#REF!),"")</f>
        <v/>
      </c>
      <c r="L838" t="str">
        <f>IFERROR(IF(OR(HLOOKUP($A838,#REF!,10,FALSE)&gt;2,HLOOKUP($A838,#REF!,10,FALSE)&lt;-2),"",#REF!),"")</f>
        <v/>
      </c>
      <c r="M838" t="str">
        <f>IFERROR(IF(OR(HLOOKUP($A838,#REF!,11,FALSE)&gt;2,HLOOKUP($A838,#REF!,11,FALSE)&lt;-2),"",#REF!),"")</f>
        <v/>
      </c>
      <c r="N838" t="str">
        <f>IFERROR(IF(OR(HLOOKUP($A838,#REF!,12,FALSE)&gt;2,HLOOKUP($A838,#REF!,12,FALSE)&lt;-2),"",#REF!),"")</f>
        <v/>
      </c>
      <c r="O838" t="str">
        <f>IFERROR(IF(OR(HLOOKUP($A838,#REF!,13,FALSE)&gt;2,HLOOKUP($A838,#REF!,13,FALSE)&lt;-2),"",#REF!),"")</f>
        <v/>
      </c>
      <c r="P838" t="str">
        <f>IFERROR(IF(OR(HLOOKUP($A838,#REF!,14,FALSE)&gt;2,HLOOKUP($A838,#REF!,14,FALSE)&lt;-2),"",#REF!),"")</f>
        <v/>
      </c>
      <c r="Q838" t="str">
        <f>IFERROR(IF(OR(HLOOKUP($A838,#REF!,15,FALSE)&gt;2,HLOOKUP($A838,#REF!,15,FALSE)&lt;-2),"",#REF!),"")</f>
        <v/>
      </c>
      <c r="R838" t="str">
        <f>IFERROR(IF(OR(HLOOKUP($A838,#REF!,16,FALSE)&gt;2,HLOOKUP($A838,#REF!,16,FALSE)&lt;-2),"",#REF!),"")</f>
        <v/>
      </c>
      <c r="S838" t="str">
        <f>IFERROR(IF(OR(HLOOKUP($A838,#REF!,17,FALSE)&gt;2,HLOOKUP($A838,#REF!,17,FALSE)&lt;-2),"",#REF!),"")</f>
        <v/>
      </c>
      <c r="T838" t="str">
        <f>IFERROR(IF(OR(HLOOKUP($A838,#REF!,18,FALSE)&gt;2,HLOOKUP($A838,#REF!,18,FALSE)&lt;-2),"",#REF!),"")</f>
        <v/>
      </c>
      <c r="U838" t="str">
        <f>IFERROR(IF(OR(HLOOKUP($A838,#REF!,19,FALSE)&gt;2,HLOOKUP($A838,#REF!,19,FALSE)&lt;-2),"",#REF!),"")</f>
        <v/>
      </c>
      <c r="V838">
        <f t="shared" si="52"/>
        <v>1</v>
      </c>
      <c r="W838" t="str">
        <f t="shared" si="53"/>
        <v/>
      </c>
      <c r="X838" t="str">
        <f t="shared" si="54"/>
        <v/>
      </c>
      <c r="Y838" t="str">
        <f t="shared" si="55"/>
        <v/>
      </c>
    </row>
    <row r="839" spans="1:25" x14ac:dyDescent="0.35">
      <c r="A839">
        <v>847</v>
      </c>
      <c r="B839" t="s">
        <v>409</v>
      </c>
      <c r="C839">
        <v>11700</v>
      </c>
      <c r="D839">
        <v>1002</v>
      </c>
      <c r="E839" t="str">
        <f>IFERROR(IF(OR(HLOOKUP($A839,#REF!,3,FALSE)&gt;2,HLOOKUP(A839,#REF!,3,FALSE)&lt;-2),"",#REF!),"")</f>
        <v/>
      </c>
      <c r="F839" t="str">
        <f>IFERROR(IF(OR(HLOOKUP($A839,#REF!,4,FALSE)&gt;2,HLOOKUP($A839,#REF!,4,FALSE)&lt;-2),"",#REF!),"")</f>
        <v/>
      </c>
      <c r="G839" t="str">
        <f>IFERROR(IF(OR(HLOOKUP($A839,#REF!,5,FALSE)&gt;2,HLOOKUP($A839,#REF!,5,FALSE)&lt;-2),"",#REF!),"")</f>
        <v/>
      </c>
      <c r="H839" t="str">
        <f>IFERROR(IF(OR(HLOOKUP($A839,#REF!,6,FALSE)&gt;2,HLOOKUP($A839,#REF!,6,FALSE)&lt;-2),"",#REF!),"")</f>
        <v/>
      </c>
      <c r="I839" t="str">
        <f>IFERROR(IF(OR(HLOOKUP($A839,#REF!,7,FALSE)&gt;2,HLOOKUP($A839,#REF!,7,FALSE)&lt;-2),"",#REF!),"")</f>
        <v/>
      </c>
      <c r="J839" t="str">
        <f>IFERROR(IF(OR(HLOOKUP($A839,#REF!,8,FALSE)&gt;2,HLOOKUP($A839,#REF!,8,FALSE)&lt;-2),"",#REF!),"")</f>
        <v/>
      </c>
      <c r="K839" t="str">
        <f>IFERROR(IF(OR(HLOOKUP($A839,#REF!,9,FALSE)&gt;2,HLOOKUP($A839,#REF!,9,FALSE)&lt;-2),"",#REF!),"")</f>
        <v/>
      </c>
      <c r="L839" t="str">
        <f>IFERROR(IF(OR(HLOOKUP($A839,#REF!,10,FALSE)&gt;2,HLOOKUP($A839,#REF!,10,FALSE)&lt;-2),"",#REF!),"")</f>
        <v/>
      </c>
      <c r="M839" t="str">
        <f>IFERROR(IF(OR(HLOOKUP($A839,#REF!,11,FALSE)&gt;2,HLOOKUP($A839,#REF!,11,FALSE)&lt;-2),"",#REF!),"")</f>
        <v/>
      </c>
      <c r="N839" t="str">
        <f>IFERROR(IF(OR(HLOOKUP($A839,#REF!,12,FALSE)&gt;2,HLOOKUP($A839,#REF!,12,FALSE)&lt;-2),"",#REF!),"")</f>
        <v/>
      </c>
      <c r="O839" t="str">
        <f>IFERROR(IF(OR(HLOOKUP($A839,#REF!,13,FALSE)&gt;2,HLOOKUP($A839,#REF!,13,FALSE)&lt;-2),"",#REF!),"")</f>
        <v/>
      </c>
      <c r="P839" t="str">
        <f>IFERROR(IF(OR(HLOOKUP($A839,#REF!,14,FALSE)&gt;2,HLOOKUP($A839,#REF!,14,FALSE)&lt;-2),"",#REF!),"")</f>
        <v/>
      </c>
      <c r="Q839" t="str">
        <f>IFERROR(IF(OR(HLOOKUP($A839,#REF!,15,FALSE)&gt;2,HLOOKUP($A839,#REF!,15,FALSE)&lt;-2),"",#REF!),"")</f>
        <v/>
      </c>
      <c r="R839" t="str">
        <f>IFERROR(IF(OR(HLOOKUP($A839,#REF!,16,FALSE)&gt;2,HLOOKUP($A839,#REF!,16,FALSE)&lt;-2),"",#REF!),"")</f>
        <v/>
      </c>
      <c r="S839" t="str">
        <f>IFERROR(IF(OR(HLOOKUP($A839,#REF!,17,FALSE)&gt;2,HLOOKUP($A839,#REF!,17,FALSE)&lt;-2),"",#REF!),"")</f>
        <v/>
      </c>
      <c r="T839" t="str">
        <f>IFERROR(IF(OR(HLOOKUP($A839,#REF!,18,FALSE)&gt;2,HLOOKUP($A839,#REF!,18,FALSE)&lt;-2),"",#REF!),"")</f>
        <v/>
      </c>
      <c r="U839" t="str">
        <f>IFERROR(IF(OR(HLOOKUP($A839,#REF!,19,FALSE)&gt;2,HLOOKUP($A839,#REF!,19,FALSE)&lt;-2),"",#REF!),"")</f>
        <v/>
      </c>
      <c r="V839">
        <f t="shared" si="52"/>
        <v>1</v>
      </c>
      <c r="W839" t="str">
        <f t="shared" si="53"/>
        <v/>
      </c>
      <c r="X839" t="str">
        <f t="shared" si="54"/>
        <v/>
      </c>
      <c r="Y839" t="str">
        <f t="shared" si="55"/>
        <v/>
      </c>
    </row>
    <row r="840" spans="1:25" x14ac:dyDescent="0.35">
      <c r="A840">
        <v>848</v>
      </c>
      <c r="B840" t="s">
        <v>1033</v>
      </c>
      <c r="C840">
        <v>98300</v>
      </c>
      <c r="D840">
        <v>967</v>
      </c>
      <c r="E840" t="str">
        <f>IFERROR(IF(OR(HLOOKUP($A840,#REF!,3,FALSE)&gt;2,HLOOKUP(A840,#REF!,3,FALSE)&lt;-2),"",#REF!),"")</f>
        <v/>
      </c>
      <c r="F840" t="str">
        <f>IFERROR(IF(OR(HLOOKUP($A840,#REF!,4,FALSE)&gt;2,HLOOKUP($A840,#REF!,4,FALSE)&lt;-2),"",#REF!),"")</f>
        <v/>
      </c>
      <c r="G840" t="str">
        <f>IFERROR(IF(OR(HLOOKUP($A840,#REF!,5,FALSE)&gt;2,HLOOKUP($A840,#REF!,5,FALSE)&lt;-2),"",#REF!),"")</f>
        <v/>
      </c>
      <c r="H840" t="str">
        <f>IFERROR(IF(OR(HLOOKUP($A840,#REF!,6,FALSE)&gt;2,HLOOKUP($A840,#REF!,6,FALSE)&lt;-2),"",#REF!),"")</f>
        <v/>
      </c>
      <c r="I840" t="str">
        <f>IFERROR(IF(OR(HLOOKUP($A840,#REF!,7,FALSE)&gt;2,HLOOKUP($A840,#REF!,7,FALSE)&lt;-2),"",#REF!),"")</f>
        <v/>
      </c>
      <c r="J840" t="str">
        <f>IFERROR(IF(OR(HLOOKUP($A840,#REF!,8,FALSE)&gt;2,HLOOKUP($A840,#REF!,8,FALSE)&lt;-2),"",#REF!),"")</f>
        <v/>
      </c>
      <c r="K840" t="str">
        <f>IFERROR(IF(OR(HLOOKUP($A840,#REF!,9,FALSE)&gt;2,HLOOKUP($A840,#REF!,9,FALSE)&lt;-2),"",#REF!),"")</f>
        <v/>
      </c>
      <c r="L840" t="str">
        <f>IFERROR(IF(OR(HLOOKUP($A840,#REF!,10,FALSE)&gt;2,HLOOKUP($A840,#REF!,10,FALSE)&lt;-2),"",#REF!),"")</f>
        <v/>
      </c>
      <c r="M840" t="str">
        <f>IFERROR(IF(OR(HLOOKUP($A840,#REF!,11,FALSE)&gt;2,HLOOKUP($A840,#REF!,11,FALSE)&lt;-2),"",#REF!),"")</f>
        <v/>
      </c>
      <c r="N840" t="str">
        <f>IFERROR(IF(OR(HLOOKUP($A840,#REF!,12,FALSE)&gt;2,HLOOKUP($A840,#REF!,12,FALSE)&lt;-2),"",#REF!),"")</f>
        <v/>
      </c>
      <c r="O840" t="str">
        <f>IFERROR(IF(OR(HLOOKUP($A840,#REF!,13,FALSE)&gt;2,HLOOKUP($A840,#REF!,13,FALSE)&lt;-2),"",#REF!),"")</f>
        <v/>
      </c>
      <c r="P840" t="str">
        <f>IFERROR(IF(OR(HLOOKUP($A840,#REF!,14,FALSE)&gt;2,HLOOKUP($A840,#REF!,14,FALSE)&lt;-2),"",#REF!),"")</f>
        <v/>
      </c>
      <c r="Q840" t="str">
        <f>IFERROR(IF(OR(HLOOKUP($A840,#REF!,15,FALSE)&gt;2,HLOOKUP($A840,#REF!,15,FALSE)&lt;-2),"",#REF!),"")</f>
        <v/>
      </c>
      <c r="R840" t="str">
        <f>IFERROR(IF(OR(HLOOKUP($A840,#REF!,16,FALSE)&gt;2,HLOOKUP($A840,#REF!,16,FALSE)&lt;-2),"",#REF!),"")</f>
        <v/>
      </c>
      <c r="S840" t="str">
        <f>IFERROR(IF(OR(HLOOKUP($A840,#REF!,17,FALSE)&gt;2,HLOOKUP($A840,#REF!,17,FALSE)&lt;-2),"",#REF!),"")</f>
        <v/>
      </c>
      <c r="T840" t="str">
        <f>IFERROR(IF(OR(HLOOKUP($A840,#REF!,18,FALSE)&gt;2,HLOOKUP($A840,#REF!,18,FALSE)&lt;-2),"",#REF!),"")</f>
        <v/>
      </c>
      <c r="U840" t="str">
        <f>IFERROR(IF(OR(HLOOKUP($A840,#REF!,19,FALSE)&gt;2,HLOOKUP($A840,#REF!,19,FALSE)&lt;-2),"",#REF!),"")</f>
        <v/>
      </c>
      <c r="V840">
        <f t="shared" si="52"/>
        <v>1</v>
      </c>
      <c r="W840" t="str">
        <f t="shared" si="53"/>
        <v/>
      </c>
      <c r="X840" t="str">
        <f t="shared" si="54"/>
        <v/>
      </c>
      <c r="Y840" t="str">
        <f t="shared" si="55"/>
        <v/>
      </c>
    </row>
    <row r="841" spans="1:25" x14ac:dyDescent="0.35">
      <c r="A841">
        <v>849</v>
      </c>
      <c r="B841" t="s">
        <v>410</v>
      </c>
      <c r="C841">
        <v>10400</v>
      </c>
      <c r="D841">
        <v>677</v>
      </c>
      <c r="E841" t="str">
        <f>IFERROR(IF(OR(HLOOKUP($A841,#REF!,3,FALSE)&gt;2,HLOOKUP(A841,#REF!,3,FALSE)&lt;-2),"",#REF!),"")</f>
        <v/>
      </c>
      <c r="F841" t="str">
        <f>IFERROR(IF(OR(HLOOKUP($A841,#REF!,4,FALSE)&gt;2,HLOOKUP($A841,#REF!,4,FALSE)&lt;-2),"",#REF!),"")</f>
        <v/>
      </c>
      <c r="G841" t="str">
        <f>IFERROR(IF(OR(HLOOKUP($A841,#REF!,5,FALSE)&gt;2,HLOOKUP($A841,#REF!,5,FALSE)&lt;-2),"",#REF!),"")</f>
        <v/>
      </c>
      <c r="H841" t="str">
        <f>IFERROR(IF(OR(HLOOKUP($A841,#REF!,6,FALSE)&gt;2,HLOOKUP($A841,#REF!,6,FALSE)&lt;-2),"",#REF!),"")</f>
        <v/>
      </c>
      <c r="I841" t="str">
        <f>IFERROR(IF(OR(HLOOKUP($A841,#REF!,7,FALSE)&gt;2,HLOOKUP($A841,#REF!,7,FALSE)&lt;-2),"",#REF!),"")</f>
        <v/>
      </c>
      <c r="J841" t="str">
        <f>IFERROR(IF(OR(HLOOKUP($A841,#REF!,8,FALSE)&gt;2,HLOOKUP($A841,#REF!,8,FALSE)&lt;-2),"",#REF!),"")</f>
        <v/>
      </c>
      <c r="K841" t="str">
        <f>IFERROR(IF(OR(HLOOKUP($A841,#REF!,9,FALSE)&gt;2,HLOOKUP($A841,#REF!,9,FALSE)&lt;-2),"",#REF!),"")</f>
        <v/>
      </c>
      <c r="L841" t="str">
        <f>IFERROR(IF(OR(HLOOKUP($A841,#REF!,10,FALSE)&gt;2,HLOOKUP($A841,#REF!,10,FALSE)&lt;-2),"",#REF!),"")</f>
        <v/>
      </c>
      <c r="M841" t="str">
        <f>IFERROR(IF(OR(HLOOKUP($A841,#REF!,11,FALSE)&gt;2,HLOOKUP($A841,#REF!,11,FALSE)&lt;-2),"",#REF!),"")</f>
        <v/>
      </c>
      <c r="N841" t="str">
        <f>IFERROR(IF(OR(HLOOKUP($A841,#REF!,12,FALSE)&gt;2,HLOOKUP($A841,#REF!,12,FALSE)&lt;-2),"",#REF!),"")</f>
        <v/>
      </c>
      <c r="O841" t="str">
        <f>IFERROR(IF(OR(HLOOKUP($A841,#REF!,13,FALSE)&gt;2,HLOOKUP($A841,#REF!,13,FALSE)&lt;-2),"",#REF!),"")</f>
        <v/>
      </c>
      <c r="P841" t="str">
        <f>IFERROR(IF(OR(HLOOKUP($A841,#REF!,14,FALSE)&gt;2,HLOOKUP($A841,#REF!,14,FALSE)&lt;-2),"",#REF!),"")</f>
        <v/>
      </c>
      <c r="Q841" t="str">
        <f>IFERROR(IF(OR(HLOOKUP($A841,#REF!,15,FALSE)&gt;2,HLOOKUP($A841,#REF!,15,FALSE)&lt;-2),"",#REF!),"")</f>
        <v/>
      </c>
      <c r="R841" t="str">
        <f>IFERROR(IF(OR(HLOOKUP($A841,#REF!,16,FALSE)&gt;2,HLOOKUP($A841,#REF!,16,FALSE)&lt;-2),"",#REF!),"")</f>
        <v/>
      </c>
      <c r="S841" t="str">
        <f>IFERROR(IF(OR(HLOOKUP($A841,#REF!,17,FALSE)&gt;2,HLOOKUP($A841,#REF!,17,FALSE)&lt;-2),"",#REF!),"")</f>
        <v/>
      </c>
      <c r="T841" t="str">
        <f>IFERROR(IF(OR(HLOOKUP($A841,#REF!,18,FALSE)&gt;2,HLOOKUP($A841,#REF!,18,FALSE)&lt;-2),"",#REF!),"")</f>
        <v/>
      </c>
      <c r="U841" t="str">
        <f>IFERROR(IF(OR(HLOOKUP($A841,#REF!,19,FALSE)&gt;2,HLOOKUP($A841,#REF!,19,FALSE)&lt;-2),"",#REF!),"")</f>
        <v/>
      </c>
      <c r="V841">
        <f t="shared" si="52"/>
        <v>1</v>
      </c>
      <c r="W841" t="str">
        <f t="shared" si="53"/>
        <v/>
      </c>
      <c r="X841" t="str">
        <f t="shared" si="54"/>
        <v/>
      </c>
      <c r="Y841" t="str">
        <f t="shared" si="55"/>
        <v/>
      </c>
    </row>
    <row r="842" spans="1:25" x14ac:dyDescent="0.35">
      <c r="A842">
        <v>850</v>
      </c>
      <c r="B842" t="s">
        <v>1034</v>
      </c>
      <c r="C842">
        <v>104800</v>
      </c>
      <c r="D842">
        <v>326</v>
      </c>
      <c r="E842" t="str">
        <f>IFERROR(IF(OR(HLOOKUP($A842,#REF!,3,FALSE)&gt;2,HLOOKUP(A842,#REF!,3,FALSE)&lt;-2),"",#REF!),"")</f>
        <v/>
      </c>
      <c r="F842" t="str">
        <f>IFERROR(IF(OR(HLOOKUP($A842,#REF!,4,FALSE)&gt;2,HLOOKUP($A842,#REF!,4,FALSE)&lt;-2),"",#REF!),"")</f>
        <v/>
      </c>
      <c r="G842" t="str">
        <f>IFERROR(IF(OR(HLOOKUP($A842,#REF!,5,FALSE)&gt;2,HLOOKUP($A842,#REF!,5,FALSE)&lt;-2),"",#REF!),"")</f>
        <v/>
      </c>
      <c r="H842" t="str">
        <f>IFERROR(IF(OR(HLOOKUP($A842,#REF!,6,FALSE)&gt;2,HLOOKUP($A842,#REF!,6,FALSE)&lt;-2),"",#REF!),"")</f>
        <v/>
      </c>
      <c r="I842" t="str">
        <f>IFERROR(IF(OR(HLOOKUP($A842,#REF!,7,FALSE)&gt;2,HLOOKUP($A842,#REF!,7,FALSE)&lt;-2),"",#REF!),"")</f>
        <v/>
      </c>
      <c r="J842" t="str">
        <f>IFERROR(IF(OR(HLOOKUP($A842,#REF!,8,FALSE)&gt;2,HLOOKUP($A842,#REF!,8,FALSE)&lt;-2),"",#REF!),"")</f>
        <v/>
      </c>
      <c r="K842" t="str">
        <f>IFERROR(IF(OR(HLOOKUP($A842,#REF!,9,FALSE)&gt;2,HLOOKUP($A842,#REF!,9,FALSE)&lt;-2),"",#REF!),"")</f>
        <v/>
      </c>
      <c r="L842" t="str">
        <f>IFERROR(IF(OR(HLOOKUP($A842,#REF!,10,FALSE)&gt;2,HLOOKUP($A842,#REF!,10,FALSE)&lt;-2),"",#REF!),"")</f>
        <v/>
      </c>
      <c r="M842" t="str">
        <f>IFERROR(IF(OR(HLOOKUP($A842,#REF!,11,FALSE)&gt;2,HLOOKUP($A842,#REF!,11,FALSE)&lt;-2),"",#REF!),"")</f>
        <v/>
      </c>
      <c r="N842" t="str">
        <f>IFERROR(IF(OR(HLOOKUP($A842,#REF!,12,FALSE)&gt;2,HLOOKUP($A842,#REF!,12,FALSE)&lt;-2),"",#REF!),"")</f>
        <v/>
      </c>
      <c r="O842" t="str">
        <f>IFERROR(IF(OR(HLOOKUP($A842,#REF!,13,FALSE)&gt;2,HLOOKUP($A842,#REF!,13,FALSE)&lt;-2),"",#REF!),"")</f>
        <v/>
      </c>
      <c r="P842" t="str">
        <f>IFERROR(IF(OR(HLOOKUP($A842,#REF!,14,FALSE)&gt;2,HLOOKUP($A842,#REF!,14,FALSE)&lt;-2),"",#REF!),"")</f>
        <v/>
      </c>
      <c r="Q842" t="str">
        <f>IFERROR(IF(OR(HLOOKUP($A842,#REF!,15,FALSE)&gt;2,HLOOKUP($A842,#REF!,15,FALSE)&lt;-2),"",#REF!),"")</f>
        <v/>
      </c>
      <c r="R842" t="str">
        <f>IFERROR(IF(OR(HLOOKUP($A842,#REF!,16,FALSE)&gt;2,HLOOKUP($A842,#REF!,16,FALSE)&lt;-2),"",#REF!),"")</f>
        <v/>
      </c>
      <c r="S842" t="str">
        <f>IFERROR(IF(OR(HLOOKUP($A842,#REF!,17,FALSE)&gt;2,HLOOKUP($A842,#REF!,17,FALSE)&lt;-2),"",#REF!),"")</f>
        <v/>
      </c>
      <c r="T842" t="str">
        <f>IFERROR(IF(OR(HLOOKUP($A842,#REF!,18,FALSE)&gt;2,HLOOKUP($A842,#REF!,18,FALSE)&lt;-2),"",#REF!),"")</f>
        <v/>
      </c>
      <c r="U842" t="str">
        <f>IFERROR(IF(OR(HLOOKUP($A842,#REF!,19,FALSE)&gt;2,HLOOKUP($A842,#REF!,19,FALSE)&lt;-2),"",#REF!),"")</f>
        <v/>
      </c>
      <c r="V842">
        <f t="shared" si="52"/>
        <v>1</v>
      </c>
      <c r="W842" t="str">
        <f t="shared" si="53"/>
        <v/>
      </c>
      <c r="X842" t="str">
        <f t="shared" si="54"/>
        <v/>
      </c>
      <c r="Y842" t="str">
        <f t="shared" si="55"/>
        <v/>
      </c>
    </row>
    <row r="843" spans="1:25" x14ac:dyDescent="0.35">
      <c r="A843">
        <v>851</v>
      </c>
      <c r="B843" t="s">
        <v>411</v>
      </c>
      <c r="C843">
        <v>78800</v>
      </c>
      <c r="D843">
        <v>302</v>
      </c>
      <c r="E843" t="str">
        <f>IFERROR(IF(OR(HLOOKUP($A843,#REF!,3,FALSE)&gt;2,HLOOKUP(A843,#REF!,3,FALSE)&lt;-2),"",#REF!),"")</f>
        <v/>
      </c>
      <c r="F843" t="str">
        <f>IFERROR(IF(OR(HLOOKUP($A843,#REF!,4,FALSE)&gt;2,HLOOKUP($A843,#REF!,4,FALSE)&lt;-2),"",#REF!),"")</f>
        <v/>
      </c>
      <c r="G843" t="str">
        <f>IFERROR(IF(OR(HLOOKUP($A843,#REF!,5,FALSE)&gt;2,HLOOKUP($A843,#REF!,5,FALSE)&lt;-2),"",#REF!),"")</f>
        <v/>
      </c>
      <c r="H843" t="str">
        <f>IFERROR(IF(OR(HLOOKUP($A843,#REF!,6,FALSE)&gt;2,HLOOKUP($A843,#REF!,6,FALSE)&lt;-2),"",#REF!),"")</f>
        <v/>
      </c>
      <c r="I843" t="str">
        <f>IFERROR(IF(OR(HLOOKUP($A843,#REF!,7,FALSE)&gt;2,HLOOKUP($A843,#REF!,7,FALSE)&lt;-2),"",#REF!),"")</f>
        <v/>
      </c>
      <c r="J843" t="str">
        <f>IFERROR(IF(OR(HLOOKUP($A843,#REF!,8,FALSE)&gt;2,HLOOKUP($A843,#REF!,8,FALSE)&lt;-2),"",#REF!),"")</f>
        <v/>
      </c>
      <c r="K843" t="str">
        <f>IFERROR(IF(OR(HLOOKUP($A843,#REF!,9,FALSE)&gt;2,HLOOKUP($A843,#REF!,9,FALSE)&lt;-2),"",#REF!),"")</f>
        <v/>
      </c>
      <c r="L843" t="str">
        <f>IFERROR(IF(OR(HLOOKUP($A843,#REF!,10,FALSE)&gt;2,HLOOKUP($A843,#REF!,10,FALSE)&lt;-2),"",#REF!),"")</f>
        <v/>
      </c>
      <c r="M843" t="str">
        <f>IFERROR(IF(OR(HLOOKUP($A843,#REF!,11,FALSE)&gt;2,HLOOKUP($A843,#REF!,11,FALSE)&lt;-2),"",#REF!),"")</f>
        <v/>
      </c>
      <c r="N843" t="str">
        <f>IFERROR(IF(OR(HLOOKUP($A843,#REF!,12,FALSE)&gt;2,HLOOKUP($A843,#REF!,12,FALSE)&lt;-2),"",#REF!),"")</f>
        <v/>
      </c>
      <c r="O843" t="str">
        <f>IFERROR(IF(OR(HLOOKUP($A843,#REF!,13,FALSE)&gt;2,HLOOKUP($A843,#REF!,13,FALSE)&lt;-2),"",#REF!),"")</f>
        <v/>
      </c>
      <c r="P843" t="str">
        <f>IFERROR(IF(OR(HLOOKUP($A843,#REF!,14,FALSE)&gt;2,HLOOKUP($A843,#REF!,14,FALSE)&lt;-2),"",#REF!),"")</f>
        <v/>
      </c>
      <c r="Q843" t="str">
        <f>IFERROR(IF(OR(HLOOKUP($A843,#REF!,15,FALSE)&gt;2,HLOOKUP($A843,#REF!,15,FALSE)&lt;-2),"",#REF!),"")</f>
        <v/>
      </c>
      <c r="R843" t="str">
        <f>IFERROR(IF(OR(HLOOKUP($A843,#REF!,16,FALSE)&gt;2,HLOOKUP($A843,#REF!,16,FALSE)&lt;-2),"",#REF!),"")</f>
        <v/>
      </c>
      <c r="S843" t="str">
        <f>IFERROR(IF(OR(HLOOKUP($A843,#REF!,17,FALSE)&gt;2,HLOOKUP($A843,#REF!,17,FALSE)&lt;-2),"",#REF!),"")</f>
        <v/>
      </c>
      <c r="T843" t="str">
        <f>IFERROR(IF(OR(HLOOKUP($A843,#REF!,18,FALSE)&gt;2,HLOOKUP($A843,#REF!,18,FALSE)&lt;-2),"",#REF!),"")</f>
        <v/>
      </c>
      <c r="U843" t="str">
        <f>IFERROR(IF(OR(HLOOKUP($A843,#REF!,19,FALSE)&gt;2,HLOOKUP($A843,#REF!,19,FALSE)&lt;-2),"",#REF!),"")</f>
        <v/>
      </c>
      <c r="V843">
        <f t="shared" si="52"/>
        <v>1</v>
      </c>
      <c r="W843" t="str">
        <f t="shared" si="53"/>
        <v/>
      </c>
      <c r="X843" t="str">
        <f t="shared" si="54"/>
        <v/>
      </c>
      <c r="Y843" t="str">
        <f t="shared" si="55"/>
        <v/>
      </c>
    </row>
    <row r="844" spans="1:25" x14ac:dyDescent="0.35">
      <c r="A844">
        <v>852</v>
      </c>
      <c r="B844" t="s">
        <v>412</v>
      </c>
      <c r="C844">
        <v>94600</v>
      </c>
      <c r="D844">
        <v>370</v>
      </c>
      <c r="E844" t="str">
        <f>IFERROR(IF(OR(HLOOKUP($A844,#REF!,3,FALSE)&gt;2,HLOOKUP(A844,#REF!,3,FALSE)&lt;-2),"",#REF!),"")</f>
        <v/>
      </c>
      <c r="F844" t="str">
        <f>IFERROR(IF(OR(HLOOKUP($A844,#REF!,4,FALSE)&gt;2,HLOOKUP($A844,#REF!,4,FALSE)&lt;-2),"",#REF!),"")</f>
        <v/>
      </c>
      <c r="G844" t="str">
        <f>IFERROR(IF(OR(HLOOKUP($A844,#REF!,5,FALSE)&gt;2,HLOOKUP($A844,#REF!,5,FALSE)&lt;-2),"",#REF!),"")</f>
        <v/>
      </c>
      <c r="H844" t="str">
        <f>IFERROR(IF(OR(HLOOKUP($A844,#REF!,6,FALSE)&gt;2,HLOOKUP($A844,#REF!,6,FALSE)&lt;-2),"",#REF!),"")</f>
        <v/>
      </c>
      <c r="I844" t="str">
        <f>IFERROR(IF(OR(HLOOKUP($A844,#REF!,7,FALSE)&gt;2,HLOOKUP($A844,#REF!,7,FALSE)&lt;-2),"",#REF!),"")</f>
        <v/>
      </c>
      <c r="J844" t="str">
        <f>IFERROR(IF(OR(HLOOKUP($A844,#REF!,8,FALSE)&gt;2,HLOOKUP($A844,#REF!,8,FALSE)&lt;-2),"",#REF!),"")</f>
        <v/>
      </c>
      <c r="K844" t="str">
        <f>IFERROR(IF(OR(HLOOKUP($A844,#REF!,9,FALSE)&gt;2,HLOOKUP($A844,#REF!,9,FALSE)&lt;-2),"",#REF!),"")</f>
        <v/>
      </c>
      <c r="L844" t="str">
        <f>IFERROR(IF(OR(HLOOKUP($A844,#REF!,10,FALSE)&gt;2,HLOOKUP($A844,#REF!,10,FALSE)&lt;-2),"",#REF!),"")</f>
        <v/>
      </c>
      <c r="M844" t="str">
        <f>IFERROR(IF(OR(HLOOKUP($A844,#REF!,11,FALSE)&gt;2,HLOOKUP($A844,#REF!,11,FALSE)&lt;-2),"",#REF!),"")</f>
        <v/>
      </c>
      <c r="N844" t="str">
        <f>IFERROR(IF(OR(HLOOKUP($A844,#REF!,12,FALSE)&gt;2,HLOOKUP($A844,#REF!,12,FALSE)&lt;-2),"",#REF!),"")</f>
        <v/>
      </c>
      <c r="O844" t="str">
        <f>IFERROR(IF(OR(HLOOKUP($A844,#REF!,13,FALSE)&gt;2,HLOOKUP($A844,#REF!,13,FALSE)&lt;-2),"",#REF!),"")</f>
        <v/>
      </c>
      <c r="P844" t="str">
        <f>IFERROR(IF(OR(HLOOKUP($A844,#REF!,14,FALSE)&gt;2,HLOOKUP($A844,#REF!,14,FALSE)&lt;-2),"",#REF!),"")</f>
        <v/>
      </c>
      <c r="Q844" t="str">
        <f>IFERROR(IF(OR(HLOOKUP($A844,#REF!,15,FALSE)&gt;2,HLOOKUP($A844,#REF!,15,FALSE)&lt;-2),"",#REF!),"")</f>
        <v/>
      </c>
      <c r="R844" t="str">
        <f>IFERROR(IF(OR(HLOOKUP($A844,#REF!,16,FALSE)&gt;2,HLOOKUP($A844,#REF!,16,FALSE)&lt;-2),"",#REF!),"")</f>
        <v/>
      </c>
      <c r="S844" t="str">
        <f>IFERROR(IF(OR(HLOOKUP($A844,#REF!,17,FALSE)&gt;2,HLOOKUP($A844,#REF!,17,FALSE)&lt;-2),"",#REF!),"")</f>
        <v/>
      </c>
      <c r="T844" t="str">
        <f>IFERROR(IF(OR(HLOOKUP($A844,#REF!,18,FALSE)&gt;2,HLOOKUP($A844,#REF!,18,FALSE)&lt;-2),"",#REF!),"")</f>
        <v/>
      </c>
      <c r="U844" t="str">
        <f>IFERROR(IF(OR(HLOOKUP($A844,#REF!,19,FALSE)&gt;2,HLOOKUP($A844,#REF!,19,FALSE)&lt;-2),"",#REF!),"")</f>
        <v/>
      </c>
      <c r="V844">
        <f t="shared" si="52"/>
        <v>1</v>
      </c>
      <c r="W844" t="str">
        <f t="shared" si="53"/>
        <v/>
      </c>
      <c r="X844" t="str">
        <f t="shared" si="54"/>
        <v/>
      </c>
      <c r="Y844" t="str">
        <f t="shared" si="55"/>
        <v/>
      </c>
    </row>
    <row r="845" spans="1:25" x14ac:dyDescent="0.35">
      <c r="A845">
        <v>853</v>
      </c>
      <c r="B845" t="s">
        <v>1035</v>
      </c>
      <c r="C845">
        <v>46100</v>
      </c>
      <c r="D845">
        <v>518</v>
      </c>
      <c r="E845" t="str">
        <f>IFERROR(IF(OR(HLOOKUP($A845,#REF!,3,FALSE)&gt;2,HLOOKUP(A845,#REF!,3,FALSE)&lt;-2),"",#REF!),"")</f>
        <v/>
      </c>
      <c r="F845" t="str">
        <f>IFERROR(IF(OR(HLOOKUP($A845,#REF!,4,FALSE)&gt;2,HLOOKUP($A845,#REF!,4,FALSE)&lt;-2),"",#REF!),"")</f>
        <v/>
      </c>
      <c r="G845" t="str">
        <f>IFERROR(IF(OR(HLOOKUP($A845,#REF!,5,FALSE)&gt;2,HLOOKUP($A845,#REF!,5,FALSE)&lt;-2),"",#REF!),"")</f>
        <v/>
      </c>
      <c r="H845" t="str">
        <f>IFERROR(IF(OR(HLOOKUP($A845,#REF!,6,FALSE)&gt;2,HLOOKUP($A845,#REF!,6,FALSE)&lt;-2),"",#REF!),"")</f>
        <v/>
      </c>
      <c r="I845" t="str">
        <f>IFERROR(IF(OR(HLOOKUP($A845,#REF!,7,FALSE)&gt;2,HLOOKUP($A845,#REF!,7,FALSE)&lt;-2),"",#REF!),"")</f>
        <v/>
      </c>
      <c r="J845" t="str">
        <f>IFERROR(IF(OR(HLOOKUP($A845,#REF!,8,FALSE)&gt;2,HLOOKUP($A845,#REF!,8,FALSE)&lt;-2),"",#REF!),"")</f>
        <v/>
      </c>
      <c r="K845" t="str">
        <f>IFERROR(IF(OR(HLOOKUP($A845,#REF!,9,FALSE)&gt;2,HLOOKUP($A845,#REF!,9,FALSE)&lt;-2),"",#REF!),"")</f>
        <v/>
      </c>
      <c r="L845" t="str">
        <f>IFERROR(IF(OR(HLOOKUP($A845,#REF!,10,FALSE)&gt;2,HLOOKUP($A845,#REF!,10,FALSE)&lt;-2),"",#REF!),"")</f>
        <v/>
      </c>
      <c r="M845" t="str">
        <f>IFERROR(IF(OR(HLOOKUP($A845,#REF!,11,FALSE)&gt;2,HLOOKUP($A845,#REF!,11,FALSE)&lt;-2),"",#REF!),"")</f>
        <v/>
      </c>
      <c r="N845" t="str">
        <f>IFERROR(IF(OR(HLOOKUP($A845,#REF!,12,FALSE)&gt;2,HLOOKUP($A845,#REF!,12,FALSE)&lt;-2),"",#REF!),"")</f>
        <v/>
      </c>
      <c r="O845" t="str">
        <f>IFERROR(IF(OR(HLOOKUP($A845,#REF!,13,FALSE)&gt;2,HLOOKUP($A845,#REF!,13,FALSE)&lt;-2),"",#REF!),"")</f>
        <v/>
      </c>
      <c r="P845" t="str">
        <f>IFERROR(IF(OR(HLOOKUP($A845,#REF!,14,FALSE)&gt;2,HLOOKUP($A845,#REF!,14,FALSE)&lt;-2),"",#REF!),"")</f>
        <v/>
      </c>
      <c r="Q845" t="str">
        <f>IFERROR(IF(OR(HLOOKUP($A845,#REF!,15,FALSE)&gt;2,HLOOKUP($A845,#REF!,15,FALSE)&lt;-2),"",#REF!),"")</f>
        <v/>
      </c>
      <c r="R845" t="str">
        <f>IFERROR(IF(OR(HLOOKUP($A845,#REF!,16,FALSE)&gt;2,HLOOKUP($A845,#REF!,16,FALSE)&lt;-2),"",#REF!),"")</f>
        <v/>
      </c>
      <c r="S845" t="str">
        <f>IFERROR(IF(OR(HLOOKUP($A845,#REF!,17,FALSE)&gt;2,HLOOKUP($A845,#REF!,17,FALSE)&lt;-2),"",#REF!),"")</f>
        <v/>
      </c>
      <c r="T845" t="str">
        <f>IFERROR(IF(OR(HLOOKUP($A845,#REF!,18,FALSE)&gt;2,HLOOKUP($A845,#REF!,18,FALSE)&lt;-2),"",#REF!),"")</f>
        <v/>
      </c>
      <c r="U845" t="str">
        <f>IFERROR(IF(OR(HLOOKUP($A845,#REF!,19,FALSE)&gt;2,HLOOKUP($A845,#REF!,19,FALSE)&lt;-2),"",#REF!),"")</f>
        <v/>
      </c>
      <c r="V845">
        <f t="shared" si="52"/>
        <v>1</v>
      </c>
      <c r="W845" t="str">
        <f t="shared" si="53"/>
        <v/>
      </c>
      <c r="X845" t="str">
        <f t="shared" si="54"/>
        <v/>
      </c>
      <c r="Y845" t="str">
        <f t="shared" si="55"/>
        <v/>
      </c>
    </row>
    <row r="846" spans="1:25" x14ac:dyDescent="0.35">
      <c r="A846">
        <v>854</v>
      </c>
      <c r="B846" t="s">
        <v>413</v>
      </c>
      <c r="C846">
        <v>6500</v>
      </c>
      <c r="D846">
        <v>369</v>
      </c>
      <c r="E846" t="str">
        <f>IFERROR(IF(OR(HLOOKUP($A846,#REF!,3,FALSE)&gt;2,HLOOKUP(A846,#REF!,3,FALSE)&lt;-2),"",#REF!),"")</f>
        <v/>
      </c>
      <c r="F846" t="str">
        <f>IFERROR(IF(OR(HLOOKUP($A846,#REF!,4,FALSE)&gt;2,HLOOKUP($A846,#REF!,4,FALSE)&lt;-2),"",#REF!),"")</f>
        <v/>
      </c>
      <c r="G846" t="str">
        <f>IFERROR(IF(OR(HLOOKUP($A846,#REF!,5,FALSE)&gt;2,HLOOKUP($A846,#REF!,5,FALSE)&lt;-2),"",#REF!),"")</f>
        <v/>
      </c>
      <c r="H846" t="str">
        <f>IFERROR(IF(OR(HLOOKUP($A846,#REF!,6,FALSE)&gt;2,HLOOKUP($A846,#REF!,6,FALSE)&lt;-2),"",#REF!),"")</f>
        <v/>
      </c>
      <c r="I846" t="str">
        <f>IFERROR(IF(OR(HLOOKUP($A846,#REF!,7,FALSE)&gt;2,HLOOKUP($A846,#REF!,7,FALSE)&lt;-2),"",#REF!),"")</f>
        <v/>
      </c>
      <c r="J846" t="str">
        <f>IFERROR(IF(OR(HLOOKUP($A846,#REF!,8,FALSE)&gt;2,HLOOKUP($A846,#REF!,8,FALSE)&lt;-2),"",#REF!),"")</f>
        <v/>
      </c>
      <c r="K846" t="str">
        <f>IFERROR(IF(OR(HLOOKUP($A846,#REF!,9,FALSE)&gt;2,HLOOKUP($A846,#REF!,9,FALSE)&lt;-2),"",#REF!),"")</f>
        <v/>
      </c>
      <c r="L846" t="str">
        <f>IFERROR(IF(OR(HLOOKUP($A846,#REF!,10,FALSE)&gt;2,HLOOKUP($A846,#REF!,10,FALSE)&lt;-2),"",#REF!),"")</f>
        <v/>
      </c>
      <c r="M846" t="str">
        <f>IFERROR(IF(OR(HLOOKUP($A846,#REF!,11,FALSE)&gt;2,HLOOKUP($A846,#REF!,11,FALSE)&lt;-2),"",#REF!),"")</f>
        <v/>
      </c>
      <c r="N846" t="str">
        <f>IFERROR(IF(OR(HLOOKUP($A846,#REF!,12,FALSE)&gt;2,HLOOKUP($A846,#REF!,12,FALSE)&lt;-2),"",#REF!),"")</f>
        <v/>
      </c>
      <c r="O846" t="str">
        <f>IFERROR(IF(OR(HLOOKUP($A846,#REF!,13,FALSE)&gt;2,HLOOKUP($A846,#REF!,13,FALSE)&lt;-2),"",#REF!),"")</f>
        <v/>
      </c>
      <c r="P846" t="str">
        <f>IFERROR(IF(OR(HLOOKUP($A846,#REF!,14,FALSE)&gt;2,HLOOKUP($A846,#REF!,14,FALSE)&lt;-2),"",#REF!),"")</f>
        <v/>
      </c>
      <c r="Q846" t="str">
        <f>IFERROR(IF(OR(HLOOKUP($A846,#REF!,15,FALSE)&gt;2,HLOOKUP($A846,#REF!,15,FALSE)&lt;-2),"",#REF!),"")</f>
        <v/>
      </c>
      <c r="R846" t="str">
        <f>IFERROR(IF(OR(HLOOKUP($A846,#REF!,16,FALSE)&gt;2,HLOOKUP($A846,#REF!,16,FALSE)&lt;-2),"",#REF!),"")</f>
        <v/>
      </c>
      <c r="S846" t="str">
        <f>IFERROR(IF(OR(HLOOKUP($A846,#REF!,17,FALSE)&gt;2,HLOOKUP($A846,#REF!,17,FALSE)&lt;-2),"",#REF!),"")</f>
        <v/>
      </c>
      <c r="T846" t="str">
        <f>IFERROR(IF(OR(HLOOKUP($A846,#REF!,18,FALSE)&gt;2,HLOOKUP($A846,#REF!,18,FALSE)&lt;-2),"",#REF!),"")</f>
        <v/>
      </c>
      <c r="U846" t="str">
        <f>IFERROR(IF(OR(HLOOKUP($A846,#REF!,19,FALSE)&gt;2,HLOOKUP($A846,#REF!,19,FALSE)&lt;-2),"",#REF!),"")</f>
        <v/>
      </c>
      <c r="V846">
        <f t="shared" si="52"/>
        <v>1</v>
      </c>
      <c r="W846" t="str">
        <f t="shared" si="53"/>
        <v/>
      </c>
      <c r="X846" t="str">
        <f t="shared" si="54"/>
        <v/>
      </c>
      <c r="Y846" t="str">
        <f t="shared" si="55"/>
        <v/>
      </c>
    </row>
    <row r="847" spans="1:25" x14ac:dyDescent="0.35">
      <c r="A847">
        <v>855</v>
      </c>
      <c r="B847" t="s">
        <v>1036</v>
      </c>
      <c r="C847">
        <v>110100</v>
      </c>
      <c r="D847">
        <v>1000</v>
      </c>
      <c r="E847" t="str">
        <f>IFERROR(IF(OR(HLOOKUP($A847,#REF!,3,FALSE)&gt;2,HLOOKUP(A847,#REF!,3,FALSE)&lt;-2),"",#REF!),"")</f>
        <v/>
      </c>
      <c r="F847" t="str">
        <f>IFERROR(IF(OR(HLOOKUP($A847,#REF!,4,FALSE)&gt;2,HLOOKUP($A847,#REF!,4,FALSE)&lt;-2),"",#REF!),"")</f>
        <v/>
      </c>
      <c r="G847" t="str">
        <f>IFERROR(IF(OR(HLOOKUP($A847,#REF!,5,FALSE)&gt;2,HLOOKUP($A847,#REF!,5,FALSE)&lt;-2),"",#REF!),"")</f>
        <v/>
      </c>
      <c r="H847" t="str">
        <f>IFERROR(IF(OR(HLOOKUP($A847,#REF!,6,FALSE)&gt;2,HLOOKUP($A847,#REF!,6,FALSE)&lt;-2),"",#REF!),"")</f>
        <v/>
      </c>
      <c r="I847" t="str">
        <f>IFERROR(IF(OR(HLOOKUP($A847,#REF!,7,FALSE)&gt;2,HLOOKUP($A847,#REF!,7,FALSE)&lt;-2),"",#REF!),"")</f>
        <v/>
      </c>
      <c r="J847" t="str">
        <f>IFERROR(IF(OR(HLOOKUP($A847,#REF!,8,FALSE)&gt;2,HLOOKUP($A847,#REF!,8,FALSE)&lt;-2),"",#REF!),"")</f>
        <v/>
      </c>
      <c r="K847" t="str">
        <f>IFERROR(IF(OR(HLOOKUP($A847,#REF!,9,FALSE)&gt;2,HLOOKUP($A847,#REF!,9,FALSE)&lt;-2),"",#REF!),"")</f>
        <v/>
      </c>
      <c r="L847" t="str">
        <f>IFERROR(IF(OR(HLOOKUP($A847,#REF!,10,FALSE)&gt;2,HLOOKUP($A847,#REF!,10,FALSE)&lt;-2),"",#REF!),"")</f>
        <v/>
      </c>
      <c r="M847" t="str">
        <f>IFERROR(IF(OR(HLOOKUP($A847,#REF!,11,FALSE)&gt;2,HLOOKUP($A847,#REF!,11,FALSE)&lt;-2),"",#REF!),"")</f>
        <v/>
      </c>
      <c r="N847" t="str">
        <f>IFERROR(IF(OR(HLOOKUP($A847,#REF!,12,FALSE)&gt;2,HLOOKUP($A847,#REF!,12,FALSE)&lt;-2),"",#REF!),"")</f>
        <v/>
      </c>
      <c r="O847" t="str">
        <f>IFERROR(IF(OR(HLOOKUP($A847,#REF!,13,FALSE)&gt;2,HLOOKUP($A847,#REF!,13,FALSE)&lt;-2),"",#REF!),"")</f>
        <v/>
      </c>
      <c r="P847" t="str">
        <f>IFERROR(IF(OR(HLOOKUP($A847,#REF!,14,FALSE)&gt;2,HLOOKUP($A847,#REF!,14,FALSE)&lt;-2),"",#REF!),"")</f>
        <v/>
      </c>
      <c r="Q847" t="str">
        <f>IFERROR(IF(OR(HLOOKUP($A847,#REF!,15,FALSE)&gt;2,HLOOKUP($A847,#REF!,15,FALSE)&lt;-2),"",#REF!),"")</f>
        <v/>
      </c>
      <c r="R847" t="str">
        <f>IFERROR(IF(OR(HLOOKUP($A847,#REF!,16,FALSE)&gt;2,HLOOKUP($A847,#REF!,16,FALSE)&lt;-2),"",#REF!),"")</f>
        <v/>
      </c>
      <c r="S847" t="str">
        <f>IFERROR(IF(OR(HLOOKUP($A847,#REF!,17,FALSE)&gt;2,HLOOKUP($A847,#REF!,17,FALSE)&lt;-2),"",#REF!),"")</f>
        <v/>
      </c>
      <c r="T847" t="str">
        <f>IFERROR(IF(OR(HLOOKUP($A847,#REF!,18,FALSE)&gt;2,HLOOKUP($A847,#REF!,18,FALSE)&lt;-2),"",#REF!),"")</f>
        <v/>
      </c>
      <c r="U847" t="str">
        <f>IFERROR(IF(OR(HLOOKUP($A847,#REF!,19,FALSE)&gt;2,HLOOKUP($A847,#REF!,19,FALSE)&lt;-2),"",#REF!),"")</f>
        <v/>
      </c>
      <c r="V847">
        <f t="shared" si="52"/>
        <v>1</v>
      </c>
      <c r="W847" t="str">
        <f t="shared" si="53"/>
        <v/>
      </c>
      <c r="X847" t="str">
        <f t="shared" si="54"/>
        <v/>
      </c>
      <c r="Y847" t="str">
        <f t="shared" si="55"/>
        <v/>
      </c>
    </row>
    <row r="848" spans="1:25" x14ac:dyDescent="0.35">
      <c r="A848">
        <v>856</v>
      </c>
      <c r="B848" t="s">
        <v>1037</v>
      </c>
      <c r="C848">
        <v>65600</v>
      </c>
      <c r="D848">
        <v>549</v>
      </c>
      <c r="E848" t="str">
        <f>IFERROR(IF(OR(HLOOKUP($A848,#REF!,3,FALSE)&gt;2,HLOOKUP(A848,#REF!,3,FALSE)&lt;-2),"",#REF!),"")</f>
        <v/>
      </c>
      <c r="F848" t="str">
        <f>IFERROR(IF(OR(HLOOKUP($A848,#REF!,4,FALSE)&gt;2,HLOOKUP($A848,#REF!,4,FALSE)&lt;-2),"",#REF!),"")</f>
        <v/>
      </c>
      <c r="G848" t="str">
        <f>IFERROR(IF(OR(HLOOKUP($A848,#REF!,5,FALSE)&gt;2,HLOOKUP($A848,#REF!,5,FALSE)&lt;-2),"",#REF!),"")</f>
        <v/>
      </c>
      <c r="H848" t="str">
        <f>IFERROR(IF(OR(HLOOKUP($A848,#REF!,6,FALSE)&gt;2,HLOOKUP($A848,#REF!,6,FALSE)&lt;-2),"",#REF!),"")</f>
        <v/>
      </c>
      <c r="I848" t="str">
        <f>IFERROR(IF(OR(HLOOKUP($A848,#REF!,7,FALSE)&gt;2,HLOOKUP($A848,#REF!,7,FALSE)&lt;-2),"",#REF!),"")</f>
        <v/>
      </c>
      <c r="J848" t="str">
        <f>IFERROR(IF(OR(HLOOKUP($A848,#REF!,8,FALSE)&gt;2,HLOOKUP($A848,#REF!,8,FALSE)&lt;-2),"",#REF!),"")</f>
        <v/>
      </c>
      <c r="K848" t="str">
        <f>IFERROR(IF(OR(HLOOKUP($A848,#REF!,9,FALSE)&gt;2,HLOOKUP($A848,#REF!,9,FALSE)&lt;-2),"",#REF!),"")</f>
        <v/>
      </c>
      <c r="L848" t="str">
        <f>IFERROR(IF(OR(HLOOKUP($A848,#REF!,10,FALSE)&gt;2,HLOOKUP($A848,#REF!,10,FALSE)&lt;-2),"",#REF!),"")</f>
        <v/>
      </c>
      <c r="M848" t="str">
        <f>IFERROR(IF(OR(HLOOKUP($A848,#REF!,11,FALSE)&gt;2,HLOOKUP($A848,#REF!,11,FALSE)&lt;-2),"",#REF!),"")</f>
        <v/>
      </c>
      <c r="N848" t="str">
        <f>IFERROR(IF(OR(HLOOKUP($A848,#REF!,12,FALSE)&gt;2,HLOOKUP($A848,#REF!,12,FALSE)&lt;-2),"",#REF!),"")</f>
        <v/>
      </c>
      <c r="O848" t="str">
        <f>IFERROR(IF(OR(HLOOKUP($A848,#REF!,13,FALSE)&gt;2,HLOOKUP($A848,#REF!,13,FALSE)&lt;-2),"",#REF!),"")</f>
        <v/>
      </c>
      <c r="P848" t="str">
        <f>IFERROR(IF(OR(HLOOKUP($A848,#REF!,14,FALSE)&gt;2,HLOOKUP($A848,#REF!,14,FALSE)&lt;-2),"",#REF!),"")</f>
        <v/>
      </c>
      <c r="Q848" t="str">
        <f>IFERROR(IF(OR(HLOOKUP($A848,#REF!,15,FALSE)&gt;2,HLOOKUP($A848,#REF!,15,FALSE)&lt;-2),"",#REF!),"")</f>
        <v/>
      </c>
      <c r="R848" t="str">
        <f>IFERROR(IF(OR(HLOOKUP($A848,#REF!,16,FALSE)&gt;2,HLOOKUP($A848,#REF!,16,FALSE)&lt;-2),"",#REF!),"")</f>
        <v/>
      </c>
      <c r="S848" t="str">
        <f>IFERROR(IF(OR(HLOOKUP($A848,#REF!,17,FALSE)&gt;2,HLOOKUP($A848,#REF!,17,FALSE)&lt;-2),"",#REF!),"")</f>
        <v/>
      </c>
      <c r="T848" t="str">
        <f>IFERROR(IF(OR(HLOOKUP($A848,#REF!,18,FALSE)&gt;2,HLOOKUP($A848,#REF!,18,FALSE)&lt;-2),"",#REF!),"")</f>
        <v/>
      </c>
      <c r="U848" t="str">
        <f>IFERROR(IF(OR(HLOOKUP($A848,#REF!,19,FALSE)&gt;2,HLOOKUP($A848,#REF!,19,FALSE)&lt;-2),"",#REF!),"")</f>
        <v/>
      </c>
      <c r="V848">
        <f t="shared" si="52"/>
        <v>1</v>
      </c>
      <c r="W848" t="str">
        <f t="shared" si="53"/>
        <v/>
      </c>
      <c r="X848" t="str">
        <f t="shared" si="54"/>
        <v/>
      </c>
      <c r="Y848" t="str">
        <f t="shared" si="55"/>
        <v/>
      </c>
    </row>
    <row r="849" spans="1:25" x14ac:dyDescent="0.35">
      <c r="A849">
        <v>857</v>
      </c>
      <c r="B849" t="s">
        <v>414</v>
      </c>
      <c r="C849">
        <v>10300</v>
      </c>
      <c r="D849">
        <v>677</v>
      </c>
      <c r="E849" t="str">
        <f>IFERROR(IF(OR(HLOOKUP($A849,#REF!,3,FALSE)&gt;2,HLOOKUP(A849,#REF!,3,FALSE)&lt;-2),"",#REF!),"")</f>
        <v/>
      </c>
      <c r="F849" t="str">
        <f>IFERROR(IF(OR(HLOOKUP($A849,#REF!,4,FALSE)&gt;2,HLOOKUP($A849,#REF!,4,FALSE)&lt;-2),"",#REF!),"")</f>
        <v/>
      </c>
      <c r="G849" t="str">
        <f>IFERROR(IF(OR(HLOOKUP($A849,#REF!,5,FALSE)&gt;2,HLOOKUP($A849,#REF!,5,FALSE)&lt;-2),"",#REF!),"")</f>
        <v/>
      </c>
      <c r="H849" t="str">
        <f>IFERROR(IF(OR(HLOOKUP($A849,#REF!,6,FALSE)&gt;2,HLOOKUP($A849,#REF!,6,FALSE)&lt;-2),"",#REF!),"")</f>
        <v/>
      </c>
      <c r="I849" t="str">
        <f>IFERROR(IF(OR(HLOOKUP($A849,#REF!,7,FALSE)&gt;2,HLOOKUP($A849,#REF!,7,FALSE)&lt;-2),"",#REF!),"")</f>
        <v/>
      </c>
      <c r="J849" t="str">
        <f>IFERROR(IF(OR(HLOOKUP($A849,#REF!,8,FALSE)&gt;2,HLOOKUP($A849,#REF!,8,FALSE)&lt;-2),"",#REF!),"")</f>
        <v/>
      </c>
      <c r="K849" t="str">
        <f>IFERROR(IF(OR(HLOOKUP($A849,#REF!,9,FALSE)&gt;2,HLOOKUP($A849,#REF!,9,FALSE)&lt;-2),"",#REF!),"")</f>
        <v/>
      </c>
      <c r="L849" t="str">
        <f>IFERROR(IF(OR(HLOOKUP($A849,#REF!,10,FALSE)&gt;2,HLOOKUP($A849,#REF!,10,FALSE)&lt;-2),"",#REF!),"")</f>
        <v/>
      </c>
      <c r="M849" t="str">
        <f>IFERROR(IF(OR(HLOOKUP($A849,#REF!,11,FALSE)&gt;2,HLOOKUP($A849,#REF!,11,FALSE)&lt;-2),"",#REF!),"")</f>
        <v/>
      </c>
      <c r="N849" t="str">
        <f>IFERROR(IF(OR(HLOOKUP($A849,#REF!,12,FALSE)&gt;2,HLOOKUP($A849,#REF!,12,FALSE)&lt;-2),"",#REF!),"")</f>
        <v/>
      </c>
      <c r="O849" t="str">
        <f>IFERROR(IF(OR(HLOOKUP($A849,#REF!,13,FALSE)&gt;2,HLOOKUP($A849,#REF!,13,FALSE)&lt;-2),"",#REF!),"")</f>
        <v/>
      </c>
      <c r="P849" t="str">
        <f>IFERROR(IF(OR(HLOOKUP($A849,#REF!,14,FALSE)&gt;2,HLOOKUP($A849,#REF!,14,FALSE)&lt;-2),"",#REF!),"")</f>
        <v/>
      </c>
      <c r="Q849" t="str">
        <f>IFERROR(IF(OR(HLOOKUP($A849,#REF!,15,FALSE)&gt;2,HLOOKUP($A849,#REF!,15,FALSE)&lt;-2),"",#REF!),"")</f>
        <v/>
      </c>
      <c r="R849" t="str">
        <f>IFERROR(IF(OR(HLOOKUP($A849,#REF!,16,FALSE)&gt;2,HLOOKUP($A849,#REF!,16,FALSE)&lt;-2),"",#REF!),"")</f>
        <v/>
      </c>
      <c r="S849" t="str">
        <f>IFERROR(IF(OR(HLOOKUP($A849,#REF!,17,FALSE)&gt;2,HLOOKUP($A849,#REF!,17,FALSE)&lt;-2),"",#REF!),"")</f>
        <v/>
      </c>
      <c r="T849" t="str">
        <f>IFERROR(IF(OR(HLOOKUP($A849,#REF!,18,FALSE)&gt;2,HLOOKUP($A849,#REF!,18,FALSE)&lt;-2),"",#REF!),"")</f>
        <v/>
      </c>
      <c r="U849" t="str">
        <f>IFERROR(IF(OR(HLOOKUP($A849,#REF!,19,FALSE)&gt;2,HLOOKUP($A849,#REF!,19,FALSE)&lt;-2),"",#REF!),"")</f>
        <v/>
      </c>
      <c r="V849">
        <f t="shared" si="52"/>
        <v>1</v>
      </c>
      <c r="W849" t="str">
        <f t="shared" si="53"/>
        <v/>
      </c>
      <c r="X849" t="str">
        <f t="shared" si="54"/>
        <v/>
      </c>
      <c r="Y849" t="str">
        <f t="shared" si="55"/>
        <v/>
      </c>
    </row>
    <row r="850" spans="1:25" x14ac:dyDescent="0.35">
      <c r="A850">
        <v>858</v>
      </c>
      <c r="B850" t="s">
        <v>1038</v>
      </c>
      <c r="C850">
        <v>102400</v>
      </c>
      <c r="D850">
        <v>932</v>
      </c>
      <c r="E850" t="str">
        <f>IFERROR(IF(OR(HLOOKUP($A850,#REF!,3,FALSE)&gt;2,HLOOKUP(A850,#REF!,3,FALSE)&lt;-2),"",#REF!),"")</f>
        <v/>
      </c>
      <c r="F850" t="str">
        <f>IFERROR(IF(OR(HLOOKUP($A850,#REF!,4,FALSE)&gt;2,HLOOKUP($A850,#REF!,4,FALSE)&lt;-2),"",#REF!),"")</f>
        <v/>
      </c>
      <c r="G850" t="str">
        <f>IFERROR(IF(OR(HLOOKUP($A850,#REF!,5,FALSE)&gt;2,HLOOKUP($A850,#REF!,5,FALSE)&lt;-2),"",#REF!),"")</f>
        <v/>
      </c>
      <c r="H850" t="str">
        <f>IFERROR(IF(OR(HLOOKUP($A850,#REF!,6,FALSE)&gt;2,HLOOKUP($A850,#REF!,6,FALSE)&lt;-2),"",#REF!),"")</f>
        <v/>
      </c>
      <c r="I850" t="str">
        <f>IFERROR(IF(OR(HLOOKUP($A850,#REF!,7,FALSE)&gt;2,HLOOKUP($A850,#REF!,7,FALSE)&lt;-2),"",#REF!),"")</f>
        <v/>
      </c>
      <c r="J850" t="str">
        <f>IFERROR(IF(OR(HLOOKUP($A850,#REF!,8,FALSE)&gt;2,HLOOKUP($A850,#REF!,8,FALSE)&lt;-2),"",#REF!),"")</f>
        <v/>
      </c>
      <c r="K850" t="str">
        <f>IFERROR(IF(OR(HLOOKUP($A850,#REF!,9,FALSE)&gt;2,HLOOKUP($A850,#REF!,9,FALSE)&lt;-2),"",#REF!),"")</f>
        <v/>
      </c>
      <c r="L850" t="str">
        <f>IFERROR(IF(OR(HLOOKUP($A850,#REF!,10,FALSE)&gt;2,HLOOKUP($A850,#REF!,10,FALSE)&lt;-2),"",#REF!),"")</f>
        <v/>
      </c>
      <c r="M850" t="str">
        <f>IFERROR(IF(OR(HLOOKUP($A850,#REF!,11,FALSE)&gt;2,HLOOKUP($A850,#REF!,11,FALSE)&lt;-2),"",#REF!),"")</f>
        <v/>
      </c>
      <c r="N850" t="str">
        <f>IFERROR(IF(OR(HLOOKUP($A850,#REF!,12,FALSE)&gt;2,HLOOKUP($A850,#REF!,12,FALSE)&lt;-2),"",#REF!),"")</f>
        <v/>
      </c>
      <c r="O850" t="str">
        <f>IFERROR(IF(OR(HLOOKUP($A850,#REF!,13,FALSE)&gt;2,HLOOKUP($A850,#REF!,13,FALSE)&lt;-2),"",#REF!),"")</f>
        <v/>
      </c>
      <c r="P850" t="str">
        <f>IFERROR(IF(OR(HLOOKUP($A850,#REF!,14,FALSE)&gt;2,HLOOKUP($A850,#REF!,14,FALSE)&lt;-2),"",#REF!),"")</f>
        <v/>
      </c>
      <c r="Q850" t="str">
        <f>IFERROR(IF(OR(HLOOKUP($A850,#REF!,15,FALSE)&gt;2,HLOOKUP($A850,#REF!,15,FALSE)&lt;-2),"",#REF!),"")</f>
        <v/>
      </c>
      <c r="R850" t="str">
        <f>IFERROR(IF(OR(HLOOKUP($A850,#REF!,16,FALSE)&gt;2,HLOOKUP($A850,#REF!,16,FALSE)&lt;-2),"",#REF!),"")</f>
        <v/>
      </c>
      <c r="S850" t="str">
        <f>IFERROR(IF(OR(HLOOKUP($A850,#REF!,17,FALSE)&gt;2,HLOOKUP($A850,#REF!,17,FALSE)&lt;-2),"",#REF!),"")</f>
        <v/>
      </c>
      <c r="T850" t="str">
        <f>IFERROR(IF(OR(HLOOKUP($A850,#REF!,18,FALSE)&gt;2,HLOOKUP($A850,#REF!,18,FALSE)&lt;-2),"",#REF!),"")</f>
        <v/>
      </c>
      <c r="U850" t="str">
        <f>IFERROR(IF(OR(HLOOKUP($A850,#REF!,19,FALSE)&gt;2,HLOOKUP($A850,#REF!,19,FALSE)&lt;-2),"",#REF!),"")</f>
        <v/>
      </c>
      <c r="V850">
        <f t="shared" si="52"/>
        <v>1</v>
      </c>
      <c r="W850" t="str">
        <f t="shared" si="53"/>
        <v/>
      </c>
      <c r="X850" t="str">
        <f t="shared" si="54"/>
        <v/>
      </c>
      <c r="Y850" t="str">
        <f t="shared" si="55"/>
        <v/>
      </c>
    </row>
    <row r="851" spans="1:25" x14ac:dyDescent="0.35">
      <c r="A851">
        <v>859</v>
      </c>
      <c r="B851" t="s">
        <v>415</v>
      </c>
      <c r="C851">
        <v>94700</v>
      </c>
      <c r="D851">
        <v>370</v>
      </c>
      <c r="E851" t="str">
        <f>IFERROR(IF(OR(HLOOKUP($A851,#REF!,3,FALSE)&gt;2,HLOOKUP(A851,#REF!,3,FALSE)&lt;-2),"",#REF!),"")</f>
        <v/>
      </c>
      <c r="F851" t="str">
        <f>IFERROR(IF(OR(HLOOKUP($A851,#REF!,4,FALSE)&gt;2,HLOOKUP($A851,#REF!,4,FALSE)&lt;-2),"",#REF!),"")</f>
        <v/>
      </c>
      <c r="G851" t="str">
        <f>IFERROR(IF(OR(HLOOKUP($A851,#REF!,5,FALSE)&gt;2,HLOOKUP($A851,#REF!,5,FALSE)&lt;-2),"",#REF!),"")</f>
        <v/>
      </c>
      <c r="H851" t="str">
        <f>IFERROR(IF(OR(HLOOKUP($A851,#REF!,6,FALSE)&gt;2,HLOOKUP($A851,#REF!,6,FALSE)&lt;-2),"",#REF!),"")</f>
        <v/>
      </c>
      <c r="I851" t="str">
        <f>IFERROR(IF(OR(HLOOKUP($A851,#REF!,7,FALSE)&gt;2,HLOOKUP($A851,#REF!,7,FALSE)&lt;-2),"",#REF!),"")</f>
        <v/>
      </c>
      <c r="J851" t="str">
        <f>IFERROR(IF(OR(HLOOKUP($A851,#REF!,8,FALSE)&gt;2,HLOOKUP($A851,#REF!,8,FALSE)&lt;-2),"",#REF!),"")</f>
        <v/>
      </c>
      <c r="K851" t="str">
        <f>IFERROR(IF(OR(HLOOKUP($A851,#REF!,9,FALSE)&gt;2,HLOOKUP($A851,#REF!,9,FALSE)&lt;-2),"",#REF!),"")</f>
        <v/>
      </c>
      <c r="L851" t="str">
        <f>IFERROR(IF(OR(HLOOKUP($A851,#REF!,10,FALSE)&gt;2,HLOOKUP($A851,#REF!,10,FALSE)&lt;-2),"",#REF!),"")</f>
        <v/>
      </c>
      <c r="M851" t="str">
        <f>IFERROR(IF(OR(HLOOKUP($A851,#REF!,11,FALSE)&gt;2,HLOOKUP($A851,#REF!,11,FALSE)&lt;-2),"",#REF!),"")</f>
        <v/>
      </c>
      <c r="N851" t="str">
        <f>IFERROR(IF(OR(HLOOKUP($A851,#REF!,12,FALSE)&gt;2,HLOOKUP($A851,#REF!,12,FALSE)&lt;-2),"",#REF!),"")</f>
        <v/>
      </c>
      <c r="O851" t="str">
        <f>IFERROR(IF(OR(HLOOKUP($A851,#REF!,13,FALSE)&gt;2,HLOOKUP($A851,#REF!,13,FALSE)&lt;-2),"",#REF!),"")</f>
        <v/>
      </c>
      <c r="P851" t="str">
        <f>IFERROR(IF(OR(HLOOKUP($A851,#REF!,14,FALSE)&gt;2,HLOOKUP($A851,#REF!,14,FALSE)&lt;-2),"",#REF!),"")</f>
        <v/>
      </c>
      <c r="Q851" t="str">
        <f>IFERROR(IF(OR(HLOOKUP($A851,#REF!,15,FALSE)&gt;2,HLOOKUP($A851,#REF!,15,FALSE)&lt;-2),"",#REF!),"")</f>
        <v/>
      </c>
      <c r="R851" t="str">
        <f>IFERROR(IF(OR(HLOOKUP($A851,#REF!,16,FALSE)&gt;2,HLOOKUP($A851,#REF!,16,FALSE)&lt;-2),"",#REF!),"")</f>
        <v/>
      </c>
      <c r="S851" t="str">
        <f>IFERROR(IF(OR(HLOOKUP($A851,#REF!,17,FALSE)&gt;2,HLOOKUP($A851,#REF!,17,FALSE)&lt;-2),"",#REF!),"")</f>
        <v/>
      </c>
      <c r="T851" t="str">
        <f>IFERROR(IF(OR(HLOOKUP($A851,#REF!,18,FALSE)&gt;2,HLOOKUP($A851,#REF!,18,FALSE)&lt;-2),"",#REF!),"")</f>
        <v/>
      </c>
      <c r="U851" t="str">
        <f>IFERROR(IF(OR(HLOOKUP($A851,#REF!,19,FALSE)&gt;2,HLOOKUP($A851,#REF!,19,FALSE)&lt;-2),"",#REF!),"")</f>
        <v/>
      </c>
      <c r="V851">
        <f t="shared" si="52"/>
        <v>1</v>
      </c>
      <c r="W851" t="str">
        <f t="shared" si="53"/>
        <v/>
      </c>
      <c r="X851" t="str">
        <f t="shared" si="54"/>
        <v/>
      </c>
      <c r="Y851" t="str">
        <f t="shared" si="55"/>
        <v/>
      </c>
    </row>
    <row r="852" spans="1:25" x14ac:dyDescent="0.35">
      <c r="A852">
        <v>860</v>
      </c>
      <c r="B852" t="s">
        <v>1039</v>
      </c>
      <c r="C852">
        <v>85700</v>
      </c>
      <c r="D852">
        <v>881</v>
      </c>
      <c r="E852" t="str">
        <f>IFERROR(IF(OR(HLOOKUP($A852,#REF!,3,FALSE)&gt;2,HLOOKUP(A852,#REF!,3,FALSE)&lt;-2),"",#REF!),"")</f>
        <v/>
      </c>
      <c r="F852" t="str">
        <f>IFERROR(IF(OR(HLOOKUP($A852,#REF!,4,FALSE)&gt;2,HLOOKUP($A852,#REF!,4,FALSE)&lt;-2),"",#REF!),"")</f>
        <v/>
      </c>
      <c r="G852" t="str">
        <f>IFERROR(IF(OR(HLOOKUP($A852,#REF!,5,FALSE)&gt;2,HLOOKUP($A852,#REF!,5,FALSE)&lt;-2),"",#REF!),"")</f>
        <v/>
      </c>
      <c r="H852" t="str">
        <f>IFERROR(IF(OR(HLOOKUP($A852,#REF!,6,FALSE)&gt;2,HLOOKUP($A852,#REF!,6,FALSE)&lt;-2),"",#REF!),"")</f>
        <v/>
      </c>
      <c r="I852" t="str">
        <f>IFERROR(IF(OR(HLOOKUP($A852,#REF!,7,FALSE)&gt;2,HLOOKUP($A852,#REF!,7,FALSE)&lt;-2),"",#REF!),"")</f>
        <v/>
      </c>
      <c r="J852" t="str">
        <f>IFERROR(IF(OR(HLOOKUP($A852,#REF!,8,FALSE)&gt;2,HLOOKUP($A852,#REF!,8,FALSE)&lt;-2),"",#REF!),"")</f>
        <v/>
      </c>
      <c r="K852" t="str">
        <f>IFERROR(IF(OR(HLOOKUP($A852,#REF!,9,FALSE)&gt;2,HLOOKUP($A852,#REF!,9,FALSE)&lt;-2),"",#REF!),"")</f>
        <v/>
      </c>
      <c r="L852" t="str">
        <f>IFERROR(IF(OR(HLOOKUP($A852,#REF!,10,FALSE)&gt;2,HLOOKUP($A852,#REF!,10,FALSE)&lt;-2),"",#REF!),"")</f>
        <v/>
      </c>
      <c r="M852" t="str">
        <f>IFERROR(IF(OR(HLOOKUP($A852,#REF!,11,FALSE)&gt;2,HLOOKUP($A852,#REF!,11,FALSE)&lt;-2),"",#REF!),"")</f>
        <v/>
      </c>
      <c r="N852" t="str">
        <f>IFERROR(IF(OR(HLOOKUP($A852,#REF!,12,FALSE)&gt;2,HLOOKUP($A852,#REF!,12,FALSE)&lt;-2),"",#REF!),"")</f>
        <v/>
      </c>
      <c r="O852" t="str">
        <f>IFERROR(IF(OR(HLOOKUP($A852,#REF!,13,FALSE)&gt;2,HLOOKUP($A852,#REF!,13,FALSE)&lt;-2),"",#REF!),"")</f>
        <v/>
      </c>
      <c r="P852" t="str">
        <f>IFERROR(IF(OR(HLOOKUP($A852,#REF!,14,FALSE)&gt;2,HLOOKUP($A852,#REF!,14,FALSE)&lt;-2),"",#REF!),"")</f>
        <v/>
      </c>
      <c r="Q852" t="str">
        <f>IFERROR(IF(OR(HLOOKUP($A852,#REF!,15,FALSE)&gt;2,HLOOKUP($A852,#REF!,15,FALSE)&lt;-2),"",#REF!),"")</f>
        <v/>
      </c>
      <c r="R852" t="str">
        <f>IFERROR(IF(OR(HLOOKUP($A852,#REF!,16,FALSE)&gt;2,HLOOKUP($A852,#REF!,16,FALSE)&lt;-2),"",#REF!),"")</f>
        <v/>
      </c>
      <c r="S852" t="str">
        <f>IFERROR(IF(OR(HLOOKUP($A852,#REF!,17,FALSE)&gt;2,HLOOKUP($A852,#REF!,17,FALSE)&lt;-2),"",#REF!),"")</f>
        <v/>
      </c>
      <c r="T852" t="str">
        <f>IFERROR(IF(OR(HLOOKUP($A852,#REF!,18,FALSE)&gt;2,HLOOKUP($A852,#REF!,18,FALSE)&lt;-2),"",#REF!),"")</f>
        <v/>
      </c>
      <c r="U852" t="str">
        <f>IFERROR(IF(OR(HLOOKUP($A852,#REF!,19,FALSE)&gt;2,HLOOKUP($A852,#REF!,19,FALSE)&lt;-2),"",#REF!),"")</f>
        <v/>
      </c>
      <c r="V852">
        <f t="shared" si="52"/>
        <v>1</v>
      </c>
      <c r="W852" t="str">
        <f t="shared" si="53"/>
        <v/>
      </c>
      <c r="X852" t="str">
        <f t="shared" si="54"/>
        <v/>
      </c>
      <c r="Y852" t="str">
        <f t="shared" si="55"/>
        <v/>
      </c>
    </row>
    <row r="853" spans="1:25" x14ac:dyDescent="0.35">
      <c r="A853">
        <v>861</v>
      </c>
      <c r="B853" t="s">
        <v>1040</v>
      </c>
      <c r="C853">
        <v>46300</v>
      </c>
      <c r="D853">
        <v>518</v>
      </c>
      <c r="E853" t="str">
        <f>IFERROR(IF(OR(HLOOKUP($A853,#REF!,3,FALSE)&gt;2,HLOOKUP(A853,#REF!,3,FALSE)&lt;-2),"",#REF!),"")</f>
        <v/>
      </c>
      <c r="F853" t="str">
        <f>IFERROR(IF(OR(HLOOKUP($A853,#REF!,4,FALSE)&gt;2,HLOOKUP($A853,#REF!,4,FALSE)&lt;-2),"",#REF!),"")</f>
        <v/>
      </c>
      <c r="G853" t="str">
        <f>IFERROR(IF(OR(HLOOKUP($A853,#REF!,5,FALSE)&gt;2,HLOOKUP($A853,#REF!,5,FALSE)&lt;-2),"",#REF!),"")</f>
        <v/>
      </c>
      <c r="H853" t="str">
        <f>IFERROR(IF(OR(HLOOKUP($A853,#REF!,6,FALSE)&gt;2,HLOOKUP($A853,#REF!,6,FALSE)&lt;-2),"",#REF!),"")</f>
        <v/>
      </c>
      <c r="I853" t="str">
        <f>IFERROR(IF(OR(HLOOKUP($A853,#REF!,7,FALSE)&gt;2,HLOOKUP($A853,#REF!,7,FALSE)&lt;-2),"",#REF!),"")</f>
        <v/>
      </c>
      <c r="J853" t="str">
        <f>IFERROR(IF(OR(HLOOKUP($A853,#REF!,8,FALSE)&gt;2,HLOOKUP($A853,#REF!,8,FALSE)&lt;-2),"",#REF!),"")</f>
        <v/>
      </c>
      <c r="K853" t="str">
        <f>IFERROR(IF(OR(HLOOKUP($A853,#REF!,9,FALSE)&gt;2,HLOOKUP($A853,#REF!,9,FALSE)&lt;-2),"",#REF!),"")</f>
        <v/>
      </c>
      <c r="L853" t="str">
        <f>IFERROR(IF(OR(HLOOKUP($A853,#REF!,10,FALSE)&gt;2,HLOOKUP($A853,#REF!,10,FALSE)&lt;-2),"",#REF!),"")</f>
        <v/>
      </c>
      <c r="M853" t="str">
        <f>IFERROR(IF(OR(HLOOKUP($A853,#REF!,11,FALSE)&gt;2,HLOOKUP($A853,#REF!,11,FALSE)&lt;-2),"",#REF!),"")</f>
        <v/>
      </c>
      <c r="N853" t="str">
        <f>IFERROR(IF(OR(HLOOKUP($A853,#REF!,12,FALSE)&gt;2,HLOOKUP($A853,#REF!,12,FALSE)&lt;-2),"",#REF!),"")</f>
        <v/>
      </c>
      <c r="O853" t="str">
        <f>IFERROR(IF(OR(HLOOKUP($A853,#REF!,13,FALSE)&gt;2,HLOOKUP($A853,#REF!,13,FALSE)&lt;-2),"",#REF!),"")</f>
        <v/>
      </c>
      <c r="P853" t="str">
        <f>IFERROR(IF(OR(HLOOKUP($A853,#REF!,14,FALSE)&gt;2,HLOOKUP($A853,#REF!,14,FALSE)&lt;-2),"",#REF!),"")</f>
        <v/>
      </c>
      <c r="Q853" t="str">
        <f>IFERROR(IF(OR(HLOOKUP($A853,#REF!,15,FALSE)&gt;2,HLOOKUP($A853,#REF!,15,FALSE)&lt;-2),"",#REF!),"")</f>
        <v/>
      </c>
      <c r="R853" t="str">
        <f>IFERROR(IF(OR(HLOOKUP($A853,#REF!,16,FALSE)&gt;2,HLOOKUP($A853,#REF!,16,FALSE)&lt;-2),"",#REF!),"")</f>
        <v/>
      </c>
      <c r="S853" t="str">
        <f>IFERROR(IF(OR(HLOOKUP($A853,#REF!,17,FALSE)&gt;2,HLOOKUP($A853,#REF!,17,FALSE)&lt;-2),"",#REF!),"")</f>
        <v/>
      </c>
      <c r="T853" t="str">
        <f>IFERROR(IF(OR(HLOOKUP($A853,#REF!,18,FALSE)&gt;2,HLOOKUP($A853,#REF!,18,FALSE)&lt;-2),"",#REF!),"")</f>
        <v/>
      </c>
      <c r="U853" t="str">
        <f>IFERROR(IF(OR(HLOOKUP($A853,#REF!,19,FALSE)&gt;2,HLOOKUP($A853,#REF!,19,FALSE)&lt;-2),"",#REF!),"")</f>
        <v/>
      </c>
      <c r="V853">
        <f t="shared" si="52"/>
        <v>1</v>
      </c>
      <c r="W853" t="str">
        <f t="shared" si="53"/>
        <v/>
      </c>
      <c r="X853" t="str">
        <f t="shared" si="54"/>
        <v/>
      </c>
      <c r="Y853" t="str">
        <f t="shared" si="55"/>
        <v/>
      </c>
    </row>
    <row r="854" spans="1:25" x14ac:dyDescent="0.35">
      <c r="A854">
        <v>862</v>
      </c>
      <c r="B854" t="s">
        <v>416</v>
      </c>
      <c r="C854">
        <v>8200</v>
      </c>
      <c r="D854">
        <v>378</v>
      </c>
      <c r="E854" t="str">
        <f>IFERROR(IF(OR(HLOOKUP($A854,#REF!,3,FALSE)&gt;2,HLOOKUP(A854,#REF!,3,FALSE)&lt;-2),"",#REF!),"")</f>
        <v/>
      </c>
      <c r="F854" t="str">
        <f>IFERROR(IF(OR(HLOOKUP($A854,#REF!,4,FALSE)&gt;2,HLOOKUP($A854,#REF!,4,FALSE)&lt;-2),"",#REF!),"")</f>
        <v/>
      </c>
      <c r="G854" t="str">
        <f>IFERROR(IF(OR(HLOOKUP($A854,#REF!,5,FALSE)&gt;2,HLOOKUP($A854,#REF!,5,FALSE)&lt;-2),"",#REF!),"")</f>
        <v/>
      </c>
      <c r="H854" t="str">
        <f>IFERROR(IF(OR(HLOOKUP($A854,#REF!,6,FALSE)&gt;2,HLOOKUP($A854,#REF!,6,FALSE)&lt;-2),"",#REF!),"")</f>
        <v/>
      </c>
      <c r="I854" t="str">
        <f>IFERROR(IF(OR(HLOOKUP($A854,#REF!,7,FALSE)&gt;2,HLOOKUP($A854,#REF!,7,FALSE)&lt;-2),"",#REF!),"")</f>
        <v/>
      </c>
      <c r="J854" t="str">
        <f>IFERROR(IF(OR(HLOOKUP($A854,#REF!,8,FALSE)&gt;2,HLOOKUP($A854,#REF!,8,FALSE)&lt;-2),"",#REF!),"")</f>
        <v/>
      </c>
      <c r="K854" t="str">
        <f>IFERROR(IF(OR(HLOOKUP($A854,#REF!,9,FALSE)&gt;2,HLOOKUP($A854,#REF!,9,FALSE)&lt;-2),"",#REF!),"")</f>
        <v/>
      </c>
      <c r="L854" t="str">
        <f>IFERROR(IF(OR(HLOOKUP($A854,#REF!,10,FALSE)&gt;2,HLOOKUP($A854,#REF!,10,FALSE)&lt;-2),"",#REF!),"")</f>
        <v/>
      </c>
      <c r="M854" t="str">
        <f>IFERROR(IF(OR(HLOOKUP($A854,#REF!,11,FALSE)&gt;2,HLOOKUP($A854,#REF!,11,FALSE)&lt;-2),"",#REF!),"")</f>
        <v/>
      </c>
      <c r="N854" t="str">
        <f>IFERROR(IF(OR(HLOOKUP($A854,#REF!,12,FALSE)&gt;2,HLOOKUP($A854,#REF!,12,FALSE)&lt;-2),"",#REF!),"")</f>
        <v/>
      </c>
      <c r="O854" t="str">
        <f>IFERROR(IF(OR(HLOOKUP($A854,#REF!,13,FALSE)&gt;2,HLOOKUP($A854,#REF!,13,FALSE)&lt;-2),"",#REF!),"")</f>
        <v/>
      </c>
      <c r="P854" t="str">
        <f>IFERROR(IF(OR(HLOOKUP($A854,#REF!,14,FALSE)&gt;2,HLOOKUP($A854,#REF!,14,FALSE)&lt;-2),"",#REF!),"")</f>
        <v/>
      </c>
      <c r="Q854" t="str">
        <f>IFERROR(IF(OR(HLOOKUP($A854,#REF!,15,FALSE)&gt;2,HLOOKUP($A854,#REF!,15,FALSE)&lt;-2),"",#REF!),"")</f>
        <v/>
      </c>
      <c r="R854" t="str">
        <f>IFERROR(IF(OR(HLOOKUP($A854,#REF!,16,FALSE)&gt;2,HLOOKUP($A854,#REF!,16,FALSE)&lt;-2),"",#REF!),"")</f>
        <v/>
      </c>
      <c r="S854" t="str">
        <f>IFERROR(IF(OR(HLOOKUP($A854,#REF!,17,FALSE)&gt;2,HLOOKUP($A854,#REF!,17,FALSE)&lt;-2),"",#REF!),"")</f>
        <v/>
      </c>
      <c r="T854" t="str">
        <f>IFERROR(IF(OR(HLOOKUP($A854,#REF!,18,FALSE)&gt;2,HLOOKUP($A854,#REF!,18,FALSE)&lt;-2),"",#REF!),"")</f>
        <v/>
      </c>
      <c r="U854" t="str">
        <f>IFERROR(IF(OR(HLOOKUP($A854,#REF!,19,FALSE)&gt;2,HLOOKUP($A854,#REF!,19,FALSE)&lt;-2),"",#REF!),"")</f>
        <v/>
      </c>
      <c r="V854">
        <f t="shared" si="52"/>
        <v>1</v>
      </c>
      <c r="W854" t="str">
        <f t="shared" si="53"/>
        <v/>
      </c>
      <c r="X854" t="str">
        <f t="shared" si="54"/>
        <v/>
      </c>
      <c r="Y854" t="str">
        <f t="shared" si="55"/>
        <v/>
      </c>
    </row>
    <row r="855" spans="1:25" x14ac:dyDescent="0.35">
      <c r="A855">
        <v>863</v>
      </c>
      <c r="B855" t="s">
        <v>417</v>
      </c>
      <c r="C855">
        <v>109700</v>
      </c>
      <c r="D855">
        <v>1000</v>
      </c>
      <c r="E855" t="str">
        <f>IFERROR(IF(OR(HLOOKUP($A855,#REF!,3,FALSE)&gt;2,HLOOKUP(A855,#REF!,3,FALSE)&lt;-2),"",#REF!),"")</f>
        <v/>
      </c>
      <c r="F855" t="str">
        <f>IFERROR(IF(OR(HLOOKUP($A855,#REF!,4,FALSE)&gt;2,HLOOKUP($A855,#REF!,4,FALSE)&lt;-2),"",#REF!),"")</f>
        <v/>
      </c>
      <c r="G855" t="str">
        <f>IFERROR(IF(OR(HLOOKUP($A855,#REF!,5,FALSE)&gt;2,HLOOKUP($A855,#REF!,5,FALSE)&lt;-2),"",#REF!),"")</f>
        <v/>
      </c>
      <c r="H855" t="str">
        <f>IFERROR(IF(OR(HLOOKUP($A855,#REF!,6,FALSE)&gt;2,HLOOKUP($A855,#REF!,6,FALSE)&lt;-2),"",#REF!),"")</f>
        <v/>
      </c>
      <c r="I855" t="str">
        <f>IFERROR(IF(OR(HLOOKUP($A855,#REF!,7,FALSE)&gt;2,HLOOKUP($A855,#REF!,7,FALSE)&lt;-2),"",#REF!),"")</f>
        <v/>
      </c>
      <c r="J855" t="str">
        <f>IFERROR(IF(OR(HLOOKUP($A855,#REF!,8,FALSE)&gt;2,HLOOKUP($A855,#REF!,8,FALSE)&lt;-2),"",#REF!),"")</f>
        <v/>
      </c>
      <c r="K855" t="str">
        <f>IFERROR(IF(OR(HLOOKUP($A855,#REF!,9,FALSE)&gt;2,HLOOKUP($A855,#REF!,9,FALSE)&lt;-2),"",#REF!),"")</f>
        <v/>
      </c>
      <c r="L855" t="str">
        <f>IFERROR(IF(OR(HLOOKUP($A855,#REF!,10,FALSE)&gt;2,HLOOKUP($A855,#REF!,10,FALSE)&lt;-2),"",#REF!),"")</f>
        <v/>
      </c>
      <c r="M855" t="str">
        <f>IFERROR(IF(OR(HLOOKUP($A855,#REF!,11,FALSE)&gt;2,HLOOKUP($A855,#REF!,11,FALSE)&lt;-2),"",#REF!),"")</f>
        <v/>
      </c>
      <c r="N855" t="str">
        <f>IFERROR(IF(OR(HLOOKUP($A855,#REF!,12,FALSE)&gt;2,HLOOKUP($A855,#REF!,12,FALSE)&lt;-2),"",#REF!),"")</f>
        <v/>
      </c>
      <c r="O855" t="str">
        <f>IFERROR(IF(OR(HLOOKUP($A855,#REF!,13,FALSE)&gt;2,HLOOKUP($A855,#REF!,13,FALSE)&lt;-2),"",#REF!),"")</f>
        <v/>
      </c>
      <c r="P855" t="str">
        <f>IFERROR(IF(OR(HLOOKUP($A855,#REF!,14,FALSE)&gt;2,HLOOKUP($A855,#REF!,14,FALSE)&lt;-2),"",#REF!),"")</f>
        <v/>
      </c>
      <c r="Q855" t="str">
        <f>IFERROR(IF(OR(HLOOKUP($A855,#REF!,15,FALSE)&gt;2,HLOOKUP($A855,#REF!,15,FALSE)&lt;-2),"",#REF!),"")</f>
        <v/>
      </c>
      <c r="R855" t="str">
        <f>IFERROR(IF(OR(HLOOKUP($A855,#REF!,16,FALSE)&gt;2,HLOOKUP($A855,#REF!,16,FALSE)&lt;-2),"",#REF!),"")</f>
        <v/>
      </c>
      <c r="S855" t="str">
        <f>IFERROR(IF(OR(HLOOKUP($A855,#REF!,17,FALSE)&gt;2,HLOOKUP($A855,#REF!,17,FALSE)&lt;-2),"",#REF!),"")</f>
        <v/>
      </c>
      <c r="T855" t="str">
        <f>IFERROR(IF(OR(HLOOKUP($A855,#REF!,18,FALSE)&gt;2,HLOOKUP($A855,#REF!,18,FALSE)&lt;-2),"",#REF!),"")</f>
        <v/>
      </c>
      <c r="U855" t="str">
        <f>IFERROR(IF(OR(HLOOKUP($A855,#REF!,19,FALSE)&gt;2,HLOOKUP($A855,#REF!,19,FALSE)&lt;-2),"",#REF!),"")</f>
        <v/>
      </c>
      <c r="V855">
        <f t="shared" si="52"/>
        <v>1</v>
      </c>
      <c r="W855" t="str">
        <f t="shared" si="53"/>
        <v/>
      </c>
      <c r="X855" t="str">
        <f t="shared" si="54"/>
        <v/>
      </c>
      <c r="Y855" t="str">
        <f t="shared" si="55"/>
        <v/>
      </c>
    </row>
    <row r="856" spans="1:25" x14ac:dyDescent="0.35">
      <c r="A856">
        <v>864</v>
      </c>
      <c r="B856" t="s">
        <v>1041</v>
      </c>
      <c r="C856">
        <v>63600</v>
      </c>
      <c r="D856">
        <v>549</v>
      </c>
      <c r="E856" t="str">
        <f>IFERROR(IF(OR(HLOOKUP($A856,#REF!,3,FALSE)&gt;2,HLOOKUP(A856,#REF!,3,FALSE)&lt;-2),"",#REF!),"")</f>
        <v/>
      </c>
      <c r="F856" t="str">
        <f>IFERROR(IF(OR(HLOOKUP($A856,#REF!,4,FALSE)&gt;2,HLOOKUP($A856,#REF!,4,FALSE)&lt;-2),"",#REF!),"")</f>
        <v/>
      </c>
      <c r="G856" t="str">
        <f>IFERROR(IF(OR(HLOOKUP($A856,#REF!,5,FALSE)&gt;2,HLOOKUP($A856,#REF!,5,FALSE)&lt;-2),"",#REF!),"")</f>
        <v/>
      </c>
      <c r="H856" t="str">
        <f>IFERROR(IF(OR(HLOOKUP($A856,#REF!,6,FALSE)&gt;2,HLOOKUP($A856,#REF!,6,FALSE)&lt;-2),"",#REF!),"")</f>
        <v/>
      </c>
      <c r="I856" t="str">
        <f>IFERROR(IF(OR(HLOOKUP($A856,#REF!,7,FALSE)&gt;2,HLOOKUP($A856,#REF!,7,FALSE)&lt;-2),"",#REF!),"")</f>
        <v/>
      </c>
      <c r="J856" t="str">
        <f>IFERROR(IF(OR(HLOOKUP($A856,#REF!,8,FALSE)&gt;2,HLOOKUP($A856,#REF!,8,FALSE)&lt;-2),"",#REF!),"")</f>
        <v/>
      </c>
      <c r="K856" t="str">
        <f>IFERROR(IF(OR(HLOOKUP($A856,#REF!,9,FALSE)&gt;2,HLOOKUP($A856,#REF!,9,FALSE)&lt;-2),"",#REF!),"")</f>
        <v/>
      </c>
      <c r="L856" t="str">
        <f>IFERROR(IF(OR(HLOOKUP($A856,#REF!,10,FALSE)&gt;2,HLOOKUP($A856,#REF!,10,FALSE)&lt;-2),"",#REF!),"")</f>
        <v/>
      </c>
      <c r="M856" t="str">
        <f>IFERROR(IF(OR(HLOOKUP($A856,#REF!,11,FALSE)&gt;2,HLOOKUP($A856,#REF!,11,FALSE)&lt;-2),"",#REF!),"")</f>
        <v/>
      </c>
      <c r="N856" t="str">
        <f>IFERROR(IF(OR(HLOOKUP($A856,#REF!,12,FALSE)&gt;2,HLOOKUP($A856,#REF!,12,FALSE)&lt;-2),"",#REF!),"")</f>
        <v/>
      </c>
      <c r="O856" t="str">
        <f>IFERROR(IF(OR(HLOOKUP($A856,#REF!,13,FALSE)&gt;2,HLOOKUP($A856,#REF!,13,FALSE)&lt;-2),"",#REF!),"")</f>
        <v/>
      </c>
      <c r="P856" t="str">
        <f>IFERROR(IF(OR(HLOOKUP($A856,#REF!,14,FALSE)&gt;2,HLOOKUP($A856,#REF!,14,FALSE)&lt;-2),"",#REF!),"")</f>
        <v/>
      </c>
      <c r="Q856" t="str">
        <f>IFERROR(IF(OR(HLOOKUP($A856,#REF!,15,FALSE)&gt;2,HLOOKUP($A856,#REF!,15,FALSE)&lt;-2),"",#REF!),"")</f>
        <v/>
      </c>
      <c r="R856" t="str">
        <f>IFERROR(IF(OR(HLOOKUP($A856,#REF!,16,FALSE)&gt;2,HLOOKUP($A856,#REF!,16,FALSE)&lt;-2),"",#REF!),"")</f>
        <v/>
      </c>
      <c r="S856" t="str">
        <f>IFERROR(IF(OR(HLOOKUP($A856,#REF!,17,FALSE)&gt;2,HLOOKUP($A856,#REF!,17,FALSE)&lt;-2),"",#REF!),"")</f>
        <v/>
      </c>
      <c r="T856" t="str">
        <f>IFERROR(IF(OR(HLOOKUP($A856,#REF!,18,FALSE)&gt;2,HLOOKUP($A856,#REF!,18,FALSE)&lt;-2),"",#REF!),"")</f>
        <v/>
      </c>
      <c r="U856" t="str">
        <f>IFERROR(IF(OR(HLOOKUP($A856,#REF!,19,FALSE)&gt;2,HLOOKUP($A856,#REF!,19,FALSE)&lt;-2),"",#REF!),"")</f>
        <v/>
      </c>
      <c r="V856">
        <f t="shared" si="52"/>
        <v>1</v>
      </c>
      <c r="W856" t="str">
        <f t="shared" si="53"/>
        <v/>
      </c>
      <c r="X856" t="str">
        <f t="shared" si="54"/>
        <v/>
      </c>
      <c r="Y856" t="str">
        <f t="shared" si="55"/>
        <v/>
      </c>
    </row>
    <row r="857" spans="1:25" x14ac:dyDescent="0.35">
      <c r="A857">
        <v>865</v>
      </c>
      <c r="B857" t="s">
        <v>1042</v>
      </c>
      <c r="C857">
        <v>3100</v>
      </c>
      <c r="D857">
        <v>322</v>
      </c>
      <c r="E857" t="str">
        <f>IFERROR(IF(OR(HLOOKUP($A857,#REF!,3,FALSE)&gt;2,HLOOKUP(A857,#REF!,3,FALSE)&lt;-2),"",#REF!),"")</f>
        <v/>
      </c>
      <c r="F857" t="str">
        <f>IFERROR(IF(OR(HLOOKUP($A857,#REF!,4,FALSE)&gt;2,HLOOKUP($A857,#REF!,4,FALSE)&lt;-2),"",#REF!),"")</f>
        <v/>
      </c>
      <c r="G857" t="str">
        <f>IFERROR(IF(OR(HLOOKUP($A857,#REF!,5,FALSE)&gt;2,HLOOKUP($A857,#REF!,5,FALSE)&lt;-2),"",#REF!),"")</f>
        <v/>
      </c>
      <c r="H857" t="str">
        <f>IFERROR(IF(OR(HLOOKUP($A857,#REF!,6,FALSE)&gt;2,HLOOKUP($A857,#REF!,6,FALSE)&lt;-2),"",#REF!),"")</f>
        <v/>
      </c>
      <c r="I857" t="str">
        <f>IFERROR(IF(OR(HLOOKUP($A857,#REF!,7,FALSE)&gt;2,HLOOKUP($A857,#REF!,7,FALSE)&lt;-2),"",#REF!),"")</f>
        <v/>
      </c>
      <c r="J857" t="str">
        <f>IFERROR(IF(OR(HLOOKUP($A857,#REF!,8,FALSE)&gt;2,HLOOKUP($A857,#REF!,8,FALSE)&lt;-2),"",#REF!),"")</f>
        <v/>
      </c>
      <c r="K857" t="str">
        <f>IFERROR(IF(OR(HLOOKUP($A857,#REF!,9,FALSE)&gt;2,HLOOKUP($A857,#REF!,9,FALSE)&lt;-2),"",#REF!),"")</f>
        <v/>
      </c>
      <c r="L857" t="str">
        <f>IFERROR(IF(OR(HLOOKUP($A857,#REF!,10,FALSE)&gt;2,HLOOKUP($A857,#REF!,10,FALSE)&lt;-2),"",#REF!),"")</f>
        <v/>
      </c>
      <c r="M857" t="str">
        <f>IFERROR(IF(OR(HLOOKUP($A857,#REF!,11,FALSE)&gt;2,HLOOKUP($A857,#REF!,11,FALSE)&lt;-2),"",#REF!),"")</f>
        <v/>
      </c>
      <c r="N857" t="str">
        <f>IFERROR(IF(OR(HLOOKUP($A857,#REF!,12,FALSE)&gt;2,HLOOKUP($A857,#REF!,12,FALSE)&lt;-2),"",#REF!),"")</f>
        <v/>
      </c>
      <c r="O857" t="str">
        <f>IFERROR(IF(OR(HLOOKUP($A857,#REF!,13,FALSE)&gt;2,HLOOKUP($A857,#REF!,13,FALSE)&lt;-2),"",#REF!),"")</f>
        <v/>
      </c>
      <c r="P857" t="str">
        <f>IFERROR(IF(OR(HLOOKUP($A857,#REF!,14,FALSE)&gt;2,HLOOKUP($A857,#REF!,14,FALSE)&lt;-2),"",#REF!),"")</f>
        <v/>
      </c>
      <c r="Q857" t="str">
        <f>IFERROR(IF(OR(HLOOKUP($A857,#REF!,15,FALSE)&gt;2,HLOOKUP($A857,#REF!,15,FALSE)&lt;-2),"",#REF!),"")</f>
        <v/>
      </c>
      <c r="R857" t="str">
        <f>IFERROR(IF(OR(HLOOKUP($A857,#REF!,16,FALSE)&gt;2,HLOOKUP($A857,#REF!,16,FALSE)&lt;-2),"",#REF!),"")</f>
        <v/>
      </c>
      <c r="S857" t="str">
        <f>IFERROR(IF(OR(HLOOKUP($A857,#REF!,17,FALSE)&gt;2,HLOOKUP($A857,#REF!,17,FALSE)&lt;-2),"",#REF!),"")</f>
        <v/>
      </c>
      <c r="T857" t="str">
        <f>IFERROR(IF(OR(HLOOKUP($A857,#REF!,18,FALSE)&gt;2,HLOOKUP($A857,#REF!,18,FALSE)&lt;-2),"",#REF!),"")</f>
        <v/>
      </c>
      <c r="U857" t="str">
        <f>IFERROR(IF(OR(HLOOKUP($A857,#REF!,19,FALSE)&gt;2,HLOOKUP($A857,#REF!,19,FALSE)&lt;-2),"",#REF!),"")</f>
        <v/>
      </c>
      <c r="V857">
        <f t="shared" si="52"/>
        <v>1</v>
      </c>
      <c r="W857" t="str">
        <f t="shared" si="53"/>
        <v/>
      </c>
      <c r="X857" t="str">
        <f t="shared" si="54"/>
        <v/>
      </c>
      <c r="Y857" t="str">
        <f t="shared" si="55"/>
        <v/>
      </c>
    </row>
    <row r="858" spans="1:25" x14ac:dyDescent="0.35">
      <c r="A858">
        <v>866</v>
      </c>
      <c r="B858" t="s">
        <v>1043</v>
      </c>
      <c r="C858">
        <v>104900</v>
      </c>
      <c r="D858">
        <v>326</v>
      </c>
      <c r="E858" t="str">
        <f>IFERROR(IF(OR(HLOOKUP($A858,#REF!,3,FALSE)&gt;2,HLOOKUP(A858,#REF!,3,FALSE)&lt;-2),"",#REF!),"")</f>
        <v/>
      </c>
      <c r="F858" t="str">
        <f>IFERROR(IF(OR(HLOOKUP($A858,#REF!,4,FALSE)&gt;2,HLOOKUP($A858,#REF!,4,FALSE)&lt;-2),"",#REF!),"")</f>
        <v/>
      </c>
      <c r="G858" t="str">
        <f>IFERROR(IF(OR(HLOOKUP($A858,#REF!,5,FALSE)&gt;2,HLOOKUP($A858,#REF!,5,FALSE)&lt;-2),"",#REF!),"")</f>
        <v/>
      </c>
      <c r="H858" t="str">
        <f>IFERROR(IF(OR(HLOOKUP($A858,#REF!,6,FALSE)&gt;2,HLOOKUP($A858,#REF!,6,FALSE)&lt;-2),"",#REF!),"")</f>
        <v/>
      </c>
      <c r="I858" t="str">
        <f>IFERROR(IF(OR(HLOOKUP($A858,#REF!,7,FALSE)&gt;2,HLOOKUP($A858,#REF!,7,FALSE)&lt;-2),"",#REF!),"")</f>
        <v/>
      </c>
      <c r="J858" t="str">
        <f>IFERROR(IF(OR(HLOOKUP($A858,#REF!,8,FALSE)&gt;2,HLOOKUP($A858,#REF!,8,FALSE)&lt;-2),"",#REF!),"")</f>
        <v/>
      </c>
      <c r="K858" t="str">
        <f>IFERROR(IF(OR(HLOOKUP($A858,#REF!,9,FALSE)&gt;2,HLOOKUP($A858,#REF!,9,FALSE)&lt;-2),"",#REF!),"")</f>
        <v/>
      </c>
      <c r="L858" t="str">
        <f>IFERROR(IF(OR(HLOOKUP($A858,#REF!,10,FALSE)&gt;2,HLOOKUP($A858,#REF!,10,FALSE)&lt;-2),"",#REF!),"")</f>
        <v/>
      </c>
      <c r="M858" t="str">
        <f>IFERROR(IF(OR(HLOOKUP($A858,#REF!,11,FALSE)&gt;2,HLOOKUP($A858,#REF!,11,FALSE)&lt;-2),"",#REF!),"")</f>
        <v/>
      </c>
      <c r="N858" t="str">
        <f>IFERROR(IF(OR(HLOOKUP($A858,#REF!,12,FALSE)&gt;2,HLOOKUP($A858,#REF!,12,FALSE)&lt;-2),"",#REF!),"")</f>
        <v/>
      </c>
      <c r="O858" t="str">
        <f>IFERROR(IF(OR(HLOOKUP($A858,#REF!,13,FALSE)&gt;2,HLOOKUP($A858,#REF!,13,FALSE)&lt;-2),"",#REF!),"")</f>
        <v/>
      </c>
      <c r="P858" t="str">
        <f>IFERROR(IF(OR(HLOOKUP($A858,#REF!,14,FALSE)&gt;2,HLOOKUP($A858,#REF!,14,FALSE)&lt;-2),"",#REF!),"")</f>
        <v/>
      </c>
      <c r="Q858" t="str">
        <f>IFERROR(IF(OR(HLOOKUP($A858,#REF!,15,FALSE)&gt;2,HLOOKUP($A858,#REF!,15,FALSE)&lt;-2),"",#REF!),"")</f>
        <v/>
      </c>
      <c r="R858" t="str">
        <f>IFERROR(IF(OR(HLOOKUP($A858,#REF!,16,FALSE)&gt;2,HLOOKUP($A858,#REF!,16,FALSE)&lt;-2),"",#REF!),"")</f>
        <v/>
      </c>
      <c r="S858" t="str">
        <f>IFERROR(IF(OR(HLOOKUP($A858,#REF!,17,FALSE)&gt;2,HLOOKUP($A858,#REF!,17,FALSE)&lt;-2),"",#REF!),"")</f>
        <v/>
      </c>
      <c r="T858" t="str">
        <f>IFERROR(IF(OR(HLOOKUP($A858,#REF!,18,FALSE)&gt;2,HLOOKUP($A858,#REF!,18,FALSE)&lt;-2),"",#REF!),"")</f>
        <v/>
      </c>
      <c r="U858" t="str">
        <f>IFERROR(IF(OR(HLOOKUP($A858,#REF!,19,FALSE)&gt;2,HLOOKUP($A858,#REF!,19,FALSE)&lt;-2),"",#REF!),"")</f>
        <v/>
      </c>
      <c r="V858">
        <f t="shared" si="52"/>
        <v>1</v>
      </c>
      <c r="W858" t="str">
        <f t="shared" si="53"/>
        <v/>
      </c>
      <c r="X858" t="str">
        <f t="shared" si="54"/>
        <v/>
      </c>
      <c r="Y858" t="str">
        <f t="shared" si="55"/>
        <v/>
      </c>
    </row>
    <row r="859" spans="1:25" x14ac:dyDescent="0.35">
      <c r="A859">
        <v>867</v>
      </c>
      <c r="B859" t="s">
        <v>418</v>
      </c>
      <c r="C859">
        <v>85400</v>
      </c>
      <c r="D859">
        <v>1132</v>
      </c>
      <c r="E859" t="str">
        <f>IFERROR(IF(OR(HLOOKUP($A859,#REF!,3,FALSE)&gt;2,HLOOKUP(A859,#REF!,3,FALSE)&lt;-2),"",#REF!),"")</f>
        <v/>
      </c>
      <c r="F859" t="str">
        <f>IFERROR(IF(OR(HLOOKUP($A859,#REF!,4,FALSE)&gt;2,HLOOKUP($A859,#REF!,4,FALSE)&lt;-2),"",#REF!),"")</f>
        <v/>
      </c>
      <c r="G859" t="str">
        <f>IFERROR(IF(OR(HLOOKUP($A859,#REF!,5,FALSE)&gt;2,HLOOKUP($A859,#REF!,5,FALSE)&lt;-2),"",#REF!),"")</f>
        <v/>
      </c>
      <c r="H859" t="str">
        <f>IFERROR(IF(OR(HLOOKUP($A859,#REF!,6,FALSE)&gt;2,HLOOKUP($A859,#REF!,6,FALSE)&lt;-2),"",#REF!),"")</f>
        <v/>
      </c>
      <c r="I859" t="str">
        <f>IFERROR(IF(OR(HLOOKUP($A859,#REF!,7,FALSE)&gt;2,HLOOKUP($A859,#REF!,7,FALSE)&lt;-2),"",#REF!),"")</f>
        <v/>
      </c>
      <c r="J859" t="str">
        <f>IFERROR(IF(OR(HLOOKUP($A859,#REF!,8,FALSE)&gt;2,HLOOKUP($A859,#REF!,8,FALSE)&lt;-2),"",#REF!),"")</f>
        <v/>
      </c>
      <c r="K859" t="str">
        <f>IFERROR(IF(OR(HLOOKUP($A859,#REF!,9,FALSE)&gt;2,HLOOKUP($A859,#REF!,9,FALSE)&lt;-2),"",#REF!),"")</f>
        <v/>
      </c>
      <c r="L859" t="str">
        <f>IFERROR(IF(OR(HLOOKUP($A859,#REF!,10,FALSE)&gt;2,HLOOKUP($A859,#REF!,10,FALSE)&lt;-2),"",#REF!),"")</f>
        <v/>
      </c>
      <c r="M859" t="str">
        <f>IFERROR(IF(OR(HLOOKUP($A859,#REF!,11,FALSE)&gt;2,HLOOKUP($A859,#REF!,11,FALSE)&lt;-2),"",#REF!),"")</f>
        <v/>
      </c>
      <c r="N859" t="str">
        <f>IFERROR(IF(OR(HLOOKUP($A859,#REF!,12,FALSE)&gt;2,HLOOKUP($A859,#REF!,12,FALSE)&lt;-2),"",#REF!),"")</f>
        <v/>
      </c>
      <c r="O859" t="str">
        <f>IFERROR(IF(OR(HLOOKUP($A859,#REF!,13,FALSE)&gt;2,HLOOKUP($A859,#REF!,13,FALSE)&lt;-2),"",#REF!),"")</f>
        <v/>
      </c>
      <c r="P859" t="str">
        <f>IFERROR(IF(OR(HLOOKUP($A859,#REF!,14,FALSE)&gt;2,HLOOKUP($A859,#REF!,14,FALSE)&lt;-2),"",#REF!),"")</f>
        <v/>
      </c>
      <c r="Q859" t="str">
        <f>IFERROR(IF(OR(HLOOKUP($A859,#REF!,15,FALSE)&gt;2,HLOOKUP($A859,#REF!,15,FALSE)&lt;-2),"",#REF!),"")</f>
        <v/>
      </c>
      <c r="R859" t="str">
        <f>IFERROR(IF(OR(HLOOKUP($A859,#REF!,16,FALSE)&gt;2,HLOOKUP($A859,#REF!,16,FALSE)&lt;-2),"",#REF!),"")</f>
        <v/>
      </c>
      <c r="S859" t="str">
        <f>IFERROR(IF(OR(HLOOKUP($A859,#REF!,17,FALSE)&gt;2,HLOOKUP($A859,#REF!,17,FALSE)&lt;-2),"",#REF!),"")</f>
        <v/>
      </c>
      <c r="T859" t="str">
        <f>IFERROR(IF(OR(HLOOKUP($A859,#REF!,18,FALSE)&gt;2,HLOOKUP($A859,#REF!,18,FALSE)&lt;-2),"",#REF!),"")</f>
        <v/>
      </c>
      <c r="U859" t="str">
        <f>IFERROR(IF(OR(HLOOKUP($A859,#REF!,19,FALSE)&gt;2,HLOOKUP($A859,#REF!,19,FALSE)&lt;-2),"",#REF!),"")</f>
        <v/>
      </c>
      <c r="V859">
        <f t="shared" si="52"/>
        <v>1</v>
      </c>
      <c r="W859" t="str">
        <f t="shared" si="53"/>
        <v/>
      </c>
      <c r="X859" t="str">
        <f t="shared" si="54"/>
        <v/>
      </c>
      <c r="Y859" t="str">
        <f t="shared" si="55"/>
        <v/>
      </c>
    </row>
    <row r="860" spans="1:25" x14ac:dyDescent="0.35">
      <c r="A860">
        <v>868</v>
      </c>
      <c r="B860" t="s">
        <v>1044</v>
      </c>
      <c r="C860">
        <v>85800</v>
      </c>
      <c r="D860">
        <v>881</v>
      </c>
      <c r="E860" t="str">
        <f>IFERROR(IF(OR(HLOOKUP($A860,#REF!,3,FALSE)&gt;2,HLOOKUP(A860,#REF!,3,FALSE)&lt;-2),"",#REF!),"")</f>
        <v/>
      </c>
      <c r="F860" t="str">
        <f>IFERROR(IF(OR(HLOOKUP($A860,#REF!,4,FALSE)&gt;2,HLOOKUP($A860,#REF!,4,FALSE)&lt;-2),"",#REF!),"")</f>
        <v/>
      </c>
      <c r="G860" t="str">
        <f>IFERROR(IF(OR(HLOOKUP($A860,#REF!,5,FALSE)&gt;2,HLOOKUP($A860,#REF!,5,FALSE)&lt;-2),"",#REF!),"")</f>
        <v/>
      </c>
      <c r="H860" t="str">
        <f>IFERROR(IF(OR(HLOOKUP($A860,#REF!,6,FALSE)&gt;2,HLOOKUP($A860,#REF!,6,FALSE)&lt;-2),"",#REF!),"")</f>
        <v/>
      </c>
      <c r="I860" t="str">
        <f>IFERROR(IF(OR(HLOOKUP($A860,#REF!,7,FALSE)&gt;2,HLOOKUP($A860,#REF!,7,FALSE)&lt;-2),"",#REF!),"")</f>
        <v/>
      </c>
      <c r="J860" t="str">
        <f>IFERROR(IF(OR(HLOOKUP($A860,#REF!,8,FALSE)&gt;2,HLOOKUP($A860,#REF!,8,FALSE)&lt;-2),"",#REF!),"")</f>
        <v/>
      </c>
      <c r="K860" t="str">
        <f>IFERROR(IF(OR(HLOOKUP($A860,#REF!,9,FALSE)&gt;2,HLOOKUP($A860,#REF!,9,FALSE)&lt;-2),"",#REF!),"")</f>
        <v/>
      </c>
      <c r="L860" t="str">
        <f>IFERROR(IF(OR(HLOOKUP($A860,#REF!,10,FALSE)&gt;2,HLOOKUP($A860,#REF!,10,FALSE)&lt;-2),"",#REF!),"")</f>
        <v/>
      </c>
      <c r="M860" t="str">
        <f>IFERROR(IF(OR(HLOOKUP($A860,#REF!,11,FALSE)&gt;2,HLOOKUP($A860,#REF!,11,FALSE)&lt;-2),"",#REF!),"")</f>
        <v/>
      </c>
      <c r="N860" t="str">
        <f>IFERROR(IF(OR(HLOOKUP($A860,#REF!,12,FALSE)&gt;2,HLOOKUP($A860,#REF!,12,FALSE)&lt;-2),"",#REF!),"")</f>
        <v/>
      </c>
      <c r="O860" t="str">
        <f>IFERROR(IF(OR(HLOOKUP($A860,#REF!,13,FALSE)&gt;2,HLOOKUP($A860,#REF!,13,FALSE)&lt;-2),"",#REF!),"")</f>
        <v/>
      </c>
      <c r="P860" t="str">
        <f>IFERROR(IF(OR(HLOOKUP($A860,#REF!,14,FALSE)&gt;2,HLOOKUP($A860,#REF!,14,FALSE)&lt;-2),"",#REF!),"")</f>
        <v/>
      </c>
      <c r="Q860" t="str">
        <f>IFERROR(IF(OR(HLOOKUP($A860,#REF!,15,FALSE)&gt;2,HLOOKUP($A860,#REF!,15,FALSE)&lt;-2),"",#REF!),"")</f>
        <v/>
      </c>
      <c r="R860" t="str">
        <f>IFERROR(IF(OR(HLOOKUP($A860,#REF!,16,FALSE)&gt;2,HLOOKUP($A860,#REF!,16,FALSE)&lt;-2),"",#REF!),"")</f>
        <v/>
      </c>
      <c r="S860" t="str">
        <f>IFERROR(IF(OR(HLOOKUP($A860,#REF!,17,FALSE)&gt;2,HLOOKUP($A860,#REF!,17,FALSE)&lt;-2),"",#REF!),"")</f>
        <v/>
      </c>
      <c r="T860" t="str">
        <f>IFERROR(IF(OR(HLOOKUP($A860,#REF!,18,FALSE)&gt;2,HLOOKUP($A860,#REF!,18,FALSE)&lt;-2),"",#REF!),"")</f>
        <v/>
      </c>
      <c r="U860" t="str">
        <f>IFERROR(IF(OR(HLOOKUP($A860,#REF!,19,FALSE)&gt;2,HLOOKUP($A860,#REF!,19,FALSE)&lt;-2),"",#REF!),"")</f>
        <v/>
      </c>
      <c r="V860">
        <f t="shared" si="52"/>
        <v>1</v>
      </c>
      <c r="W860" t="str">
        <f t="shared" si="53"/>
        <v/>
      </c>
      <c r="X860" t="str">
        <f t="shared" si="54"/>
        <v/>
      </c>
      <c r="Y860" t="str">
        <f t="shared" si="55"/>
        <v/>
      </c>
    </row>
    <row r="861" spans="1:25" x14ac:dyDescent="0.35">
      <c r="A861">
        <v>869</v>
      </c>
      <c r="B861" t="s">
        <v>419</v>
      </c>
      <c r="C861">
        <v>17200</v>
      </c>
      <c r="D861">
        <v>425</v>
      </c>
      <c r="E861" t="str">
        <f>IFERROR(IF(OR(HLOOKUP($A861,#REF!,3,FALSE)&gt;2,HLOOKUP(A861,#REF!,3,FALSE)&lt;-2),"",#REF!),"")</f>
        <v/>
      </c>
      <c r="F861" t="str">
        <f>IFERROR(IF(OR(HLOOKUP($A861,#REF!,4,FALSE)&gt;2,HLOOKUP($A861,#REF!,4,FALSE)&lt;-2),"",#REF!),"")</f>
        <v/>
      </c>
      <c r="G861" t="str">
        <f>IFERROR(IF(OR(HLOOKUP($A861,#REF!,5,FALSE)&gt;2,HLOOKUP($A861,#REF!,5,FALSE)&lt;-2),"",#REF!),"")</f>
        <v/>
      </c>
      <c r="H861" t="str">
        <f>IFERROR(IF(OR(HLOOKUP($A861,#REF!,6,FALSE)&gt;2,HLOOKUP($A861,#REF!,6,FALSE)&lt;-2),"",#REF!),"")</f>
        <v/>
      </c>
      <c r="I861" t="str">
        <f>IFERROR(IF(OR(HLOOKUP($A861,#REF!,7,FALSE)&gt;2,HLOOKUP($A861,#REF!,7,FALSE)&lt;-2),"",#REF!),"")</f>
        <v/>
      </c>
      <c r="J861" t="str">
        <f>IFERROR(IF(OR(HLOOKUP($A861,#REF!,8,FALSE)&gt;2,HLOOKUP($A861,#REF!,8,FALSE)&lt;-2),"",#REF!),"")</f>
        <v/>
      </c>
      <c r="K861" t="str">
        <f>IFERROR(IF(OR(HLOOKUP($A861,#REF!,9,FALSE)&gt;2,HLOOKUP($A861,#REF!,9,FALSE)&lt;-2),"",#REF!),"")</f>
        <v/>
      </c>
      <c r="L861" t="str">
        <f>IFERROR(IF(OR(HLOOKUP($A861,#REF!,10,FALSE)&gt;2,HLOOKUP($A861,#REF!,10,FALSE)&lt;-2),"",#REF!),"")</f>
        <v/>
      </c>
      <c r="M861" t="str">
        <f>IFERROR(IF(OR(HLOOKUP($A861,#REF!,11,FALSE)&gt;2,HLOOKUP($A861,#REF!,11,FALSE)&lt;-2),"",#REF!),"")</f>
        <v/>
      </c>
      <c r="N861" t="str">
        <f>IFERROR(IF(OR(HLOOKUP($A861,#REF!,12,FALSE)&gt;2,HLOOKUP($A861,#REF!,12,FALSE)&lt;-2),"",#REF!),"")</f>
        <v/>
      </c>
      <c r="O861" t="str">
        <f>IFERROR(IF(OR(HLOOKUP($A861,#REF!,13,FALSE)&gt;2,HLOOKUP($A861,#REF!,13,FALSE)&lt;-2),"",#REF!),"")</f>
        <v/>
      </c>
      <c r="P861" t="str">
        <f>IFERROR(IF(OR(HLOOKUP($A861,#REF!,14,FALSE)&gt;2,HLOOKUP($A861,#REF!,14,FALSE)&lt;-2),"",#REF!),"")</f>
        <v/>
      </c>
      <c r="Q861" t="str">
        <f>IFERROR(IF(OR(HLOOKUP($A861,#REF!,15,FALSE)&gt;2,HLOOKUP($A861,#REF!,15,FALSE)&lt;-2),"",#REF!),"")</f>
        <v/>
      </c>
      <c r="R861" t="str">
        <f>IFERROR(IF(OR(HLOOKUP($A861,#REF!,16,FALSE)&gt;2,HLOOKUP($A861,#REF!,16,FALSE)&lt;-2),"",#REF!),"")</f>
        <v/>
      </c>
      <c r="S861" t="str">
        <f>IFERROR(IF(OR(HLOOKUP($A861,#REF!,17,FALSE)&gt;2,HLOOKUP($A861,#REF!,17,FALSE)&lt;-2),"",#REF!),"")</f>
        <v/>
      </c>
      <c r="T861" t="str">
        <f>IFERROR(IF(OR(HLOOKUP($A861,#REF!,18,FALSE)&gt;2,HLOOKUP($A861,#REF!,18,FALSE)&lt;-2),"",#REF!),"")</f>
        <v/>
      </c>
      <c r="U861" t="str">
        <f>IFERROR(IF(OR(HLOOKUP($A861,#REF!,19,FALSE)&gt;2,HLOOKUP($A861,#REF!,19,FALSE)&lt;-2),"",#REF!),"")</f>
        <v/>
      </c>
      <c r="V861">
        <f t="shared" si="52"/>
        <v>1</v>
      </c>
      <c r="W861" t="str">
        <f t="shared" si="53"/>
        <v/>
      </c>
      <c r="X861" t="str">
        <f t="shared" si="54"/>
        <v/>
      </c>
      <c r="Y861" t="str">
        <f t="shared" si="55"/>
        <v/>
      </c>
    </row>
    <row r="862" spans="1:25" x14ac:dyDescent="0.35">
      <c r="A862">
        <v>870</v>
      </c>
      <c r="B862" t="s">
        <v>1045</v>
      </c>
      <c r="C862">
        <v>46200</v>
      </c>
      <c r="D862">
        <v>518</v>
      </c>
      <c r="E862" t="str">
        <f>IFERROR(IF(OR(HLOOKUP($A862,#REF!,3,FALSE)&gt;2,HLOOKUP(A862,#REF!,3,FALSE)&lt;-2),"",#REF!),"")</f>
        <v/>
      </c>
      <c r="F862" t="str">
        <f>IFERROR(IF(OR(HLOOKUP($A862,#REF!,4,FALSE)&gt;2,HLOOKUP($A862,#REF!,4,FALSE)&lt;-2),"",#REF!),"")</f>
        <v/>
      </c>
      <c r="G862" t="str">
        <f>IFERROR(IF(OR(HLOOKUP($A862,#REF!,5,FALSE)&gt;2,HLOOKUP($A862,#REF!,5,FALSE)&lt;-2),"",#REF!),"")</f>
        <v/>
      </c>
      <c r="H862" t="str">
        <f>IFERROR(IF(OR(HLOOKUP($A862,#REF!,6,FALSE)&gt;2,HLOOKUP($A862,#REF!,6,FALSE)&lt;-2),"",#REF!),"")</f>
        <v/>
      </c>
      <c r="I862" t="str">
        <f>IFERROR(IF(OR(HLOOKUP($A862,#REF!,7,FALSE)&gt;2,HLOOKUP($A862,#REF!,7,FALSE)&lt;-2),"",#REF!),"")</f>
        <v/>
      </c>
      <c r="J862" t="str">
        <f>IFERROR(IF(OR(HLOOKUP($A862,#REF!,8,FALSE)&gt;2,HLOOKUP($A862,#REF!,8,FALSE)&lt;-2),"",#REF!),"")</f>
        <v/>
      </c>
      <c r="K862" t="str">
        <f>IFERROR(IF(OR(HLOOKUP($A862,#REF!,9,FALSE)&gt;2,HLOOKUP($A862,#REF!,9,FALSE)&lt;-2),"",#REF!),"")</f>
        <v/>
      </c>
      <c r="L862" t="str">
        <f>IFERROR(IF(OR(HLOOKUP($A862,#REF!,10,FALSE)&gt;2,HLOOKUP($A862,#REF!,10,FALSE)&lt;-2),"",#REF!),"")</f>
        <v/>
      </c>
      <c r="M862" t="str">
        <f>IFERROR(IF(OR(HLOOKUP($A862,#REF!,11,FALSE)&gt;2,HLOOKUP($A862,#REF!,11,FALSE)&lt;-2),"",#REF!),"")</f>
        <v/>
      </c>
      <c r="N862" t="str">
        <f>IFERROR(IF(OR(HLOOKUP($A862,#REF!,12,FALSE)&gt;2,HLOOKUP($A862,#REF!,12,FALSE)&lt;-2),"",#REF!),"")</f>
        <v/>
      </c>
      <c r="O862" t="str">
        <f>IFERROR(IF(OR(HLOOKUP($A862,#REF!,13,FALSE)&gt;2,HLOOKUP($A862,#REF!,13,FALSE)&lt;-2),"",#REF!),"")</f>
        <v/>
      </c>
      <c r="P862" t="str">
        <f>IFERROR(IF(OR(HLOOKUP($A862,#REF!,14,FALSE)&gt;2,HLOOKUP($A862,#REF!,14,FALSE)&lt;-2),"",#REF!),"")</f>
        <v/>
      </c>
      <c r="Q862" t="str">
        <f>IFERROR(IF(OR(HLOOKUP($A862,#REF!,15,FALSE)&gt;2,HLOOKUP($A862,#REF!,15,FALSE)&lt;-2),"",#REF!),"")</f>
        <v/>
      </c>
      <c r="R862" t="str">
        <f>IFERROR(IF(OR(HLOOKUP($A862,#REF!,16,FALSE)&gt;2,HLOOKUP($A862,#REF!,16,FALSE)&lt;-2),"",#REF!),"")</f>
        <v/>
      </c>
      <c r="S862" t="str">
        <f>IFERROR(IF(OR(HLOOKUP($A862,#REF!,17,FALSE)&gt;2,HLOOKUP($A862,#REF!,17,FALSE)&lt;-2),"",#REF!),"")</f>
        <v/>
      </c>
      <c r="T862" t="str">
        <f>IFERROR(IF(OR(HLOOKUP($A862,#REF!,18,FALSE)&gt;2,HLOOKUP($A862,#REF!,18,FALSE)&lt;-2),"",#REF!),"")</f>
        <v/>
      </c>
      <c r="U862" t="str">
        <f>IFERROR(IF(OR(HLOOKUP($A862,#REF!,19,FALSE)&gt;2,HLOOKUP($A862,#REF!,19,FALSE)&lt;-2),"",#REF!),"")</f>
        <v/>
      </c>
      <c r="V862">
        <f t="shared" si="52"/>
        <v>1</v>
      </c>
      <c r="W862" t="str">
        <f t="shared" si="53"/>
        <v/>
      </c>
      <c r="X862" t="str">
        <f t="shared" si="54"/>
        <v/>
      </c>
      <c r="Y862" t="str">
        <f t="shared" si="55"/>
        <v/>
      </c>
    </row>
    <row r="863" spans="1:25" x14ac:dyDescent="0.35">
      <c r="A863">
        <v>871</v>
      </c>
      <c r="B863" t="s">
        <v>1046</v>
      </c>
      <c r="C863">
        <v>103100</v>
      </c>
      <c r="D863">
        <v>967</v>
      </c>
      <c r="E863" t="str">
        <f>IFERROR(IF(OR(HLOOKUP($A863,#REF!,3,FALSE)&gt;2,HLOOKUP(A863,#REF!,3,FALSE)&lt;-2),"",#REF!),"")</f>
        <v/>
      </c>
      <c r="F863" t="str">
        <f>IFERROR(IF(OR(HLOOKUP($A863,#REF!,4,FALSE)&gt;2,HLOOKUP($A863,#REF!,4,FALSE)&lt;-2),"",#REF!),"")</f>
        <v/>
      </c>
      <c r="G863" t="str">
        <f>IFERROR(IF(OR(HLOOKUP($A863,#REF!,5,FALSE)&gt;2,HLOOKUP($A863,#REF!,5,FALSE)&lt;-2),"",#REF!),"")</f>
        <v/>
      </c>
      <c r="H863" t="str">
        <f>IFERROR(IF(OR(HLOOKUP($A863,#REF!,6,FALSE)&gt;2,HLOOKUP($A863,#REF!,6,FALSE)&lt;-2),"",#REF!),"")</f>
        <v/>
      </c>
      <c r="I863" t="str">
        <f>IFERROR(IF(OR(HLOOKUP($A863,#REF!,7,FALSE)&gt;2,HLOOKUP($A863,#REF!,7,FALSE)&lt;-2),"",#REF!),"")</f>
        <v/>
      </c>
      <c r="J863" t="str">
        <f>IFERROR(IF(OR(HLOOKUP($A863,#REF!,8,FALSE)&gt;2,HLOOKUP($A863,#REF!,8,FALSE)&lt;-2),"",#REF!),"")</f>
        <v/>
      </c>
      <c r="K863" t="str">
        <f>IFERROR(IF(OR(HLOOKUP($A863,#REF!,9,FALSE)&gt;2,HLOOKUP($A863,#REF!,9,FALSE)&lt;-2),"",#REF!),"")</f>
        <v/>
      </c>
      <c r="L863" t="str">
        <f>IFERROR(IF(OR(HLOOKUP($A863,#REF!,10,FALSE)&gt;2,HLOOKUP($A863,#REF!,10,FALSE)&lt;-2),"",#REF!),"")</f>
        <v/>
      </c>
      <c r="M863" t="str">
        <f>IFERROR(IF(OR(HLOOKUP($A863,#REF!,11,FALSE)&gt;2,HLOOKUP($A863,#REF!,11,FALSE)&lt;-2),"",#REF!),"")</f>
        <v/>
      </c>
      <c r="N863" t="str">
        <f>IFERROR(IF(OR(HLOOKUP($A863,#REF!,12,FALSE)&gt;2,HLOOKUP($A863,#REF!,12,FALSE)&lt;-2),"",#REF!),"")</f>
        <v/>
      </c>
      <c r="O863" t="str">
        <f>IFERROR(IF(OR(HLOOKUP($A863,#REF!,13,FALSE)&gt;2,HLOOKUP($A863,#REF!,13,FALSE)&lt;-2),"",#REF!),"")</f>
        <v/>
      </c>
      <c r="P863" t="str">
        <f>IFERROR(IF(OR(HLOOKUP($A863,#REF!,14,FALSE)&gt;2,HLOOKUP($A863,#REF!,14,FALSE)&lt;-2),"",#REF!),"")</f>
        <v/>
      </c>
      <c r="Q863" t="str">
        <f>IFERROR(IF(OR(HLOOKUP($A863,#REF!,15,FALSE)&gt;2,HLOOKUP($A863,#REF!,15,FALSE)&lt;-2),"",#REF!),"")</f>
        <v/>
      </c>
      <c r="R863" t="str">
        <f>IFERROR(IF(OR(HLOOKUP($A863,#REF!,16,FALSE)&gt;2,HLOOKUP($A863,#REF!,16,FALSE)&lt;-2),"",#REF!),"")</f>
        <v/>
      </c>
      <c r="S863" t="str">
        <f>IFERROR(IF(OR(HLOOKUP($A863,#REF!,17,FALSE)&gt;2,HLOOKUP($A863,#REF!,17,FALSE)&lt;-2),"",#REF!),"")</f>
        <v/>
      </c>
      <c r="T863" t="str">
        <f>IFERROR(IF(OR(HLOOKUP($A863,#REF!,18,FALSE)&gt;2,HLOOKUP($A863,#REF!,18,FALSE)&lt;-2),"",#REF!),"")</f>
        <v/>
      </c>
      <c r="U863" t="str">
        <f>IFERROR(IF(OR(HLOOKUP($A863,#REF!,19,FALSE)&gt;2,HLOOKUP($A863,#REF!,19,FALSE)&lt;-2),"",#REF!),"")</f>
        <v/>
      </c>
      <c r="V863">
        <f t="shared" si="52"/>
        <v>1</v>
      </c>
      <c r="W863" t="str">
        <f t="shared" si="53"/>
        <v/>
      </c>
      <c r="X863" t="str">
        <f t="shared" si="54"/>
        <v/>
      </c>
      <c r="Y863" t="str">
        <f t="shared" si="55"/>
        <v/>
      </c>
    </row>
    <row r="864" spans="1:25" x14ac:dyDescent="0.35">
      <c r="A864">
        <v>872</v>
      </c>
      <c r="B864" t="s">
        <v>1047</v>
      </c>
      <c r="C864">
        <v>84500</v>
      </c>
      <c r="D864">
        <v>165</v>
      </c>
      <c r="E864" t="str">
        <f>IFERROR(IF(OR(HLOOKUP($A864,#REF!,3,FALSE)&gt;2,HLOOKUP(A864,#REF!,3,FALSE)&lt;-2),"",#REF!),"")</f>
        <v/>
      </c>
      <c r="F864" t="str">
        <f>IFERROR(IF(OR(HLOOKUP($A864,#REF!,4,FALSE)&gt;2,HLOOKUP($A864,#REF!,4,FALSE)&lt;-2),"",#REF!),"")</f>
        <v/>
      </c>
      <c r="G864" t="str">
        <f>IFERROR(IF(OR(HLOOKUP($A864,#REF!,5,FALSE)&gt;2,HLOOKUP($A864,#REF!,5,FALSE)&lt;-2),"",#REF!),"")</f>
        <v/>
      </c>
      <c r="H864" t="str">
        <f>IFERROR(IF(OR(HLOOKUP($A864,#REF!,6,FALSE)&gt;2,HLOOKUP($A864,#REF!,6,FALSE)&lt;-2),"",#REF!),"")</f>
        <v/>
      </c>
      <c r="I864" t="str">
        <f>IFERROR(IF(OR(HLOOKUP($A864,#REF!,7,FALSE)&gt;2,HLOOKUP($A864,#REF!,7,FALSE)&lt;-2),"",#REF!),"")</f>
        <v/>
      </c>
      <c r="J864" t="str">
        <f>IFERROR(IF(OR(HLOOKUP($A864,#REF!,8,FALSE)&gt;2,HLOOKUP($A864,#REF!,8,FALSE)&lt;-2),"",#REF!),"")</f>
        <v/>
      </c>
      <c r="K864" t="str">
        <f>IFERROR(IF(OR(HLOOKUP($A864,#REF!,9,FALSE)&gt;2,HLOOKUP($A864,#REF!,9,FALSE)&lt;-2),"",#REF!),"")</f>
        <v/>
      </c>
      <c r="L864" t="str">
        <f>IFERROR(IF(OR(HLOOKUP($A864,#REF!,10,FALSE)&gt;2,HLOOKUP($A864,#REF!,10,FALSE)&lt;-2),"",#REF!),"")</f>
        <v/>
      </c>
      <c r="M864" t="str">
        <f>IFERROR(IF(OR(HLOOKUP($A864,#REF!,11,FALSE)&gt;2,HLOOKUP($A864,#REF!,11,FALSE)&lt;-2),"",#REF!),"")</f>
        <v/>
      </c>
      <c r="N864" t="str">
        <f>IFERROR(IF(OR(HLOOKUP($A864,#REF!,12,FALSE)&gt;2,HLOOKUP($A864,#REF!,12,FALSE)&lt;-2),"",#REF!),"")</f>
        <v/>
      </c>
      <c r="O864" t="str">
        <f>IFERROR(IF(OR(HLOOKUP($A864,#REF!,13,FALSE)&gt;2,HLOOKUP($A864,#REF!,13,FALSE)&lt;-2),"",#REF!),"")</f>
        <v/>
      </c>
      <c r="P864" t="str">
        <f>IFERROR(IF(OR(HLOOKUP($A864,#REF!,14,FALSE)&gt;2,HLOOKUP($A864,#REF!,14,FALSE)&lt;-2),"",#REF!),"")</f>
        <v/>
      </c>
      <c r="Q864" t="str">
        <f>IFERROR(IF(OR(HLOOKUP($A864,#REF!,15,FALSE)&gt;2,HLOOKUP($A864,#REF!,15,FALSE)&lt;-2),"",#REF!),"")</f>
        <v/>
      </c>
      <c r="R864" t="str">
        <f>IFERROR(IF(OR(HLOOKUP($A864,#REF!,16,FALSE)&gt;2,HLOOKUP($A864,#REF!,16,FALSE)&lt;-2),"",#REF!),"")</f>
        <v/>
      </c>
      <c r="S864" t="str">
        <f>IFERROR(IF(OR(HLOOKUP($A864,#REF!,17,FALSE)&gt;2,HLOOKUP($A864,#REF!,17,FALSE)&lt;-2),"",#REF!),"")</f>
        <v/>
      </c>
      <c r="T864" t="str">
        <f>IFERROR(IF(OR(HLOOKUP($A864,#REF!,18,FALSE)&gt;2,HLOOKUP($A864,#REF!,18,FALSE)&lt;-2),"",#REF!),"")</f>
        <v/>
      </c>
      <c r="U864" t="str">
        <f>IFERROR(IF(OR(HLOOKUP($A864,#REF!,19,FALSE)&gt;2,HLOOKUP($A864,#REF!,19,FALSE)&lt;-2),"",#REF!),"")</f>
        <v/>
      </c>
      <c r="V864">
        <f t="shared" si="52"/>
        <v>1</v>
      </c>
      <c r="W864" t="str">
        <f t="shared" si="53"/>
        <v/>
      </c>
      <c r="X864" t="str">
        <f t="shared" si="54"/>
        <v/>
      </c>
      <c r="Y864" t="str">
        <f t="shared" si="55"/>
        <v/>
      </c>
    </row>
    <row r="865" spans="1:25" x14ac:dyDescent="0.35">
      <c r="A865">
        <v>873</v>
      </c>
      <c r="B865" t="s">
        <v>420</v>
      </c>
      <c r="C865">
        <v>7800</v>
      </c>
      <c r="D865">
        <v>378</v>
      </c>
      <c r="E865" t="str">
        <f>IFERROR(IF(OR(HLOOKUP($A865,#REF!,3,FALSE)&gt;2,HLOOKUP(A865,#REF!,3,FALSE)&lt;-2),"",#REF!),"")</f>
        <v/>
      </c>
      <c r="F865" t="str">
        <f>IFERROR(IF(OR(HLOOKUP($A865,#REF!,4,FALSE)&gt;2,HLOOKUP($A865,#REF!,4,FALSE)&lt;-2),"",#REF!),"")</f>
        <v/>
      </c>
      <c r="G865" t="str">
        <f>IFERROR(IF(OR(HLOOKUP($A865,#REF!,5,FALSE)&gt;2,HLOOKUP($A865,#REF!,5,FALSE)&lt;-2),"",#REF!),"")</f>
        <v/>
      </c>
      <c r="H865" t="str">
        <f>IFERROR(IF(OR(HLOOKUP($A865,#REF!,6,FALSE)&gt;2,HLOOKUP($A865,#REF!,6,FALSE)&lt;-2),"",#REF!),"")</f>
        <v/>
      </c>
      <c r="I865" t="str">
        <f>IFERROR(IF(OR(HLOOKUP($A865,#REF!,7,FALSE)&gt;2,HLOOKUP($A865,#REF!,7,FALSE)&lt;-2),"",#REF!),"")</f>
        <v/>
      </c>
      <c r="J865" t="str">
        <f>IFERROR(IF(OR(HLOOKUP($A865,#REF!,8,FALSE)&gt;2,HLOOKUP($A865,#REF!,8,FALSE)&lt;-2),"",#REF!),"")</f>
        <v/>
      </c>
      <c r="K865" t="str">
        <f>IFERROR(IF(OR(HLOOKUP($A865,#REF!,9,FALSE)&gt;2,HLOOKUP($A865,#REF!,9,FALSE)&lt;-2),"",#REF!),"")</f>
        <v/>
      </c>
      <c r="L865" t="str">
        <f>IFERROR(IF(OR(HLOOKUP($A865,#REF!,10,FALSE)&gt;2,HLOOKUP($A865,#REF!,10,FALSE)&lt;-2),"",#REF!),"")</f>
        <v/>
      </c>
      <c r="M865" t="str">
        <f>IFERROR(IF(OR(HLOOKUP($A865,#REF!,11,FALSE)&gt;2,HLOOKUP($A865,#REF!,11,FALSE)&lt;-2),"",#REF!),"")</f>
        <v/>
      </c>
      <c r="N865" t="str">
        <f>IFERROR(IF(OR(HLOOKUP($A865,#REF!,12,FALSE)&gt;2,HLOOKUP($A865,#REF!,12,FALSE)&lt;-2),"",#REF!),"")</f>
        <v/>
      </c>
      <c r="O865" t="str">
        <f>IFERROR(IF(OR(HLOOKUP($A865,#REF!,13,FALSE)&gt;2,HLOOKUP($A865,#REF!,13,FALSE)&lt;-2),"",#REF!),"")</f>
        <v/>
      </c>
      <c r="P865" t="str">
        <f>IFERROR(IF(OR(HLOOKUP($A865,#REF!,14,FALSE)&gt;2,HLOOKUP($A865,#REF!,14,FALSE)&lt;-2),"",#REF!),"")</f>
        <v/>
      </c>
      <c r="Q865" t="str">
        <f>IFERROR(IF(OR(HLOOKUP($A865,#REF!,15,FALSE)&gt;2,HLOOKUP($A865,#REF!,15,FALSE)&lt;-2),"",#REF!),"")</f>
        <v/>
      </c>
      <c r="R865" t="str">
        <f>IFERROR(IF(OR(HLOOKUP($A865,#REF!,16,FALSE)&gt;2,HLOOKUP($A865,#REF!,16,FALSE)&lt;-2),"",#REF!),"")</f>
        <v/>
      </c>
      <c r="S865" t="str">
        <f>IFERROR(IF(OR(HLOOKUP($A865,#REF!,17,FALSE)&gt;2,HLOOKUP($A865,#REF!,17,FALSE)&lt;-2),"",#REF!),"")</f>
        <v/>
      </c>
      <c r="T865" t="str">
        <f>IFERROR(IF(OR(HLOOKUP($A865,#REF!,18,FALSE)&gt;2,HLOOKUP($A865,#REF!,18,FALSE)&lt;-2),"",#REF!),"")</f>
        <v/>
      </c>
      <c r="U865" t="str">
        <f>IFERROR(IF(OR(HLOOKUP($A865,#REF!,19,FALSE)&gt;2,HLOOKUP($A865,#REF!,19,FALSE)&lt;-2),"",#REF!),"")</f>
        <v/>
      </c>
      <c r="V865">
        <f t="shared" si="52"/>
        <v>1</v>
      </c>
      <c r="W865" t="str">
        <f t="shared" si="53"/>
        <v/>
      </c>
      <c r="X865" t="str">
        <f t="shared" si="54"/>
        <v/>
      </c>
      <c r="Y865" t="str">
        <f t="shared" si="55"/>
        <v/>
      </c>
    </row>
    <row r="866" spans="1:25" x14ac:dyDescent="0.35">
      <c r="A866">
        <v>874</v>
      </c>
      <c r="B866" t="s">
        <v>421</v>
      </c>
      <c r="C866">
        <v>79700</v>
      </c>
      <c r="D866">
        <v>339</v>
      </c>
      <c r="E866" t="str">
        <f>IFERROR(IF(OR(HLOOKUP($A866,#REF!,3,FALSE)&gt;2,HLOOKUP(A866,#REF!,3,FALSE)&lt;-2),"",#REF!),"")</f>
        <v/>
      </c>
      <c r="F866" t="str">
        <f>IFERROR(IF(OR(HLOOKUP($A866,#REF!,4,FALSE)&gt;2,HLOOKUP($A866,#REF!,4,FALSE)&lt;-2),"",#REF!),"")</f>
        <v/>
      </c>
      <c r="G866" t="str">
        <f>IFERROR(IF(OR(HLOOKUP($A866,#REF!,5,FALSE)&gt;2,HLOOKUP($A866,#REF!,5,FALSE)&lt;-2),"",#REF!),"")</f>
        <v/>
      </c>
      <c r="H866" t="str">
        <f>IFERROR(IF(OR(HLOOKUP($A866,#REF!,6,FALSE)&gt;2,HLOOKUP($A866,#REF!,6,FALSE)&lt;-2),"",#REF!),"")</f>
        <v/>
      </c>
      <c r="I866" t="str">
        <f>IFERROR(IF(OR(HLOOKUP($A866,#REF!,7,FALSE)&gt;2,HLOOKUP($A866,#REF!,7,FALSE)&lt;-2),"",#REF!),"")</f>
        <v/>
      </c>
      <c r="J866" t="str">
        <f>IFERROR(IF(OR(HLOOKUP($A866,#REF!,8,FALSE)&gt;2,HLOOKUP($A866,#REF!,8,FALSE)&lt;-2),"",#REF!),"")</f>
        <v/>
      </c>
      <c r="K866" t="str">
        <f>IFERROR(IF(OR(HLOOKUP($A866,#REF!,9,FALSE)&gt;2,HLOOKUP($A866,#REF!,9,FALSE)&lt;-2),"",#REF!),"")</f>
        <v/>
      </c>
      <c r="L866" t="str">
        <f>IFERROR(IF(OR(HLOOKUP($A866,#REF!,10,FALSE)&gt;2,HLOOKUP($A866,#REF!,10,FALSE)&lt;-2),"",#REF!),"")</f>
        <v/>
      </c>
      <c r="M866" t="str">
        <f>IFERROR(IF(OR(HLOOKUP($A866,#REF!,11,FALSE)&gt;2,HLOOKUP($A866,#REF!,11,FALSE)&lt;-2),"",#REF!),"")</f>
        <v/>
      </c>
      <c r="N866" t="str">
        <f>IFERROR(IF(OR(HLOOKUP($A866,#REF!,12,FALSE)&gt;2,HLOOKUP($A866,#REF!,12,FALSE)&lt;-2),"",#REF!),"")</f>
        <v/>
      </c>
      <c r="O866" t="str">
        <f>IFERROR(IF(OR(HLOOKUP($A866,#REF!,13,FALSE)&gt;2,HLOOKUP($A866,#REF!,13,FALSE)&lt;-2),"",#REF!),"")</f>
        <v/>
      </c>
      <c r="P866" t="str">
        <f>IFERROR(IF(OR(HLOOKUP($A866,#REF!,14,FALSE)&gt;2,HLOOKUP($A866,#REF!,14,FALSE)&lt;-2),"",#REF!),"")</f>
        <v/>
      </c>
      <c r="Q866" t="str">
        <f>IFERROR(IF(OR(HLOOKUP($A866,#REF!,15,FALSE)&gt;2,HLOOKUP($A866,#REF!,15,FALSE)&lt;-2),"",#REF!),"")</f>
        <v/>
      </c>
      <c r="R866" t="str">
        <f>IFERROR(IF(OR(HLOOKUP($A866,#REF!,16,FALSE)&gt;2,HLOOKUP($A866,#REF!,16,FALSE)&lt;-2),"",#REF!),"")</f>
        <v/>
      </c>
      <c r="S866" t="str">
        <f>IFERROR(IF(OR(HLOOKUP($A866,#REF!,17,FALSE)&gt;2,HLOOKUP($A866,#REF!,17,FALSE)&lt;-2),"",#REF!),"")</f>
        <v/>
      </c>
      <c r="T866" t="str">
        <f>IFERROR(IF(OR(HLOOKUP($A866,#REF!,18,FALSE)&gt;2,HLOOKUP($A866,#REF!,18,FALSE)&lt;-2),"",#REF!),"")</f>
        <v/>
      </c>
      <c r="U866" t="str">
        <f>IFERROR(IF(OR(HLOOKUP($A866,#REF!,19,FALSE)&gt;2,HLOOKUP($A866,#REF!,19,FALSE)&lt;-2),"",#REF!),"")</f>
        <v/>
      </c>
      <c r="V866">
        <f t="shared" si="52"/>
        <v>1</v>
      </c>
      <c r="W866" t="str">
        <f t="shared" si="53"/>
        <v/>
      </c>
      <c r="X866" t="str">
        <f t="shared" si="54"/>
        <v/>
      </c>
      <c r="Y866" t="str">
        <f t="shared" si="55"/>
        <v/>
      </c>
    </row>
    <row r="867" spans="1:25" x14ac:dyDescent="0.35">
      <c r="A867">
        <v>875</v>
      </c>
      <c r="B867" t="s">
        <v>1048</v>
      </c>
      <c r="C867">
        <v>85900</v>
      </c>
      <c r="D867">
        <v>881</v>
      </c>
      <c r="E867" t="str">
        <f>IFERROR(IF(OR(HLOOKUP($A867,#REF!,3,FALSE)&gt;2,HLOOKUP(A867,#REF!,3,FALSE)&lt;-2),"",#REF!),"")</f>
        <v/>
      </c>
      <c r="F867" t="str">
        <f>IFERROR(IF(OR(HLOOKUP($A867,#REF!,4,FALSE)&gt;2,HLOOKUP($A867,#REF!,4,FALSE)&lt;-2),"",#REF!),"")</f>
        <v/>
      </c>
      <c r="G867" t="str">
        <f>IFERROR(IF(OR(HLOOKUP($A867,#REF!,5,FALSE)&gt;2,HLOOKUP($A867,#REF!,5,FALSE)&lt;-2),"",#REF!),"")</f>
        <v/>
      </c>
      <c r="H867" t="str">
        <f>IFERROR(IF(OR(HLOOKUP($A867,#REF!,6,FALSE)&gt;2,HLOOKUP($A867,#REF!,6,FALSE)&lt;-2),"",#REF!),"")</f>
        <v/>
      </c>
      <c r="I867" t="str">
        <f>IFERROR(IF(OR(HLOOKUP($A867,#REF!,7,FALSE)&gt;2,HLOOKUP($A867,#REF!,7,FALSE)&lt;-2),"",#REF!),"")</f>
        <v/>
      </c>
      <c r="J867" t="str">
        <f>IFERROR(IF(OR(HLOOKUP($A867,#REF!,8,FALSE)&gt;2,HLOOKUP($A867,#REF!,8,FALSE)&lt;-2),"",#REF!),"")</f>
        <v/>
      </c>
      <c r="K867" t="str">
        <f>IFERROR(IF(OR(HLOOKUP($A867,#REF!,9,FALSE)&gt;2,HLOOKUP($A867,#REF!,9,FALSE)&lt;-2),"",#REF!),"")</f>
        <v/>
      </c>
      <c r="L867" t="str">
        <f>IFERROR(IF(OR(HLOOKUP($A867,#REF!,10,FALSE)&gt;2,HLOOKUP($A867,#REF!,10,FALSE)&lt;-2),"",#REF!),"")</f>
        <v/>
      </c>
      <c r="M867" t="str">
        <f>IFERROR(IF(OR(HLOOKUP($A867,#REF!,11,FALSE)&gt;2,HLOOKUP($A867,#REF!,11,FALSE)&lt;-2),"",#REF!),"")</f>
        <v/>
      </c>
      <c r="N867" t="str">
        <f>IFERROR(IF(OR(HLOOKUP($A867,#REF!,12,FALSE)&gt;2,HLOOKUP($A867,#REF!,12,FALSE)&lt;-2),"",#REF!),"")</f>
        <v/>
      </c>
      <c r="O867" t="str">
        <f>IFERROR(IF(OR(HLOOKUP($A867,#REF!,13,FALSE)&gt;2,HLOOKUP($A867,#REF!,13,FALSE)&lt;-2),"",#REF!),"")</f>
        <v/>
      </c>
      <c r="P867" t="str">
        <f>IFERROR(IF(OR(HLOOKUP($A867,#REF!,14,FALSE)&gt;2,HLOOKUP($A867,#REF!,14,FALSE)&lt;-2),"",#REF!),"")</f>
        <v/>
      </c>
      <c r="Q867" t="str">
        <f>IFERROR(IF(OR(HLOOKUP($A867,#REF!,15,FALSE)&gt;2,HLOOKUP($A867,#REF!,15,FALSE)&lt;-2),"",#REF!),"")</f>
        <v/>
      </c>
      <c r="R867" t="str">
        <f>IFERROR(IF(OR(HLOOKUP($A867,#REF!,16,FALSE)&gt;2,HLOOKUP($A867,#REF!,16,FALSE)&lt;-2),"",#REF!),"")</f>
        <v/>
      </c>
      <c r="S867" t="str">
        <f>IFERROR(IF(OR(HLOOKUP($A867,#REF!,17,FALSE)&gt;2,HLOOKUP($A867,#REF!,17,FALSE)&lt;-2),"",#REF!),"")</f>
        <v/>
      </c>
      <c r="T867" t="str">
        <f>IFERROR(IF(OR(HLOOKUP($A867,#REF!,18,FALSE)&gt;2,HLOOKUP($A867,#REF!,18,FALSE)&lt;-2),"",#REF!),"")</f>
        <v/>
      </c>
      <c r="U867" t="str">
        <f>IFERROR(IF(OR(HLOOKUP($A867,#REF!,19,FALSE)&gt;2,HLOOKUP($A867,#REF!,19,FALSE)&lt;-2),"",#REF!),"")</f>
        <v/>
      </c>
      <c r="V867">
        <f t="shared" si="52"/>
        <v>1</v>
      </c>
      <c r="W867" t="str">
        <f t="shared" si="53"/>
        <v/>
      </c>
      <c r="X867" t="str">
        <f t="shared" si="54"/>
        <v/>
      </c>
      <c r="Y867" t="str">
        <f t="shared" si="55"/>
        <v/>
      </c>
    </row>
    <row r="868" spans="1:25" x14ac:dyDescent="0.35">
      <c r="A868">
        <v>876</v>
      </c>
      <c r="B868" t="s">
        <v>1049</v>
      </c>
      <c r="C868">
        <v>98400</v>
      </c>
      <c r="D868">
        <v>848</v>
      </c>
      <c r="E868" t="str">
        <f>IFERROR(IF(OR(HLOOKUP($A868,#REF!,3,FALSE)&gt;2,HLOOKUP(A868,#REF!,3,FALSE)&lt;-2),"",#REF!),"")</f>
        <v/>
      </c>
      <c r="F868" t="str">
        <f>IFERROR(IF(OR(HLOOKUP($A868,#REF!,4,FALSE)&gt;2,HLOOKUP($A868,#REF!,4,FALSE)&lt;-2),"",#REF!),"")</f>
        <v/>
      </c>
      <c r="G868" t="str">
        <f>IFERROR(IF(OR(HLOOKUP($A868,#REF!,5,FALSE)&gt;2,HLOOKUP($A868,#REF!,5,FALSE)&lt;-2),"",#REF!),"")</f>
        <v/>
      </c>
      <c r="H868" t="str">
        <f>IFERROR(IF(OR(HLOOKUP($A868,#REF!,6,FALSE)&gt;2,HLOOKUP($A868,#REF!,6,FALSE)&lt;-2),"",#REF!),"")</f>
        <v/>
      </c>
      <c r="I868" t="str">
        <f>IFERROR(IF(OR(HLOOKUP($A868,#REF!,7,FALSE)&gt;2,HLOOKUP($A868,#REF!,7,FALSE)&lt;-2),"",#REF!),"")</f>
        <v/>
      </c>
      <c r="J868" t="str">
        <f>IFERROR(IF(OR(HLOOKUP($A868,#REF!,8,FALSE)&gt;2,HLOOKUP($A868,#REF!,8,FALSE)&lt;-2),"",#REF!),"")</f>
        <v/>
      </c>
      <c r="K868" t="str">
        <f>IFERROR(IF(OR(HLOOKUP($A868,#REF!,9,FALSE)&gt;2,HLOOKUP($A868,#REF!,9,FALSE)&lt;-2),"",#REF!),"")</f>
        <v/>
      </c>
      <c r="L868" t="str">
        <f>IFERROR(IF(OR(HLOOKUP($A868,#REF!,10,FALSE)&gt;2,HLOOKUP($A868,#REF!,10,FALSE)&lt;-2),"",#REF!),"")</f>
        <v/>
      </c>
      <c r="M868" t="str">
        <f>IFERROR(IF(OR(HLOOKUP($A868,#REF!,11,FALSE)&gt;2,HLOOKUP($A868,#REF!,11,FALSE)&lt;-2),"",#REF!),"")</f>
        <v/>
      </c>
      <c r="N868" t="str">
        <f>IFERROR(IF(OR(HLOOKUP($A868,#REF!,12,FALSE)&gt;2,HLOOKUP($A868,#REF!,12,FALSE)&lt;-2),"",#REF!),"")</f>
        <v/>
      </c>
      <c r="O868" t="str">
        <f>IFERROR(IF(OR(HLOOKUP($A868,#REF!,13,FALSE)&gt;2,HLOOKUP($A868,#REF!,13,FALSE)&lt;-2),"",#REF!),"")</f>
        <v/>
      </c>
      <c r="P868" t="str">
        <f>IFERROR(IF(OR(HLOOKUP($A868,#REF!,14,FALSE)&gt;2,HLOOKUP($A868,#REF!,14,FALSE)&lt;-2),"",#REF!),"")</f>
        <v/>
      </c>
      <c r="Q868" t="str">
        <f>IFERROR(IF(OR(HLOOKUP($A868,#REF!,15,FALSE)&gt;2,HLOOKUP($A868,#REF!,15,FALSE)&lt;-2),"",#REF!),"")</f>
        <v/>
      </c>
      <c r="R868" t="str">
        <f>IFERROR(IF(OR(HLOOKUP($A868,#REF!,16,FALSE)&gt;2,HLOOKUP($A868,#REF!,16,FALSE)&lt;-2),"",#REF!),"")</f>
        <v/>
      </c>
      <c r="S868" t="str">
        <f>IFERROR(IF(OR(HLOOKUP($A868,#REF!,17,FALSE)&gt;2,HLOOKUP($A868,#REF!,17,FALSE)&lt;-2),"",#REF!),"")</f>
        <v/>
      </c>
      <c r="T868" t="str">
        <f>IFERROR(IF(OR(HLOOKUP($A868,#REF!,18,FALSE)&gt;2,HLOOKUP($A868,#REF!,18,FALSE)&lt;-2),"",#REF!),"")</f>
        <v/>
      </c>
      <c r="U868" t="str">
        <f>IFERROR(IF(OR(HLOOKUP($A868,#REF!,19,FALSE)&gt;2,HLOOKUP($A868,#REF!,19,FALSE)&lt;-2),"",#REF!),"")</f>
        <v/>
      </c>
      <c r="V868">
        <f t="shared" si="52"/>
        <v>1</v>
      </c>
      <c r="W868" t="str">
        <f t="shared" si="53"/>
        <v/>
      </c>
      <c r="X868" t="str">
        <f t="shared" si="54"/>
        <v/>
      </c>
      <c r="Y868" t="str">
        <f t="shared" si="55"/>
        <v/>
      </c>
    </row>
    <row r="869" spans="1:25" x14ac:dyDescent="0.35">
      <c r="A869">
        <v>877</v>
      </c>
      <c r="B869" t="s">
        <v>422</v>
      </c>
      <c r="C869">
        <v>109300</v>
      </c>
      <c r="D869">
        <v>1000</v>
      </c>
      <c r="E869" t="str">
        <f>IFERROR(IF(OR(HLOOKUP($A869,#REF!,3,FALSE)&gt;2,HLOOKUP(A869,#REF!,3,FALSE)&lt;-2),"",#REF!),"")</f>
        <v/>
      </c>
      <c r="F869" t="str">
        <f>IFERROR(IF(OR(HLOOKUP($A869,#REF!,4,FALSE)&gt;2,HLOOKUP($A869,#REF!,4,FALSE)&lt;-2),"",#REF!),"")</f>
        <v/>
      </c>
      <c r="G869" t="str">
        <f>IFERROR(IF(OR(HLOOKUP($A869,#REF!,5,FALSE)&gt;2,HLOOKUP($A869,#REF!,5,FALSE)&lt;-2),"",#REF!),"")</f>
        <v/>
      </c>
      <c r="H869" t="str">
        <f>IFERROR(IF(OR(HLOOKUP($A869,#REF!,6,FALSE)&gt;2,HLOOKUP($A869,#REF!,6,FALSE)&lt;-2),"",#REF!),"")</f>
        <v/>
      </c>
      <c r="I869" t="str">
        <f>IFERROR(IF(OR(HLOOKUP($A869,#REF!,7,FALSE)&gt;2,HLOOKUP($A869,#REF!,7,FALSE)&lt;-2),"",#REF!),"")</f>
        <v/>
      </c>
      <c r="J869" t="str">
        <f>IFERROR(IF(OR(HLOOKUP($A869,#REF!,8,FALSE)&gt;2,HLOOKUP($A869,#REF!,8,FALSE)&lt;-2),"",#REF!),"")</f>
        <v/>
      </c>
      <c r="K869" t="str">
        <f>IFERROR(IF(OR(HLOOKUP($A869,#REF!,9,FALSE)&gt;2,HLOOKUP($A869,#REF!,9,FALSE)&lt;-2),"",#REF!),"")</f>
        <v/>
      </c>
      <c r="L869" t="str">
        <f>IFERROR(IF(OR(HLOOKUP($A869,#REF!,10,FALSE)&gt;2,HLOOKUP($A869,#REF!,10,FALSE)&lt;-2),"",#REF!),"")</f>
        <v/>
      </c>
      <c r="M869" t="str">
        <f>IFERROR(IF(OR(HLOOKUP($A869,#REF!,11,FALSE)&gt;2,HLOOKUP($A869,#REF!,11,FALSE)&lt;-2),"",#REF!),"")</f>
        <v/>
      </c>
      <c r="N869" t="str">
        <f>IFERROR(IF(OR(HLOOKUP($A869,#REF!,12,FALSE)&gt;2,HLOOKUP($A869,#REF!,12,FALSE)&lt;-2),"",#REF!),"")</f>
        <v/>
      </c>
      <c r="O869" t="str">
        <f>IFERROR(IF(OR(HLOOKUP($A869,#REF!,13,FALSE)&gt;2,HLOOKUP($A869,#REF!,13,FALSE)&lt;-2),"",#REF!),"")</f>
        <v/>
      </c>
      <c r="P869" t="str">
        <f>IFERROR(IF(OR(HLOOKUP($A869,#REF!,14,FALSE)&gt;2,HLOOKUP($A869,#REF!,14,FALSE)&lt;-2),"",#REF!),"")</f>
        <v/>
      </c>
      <c r="Q869" t="str">
        <f>IFERROR(IF(OR(HLOOKUP($A869,#REF!,15,FALSE)&gt;2,HLOOKUP($A869,#REF!,15,FALSE)&lt;-2),"",#REF!),"")</f>
        <v/>
      </c>
      <c r="R869" t="str">
        <f>IFERROR(IF(OR(HLOOKUP($A869,#REF!,16,FALSE)&gt;2,HLOOKUP($A869,#REF!,16,FALSE)&lt;-2),"",#REF!),"")</f>
        <v/>
      </c>
      <c r="S869" t="str">
        <f>IFERROR(IF(OR(HLOOKUP($A869,#REF!,17,FALSE)&gt;2,HLOOKUP($A869,#REF!,17,FALSE)&lt;-2),"",#REF!),"")</f>
        <v/>
      </c>
      <c r="T869" t="str">
        <f>IFERROR(IF(OR(HLOOKUP($A869,#REF!,18,FALSE)&gt;2,HLOOKUP($A869,#REF!,18,FALSE)&lt;-2),"",#REF!),"")</f>
        <v/>
      </c>
      <c r="U869" t="str">
        <f>IFERROR(IF(OR(HLOOKUP($A869,#REF!,19,FALSE)&gt;2,HLOOKUP($A869,#REF!,19,FALSE)&lt;-2),"",#REF!),"")</f>
        <v/>
      </c>
      <c r="V869">
        <f t="shared" si="52"/>
        <v>1</v>
      </c>
      <c r="W869" t="str">
        <f t="shared" si="53"/>
        <v/>
      </c>
      <c r="X869" t="str">
        <f t="shared" si="54"/>
        <v/>
      </c>
      <c r="Y869" t="str">
        <f t="shared" si="55"/>
        <v/>
      </c>
    </row>
    <row r="870" spans="1:25" x14ac:dyDescent="0.35">
      <c r="A870">
        <v>878</v>
      </c>
      <c r="B870" t="s">
        <v>423</v>
      </c>
      <c r="C870">
        <v>5700</v>
      </c>
      <c r="D870">
        <v>345</v>
      </c>
      <c r="E870" t="str">
        <f>IFERROR(IF(OR(HLOOKUP($A870,#REF!,3,FALSE)&gt;2,HLOOKUP(A870,#REF!,3,FALSE)&lt;-2),"",#REF!),"")</f>
        <v/>
      </c>
      <c r="F870" t="str">
        <f>IFERROR(IF(OR(HLOOKUP($A870,#REF!,4,FALSE)&gt;2,HLOOKUP($A870,#REF!,4,FALSE)&lt;-2),"",#REF!),"")</f>
        <v/>
      </c>
      <c r="G870" t="str">
        <f>IFERROR(IF(OR(HLOOKUP($A870,#REF!,5,FALSE)&gt;2,HLOOKUP($A870,#REF!,5,FALSE)&lt;-2),"",#REF!),"")</f>
        <v/>
      </c>
      <c r="H870" t="str">
        <f>IFERROR(IF(OR(HLOOKUP($A870,#REF!,6,FALSE)&gt;2,HLOOKUP($A870,#REF!,6,FALSE)&lt;-2),"",#REF!),"")</f>
        <v/>
      </c>
      <c r="I870" t="str">
        <f>IFERROR(IF(OR(HLOOKUP($A870,#REF!,7,FALSE)&gt;2,HLOOKUP($A870,#REF!,7,FALSE)&lt;-2),"",#REF!),"")</f>
        <v/>
      </c>
      <c r="J870" t="str">
        <f>IFERROR(IF(OR(HLOOKUP($A870,#REF!,8,FALSE)&gt;2,HLOOKUP($A870,#REF!,8,FALSE)&lt;-2),"",#REF!),"")</f>
        <v/>
      </c>
      <c r="K870" t="str">
        <f>IFERROR(IF(OR(HLOOKUP($A870,#REF!,9,FALSE)&gt;2,HLOOKUP($A870,#REF!,9,FALSE)&lt;-2),"",#REF!),"")</f>
        <v/>
      </c>
      <c r="L870" t="str">
        <f>IFERROR(IF(OR(HLOOKUP($A870,#REF!,10,FALSE)&gt;2,HLOOKUP($A870,#REF!,10,FALSE)&lt;-2),"",#REF!),"")</f>
        <v/>
      </c>
      <c r="M870" t="str">
        <f>IFERROR(IF(OR(HLOOKUP($A870,#REF!,11,FALSE)&gt;2,HLOOKUP($A870,#REF!,11,FALSE)&lt;-2),"",#REF!),"")</f>
        <v/>
      </c>
      <c r="N870" t="str">
        <f>IFERROR(IF(OR(HLOOKUP($A870,#REF!,12,FALSE)&gt;2,HLOOKUP($A870,#REF!,12,FALSE)&lt;-2),"",#REF!),"")</f>
        <v/>
      </c>
      <c r="O870" t="str">
        <f>IFERROR(IF(OR(HLOOKUP($A870,#REF!,13,FALSE)&gt;2,HLOOKUP($A870,#REF!,13,FALSE)&lt;-2),"",#REF!),"")</f>
        <v/>
      </c>
      <c r="P870" t="str">
        <f>IFERROR(IF(OR(HLOOKUP($A870,#REF!,14,FALSE)&gt;2,HLOOKUP($A870,#REF!,14,FALSE)&lt;-2),"",#REF!),"")</f>
        <v/>
      </c>
      <c r="Q870" t="str">
        <f>IFERROR(IF(OR(HLOOKUP($A870,#REF!,15,FALSE)&gt;2,HLOOKUP($A870,#REF!,15,FALSE)&lt;-2),"",#REF!),"")</f>
        <v/>
      </c>
      <c r="R870" t="str">
        <f>IFERROR(IF(OR(HLOOKUP($A870,#REF!,16,FALSE)&gt;2,HLOOKUP($A870,#REF!,16,FALSE)&lt;-2),"",#REF!),"")</f>
        <v/>
      </c>
      <c r="S870" t="str">
        <f>IFERROR(IF(OR(HLOOKUP($A870,#REF!,17,FALSE)&gt;2,HLOOKUP($A870,#REF!,17,FALSE)&lt;-2),"",#REF!),"")</f>
        <v/>
      </c>
      <c r="T870" t="str">
        <f>IFERROR(IF(OR(HLOOKUP($A870,#REF!,18,FALSE)&gt;2,HLOOKUP($A870,#REF!,18,FALSE)&lt;-2),"",#REF!),"")</f>
        <v/>
      </c>
      <c r="U870" t="str">
        <f>IFERROR(IF(OR(HLOOKUP($A870,#REF!,19,FALSE)&gt;2,HLOOKUP($A870,#REF!,19,FALSE)&lt;-2),"",#REF!),"")</f>
        <v/>
      </c>
      <c r="V870">
        <f t="shared" si="52"/>
        <v>1</v>
      </c>
      <c r="W870" t="str">
        <f t="shared" si="53"/>
        <v/>
      </c>
      <c r="X870" t="str">
        <f t="shared" si="54"/>
        <v/>
      </c>
      <c r="Y870" t="str">
        <f t="shared" si="55"/>
        <v/>
      </c>
    </row>
    <row r="871" spans="1:25" x14ac:dyDescent="0.35">
      <c r="A871">
        <v>879</v>
      </c>
      <c r="B871" t="s">
        <v>1050</v>
      </c>
      <c r="C871">
        <v>25900</v>
      </c>
      <c r="D871">
        <v>254</v>
      </c>
      <c r="E871" t="str">
        <f>IFERROR(IF(OR(HLOOKUP($A871,#REF!,3,FALSE)&gt;2,HLOOKUP(A871,#REF!,3,FALSE)&lt;-2),"",#REF!),"")</f>
        <v/>
      </c>
      <c r="F871" t="str">
        <f>IFERROR(IF(OR(HLOOKUP($A871,#REF!,4,FALSE)&gt;2,HLOOKUP($A871,#REF!,4,FALSE)&lt;-2),"",#REF!),"")</f>
        <v/>
      </c>
      <c r="G871" t="str">
        <f>IFERROR(IF(OR(HLOOKUP($A871,#REF!,5,FALSE)&gt;2,HLOOKUP($A871,#REF!,5,FALSE)&lt;-2),"",#REF!),"")</f>
        <v/>
      </c>
      <c r="H871" t="str">
        <f>IFERROR(IF(OR(HLOOKUP($A871,#REF!,6,FALSE)&gt;2,HLOOKUP($A871,#REF!,6,FALSE)&lt;-2),"",#REF!),"")</f>
        <v/>
      </c>
      <c r="I871" t="str">
        <f>IFERROR(IF(OR(HLOOKUP($A871,#REF!,7,FALSE)&gt;2,HLOOKUP($A871,#REF!,7,FALSE)&lt;-2),"",#REF!),"")</f>
        <v/>
      </c>
      <c r="J871" t="str">
        <f>IFERROR(IF(OR(HLOOKUP($A871,#REF!,8,FALSE)&gt;2,HLOOKUP($A871,#REF!,8,FALSE)&lt;-2),"",#REF!),"")</f>
        <v/>
      </c>
      <c r="K871" t="str">
        <f>IFERROR(IF(OR(HLOOKUP($A871,#REF!,9,FALSE)&gt;2,HLOOKUP($A871,#REF!,9,FALSE)&lt;-2),"",#REF!),"")</f>
        <v/>
      </c>
      <c r="L871" t="str">
        <f>IFERROR(IF(OR(HLOOKUP($A871,#REF!,10,FALSE)&gt;2,HLOOKUP($A871,#REF!,10,FALSE)&lt;-2),"",#REF!),"")</f>
        <v/>
      </c>
      <c r="M871" t="str">
        <f>IFERROR(IF(OR(HLOOKUP($A871,#REF!,11,FALSE)&gt;2,HLOOKUP($A871,#REF!,11,FALSE)&lt;-2),"",#REF!),"")</f>
        <v/>
      </c>
      <c r="N871" t="str">
        <f>IFERROR(IF(OR(HLOOKUP($A871,#REF!,12,FALSE)&gt;2,HLOOKUP($A871,#REF!,12,FALSE)&lt;-2),"",#REF!),"")</f>
        <v/>
      </c>
      <c r="O871" t="str">
        <f>IFERROR(IF(OR(HLOOKUP($A871,#REF!,13,FALSE)&gt;2,HLOOKUP($A871,#REF!,13,FALSE)&lt;-2),"",#REF!),"")</f>
        <v/>
      </c>
      <c r="P871" t="str">
        <f>IFERROR(IF(OR(HLOOKUP($A871,#REF!,14,FALSE)&gt;2,HLOOKUP($A871,#REF!,14,FALSE)&lt;-2),"",#REF!),"")</f>
        <v/>
      </c>
      <c r="Q871" t="str">
        <f>IFERROR(IF(OR(HLOOKUP($A871,#REF!,15,FALSE)&gt;2,HLOOKUP($A871,#REF!,15,FALSE)&lt;-2),"",#REF!),"")</f>
        <v/>
      </c>
      <c r="R871" t="str">
        <f>IFERROR(IF(OR(HLOOKUP($A871,#REF!,16,FALSE)&gt;2,HLOOKUP($A871,#REF!,16,FALSE)&lt;-2),"",#REF!),"")</f>
        <v/>
      </c>
      <c r="S871" t="str">
        <f>IFERROR(IF(OR(HLOOKUP($A871,#REF!,17,FALSE)&gt;2,HLOOKUP($A871,#REF!,17,FALSE)&lt;-2),"",#REF!),"")</f>
        <v/>
      </c>
      <c r="T871" t="str">
        <f>IFERROR(IF(OR(HLOOKUP($A871,#REF!,18,FALSE)&gt;2,HLOOKUP($A871,#REF!,18,FALSE)&lt;-2),"",#REF!),"")</f>
        <v/>
      </c>
      <c r="U871" t="str">
        <f>IFERROR(IF(OR(HLOOKUP($A871,#REF!,19,FALSE)&gt;2,HLOOKUP($A871,#REF!,19,FALSE)&lt;-2),"",#REF!),"")</f>
        <v/>
      </c>
      <c r="V871">
        <f t="shared" si="52"/>
        <v>1</v>
      </c>
      <c r="W871" t="str">
        <f t="shared" si="53"/>
        <v/>
      </c>
      <c r="X871" t="str">
        <f t="shared" si="54"/>
        <v/>
      </c>
      <c r="Y871" t="str">
        <f t="shared" si="55"/>
        <v/>
      </c>
    </row>
    <row r="872" spans="1:25" x14ac:dyDescent="0.35">
      <c r="A872">
        <v>880</v>
      </c>
      <c r="B872" t="s">
        <v>424</v>
      </c>
      <c r="C872">
        <v>87200</v>
      </c>
      <c r="D872">
        <v>987</v>
      </c>
      <c r="E872" t="str">
        <f>IFERROR(IF(OR(HLOOKUP($A872,#REF!,3,FALSE)&gt;2,HLOOKUP(A872,#REF!,3,FALSE)&lt;-2),"",#REF!),"")</f>
        <v/>
      </c>
      <c r="F872" t="str">
        <f>IFERROR(IF(OR(HLOOKUP($A872,#REF!,4,FALSE)&gt;2,HLOOKUP($A872,#REF!,4,FALSE)&lt;-2),"",#REF!),"")</f>
        <v/>
      </c>
      <c r="G872" t="str">
        <f>IFERROR(IF(OR(HLOOKUP($A872,#REF!,5,FALSE)&gt;2,HLOOKUP($A872,#REF!,5,FALSE)&lt;-2),"",#REF!),"")</f>
        <v/>
      </c>
      <c r="H872" t="str">
        <f>IFERROR(IF(OR(HLOOKUP($A872,#REF!,6,FALSE)&gt;2,HLOOKUP($A872,#REF!,6,FALSE)&lt;-2),"",#REF!),"")</f>
        <v/>
      </c>
      <c r="I872" t="str">
        <f>IFERROR(IF(OR(HLOOKUP($A872,#REF!,7,FALSE)&gt;2,HLOOKUP($A872,#REF!,7,FALSE)&lt;-2),"",#REF!),"")</f>
        <v/>
      </c>
      <c r="J872" t="str">
        <f>IFERROR(IF(OR(HLOOKUP($A872,#REF!,8,FALSE)&gt;2,HLOOKUP($A872,#REF!,8,FALSE)&lt;-2),"",#REF!),"")</f>
        <v/>
      </c>
      <c r="K872" t="str">
        <f>IFERROR(IF(OR(HLOOKUP($A872,#REF!,9,FALSE)&gt;2,HLOOKUP($A872,#REF!,9,FALSE)&lt;-2),"",#REF!),"")</f>
        <v/>
      </c>
      <c r="L872" t="str">
        <f>IFERROR(IF(OR(HLOOKUP($A872,#REF!,10,FALSE)&gt;2,HLOOKUP($A872,#REF!,10,FALSE)&lt;-2),"",#REF!),"")</f>
        <v/>
      </c>
      <c r="M872" t="str">
        <f>IFERROR(IF(OR(HLOOKUP($A872,#REF!,11,FALSE)&gt;2,HLOOKUP($A872,#REF!,11,FALSE)&lt;-2),"",#REF!),"")</f>
        <v/>
      </c>
      <c r="N872" t="str">
        <f>IFERROR(IF(OR(HLOOKUP($A872,#REF!,12,FALSE)&gt;2,HLOOKUP($A872,#REF!,12,FALSE)&lt;-2),"",#REF!),"")</f>
        <v/>
      </c>
      <c r="O872" t="str">
        <f>IFERROR(IF(OR(HLOOKUP($A872,#REF!,13,FALSE)&gt;2,HLOOKUP($A872,#REF!,13,FALSE)&lt;-2),"",#REF!),"")</f>
        <v/>
      </c>
      <c r="P872" t="str">
        <f>IFERROR(IF(OR(HLOOKUP($A872,#REF!,14,FALSE)&gt;2,HLOOKUP($A872,#REF!,14,FALSE)&lt;-2),"",#REF!),"")</f>
        <v/>
      </c>
      <c r="Q872" t="str">
        <f>IFERROR(IF(OR(HLOOKUP($A872,#REF!,15,FALSE)&gt;2,HLOOKUP($A872,#REF!,15,FALSE)&lt;-2),"",#REF!),"")</f>
        <v/>
      </c>
      <c r="R872" t="str">
        <f>IFERROR(IF(OR(HLOOKUP($A872,#REF!,16,FALSE)&gt;2,HLOOKUP($A872,#REF!,16,FALSE)&lt;-2),"",#REF!),"")</f>
        <v/>
      </c>
      <c r="S872" t="str">
        <f>IFERROR(IF(OR(HLOOKUP($A872,#REF!,17,FALSE)&gt;2,HLOOKUP($A872,#REF!,17,FALSE)&lt;-2),"",#REF!),"")</f>
        <v/>
      </c>
      <c r="T872" t="str">
        <f>IFERROR(IF(OR(HLOOKUP($A872,#REF!,18,FALSE)&gt;2,HLOOKUP($A872,#REF!,18,FALSE)&lt;-2),"",#REF!),"")</f>
        <v/>
      </c>
      <c r="U872" t="str">
        <f>IFERROR(IF(OR(HLOOKUP($A872,#REF!,19,FALSE)&gt;2,HLOOKUP($A872,#REF!,19,FALSE)&lt;-2),"",#REF!),"")</f>
        <v/>
      </c>
      <c r="V872">
        <f t="shared" si="52"/>
        <v>1</v>
      </c>
      <c r="W872" t="str">
        <f t="shared" si="53"/>
        <v/>
      </c>
      <c r="X872" t="str">
        <f t="shared" si="54"/>
        <v/>
      </c>
      <c r="Y872" t="str">
        <f t="shared" si="55"/>
        <v/>
      </c>
    </row>
    <row r="873" spans="1:25" x14ac:dyDescent="0.35">
      <c r="A873">
        <v>881</v>
      </c>
      <c r="B873" t="s">
        <v>1051</v>
      </c>
      <c r="C873">
        <v>85600</v>
      </c>
      <c r="D873">
        <v>867</v>
      </c>
      <c r="E873" t="str">
        <f>IFERROR(IF(OR(HLOOKUP($A873,#REF!,3,FALSE)&gt;2,HLOOKUP(A873,#REF!,3,FALSE)&lt;-2),"",#REF!),"")</f>
        <v/>
      </c>
      <c r="F873" t="str">
        <f>IFERROR(IF(OR(HLOOKUP($A873,#REF!,4,FALSE)&gt;2,HLOOKUP($A873,#REF!,4,FALSE)&lt;-2),"",#REF!),"")</f>
        <v/>
      </c>
      <c r="G873" t="str">
        <f>IFERROR(IF(OR(HLOOKUP($A873,#REF!,5,FALSE)&gt;2,HLOOKUP($A873,#REF!,5,FALSE)&lt;-2),"",#REF!),"")</f>
        <v/>
      </c>
      <c r="H873" t="str">
        <f>IFERROR(IF(OR(HLOOKUP($A873,#REF!,6,FALSE)&gt;2,HLOOKUP($A873,#REF!,6,FALSE)&lt;-2),"",#REF!),"")</f>
        <v/>
      </c>
      <c r="I873" t="str">
        <f>IFERROR(IF(OR(HLOOKUP($A873,#REF!,7,FALSE)&gt;2,HLOOKUP($A873,#REF!,7,FALSE)&lt;-2),"",#REF!),"")</f>
        <v/>
      </c>
      <c r="J873" t="str">
        <f>IFERROR(IF(OR(HLOOKUP($A873,#REF!,8,FALSE)&gt;2,HLOOKUP($A873,#REF!,8,FALSE)&lt;-2),"",#REF!),"")</f>
        <v/>
      </c>
      <c r="K873" t="str">
        <f>IFERROR(IF(OR(HLOOKUP($A873,#REF!,9,FALSE)&gt;2,HLOOKUP($A873,#REF!,9,FALSE)&lt;-2),"",#REF!),"")</f>
        <v/>
      </c>
      <c r="L873" t="str">
        <f>IFERROR(IF(OR(HLOOKUP($A873,#REF!,10,FALSE)&gt;2,HLOOKUP($A873,#REF!,10,FALSE)&lt;-2),"",#REF!),"")</f>
        <v/>
      </c>
      <c r="M873" t="str">
        <f>IFERROR(IF(OR(HLOOKUP($A873,#REF!,11,FALSE)&gt;2,HLOOKUP($A873,#REF!,11,FALSE)&lt;-2),"",#REF!),"")</f>
        <v/>
      </c>
      <c r="N873" t="str">
        <f>IFERROR(IF(OR(HLOOKUP($A873,#REF!,12,FALSE)&gt;2,HLOOKUP($A873,#REF!,12,FALSE)&lt;-2),"",#REF!),"")</f>
        <v/>
      </c>
      <c r="O873" t="str">
        <f>IFERROR(IF(OR(HLOOKUP($A873,#REF!,13,FALSE)&gt;2,HLOOKUP($A873,#REF!,13,FALSE)&lt;-2),"",#REF!),"")</f>
        <v/>
      </c>
      <c r="P873" t="str">
        <f>IFERROR(IF(OR(HLOOKUP($A873,#REF!,14,FALSE)&gt;2,HLOOKUP($A873,#REF!,14,FALSE)&lt;-2),"",#REF!),"")</f>
        <v/>
      </c>
      <c r="Q873" t="str">
        <f>IFERROR(IF(OR(HLOOKUP($A873,#REF!,15,FALSE)&gt;2,HLOOKUP($A873,#REF!,15,FALSE)&lt;-2),"",#REF!),"")</f>
        <v/>
      </c>
      <c r="R873" t="str">
        <f>IFERROR(IF(OR(HLOOKUP($A873,#REF!,16,FALSE)&gt;2,HLOOKUP($A873,#REF!,16,FALSE)&lt;-2),"",#REF!),"")</f>
        <v/>
      </c>
      <c r="S873" t="str">
        <f>IFERROR(IF(OR(HLOOKUP($A873,#REF!,17,FALSE)&gt;2,HLOOKUP($A873,#REF!,17,FALSE)&lt;-2),"",#REF!),"")</f>
        <v/>
      </c>
      <c r="T873" t="str">
        <f>IFERROR(IF(OR(HLOOKUP($A873,#REF!,18,FALSE)&gt;2,HLOOKUP($A873,#REF!,18,FALSE)&lt;-2),"",#REF!),"")</f>
        <v/>
      </c>
      <c r="U873" t="str">
        <f>IFERROR(IF(OR(HLOOKUP($A873,#REF!,19,FALSE)&gt;2,HLOOKUP($A873,#REF!,19,FALSE)&lt;-2),"",#REF!),"")</f>
        <v/>
      </c>
      <c r="V873">
        <f t="shared" si="52"/>
        <v>1</v>
      </c>
      <c r="W873" t="str">
        <f t="shared" si="53"/>
        <v/>
      </c>
      <c r="X873" t="str">
        <f t="shared" si="54"/>
        <v/>
      </c>
      <c r="Y873" t="str">
        <f t="shared" si="55"/>
        <v/>
      </c>
    </row>
    <row r="874" spans="1:25" x14ac:dyDescent="0.35">
      <c r="A874">
        <v>882</v>
      </c>
      <c r="B874" t="s">
        <v>425</v>
      </c>
      <c r="C874">
        <v>2000</v>
      </c>
      <c r="D874">
        <v>985</v>
      </c>
      <c r="E874" t="str">
        <f>IFERROR(IF(OR(HLOOKUP($A874,#REF!,3,FALSE)&gt;2,HLOOKUP(A874,#REF!,3,FALSE)&lt;-2),"",#REF!),"")</f>
        <v/>
      </c>
      <c r="F874" t="str">
        <f>IFERROR(IF(OR(HLOOKUP($A874,#REF!,4,FALSE)&gt;2,HLOOKUP($A874,#REF!,4,FALSE)&lt;-2),"",#REF!),"")</f>
        <v/>
      </c>
      <c r="G874" t="str">
        <f>IFERROR(IF(OR(HLOOKUP($A874,#REF!,5,FALSE)&gt;2,HLOOKUP($A874,#REF!,5,FALSE)&lt;-2),"",#REF!),"")</f>
        <v/>
      </c>
      <c r="H874" t="str">
        <f>IFERROR(IF(OR(HLOOKUP($A874,#REF!,6,FALSE)&gt;2,HLOOKUP($A874,#REF!,6,FALSE)&lt;-2),"",#REF!),"")</f>
        <v/>
      </c>
      <c r="I874" t="str">
        <f>IFERROR(IF(OR(HLOOKUP($A874,#REF!,7,FALSE)&gt;2,HLOOKUP($A874,#REF!,7,FALSE)&lt;-2),"",#REF!),"")</f>
        <v/>
      </c>
      <c r="J874" t="str">
        <f>IFERROR(IF(OR(HLOOKUP($A874,#REF!,8,FALSE)&gt;2,HLOOKUP($A874,#REF!,8,FALSE)&lt;-2),"",#REF!),"")</f>
        <v/>
      </c>
      <c r="K874" t="str">
        <f>IFERROR(IF(OR(HLOOKUP($A874,#REF!,9,FALSE)&gt;2,HLOOKUP($A874,#REF!,9,FALSE)&lt;-2),"",#REF!),"")</f>
        <v/>
      </c>
      <c r="L874" t="str">
        <f>IFERROR(IF(OR(HLOOKUP($A874,#REF!,10,FALSE)&gt;2,HLOOKUP($A874,#REF!,10,FALSE)&lt;-2),"",#REF!),"")</f>
        <v/>
      </c>
      <c r="M874" t="str">
        <f>IFERROR(IF(OR(HLOOKUP($A874,#REF!,11,FALSE)&gt;2,HLOOKUP($A874,#REF!,11,FALSE)&lt;-2),"",#REF!),"")</f>
        <v/>
      </c>
      <c r="N874" t="str">
        <f>IFERROR(IF(OR(HLOOKUP($A874,#REF!,12,FALSE)&gt;2,HLOOKUP($A874,#REF!,12,FALSE)&lt;-2),"",#REF!),"")</f>
        <v/>
      </c>
      <c r="O874" t="str">
        <f>IFERROR(IF(OR(HLOOKUP($A874,#REF!,13,FALSE)&gt;2,HLOOKUP($A874,#REF!,13,FALSE)&lt;-2),"",#REF!),"")</f>
        <v/>
      </c>
      <c r="P874" t="str">
        <f>IFERROR(IF(OR(HLOOKUP($A874,#REF!,14,FALSE)&gt;2,HLOOKUP($A874,#REF!,14,FALSE)&lt;-2),"",#REF!),"")</f>
        <v/>
      </c>
      <c r="Q874" t="str">
        <f>IFERROR(IF(OR(HLOOKUP($A874,#REF!,15,FALSE)&gt;2,HLOOKUP($A874,#REF!,15,FALSE)&lt;-2),"",#REF!),"")</f>
        <v/>
      </c>
      <c r="R874" t="str">
        <f>IFERROR(IF(OR(HLOOKUP($A874,#REF!,16,FALSE)&gt;2,HLOOKUP($A874,#REF!,16,FALSE)&lt;-2),"",#REF!),"")</f>
        <v/>
      </c>
      <c r="S874" t="str">
        <f>IFERROR(IF(OR(HLOOKUP($A874,#REF!,17,FALSE)&gt;2,HLOOKUP($A874,#REF!,17,FALSE)&lt;-2),"",#REF!),"")</f>
        <v/>
      </c>
      <c r="T874" t="str">
        <f>IFERROR(IF(OR(HLOOKUP($A874,#REF!,18,FALSE)&gt;2,HLOOKUP($A874,#REF!,18,FALSE)&lt;-2),"",#REF!),"")</f>
        <v/>
      </c>
      <c r="U874" t="str">
        <f>IFERROR(IF(OR(HLOOKUP($A874,#REF!,19,FALSE)&gt;2,HLOOKUP($A874,#REF!,19,FALSE)&lt;-2),"",#REF!),"")</f>
        <v/>
      </c>
      <c r="V874">
        <f t="shared" si="52"/>
        <v>1</v>
      </c>
      <c r="W874" t="str">
        <f t="shared" si="53"/>
        <v/>
      </c>
      <c r="X874" t="str">
        <f t="shared" si="54"/>
        <v/>
      </c>
      <c r="Y874" t="str">
        <f t="shared" si="55"/>
        <v/>
      </c>
    </row>
    <row r="875" spans="1:25" x14ac:dyDescent="0.35">
      <c r="A875">
        <v>883</v>
      </c>
      <c r="B875" t="s">
        <v>1052</v>
      </c>
      <c r="C875">
        <v>86000</v>
      </c>
      <c r="D875">
        <v>881</v>
      </c>
      <c r="E875" t="str">
        <f>IFERROR(IF(OR(HLOOKUP($A875,#REF!,3,FALSE)&gt;2,HLOOKUP(A875,#REF!,3,FALSE)&lt;-2),"",#REF!),"")</f>
        <v/>
      </c>
      <c r="F875" t="str">
        <f>IFERROR(IF(OR(HLOOKUP($A875,#REF!,4,FALSE)&gt;2,HLOOKUP($A875,#REF!,4,FALSE)&lt;-2),"",#REF!),"")</f>
        <v/>
      </c>
      <c r="G875" t="str">
        <f>IFERROR(IF(OR(HLOOKUP($A875,#REF!,5,FALSE)&gt;2,HLOOKUP($A875,#REF!,5,FALSE)&lt;-2),"",#REF!),"")</f>
        <v/>
      </c>
      <c r="H875" t="str">
        <f>IFERROR(IF(OR(HLOOKUP($A875,#REF!,6,FALSE)&gt;2,HLOOKUP($A875,#REF!,6,FALSE)&lt;-2),"",#REF!),"")</f>
        <v/>
      </c>
      <c r="I875" t="str">
        <f>IFERROR(IF(OR(HLOOKUP($A875,#REF!,7,FALSE)&gt;2,HLOOKUP($A875,#REF!,7,FALSE)&lt;-2),"",#REF!),"")</f>
        <v/>
      </c>
      <c r="J875" t="str">
        <f>IFERROR(IF(OR(HLOOKUP($A875,#REF!,8,FALSE)&gt;2,HLOOKUP($A875,#REF!,8,FALSE)&lt;-2),"",#REF!),"")</f>
        <v/>
      </c>
      <c r="K875" t="str">
        <f>IFERROR(IF(OR(HLOOKUP($A875,#REF!,9,FALSE)&gt;2,HLOOKUP($A875,#REF!,9,FALSE)&lt;-2),"",#REF!),"")</f>
        <v/>
      </c>
      <c r="L875" t="str">
        <f>IFERROR(IF(OR(HLOOKUP($A875,#REF!,10,FALSE)&gt;2,HLOOKUP($A875,#REF!,10,FALSE)&lt;-2),"",#REF!),"")</f>
        <v/>
      </c>
      <c r="M875" t="str">
        <f>IFERROR(IF(OR(HLOOKUP($A875,#REF!,11,FALSE)&gt;2,HLOOKUP($A875,#REF!,11,FALSE)&lt;-2),"",#REF!),"")</f>
        <v/>
      </c>
      <c r="N875" t="str">
        <f>IFERROR(IF(OR(HLOOKUP($A875,#REF!,12,FALSE)&gt;2,HLOOKUP($A875,#REF!,12,FALSE)&lt;-2),"",#REF!),"")</f>
        <v/>
      </c>
      <c r="O875" t="str">
        <f>IFERROR(IF(OR(HLOOKUP($A875,#REF!,13,FALSE)&gt;2,HLOOKUP($A875,#REF!,13,FALSE)&lt;-2),"",#REF!),"")</f>
        <v/>
      </c>
      <c r="P875" t="str">
        <f>IFERROR(IF(OR(HLOOKUP($A875,#REF!,14,FALSE)&gt;2,HLOOKUP($A875,#REF!,14,FALSE)&lt;-2),"",#REF!),"")</f>
        <v/>
      </c>
      <c r="Q875" t="str">
        <f>IFERROR(IF(OR(HLOOKUP($A875,#REF!,15,FALSE)&gt;2,HLOOKUP($A875,#REF!,15,FALSE)&lt;-2),"",#REF!),"")</f>
        <v/>
      </c>
      <c r="R875" t="str">
        <f>IFERROR(IF(OR(HLOOKUP($A875,#REF!,16,FALSE)&gt;2,HLOOKUP($A875,#REF!,16,FALSE)&lt;-2),"",#REF!),"")</f>
        <v/>
      </c>
      <c r="S875" t="str">
        <f>IFERROR(IF(OR(HLOOKUP($A875,#REF!,17,FALSE)&gt;2,HLOOKUP($A875,#REF!,17,FALSE)&lt;-2),"",#REF!),"")</f>
        <v/>
      </c>
      <c r="T875" t="str">
        <f>IFERROR(IF(OR(HLOOKUP($A875,#REF!,18,FALSE)&gt;2,HLOOKUP($A875,#REF!,18,FALSE)&lt;-2),"",#REF!),"")</f>
        <v/>
      </c>
      <c r="U875" t="str">
        <f>IFERROR(IF(OR(HLOOKUP($A875,#REF!,19,FALSE)&gt;2,HLOOKUP($A875,#REF!,19,FALSE)&lt;-2),"",#REF!),"")</f>
        <v/>
      </c>
      <c r="V875">
        <f t="shared" si="52"/>
        <v>1</v>
      </c>
      <c r="W875" t="str">
        <f t="shared" si="53"/>
        <v/>
      </c>
      <c r="X875" t="str">
        <f t="shared" si="54"/>
        <v/>
      </c>
      <c r="Y875" t="str">
        <f t="shared" si="55"/>
        <v/>
      </c>
    </row>
    <row r="876" spans="1:25" x14ac:dyDescent="0.35">
      <c r="A876">
        <v>884</v>
      </c>
      <c r="B876" t="s">
        <v>426</v>
      </c>
      <c r="C876">
        <v>110700</v>
      </c>
      <c r="D876">
        <v>768</v>
      </c>
      <c r="E876" t="str">
        <f>IFERROR(IF(OR(HLOOKUP($A876,#REF!,3,FALSE)&gt;2,HLOOKUP(A876,#REF!,3,FALSE)&lt;-2),"",#REF!),"")</f>
        <v/>
      </c>
      <c r="F876" t="str">
        <f>IFERROR(IF(OR(HLOOKUP($A876,#REF!,4,FALSE)&gt;2,HLOOKUP($A876,#REF!,4,FALSE)&lt;-2),"",#REF!),"")</f>
        <v/>
      </c>
      <c r="G876" t="str">
        <f>IFERROR(IF(OR(HLOOKUP($A876,#REF!,5,FALSE)&gt;2,HLOOKUP($A876,#REF!,5,FALSE)&lt;-2),"",#REF!),"")</f>
        <v/>
      </c>
      <c r="H876" t="str">
        <f>IFERROR(IF(OR(HLOOKUP($A876,#REF!,6,FALSE)&gt;2,HLOOKUP($A876,#REF!,6,FALSE)&lt;-2),"",#REF!),"")</f>
        <v/>
      </c>
      <c r="I876" t="str">
        <f>IFERROR(IF(OR(HLOOKUP($A876,#REF!,7,FALSE)&gt;2,HLOOKUP($A876,#REF!,7,FALSE)&lt;-2),"",#REF!),"")</f>
        <v/>
      </c>
      <c r="J876" t="str">
        <f>IFERROR(IF(OR(HLOOKUP($A876,#REF!,8,FALSE)&gt;2,HLOOKUP($A876,#REF!,8,FALSE)&lt;-2),"",#REF!),"")</f>
        <v/>
      </c>
      <c r="K876" t="str">
        <f>IFERROR(IF(OR(HLOOKUP($A876,#REF!,9,FALSE)&gt;2,HLOOKUP($A876,#REF!,9,FALSE)&lt;-2),"",#REF!),"")</f>
        <v/>
      </c>
      <c r="L876" t="str">
        <f>IFERROR(IF(OR(HLOOKUP($A876,#REF!,10,FALSE)&gt;2,HLOOKUP($A876,#REF!,10,FALSE)&lt;-2),"",#REF!),"")</f>
        <v/>
      </c>
      <c r="M876" t="str">
        <f>IFERROR(IF(OR(HLOOKUP($A876,#REF!,11,FALSE)&gt;2,HLOOKUP($A876,#REF!,11,FALSE)&lt;-2),"",#REF!),"")</f>
        <v/>
      </c>
      <c r="N876" t="str">
        <f>IFERROR(IF(OR(HLOOKUP($A876,#REF!,12,FALSE)&gt;2,HLOOKUP($A876,#REF!,12,FALSE)&lt;-2),"",#REF!),"")</f>
        <v/>
      </c>
      <c r="O876" t="str">
        <f>IFERROR(IF(OR(HLOOKUP($A876,#REF!,13,FALSE)&gt;2,HLOOKUP($A876,#REF!,13,FALSE)&lt;-2),"",#REF!),"")</f>
        <v/>
      </c>
      <c r="P876" t="str">
        <f>IFERROR(IF(OR(HLOOKUP($A876,#REF!,14,FALSE)&gt;2,HLOOKUP($A876,#REF!,14,FALSE)&lt;-2),"",#REF!),"")</f>
        <v/>
      </c>
      <c r="Q876" t="str">
        <f>IFERROR(IF(OR(HLOOKUP($A876,#REF!,15,FALSE)&gt;2,HLOOKUP($A876,#REF!,15,FALSE)&lt;-2),"",#REF!),"")</f>
        <v/>
      </c>
      <c r="R876" t="str">
        <f>IFERROR(IF(OR(HLOOKUP($A876,#REF!,16,FALSE)&gt;2,HLOOKUP($A876,#REF!,16,FALSE)&lt;-2),"",#REF!),"")</f>
        <v/>
      </c>
      <c r="S876" t="str">
        <f>IFERROR(IF(OR(HLOOKUP($A876,#REF!,17,FALSE)&gt;2,HLOOKUP($A876,#REF!,17,FALSE)&lt;-2),"",#REF!),"")</f>
        <v/>
      </c>
      <c r="T876" t="str">
        <f>IFERROR(IF(OR(HLOOKUP($A876,#REF!,18,FALSE)&gt;2,HLOOKUP($A876,#REF!,18,FALSE)&lt;-2),"",#REF!),"")</f>
        <v/>
      </c>
      <c r="U876" t="str">
        <f>IFERROR(IF(OR(HLOOKUP($A876,#REF!,19,FALSE)&gt;2,HLOOKUP($A876,#REF!,19,FALSE)&lt;-2),"",#REF!),"")</f>
        <v/>
      </c>
      <c r="V876">
        <f t="shared" si="52"/>
        <v>1</v>
      </c>
      <c r="W876" t="str">
        <f t="shared" si="53"/>
        <v/>
      </c>
      <c r="X876" t="str">
        <f t="shared" si="54"/>
        <v/>
      </c>
      <c r="Y876" t="str">
        <f t="shared" si="55"/>
        <v/>
      </c>
    </row>
    <row r="877" spans="1:25" x14ac:dyDescent="0.35">
      <c r="A877">
        <v>885</v>
      </c>
      <c r="B877" t="s">
        <v>1053</v>
      </c>
      <c r="C877">
        <v>97400</v>
      </c>
      <c r="D877">
        <v>967</v>
      </c>
      <c r="E877" t="str">
        <f>IFERROR(IF(OR(HLOOKUP($A877,#REF!,3,FALSE)&gt;2,HLOOKUP(A877,#REF!,3,FALSE)&lt;-2),"",#REF!),"")</f>
        <v/>
      </c>
      <c r="F877" t="str">
        <f>IFERROR(IF(OR(HLOOKUP($A877,#REF!,4,FALSE)&gt;2,HLOOKUP($A877,#REF!,4,FALSE)&lt;-2),"",#REF!),"")</f>
        <v/>
      </c>
      <c r="G877" t="str">
        <f>IFERROR(IF(OR(HLOOKUP($A877,#REF!,5,FALSE)&gt;2,HLOOKUP($A877,#REF!,5,FALSE)&lt;-2),"",#REF!),"")</f>
        <v/>
      </c>
      <c r="H877" t="str">
        <f>IFERROR(IF(OR(HLOOKUP($A877,#REF!,6,FALSE)&gt;2,HLOOKUP($A877,#REF!,6,FALSE)&lt;-2),"",#REF!),"")</f>
        <v/>
      </c>
      <c r="I877" t="str">
        <f>IFERROR(IF(OR(HLOOKUP($A877,#REF!,7,FALSE)&gt;2,HLOOKUP($A877,#REF!,7,FALSE)&lt;-2),"",#REF!),"")</f>
        <v/>
      </c>
      <c r="J877" t="str">
        <f>IFERROR(IF(OR(HLOOKUP($A877,#REF!,8,FALSE)&gt;2,HLOOKUP($A877,#REF!,8,FALSE)&lt;-2),"",#REF!),"")</f>
        <v/>
      </c>
      <c r="K877" t="str">
        <f>IFERROR(IF(OR(HLOOKUP($A877,#REF!,9,FALSE)&gt;2,HLOOKUP($A877,#REF!,9,FALSE)&lt;-2),"",#REF!),"")</f>
        <v/>
      </c>
      <c r="L877" t="str">
        <f>IFERROR(IF(OR(HLOOKUP($A877,#REF!,10,FALSE)&gt;2,HLOOKUP($A877,#REF!,10,FALSE)&lt;-2),"",#REF!),"")</f>
        <v/>
      </c>
      <c r="M877" t="str">
        <f>IFERROR(IF(OR(HLOOKUP($A877,#REF!,11,FALSE)&gt;2,HLOOKUP($A877,#REF!,11,FALSE)&lt;-2),"",#REF!),"")</f>
        <v/>
      </c>
      <c r="N877" t="str">
        <f>IFERROR(IF(OR(HLOOKUP($A877,#REF!,12,FALSE)&gt;2,HLOOKUP($A877,#REF!,12,FALSE)&lt;-2),"",#REF!),"")</f>
        <v/>
      </c>
      <c r="O877" t="str">
        <f>IFERROR(IF(OR(HLOOKUP($A877,#REF!,13,FALSE)&gt;2,HLOOKUP($A877,#REF!,13,FALSE)&lt;-2),"",#REF!),"")</f>
        <v/>
      </c>
      <c r="P877" t="str">
        <f>IFERROR(IF(OR(HLOOKUP($A877,#REF!,14,FALSE)&gt;2,HLOOKUP($A877,#REF!,14,FALSE)&lt;-2),"",#REF!),"")</f>
        <v/>
      </c>
      <c r="Q877" t="str">
        <f>IFERROR(IF(OR(HLOOKUP($A877,#REF!,15,FALSE)&gt;2,HLOOKUP($A877,#REF!,15,FALSE)&lt;-2),"",#REF!),"")</f>
        <v/>
      </c>
      <c r="R877" t="str">
        <f>IFERROR(IF(OR(HLOOKUP($A877,#REF!,16,FALSE)&gt;2,HLOOKUP($A877,#REF!,16,FALSE)&lt;-2),"",#REF!),"")</f>
        <v/>
      </c>
      <c r="S877" t="str">
        <f>IFERROR(IF(OR(HLOOKUP($A877,#REF!,17,FALSE)&gt;2,HLOOKUP($A877,#REF!,17,FALSE)&lt;-2),"",#REF!),"")</f>
        <v/>
      </c>
      <c r="T877" t="str">
        <f>IFERROR(IF(OR(HLOOKUP($A877,#REF!,18,FALSE)&gt;2,HLOOKUP($A877,#REF!,18,FALSE)&lt;-2),"",#REF!),"")</f>
        <v/>
      </c>
      <c r="U877" t="str">
        <f>IFERROR(IF(OR(HLOOKUP($A877,#REF!,19,FALSE)&gt;2,HLOOKUP($A877,#REF!,19,FALSE)&lt;-2),"",#REF!),"")</f>
        <v/>
      </c>
      <c r="V877">
        <f t="shared" si="52"/>
        <v>1</v>
      </c>
      <c r="W877" t="str">
        <f t="shared" si="53"/>
        <v/>
      </c>
      <c r="X877" t="str">
        <f t="shared" si="54"/>
        <v/>
      </c>
      <c r="Y877" t="str">
        <f t="shared" si="55"/>
        <v/>
      </c>
    </row>
    <row r="878" spans="1:25" x14ac:dyDescent="0.35">
      <c r="A878">
        <v>886</v>
      </c>
      <c r="B878" t="s">
        <v>1054</v>
      </c>
      <c r="C878">
        <v>26600</v>
      </c>
      <c r="D878">
        <v>254</v>
      </c>
      <c r="E878" t="str">
        <f>IFERROR(IF(OR(HLOOKUP($A878,#REF!,3,FALSE)&gt;2,HLOOKUP(A878,#REF!,3,FALSE)&lt;-2),"",#REF!),"")</f>
        <v/>
      </c>
      <c r="F878" t="str">
        <f>IFERROR(IF(OR(HLOOKUP($A878,#REF!,4,FALSE)&gt;2,HLOOKUP($A878,#REF!,4,FALSE)&lt;-2),"",#REF!),"")</f>
        <v/>
      </c>
      <c r="G878" t="str">
        <f>IFERROR(IF(OR(HLOOKUP($A878,#REF!,5,FALSE)&gt;2,HLOOKUP($A878,#REF!,5,FALSE)&lt;-2),"",#REF!),"")</f>
        <v/>
      </c>
      <c r="H878" t="str">
        <f>IFERROR(IF(OR(HLOOKUP($A878,#REF!,6,FALSE)&gt;2,HLOOKUP($A878,#REF!,6,FALSE)&lt;-2),"",#REF!),"")</f>
        <v/>
      </c>
      <c r="I878" t="str">
        <f>IFERROR(IF(OR(HLOOKUP($A878,#REF!,7,FALSE)&gt;2,HLOOKUP($A878,#REF!,7,FALSE)&lt;-2),"",#REF!),"")</f>
        <v/>
      </c>
      <c r="J878" t="str">
        <f>IFERROR(IF(OR(HLOOKUP($A878,#REF!,8,FALSE)&gt;2,HLOOKUP($A878,#REF!,8,FALSE)&lt;-2),"",#REF!),"")</f>
        <v/>
      </c>
      <c r="K878" t="str">
        <f>IFERROR(IF(OR(HLOOKUP($A878,#REF!,9,FALSE)&gt;2,HLOOKUP($A878,#REF!,9,FALSE)&lt;-2),"",#REF!),"")</f>
        <v/>
      </c>
      <c r="L878" t="str">
        <f>IFERROR(IF(OR(HLOOKUP($A878,#REF!,10,FALSE)&gt;2,HLOOKUP($A878,#REF!,10,FALSE)&lt;-2),"",#REF!),"")</f>
        <v/>
      </c>
      <c r="M878" t="str">
        <f>IFERROR(IF(OR(HLOOKUP($A878,#REF!,11,FALSE)&gt;2,HLOOKUP($A878,#REF!,11,FALSE)&lt;-2),"",#REF!),"")</f>
        <v/>
      </c>
      <c r="N878" t="str">
        <f>IFERROR(IF(OR(HLOOKUP($A878,#REF!,12,FALSE)&gt;2,HLOOKUP($A878,#REF!,12,FALSE)&lt;-2),"",#REF!),"")</f>
        <v/>
      </c>
      <c r="O878" t="str">
        <f>IFERROR(IF(OR(HLOOKUP($A878,#REF!,13,FALSE)&gt;2,HLOOKUP($A878,#REF!,13,FALSE)&lt;-2),"",#REF!),"")</f>
        <v/>
      </c>
      <c r="P878" t="str">
        <f>IFERROR(IF(OR(HLOOKUP($A878,#REF!,14,FALSE)&gt;2,HLOOKUP($A878,#REF!,14,FALSE)&lt;-2),"",#REF!),"")</f>
        <v/>
      </c>
      <c r="Q878" t="str">
        <f>IFERROR(IF(OR(HLOOKUP($A878,#REF!,15,FALSE)&gt;2,HLOOKUP($A878,#REF!,15,FALSE)&lt;-2),"",#REF!),"")</f>
        <v/>
      </c>
      <c r="R878" t="str">
        <f>IFERROR(IF(OR(HLOOKUP($A878,#REF!,16,FALSE)&gt;2,HLOOKUP($A878,#REF!,16,FALSE)&lt;-2),"",#REF!),"")</f>
        <v/>
      </c>
      <c r="S878" t="str">
        <f>IFERROR(IF(OR(HLOOKUP($A878,#REF!,17,FALSE)&gt;2,HLOOKUP($A878,#REF!,17,FALSE)&lt;-2),"",#REF!),"")</f>
        <v/>
      </c>
      <c r="T878" t="str">
        <f>IFERROR(IF(OR(HLOOKUP($A878,#REF!,18,FALSE)&gt;2,HLOOKUP($A878,#REF!,18,FALSE)&lt;-2),"",#REF!),"")</f>
        <v/>
      </c>
      <c r="U878" t="str">
        <f>IFERROR(IF(OR(HLOOKUP($A878,#REF!,19,FALSE)&gt;2,HLOOKUP($A878,#REF!,19,FALSE)&lt;-2),"",#REF!),"")</f>
        <v/>
      </c>
      <c r="V878">
        <f t="shared" si="52"/>
        <v>1</v>
      </c>
      <c r="W878" t="str">
        <f t="shared" si="53"/>
        <v/>
      </c>
      <c r="X878" t="str">
        <f t="shared" si="54"/>
        <v/>
      </c>
      <c r="Y878" t="str">
        <f t="shared" si="55"/>
        <v/>
      </c>
    </row>
    <row r="879" spans="1:25" x14ac:dyDescent="0.35">
      <c r="A879">
        <v>887</v>
      </c>
      <c r="B879" t="s">
        <v>1055</v>
      </c>
      <c r="C879">
        <v>93200</v>
      </c>
      <c r="D879">
        <v>370</v>
      </c>
      <c r="E879" t="str">
        <f>IFERROR(IF(OR(HLOOKUP($A879,#REF!,3,FALSE)&gt;2,HLOOKUP(A879,#REF!,3,FALSE)&lt;-2),"",#REF!),"")</f>
        <v/>
      </c>
      <c r="F879" t="str">
        <f>IFERROR(IF(OR(HLOOKUP($A879,#REF!,4,FALSE)&gt;2,HLOOKUP($A879,#REF!,4,FALSE)&lt;-2),"",#REF!),"")</f>
        <v/>
      </c>
      <c r="G879" t="str">
        <f>IFERROR(IF(OR(HLOOKUP($A879,#REF!,5,FALSE)&gt;2,HLOOKUP($A879,#REF!,5,FALSE)&lt;-2),"",#REF!),"")</f>
        <v/>
      </c>
      <c r="H879" t="str">
        <f>IFERROR(IF(OR(HLOOKUP($A879,#REF!,6,FALSE)&gt;2,HLOOKUP($A879,#REF!,6,FALSE)&lt;-2),"",#REF!),"")</f>
        <v/>
      </c>
      <c r="I879" t="str">
        <f>IFERROR(IF(OR(HLOOKUP($A879,#REF!,7,FALSE)&gt;2,HLOOKUP($A879,#REF!,7,FALSE)&lt;-2),"",#REF!),"")</f>
        <v/>
      </c>
      <c r="J879" t="str">
        <f>IFERROR(IF(OR(HLOOKUP($A879,#REF!,8,FALSE)&gt;2,HLOOKUP($A879,#REF!,8,FALSE)&lt;-2),"",#REF!),"")</f>
        <v/>
      </c>
      <c r="K879" t="str">
        <f>IFERROR(IF(OR(HLOOKUP($A879,#REF!,9,FALSE)&gt;2,HLOOKUP($A879,#REF!,9,FALSE)&lt;-2),"",#REF!),"")</f>
        <v/>
      </c>
      <c r="L879" t="str">
        <f>IFERROR(IF(OR(HLOOKUP($A879,#REF!,10,FALSE)&gt;2,HLOOKUP($A879,#REF!,10,FALSE)&lt;-2),"",#REF!),"")</f>
        <v/>
      </c>
      <c r="M879" t="str">
        <f>IFERROR(IF(OR(HLOOKUP($A879,#REF!,11,FALSE)&gt;2,HLOOKUP($A879,#REF!,11,FALSE)&lt;-2),"",#REF!),"")</f>
        <v/>
      </c>
      <c r="N879" t="str">
        <f>IFERROR(IF(OR(HLOOKUP($A879,#REF!,12,FALSE)&gt;2,HLOOKUP($A879,#REF!,12,FALSE)&lt;-2),"",#REF!),"")</f>
        <v/>
      </c>
      <c r="O879" t="str">
        <f>IFERROR(IF(OR(HLOOKUP($A879,#REF!,13,FALSE)&gt;2,HLOOKUP($A879,#REF!,13,FALSE)&lt;-2),"",#REF!),"")</f>
        <v/>
      </c>
      <c r="P879" t="str">
        <f>IFERROR(IF(OR(HLOOKUP($A879,#REF!,14,FALSE)&gt;2,HLOOKUP($A879,#REF!,14,FALSE)&lt;-2),"",#REF!),"")</f>
        <v/>
      </c>
      <c r="Q879" t="str">
        <f>IFERROR(IF(OR(HLOOKUP($A879,#REF!,15,FALSE)&gt;2,HLOOKUP($A879,#REF!,15,FALSE)&lt;-2),"",#REF!),"")</f>
        <v/>
      </c>
      <c r="R879" t="str">
        <f>IFERROR(IF(OR(HLOOKUP($A879,#REF!,16,FALSE)&gt;2,HLOOKUP($A879,#REF!,16,FALSE)&lt;-2),"",#REF!),"")</f>
        <v/>
      </c>
      <c r="S879" t="str">
        <f>IFERROR(IF(OR(HLOOKUP($A879,#REF!,17,FALSE)&gt;2,HLOOKUP($A879,#REF!,17,FALSE)&lt;-2),"",#REF!),"")</f>
        <v/>
      </c>
      <c r="T879" t="str">
        <f>IFERROR(IF(OR(HLOOKUP($A879,#REF!,18,FALSE)&gt;2,HLOOKUP($A879,#REF!,18,FALSE)&lt;-2),"",#REF!),"")</f>
        <v/>
      </c>
      <c r="U879" t="str">
        <f>IFERROR(IF(OR(HLOOKUP($A879,#REF!,19,FALSE)&gt;2,HLOOKUP($A879,#REF!,19,FALSE)&lt;-2),"",#REF!),"")</f>
        <v/>
      </c>
      <c r="V879">
        <f t="shared" si="52"/>
        <v>1</v>
      </c>
      <c r="W879" t="str">
        <f t="shared" si="53"/>
        <v/>
      </c>
      <c r="X879" t="str">
        <f t="shared" si="54"/>
        <v/>
      </c>
      <c r="Y879" t="str">
        <f t="shared" si="55"/>
        <v/>
      </c>
    </row>
    <row r="880" spans="1:25" x14ac:dyDescent="0.35">
      <c r="A880">
        <v>888</v>
      </c>
      <c r="B880" t="s">
        <v>427</v>
      </c>
      <c r="C880">
        <v>29200</v>
      </c>
      <c r="D880">
        <v>922</v>
      </c>
      <c r="E880" t="str">
        <f>IFERROR(IF(OR(HLOOKUP($A880,#REF!,3,FALSE)&gt;2,HLOOKUP(A880,#REF!,3,FALSE)&lt;-2),"",#REF!),"")</f>
        <v/>
      </c>
      <c r="F880" t="str">
        <f>IFERROR(IF(OR(HLOOKUP($A880,#REF!,4,FALSE)&gt;2,HLOOKUP($A880,#REF!,4,FALSE)&lt;-2),"",#REF!),"")</f>
        <v/>
      </c>
      <c r="G880" t="str">
        <f>IFERROR(IF(OR(HLOOKUP($A880,#REF!,5,FALSE)&gt;2,HLOOKUP($A880,#REF!,5,FALSE)&lt;-2),"",#REF!),"")</f>
        <v/>
      </c>
      <c r="H880" t="str">
        <f>IFERROR(IF(OR(HLOOKUP($A880,#REF!,6,FALSE)&gt;2,HLOOKUP($A880,#REF!,6,FALSE)&lt;-2),"",#REF!),"")</f>
        <v/>
      </c>
      <c r="I880" t="str">
        <f>IFERROR(IF(OR(HLOOKUP($A880,#REF!,7,FALSE)&gt;2,HLOOKUP($A880,#REF!,7,FALSE)&lt;-2),"",#REF!),"")</f>
        <v/>
      </c>
      <c r="J880" t="str">
        <f>IFERROR(IF(OR(HLOOKUP($A880,#REF!,8,FALSE)&gt;2,HLOOKUP($A880,#REF!,8,FALSE)&lt;-2),"",#REF!),"")</f>
        <v/>
      </c>
      <c r="K880" t="str">
        <f>IFERROR(IF(OR(HLOOKUP($A880,#REF!,9,FALSE)&gt;2,HLOOKUP($A880,#REF!,9,FALSE)&lt;-2),"",#REF!),"")</f>
        <v/>
      </c>
      <c r="L880" t="str">
        <f>IFERROR(IF(OR(HLOOKUP($A880,#REF!,10,FALSE)&gt;2,HLOOKUP($A880,#REF!,10,FALSE)&lt;-2),"",#REF!),"")</f>
        <v/>
      </c>
      <c r="M880" t="str">
        <f>IFERROR(IF(OR(HLOOKUP($A880,#REF!,11,FALSE)&gt;2,HLOOKUP($A880,#REF!,11,FALSE)&lt;-2),"",#REF!),"")</f>
        <v/>
      </c>
      <c r="N880" t="str">
        <f>IFERROR(IF(OR(HLOOKUP($A880,#REF!,12,FALSE)&gt;2,HLOOKUP($A880,#REF!,12,FALSE)&lt;-2),"",#REF!),"")</f>
        <v/>
      </c>
      <c r="O880" t="str">
        <f>IFERROR(IF(OR(HLOOKUP($A880,#REF!,13,FALSE)&gt;2,HLOOKUP($A880,#REF!,13,FALSE)&lt;-2),"",#REF!),"")</f>
        <v/>
      </c>
      <c r="P880" t="str">
        <f>IFERROR(IF(OR(HLOOKUP($A880,#REF!,14,FALSE)&gt;2,HLOOKUP($A880,#REF!,14,FALSE)&lt;-2),"",#REF!),"")</f>
        <v/>
      </c>
      <c r="Q880" t="str">
        <f>IFERROR(IF(OR(HLOOKUP($A880,#REF!,15,FALSE)&gt;2,HLOOKUP($A880,#REF!,15,FALSE)&lt;-2),"",#REF!),"")</f>
        <v/>
      </c>
      <c r="R880" t="str">
        <f>IFERROR(IF(OR(HLOOKUP($A880,#REF!,16,FALSE)&gt;2,HLOOKUP($A880,#REF!,16,FALSE)&lt;-2),"",#REF!),"")</f>
        <v/>
      </c>
      <c r="S880" t="str">
        <f>IFERROR(IF(OR(HLOOKUP($A880,#REF!,17,FALSE)&gt;2,HLOOKUP($A880,#REF!,17,FALSE)&lt;-2),"",#REF!),"")</f>
        <v/>
      </c>
      <c r="T880" t="str">
        <f>IFERROR(IF(OR(HLOOKUP($A880,#REF!,18,FALSE)&gt;2,HLOOKUP($A880,#REF!,18,FALSE)&lt;-2),"",#REF!),"")</f>
        <v/>
      </c>
      <c r="U880" t="str">
        <f>IFERROR(IF(OR(HLOOKUP($A880,#REF!,19,FALSE)&gt;2,HLOOKUP($A880,#REF!,19,FALSE)&lt;-2),"",#REF!),"")</f>
        <v/>
      </c>
      <c r="V880">
        <f t="shared" si="52"/>
        <v>1</v>
      </c>
      <c r="W880" t="str">
        <f t="shared" si="53"/>
        <v/>
      </c>
      <c r="X880" t="str">
        <f t="shared" si="54"/>
        <v/>
      </c>
      <c r="Y880" t="str">
        <f t="shared" si="55"/>
        <v/>
      </c>
    </row>
    <row r="881" spans="1:25" x14ac:dyDescent="0.35">
      <c r="A881">
        <v>889</v>
      </c>
      <c r="B881" t="s">
        <v>428</v>
      </c>
      <c r="C881">
        <v>4000</v>
      </c>
      <c r="D881">
        <v>353</v>
      </c>
      <c r="E881" t="str">
        <f>IFERROR(IF(OR(HLOOKUP($A881,#REF!,3,FALSE)&gt;2,HLOOKUP(A881,#REF!,3,FALSE)&lt;-2),"",#REF!),"")</f>
        <v/>
      </c>
      <c r="F881" t="str">
        <f>IFERROR(IF(OR(HLOOKUP($A881,#REF!,4,FALSE)&gt;2,HLOOKUP($A881,#REF!,4,FALSE)&lt;-2),"",#REF!),"")</f>
        <v/>
      </c>
      <c r="G881" t="str">
        <f>IFERROR(IF(OR(HLOOKUP($A881,#REF!,5,FALSE)&gt;2,HLOOKUP($A881,#REF!,5,FALSE)&lt;-2),"",#REF!),"")</f>
        <v/>
      </c>
      <c r="H881" t="str">
        <f>IFERROR(IF(OR(HLOOKUP($A881,#REF!,6,FALSE)&gt;2,HLOOKUP($A881,#REF!,6,FALSE)&lt;-2),"",#REF!),"")</f>
        <v/>
      </c>
      <c r="I881" t="str">
        <f>IFERROR(IF(OR(HLOOKUP($A881,#REF!,7,FALSE)&gt;2,HLOOKUP($A881,#REF!,7,FALSE)&lt;-2),"",#REF!),"")</f>
        <v/>
      </c>
      <c r="J881" t="str">
        <f>IFERROR(IF(OR(HLOOKUP($A881,#REF!,8,FALSE)&gt;2,HLOOKUP($A881,#REF!,8,FALSE)&lt;-2),"",#REF!),"")</f>
        <v/>
      </c>
      <c r="K881" t="str">
        <f>IFERROR(IF(OR(HLOOKUP($A881,#REF!,9,FALSE)&gt;2,HLOOKUP($A881,#REF!,9,FALSE)&lt;-2),"",#REF!),"")</f>
        <v/>
      </c>
      <c r="L881" t="str">
        <f>IFERROR(IF(OR(HLOOKUP($A881,#REF!,10,FALSE)&gt;2,HLOOKUP($A881,#REF!,10,FALSE)&lt;-2),"",#REF!),"")</f>
        <v/>
      </c>
      <c r="M881" t="str">
        <f>IFERROR(IF(OR(HLOOKUP($A881,#REF!,11,FALSE)&gt;2,HLOOKUP($A881,#REF!,11,FALSE)&lt;-2),"",#REF!),"")</f>
        <v/>
      </c>
      <c r="N881" t="str">
        <f>IFERROR(IF(OR(HLOOKUP($A881,#REF!,12,FALSE)&gt;2,HLOOKUP($A881,#REF!,12,FALSE)&lt;-2),"",#REF!),"")</f>
        <v/>
      </c>
      <c r="O881" t="str">
        <f>IFERROR(IF(OR(HLOOKUP($A881,#REF!,13,FALSE)&gt;2,HLOOKUP($A881,#REF!,13,FALSE)&lt;-2),"",#REF!),"")</f>
        <v/>
      </c>
      <c r="P881" t="str">
        <f>IFERROR(IF(OR(HLOOKUP($A881,#REF!,14,FALSE)&gt;2,HLOOKUP($A881,#REF!,14,FALSE)&lt;-2),"",#REF!),"")</f>
        <v/>
      </c>
      <c r="Q881" t="str">
        <f>IFERROR(IF(OR(HLOOKUP($A881,#REF!,15,FALSE)&gt;2,HLOOKUP($A881,#REF!,15,FALSE)&lt;-2),"",#REF!),"")</f>
        <v/>
      </c>
      <c r="R881" t="str">
        <f>IFERROR(IF(OR(HLOOKUP($A881,#REF!,16,FALSE)&gt;2,HLOOKUP($A881,#REF!,16,FALSE)&lt;-2),"",#REF!),"")</f>
        <v/>
      </c>
      <c r="S881" t="str">
        <f>IFERROR(IF(OR(HLOOKUP($A881,#REF!,17,FALSE)&gt;2,HLOOKUP($A881,#REF!,17,FALSE)&lt;-2),"",#REF!),"")</f>
        <v/>
      </c>
      <c r="T881" t="str">
        <f>IFERROR(IF(OR(HLOOKUP($A881,#REF!,18,FALSE)&gt;2,HLOOKUP($A881,#REF!,18,FALSE)&lt;-2),"",#REF!),"")</f>
        <v/>
      </c>
      <c r="U881" t="str">
        <f>IFERROR(IF(OR(HLOOKUP($A881,#REF!,19,FALSE)&gt;2,HLOOKUP($A881,#REF!,19,FALSE)&lt;-2),"",#REF!),"")</f>
        <v/>
      </c>
      <c r="V881">
        <f t="shared" si="52"/>
        <v>1</v>
      </c>
      <c r="W881" t="str">
        <f t="shared" si="53"/>
        <v/>
      </c>
      <c r="X881" t="str">
        <f t="shared" si="54"/>
        <v/>
      </c>
      <c r="Y881" t="str">
        <f t="shared" si="55"/>
        <v/>
      </c>
    </row>
    <row r="882" spans="1:25" x14ac:dyDescent="0.35">
      <c r="A882">
        <v>890</v>
      </c>
      <c r="B882" t="s">
        <v>1056</v>
      </c>
      <c r="C882">
        <v>86200</v>
      </c>
      <c r="D882">
        <v>867</v>
      </c>
      <c r="E882" t="str">
        <f>IFERROR(IF(OR(HLOOKUP($A882,#REF!,3,FALSE)&gt;2,HLOOKUP(A882,#REF!,3,FALSE)&lt;-2),"",#REF!),"")</f>
        <v/>
      </c>
      <c r="F882" t="str">
        <f>IFERROR(IF(OR(HLOOKUP($A882,#REF!,4,FALSE)&gt;2,HLOOKUP($A882,#REF!,4,FALSE)&lt;-2),"",#REF!),"")</f>
        <v/>
      </c>
      <c r="G882" t="str">
        <f>IFERROR(IF(OR(HLOOKUP($A882,#REF!,5,FALSE)&gt;2,HLOOKUP($A882,#REF!,5,FALSE)&lt;-2),"",#REF!),"")</f>
        <v/>
      </c>
      <c r="H882" t="str">
        <f>IFERROR(IF(OR(HLOOKUP($A882,#REF!,6,FALSE)&gt;2,HLOOKUP($A882,#REF!,6,FALSE)&lt;-2),"",#REF!),"")</f>
        <v/>
      </c>
      <c r="I882" t="str">
        <f>IFERROR(IF(OR(HLOOKUP($A882,#REF!,7,FALSE)&gt;2,HLOOKUP($A882,#REF!,7,FALSE)&lt;-2),"",#REF!),"")</f>
        <v/>
      </c>
      <c r="J882" t="str">
        <f>IFERROR(IF(OR(HLOOKUP($A882,#REF!,8,FALSE)&gt;2,HLOOKUP($A882,#REF!,8,FALSE)&lt;-2),"",#REF!),"")</f>
        <v/>
      </c>
      <c r="K882" t="str">
        <f>IFERROR(IF(OR(HLOOKUP($A882,#REF!,9,FALSE)&gt;2,HLOOKUP($A882,#REF!,9,FALSE)&lt;-2),"",#REF!),"")</f>
        <v/>
      </c>
      <c r="L882" t="str">
        <f>IFERROR(IF(OR(HLOOKUP($A882,#REF!,10,FALSE)&gt;2,HLOOKUP($A882,#REF!,10,FALSE)&lt;-2),"",#REF!),"")</f>
        <v/>
      </c>
      <c r="M882" t="str">
        <f>IFERROR(IF(OR(HLOOKUP($A882,#REF!,11,FALSE)&gt;2,HLOOKUP($A882,#REF!,11,FALSE)&lt;-2),"",#REF!),"")</f>
        <v/>
      </c>
      <c r="N882" t="str">
        <f>IFERROR(IF(OR(HLOOKUP($A882,#REF!,12,FALSE)&gt;2,HLOOKUP($A882,#REF!,12,FALSE)&lt;-2),"",#REF!),"")</f>
        <v/>
      </c>
      <c r="O882" t="str">
        <f>IFERROR(IF(OR(HLOOKUP($A882,#REF!,13,FALSE)&gt;2,HLOOKUP($A882,#REF!,13,FALSE)&lt;-2),"",#REF!),"")</f>
        <v/>
      </c>
      <c r="P882" t="str">
        <f>IFERROR(IF(OR(HLOOKUP($A882,#REF!,14,FALSE)&gt;2,HLOOKUP($A882,#REF!,14,FALSE)&lt;-2),"",#REF!),"")</f>
        <v/>
      </c>
      <c r="Q882" t="str">
        <f>IFERROR(IF(OR(HLOOKUP($A882,#REF!,15,FALSE)&gt;2,HLOOKUP($A882,#REF!,15,FALSE)&lt;-2),"",#REF!),"")</f>
        <v/>
      </c>
      <c r="R882" t="str">
        <f>IFERROR(IF(OR(HLOOKUP($A882,#REF!,16,FALSE)&gt;2,HLOOKUP($A882,#REF!,16,FALSE)&lt;-2),"",#REF!),"")</f>
        <v/>
      </c>
      <c r="S882" t="str">
        <f>IFERROR(IF(OR(HLOOKUP($A882,#REF!,17,FALSE)&gt;2,HLOOKUP($A882,#REF!,17,FALSE)&lt;-2),"",#REF!),"")</f>
        <v/>
      </c>
      <c r="T882" t="str">
        <f>IFERROR(IF(OR(HLOOKUP($A882,#REF!,18,FALSE)&gt;2,HLOOKUP($A882,#REF!,18,FALSE)&lt;-2),"",#REF!),"")</f>
        <v/>
      </c>
      <c r="U882" t="str">
        <f>IFERROR(IF(OR(HLOOKUP($A882,#REF!,19,FALSE)&gt;2,HLOOKUP($A882,#REF!,19,FALSE)&lt;-2),"",#REF!),"")</f>
        <v/>
      </c>
      <c r="V882">
        <f t="shared" si="52"/>
        <v>1</v>
      </c>
      <c r="W882" t="str">
        <f t="shared" si="53"/>
        <v/>
      </c>
      <c r="X882" t="str">
        <f t="shared" si="54"/>
        <v/>
      </c>
      <c r="Y882" t="str">
        <f t="shared" si="55"/>
        <v/>
      </c>
    </row>
    <row r="883" spans="1:25" x14ac:dyDescent="0.35">
      <c r="A883">
        <v>891</v>
      </c>
      <c r="B883" t="s">
        <v>1057</v>
      </c>
      <c r="C883">
        <v>86100</v>
      </c>
      <c r="D883">
        <v>881</v>
      </c>
      <c r="E883" t="str">
        <f>IFERROR(IF(OR(HLOOKUP($A883,#REF!,3,FALSE)&gt;2,HLOOKUP(A883,#REF!,3,FALSE)&lt;-2),"",#REF!),"")</f>
        <v/>
      </c>
      <c r="F883" t="str">
        <f>IFERROR(IF(OR(HLOOKUP($A883,#REF!,4,FALSE)&gt;2,HLOOKUP($A883,#REF!,4,FALSE)&lt;-2),"",#REF!),"")</f>
        <v/>
      </c>
      <c r="G883" t="str">
        <f>IFERROR(IF(OR(HLOOKUP($A883,#REF!,5,FALSE)&gt;2,HLOOKUP($A883,#REF!,5,FALSE)&lt;-2),"",#REF!),"")</f>
        <v/>
      </c>
      <c r="H883" t="str">
        <f>IFERROR(IF(OR(HLOOKUP($A883,#REF!,6,FALSE)&gt;2,HLOOKUP($A883,#REF!,6,FALSE)&lt;-2),"",#REF!),"")</f>
        <v/>
      </c>
      <c r="I883" t="str">
        <f>IFERROR(IF(OR(HLOOKUP($A883,#REF!,7,FALSE)&gt;2,HLOOKUP($A883,#REF!,7,FALSE)&lt;-2),"",#REF!),"")</f>
        <v/>
      </c>
      <c r="J883" t="str">
        <f>IFERROR(IF(OR(HLOOKUP($A883,#REF!,8,FALSE)&gt;2,HLOOKUP($A883,#REF!,8,FALSE)&lt;-2),"",#REF!),"")</f>
        <v/>
      </c>
      <c r="K883" t="str">
        <f>IFERROR(IF(OR(HLOOKUP($A883,#REF!,9,FALSE)&gt;2,HLOOKUP($A883,#REF!,9,FALSE)&lt;-2),"",#REF!),"")</f>
        <v/>
      </c>
      <c r="L883" t="str">
        <f>IFERROR(IF(OR(HLOOKUP($A883,#REF!,10,FALSE)&gt;2,HLOOKUP($A883,#REF!,10,FALSE)&lt;-2),"",#REF!),"")</f>
        <v/>
      </c>
      <c r="M883" t="str">
        <f>IFERROR(IF(OR(HLOOKUP($A883,#REF!,11,FALSE)&gt;2,HLOOKUP($A883,#REF!,11,FALSE)&lt;-2),"",#REF!),"")</f>
        <v/>
      </c>
      <c r="N883" t="str">
        <f>IFERROR(IF(OR(HLOOKUP($A883,#REF!,12,FALSE)&gt;2,HLOOKUP($A883,#REF!,12,FALSE)&lt;-2),"",#REF!),"")</f>
        <v/>
      </c>
      <c r="O883" t="str">
        <f>IFERROR(IF(OR(HLOOKUP($A883,#REF!,13,FALSE)&gt;2,HLOOKUP($A883,#REF!,13,FALSE)&lt;-2),"",#REF!),"")</f>
        <v/>
      </c>
      <c r="P883" t="str">
        <f>IFERROR(IF(OR(HLOOKUP($A883,#REF!,14,FALSE)&gt;2,HLOOKUP($A883,#REF!,14,FALSE)&lt;-2),"",#REF!),"")</f>
        <v/>
      </c>
      <c r="Q883" t="str">
        <f>IFERROR(IF(OR(HLOOKUP($A883,#REF!,15,FALSE)&gt;2,HLOOKUP($A883,#REF!,15,FALSE)&lt;-2),"",#REF!),"")</f>
        <v/>
      </c>
      <c r="R883" t="str">
        <f>IFERROR(IF(OR(HLOOKUP($A883,#REF!,16,FALSE)&gt;2,HLOOKUP($A883,#REF!,16,FALSE)&lt;-2),"",#REF!),"")</f>
        <v/>
      </c>
      <c r="S883" t="str">
        <f>IFERROR(IF(OR(HLOOKUP($A883,#REF!,17,FALSE)&gt;2,HLOOKUP($A883,#REF!,17,FALSE)&lt;-2),"",#REF!),"")</f>
        <v/>
      </c>
      <c r="T883" t="str">
        <f>IFERROR(IF(OR(HLOOKUP($A883,#REF!,18,FALSE)&gt;2,HLOOKUP($A883,#REF!,18,FALSE)&lt;-2),"",#REF!),"")</f>
        <v/>
      </c>
      <c r="U883" t="str">
        <f>IFERROR(IF(OR(HLOOKUP($A883,#REF!,19,FALSE)&gt;2,HLOOKUP($A883,#REF!,19,FALSE)&lt;-2),"",#REF!),"")</f>
        <v/>
      </c>
      <c r="V883">
        <f t="shared" si="52"/>
        <v>1</v>
      </c>
      <c r="W883" t="str">
        <f t="shared" si="53"/>
        <v/>
      </c>
      <c r="X883" t="str">
        <f t="shared" si="54"/>
        <v/>
      </c>
      <c r="Y883" t="str">
        <f t="shared" si="55"/>
        <v/>
      </c>
    </row>
    <row r="884" spans="1:25" x14ac:dyDescent="0.35">
      <c r="A884">
        <v>892</v>
      </c>
      <c r="B884" t="s">
        <v>1058</v>
      </c>
      <c r="C884">
        <v>110800</v>
      </c>
      <c r="D884">
        <v>768</v>
      </c>
      <c r="E884" t="str">
        <f>IFERROR(IF(OR(HLOOKUP($A884,#REF!,3,FALSE)&gt;2,HLOOKUP(A884,#REF!,3,FALSE)&lt;-2),"",#REF!),"")</f>
        <v/>
      </c>
      <c r="F884" t="str">
        <f>IFERROR(IF(OR(HLOOKUP($A884,#REF!,4,FALSE)&gt;2,HLOOKUP($A884,#REF!,4,FALSE)&lt;-2),"",#REF!),"")</f>
        <v/>
      </c>
      <c r="G884" t="str">
        <f>IFERROR(IF(OR(HLOOKUP($A884,#REF!,5,FALSE)&gt;2,HLOOKUP($A884,#REF!,5,FALSE)&lt;-2),"",#REF!),"")</f>
        <v/>
      </c>
      <c r="H884" t="str">
        <f>IFERROR(IF(OR(HLOOKUP($A884,#REF!,6,FALSE)&gt;2,HLOOKUP($A884,#REF!,6,FALSE)&lt;-2),"",#REF!),"")</f>
        <v/>
      </c>
      <c r="I884" t="str">
        <f>IFERROR(IF(OR(HLOOKUP($A884,#REF!,7,FALSE)&gt;2,HLOOKUP($A884,#REF!,7,FALSE)&lt;-2),"",#REF!),"")</f>
        <v/>
      </c>
      <c r="J884" t="str">
        <f>IFERROR(IF(OR(HLOOKUP($A884,#REF!,8,FALSE)&gt;2,HLOOKUP($A884,#REF!,8,FALSE)&lt;-2),"",#REF!),"")</f>
        <v/>
      </c>
      <c r="K884" t="str">
        <f>IFERROR(IF(OR(HLOOKUP($A884,#REF!,9,FALSE)&gt;2,HLOOKUP($A884,#REF!,9,FALSE)&lt;-2),"",#REF!),"")</f>
        <v/>
      </c>
      <c r="L884" t="str">
        <f>IFERROR(IF(OR(HLOOKUP($A884,#REF!,10,FALSE)&gt;2,HLOOKUP($A884,#REF!,10,FALSE)&lt;-2),"",#REF!),"")</f>
        <v/>
      </c>
      <c r="M884" t="str">
        <f>IFERROR(IF(OR(HLOOKUP($A884,#REF!,11,FALSE)&gt;2,HLOOKUP($A884,#REF!,11,FALSE)&lt;-2),"",#REF!),"")</f>
        <v/>
      </c>
      <c r="N884" t="str">
        <f>IFERROR(IF(OR(HLOOKUP($A884,#REF!,12,FALSE)&gt;2,HLOOKUP($A884,#REF!,12,FALSE)&lt;-2),"",#REF!),"")</f>
        <v/>
      </c>
      <c r="O884" t="str">
        <f>IFERROR(IF(OR(HLOOKUP($A884,#REF!,13,FALSE)&gt;2,HLOOKUP($A884,#REF!,13,FALSE)&lt;-2),"",#REF!),"")</f>
        <v/>
      </c>
      <c r="P884" t="str">
        <f>IFERROR(IF(OR(HLOOKUP($A884,#REF!,14,FALSE)&gt;2,HLOOKUP($A884,#REF!,14,FALSE)&lt;-2),"",#REF!),"")</f>
        <v/>
      </c>
      <c r="Q884" t="str">
        <f>IFERROR(IF(OR(HLOOKUP($A884,#REF!,15,FALSE)&gt;2,HLOOKUP($A884,#REF!,15,FALSE)&lt;-2),"",#REF!),"")</f>
        <v/>
      </c>
      <c r="R884" t="str">
        <f>IFERROR(IF(OR(HLOOKUP($A884,#REF!,16,FALSE)&gt;2,HLOOKUP($A884,#REF!,16,FALSE)&lt;-2),"",#REF!),"")</f>
        <v/>
      </c>
      <c r="S884" t="str">
        <f>IFERROR(IF(OR(HLOOKUP($A884,#REF!,17,FALSE)&gt;2,HLOOKUP($A884,#REF!,17,FALSE)&lt;-2),"",#REF!),"")</f>
        <v/>
      </c>
      <c r="T884" t="str">
        <f>IFERROR(IF(OR(HLOOKUP($A884,#REF!,18,FALSE)&gt;2,HLOOKUP($A884,#REF!,18,FALSE)&lt;-2),"",#REF!),"")</f>
        <v/>
      </c>
      <c r="U884" t="str">
        <f>IFERROR(IF(OR(HLOOKUP($A884,#REF!,19,FALSE)&gt;2,HLOOKUP($A884,#REF!,19,FALSE)&lt;-2),"",#REF!),"")</f>
        <v/>
      </c>
      <c r="V884">
        <f t="shared" si="52"/>
        <v>1</v>
      </c>
      <c r="W884" t="str">
        <f t="shared" si="53"/>
        <v/>
      </c>
      <c r="X884" t="str">
        <f t="shared" si="54"/>
        <v/>
      </c>
      <c r="Y884" t="str">
        <f t="shared" si="55"/>
        <v/>
      </c>
    </row>
    <row r="885" spans="1:25" x14ac:dyDescent="0.35">
      <c r="A885">
        <v>893</v>
      </c>
      <c r="B885" t="s">
        <v>429</v>
      </c>
      <c r="C885">
        <v>8300</v>
      </c>
      <c r="D885">
        <v>378</v>
      </c>
      <c r="E885" t="str">
        <f>IFERROR(IF(OR(HLOOKUP($A885,#REF!,3,FALSE)&gt;2,HLOOKUP(A885,#REF!,3,FALSE)&lt;-2),"",#REF!),"")</f>
        <v/>
      </c>
      <c r="F885" t="str">
        <f>IFERROR(IF(OR(HLOOKUP($A885,#REF!,4,FALSE)&gt;2,HLOOKUP($A885,#REF!,4,FALSE)&lt;-2),"",#REF!),"")</f>
        <v/>
      </c>
      <c r="G885" t="str">
        <f>IFERROR(IF(OR(HLOOKUP($A885,#REF!,5,FALSE)&gt;2,HLOOKUP($A885,#REF!,5,FALSE)&lt;-2),"",#REF!),"")</f>
        <v/>
      </c>
      <c r="H885" t="str">
        <f>IFERROR(IF(OR(HLOOKUP($A885,#REF!,6,FALSE)&gt;2,HLOOKUP($A885,#REF!,6,FALSE)&lt;-2),"",#REF!),"")</f>
        <v/>
      </c>
      <c r="I885" t="str">
        <f>IFERROR(IF(OR(HLOOKUP($A885,#REF!,7,FALSE)&gt;2,HLOOKUP($A885,#REF!,7,FALSE)&lt;-2),"",#REF!),"")</f>
        <v/>
      </c>
      <c r="J885" t="str">
        <f>IFERROR(IF(OR(HLOOKUP($A885,#REF!,8,FALSE)&gt;2,HLOOKUP($A885,#REF!,8,FALSE)&lt;-2),"",#REF!),"")</f>
        <v/>
      </c>
      <c r="K885" t="str">
        <f>IFERROR(IF(OR(HLOOKUP($A885,#REF!,9,FALSE)&gt;2,HLOOKUP($A885,#REF!,9,FALSE)&lt;-2),"",#REF!),"")</f>
        <v/>
      </c>
      <c r="L885" t="str">
        <f>IFERROR(IF(OR(HLOOKUP($A885,#REF!,10,FALSE)&gt;2,HLOOKUP($A885,#REF!,10,FALSE)&lt;-2),"",#REF!),"")</f>
        <v/>
      </c>
      <c r="M885" t="str">
        <f>IFERROR(IF(OR(HLOOKUP($A885,#REF!,11,FALSE)&gt;2,HLOOKUP($A885,#REF!,11,FALSE)&lt;-2),"",#REF!),"")</f>
        <v/>
      </c>
      <c r="N885" t="str">
        <f>IFERROR(IF(OR(HLOOKUP($A885,#REF!,12,FALSE)&gt;2,HLOOKUP($A885,#REF!,12,FALSE)&lt;-2),"",#REF!),"")</f>
        <v/>
      </c>
      <c r="O885" t="str">
        <f>IFERROR(IF(OR(HLOOKUP($A885,#REF!,13,FALSE)&gt;2,HLOOKUP($A885,#REF!,13,FALSE)&lt;-2),"",#REF!),"")</f>
        <v/>
      </c>
      <c r="P885" t="str">
        <f>IFERROR(IF(OR(HLOOKUP($A885,#REF!,14,FALSE)&gt;2,HLOOKUP($A885,#REF!,14,FALSE)&lt;-2),"",#REF!),"")</f>
        <v/>
      </c>
      <c r="Q885" t="str">
        <f>IFERROR(IF(OR(HLOOKUP($A885,#REF!,15,FALSE)&gt;2,HLOOKUP($A885,#REF!,15,FALSE)&lt;-2),"",#REF!),"")</f>
        <v/>
      </c>
      <c r="R885" t="str">
        <f>IFERROR(IF(OR(HLOOKUP($A885,#REF!,16,FALSE)&gt;2,HLOOKUP($A885,#REF!,16,FALSE)&lt;-2),"",#REF!),"")</f>
        <v/>
      </c>
      <c r="S885" t="str">
        <f>IFERROR(IF(OR(HLOOKUP($A885,#REF!,17,FALSE)&gt;2,HLOOKUP($A885,#REF!,17,FALSE)&lt;-2),"",#REF!),"")</f>
        <v/>
      </c>
      <c r="T885" t="str">
        <f>IFERROR(IF(OR(HLOOKUP($A885,#REF!,18,FALSE)&gt;2,HLOOKUP($A885,#REF!,18,FALSE)&lt;-2),"",#REF!),"")</f>
        <v/>
      </c>
      <c r="U885" t="str">
        <f>IFERROR(IF(OR(HLOOKUP($A885,#REF!,19,FALSE)&gt;2,HLOOKUP($A885,#REF!,19,FALSE)&lt;-2),"",#REF!),"")</f>
        <v/>
      </c>
      <c r="V885">
        <f t="shared" si="52"/>
        <v>1</v>
      </c>
      <c r="W885" t="str">
        <f t="shared" si="53"/>
        <v/>
      </c>
      <c r="X885" t="str">
        <f t="shared" si="54"/>
        <v/>
      </c>
      <c r="Y885" t="str">
        <f t="shared" si="55"/>
        <v/>
      </c>
    </row>
    <row r="886" spans="1:25" x14ac:dyDescent="0.35">
      <c r="A886">
        <v>894</v>
      </c>
      <c r="B886" t="s">
        <v>430</v>
      </c>
      <c r="C886">
        <v>25300</v>
      </c>
      <c r="D886">
        <v>254</v>
      </c>
      <c r="E886" t="str">
        <f>IFERROR(IF(OR(HLOOKUP($A886,#REF!,3,FALSE)&gt;2,HLOOKUP(A886,#REF!,3,FALSE)&lt;-2),"",#REF!),"")</f>
        <v/>
      </c>
      <c r="F886" t="str">
        <f>IFERROR(IF(OR(HLOOKUP($A886,#REF!,4,FALSE)&gt;2,HLOOKUP($A886,#REF!,4,FALSE)&lt;-2),"",#REF!),"")</f>
        <v/>
      </c>
      <c r="G886" t="str">
        <f>IFERROR(IF(OR(HLOOKUP($A886,#REF!,5,FALSE)&gt;2,HLOOKUP($A886,#REF!,5,FALSE)&lt;-2),"",#REF!),"")</f>
        <v/>
      </c>
      <c r="H886" t="str">
        <f>IFERROR(IF(OR(HLOOKUP($A886,#REF!,6,FALSE)&gt;2,HLOOKUP($A886,#REF!,6,FALSE)&lt;-2),"",#REF!),"")</f>
        <v/>
      </c>
      <c r="I886" t="str">
        <f>IFERROR(IF(OR(HLOOKUP($A886,#REF!,7,FALSE)&gt;2,HLOOKUP($A886,#REF!,7,FALSE)&lt;-2),"",#REF!),"")</f>
        <v/>
      </c>
      <c r="J886" t="str">
        <f>IFERROR(IF(OR(HLOOKUP($A886,#REF!,8,FALSE)&gt;2,HLOOKUP($A886,#REF!,8,FALSE)&lt;-2),"",#REF!),"")</f>
        <v/>
      </c>
      <c r="K886" t="str">
        <f>IFERROR(IF(OR(HLOOKUP($A886,#REF!,9,FALSE)&gt;2,HLOOKUP($A886,#REF!,9,FALSE)&lt;-2),"",#REF!),"")</f>
        <v/>
      </c>
      <c r="L886" t="str">
        <f>IFERROR(IF(OR(HLOOKUP($A886,#REF!,10,FALSE)&gt;2,HLOOKUP($A886,#REF!,10,FALSE)&lt;-2),"",#REF!),"")</f>
        <v/>
      </c>
      <c r="M886" t="str">
        <f>IFERROR(IF(OR(HLOOKUP($A886,#REF!,11,FALSE)&gt;2,HLOOKUP($A886,#REF!,11,FALSE)&lt;-2),"",#REF!),"")</f>
        <v/>
      </c>
      <c r="N886" t="str">
        <f>IFERROR(IF(OR(HLOOKUP($A886,#REF!,12,FALSE)&gt;2,HLOOKUP($A886,#REF!,12,FALSE)&lt;-2),"",#REF!),"")</f>
        <v/>
      </c>
      <c r="O886" t="str">
        <f>IFERROR(IF(OR(HLOOKUP($A886,#REF!,13,FALSE)&gt;2,HLOOKUP($A886,#REF!,13,FALSE)&lt;-2),"",#REF!),"")</f>
        <v/>
      </c>
      <c r="P886" t="str">
        <f>IFERROR(IF(OR(HLOOKUP($A886,#REF!,14,FALSE)&gt;2,HLOOKUP($A886,#REF!,14,FALSE)&lt;-2),"",#REF!),"")</f>
        <v/>
      </c>
      <c r="Q886" t="str">
        <f>IFERROR(IF(OR(HLOOKUP($A886,#REF!,15,FALSE)&gt;2,HLOOKUP($A886,#REF!,15,FALSE)&lt;-2),"",#REF!),"")</f>
        <v/>
      </c>
      <c r="R886" t="str">
        <f>IFERROR(IF(OR(HLOOKUP($A886,#REF!,16,FALSE)&gt;2,HLOOKUP($A886,#REF!,16,FALSE)&lt;-2),"",#REF!),"")</f>
        <v/>
      </c>
      <c r="S886" t="str">
        <f>IFERROR(IF(OR(HLOOKUP($A886,#REF!,17,FALSE)&gt;2,HLOOKUP($A886,#REF!,17,FALSE)&lt;-2),"",#REF!),"")</f>
        <v/>
      </c>
      <c r="T886" t="str">
        <f>IFERROR(IF(OR(HLOOKUP($A886,#REF!,18,FALSE)&gt;2,HLOOKUP($A886,#REF!,18,FALSE)&lt;-2),"",#REF!),"")</f>
        <v/>
      </c>
      <c r="U886" t="str">
        <f>IFERROR(IF(OR(HLOOKUP($A886,#REF!,19,FALSE)&gt;2,HLOOKUP($A886,#REF!,19,FALSE)&lt;-2),"",#REF!),"")</f>
        <v/>
      </c>
      <c r="V886">
        <f t="shared" si="52"/>
        <v>1</v>
      </c>
      <c r="W886" t="str">
        <f t="shared" si="53"/>
        <v/>
      </c>
      <c r="X886" t="str">
        <f t="shared" si="54"/>
        <v/>
      </c>
      <c r="Y886" t="str">
        <f t="shared" si="55"/>
        <v/>
      </c>
    </row>
    <row r="887" spans="1:25" x14ac:dyDescent="0.35">
      <c r="A887">
        <v>895</v>
      </c>
      <c r="B887" t="s">
        <v>431</v>
      </c>
      <c r="C887">
        <v>29300</v>
      </c>
      <c r="D887">
        <v>315</v>
      </c>
      <c r="E887" t="str">
        <f>IFERROR(IF(OR(HLOOKUP($A887,#REF!,3,FALSE)&gt;2,HLOOKUP(A887,#REF!,3,FALSE)&lt;-2),"",#REF!),"")</f>
        <v/>
      </c>
      <c r="F887" t="str">
        <f>IFERROR(IF(OR(HLOOKUP($A887,#REF!,4,FALSE)&gt;2,HLOOKUP($A887,#REF!,4,FALSE)&lt;-2),"",#REF!),"")</f>
        <v/>
      </c>
      <c r="G887" t="str">
        <f>IFERROR(IF(OR(HLOOKUP($A887,#REF!,5,FALSE)&gt;2,HLOOKUP($A887,#REF!,5,FALSE)&lt;-2),"",#REF!),"")</f>
        <v/>
      </c>
      <c r="H887" t="str">
        <f>IFERROR(IF(OR(HLOOKUP($A887,#REF!,6,FALSE)&gt;2,HLOOKUP($A887,#REF!,6,FALSE)&lt;-2),"",#REF!),"")</f>
        <v/>
      </c>
      <c r="I887" t="str">
        <f>IFERROR(IF(OR(HLOOKUP($A887,#REF!,7,FALSE)&gt;2,HLOOKUP($A887,#REF!,7,FALSE)&lt;-2),"",#REF!),"")</f>
        <v/>
      </c>
      <c r="J887" t="str">
        <f>IFERROR(IF(OR(HLOOKUP($A887,#REF!,8,FALSE)&gt;2,HLOOKUP($A887,#REF!,8,FALSE)&lt;-2),"",#REF!),"")</f>
        <v/>
      </c>
      <c r="K887" t="str">
        <f>IFERROR(IF(OR(HLOOKUP($A887,#REF!,9,FALSE)&gt;2,HLOOKUP($A887,#REF!,9,FALSE)&lt;-2),"",#REF!),"")</f>
        <v/>
      </c>
      <c r="L887" t="str">
        <f>IFERROR(IF(OR(HLOOKUP($A887,#REF!,10,FALSE)&gt;2,HLOOKUP($A887,#REF!,10,FALSE)&lt;-2),"",#REF!),"")</f>
        <v/>
      </c>
      <c r="M887" t="str">
        <f>IFERROR(IF(OR(HLOOKUP($A887,#REF!,11,FALSE)&gt;2,HLOOKUP($A887,#REF!,11,FALSE)&lt;-2),"",#REF!),"")</f>
        <v/>
      </c>
      <c r="N887" t="str">
        <f>IFERROR(IF(OR(HLOOKUP($A887,#REF!,12,FALSE)&gt;2,HLOOKUP($A887,#REF!,12,FALSE)&lt;-2),"",#REF!),"")</f>
        <v/>
      </c>
      <c r="O887" t="str">
        <f>IFERROR(IF(OR(HLOOKUP($A887,#REF!,13,FALSE)&gt;2,HLOOKUP($A887,#REF!,13,FALSE)&lt;-2),"",#REF!),"")</f>
        <v/>
      </c>
      <c r="P887" t="str">
        <f>IFERROR(IF(OR(HLOOKUP($A887,#REF!,14,FALSE)&gt;2,HLOOKUP($A887,#REF!,14,FALSE)&lt;-2),"",#REF!),"")</f>
        <v/>
      </c>
      <c r="Q887" t="str">
        <f>IFERROR(IF(OR(HLOOKUP($A887,#REF!,15,FALSE)&gt;2,HLOOKUP($A887,#REF!,15,FALSE)&lt;-2),"",#REF!),"")</f>
        <v/>
      </c>
      <c r="R887" t="str">
        <f>IFERROR(IF(OR(HLOOKUP($A887,#REF!,16,FALSE)&gt;2,HLOOKUP($A887,#REF!,16,FALSE)&lt;-2),"",#REF!),"")</f>
        <v/>
      </c>
      <c r="S887" t="str">
        <f>IFERROR(IF(OR(HLOOKUP($A887,#REF!,17,FALSE)&gt;2,HLOOKUP($A887,#REF!,17,FALSE)&lt;-2),"",#REF!),"")</f>
        <v/>
      </c>
      <c r="T887" t="str">
        <f>IFERROR(IF(OR(HLOOKUP($A887,#REF!,18,FALSE)&gt;2,HLOOKUP($A887,#REF!,18,FALSE)&lt;-2),"",#REF!),"")</f>
        <v/>
      </c>
      <c r="U887" t="str">
        <f>IFERROR(IF(OR(HLOOKUP($A887,#REF!,19,FALSE)&gt;2,HLOOKUP($A887,#REF!,19,FALSE)&lt;-2),"",#REF!),"")</f>
        <v/>
      </c>
      <c r="V887">
        <f t="shared" si="52"/>
        <v>1</v>
      </c>
      <c r="W887" t="str">
        <f t="shared" si="53"/>
        <v/>
      </c>
      <c r="X887" t="str">
        <f t="shared" si="54"/>
        <v/>
      </c>
      <c r="Y887" t="str">
        <f t="shared" si="55"/>
        <v/>
      </c>
    </row>
    <row r="888" spans="1:25" x14ac:dyDescent="0.35">
      <c r="A888">
        <v>896</v>
      </c>
      <c r="B888" t="s">
        <v>1059</v>
      </c>
      <c r="C888">
        <v>108000</v>
      </c>
      <c r="D888">
        <v>983</v>
      </c>
      <c r="E888" t="str">
        <f>IFERROR(IF(OR(HLOOKUP($A888,#REF!,3,FALSE)&gt;2,HLOOKUP(A888,#REF!,3,FALSE)&lt;-2),"",#REF!),"")</f>
        <v/>
      </c>
      <c r="F888" t="str">
        <f>IFERROR(IF(OR(HLOOKUP($A888,#REF!,4,FALSE)&gt;2,HLOOKUP($A888,#REF!,4,FALSE)&lt;-2),"",#REF!),"")</f>
        <v/>
      </c>
      <c r="G888" t="str">
        <f>IFERROR(IF(OR(HLOOKUP($A888,#REF!,5,FALSE)&gt;2,HLOOKUP($A888,#REF!,5,FALSE)&lt;-2),"",#REF!),"")</f>
        <v/>
      </c>
      <c r="H888" t="str">
        <f>IFERROR(IF(OR(HLOOKUP($A888,#REF!,6,FALSE)&gt;2,HLOOKUP($A888,#REF!,6,FALSE)&lt;-2),"",#REF!),"")</f>
        <v/>
      </c>
      <c r="I888" t="str">
        <f>IFERROR(IF(OR(HLOOKUP($A888,#REF!,7,FALSE)&gt;2,HLOOKUP($A888,#REF!,7,FALSE)&lt;-2),"",#REF!),"")</f>
        <v/>
      </c>
      <c r="J888" t="str">
        <f>IFERROR(IF(OR(HLOOKUP($A888,#REF!,8,FALSE)&gt;2,HLOOKUP($A888,#REF!,8,FALSE)&lt;-2),"",#REF!),"")</f>
        <v/>
      </c>
      <c r="K888" t="str">
        <f>IFERROR(IF(OR(HLOOKUP($A888,#REF!,9,FALSE)&gt;2,HLOOKUP($A888,#REF!,9,FALSE)&lt;-2),"",#REF!),"")</f>
        <v/>
      </c>
      <c r="L888" t="str">
        <f>IFERROR(IF(OR(HLOOKUP($A888,#REF!,10,FALSE)&gt;2,HLOOKUP($A888,#REF!,10,FALSE)&lt;-2),"",#REF!),"")</f>
        <v/>
      </c>
      <c r="M888" t="str">
        <f>IFERROR(IF(OR(HLOOKUP($A888,#REF!,11,FALSE)&gt;2,HLOOKUP($A888,#REF!,11,FALSE)&lt;-2),"",#REF!),"")</f>
        <v/>
      </c>
      <c r="N888" t="str">
        <f>IFERROR(IF(OR(HLOOKUP($A888,#REF!,12,FALSE)&gt;2,HLOOKUP($A888,#REF!,12,FALSE)&lt;-2),"",#REF!),"")</f>
        <v/>
      </c>
      <c r="O888" t="str">
        <f>IFERROR(IF(OR(HLOOKUP($A888,#REF!,13,FALSE)&gt;2,HLOOKUP($A888,#REF!,13,FALSE)&lt;-2),"",#REF!),"")</f>
        <v/>
      </c>
      <c r="P888" t="str">
        <f>IFERROR(IF(OR(HLOOKUP($A888,#REF!,14,FALSE)&gt;2,HLOOKUP($A888,#REF!,14,FALSE)&lt;-2),"",#REF!),"")</f>
        <v/>
      </c>
      <c r="Q888" t="str">
        <f>IFERROR(IF(OR(HLOOKUP($A888,#REF!,15,FALSE)&gt;2,HLOOKUP($A888,#REF!,15,FALSE)&lt;-2),"",#REF!),"")</f>
        <v/>
      </c>
      <c r="R888" t="str">
        <f>IFERROR(IF(OR(HLOOKUP($A888,#REF!,16,FALSE)&gt;2,HLOOKUP($A888,#REF!,16,FALSE)&lt;-2),"",#REF!),"")</f>
        <v/>
      </c>
      <c r="S888" t="str">
        <f>IFERROR(IF(OR(HLOOKUP($A888,#REF!,17,FALSE)&gt;2,HLOOKUP($A888,#REF!,17,FALSE)&lt;-2),"",#REF!),"")</f>
        <v/>
      </c>
      <c r="T888" t="str">
        <f>IFERROR(IF(OR(HLOOKUP($A888,#REF!,18,FALSE)&gt;2,HLOOKUP($A888,#REF!,18,FALSE)&lt;-2),"",#REF!),"")</f>
        <v/>
      </c>
      <c r="U888" t="str">
        <f>IFERROR(IF(OR(HLOOKUP($A888,#REF!,19,FALSE)&gt;2,HLOOKUP($A888,#REF!,19,FALSE)&lt;-2),"",#REF!),"")</f>
        <v/>
      </c>
      <c r="V888">
        <f t="shared" si="52"/>
        <v>1</v>
      </c>
      <c r="W888" t="str">
        <f t="shared" si="53"/>
        <v/>
      </c>
      <c r="X888" t="str">
        <f t="shared" si="54"/>
        <v/>
      </c>
      <c r="Y888" t="str">
        <f t="shared" si="55"/>
        <v/>
      </c>
    </row>
    <row r="889" spans="1:25" x14ac:dyDescent="0.35">
      <c r="A889">
        <v>897</v>
      </c>
      <c r="B889" t="s">
        <v>432</v>
      </c>
      <c r="C889">
        <v>9900</v>
      </c>
      <c r="D889">
        <v>677</v>
      </c>
      <c r="E889" t="str">
        <f>IFERROR(IF(OR(HLOOKUP($A889,#REF!,3,FALSE)&gt;2,HLOOKUP(A889,#REF!,3,FALSE)&lt;-2),"",#REF!),"")</f>
        <v/>
      </c>
      <c r="F889" t="str">
        <f>IFERROR(IF(OR(HLOOKUP($A889,#REF!,4,FALSE)&gt;2,HLOOKUP($A889,#REF!,4,FALSE)&lt;-2),"",#REF!),"")</f>
        <v/>
      </c>
      <c r="G889" t="str">
        <f>IFERROR(IF(OR(HLOOKUP($A889,#REF!,5,FALSE)&gt;2,HLOOKUP($A889,#REF!,5,FALSE)&lt;-2),"",#REF!),"")</f>
        <v/>
      </c>
      <c r="H889" t="str">
        <f>IFERROR(IF(OR(HLOOKUP($A889,#REF!,6,FALSE)&gt;2,HLOOKUP($A889,#REF!,6,FALSE)&lt;-2),"",#REF!),"")</f>
        <v/>
      </c>
      <c r="I889" t="str">
        <f>IFERROR(IF(OR(HLOOKUP($A889,#REF!,7,FALSE)&gt;2,HLOOKUP($A889,#REF!,7,FALSE)&lt;-2),"",#REF!),"")</f>
        <v/>
      </c>
      <c r="J889" t="str">
        <f>IFERROR(IF(OR(HLOOKUP($A889,#REF!,8,FALSE)&gt;2,HLOOKUP($A889,#REF!,8,FALSE)&lt;-2),"",#REF!),"")</f>
        <v/>
      </c>
      <c r="K889" t="str">
        <f>IFERROR(IF(OR(HLOOKUP($A889,#REF!,9,FALSE)&gt;2,HLOOKUP($A889,#REF!,9,FALSE)&lt;-2),"",#REF!),"")</f>
        <v/>
      </c>
      <c r="L889" t="str">
        <f>IFERROR(IF(OR(HLOOKUP($A889,#REF!,10,FALSE)&gt;2,HLOOKUP($A889,#REF!,10,FALSE)&lt;-2),"",#REF!),"")</f>
        <v/>
      </c>
      <c r="M889" t="str">
        <f>IFERROR(IF(OR(HLOOKUP($A889,#REF!,11,FALSE)&gt;2,HLOOKUP($A889,#REF!,11,FALSE)&lt;-2),"",#REF!),"")</f>
        <v/>
      </c>
      <c r="N889" t="str">
        <f>IFERROR(IF(OR(HLOOKUP($A889,#REF!,12,FALSE)&gt;2,HLOOKUP($A889,#REF!,12,FALSE)&lt;-2),"",#REF!),"")</f>
        <v/>
      </c>
      <c r="O889" t="str">
        <f>IFERROR(IF(OR(HLOOKUP($A889,#REF!,13,FALSE)&gt;2,HLOOKUP($A889,#REF!,13,FALSE)&lt;-2),"",#REF!),"")</f>
        <v/>
      </c>
      <c r="P889" t="str">
        <f>IFERROR(IF(OR(HLOOKUP($A889,#REF!,14,FALSE)&gt;2,HLOOKUP($A889,#REF!,14,FALSE)&lt;-2),"",#REF!),"")</f>
        <v/>
      </c>
      <c r="Q889" t="str">
        <f>IFERROR(IF(OR(HLOOKUP($A889,#REF!,15,FALSE)&gt;2,HLOOKUP($A889,#REF!,15,FALSE)&lt;-2),"",#REF!),"")</f>
        <v/>
      </c>
      <c r="R889" t="str">
        <f>IFERROR(IF(OR(HLOOKUP($A889,#REF!,16,FALSE)&gt;2,HLOOKUP($A889,#REF!,16,FALSE)&lt;-2),"",#REF!),"")</f>
        <v/>
      </c>
      <c r="S889" t="str">
        <f>IFERROR(IF(OR(HLOOKUP($A889,#REF!,17,FALSE)&gt;2,HLOOKUP($A889,#REF!,17,FALSE)&lt;-2),"",#REF!),"")</f>
        <v/>
      </c>
      <c r="T889" t="str">
        <f>IFERROR(IF(OR(HLOOKUP($A889,#REF!,18,FALSE)&gt;2,HLOOKUP($A889,#REF!,18,FALSE)&lt;-2),"",#REF!),"")</f>
        <v/>
      </c>
      <c r="U889" t="str">
        <f>IFERROR(IF(OR(HLOOKUP($A889,#REF!,19,FALSE)&gt;2,HLOOKUP($A889,#REF!,19,FALSE)&lt;-2),"",#REF!),"")</f>
        <v/>
      </c>
      <c r="V889">
        <f t="shared" si="52"/>
        <v>1</v>
      </c>
      <c r="W889" t="str">
        <f t="shared" si="53"/>
        <v/>
      </c>
      <c r="X889" t="str">
        <f t="shared" si="54"/>
        <v/>
      </c>
      <c r="Y889" t="str">
        <f t="shared" si="55"/>
        <v/>
      </c>
    </row>
    <row r="890" spans="1:25" x14ac:dyDescent="0.35">
      <c r="A890">
        <v>898</v>
      </c>
      <c r="B890" t="s">
        <v>433</v>
      </c>
      <c r="C890">
        <v>87400</v>
      </c>
      <c r="D890">
        <v>987</v>
      </c>
      <c r="E890" t="str">
        <f>IFERROR(IF(OR(HLOOKUP($A890,#REF!,3,FALSE)&gt;2,HLOOKUP(A890,#REF!,3,FALSE)&lt;-2),"",#REF!),"")</f>
        <v/>
      </c>
      <c r="F890" t="str">
        <f>IFERROR(IF(OR(HLOOKUP($A890,#REF!,4,FALSE)&gt;2,HLOOKUP($A890,#REF!,4,FALSE)&lt;-2),"",#REF!),"")</f>
        <v/>
      </c>
      <c r="G890" t="str">
        <f>IFERROR(IF(OR(HLOOKUP($A890,#REF!,5,FALSE)&gt;2,HLOOKUP($A890,#REF!,5,FALSE)&lt;-2),"",#REF!),"")</f>
        <v/>
      </c>
      <c r="H890" t="str">
        <f>IFERROR(IF(OR(HLOOKUP($A890,#REF!,6,FALSE)&gt;2,HLOOKUP($A890,#REF!,6,FALSE)&lt;-2),"",#REF!),"")</f>
        <v/>
      </c>
      <c r="I890" t="str">
        <f>IFERROR(IF(OR(HLOOKUP($A890,#REF!,7,FALSE)&gt;2,HLOOKUP($A890,#REF!,7,FALSE)&lt;-2),"",#REF!),"")</f>
        <v/>
      </c>
      <c r="J890" t="str">
        <f>IFERROR(IF(OR(HLOOKUP($A890,#REF!,8,FALSE)&gt;2,HLOOKUP($A890,#REF!,8,FALSE)&lt;-2),"",#REF!),"")</f>
        <v/>
      </c>
      <c r="K890" t="str">
        <f>IFERROR(IF(OR(HLOOKUP($A890,#REF!,9,FALSE)&gt;2,HLOOKUP($A890,#REF!,9,FALSE)&lt;-2),"",#REF!),"")</f>
        <v/>
      </c>
      <c r="L890" t="str">
        <f>IFERROR(IF(OR(HLOOKUP($A890,#REF!,10,FALSE)&gt;2,HLOOKUP($A890,#REF!,10,FALSE)&lt;-2),"",#REF!),"")</f>
        <v/>
      </c>
      <c r="M890" t="str">
        <f>IFERROR(IF(OR(HLOOKUP($A890,#REF!,11,FALSE)&gt;2,HLOOKUP($A890,#REF!,11,FALSE)&lt;-2),"",#REF!),"")</f>
        <v/>
      </c>
      <c r="N890" t="str">
        <f>IFERROR(IF(OR(HLOOKUP($A890,#REF!,12,FALSE)&gt;2,HLOOKUP($A890,#REF!,12,FALSE)&lt;-2),"",#REF!),"")</f>
        <v/>
      </c>
      <c r="O890" t="str">
        <f>IFERROR(IF(OR(HLOOKUP($A890,#REF!,13,FALSE)&gt;2,HLOOKUP($A890,#REF!,13,FALSE)&lt;-2),"",#REF!),"")</f>
        <v/>
      </c>
      <c r="P890" t="str">
        <f>IFERROR(IF(OR(HLOOKUP($A890,#REF!,14,FALSE)&gt;2,HLOOKUP($A890,#REF!,14,FALSE)&lt;-2),"",#REF!),"")</f>
        <v/>
      </c>
      <c r="Q890" t="str">
        <f>IFERROR(IF(OR(HLOOKUP($A890,#REF!,15,FALSE)&gt;2,HLOOKUP($A890,#REF!,15,FALSE)&lt;-2),"",#REF!),"")</f>
        <v/>
      </c>
      <c r="R890" t="str">
        <f>IFERROR(IF(OR(HLOOKUP($A890,#REF!,16,FALSE)&gt;2,HLOOKUP($A890,#REF!,16,FALSE)&lt;-2),"",#REF!),"")</f>
        <v/>
      </c>
      <c r="S890" t="str">
        <f>IFERROR(IF(OR(HLOOKUP($A890,#REF!,17,FALSE)&gt;2,HLOOKUP($A890,#REF!,17,FALSE)&lt;-2),"",#REF!),"")</f>
        <v/>
      </c>
      <c r="T890" t="str">
        <f>IFERROR(IF(OR(HLOOKUP($A890,#REF!,18,FALSE)&gt;2,HLOOKUP($A890,#REF!,18,FALSE)&lt;-2),"",#REF!),"")</f>
        <v/>
      </c>
      <c r="U890" t="str">
        <f>IFERROR(IF(OR(HLOOKUP($A890,#REF!,19,FALSE)&gt;2,HLOOKUP($A890,#REF!,19,FALSE)&lt;-2),"",#REF!),"")</f>
        <v/>
      </c>
      <c r="V890">
        <f t="shared" si="52"/>
        <v>1</v>
      </c>
      <c r="W890" t="str">
        <f t="shared" si="53"/>
        <v/>
      </c>
      <c r="X890" t="str">
        <f t="shared" si="54"/>
        <v/>
      </c>
      <c r="Y890" t="str">
        <f t="shared" si="55"/>
        <v/>
      </c>
    </row>
    <row r="891" spans="1:25" x14ac:dyDescent="0.35">
      <c r="A891">
        <v>899</v>
      </c>
      <c r="B891" t="s">
        <v>1060</v>
      </c>
      <c r="C891">
        <v>86300</v>
      </c>
      <c r="D891">
        <v>890</v>
      </c>
      <c r="E891" t="str">
        <f>IFERROR(IF(OR(HLOOKUP($A891,#REF!,3,FALSE)&gt;2,HLOOKUP(A891,#REF!,3,FALSE)&lt;-2),"",#REF!),"")</f>
        <v/>
      </c>
      <c r="F891" t="str">
        <f>IFERROR(IF(OR(HLOOKUP($A891,#REF!,4,FALSE)&gt;2,HLOOKUP($A891,#REF!,4,FALSE)&lt;-2),"",#REF!),"")</f>
        <v/>
      </c>
      <c r="G891" t="str">
        <f>IFERROR(IF(OR(HLOOKUP($A891,#REF!,5,FALSE)&gt;2,HLOOKUP($A891,#REF!,5,FALSE)&lt;-2),"",#REF!),"")</f>
        <v/>
      </c>
      <c r="H891" t="str">
        <f>IFERROR(IF(OR(HLOOKUP($A891,#REF!,6,FALSE)&gt;2,HLOOKUP($A891,#REF!,6,FALSE)&lt;-2),"",#REF!),"")</f>
        <v/>
      </c>
      <c r="I891" t="str">
        <f>IFERROR(IF(OR(HLOOKUP($A891,#REF!,7,FALSE)&gt;2,HLOOKUP($A891,#REF!,7,FALSE)&lt;-2),"",#REF!),"")</f>
        <v/>
      </c>
      <c r="J891" t="str">
        <f>IFERROR(IF(OR(HLOOKUP($A891,#REF!,8,FALSE)&gt;2,HLOOKUP($A891,#REF!,8,FALSE)&lt;-2),"",#REF!),"")</f>
        <v/>
      </c>
      <c r="K891" t="str">
        <f>IFERROR(IF(OR(HLOOKUP($A891,#REF!,9,FALSE)&gt;2,HLOOKUP($A891,#REF!,9,FALSE)&lt;-2),"",#REF!),"")</f>
        <v/>
      </c>
      <c r="L891" t="str">
        <f>IFERROR(IF(OR(HLOOKUP($A891,#REF!,10,FALSE)&gt;2,HLOOKUP($A891,#REF!,10,FALSE)&lt;-2),"",#REF!),"")</f>
        <v/>
      </c>
      <c r="M891" t="str">
        <f>IFERROR(IF(OR(HLOOKUP($A891,#REF!,11,FALSE)&gt;2,HLOOKUP($A891,#REF!,11,FALSE)&lt;-2),"",#REF!),"")</f>
        <v/>
      </c>
      <c r="N891" t="str">
        <f>IFERROR(IF(OR(HLOOKUP($A891,#REF!,12,FALSE)&gt;2,HLOOKUP($A891,#REF!,12,FALSE)&lt;-2),"",#REF!),"")</f>
        <v/>
      </c>
      <c r="O891" t="str">
        <f>IFERROR(IF(OR(HLOOKUP($A891,#REF!,13,FALSE)&gt;2,HLOOKUP($A891,#REF!,13,FALSE)&lt;-2),"",#REF!),"")</f>
        <v/>
      </c>
      <c r="P891" t="str">
        <f>IFERROR(IF(OR(HLOOKUP($A891,#REF!,14,FALSE)&gt;2,HLOOKUP($A891,#REF!,14,FALSE)&lt;-2),"",#REF!),"")</f>
        <v/>
      </c>
      <c r="Q891" t="str">
        <f>IFERROR(IF(OR(HLOOKUP($A891,#REF!,15,FALSE)&gt;2,HLOOKUP($A891,#REF!,15,FALSE)&lt;-2),"",#REF!),"")</f>
        <v/>
      </c>
      <c r="R891" t="str">
        <f>IFERROR(IF(OR(HLOOKUP($A891,#REF!,16,FALSE)&gt;2,HLOOKUP($A891,#REF!,16,FALSE)&lt;-2),"",#REF!),"")</f>
        <v/>
      </c>
      <c r="S891" t="str">
        <f>IFERROR(IF(OR(HLOOKUP($A891,#REF!,17,FALSE)&gt;2,HLOOKUP($A891,#REF!,17,FALSE)&lt;-2),"",#REF!),"")</f>
        <v/>
      </c>
      <c r="T891" t="str">
        <f>IFERROR(IF(OR(HLOOKUP($A891,#REF!,18,FALSE)&gt;2,HLOOKUP($A891,#REF!,18,FALSE)&lt;-2),"",#REF!),"")</f>
        <v/>
      </c>
      <c r="U891" t="str">
        <f>IFERROR(IF(OR(HLOOKUP($A891,#REF!,19,FALSE)&gt;2,HLOOKUP($A891,#REF!,19,FALSE)&lt;-2),"",#REF!),"")</f>
        <v/>
      </c>
      <c r="V891">
        <f t="shared" si="52"/>
        <v>1</v>
      </c>
      <c r="W891" t="str">
        <f t="shared" si="53"/>
        <v/>
      </c>
      <c r="X891" t="str">
        <f t="shared" si="54"/>
        <v/>
      </c>
      <c r="Y891" t="str">
        <f t="shared" si="55"/>
        <v/>
      </c>
    </row>
    <row r="892" spans="1:25" x14ac:dyDescent="0.35">
      <c r="A892">
        <v>900</v>
      </c>
      <c r="B892" t="s">
        <v>434</v>
      </c>
      <c r="C892">
        <v>98200</v>
      </c>
      <c r="D892">
        <v>840</v>
      </c>
      <c r="E892" t="str">
        <f>IFERROR(IF(OR(HLOOKUP($A892,#REF!,3,FALSE)&gt;2,HLOOKUP(A892,#REF!,3,FALSE)&lt;-2),"",#REF!),"")</f>
        <v/>
      </c>
      <c r="F892" t="str">
        <f>IFERROR(IF(OR(HLOOKUP($A892,#REF!,4,FALSE)&gt;2,HLOOKUP($A892,#REF!,4,FALSE)&lt;-2),"",#REF!),"")</f>
        <v/>
      </c>
      <c r="G892" t="str">
        <f>IFERROR(IF(OR(HLOOKUP($A892,#REF!,5,FALSE)&gt;2,HLOOKUP($A892,#REF!,5,FALSE)&lt;-2),"",#REF!),"")</f>
        <v/>
      </c>
      <c r="H892" t="str">
        <f>IFERROR(IF(OR(HLOOKUP($A892,#REF!,6,FALSE)&gt;2,HLOOKUP($A892,#REF!,6,FALSE)&lt;-2),"",#REF!),"")</f>
        <v/>
      </c>
      <c r="I892" t="str">
        <f>IFERROR(IF(OR(HLOOKUP($A892,#REF!,7,FALSE)&gt;2,HLOOKUP($A892,#REF!,7,FALSE)&lt;-2),"",#REF!),"")</f>
        <v/>
      </c>
      <c r="J892" t="str">
        <f>IFERROR(IF(OR(HLOOKUP($A892,#REF!,8,FALSE)&gt;2,HLOOKUP($A892,#REF!,8,FALSE)&lt;-2),"",#REF!),"")</f>
        <v/>
      </c>
      <c r="K892" t="str">
        <f>IFERROR(IF(OR(HLOOKUP($A892,#REF!,9,FALSE)&gt;2,HLOOKUP($A892,#REF!,9,FALSE)&lt;-2),"",#REF!),"")</f>
        <v/>
      </c>
      <c r="L892" t="str">
        <f>IFERROR(IF(OR(HLOOKUP($A892,#REF!,10,FALSE)&gt;2,HLOOKUP($A892,#REF!,10,FALSE)&lt;-2),"",#REF!),"")</f>
        <v/>
      </c>
      <c r="M892" t="str">
        <f>IFERROR(IF(OR(HLOOKUP($A892,#REF!,11,FALSE)&gt;2,HLOOKUP($A892,#REF!,11,FALSE)&lt;-2),"",#REF!),"")</f>
        <v/>
      </c>
      <c r="N892" t="str">
        <f>IFERROR(IF(OR(HLOOKUP($A892,#REF!,12,FALSE)&gt;2,HLOOKUP($A892,#REF!,12,FALSE)&lt;-2),"",#REF!),"")</f>
        <v/>
      </c>
      <c r="O892" t="str">
        <f>IFERROR(IF(OR(HLOOKUP($A892,#REF!,13,FALSE)&gt;2,HLOOKUP($A892,#REF!,13,FALSE)&lt;-2),"",#REF!),"")</f>
        <v/>
      </c>
      <c r="P892" t="str">
        <f>IFERROR(IF(OR(HLOOKUP($A892,#REF!,14,FALSE)&gt;2,HLOOKUP($A892,#REF!,14,FALSE)&lt;-2),"",#REF!),"")</f>
        <v/>
      </c>
      <c r="Q892" t="str">
        <f>IFERROR(IF(OR(HLOOKUP($A892,#REF!,15,FALSE)&gt;2,HLOOKUP($A892,#REF!,15,FALSE)&lt;-2),"",#REF!),"")</f>
        <v/>
      </c>
      <c r="R892" t="str">
        <f>IFERROR(IF(OR(HLOOKUP($A892,#REF!,16,FALSE)&gt;2,HLOOKUP($A892,#REF!,16,FALSE)&lt;-2),"",#REF!),"")</f>
        <v/>
      </c>
      <c r="S892" t="str">
        <f>IFERROR(IF(OR(HLOOKUP($A892,#REF!,17,FALSE)&gt;2,HLOOKUP($A892,#REF!,17,FALSE)&lt;-2),"",#REF!),"")</f>
        <v/>
      </c>
      <c r="T892" t="str">
        <f>IFERROR(IF(OR(HLOOKUP($A892,#REF!,18,FALSE)&gt;2,HLOOKUP($A892,#REF!,18,FALSE)&lt;-2),"",#REF!),"")</f>
        <v/>
      </c>
      <c r="U892" t="str">
        <f>IFERROR(IF(OR(HLOOKUP($A892,#REF!,19,FALSE)&gt;2,HLOOKUP($A892,#REF!,19,FALSE)&lt;-2),"",#REF!),"")</f>
        <v/>
      </c>
      <c r="V892">
        <f t="shared" si="52"/>
        <v>1</v>
      </c>
      <c r="W892" t="str">
        <f t="shared" si="53"/>
        <v/>
      </c>
      <c r="X892" t="str">
        <f t="shared" si="54"/>
        <v/>
      </c>
      <c r="Y892" t="str">
        <f t="shared" si="55"/>
        <v/>
      </c>
    </row>
    <row r="893" spans="1:25" x14ac:dyDescent="0.35">
      <c r="A893">
        <v>901</v>
      </c>
      <c r="B893" t="s">
        <v>1061</v>
      </c>
      <c r="C893">
        <v>99600</v>
      </c>
      <c r="D893">
        <v>967</v>
      </c>
      <c r="E893" t="str">
        <f>IFERROR(IF(OR(HLOOKUP($A893,#REF!,3,FALSE)&gt;2,HLOOKUP(A893,#REF!,3,FALSE)&lt;-2),"",#REF!),"")</f>
        <v/>
      </c>
      <c r="F893" t="str">
        <f>IFERROR(IF(OR(HLOOKUP($A893,#REF!,4,FALSE)&gt;2,HLOOKUP($A893,#REF!,4,FALSE)&lt;-2),"",#REF!),"")</f>
        <v/>
      </c>
      <c r="G893" t="str">
        <f>IFERROR(IF(OR(HLOOKUP($A893,#REF!,5,FALSE)&gt;2,HLOOKUP($A893,#REF!,5,FALSE)&lt;-2),"",#REF!),"")</f>
        <v/>
      </c>
      <c r="H893" t="str">
        <f>IFERROR(IF(OR(HLOOKUP($A893,#REF!,6,FALSE)&gt;2,HLOOKUP($A893,#REF!,6,FALSE)&lt;-2),"",#REF!),"")</f>
        <v/>
      </c>
      <c r="I893" t="str">
        <f>IFERROR(IF(OR(HLOOKUP($A893,#REF!,7,FALSE)&gt;2,HLOOKUP($A893,#REF!,7,FALSE)&lt;-2),"",#REF!),"")</f>
        <v/>
      </c>
      <c r="J893" t="str">
        <f>IFERROR(IF(OR(HLOOKUP($A893,#REF!,8,FALSE)&gt;2,HLOOKUP($A893,#REF!,8,FALSE)&lt;-2),"",#REF!),"")</f>
        <v/>
      </c>
      <c r="K893" t="str">
        <f>IFERROR(IF(OR(HLOOKUP($A893,#REF!,9,FALSE)&gt;2,HLOOKUP($A893,#REF!,9,FALSE)&lt;-2),"",#REF!),"")</f>
        <v/>
      </c>
      <c r="L893" t="str">
        <f>IFERROR(IF(OR(HLOOKUP($A893,#REF!,10,FALSE)&gt;2,HLOOKUP($A893,#REF!,10,FALSE)&lt;-2),"",#REF!),"")</f>
        <v/>
      </c>
      <c r="M893" t="str">
        <f>IFERROR(IF(OR(HLOOKUP($A893,#REF!,11,FALSE)&gt;2,HLOOKUP($A893,#REF!,11,FALSE)&lt;-2),"",#REF!),"")</f>
        <v/>
      </c>
      <c r="N893" t="str">
        <f>IFERROR(IF(OR(HLOOKUP($A893,#REF!,12,FALSE)&gt;2,HLOOKUP($A893,#REF!,12,FALSE)&lt;-2),"",#REF!),"")</f>
        <v/>
      </c>
      <c r="O893" t="str">
        <f>IFERROR(IF(OR(HLOOKUP($A893,#REF!,13,FALSE)&gt;2,HLOOKUP($A893,#REF!,13,FALSE)&lt;-2),"",#REF!),"")</f>
        <v/>
      </c>
      <c r="P893" t="str">
        <f>IFERROR(IF(OR(HLOOKUP($A893,#REF!,14,FALSE)&gt;2,HLOOKUP($A893,#REF!,14,FALSE)&lt;-2),"",#REF!),"")</f>
        <v/>
      </c>
      <c r="Q893" t="str">
        <f>IFERROR(IF(OR(HLOOKUP($A893,#REF!,15,FALSE)&gt;2,HLOOKUP($A893,#REF!,15,FALSE)&lt;-2),"",#REF!),"")</f>
        <v/>
      </c>
      <c r="R893" t="str">
        <f>IFERROR(IF(OR(HLOOKUP($A893,#REF!,16,FALSE)&gt;2,HLOOKUP($A893,#REF!,16,FALSE)&lt;-2),"",#REF!),"")</f>
        <v/>
      </c>
      <c r="S893" t="str">
        <f>IFERROR(IF(OR(HLOOKUP($A893,#REF!,17,FALSE)&gt;2,HLOOKUP($A893,#REF!,17,FALSE)&lt;-2),"",#REF!),"")</f>
        <v/>
      </c>
      <c r="T893" t="str">
        <f>IFERROR(IF(OR(HLOOKUP($A893,#REF!,18,FALSE)&gt;2,HLOOKUP($A893,#REF!,18,FALSE)&lt;-2),"",#REF!),"")</f>
        <v/>
      </c>
      <c r="U893" t="str">
        <f>IFERROR(IF(OR(HLOOKUP($A893,#REF!,19,FALSE)&gt;2,HLOOKUP($A893,#REF!,19,FALSE)&lt;-2),"",#REF!),"")</f>
        <v/>
      </c>
      <c r="V893">
        <f t="shared" si="52"/>
        <v>1</v>
      </c>
      <c r="W893" t="str">
        <f t="shared" si="53"/>
        <v/>
      </c>
      <c r="X893" t="str">
        <f t="shared" si="54"/>
        <v/>
      </c>
      <c r="Y893" t="str">
        <f t="shared" si="55"/>
        <v/>
      </c>
    </row>
    <row r="894" spans="1:25" x14ac:dyDescent="0.35">
      <c r="A894">
        <v>902</v>
      </c>
      <c r="B894" t="s">
        <v>435</v>
      </c>
      <c r="C894">
        <v>17300</v>
      </c>
      <c r="D894">
        <v>425</v>
      </c>
      <c r="E894" t="str">
        <f>IFERROR(IF(OR(HLOOKUP($A894,#REF!,3,FALSE)&gt;2,HLOOKUP(A894,#REF!,3,FALSE)&lt;-2),"",#REF!),"")</f>
        <v/>
      </c>
      <c r="F894" t="str">
        <f>IFERROR(IF(OR(HLOOKUP($A894,#REF!,4,FALSE)&gt;2,HLOOKUP($A894,#REF!,4,FALSE)&lt;-2),"",#REF!),"")</f>
        <v/>
      </c>
      <c r="G894" t="str">
        <f>IFERROR(IF(OR(HLOOKUP($A894,#REF!,5,FALSE)&gt;2,HLOOKUP($A894,#REF!,5,FALSE)&lt;-2),"",#REF!),"")</f>
        <v/>
      </c>
      <c r="H894" t="str">
        <f>IFERROR(IF(OR(HLOOKUP($A894,#REF!,6,FALSE)&gt;2,HLOOKUP($A894,#REF!,6,FALSE)&lt;-2),"",#REF!),"")</f>
        <v/>
      </c>
      <c r="I894" t="str">
        <f>IFERROR(IF(OR(HLOOKUP($A894,#REF!,7,FALSE)&gt;2,HLOOKUP($A894,#REF!,7,FALSE)&lt;-2),"",#REF!),"")</f>
        <v/>
      </c>
      <c r="J894" t="str">
        <f>IFERROR(IF(OR(HLOOKUP($A894,#REF!,8,FALSE)&gt;2,HLOOKUP($A894,#REF!,8,FALSE)&lt;-2),"",#REF!),"")</f>
        <v/>
      </c>
      <c r="K894" t="str">
        <f>IFERROR(IF(OR(HLOOKUP($A894,#REF!,9,FALSE)&gt;2,HLOOKUP($A894,#REF!,9,FALSE)&lt;-2),"",#REF!),"")</f>
        <v/>
      </c>
      <c r="L894" t="str">
        <f>IFERROR(IF(OR(HLOOKUP($A894,#REF!,10,FALSE)&gt;2,HLOOKUP($A894,#REF!,10,FALSE)&lt;-2),"",#REF!),"")</f>
        <v/>
      </c>
      <c r="M894" t="str">
        <f>IFERROR(IF(OR(HLOOKUP($A894,#REF!,11,FALSE)&gt;2,HLOOKUP($A894,#REF!,11,FALSE)&lt;-2),"",#REF!),"")</f>
        <v/>
      </c>
      <c r="N894" t="str">
        <f>IFERROR(IF(OR(HLOOKUP($A894,#REF!,12,FALSE)&gt;2,HLOOKUP($A894,#REF!,12,FALSE)&lt;-2),"",#REF!),"")</f>
        <v/>
      </c>
      <c r="O894" t="str">
        <f>IFERROR(IF(OR(HLOOKUP($A894,#REF!,13,FALSE)&gt;2,HLOOKUP($A894,#REF!,13,FALSE)&lt;-2),"",#REF!),"")</f>
        <v/>
      </c>
      <c r="P894" t="str">
        <f>IFERROR(IF(OR(HLOOKUP($A894,#REF!,14,FALSE)&gt;2,HLOOKUP($A894,#REF!,14,FALSE)&lt;-2),"",#REF!),"")</f>
        <v/>
      </c>
      <c r="Q894" t="str">
        <f>IFERROR(IF(OR(HLOOKUP($A894,#REF!,15,FALSE)&gt;2,HLOOKUP($A894,#REF!,15,FALSE)&lt;-2),"",#REF!),"")</f>
        <v/>
      </c>
      <c r="R894" t="str">
        <f>IFERROR(IF(OR(HLOOKUP($A894,#REF!,16,FALSE)&gt;2,HLOOKUP($A894,#REF!,16,FALSE)&lt;-2),"",#REF!),"")</f>
        <v/>
      </c>
      <c r="S894" t="str">
        <f>IFERROR(IF(OR(HLOOKUP($A894,#REF!,17,FALSE)&gt;2,HLOOKUP($A894,#REF!,17,FALSE)&lt;-2),"",#REF!),"")</f>
        <v/>
      </c>
      <c r="T894" t="str">
        <f>IFERROR(IF(OR(HLOOKUP($A894,#REF!,18,FALSE)&gt;2,HLOOKUP($A894,#REF!,18,FALSE)&lt;-2),"",#REF!),"")</f>
        <v/>
      </c>
      <c r="U894" t="str">
        <f>IFERROR(IF(OR(HLOOKUP($A894,#REF!,19,FALSE)&gt;2,HLOOKUP($A894,#REF!,19,FALSE)&lt;-2),"",#REF!),"")</f>
        <v/>
      </c>
      <c r="V894">
        <f t="shared" si="52"/>
        <v>1</v>
      </c>
      <c r="W894" t="str">
        <f t="shared" si="53"/>
        <v/>
      </c>
      <c r="X894" t="str">
        <f t="shared" si="54"/>
        <v/>
      </c>
      <c r="Y894" t="str">
        <f t="shared" si="55"/>
        <v/>
      </c>
    </row>
    <row r="895" spans="1:25" x14ac:dyDescent="0.35">
      <c r="A895">
        <v>903</v>
      </c>
      <c r="B895" t="s">
        <v>436</v>
      </c>
      <c r="C895">
        <v>90500</v>
      </c>
      <c r="D895">
        <v>386</v>
      </c>
      <c r="E895" t="str">
        <f>IFERROR(IF(OR(HLOOKUP($A895,#REF!,3,FALSE)&gt;2,HLOOKUP(A895,#REF!,3,FALSE)&lt;-2),"",#REF!),"")</f>
        <v/>
      </c>
      <c r="F895" t="str">
        <f>IFERROR(IF(OR(HLOOKUP($A895,#REF!,4,FALSE)&gt;2,HLOOKUP($A895,#REF!,4,FALSE)&lt;-2),"",#REF!),"")</f>
        <v/>
      </c>
      <c r="G895" t="str">
        <f>IFERROR(IF(OR(HLOOKUP($A895,#REF!,5,FALSE)&gt;2,HLOOKUP($A895,#REF!,5,FALSE)&lt;-2),"",#REF!),"")</f>
        <v/>
      </c>
      <c r="H895" t="str">
        <f>IFERROR(IF(OR(HLOOKUP($A895,#REF!,6,FALSE)&gt;2,HLOOKUP($A895,#REF!,6,FALSE)&lt;-2),"",#REF!),"")</f>
        <v/>
      </c>
      <c r="I895" t="str">
        <f>IFERROR(IF(OR(HLOOKUP($A895,#REF!,7,FALSE)&gt;2,HLOOKUP($A895,#REF!,7,FALSE)&lt;-2),"",#REF!),"")</f>
        <v/>
      </c>
      <c r="J895" t="str">
        <f>IFERROR(IF(OR(HLOOKUP($A895,#REF!,8,FALSE)&gt;2,HLOOKUP($A895,#REF!,8,FALSE)&lt;-2),"",#REF!),"")</f>
        <v/>
      </c>
      <c r="K895" t="str">
        <f>IFERROR(IF(OR(HLOOKUP($A895,#REF!,9,FALSE)&gt;2,HLOOKUP($A895,#REF!,9,FALSE)&lt;-2),"",#REF!),"")</f>
        <v/>
      </c>
      <c r="L895" t="str">
        <f>IFERROR(IF(OR(HLOOKUP($A895,#REF!,10,FALSE)&gt;2,HLOOKUP($A895,#REF!,10,FALSE)&lt;-2),"",#REF!),"")</f>
        <v/>
      </c>
      <c r="M895" t="str">
        <f>IFERROR(IF(OR(HLOOKUP($A895,#REF!,11,FALSE)&gt;2,HLOOKUP($A895,#REF!,11,FALSE)&lt;-2),"",#REF!),"")</f>
        <v/>
      </c>
      <c r="N895" t="str">
        <f>IFERROR(IF(OR(HLOOKUP($A895,#REF!,12,FALSE)&gt;2,HLOOKUP($A895,#REF!,12,FALSE)&lt;-2),"",#REF!),"")</f>
        <v/>
      </c>
      <c r="O895" t="str">
        <f>IFERROR(IF(OR(HLOOKUP($A895,#REF!,13,FALSE)&gt;2,HLOOKUP($A895,#REF!,13,FALSE)&lt;-2),"",#REF!),"")</f>
        <v/>
      </c>
      <c r="P895" t="str">
        <f>IFERROR(IF(OR(HLOOKUP($A895,#REF!,14,FALSE)&gt;2,HLOOKUP($A895,#REF!,14,FALSE)&lt;-2),"",#REF!),"")</f>
        <v/>
      </c>
      <c r="Q895" t="str">
        <f>IFERROR(IF(OR(HLOOKUP($A895,#REF!,15,FALSE)&gt;2,HLOOKUP($A895,#REF!,15,FALSE)&lt;-2),"",#REF!),"")</f>
        <v/>
      </c>
      <c r="R895" t="str">
        <f>IFERROR(IF(OR(HLOOKUP($A895,#REF!,16,FALSE)&gt;2,HLOOKUP($A895,#REF!,16,FALSE)&lt;-2),"",#REF!),"")</f>
        <v/>
      </c>
      <c r="S895" t="str">
        <f>IFERROR(IF(OR(HLOOKUP($A895,#REF!,17,FALSE)&gt;2,HLOOKUP($A895,#REF!,17,FALSE)&lt;-2),"",#REF!),"")</f>
        <v/>
      </c>
      <c r="T895" t="str">
        <f>IFERROR(IF(OR(HLOOKUP($A895,#REF!,18,FALSE)&gt;2,HLOOKUP($A895,#REF!,18,FALSE)&lt;-2),"",#REF!),"")</f>
        <v/>
      </c>
      <c r="U895" t="str">
        <f>IFERROR(IF(OR(HLOOKUP($A895,#REF!,19,FALSE)&gt;2,HLOOKUP($A895,#REF!,19,FALSE)&lt;-2),"",#REF!),"")</f>
        <v/>
      </c>
      <c r="V895">
        <f t="shared" si="52"/>
        <v>1</v>
      </c>
      <c r="W895" t="str">
        <f t="shared" si="53"/>
        <v/>
      </c>
      <c r="X895" t="str">
        <f t="shared" si="54"/>
        <v/>
      </c>
      <c r="Y895" t="str">
        <f t="shared" si="55"/>
        <v/>
      </c>
    </row>
    <row r="896" spans="1:25" x14ac:dyDescent="0.35">
      <c r="A896">
        <v>904</v>
      </c>
      <c r="B896" t="s">
        <v>1062</v>
      </c>
      <c r="C896">
        <v>52400</v>
      </c>
      <c r="D896">
        <v>826</v>
      </c>
      <c r="E896" t="str">
        <f>IFERROR(IF(OR(HLOOKUP($A896,#REF!,3,FALSE)&gt;2,HLOOKUP(A896,#REF!,3,FALSE)&lt;-2),"",#REF!),"")</f>
        <v/>
      </c>
      <c r="F896" t="str">
        <f>IFERROR(IF(OR(HLOOKUP($A896,#REF!,4,FALSE)&gt;2,HLOOKUP($A896,#REF!,4,FALSE)&lt;-2),"",#REF!),"")</f>
        <v/>
      </c>
      <c r="G896" t="str">
        <f>IFERROR(IF(OR(HLOOKUP($A896,#REF!,5,FALSE)&gt;2,HLOOKUP($A896,#REF!,5,FALSE)&lt;-2),"",#REF!),"")</f>
        <v/>
      </c>
      <c r="H896" t="str">
        <f>IFERROR(IF(OR(HLOOKUP($A896,#REF!,6,FALSE)&gt;2,HLOOKUP($A896,#REF!,6,FALSE)&lt;-2),"",#REF!),"")</f>
        <v/>
      </c>
      <c r="I896" t="str">
        <f>IFERROR(IF(OR(HLOOKUP($A896,#REF!,7,FALSE)&gt;2,HLOOKUP($A896,#REF!,7,FALSE)&lt;-2),"",#REF!),"")</f>
        <v/>
      </c>
      <c r="J896" t="str">
        <f>IFERROR(IF(OR(HLOOKUP($A896,#REF!,8,FALSE)&gt;2,HLOOKUP($A896,#REF!,8,FALSE)&lt;-2),"",#REF!),"")</f>
        <v/>
      </c>
      <c r="K896" t="str">
        <f>IFERROR(IF(OR(HLOOKUP($A896,#REF!,9,FALSE)&gt;2,HLOOKUP($A896,#REF!,9,FALSE)&lt;-2),"",#REF!),"")</f>
        <v/>
      </c>
      <c r="L896" t="str">
        <f>IFERROR(IF(OR(HLOOKUP($A896,#REF!,10,FALSE)&gt;2,HLOOKUP($A896,#REF!,10,FALSE)&lt;-2),"",#REF!),"")</f>
        <v/>
      </c>
      <c r="M896" t="str">
        <f>IFERROR(IF(OR(HLOOKUP($A896,#REF!,11,FALSE)&gt;2,HLOOKUP($A896,#REF!,11,FALSE)&lt;-2),"",#REF!),"")</f>
        <v/>
      </c>
      <c r="N896" t="str">
        <f>IFERROR(IF(OR(HLOOKUP($A896,#REF!,12,FALSE)&gt;2,HLOOKUP($A896,#REF!,12,FALSE)&lt;-2),"",#REF!),"")</f>
        <v/>
      </c>
      <c r="O896" t="str">
        <f>IFERROR(IF(OR(HLOOKUP($A896,#REF!,13,FALSE)&gt;2,HLOOKUP($A896,#REF!,13,FALSE)&lt;-2),"",#REF!),"")</f>
        <v/>
      </c>
      <c r="P896" t="str">
        <f>IFERROR(IF(OR(HLOOKUP($A896,#REF!,14,FALSE)&gt;2,HLOOKUP($A896,#REF!,14,FALSE)&lt;-2),"",#REF!),"")</f>
        <v/>
      </c>
      <c r="Q896" t="str">
        <f>IFERROR(IF(OR(HLOOKUP($A896,#REF!,15,FALSE)&gt;2,HLOOKUP($A896,#REF!,15,FALSE)&lt;-2),"",#REF!),"")</f>
        <v/>
      </c>
      <c r="R896" t="str">
        <f>IFERROR(IF(OR(HLOOKUP($A896,#REF!,16,FALSE)&gt;2,HLOOKUP($A896,#REF!,16,FALSE)&lt;-2),"",#REF!),"")</f>
        <v/>
      </c>
      <c r="S896" t="str">
        <f>IFERROR(IF(OR(HLOOKUP($A896,#REF!,17,FALSE)&gt;2,HLOOKUP($A896,#REF!,17,FALSE)&lt;-2),"",#REF!),"")</f>
        <v/>
      </c>
      <c r="T896" t="str">
        <f>IFERROR(IF(OR(HLOOKUP($A896,#REF!,18,FALSE)&gt;2,HLOOKUP($A896,#REF!,18,FALSE)&lt;-2),"",#REF!),"")</f>
        <v/>
      </c>
      <c r="U896" t="str">
        <f>IFERROR(IF(OR(HLOOKUP($A896,#REF!,19,FALSE)&gt;2,HLOOKUP($A896,#REF!,19,FALSE)&lt;-2),"",#REF!),"")</f>
        <v/>
      </c>
      <c r="V896">
        <f t="shared" si="52"/>
        <v>1</v>
      </c>
      <c r="W896" t="str">
        <f t="shared" si="53"/>
        <v/>
      </c>
      <c r="X896" t="str">
        <f t="shared" si="54"/>
        <v/>
      </c>
      <c r="Y896" t="str">
        <f t="shared" si="55"/>
        <v/>
      </c>
    </row>
    <row r="897" spans="1:25" x14ac:dyDescent="0.35">
      <c r="A897">
        <v>905</v>
      </c>
      <c r="B897" t="s">
        <v>437</v>
      </c>
      <c r="C897">
        <v>14300</v>
      </c>
      <c r="D897">
        <v>402</v>
      </c>
      <c r="E897" t="str">
        <f>IFERROR(IF(OR(HLOOKUP($A897,#REF!,3,FALSE)&gt;2,HLOOKUP(A897,#REF!,3,FALSE)&lt;-2),"",#REF!),"")</f>
        <v/>
      </c>
      <c r="F897" t="str">
        <f>IFERROR(IF(OR(HLOOKUP($A897,#REF!,4,FALSE)&gt;2,HLOOKUP($A897,#REF!,4,FALSE)&lt;-2),"",#REF!),"")</f>
        <v/>
      </c>
      <c r="G897" t="str">
        <f>IFERROR(IF(OR(HLOOKUP($A897,#REF!,5,FALSE)&gt;2,HLOOKUP($A897,#REF!,5,FALSE)&lt;-2),"",#REF!),"")</f>
        <v/>
      </c>
      <c r="H897" t="str">
        <f>IFERROR(IF(OR(HLOOKUP($A897,#REF!,6,FALSE)&gt;2,HLOOKUP($A897,#REF!,6,FALSE)&lt;-2),"",#REF!),"")</f>
        <v/>
      </c>
      <c r="I897" t="str">
        <f>IFERROR(IF(OR(HLOOKUP($A897,#REF!,7,FALSE)&gt;2,HLOOKUP($A897,#REF!,7,FALSE)&lt;-2),"",#REF!),"")</f>
        <v/>
      </c>
      <c r="J897" t="str">
        <f>IFERROR(IF(OR(HLOOKUP($A897,#REF!,8,FALSE)&gt;2,HLOOKUP($A897,#REF!,8,FALSE)&lt;-2),"",#REF!),"")</f>
        <v/>
      </c>
      <c r="K897" t="str">
        <f>IFERROR(IF(OR(HLOOKUP($A897,#REF!,9,FALSE)&gt;2,HLOOKUP($A897,#REF!,9,FALSE)&lt;-2),"",#REF!),"")</f>
        <v/>
      </c>
      <c r="L897" t="str">
        <f>IFERROR(IF(OR(HLOOKUP($A897,#REF!,10,FALSE)&gt;2,HLOOKUP($A897,#REF!,10,FALSE)&lt;-2),"",#REF!),"")</f>
        <v/>
      </c>
      <c r="M897" t="str">
        <f>IFERROR(IF(OR(HLOOKUP($A897,#REF!,11,FALSE)&gt;2,HLOOKUP($A897,#REF!,11,FALSE)&lt;-2),"",#REF!),"")</f>
        <v/>
      </c>
      <c r="N897" t="str">
        <f>IFERROR(IF(OR(HLOOKUP($A897,#REF!,12,FALSE)&gt;2,HLOOKUP($A897,#REF!,12,FALSE)&lt;-2),"",#REF!),"")</f>
        <v/>
      </c>
      <c r="O897" t="str">
        <f>IFERROR(IF(OR(HLOOKUP($A897,#REF!,13,FALSE)&gt;2,HLOOKUP($A897,#REF!,13,FALSE)&lt;-2),"",#REF!),"")</f>
        <v/>
      </c>
      <c r="P897" t="str">
        <f>IFERROR(IF(OR(HLOOKUP($A897,#REF!,14,FALSE)&gt;2,HLOOKUP($A897,#REF!,14,FALSE)&lt;-2),"",#REF!),"")</f>
        <v/>
      </c>
      <c r="Q897" t="str">
        <f>IFERROR(IF(OR(HLOOKUP($A897,#REF!,15,FALSE)&gt;2,HLOOKUP($A897,#REF!,15,FALSE)&lt;-2),"",#REF!),"")</f>
        <v/>
      </c>
      <c r="R897" t="str">
        <f>IFERROR(IF(OR(HLOOKUP($A897,#REF!,16,FALSE)&gt;2,HLOOKUP($A897,#REF!,16,FALSE)&lt;-2),"",#REF!),"")</f>
        <v/>
      </c>
      <c r="S897" t="str">
        <f>IFERROR(IF(OR(HLOOKUP($A897,#REF!,17,FALSE)&gt;2,HLOOKUP($A897,#REF!,17,FALSE)&lt;-2),"",#REF!),"")</f>
        <v/>
      </c>
      <c r="T897" t="str">
        <f>IFERROR(IF(OR(HLOOKUP($A897,#REF!,18,FALSE)&gt;2,HLOOKUP($A897,#REF!,18,FALSE)&lt;-2),"",#REF!),"")</f>
        <v/>
      </c>
      <c r="U897" t="str">
        <f>IFERROR(IF(OR(HLOOKUP($A897,#REF!,19,FALSE)&gt;2,HLOOKUP($A897,#REF!,19,FALSE)&lt;-2),"",#REF!),"")</f>
        <v/>
      </c>
      <c r="V897">
        <f t="shared" si="52"/>
        <v>1</v>
      </c>
      <c r="W897" t="str">
        <f t="shared" si="53"/>
        <v/>
      </c>
      <c r="X897" t="str">
        <f t="shared" si="54"/>
        <v/>
      </c>
      <c r="Y897" t="str">
        <f t="shared" si="55"/>
        <v/>
      </c>
    </row>
    <row r="898" spans="1:25" x14ac:dyDescent="0.35">
      <c r="A898">
        <v>906</v>
      </c>
      <c r="B898" t="s">
        <v>438</v>
      </c>
      <c r="C898">
        <v>25700</v>
      </c>
      <c r="D898">
        <v>894</v>
      </c>
      <c r="E898" t="str">
        <f>IFERROR(IF(OR(HLOOKUP($A898,#REF!,3,FALSE)&gt;2,HLOOKUP(A898,#REF!,3,FALSE)&lt;-2),"",#REF!),"")</f>
        <v/>
      </c>
      <c r="F898" t="str">
        <f>IFERROR(IF(OR(HLOOKUP($A898,#REF!,4,FALSE)&gt;2,HLOOKUP($A898,#REF!,4,FALSE)&lt;-2),"",#REF!),"")</f>
        <v/>
      </c>
      <c r="G898" t="str">
        <f>IFERROR(IF(OR(HLOOKUP($A898,#REF!,5,FALSE)&gt;2,HLOOKUP($A898,#REF!,5,FALSE)&lt;-2),"",#REF!),"")</f>
        <v/>
      </c>
      <c r="H898" t="str">
        <f>IFERROR(IF(OR(HLOOKUP($A898,#REF!,6,FALSE)&gt;2,HLOOKUP($A898,#REF!,6,FALSE)&lt;-2),"",#REF!),"")</f>
        <v/>
      </c>
      <c r="I898" t="str">
        <f>IFERROR(IF(OR(HLOOKUP($A898,#REF!,7,FALSE)&gt;2,HLOOKUP($A898,#REF!,7,FALSE)&lt;-2),"",#REF!),"")</f>
        <v/>
      </c>
      <c r="J898" t="str">
        <f>IFERROR(IF(OR(HLOOKUP($A898,#REF!,8,FALSE)&gt;2,HLOOKUP($A898,#REF!,8,FALSE)&lt;-2),"",#REF!),"")</f>
        <v/>
      </c>
      <c r="K898" t="str">
        <f>IFERROR(IF(OR(HLOOKUP($A898,#REF!,9,FALSE)&gt;2,HLOOKUP($A898,#REF!,9,FALSE)&lt;-2),"",#REF!),"")</f>
        <v/>
      </c>
      <c r="L898" t="str">
        <f>IFERROR(IF(OR(HLOOKUP($A898,#REF!,10,FALSE)&gt;2,HLOOKUP($A898,#REF!,10,FALSE)&lt;-2),"",#REF!),"")</f>
        <v/>
      </c>
      <c r="M898" t="str">
        <f>IFERROR(IF(OR(HLOOKUP($A898,#REF!,11,FALSE)&gt;2,HLOOKUP($A898,#REF!,11,FALSE)&lt;-2),"",#REF!),"")</f>
        <v/>
      </c>
      <c r="N898" t="str">
        <f>IFERROR(IF(OR(HLOOKUP($A898,#REF!,12,FALSE)&gt;2,HLOOKUP($A898,#REF!,12,FALSE)&lt;-2),"",#REF!),"")</f>
        <v/>
      </c>
      <c r="O898" t="str">
        <f>IFERROR(IF(OR(HLOOKUP($A898,#REF!,13,FALSE)&gt;2,HLOOKUP($A898,#REF!,13,FALSE)&lt;-2),"",#REF!),"")</f>
        <v/>
      </c>
      <c r="P898" t="str">
        <f>IFERROR(IF(OR(HLOOKUP($A898,#REF!,14,FALSE)&gt;2,HLOOKUP($A898,#REF!,14,FALSE)&lt;-2),"",#REF!),"")</f>
        <v/>
      </c>
      <c r="Q898" t="str">
        <f>IFERROR(IF(OR(HLOOKUP($A898,#REF!,15,FALSE)&gt;2,HLOOKUP($A898,#REF!,15,FALSE)&lt;-2),"",#REF!),"")</f>
        <v/>
      </c>
      <c r="R898" t="str">
        <f>IFERROR(IF(OR(HLOOKUP($A898,#REF!,16,FALSE)&gt;2,HLOOKUP($A898,#REF!,16,FALSE)&lt;-2),"",#REF!),"")</f>
        <v/>
      </c>
      <c r="S898" t="str">
        <f>IFERROR(IF(OR(HLOOKUP($A898,#REF!,17,FALSE)&gt;2,HLOOKUP($A898,#REF!,17,FALSE)&lt;-2),"",#REF!),"")</f>
        <v/>
      </c>
      <c r="T898" t="str">
        <f>IFERROR(IF(OR(HLOOKUP($A898,#REF!,18,FALSE)&gt;2,HLOOKUP($A898,#REF!,18,FALSE)&lt;-2),"",#REF!),"")</f>
        <v/>
      </c>
      <c r="U898" t="str">
        <f>IFERROR(IF(OR(HLOOKUP($A898,#REF!,19,FALSE)&gt;2,HLOOKUP($A898,#REF!,19,FALSE)&lt;-2),"",#REF!),"")</f>
        <v/>
      </c>
      <c r="V898">
        <f t="shared" si="52"/>
        <v>1</v>
      </c>
      <c r="W898" t="str">
        <f t="shared" si="53"/>
        <v/>
      </c>
      <c r="X898" t="str">
        <f t="shared" si="54"/>
        <v/>
      </c>
      <c r="Y898" t="str">
        <f t="shared" si="55"/>
        <v/>
      </c>
    </row>
    <row r="899" spans="1:25" x14ac:dyDescent="0.35">
      <c r="A899">
        <v>907</v>
      </c>
      <c r="B899" t="s">
        <v>439</v>
      </c>
      <c r="C899">
        <v>68600</v>
      </c>
      <c r="D899">
        <v>51</v>
      </c>
      <c r="E899" t="str">
        <f>IFERROR(IF(OR(HLOOKUP($A899,#REF!,3,FALSE)&gt;2,HLOOKUP(A899,#REF!,3,FALSE)&lt;-2),"",#REF!),"")</f>
        <v/>
      </c>
      <c r="F899" t="str">
        <f>IFERROR(IF(OR(HLOOKUP($A899,#REF!,4,FALSE)&gt;2,HLOOKUP($A899,#REF!,4,FALSE)&lt;-2),"",#REF!),"")</f>
        <v/>
      </c>
      <c r="G899" t="str">
        <f>IFERROR(IF(OR(HLOOKUP($A899,#REF!,5,FALSE)&gt;2,HLOOKUP($A899,#REF!,5,FALSE)&lt;-2),"",#REF!),"")</f>
        <v/>
      </c>
      <c r="H899" t="str">
        <f>IFERROR(IF(OR(HLOOKUP($A899,#REF!,6,FALSE)&gt;2,HLOOKUP($A899,#REF!,6,FALSE)&lt;-2),"",#REF!),"")</f>
        <v/>
      </c>
      <c r="I899" t="str">
        <f>IFERROR(IF(OR(HLOOKUP($A899,#REF!,7,FALSE)&gt;2,HLOOKUP($A899,#REF!,7,FALSE)&lt;-2),"",#REF!),"")</f>
        <v/>
      </c>
      <c r="J899" t="str">
        <f>IFERROR(IF(OR(HLOOKUP($A899,#REF!,8,FALSE)&gt;2,HLOOKUP($A899,#REF!,8,FALSE)&lt;-2),"",#REF!),"")</f>
        <v/>
      </c>
      <c r="K899" t="str">
        <f>IFERROR(IF(OR(HLOOKUP($A899,#REF!,9,FALSE)&gt;2,HLOOKUP($A899,#REF!,9,FALSE)&lt;-2),"",#REF!),"")</f>
        <v/>
      </c>
      <c r="L899" t="str">
        <f>IFERROR(IF(OR(HLOOKUP($A899,#REF!,10,FALSE)&gt;2,HLOOKUP($A899,#REF!,10,FALSE)&lt;-2),"",#REF!),"")</f>
        <v/>
      </c>
      <c r="M899" t="str">
        <f>IFERROR(IF(OR(HLOOKUP($A899,#REF!,11,FALSE)&gt;2,HLOOKUP($A899,#REF!,11,FALSE)&lt;-2),"",#REF!),"")</f>
        <v/>
      </c>
      <c r="N899" t="str">
        <f>IFERROR(IF(OR(HLOOKUP($A899,#REF!,12,FALSE)&gt;2,HLOOKUP($A899,#REF!,12,FALSE)&lt;-2),"",#REF!),"")</f>
        <v/>
      </c>
      <c r="O899" t="str">
        <f>IFERROR(IF(OR(HLOOKUP($A899,#REF!,13,FALSE)&gt;2,HLOOKUP($A899,#REF!,13,FALSE)&lt;-2),"",#REF!),"")</f>
        <v/>
      </c>
      <c r="P899" t="str">
        <f>IFERROR(IF(OR(HLOOKUP($A899,#REF!,14,FALSE)&gt;2,HLOOKUP($A899,#REF!,14,FALSE)&lt;-2),"",#REF!),"")</f>
        <v/>
      </c>
      <c r="Q899" t="str">
        <f>IFERROR(IF(OR(HLOOKUP($A899,#REF!,15,FALSE)&gt;2,HLOOKUP($A899,#REF!,15,FALSE)&lt;-2),"",#REF!),"")</f>
        <v/>
      </c>
      <c r="R899" t="str">
        <f>IFERROR(IF(OR(HLOOKUP($A899,#REF!,16,FALSE)&gt;2,HLOOKUP($A899,#REF!,16,FALSE)&lt;-2),"",#REF!),"")</f>
        <v/>
      </c>
      <c r="S899" t="str">
        <f>IFERROR(IF(OR(HLOOKUP($A899,#REF!,17,FALSE)&gt;2,HLOOKUP($A899,#REF!,17,FALSE)&lt;-2),"",#REF!),"")</f>
        <v/>
      </c>
      <c r="T899" t="str">
        <f>IFERROR(IF(OR(HLOOKUP($A899,#REF!,18,FALSE)&gt;2,HLOOKUP($A899,#REF!,18,FALSE)&lt;-2),"",#REF!),"")</f>
        <v/>
      </c>
      <c r="U899" t="str">
        <f>IFERROR(IF(OR(HLOOKUP($A899,#REF!,19,FALSE)&gt;2,HLOOKUP($A899,#REF!,19,FALSE)&lt;-2),"",#REF!),"")</f>
        <v/>
      </c>
      <c r="V899">
        <f t="shared" si="52"/>
        <v>1</v>
      </c>
      <c r="W899" t="str">
        <f t="shared" si="53"/>
        <v/>
      </c>
      <c r="X899" t="str">
        <f t="shared" si="54"/>
        <v/>
      </c>
      <c r="Y899" t="str">
        <f t="shared" si="55"/>
        <v/>
      </c>
    </row>
    <row r="900" spans="1:25" x14ac:dyDescent="0.35">
      <c r="A900">
        <v>908</v>
      </c>
      <c r="B900" t="s">
        <v>440</v>
      </c>
      <c r="C900">
        <v>110900</v>
      </c>
      <c r="D900">
        <v>768</v>
      </c>
      <c r="E900" t="str">
        <f>IFERROR(IF(OR(HLOOKUP($A900,#REF!,3,FALSE)&gt;2,HLOOKUP(A900,#REF!,3,FALSE)&lt;-2),"",#REF!),"")</f>
        <v/>
      </c>
      <c r="F900" t="str">
        <f>IFERROR(IF(OR(HLOOKUP($A900,#REF!,4,FALSE)&gt;2,HLOOKUP($A900,#REF!,4,FALSE)&lt;-2),"",#REF!),"")</f>
        <v/>
      </c>
      <c r="G900" t="str">
        <f>IFERROR(IF(OR(HLOOKUP($A900,#REF!,5,FALSE)&gt;2,HLOOKUP($A900,#REF!,5,FALSE)&lt;-2),"",#REF!),"")</f>
        <v/>
      </c>
      <c r="H900" t="str">
        <f>IFERROR(IF(OR(HLOOKUP($A900,#REF!,6,FALSE)&gt;2,HLOOKUP($A900,#REF!,6,FALSE)&lt;-2),"",#REF!),"")</f>
        <v/>
      </c>
      <c r="I900" t="str">
        <f>IFERROR(IF(OR(HLOOKUP($A900,#REF!,7,FALSE)&gt;2,HLOOKUP($A900,#REF!,7,FALSE)&lt;-2),"",#REF!),"")</f>
        <v/>
      </c>
      <c r="J900" t="str">
        <f>IFERROR(IF(OR(HLOOKUP($A900,#REF!,8,FALSE)&gt;2,HLOOKUP($A900,#REF!,8,FALSE)&lt;-2),"",#REF!),"")</f>
        <v/>
      </c>
      <c r="K900" t="str">
        <f>IFERROR(IF(OR(HLOOKUP($A900,#REF!,9,FALSE)&gt;2,HLOOKUP($A900,#REF!,9,FALSE)&lt;-2),"",#REF!),"")</f>
        <v/>
      </c>
      <c r="L900" t="str">
        <f>IFERROR(IF(OR(HLOOKUP($A900,#REF!,10,FALSE)&gt;2,HLOOKUP($A900,#REF!,10,FALSE)&lt;-2),"",#REF!),"")</f>
        <v/>
      </c>
      <c r="M900" t="str">
        <f>IFERROR(IF(OR(HLOOKUP($A900,#REF!,11,FALSE)&gt;2,HLOOKUP($A900,#REF!,11,FALSE)&lt;-2),"",#REF!),"")</f>
        <v/>
      </c>
      <c r="N900" t="str">
        <f>IFERROR(IF(OR(HLOOKUP($A900,#REF!,12,FALSE)&gt;2,HLOOKUP($A900,#REF!,12,FALSE)&lt;-2),"",#REF!),"")</f>
        <v/>
      </c>
      <c r="O900" t="str">
        <f>IFERROR(IF(OR(HLOOKUP($A900,#REF!,13,FALSE)&gt;2,HLOOKUP($A900,#REF!,13,FALSE)&lt;-2),"",#REF!),"")</f>
        <v/>
      </c>
      <c r="P900" t="str">
        <f>IFERROR(IF(OR(HLOOKUP($A900,#REF!,14,FALSE)&gt;2,HLOOKUP($A900,#REF!,14,FALSE)&lt;-2),"",#REF!),"")</f>
        <v/>
      </c>
      <c r="Q900" t="str">
        <f>IFERROR(IF(OR(HLOOKUP($A900,#REF!,15,FALSE)&gt;2,HLOOKUP($A900,#REF!,15,FALSE)&lt;-2),"",#REF!),"")</f>
        <v/>
      </c>
      <c r="R900" t="str">
        <f>IFERROR(IF(OR(HLOOKUP($A900,#REF!,16,FALSE)&gt;2,HLOOKUP($A900,#REF!,16,FALSE)&lt;-2),"",#REF!),"")</f>
        <v/>
      </c>
      <c r="S900" t="str">
        <f>IFERROR(IF(OR(HLOOKUP($A900,#REF!,17,FALSE)&gt;2,HLOOKUP($A900,#REF!,17,FALSE)&lt;-2),"",#REF!),"")</f>
        <v/>
      </c>
      <c r="T900" t="str">
        <f>IFERROR(IF(OR(HLOOKUP($A900,#REF!,18,FALSE)&gt;2,HLOOKUP($A900,#REF!,18,FALSE)&lt;-2),"",#REF!),"")</f>
        <v/>
      </c>
      <c r="U900" t="str">
        <f>IFERROR(IF(OR(HLOOKUP($A900,#REF!,19,FALSE)&gt;2,HLOOKUP($A900,#REF!,19,FALSE)&lt;-2),"",#REF!),"")</f>
        <v/>
      </c>
      <c r="V900">
        <f t="shared" ref="V900:V963" si="56">IFERROR(IF(AND(X900=0,Y900=0),0,1),0)</f>
        <v>1</v>
      </c>
      <c r="W900" t="str">
        <f t="shared" ref="W900:W963" si="57">IFERROR(_xlfn.T.TEST(E900:M900,N900:U900,2,2),"")</f>
        <v/>
      </c>
      <c r="X900" t="str">
        <f t="shared" ref="X900:X963" si="58">IFERROR(AVERAGE(E900:M900),"")</f>
        <v/>
      </c>
      <c r="Y900" t="str">
        <f t="shared" ref="Y900:Y963" si="59">IFERROR(AVERAGE(N900:U900),"")</f>
        <v/>
      </c>
    </row>
    <row r="901" spans="1:25" x14ac:dyDescent="0.35">
      <c r="A901">
        <v>909</v>
      </c>
      <c r="B901" t="s">
        <v>1063</v>
      </c>
      <c r="C901">
        <v>41300</v>
      </c>
      <c r="D901">
        <v>822</v>
      </c>
      <c r="E901" t="str">
        <f>IFERROR(IF(OR(HLOOKUP($A901,#REF!,3,FALSE)&gt;2,HLOOKUP(A901,#REF!,3,FALSE)&lt;-2),"",#REF!),"")</f>
        <v/>
      </c>
      <c r="F901" t="str">
        <f>IFERROR(IF(OR(HLOOKUP($A901,#REF!,4,FALSE)&gt;2,HLOOKUP($A901,#REF!,4,FALSE)&lt;-2),"",#REF!),"")</f>
        <v/>
      </c>
      <c r="G901" t="str">
        <f>IFERROR(IF(OR(HLOOKUP($A901,#REF!,5,FALSE)&gt;2,HLOOKUP($A901,#REF!,5,FALSE)&lt;-2),"",#REF!),"")</f>
        <v/>
      </c>
      <c r="H901" t="str">
        <f>IFERROR(IF(OR(HLOOKUP($A901,#REF!,6,FALSE)&gt;2,HLOOKUP($A901,#REF!,6,FALSE)&lt;-2),"",#REF!),"")</f>
        <v/>
      </c>
      <c r="I901" t="str">
        <f>IFERROR(IF(OR(HLOOKUP($A901,#REF!,7,FALSE)&gt;2,HLOOKUP($A901,#REF!,7,FALSE)&lt;-2),"",#REF!),"")</f>
        <v/>
      </c>
      <c r="J901" t="str">
        <f>IFERROR(IF(OR(HLOOKUP($A901,#REF!,8,FALSE)&gt;2,HLOOKUP($A901,#REF!,8,FALSE)&lt;-2),"",#REF!),"")</f>
        <v/>
      </c>
      <c r="K901" t="str">
        <f>IFERROR(IF(OR(HLOOKUP($A901,#REF!,9,FALSE)&gt;2,HLOOKUP($A901,#REF!,9,FALSE)&lt;-2),"",#REF!),"")</f>
        <v/>
      </c>
      <c r="L901" t="str">
        <f>IFERROR(IF(OR(HLOOKUP($A901,#REF!,10,FALSE)&gt;2,HLOOKUP($A901,#REF!,10,FALSE)&lt;-2),"",#REF!),"")</f>
        <v/>
      </c>
      <c r="M901" t="str">
        <f>IFERROR(IF(OR(HLOOKUP($A901,#REF!,11,FALSE)&gt;2,HLOOKUP($A901,#REF!,11,FALSE)&lt;-2),"",#REF!),"")</f>
        <v/>
      </c>
      <c r="N901" t="str">
        <f>IFERROR(IF(OR(HLOOKUP($A901,#REF!,12,FALSE)&gt;2,HLOOKUP($A901,#REF!,12,FALSE)&lt;-2),"",#REF!),"")</f>
        <v/>
      </c>
      <c r="O901" t="str">
        <f>IFERROR(IF(OR(HLOOKUP($A901,#REF!,13,FALSE)&gt;2,HLOOKUP($A901,#REF!,13,FALSE)&lt;-2),"",#REF!),"")</f>
        <v/>
      </c>
      <c r="P901" t="str">
        <f>IFERROR(IF(OR(HLOOKUP($A901,#REF!,14,FALSE)&gt;2,HLOOKUP($A901,#REF!,14,FALSE)&lt;-2),"",#REF!),"")</f>
        <v/>
      </c>
      <c r="Q901" t="str">
        <f>IFERROR(IF(OR(HLOOKUP($A901,#REF!,15,FALSE)&gt;2,HLOOKUP($A901,#REF!,15,FALSE)&lt;-2),"",#REF!),"")</f>
        <v/>
      </c>
      <c r="R901" t="str">
        <f>IFERROR(IF(OR(HLOOKUP($A901,#REF!,16,FALSE)&gt;2,HLOOKUP($A901,#REF!,16,FALSE)&lt;-2),"",#REF!),"")</f>
        <v/>
      </c>
      <c r="S901" t="str">
        <f>IFERROR(IF(OR(HLOOKUP($A901,#REF!,17,FALSE)&gt;2,HLOOKUP($A901,#REF!,17,FALSE)&lt;-2),"",#REF!),"")</f>
        <v/>
      </c>
      <c r="T901" t="str">
        <f>IFERROR(IF(OR(HLOOKUP($A901,#REF!,18,FALSE)&gt;2,HLOOKUP($A901,#REF!,18,FALSE)&lt;-2),"",#REF!),"")</f>
        <v/>
      </c>
      <c r="U901" t="str">
        <f>IFERROR(IF(OR(HLOOKUP($A901,#REF!,19,FALSE)&gt;2,HLOOKUP($A901,#REF!,19,FALSE)&lt;-2),"",#REF!),"")</f>
        <v/>
      </c>
      <c r="V901">
        <f t="shared" si="56"/>
        <v>1</v>
      </c>
      <c r="W901" t="str">
        <f t="shared" si="57"/>
        <v/>
      </c>
      <c r="X901" t="str">
        <f t="shared" si="58"/>
        <v/>
      </c>
      <c r="Y901" t="str">
        <f t="shared" si="59"/>
        <v/>
      </c>
    </row>
    <row r="902" spans="1:25" x14ac:dyDescent="0.35">
      <c r="A902">
        <v>910</v>
      </c>
      <c r="B902" t="s">
        <v>441</v>
      </c>
      <c r="C902">
        <v>22500</v>
      </c>
      <c r="D902">
        <v>731</v>
      </c>
      <c r="E902" t="str">
        <f>IFERROR(IF(OR(HLOOKUP($A902,#REF!,3,FALSE)&gt;2,HLOOKUP(A902,#REF!,3,FALSE)&lt;-2),"",#REF!),"")</f>
        <v/>
      </c>
      <c r="F902" t="str">
        <f>IFERROR(IF(OR(HLOOKUP($A902,#REF!,4,FALSE)&gt;2,HLOOKUP($A902,#REF!,4,FALSE)&lt;-2),"",#REF!),"")</f>
        <v/>
      </c>
      <c r="G902" t="str">
        <f>IFERROR(IF(OR(HLOOKUP($A902,#REF!,5,FALSE)&gt;2,HLOOKUP($A902,#REF!,5,FALSE)&lt;-2),"",#REF!),"")</f>
        <v/>
      </c>
      <c r="H902" t="str">
        <f>IFERROR(IF(OR(HLOOKUP($A902,#REF!,6,FALSE)&gt;2,HLOOKUP($A902,#REF!,6,FALSE)&lt;-2),"",#REF!),"")</f>
        <v/>
      </c>
      <c r="I902" t="str">
        <f>IFERROR(IF(OR(HLOOKUP($A902,#REF!,7,FALSE)&gt;2,HLOOKUP($A902,#REF!,7,FALSE)&lt;-2),"",#REF!),"")</f>
        <v/>
      </c>
      <c r="J902" t="str">
        <f>IFERROR(IF(OR(HLOOKUP($A902,#REF!,8,FALSE)&gt;2,HLOOKUP($A902,#REF!,8,FALSE)&lt;-2),"",#REF!),"")</f>
        <v/>
      </c>
      <c r="K902" t="str">
        <f>IFERROR(IF(OR(HLOOKUP($A902,#REF!,9,FALSE)&gt;2,HLOOKUP($A902,#REF!,9,FALSE)&lt;-2),"",#REF!),"")</f>
        <v/>
      </c>
      <c r="L902" t="str">
        <f>IFERROR(IF(OR(HLOOKUP($A902,#REF!,10,FALSE)&gt;2,HLOOKUP($A902,#REF!,10,FALSE)&lt;-2),"",#REF!),"")</f>
        <v/>
      </c>
      <c r="M902" t="str">
        <f>IFERROR(IF(OR(HLOOKUP($A902,#REF!,11,FALSE)&gt;2,HLOOKUP($A902,#REF!,11,FALSE)&lt;-2),"",#REF!),"")</f>
        <v/>
      </c>
      <c r="N902" t="str">
        <f>IFERROR(IF(OR(HLOOKUP($A902,#REF!,12,FALSE)&gt;2,HLOOKUP($A902,#REF!,12,FALSE)&lt;-2),"",#REF!),"")</f>
        <v/>
      </c>
      <c r="O902" t="str">
        <f>IFERROR(IF(OR(HLOOKUP($A902,#REF!,13,FALSE)&gt;2,HLOOKUP($A902,#REF!,13,FALSE)&lt;-2),"",#REF!),"")</f>
        <v/>
      </c>
      <c r="P902" t="str">
        <f>IFERROR(IF(OR(HLOOKUP($A902,#REF!,14,FALSE)&gt;2,HLOOKUP($A902,#REF!,14,FALSE)&lt;-2),"",#REF!),"")</f>
        <v/>
      </c>
      <c r="Q902" t="str">
        <f>IFERROR(IF(OR(HLOOKUP($A902,#REF!,15,FALSE)&gt;2,HLOOKUP($A902,#REF!,15,FALSE)&lt;-2),"",#REF!),"")</f>
        <v/>
      </c>
      <c r="R902" t="str">
        <f>IFERROR(IF(OR(HLOOKUP($A902,#REF!,16,FALSE)&gt;2,HLOOKUP($A902,#REF!,16,FALSE)&lt;-2),"",#REF!),"")</f>
        <v/>
      </c>
      <c r="S902" t="str">
        <f>IFERROR(IF(OR(HLOOKUP($A902,#REF!,17,FALSE)&gt;2,HLOOKUP($A902,#REF!,17,FALSE)&lt;-2),"",#REF!),"")</f>
        <v/>
      </c>
      <c r="T902" t="str">
        <f>IFERROR(IF(OR(HLOOKUP($A902,#REF!,18,FALSE)&gt;2,HLOOKUP($A902,#REF!,18,FALSE)&lt;-2),"",#REF!),"")</f>
        <v/>
      </c>
      <c r="U902" t="str">
        <f>IFERROR(IF(OR(HLOOKUP($A902,#REF!,19,FALSE)&gt;2,HLOOKUP($A902,#REF!,19,FALSE)&lt;-2),"",#REF!),"")</f>
        <v/>
      </c>
      <c r="V902">
        <f t="shared" si="56"/>
        <v>1</v>
      </c>
      <c r="W902" t="str">
        <f t="shared" si="57"/>
        <v/>
      </c>
      <c r="X902" t="str">
        <f t="shared" si="58"/>
        <v/>
      </c>
      <c r="Y902" t="str">
        <f t="shared" si="59"/>
        <v/>
      </c>
    </row>
    <row r="903" spans="1:25" x14ac:dyDescent="0.35">
      <c r="A903">
        <v>911</v>
      </c>
      <c r="B903" t="s">
        <v>442</v>
      </c>
      <c r="C903">
        <v>99300</v>
      </c>
      <c r="D903">
        <v>967</v>
      </c>
      <c r="E903" t="str">
        <f>IFERROR(IF(OR(HLOOKUP($A903,#REF!,3,FALSE)&gt;2,HLOOKUP(A903,#REF!,3,FALSE)&lt;-2),"",#REF!),"")</f>
        <v/>
      </c>
      <c r="F903" t="str">
        <f>IFERROR(IF(OR(HLOOKUP($A903,#REF!,4,FALSE)&gt;2,HLOOKUP($A903,#REF!,4,FALSE)&lt;-2),"",#REF!),"")</f>
        <v/>
      </c>
      <c r="G903" t="str">
        <f>IFERROR(IF(OR(HLOOKUP($A903,#REF!,5,FALSE)&gt;2,HLOOKUP($A903,#REF!,5,FALSE)&lt;-2),"",#REF!),"")</f>
        <v/>
      </c>
      <c r="H903" t="str">
        <f>IFERROR(IF(OR(HLOOKUP($A903,#REF!,6,FALSE)&gt;2,HLOOKUP($A903,#REF!,6,FALSE)&lt;-2),"",#REF!),"")</f>
        <v/>
      </c>
      <c r="I903" t="str">
        <f>IFERROR(IF(OR(HLOOKUP($A903,#REF!,7,FALSE)&gt;2,HLOOKUP($A903,#REF!,7,FALSE)&lt;-2),"",#REF!),"")</f>
        <v/>
      </c>
      <c r="J903" t="str">
        <f>IFERROR(IF(OR(HLOOKUP($A903,#REF!,8,FALSE)&gt;2,HLOOKUP($A903,#REF!,8,FALSE)&lt;-2),"",#REF!),"")</f>
        <v/>
      </c>
      <c r="K903" t="str">
        <f>IFERROR(IF(OR(HLOOKUP($A903,#REF!,9,FALSE)&gt;2,HLOOKUP($A903,#REF!,9,FALSE)&lt;-2),"",#REF!),"")</f>
        <v/>
      </c>
      <c r="L903" t="str">
        <f>IFERROR(IF(OR(HLOOKUP($A903,#REF!,10,FALSE)&gt;2,HLOOKUP($A903,#REF!,10,FALSE)&lt;-2),"",#REF!),"")</f>
        <v/>
      </c>
      <c r="M903" t="str">
        <f>IFERROR(IF(OR(HLOOKUP($A903,#REF!,11,FALSE)&gt;2,HLOOKUP($A903,#REF!,11,FALSE)&lt;-2),"",#REF!),"")</f>
        <v/>
      </c>
      <c r="N903" t="str">
        <f>IFERROR(IF(OR(HLOOKUP($A903,#REF!,12,FALSE)&gt;2,HLOOKUP($A903,#REF!,12,FALSE)&lt;-2),"",#REF!),"")</f>
        <v/>
      </c>
      <c r="O903" t="str">
        <f>IFERROR(IF(OR(HLOOKUP($A903,#REF!,13,FALSE)&gt;2,HLOOKUP($A903,#REF!,13,FALSE)&lt;-2),"",#REF!),"")</f>
        <v/>
      </c>
      <c r="P903" t="str">
        <f>IFERROR(IF(OR(HLOOKUP($A903,#REF!,14,FALSE)&gt;2,HLOOKUP($A903,#REF!,14,FALSE)&lt;-2),"",#REF!),"")</f>
        <v/>
      </c>
      <c r="Q903" t="str">
        <f>IFERROR(IF(OR(HLOOKUP($A903,#REF!,15,FALSE)&gt;2,HLOOKUP($A903,#REF!,15,FALSE)&lt;-2),"",#REF!),"")</f>
        <v/>
      </c>
      <c r="R903" t="str">
        <f>IFERROR(IF(OR(HLOOKUP($A903,#REF!,16,FALSE)&gt;2,HLOOKUP($A903,#REF!,16,FALSE)&lt;-2),"",#REF!),"")</f>
        <v/>
      </c>
      <c r="S903" t="str">
        <f>IFERROR(IF(OR(HLOOKUP($A903,#REF!,17,FALSE)&gt;2,HLOOKUP($A903,#REF!,17,FALSE)&lt;-2),"",#REF!),"")</f>
        <v/>
      </c>
      <c r="T903" t="str">
        <f>IFERROR(IF(OR(HLOOKUP($A903,#REF!,18,FALSE)&gt;2,HLOOKUP($A903,#REF!,18,FALSE)&lt;-2),"",#REF!),"")</f>
        <v/>
      </c>
      <c r="U903" t="str">
        <f>IFERROR(IF(OR(HLOOKUP($A903,#REF!,19,FALSE)&gt;2,HLOOKUP($A903,#REF!,19,FALSE)&lt;-2),"",#REF!),"")</f>
        <v/>
      </c>
      <c r="V903">
        <f t="shared" si="56"/>
        <v>1</v>
      </c>
      <c r="W903" t="str">
        <f t="shared" si="57"/>
        <v/>
      </c>
      <c r="X903" t="str">
        <f t="shared" si="58"/>
        <v/>
      </c>
      <c r="Y903" t="str">
        <f t="shared" si="59"/>
        <v/>
      </c>
    </row>
    <row r="904" spans="1:25" x14ac:dyDescent="0.35">
      <c r="A904">
        <v>912</v>
      </c>
      <c r="B904" t="s">
        <v>443</v>
      </c>
      <c r="C904">
        <v>55000</v>
      </c>
      <c r="D904">
        <v>645</v>
      </c>
      <c r="E904" t="str">
        <f>IFERROR(IF(OR(HLOOKUP($A904,#REF!,3,FALSE)&gt;2,HLOOKUP(A904,#REF!,3,FALSE)&lt;-2),"",#REF!),"")</f>
        <v/>
      </c>
      <c r="F904" t="str">
        <f>IFERROR(IF(OR(HLOOKUP($A904,#REF!,4,FALSE)&gt;2,HLOOKUP($A904,#REF!,4,FALSE)&lt;-2),"",#REF!),"")</f>
        <v/>
      </c>
      <c r="G904" t="str">
        <f>IFERROR(IF(OR(HLOOKUP($A904,#REF!,5,FALSE)&gt;2,HLOOKUP($A904,#REF!,5,FALSE)&lt;-2),"",#REF!),"")</f>
        <v/>
      </c>
      <c r="H904" t="str">
        <f>IFERROR(IF(OR(HLOOKUP($A904,#REF!,6,FALSE)&gt;2,HLOOKUP($A904,#REF!,6,FALSE)&lt;-2),"",#REF!),"")</f>
        <v/>
      </c>
      <c r="I904" t="str">
        <f>IFERROR(IF(OR(HLOOKUP($A904,#REF!,7,FALSE)&gt;2,HLOOKUP($A904,#REF!,7,FALSE)&lt;-2),"",#REF!),"")</f>
        <v/>
      </c>
      <c r="J904" t="str">
        <f>IFERROR(IF(OR(HLOOKUP($A904,#REF!,8,FALSE)&gt;2,HLOOKUP($A904,#REF!,8,FALSE)&lt;-2),"",#REF!),"")</f>
        <v/>
      </c>
      <c r="K904" t="str">
        <f>IFERROR(IF(OR(HLOOKUP($A904,#REF!,9,FALSE)&gt;2,HLOOKUP($A904,#REF!,9,FALSE)&lt;-2),"",#REF!),"")</f>
        <v/>
      </c>
      <c r="L904" t="str">
        <f>IFERROR(IF(OR(HLOOKUP($A904,#REF!,10,FALSE)&gt;2,HLOOKUP($A904,#REF!,10,FALSE)&lt;-2),"",#REF!),"")</f>
        <v/>
      </c>
      <c r="M904" t="str">
        <f>IFERROR(IF(OR(HLOOKUP($A904,#REF!,11,FALSE)&gt;2,HLOOKUP($A904,#REF!,11,FALSE)&lt;-2),"",#REF!),"")</f>
        <v/>
      </c>
      <c r="N904" t="str">
        <f>IFERROR(IF(OR(HLOOKUP($A904,#REF!,12,FALSE)&gt;2,HLOOKUP($A904,#REF!,12,FALSE)&lt;-2),"",#REF!),"")</f>
        <v/>
      </c>
      <c r="O904" t="str">
        <f>IFERROR(IF(OR(HLOOKUP($A904,#REF!,13,FALSE)&gt;2,HLOOKUP($A904,#REF!,13,FALSE)&lt;-2),"",#REF!),"")</f>
        <v/>
      </c>
      <c r="P904" t="str">
        <f>IFERROR(IF(OR(HLOOKUP($A904,#REF!,14,FALSE)&gt;2,HLOOKUP($A904,#REF!,14,FALSE)&lt;-2),"",#REF!),"")</f>
        <v/>
      </c>
      <c r="Q904" t="str">
        <f>IFERROR(IF(OR(HLOOKUP($A904,#REF!,15,FALSE)&gt;2,HLOOKUP($A904,#REF!,15,FALSE)&lt;-2),"",#REF!),"")</f>
        <v/>
      </c>
      <c r="R904" t="str">
        <f>IFERROR(IF(OR(HLOOKUP($A904,#REF!,16,FALSE)&gt;2,HLOOKUP($A904,#REF!,16,FALSE)&lt;-2),"",#REF!),"")</f>
        <v/>
      </c>
      <c r="S904" t="str">
        <f>IFERROR(IF(OR(HLOOKUP($A904,#REF!,17,FALSE)&gt;2,HLOOKUP($A904,#REF!,17,FALSE)&lt;-2),"",#REF!),"")</f>
        <v/>
      </c>
      <c r="T904" t="str">
        <f>IFERROR(IF(OR(HLOOKUP($A904,#REF!,18,FALSE)&gt;2,HLOOKUP($A904,#REF!,18,FALSE)&lt;-2),"",#REF!),"")</f>
        <v/>
      </c>
      <c r="U904" t="str">
        <f>IFERROR(IF(OR(HLOOKUP($A904,#REF!,19,FALSE)&gt;2,HLOOKUP($A904,#REF!,19,FALSE)&lt;-2),"",#REF!),"")</f>
        <v/>
      </c>
      <c r="V904">
        <f t="shared" si="56"/>
        <v>1</v>
      </c>
      <c r="W904" t="str">
        <f t="shared" si="57"/>
        <v/>
      </c>
      <c r="X904" t="str">
        <f t="shared" si="58"/>
        <v/>
      </c>
      <c r="Y904" t="str">
        <f t="shared" si="59"/>
        <v/>
      </c>
    </row>
    <row r="905" spans="1:25" x14ac:dyDescent="0.35">
      <c r="A905">
        <v>913</v>
      </c>
      <c r="B905" t="s">
        <v>1064</v>
      </c>
      <c r="C905">
        <v>13700</v>
      </c>
      <c r="D905">
        <v>669</v>
      </c>
      <c r="E905" t="str">
        <f>IFERROR(IF(OR(HLOOKUP($A905,#REF!,3,FALSE)&gt;2,HLOOKUP(A905,#REF!,3,FALSE)&lt;-2),"",#REF!),"")</f>
        <v/>
      </c>
      <c r="F905" t="str">
        <f>IFERROR(IF(OR(HLOOKUP($A905,#REF!,4,FALSE)&gt;2,HLOOKUP($A905,#REF!,4,FALSE)&lt;-2),"",#REF!),"")</f>
        <v/>
      </c>
      <c r="G905" t="str">
        <f>IFERROR(IF(OR(HLOOKUP($A905,#REF!,5,FALSE)&gt;2,HLOOKUP($A905,#REF!,5,FALSE)&lt;-2),"",#REF!),"")</f>
        <v/>
      </c>
      <c r="H905" t="str">
        <f>IFERROR(IF(OR(HLOOKUP($A905,#REF!,6,FALSE)&gt;2,HLOOKUP($A905,#REF!,6,FALSE)&lt;-2),"",#REF!),"")</f>
        <v/>
      </c>
      <c r="I905" t="str">
        <f>IFERROR(IF(OR(HLOOKUP($A905,#REF!,7,FALSE)&gt;2,HLOOKUP($A905,#REF!,7,FALSE)&lt;-2),"",#REF!),"")</f>
        <v/>
      </c>
      <c r="J905" t="str">
        <f>IFERROR(IF(OR(HLOOKUP($A905,#REF!,8,FALSE)&gt;2,HLOOKUP($A905,#REF!,8,FALSE)&lt;-2),"",#REF!),"")</f>
        <v/>
      </c>
      <c r="K905" t="str">
        <f>IFERROR(IF(OR(HLOOKUP($A905,#REF!,9,FALSE)&gt;2,HLOOKUP($A905,#REF!,9,FALSE)&lt;-2),"",#REF!),"")</f>
        <v/>
      </c>
      <c r="L905" t="str">
        <f>IFERROR(IF(OR(HLOOKUP($A905,#REF!,10,FALSE)&gt;2,HLOOKUP($A905,#REF!,10,FALSE)&lt;-2),"",#REF!),"")</f>
        <v/>
      </c>
      <c r="M905" t="str">
        <f>IFERROR(IF(OR(HLOOKUP($A905,#REF!,11,FALSE)&gt;2,HLOOKUP($A905,#REF!,11,FALSE)&lt;-2),"",#REF!),"")</f>
        <v/>
      </c>
      <c r="N905" t="str">
        <f>IFERROR(IF(OR(HLOOKUP($A905,#REF!,12,FALSE)&gt;2,HLOOKUP($A905,#REF!,12,FALSE)&lt;-2),"",#REF!),"")</f>
        <v/>
      </c>
      <c r="O905" t="str">
        <f>IFERROR(IF(OR(HLOOKUP($A905,#REF!,13,FALSE)&gt;2,HLOOKUP($A905,#REF!,13,FALSE)&lt;-2),"",#REF!),"")</f>
        <v/>
      </c>
      <c r="P905" t="str">
        <f>IFERROR(IF(OR(HLOOKUP($A905,#REF!,14,FALSE)&gt;2,HLOOKUP($A905,#REF!,14,FALSE)&lt;-2),"",#REF!),"")</f>
        <v/>
      </c>
      <c r="Q905" t="str">
        <f>IFERROR(IF(OR(HLOOKUP($A905,#REF!,15,FALSE)&gt;2,HLOOKUP($A905,#REF!,15,FALSE)&lt;-2),"",#REF!),"")</f>
        <v/>
      </c>
      <c r="R905" t="str">
        <f>IFERROR(IF(OR(HLOOKUP($A905,#REF!,16,FALSE)&gt;2,HLOOKUP($A905,#REF!,16,FALSE)&lt;-2),"",#REF!),"")</f>
        <v/>
      </c>
      <c r="S905" t="str">
        <f>IFERROR(IF(OR(HLOOKUP($A905,#REF!,17,FALSE)&gt;2,HLOOKUP($A905,#REF!,17,FALSE)&lt;-2),"",#REF!),"")</f>
        <v/>
      </c>
      <c r="T905" t="str">
        <f>IFERROR(IF(OR(HLOOKUP($A905,#REF!,18,FALSE)&gt;2,HLOOKUP($A905,#REF!,18,FALSE)&lt;-2),"",#REF!),"")</f>
        <v/>
      </c>
      <c r="U905" t="str">
        <f>IFERROR(IF(OR(HLOOKUP($A905,#REF!,19,FALSE)&gt;2,HLOOKUP($A905,#REF!,19,FALSE)&lt;-2),"",#REF!),"")</f>
        <v/>
      </c>
      <c r="V905">
        <f t="shared" si="56"/>
        <v>1</v>
      </c>
      <c r="W905" t="str">
        <f t="shared" si="57"/>
        <v/>
      </c>
      <c r="X905" t="str">
        <f t="shared" si="58"/>
        <v/>
      </c>
      <c r="Y905" t="str">
        <f t="shared" si="59"/>
        <v/>
      </c>
    </row>
    <row r="906" spans="1:25" x14ac:dyDescent="0.35">
      <c r="A906">
        <v>914</v>
      </c>
      <c r="B906" t="s">
        <v>444</v>
      </c>
      <c r="C906">
        <v>73100</v>
      </c>
      <c r="D906">
        <v>141</v>
      </c>
      <c r="E906" t="str">
        <f>IFERROR(IF(OR(HLOOKUP($A906,#REF!,3,FALSE)&gt;2,HLOOKUP(A906,#REF!,3,FALSE)&lt;-2),"",#REF!),"")</f>
        <v/>
      </c>
      <c r="F906" t="str">
        <f>IFERROR(IF(OR(HLOOKUP($A906,#REF!,4,FALSE)&gt;2,HLOOKUP($A906,#REF!,4,FALSE)&lt;-2),"",#REF!),"")</f>
        <v/>
      </c>
      <c r="G906" t="str">
        <f>IFERROR(IF(OR(HLOOKUP($A906,#REF!,5,FALSE)&gt;2,HLOOKUP($A906,#REF!,5,FALSE)&lt;-2),"",#REF!),"")</f>
        <v/>
      </c>
      <c r="H906" t="str">
        <f>IFERROR(IF(OR(HLOOKUP($A906,#REF!,6,FALSE)&gt;2,HLOOKUP($A906,#REF!,6,FALSE)&lt;-2),"",#REF!),"")</f>
        <v/>
      </c>
      <c r="I906" t="str">
        <f>IFERROR(IF(OR(HLOOKUP($A906,#REF!,7,FALSE)&gt;2,HLOOKUP($A906,#REF!,7,FALSE)&lt;-2),"",#REF!),"")</f>
        <v/>
      </c>
      <c r="J906" t="str">
        <f>IFERROR(IF(OR(HLOOKUP($A906,#REF!,8,FALSE)&gt;2,HLOOKUP($A906,#REF!,8,FALSE)&lt;-2),"",#REF!),"")</f>
        <v/>
      </c>
      <c r="K906" t="str">
        <f>IFERROR(IF(OR(HLOOKUP($A906,#REF!,9,FALSE)&gt;2,HLOOKUP($A906,#REF!,9,FALSE)&lt;-2),"",#REF!),"")</f>
        <v/>
      </c>
      <c r="L906" t="str">
        <f>IFERROR(IF(OR(HLOOKUP($A906,#REF!,10,FALSE)&gt;2,HLOOKUP($A906,#REF!,10,FALSE)&lt;-2),"",#REF!),"")</f>
        <v/>
      </c>
      <c r="M906" t="str">
        <f>IFERROR(IF(OR(HLOOKUP($A906,#REF!,11,FALSE)&gt;2,HLOOKUP($A906,#REF!,11,FALSE)&lt;-2),"",#REF!),"")</f>
        <v/>
      </c>
      <c r="N906" t="str">
        <f>IFERROR(IF(OR(HLOOKUP($A906,#REF!,12,FALSE)&gt;2,HLOOKUP($A906,#REF!,12,FALSE)&lt;-2),"",#REF!),"")</f>
        <v/>
      </c>
      <c r="O906" t="str">
        <f>IFERROR(IF(OR(HLOOKUP($A906,#REF!,13,FALSE)&gt;2,HLOOKUP($A906,#REF!,13,FALSE)&lt;-2),"",#REF!),"")</f>
        <v/>
      </c>
      <c r="P906" t="str">
        <f>IFERROR(IF(OR(HLOOKUP($A906,#REF!,14,FALSE)&gt;2,HLOOKUP($A906,#REF!,14,FALSE)&lt;-2),"",#REF!),"")</f>
        <v/>
      </c>
      <c r="Q906" t="str">
        <f>IFERROR(IF(OR(HLOOKUP($A906,#REF!,15,FALSE)&gt;2,HLOOKUP($A906,#REF!,15,FALSE)&lt;-2),"",#REF!),"")</f>
        <v/>
      </c>
      <c r="R906" t="str">
        <f>IFERROR(IF(OR(HLOOKUP($A906,#REF!,16,FALSE)&gt;2,HLOOKUP($A906,#REF!,16,FALSE)&lt;-2),"",#REF!),"")</f>
        <v/>
      </c>
      <c r="S906" t="str">
        <f>IFERROR(IF(OR(HLOOKUP($A906,#REF!,17,FALSE)&gt;2,HLOOKUP($A906,#REF!,17,FALSE)&lt;-2),"",#REF!),"")</f>
        <v/>
      </c>
      <c r="T906" t="str">
        <f>IFERROR(IF(OR(HLOOKUP($A906,#REF!,18,FALSE)&gt;2,HLOOKUP($A906,#REF!,18,FALSE)&lt;-2),"",#REF!),"")</f>
        <v/>
      </c>
      <c r="U906" t="str">
        <f>IFERROR(IF(OR(HLOOKUP($A906,#REF!,19,FALSE)&gt;2,HLOOKUP($A906,#REF!,19,FALSE)&lt;-2),"",#REF!),"")</f>
        <v/>
      </c>
      <c r="V906">
        <f t="shared" si="56"/>
        <v>1</v>
      </c>
      <c r="W906" t="str">
        <f t="shared" si="57"/>
        <v/>
      </c>
      <c r="X906" t="str">
        <f t="shared" si="58"/>
        <v/>
      </c>
      <c r="Y906" t="str">
        <f t="shared" si="59"/>
        <v/>
      </c>
    </row>
    <row r="907" spans="1:25" x14ac:dyDescent="0.35">
      <c r="A907">
        <v>915</v>
      </c>
      <c r="B907" t="s">
        <v>1065</v>
      </c>
      <c r="C907">
        <v>86400</v>
      </c>
      <c r="D907">
        <v>890</v>
      </c>
      <c r="E907" t="str">
        <f>IFERROR(IF(OR(HLOOKUP($A907,#REF!,3,FALSE)&gt;2,HLOOKUP(A907,#REF!,3,FALSE)&lt;-2),"",#REF!),"")</f>
        <v/>
      </c>
      <c r="F907" t="str">
        <f>IFERROR(IF(OR(HLOOKUP($A907,#REF!,4,FALSE)&gt;2,HLOOKUP($A907,#REF!,4,FALSE)&lt;-2),"",#REF!),"")</f>
        <v/>
      </c>
      <c r="G907" t="str">
        <f>IFERROR(IF(OR(HLOOKUP($A907,#REF!,5,FALSE)&gt;2,HLOOKUP($A907,#REF!,5,FALSE)&lt;-2),"",#REF!),"")</f>
        <v/>
      </c>
      <c r="H907" t="str">
        <f>IFERROR(IF(OR(HLOOKUP($A907,#REF!,6,FALSE)&gt;2,HLOOKUP($A907,#REF!,6,FALSE)&lt;-2),"",#REF!),"")</f>
        <v/>
      </c>
      <c r="I907" t="str">
        <f>IFERROR(IF(OR(HLOOKUP($A907,#REF!,7,FALSE)&gt;2,HLOOKUP($A907,#REF!,7,FALSE)&lt;-2),"",#REF!),"")</f>
        <v/>
      </c>
      <c r="J907" t="str">
        <f>IFERROR(IF(OR(HLOOKUP($A907,#REF!,8,FALSE)&gt;2,HLOOKUP($A907,#REF!,8,FALSE)&lt;-2),"",#REF!),"")</f>
        <v/>
      </c>
      <c r="K907" t="str">
        <f>IFERROR(IF(OR(HLOOKUP($A907,#REF!,9,FALSE)&gt;2,HLOOKUP($A907,#REF!,9,FALSE)&lt;-2),"",#REF!),"")</f>
        <v/>
      </c>
      <c r="L907" t="str">
        <f>IFERROR(IF(OR(HLOOKUP($A907,#REF!,10,FALSE)&gt;2,HLOOKUP($A907,#REF!,10,FALSE)&lt;-2),"",#REF!),"")</f>
        <v/>
      </c>
      <c r="M907" t="str">
        <f>IFERROR(IF(OR(HLOOKUP($A907,#REF!,11,FALSE)&gt;2,HLOOKUP($A907,#REF!,11,FALSE)&lt;-2),"",#REF!),"")</f>
        <v/>
      </c>
      <c r="N907" t="str">
        <f>IFERROR(IF(OR(HLOOKUP($A907,#REF!,12,FALSE)&gt;2,HLOOKUP($A907,#REF!,12,FALSE)&lt;-2),"",#REF!),"")</f>
        <v/>
      </c>
      <c r="O907" t="str">
        <f>IFERROR(IF(OR(HLOOKUP($A907,#REF!,13,FALSE)&gt;2,HLOOKUP($A907,#REF!,13,FALSE)&lt;-2),"",#REF!),"")</f>
        <v/>
      </c>
      <c r="P907" t="str">
        <f>IFERROR(IF(OR(HLOOKUP($A907,#REF!,14,FALSE)&gt;2,HLOOKUP($A907,#REF!,14,FALSE)&lt;-2),"",#REF!),"")</f>
        <v/>
      </c>
      <c r="Q907" t="str">
        <f>IFERROR(IF(OR(HLOOKUP($A907,#REF!,15,FALSE)&gt;2,HLOOKUP($A907,#REF!,15,FALSE)&lt;-2),"",#REF!),"")</f>
        <v/>
      </c>
      <c r="R907" t="str">
        <f>IFERROR(IF(OR(HLOOKUP($A907,#REF!,16,FALSE)&gt;2,HLOOKUP($A907,#REF!,16,FALSE)&lt;-2),"",#REF!),"")</f>
        <v/>
      </c>
      <c r="S907" t="str">
        <f>IFERROR(IF(OR(HLOOKUP($A907,#REF!,17,FALSE)&gt;2,HLOOKUP($A907,#REF!,17,FALSE)&lt;-2),"",#REF!),"")</f>
        <v/>
      </c>
      <c r="T907" t="str">
        <f>IFERROR(IF(OR(HLOOKUP($A907,#REF!,18,FALSE)&gt;2,HLOOKUP($A907,#REF!,18,FALSE)&lt;-2),"",#REF!),"")</f>
        <v/>
      </c>
      <c r="U907" t="str">
        <f>IFERROR(IF(OR(HLOOKUP($A907,#REF!,19,FALSE)&gt;2,HLOOKUP($A907,#REF!,19,FALSE)&lt;-2),"",#REF!),"")</f>
        <v/>
      </c>
      <c r="V907">
        <f t="shared" si="56"/>
        <v>1</v>
      </c>
      <c r="W907" t="str">
        <f t="shared" si="57"/>
        <v/>
      </c>
      <c r="X907" t="str">
        <f t="shared" si="58"/>
        <v/>
      </c>
      <c r="Y907" t="str">
        <f t="shared" si="59"/>
        <v/>
      </c>
    </row>
    <row r="908" spans="1:25" x14ac:dyDescent="0.35">
      <c r="A908">
        <v>916</v>
      </c>
      <c r="B908" t="s">
        <v>1066</v>
      </c>
      <c r="C908">
        <v>98500</v>
      </c>
      <c r="D908">
        <v>848</v>
      </c>
      <c r="E908" t="str">
        <f>IFERROR(IF(OR(HLOOKUP($A908,#REF!,3,FALSE)&gt;2,HLOOKUP(A908,#REF!,3,FALSE)&lt;-2),"",#REF!),"")</f>
        <v/>
      </c>
      <c r="F908" t="str">
        <f>IFERROR(IF(OR(HLOOKUP($A908,#REF!,4,FALSE)&gt;2,HLOOKUP($A908,#REF!,4,FALSE)&lt;-2),"",#REF!),"")</f>
        <v/>
      </c>
      <c r="G908" t="str">
        <f>IFERROR(IF(OR(HLOOKUP($A908,#REF!,5,FALSE)&gt;2,HLOOKUP($A908,#REF!,5,FALSE)&lt;-2),"",#REF!),"")</f>
        <v/>
      </c>
      <c r="H908" t="str">
        <f>IFERROR(IF(OR(HLOOKUP($A908,#REF!,6,FALSE)&gt;2,HLOOKUP($A908,#REF!,6,FALSE)&lt;-2),"",#REF!),"")</f>
        <v/>
      </c>
      <c r="I908" t="str">
        <f>IFERROR(IF(OR(HLOOKUP($A908,#REF!,7,FALSE)&gt;2,HLOOKUP($A908,#REF!,7,FALSE)&lt;-2),"",#REF!),"")</f>
        <v/>
      </c>
      <c r="J908" t="str">
        <f>IFERROR(IF(OR(HLOOKUP($A908,#REF!,8,FALSE)&gt;2,HLOOKUP($A908,#REF!,8,FALSE)&lt;-2),"",#REF!),"")</f>
        <v/>
      </c>
      <c r="K908" t="str">
        <f>IFERROR(IF(OR(HLOOKUP($A908,#REF!,9,FALSE)&gt;2,HLOOKUP($A908,#REF!,9,FALSE)&lt;-2),"",#REF!),"")</f>
        <v/>
      </c>
      <c r="L908" t="str">
        <f>IFERROR(IF(OR(HLOOKUP($A908,#REF!,10,FALSE)&gt;2,HLOOKUP($A908,#REF!,10,FALSE)&lt;-2),"",#REF!),"")</f>
        <v/>
      </c>
      <c r="M908" t="str">
        <f>IFERROR(IF(OR(HLOOKUP($A908,#REF!,11,FALSE)&gt;2,HLOOKUP($A908,#REF!,11,FALSE)&lt;-2),"",#REF!),"")</f>
        <v/>
      </c>
      <c r="N908" t="str">
        <f>IFERROR(IF(OR(HLOOKUP($A908,#REF!,12,FALSE)&gt;2,HLOOKUP($A908,#REF!,12,FALSE)&lt;-2),"",#REF!),"")</f>
        <v/>
      </c>
      <c r="O908" t="str">
        <f>IFERROR(IF(OR(HLOOKUP($A908,#REF!,13,FALSE)&gt;2,HLOOKUP($A908,#REF!,13,FALSE)&lt;-2),"",#REF!),"")</f>
        <v/>
      </c>
      <c r="P908" t="str">
        <f>IFERROR(IF(OR(HLOOKUP($A908,#REF!,14,FALSE)&gt;2,HLOOKUP($A908,#REF!,14,FALSE)&lt;-2),"",#REF!),"")</f>
        <v/>
      </c>
      <c r="Q908" t="str">
        <f>IFERROR(IF(OR(HLOOKUP($A908,#REF!,15,FALSE)&gt;2,HLOOKUP($A908,#REF!,15,FALSE)&lt;-2),"",#REF!),"")</f>
        <v/>
      </c>
      <c r="R908" t="str">
        <f>IFERROR(IF(OR(HLOOKUP($A908,#REF!,16,FALSE)&gt;2,HLOOKUP($A908,#REF!,16,FALSE)&lt;-2),"",#REF!),"")</f>
        <v/>
      </c>
      <c r="S908" t="str">
        <f>IFERROR(IF(OR(HLOOKUP($A908,#REF!,17,FALSE)&gt;2,HLOOKUP($A908,#REF!,17,FALSE)&lt;-2),"",#REF!),"")</f>
        <v/>
      </c>
      <c r="T908" t="str">
        <f>IFERROR(IF(OR(HLOOKUP($A908,#REF!,18,FALSE)&gt;2,HLOOKUP($A908,#REF!,18,FALSE)&lt;-2),"",#REF!),"")</f>
        <v/>
      </c>
      <c r="U908" t="str">
        <f>IFERROR(IF(OR(HLOOKUP($A908,#REF!,19,FALSE)&gt;2,HLOOKUP($A908,#REF!,19,FALSE)&lt;-2),"",#REF!),"")</f>
        <v/>
      </c>
      <c r="V908">
        <f t="shared" si="56"/>
        <v>1</v>
      </c>
      <c r="W908" t="str">
        <f t="shared" si="57"/>
        <v/>
      </c>
      <c r="X908" t="str">
        <f t="shared" si="58"/>
        <v/>
      </c>
      <c r="Y908" t="str">
        <f t="shared" si="59"/>
        <v/>
      </c>
    </row>
    <row r="909" spans="1:25" x14ac:dyDescent="0.35">
      <c r="A909">
        <v>917</v>
      </c>
      <c r="B909" t="s">
        <v>1067</v>
      </c>
      <c r="C909">
        <v>101500</v>
      </c>
      <c r="D909">
        <v>967</v>
      </c>
      <c r="E909" t="str">
        <f>IFERROR(IF(OR(HLOOKUP($A909,#REF!,3,FALSE)&gt;2,HLOOKUP(A909,#REF!,3,FALSE)&lt;-2),"",#REF!),"")</f>
        <v/>
      </c>
      <c r="F909" t="str">
        <f>IFERROR(IF(OR(HLOOKUP($A909,#REF!,4,FALSE)&gt;2,HLOOKUP($A909,#REF!,4,FALSE)&lt;-2),"",#REF!),"")</f>
        <v/>
      </c>
      <c r="G909" t="str">
        <f>IFERROR(IF(OR(HLOOKUP($A909,#REF!,5,FALSE)&gt;2,HLOOKUP($A909,#REF!,5,FALSE)&lt;-2),"",#REF!),"")</f>
        <v/>
      </c>
      <c r="H909" t="str">
        <f>IFERROR(IF(OR(HLOOKUP($A909,#REF!,6,FALSE)&gt;2,HLOOKUP($A909,#REF!,6,FALSE)&lt;-2),"",#REF!),"")</f>
        <v/>
      </c>
      <c r="I909" t="str">
        <f>IFERROR(IF(OR(HLOOKUP($A909,#REF!,7,FALSE)&gt;2,HLOOKUP($A909,#REF!,7,FALSE)&lt;-2),"",#REF!),"")</f>
        <v/>
      </c>
      <c r="J909" t="str">
        <f>IFERROR(IF(OR(HLOOKUP($A909,#REF!,8,FALSE)&gt;2,HLOOKUP($A909,#REF!,8,FALSE)&lt;-2),"",#REF!),"")</f>
        <v/>
      </c>
      <c r="K909" t="str">
        <f>IFERROR(IF(OR(HLOOKUP($A909,#REF!,9,FALSE)&gt;2,HLOOKUP($A909,#REF!,9,FALSE)&lt;-2),"",#REF!),"")</f>
        <v/>
      </c>
      <c r="L909" t="str">
        <f>IFERROR(IF(OR(HLOOKUP($A909,#REF!,10,FALSE)&gt;2,HLOOKUP($A909,#REF!,10,FALSE)&lt;-2),"",#REF!),"")</f>
        <v/>
      </c>
      <c r="M909" t="str">
        <f>IFERROR(IF(OR(HLOOKUP($A909,#REF!,11,FALSE)&gt;2,HLOOKUP($A909,#REF!,11,FALSE)&lt;-2),"",#REF!),"")</f>
        <v/>
      </c>
      <c r="N909" t="str">
        <f>IFERROR(IF(OR(HLOOKUP($A909,#REF!,12,FALSE)&gt;2,HLOOKUP($A909,#REF!,12,FALSE)&lt;-2),"",#REF!),"")</f>
        <v/>
      </c>
      <c r="O909" t="str">
        <f>IFERROR(IF(OR(HLOOKUP($A909,#REF!,13,FALSE)&gt;2,HLOOKUP($A909,#REF!,13,FALSE)&lt;-2),"",#REF!),"")</f>
        <v/>
      </c>
      <c r="P909" t="str">
        <f>IFERROR(IF(OR(HLOOKUP($A909,#REF!,14,FALSE)&gt;2,HLOOKUP($A909,#REF!,14,FALSE)&lt;-2),"",#REF!),"")</f>
        <v/>
      </c>
      <c r="Q909" t="str">
        <f>IFERROR(IF(OR(HLOOKUP($A909,#REF!,15,FALSE)&gt;2,HLOOKUP($A909,#REF!,15,FALSE)&lt;-2),"",#REF!),"")</f>
        <v/>
      </c>
      <c r="R909" t="str">
        <f>IFERROR(IF(OR(HLOOKUP($A909,#REF!,16,FALSE)&gt;2,HLOOKUP($A909,#REF!,16,FALSE)&lt;-2),"",#REF!),"")</f>
        <v/>
      </c>
      <c r="S909" t="str">
        <f>IFERROR(IF(OR(HLOOKUP($A909,#REF!,17,FALSE)&gt;2,HLOOKUP($A909,#REF!,17,FALSE)&lt;-2),"",#REF!),"")</f>
        <v/>
      </c>
      <c r="T909" t="str">
        <f>IFERROR(IF(OR(HLOOKUP($A909,#REF!,18,FALSE)&gt;2,HLOOKUP($A909,#REF!,18,FALSE)&lt;-2),"",#REF!),"")</f>
        <v/>
      </c>
      <c r="U909" t="str">
        <f>IFERROR(IF(OR(HLOOKUP($A909,#REF!,19,FALSE)&gt;2,HLOOKUP($A909,#REF!,19,FALSE)&lt;-2),"",#REF!),"")</f>
        <v/>
      </c>
      <c r="V909">
        <f t="shared" si="56"/>
        <v>1</v>
      </c>
      <c r="W909" t="str">
        <f t="shared" si="57"/>
        <v/>
      </c>
      <c r="X909" t="str">
        <f t="shared" si="58"/>
        <v/>
      </c>
      <c r="Y909" t="str">
        <f t="shared" si="59"/>
        <v/>
      </c>
    </row>
    <row r="910" spans="1:25" x14ac:dyDescent="0.35">
      <c r="A910">
        <v>918</v>
      </c>
      <c r="B910" t="s">
        <v>445</v>
      </c>
      <c r="C910">
        <v>41350</v>
      </c>
      <c r="D910">
        <v>909</v>
      </c>
      <c r="E910" t="str">
        <f>IFERROR(IF(OR(HLOOKUP($A910,#REF!,3,FALSE)&gt;2,HLOOKUP(A910,#REF!,3,FALSE)&lt;-2),"",#REF!),"")</f>
        <v/>
      </c>
      <c r="F910" t="str">
        <f>IFERROR(IF(OR(HLOOKUP($A910,#REF!,4,FALSE)&gt;2,HLOOKUP($A910,#REF!,4,FALSE)&lt;-2),"",#REF!),"")</f>
        <v/>
      </c>
      <c r="G910" t="str">
        <f>IFERROR(IF(OR(HLOOKUP($A910,#REF!,5,FALSE)&gt;2,HLOOKUP($A910,#REF!,5,FALSE)&lt;-2),"",#REF!),"")</f>
        <v/>
      </c>
      <c r="H910" t="str">
        <f>IFERROR(IF(OR(HLOOKUP($A910,#REF!,6,FALSE)&gt;2,HLOOKUP($A910,#REF!,6,FALSE)&lt;-2),"",#REF!),"")</f>
        <v/>
      </c>
      <c r="I910" t="str">
        <f>IFERROR(IF(OR(HLOOKUP($A910,#REF!,7,FALSE)&gt;2,HLOOKUP($A910,#REF!,7,FALSE)&lt;-2),"",#REF!),"")</f>
        <v/>
      </c>
      <c r="J910" t="str">
        <f>IFERROR(IF(OR(HLOOKUP($A910,#REF!,8,FALSE)&gt;2,HLOOKUP($A910,#REF!,8,FALSE)&lt;-2),"",#REF!),"")</f>
        <v/>
      </c>
      <c r="K910" t="str">
        <f>IFERROR(IF(OR(HLOOKUP($A910,#REF!,9,FALSE)&gt;2,HLOOKUP($A910,#REF!,9,FALSE)&lt;-2),"",#REF!),"")</f>
        <v/>
      </c>
      <c r="L910" t="str">
        <f>IFERROR(IF(OR(HLOOKUP($A910,#REF!,10,FALSE)&gt;2,HLOOKUP($A910,#REF!,10,FALSE)&lt;-2),"",#REF!),"")</f>
        <v/>
      </c>
      <c r="M910" t="str">
        <f>IFERROR(IF(OR(HLOOKUP($A910,#REF!,11,FALSE)&gt;2,HLOOKUP($A910,#REF!,11,FALSE)&lt;-2),"",#REF!),"")</f>
        <v/>
      </c>
      <c r="N910" t="str">
        <f>IFERROR(IF(OR(HLOOKUP($A910,#REF!,12,FALSE)&gt;2,HLOOKUP($A910,#REF!,12,FALSE)&lt;-2),"",#REF!),"")</f>
        <v/>
      </c>
      <c r="O910" t="str">
        <f>IFERROR(IF(OR(HLOOKUP($A910,#REF!,13,FALSE)&gt;2,HLOOKUP($A910,#REF!,13,FALSE)&lt;-2),"",#REF!),"")</f>
        <v/>
      </c>
      <c r="P910" t="str">
        <f>IFERROR(IF(OR(HLOOKUP($A910,#REF!,14,FALSE)&gt;2,HLOOKUP($A910,#REF!,14,FALSE)&lt;-2),"",#REF!),"")</f>
        <v/>
      </c>
      <c r="Q910" t="str">
        <f>IFERROR(IF(OR(HLOOKUP($A910,#REF!,15,FALSE)&gt;2,HLOOKUP($A910,#REF!,15,FALSE)&lt;-2),"",#REF!),"")</f>
        <v/>
      </c>
      <c r="R910" t="str">
        <f>IFERROR(IF(OR(HLOOKUP($A910,#REF!,16,FALSE)&gt;2,HLOOKUP($A910,#REF!,16,FALSE)&lt;-2),"",#REF!),"")</f>
        <v/>
      </c>
      <c r="S910" t="str">
        <f>IFERROR(IF(OR(HLOOKUP($A910,#REF!,17,FALSE)&gt;2,HLOOKUP($A910,#REF!,17,FALSE)&lt;-2),"",#REF!),"")</f>
        <v/>
      </c>
      <c r="T910" t="str">
        <f>IFERROR(IF(OR(HLOOKUP($A910,#REF!,18,FALSE)&gt;2,HLOOKUP($A910,#REF!,18,FALSE)&lt;-2),"",#REF!),"")</f>
        <v/>
      </c>
      <c r="U910" t="str">
        <f>IFERROR(IF(OR(HLOOKUP($A910,#REF!,19,FALSE)&gt;2,HLOOKUP($A910,#REF!,19,FALSE)&lt;-2),"",#REF!),"")</f>
        <v/>
      </c>
      <c r="V910">
        <f t="shared" si="56"/>
        <v>1</v>
      </c>
      <c r="W910" t="str">
        <f t="shared" si="57"/>
        <v/>
      </c>
      <c r="X910" t="str">
        <f t="shared" si="58"/>
        <v/>
      </c>
      <c r="Y910" t="str">
        <f t="shared" si="59"/>
        <v/>
      </c>
    </row>
    <row r="911" spans="1:25" x14ac:dyDescent="0.35">
      <c r="A911">
        <v>919</v>
      </c>
      <c r="B911" t="s">
        <v>446</v>
      </c>
      <c r="C911">
        <v>19300</v>
      </c>
      <c r="D911">
        <v>39</v>
      </c>
      <c r="E911" t="str">
        <f>IFERROR(IF(OR(HLOOKUP($A911,#REF!,3,FALSE)&gt;2,HLOOKUP(A911,#REF!,3,FALSE)&lt;-2),"",#REF!),"")</f>
        <v/>
      </c>
      <c r="F911" t="str">
        <f>IFERROR(IF(OR(HLOOKUP($A911,#REF!,4,FALSE)&gt;2,HLOOKUP($A911,#REF!,4,FALSE)&lt;-2),"",#REF!),"")</f>
        <v/>
      </c>
      <c r="G911" t="str">
        <f>IFERROR(IF(OR(HLOOKUP($A911,#REF!,5,FALSE)&gt;2,HLOOKUP($A911,#REF!,5,FALSE)&lt;-2),"",#REF!),"")</f>
        <v/>
      </c>
      <c r="H911" t="str">
        <f>IFERROR(IF(OR(HLOOKUP($A911,#REF!,6,FALSE)&gt;2,HLOOKUP($A911,#REF!,6,FALSE)&lt;-2),"",#REF!),"")</f>
        <v/>
      </c>
      <c r="I911" t="str">
        <f>IFERROR(IF(OR(HLOOKUP($A911,#REF!,7,FALSE)&gt;2,HLOOKUP($A911,#REF!,7,FALSE)&lt;-2),"",#REF!),"")</f>
        <v/>
      </c>
      <c r="J911" t="str">
        <f>IFERROR(IF(OR(HLOOKUP($A911,#REF!,8,FALSE)&gt;2,HLOOKUP($A911,#REF!,8,FALSE)&lt;-2),"",#REF!),"")</f>
        <v/>
      </c>
      <c r="K911" t="str">
        <f>IFERROR(IF(OR(HLOOKUP($A911,#REF!,9,FALSE)&gt;2,HLOOKUP($A911,#REF!,9,FALSE)&lt;-2),"",#REF!),"")</f>
        <v/>
      </c>
      <c r="L911" t="str">
        <f>IFERROR(IF(OR(HLOOKUP($A911,#REF!,10,FALSE)&gt;2,HLOOKUP($A911,#REF!,10,FALSE)&lt;-2),"",#REF!),"")</f>
        <v/>
      </c>
      <c r="M911" t="str">
        <f>IFERROR(IF(OR(HLOOKUP($A911,#REF!,11,FALSE)&gt;2,HLOOKUP($A911,#REF!,11,FALSE)&lt;-2),"",#REF!),"")</f>
        <v/>
      </c>
      <c r="N911" t="str">
        <f>IFERROR(IF(OR(HLOOKUP($A911,#REF!,12,FALSE)&gt;2,HLOOKUP($A911,#REF!,12,FALSE)&lt;-2),"",#REF!),"")</f>
        <v/>
      </c>
      <c r="O911" t="str">
        <f>IFERROR(IF(OR(HLOOKUP($A911,#REF!,13,FALSE)&gt;2,HLOOKUP($A911,#REF!,13,FALSE)&lt;-2),"",#REF!),"")</f>
        <v/>
      </c>
      <c r="P911" t="str">
        <f>IFERROR(IF(OR(HLOOKUP($A911,#REF!,14,FALSE)&gt;2,HLOOKUP($A911,#REF!,14,FALSE)&lt;-2),"",#REF!),"")</f>
        <v/>
      </c>
      <c r="Q911" t="str">
        <f>IFERROR(IF(OR(HLOOKUP($A911,#REF!,15,FALSE)&gt;2,HLOOKUP($A911,#REF!,15,FALSE)&lt;-2),"",#REF!),"")</f>
        <v/>
      </c>
      <c r="R911" t="str">
        <f>IFERROR(IF(OR(HLOOKUP($A911,#REF!,16,FALSE)&gt;2,HLOOKUP($A911,#REF!,16,FALSE)&lt;-2),"",#REF!),"")</f>
        <v/>
      </c>
      <c r="S911" t="str">
        <f>IFERROR(IF(OR(HLOOKUP($A911,#REF!,17,FALSE)&gt;2,HLOOKUP($A911,#REF!,17,FALSE)&lt;-2),"",#REF!),"")</f>
        <v/>
      </c>
      <c r="T911" t="str">
        <f>IFERROR(IF(OR(HLOOKUP($A911,#REF!,18,FALSE)&gt;2,HLOOKUP($A911,#REF!,18,FALSE)&lt;-2),"",#REF!),"")</f>
        <v/>
      </c>
      <c r="U911" t="str">
        <f>IFERROR(IF(OR(HLOOKUP($A911,#REF!,19,FALSE)&gt;2,HLOOKUP($A911,#REF!,19,FALSE)&lt;-2),"",#REF!),"")</f>
        <v/>
      </c>
      <c r="V911">
        <f t="shared" si="56"/>
        <v>1</v>
      </c>
      <c r="W911" t="str">
        <f t="shared" si="57"/>
        <v/>
      </c>
      <c r="X911" t="str">
        <f t="shared" si="58"/>
        <v/>
      </c>
      <c r="Y911" t="str">
        <f t="shared" si="59"/>
        <v/>
      </c>
    </row>
    <row r="912" spans="1:25" x14ac:dyDescent="0.35">
      <c r="A912">
        <v>920</v>
      </c>
      <c r="B912" t="s">
        <v>447</v>
      </c>
      <c r="C912">
        <v>55400</v>
      </c>
      <c r="D912">
        <v>645</v>
      </c>
      <c r="E912" t="str">
        <f>IFERROR(IF(OR(HLOOKUP($A912,#REF!,3,FALSE)&gt;2,HLOOKUP(A912,#REF!,3,FALSE)&lt;-2),"",#REF!),"")</f>
        <v/>
      </c>
      <c r="F912" t="str">
        <f>IFERROR(IF(OR(HLOOKUP($A912,#REF!,4,FALSE)&gt;2,HLOOKUP($A912,#REF!,4,FALSE)&lt;-2),"",#REF!),"")</f>
        <v/>
      </c>
      <c r="G912" t="str">
        <f>IFERROR(IF(OR(HLOOKUP($A912,#REF!,5,FALSE)&gt;2,HLOOKUP($A912,#REF!,5,FALSE)&lt;-2),"",#REF!),"")</f>
        <v/>
      </c>
      <c r="H912" t="str">
        <f>IFERROR(IF(OR(HLOOKUP($A912,#REF!,6,FALSE)&gt;2,HLOOKUP($A912,#REF!,6,FALSE)&lt;-2),"",#REF!),"")</f>
        <v/>
      </c>
      <c r="I912" t="str">
        <f>IFERROR(IF(OR(HLOOKUP($A912,#REF!,7,FALSE)&gt;2,HLOOKUP($A912,#REF!,7,FALSE)&lt;-2),"",#REF!),"")</f>
        <v/>
      </c>
      <c r="J912" t="str">
        <f>IFERROR(IF(OR(HLOOKUP($A912,#REF!,8,FALSE)&gt;2,HLOOKUP($A912,#REF!,8,FALSE)&lt;-2),"",#REF!),"")</f>
        <v/>
      </c>
      <c r="K912" t="str">
        <f>IFERROR(IF(OR(HLOOKUP($A912,#REF!,9,FALSE)&gt;2,HLOOKUP($A912,#REF!,9,FALSE)&lt;-2),"",#REF!),"")</f>
        <v/>
      </c>
      <c r="L912" t="str">
        <f>IFERROR(IF(OR(HLOOKUP($A912,#REF!,10,FALSE)&gt;2,HLOOKUP($A912,#REF!,10,FALSE)&lt;-2),"",#REF!),"")</f>
        <v/>
      </c>
      <c r="M912" t="str">
        <f>IFERROR(IF(OR(HLOOKUP($A912,#REF!,11,FALSE)&gt;2,HLOOKUP($A912,#REF!,11,FALSE)&lt;-2),"",#REF!),"")</f>
        <v/>
      </c>
      <c r="N912" t="str">
        <f>IFERROR(IF(OR(HLOOKUP($A912,#REF!,12,FALSE)&gt;2,HLOOKUP($A912,#REF!,12,FALSE)&lt;-2),"",#REF!),"")</f>
        <v/>
      </c>
      <c r="O912" t="str">
        <f>IFERROR(IF(OR(HLOOKUP($A912,#REF!,13,FALSE)&gt;2,HLOOKUP($A912,#REF!,13,FALSE)&lt;-2),"",#REF!),"")</f>
        <v/>
      </c>
      <c r="P912" t="str">
        <f>IFERROR(IF(OR(HLOOKUP($A912,#REF!,14,FALSE)&gt;2,HLOOKUP($A912,#REF!,14,FALSE)&lt;-2),"",#REF!),"")</f>
        <v/>
      </c>
      <c r="Q912" t="str">
        <f>IFERROR(IF(OR(HLOOKUP($A912,#REF!,15,FALSE)&gt;2,HLOOKUP($A912,#REF!,15,FALSE)&lt;-2),"",#REF!),"")</f>
        <v/>
      </c>
      <c r="R912" t="str">
        <f>IFERROR(IF(OR(HLOOKUP($A912,#REF!,16,FALSE)&gt;2,HLOOKUP($A912,#REF!,16,FALSE)&lt;-2),"",#REF!),"")</f>
        <v/>
      </c>
      <c r="S912" t="str">
        <f>IFERROR(IF(OR(HLOOKUP($A912,#REF!,17,FALSE)&gt;2,HLOOKUP($A912,#REF!,17,FALSE)&lt;-2),"",#REF!),"")</f>
        <v/>
      </c>
      <c r="T912" t="str">
        <f>IFERROR(IF(OR(HLOOKUP($A912,#REF!,18,FALSE)&gt;2,HLOOKUP($A912,#REF!,18,FALSE)&lt;-2),"",#REF!),"")</f>
        <v/>
      </c>
      <c r="U912" t="str">
        <f>IFERROR(IF(OR(HLOOKUP($A912,#REF!,19,FALSE)&gt;2,HLOOKUP($A912,#REF!,19,FALSE)&lt;-2),"",#REF!),"")</f>
        <v/>
      </c>
      <c r="V912">
        <f t="shared" si="56"/>
        <v>1</v>
      </c>
      <c r="W912" t="str">
        <f t="shared" si="57"/>
        <v/>
      </c>
      <c r="X912" t="str">
        <f t="shared" si="58"/>
        <v/>
      </c>
      <c r="Y912" t="str">
        <f t="shared" si="59"/>
        <v/>
      </c>
    </row>
    <row r="913" spans="1:25" x14ac:dyDescent="0.35">
      <c r="A913">
        <v>921</v>
      </c>
      <c r="B913" t="s">
        <v>1068</v>
      </c>
      <c r="C913">
        <v>3200</v>
      </c>
      <c r="D913">
        <v>322</v>
      </c>
      <c r="E913" t="str">
        <f>IFERROR(IF(OR(HLOOKUP($A913,#REF!,3,FALSE)&gt;2,HLOOKUP(A913,#REF!,3,FALSE)&lt;-2),"",#REF!),"")</f>
        <v/>
      </c>
      <c r="F913" t="str">
        <f>IFERROR(IF(OR(HLOOKUP($A913,#REF!,4,FALSE)&gt;2,HLOOKUP($A913,#REF!,4,FALSE)&lt;-2),"",#REF!),"")</f>
        <v/>
      </c>
      <c r="G913" t="str">
        <f>IFERROR(IF(OR(HLOOKUP($A913,#REF!,5,FALSE)&gt;2,HLOOKUP($A913,#REF!,5,FALSE)&lt;-2),"",#REF!),"")</f>
        <v/>
      </c>
      <c r="H913" t="str">
        <f>IFERROR(IF(OR(HLOOKUP($A913,#REF!,6,FALSE)&gt;2,HLOOKUP($A913,#REF!,6,FALSE)&lt;-2),"",#REF!),"")</f>
        <v/>
      </c>
      <c r="I913" t="str">
        <f>IFERROR(IF(OR(HLOOKUP($A913,#REF!,7,FALSE)&gt;2,HLOOKUP($A913,#REF!,7,FALSE)&lt;-2),"",#REF!),"")</f>
        <v/>
      </c>
      <c r="J913" t="str">
        <f>IFERROR(IF(OR(HLOOKUP($A913,#REF!,8,FALSE)&gt;2,HLOOKUP($A913,#REF!,8,FALSE)&lt;-2),"",#REF!),"")</f>
        <v/>
      </c>
      <c r="K913" t="str">
        <f>IFERROR(IF(OR(HLOOKUP($A913,#REF!,9,FALSE)&gt;2,HLOOKUP($A913,#REF!,9,FALSE)&lt;-2),"",#REF!),"")</f>
        <v/>
      </c>
      <c r="L913" t="str">
        <f>IFERROR(IF(OR(HLOOKUP($A913,#REF!,10,FALSE)&gt;2,HLOOKUP($A913,#REF!,10,FALSE)&lt;-2),"",#REF!),"")</f>
        <v/>
      </c>
      <c r="M913" t="str">
        <f>IFERROR(IF(OR(HLOOKUP($A913,#REF!,11,FALSE)&gt;2,HLOOKUP($A913,#REF!,11,FALSE)&lt;-2),"",#REF!),"")</f>
        <v/>
      </c>
      <c r="N913" t="str">
        <f>IFERROR(IF(OR(HLOOKUP($A913,#REF!,12,FALSE)&gt;2,HLOOKUP($A913,#REF!,12,FALSE)&lt;-2),"",#REF!),"")</f>
        <v/>
      </c>
      <c r="O913" t="str">
        <f>IFERROR(IF(OR(HLOOKUP($A913,#REF!,13,FALSE)&gt;2,HLOOKUP($A913,#REF!,13,FALSE)&lt;-2),"",#REF!),"")</f>
        <v/>
      </c>
      <c r="P913" t="str">
        <f>IFERROR(IF(OR(HLOOKUP($A913,#REF!,14,FALSE)&gt;2,HLOOKUP($A913,#REF!,14,FALSE)&lt;-2),"",#REF!),"")</f>
        <v/>
      </c>
      <c r="Q913" t="str">
        <f>IFERROR(IF(OR(HLOOKUP($A913,#REF!,15,FALSE)&gt;2,HLOOKUP($A913,#REF!,15,FALSE)&lt;-2),"",#REF!),"")</f>
        <v/>
      </c>
      <c r="R913" t="str">
        <f>IFERROR(IF(OR(HLOOKUP($A913,#REF!,16,FALSE)&gt;2,HLOOKUP($A913,#REF!,16,FALSE)&lt;-2),"",#REF!),"")</f>
        <v/>
      </c>
      <c r="S913" t="str">
        <f>IFERROR(IF(OR(HLOOKUP($A913,#REF!,17,FALSE)&gt;2,HLOOKUP($A913,#REF!,17,FALSE)&lt;-2),"",#REF!),"")</f>
        <v/>
      </c>
      <c r="T913" t="str">
        <f>IFERROR(IF(OR(HLOOKUP($A913,#REF!,18,FALSE)&gt;2,HLOOKUP($A913,#REF!,18,FALSE)&lt;-2),"",#REF!),"")</f>
        <v/>
      </c>
      <c r="U913" t="str">
        <f>IFERROR(IF(OR(HLOOKUP($A913,#REF!,19,FALSE)&gt;2,HLOOKUP($A913,#REF!,19,FALSE)&lt;-2),"",#REF!),"")</f>
        <v/>
      </c>
      <c r="V913">
        <f t="shared" si="56"/>
        <v>1</v>
      </c>
      <c r="W913" t="str">
        <f t="shared" si="57"/>
        <v/>
      </c>
      <c r="X913" t="str">
        <f t="shared" si="58"/>
        <v/>
      </c>
      <c r="Y913" t="str">
        <f t="shared" si="59"/>
        <v/>
      </c>
    </row>
    <row r="914" spans="1:25" x14ac:dyDescent="0.35">
      <c r="A914">
        <v>922</v>
      </c>
      <c r="B914" t="s">
        <v>1069</v>
      </c>
      <c r="C914">
        <v>28700</v>
      </c>
      <c r="D914">
        <v>315</v>
      </c>
      <c r="E914" t="str">
        <f>IFERROR(IF(OR(HLOOKUP($A914,#REF!,3,FALSE)&gt;2,HLOOKUP(A914,#REF!,3,FALSE)&lt;-2),"",#REF!),"")</f>
        <v/>
      </c>
      <c r="F914" t="str">
        <f>IFERROR(IF(OR(HLOOKUP($A914,#REF!,4,FALSE)&gt;2,HLOOKUP($A914,#REF!,4,FALSE)&lt;-2),"",#REF!),"")</f>
        <v/>
      </c>
      <c r="G914" t="str">
        <f>IFERROR(IF(OR(HLOOKUP($A914,#REF!,5,FALSE)&gt;2,HLOOKUP($A914,#REF!,5,FALSE)&lt;-2),"",#REF!),"")</f>
        <v/>
      </c>
      <c r="H914" t="str">
        <f>IFERROR(IF(OR(HLOOKUP($A914,#REF!,6,FALSE)&gt;2,HLOOKUP($A914,#REF!,6,FALSE)&lt;-2),"",#REF!),"")</f>
        <v/>
      </c>
      <c r="I914" t="str">
        <f>IFERROR(IF(OR(HLOOKUP($A914,#REF!,7,FALSE)&gt;2,HLOOKUP($A914,#REF!,7,FALSE)&lt;-2),"",#REF!),"")</f>
        <v/>
      </c>
      <c r="J914" t="str">
        <f>IFERROR(IF(OR(HLOOKUP($A914,#REF!,8,FALSE)&gt;2,HLOOKUP($A914,#REF!,8,FALSE)&lt;-2),"",#REF!),"")</f>
        <v/>
      </c>
      <c r="K914" t="str">
        <f>IFERROR(IF(OR(HLOOKUP($A914,#REF!,9,FALSE)&gt;2,HLOOKUP($A914,#REF!,9,FALSE)&lt;-2),"",#REF!),"")</f>
        <v/>
      </c>
      <c r="L914" t="str">
        <f>IFERROR(IF(OR(HLOOKUP($A914,#REF!,10,FALSE)&gt;2,HLOOKUP($A914,#REF!,10,FALSE)&lt;-2),"",#REF!),"")</f>
        <v/>
      </c>
      <c r="M914" t="str">
        <f>IFERROR(IF(OR(HLOOKUP($A914,#REF!,11,FALSE)&gt;2,HLOOKUP($A914,#REF!,11,FALSE)&lt;-2),"",#REF!),"")</f>
        <v/>
      </c>
      <c r="N914" t="str">
        <f>IFERROR(IF(OR(HLOOKUP($A914,#REF!,12,FALSE)&gt;2,HLOOKUP($A914,#REF!,12,FALSE)&lt;-2),"",#REF!),"")</f>
        <v/>
      </c>
      <c r="O914" t="str">
        <f>IFERROR(IF(OR(HLOOKUP($A914,#REF!,13,FALSE)&gt;2,HLOOKUP($A914,#REF!,13,FALSE)&lt;-2),"",#REF!),"")</f>
        <v/>
      </c>
      <c r="P914" t="str">
        <f>IFERROR(IF(OR(HLOOKUP($A914,#REF!,14,FALSE)&gt;2,HLOOKUP($A914,#REF!,14,FALSE)&lt;-2),"",#REF!),"")</f>
        <v/>
      </c>
      <c r="Q914" t="str">
        <f>IFERROR(IF(OR(HLOOKUP($A914,#REF!,15,FALSE)&gt;2,HLOOKUP($A914,#REF!,15,FALSE)&lt;-2),"",#REF!),"")</f>
        <v/>
      </c>
      <c r="R914" t="str">
        <f>IFERROR(IF(OR(HLOOKUP($A914,#REF!,16,FALSE)&gt;2,HLOOKUP($A914,#REF!,16,FALSE)&lt;-2),"",#REF!),"")</f>
        <v/>
      </c>
      <c r="S914" t="str">
        <f>IFERROR(IF(OR(HLOOKUP($A914,#REF!,17,FALSE)&gt;2,HLOOKUP($A914,#REF!,17,FALSE)&lt;-2),"",#REF!),"")</f>
        <v/>
      </c>
      <c r="T914" t="str">
        <f>IFERROR(IF(OR(HLOOKUP($A914,#REF!,18,FALSE)&gt;2,HLOOKUP($A914,#REF!,18,FALSE)&lt;-2),"",#REF!),"")</f>
        <v/>
      </c>
      <c r="U914" t="str">
        <f>IFERROR(IF(OR(HLOOKUP($A914,#REF!,19,FALSE)&gt;2,HLOOKUP($A914,#REF!,19,FALSE)&lt;-2),"",#REF!),"")</f>
        <v/>
      </c>
      <c r="V914">
        <f t="shared" si="56"/>
        <v>1</v>
      </c>
      <c r="W914" t="str">
        <f t="shared" si="57"/>
        <v/>
      </c>
      <c r="X914" t="str">
        <f t="shared" si="58"/>
        <v/>
      </c>
      <c r="Y914" t="str">
        <f t="shared" si="59"/>
        <v/>
      </c>
    </row>
    <row r="915" spans="1:25" x14ac:dyDescent="0.35">
      <c r="A915">
        <v>923</v>
      </c>
      <c r="B915" t="s">
        <v>1070</v>
      </c>
      <c r="C915">
        <v>86500</v>
      </c>
      <c r="D915">
        <v>890</v>
      </c>
      <c r="E915" t="str">
        <f>IFERROR(IF(OR(HLOOKUP($A915,#REF!,3,FALSE)&gt;2,HLOOKUP(A915,#REF!,3,FALSE)&lt;-2),"",#REF!),"")</f>
        <v/>
      </c>
      <c r="F915" t="str">
        <f>IFERROR(IF(OR(HLOOKUP($A915,#REF!,4,FALSE)&gt;2,HLOOKUP($A915,#REF!,4,FALSE)&lt;-2),"",#REF!),"")</f>
        <v/>
      </c>
      <c r="G915" t="str">
        <f>IFERROR(IF(OR(HLOOKUP($A915,#REF!,5,FALSE)&gt;2,HLOOKUP($A915,#REF!,5,FALSE)&lt;-2),"",#REF!),"")</f>
        <v/>
      </c>
      <c r="H915" t="str">
        <f>IFERROR(IF(OR(HLOOKUP($A915,#REF!,6,FALSE)&gt;2,HLOOKUP($A915,#REF!,6,FALSE)&lt;-2),"",#REF!),"")</f>
        <v/>
      </c>
      <c r="I915" t="str">
        <f>IFERROR(IF(OR(HLOOKUP($A915,#REF!,7,FALSE)&gt;2,HLOOKUP($A915,#REF!,7,FALSE)&lt;-2),"",#REF!),"")</f>
        <v/>
      </c>
      <c r="J915" t="str">
        <f>IFERROR(IF(OR(HLOOKUP($A915,#REF!,8,FALSE)&gt;2,HLOOKUP($A915,#REF!,8,FALSE)&lt;-2),"",#REF!),"")</f>
        <v/>
      </c>
      <c r="K915" t="str">
        <f>IFERROR(IF(OR(HLOOKUP($A915,#REF!,9,FALSE)&gt;2,HLOOKUP($A915,#REF!,9,FALSE)&lt;-2),"",#REF!),"")</f>
        <v/>
      </c>
      <c r="L915" t="str">
        <f>IFERROR(IF(OR(HLOOKUP($A915,#REF!,10,FALSE)&gt;2,HLOOKUP($A915,#REF!,10,FALSE)&lt;-2),"",#REF!),"")</f>
        <v/>
      </c>
      <c r="M915" t="str">
        <f>IFERROR(IF(OR(HLOOKUP($A915,#REF!,11,FALSE)&gt;2,HLOOKUP($A915,#REF!,11,FALSE)&lt;-2),"",#REF!),"")</f>
        <v/>
      </c>
      <c r="N915" t="str">
        <f>IFERROR(IF(OR(HLOOKUP($A915,#REF!,12,FALSE)&gt;2,HLOOKUP($A915,#REF!,12,FALSE)&lt;-2),"",#REF!),"")</f>
        <v/>
      </c>
      <c r="O915" t="str">
        <f>IFERROR(IF(OR(HLOOKUP($A915,#REF!,13,FALSE)&gt;2,HLOOKUP($A915,#REF!,13,FALSE)&lt;-2),"",#REF!),"")</f>
        <v/>
      </c>
      <c r="P915" t="str">
        <f>IFERROR(IF(OR(HLOOKUP($A915,#REF!,14,FALSE)&gt;2,HLOOKUP($A915,#REF!,14,FALSE)&lt;-2),"",#REF!),"")</f>
        <v/>
      </c>
      <c r="Q915" t="str">
        <f>IFERROR(IF(OR(HLOOKUP($A915,#REF!,15,FALSE)&gt;2,HLOOKUP($A915,#REF!,15,FALSE)&lt;-2),"",#REF!),"")</f>
        <v/>
      </c>
      <c r="R915" t="str">
        <f>IFERROR(IF(OR(HLOOKUP($A915,#REF!,16,FALSE)&gt;2,HLOOKUP($A915,#REF!,16,FALSE)&lt;-2),"",#REF!),"")</f>
        <v/>
      </c>
      <c r="S915" t="str">
        <f>IFERROR(IF(OR(HLOOKUP($A915,#REF!,17,FALSE)&gt;2,HLOOKUP($A915,#REF!,17,FALSE)&lt;-2),"",#REF!),"")</f>
        <v/>
      </c>
      <c r="T915" t="str">
        <f>IFERROR(IF(OR(HLOOKUP($A915,#REF!,18,FALSE)&gt;2,HLOOKUP($A915,#REF!,18,FALSE)&lt;-2),"",#REF!),"")</f>
        <v/>
      </c>
      <c r="U915" t="str">
        <f>IFERROR(IF(OR(HLOOKUP($A915,#REF!,19,FALSE)&gt;2,HLOOKUP($A915,#REF!,19,FALSE)&lt;-2),"",#REF!),"")</f>
        <v/>
      </c>
      <c r="V915">
        <f t="shared" si="56"/>
        <v>1</v>
      </c>
      <c r="W915" t="str">
        <f t="shared" si="57"/>
        <v/>
      </c>
      <c r="X915" t="str">
        <f t="shared" si="58"/>
        <v/>
      </c>
      <c r="Y915" t="str">
        <f t="shared" si="59"/>
        <v/>
      </c>
    </row>
    <row r="916" spans="1:25" x14ac:dyDescent="0.35">
      <c r="A916">
        <v>924</v>
      </c>
      <c r="B916" t="s">
        <v>448</v>
      </c>
      <c r="C916">
        <v>107100</v>
      </c>
      <c r="D916">
        <v>784</v>
      </c>
      <c r="E916" t="str">
        <f>IFERROR(IF(OR(HLOOKUP($A916,#REF!,3,FALSE)&gt;2,HLOOKUP(A916,#REF!,3,FALSE)&lt;-2),"",#REF!),"")</f>
        <v/>
      </c>
      <c r="F916" t="str">
        <f>IFERROR(IF(OR(HLOOKUP($A916,#REF!,4,FALSE)&gt;2,HLOOKUP($A916,#REF!,4,FALSE)&lt;-2),"",#REF!),"")</f>
        <v/>
      </c>
      <c r="G916" t="str">
        <f>IFERROR(IF(OR(HLOOKUP($A916,#REF!,5,FALSE)&gt;2,HLOOKUP($A916,#REF!,5,FALSE)&lt;-2),"",#REF!),"")</f>
        <v/>
      </c>
      <c r="H916" t="str">
        <f>IFERROR(IF(OR(HLOOKUP($A916,#REF!,6,FALSE)&gt;2,HLOOKUP($A916,#REF!,6,FALSE)&lt;-2),"",#REF!),"")</f>
        <v/>
      </c>
      <c r="I916" t="str">
        <f>IFERROR(IF(OR(HLOOKUP($A916,#REF!,7,FALSE)&gt;2,HLOOKUP($A916,#REF!,7,FALSE)&lt;-2),"",#REF!),"")</f>
        <v/>
      </c>
      <c r="J916" t="str">
        <f>IFERROR(IF(OR(HLOOKUP($A916,#REF!,8,FALSE)&gt;2,HLOOKUP($A916,#REF!,8,FALSE)&lt;-2),"",#REF!),"")</f>
        <v/>
      </c>
      <c r="K916" t="str">
        <f>IFERROR(IF(OR(HLOOKUP($A916,#REF!,9,FALSE)&gt;2,HLOOKUP($A916,#REF!,9,FALSE)&lt;-2),"",#REF!),"")</f>
        <v/>
      </c>
      <c r="L916" t="str">
        <f>IFERROR(IF(OR(HLOOKUP($A916,#REF!,10,FALSE)&gt;2,HLOOKUP($A916,#REF!,10,FALSE)&lt;-2),"",#REF!),"")</f>
        <v/>
      </c>
      <c r="M916" t="str">
        <f>IFERROR(IF(OR(HLOOKUP($A916,#REF!,11,FALSE)&gt;2,HLOOKUP($A916,#REF!,11,FALSE)&lt;-2),"",#REF!),"")</f>
        <v/>
      </c>
      <c r="N916" t="str">
        <f>IFERROR(IF(OR(HLOOKUP($A916,#REF!,12,FALSE)&gt;2,HLOOKUP($A916,#REF!,12,FALSE)&lt;-2),"",#REF!),"")</f>
        <v/>
      </c>
      <c r="O916" t="str">
        <f>IFERROR(IF(OR(HLOOKUP($A916,#REF!,13,FALSE)&gt;2,HLOOKUP($A916,#REF!,13,FALSE)&lt;-2),"",#REF!),"")</f>
        <v/>
      </c>
      <c r="P916" t="str">
        <f>IFERROR(IF(OR(HLOOKUP($A916,#REF!,14,FALSE)&gt;2,HLOOKUP($A916,#REF!,14,FALSE)&lt;-2),"",#REF!),"")</f>
        <v/>
      </c>
      <c r="Q916" t="str">
        <f>IFERROR(IF(OR(HLOOKUP($A916,#REF!,15,FALSE)&gt;2,HLOOKUP($A916,#REF!,15,FALSE)&lt;-2),"",#REF!),"")</f>
        <v/>
      </c>
      <c r="R916" t="str">
        <f>IFERROR(IF(OR(HLOOKUP($A916,#REF!,16,FALSE)&gt;2,HLOOKUP($A916,#REF!,16,FALSE)&lt;-2),"",#REF!),"")</f>
        <v/>
      </c>
      <c r="S916" t="str">
        <f>IFERROR(IF(OR(HLOOKUP($A916,#REF!,17,FALSE)&gt;2,HLOOKUP($A916,#REF!,17,FALSE)&lt;-2),"",#REF!),"")</f>
        <v/>
      </c>
      <c r="T916" t="str">
        <f>IFERROR(IF(OR(HLOOKUP($A916,#REF!,18,FALSE)&gt;2,HLOOKUP($A916,#REF!,18,FALSE)&lt;-2),"",#REF!),"")</f>
        <v/>
      </c>
      <c r="U916" t="str">
        <f>IFERROR(IF(OR(HLOOKUP($A916,#REF!,19,FALSE)&gt;2,HLOOKUP($A916,#REF!,19,FALSE)&lt;-2),"",#REF!),"")</f>
        <v/>
      </c>
      <c r="V916">
        <f t="shared" si="56"/>
        <v>1</v>
      </c>
      <c r="W916" t="str">
        <f t="shared" si="57"/>
        <v/>
      </c>
      <c r="X916" t="str">
        <f t="shared" si="58"/>
        <v/>
      </c>
      <c r="Y916" t="str">
        <f t="shared" si="59"/>
        <v/>
      </c>
    </row>
    <row r="917" spans="1:25" x14ac:dyDescent="0.35">
      <c r="A917">
        <v>925</v>
      </c>
      <c r="B917" t="s">
        <v>1071</v>
      </c>
      <c r="C917">
        <v>101900</v>
      </c>
      <c r="D917">
        <v>967</v>
      </c>
      <c r="E917" t="str">
        <f>IFERROR(IF(OR(HLOOKUP($A917,#REF!,3,FALSE)&gt;2,HLOOKUP(A917,#REF!,3,FALSE)&lt;-2),"",#REF!),"")</f>
        <v/>
      </c>
      <c r="F917" t="str">
        <f>IFERROR(IF(OR(HLOOKUP($A917,#REF!,4,FALSE)&gt;2,HLOOKUP($A917,#REF!,4,FALSE)&lt;-2),"",#REF!),"")</f>
        <v/>
      </c>
      <c r="G917" t="str">
        <f>IFERROR(IF(OR(HLOOKUP($A917,#REF!,5,FALSE)&gt;2,HLOOKUP($A917,#REF!,5,FALSE)&lt;-2),"",#REF!),"")</f>
        <v/>
      </c>
      <c r="H917" t="str">
        <f>IFERROR(IF(OR(HLOOKUP($A917,#REF!,6,FALSE)&gt;2,HLOOKUP($A917,#REF!,6,FALSE)&lt;-2),"",#REF!),"")</f>
        <v/>
      </c>
      <c r="I917" t="str">
        <f>IFERROR(IF(OR(HLOOKUP($A917,#REF!,7,FALSE)&gt;2,HLOOKUP($A917,#REF!,7,FALSE)&lt;-2),"",#REF!),"")</f>
        <v/>
      </c>
      <c r="J917" t="str">
        <f>IFERROR(IF(OR(HLOOKUP($A917,#REF!,8,FALSE)&gt;2,HLOOKUP($A917,#REF!,8,FALSE)&lt;-2),"",#REF!),"")</f>
        <v/>
      </c>
      <c r="K917" t="str">
        <f>IFERROR(IF(OR(HLOOKUP($A917,#REF!,9,FALSE)&gt;2,HLOOKUP($A917,#REF!,9,FALSE)&lt;-2),"",#REF!),"")</f>
        <v/>
      </c>
      <c r="L917" t="str">
        <f>IFERROR(IF(OR(HLOOKUP($A917,#REF!,10,FALSE)&gt;2,HLOOKUP($A917,#REF!,10,FALSE)&lt;-2),"",#REF!),"")</f>
        <v/>
      </c>
      <c r="M917" t="str">
        <f>IFERROR(IF(OR(HLOOKUP($A917,#REF!,11,FALSE)&gt;2,HLOOKUP($A917,#REF!,11,FALSE)&lt;-2),"",#REF!),"")</f>
        <v/>
      </c>
      <c r="N917" t="str">
        <f>IFERROR(IF(OR(HLOOKUP($A917,#REF!,12,FALSE)&gt;2,HLOOKUP($A917,#REF!,12,FALSE)&lt;-2),"",#REF!),"")</f>
        <v/>
      </c>
      <c r="O917" t="str">
        <f>IFERROR(IF(OR(HLOOKUP($A917,#REF!,13,FALSE)&gt;2,HLOOKUP($A917,#REF!,13,FALSE)&lt;-2),"",#REF!),"")</f>
        <v/>
      </c>
      <c r="P917" t="str">
        <f>IFERROR(IF(OR(HLOOKUP($A917,#REF!,14,FALSE)&gt;2,HLOOKUP($A917,#REF!,14,FALSE)&lt;-2),"",#REF!),"")</f>
        <v/>
      </c>
      <c r="Q917" t="str">
        <f>IFERROR(IF(OR(HLOOKUP($A917,#REF!,15,FALSE)&gt;2,HLOOKUP($A917,#REF!,15,FALSE)&lt;-2),"",#REF!),"")</f>
        <v/>
      </c>
      <c r="R917" t="str">
        <f>IFERROR(IF(OR(HLOOKUP($A917,#REF!,16,FALSE)&gt;2,HLOOKUP($A917,#REF!,16,FALSE)&lt;-2),"",#REF!),"")</f>
        <v/>
      </c>
      <c r="S917" t="str">
        <f>IFERROR(IF(OR(HLOOKUP($A917,#REF!,17,FALSE)&gt;2,HLOOKUP($A917,#REF!,17,FALSE)&lt;-2),"",#REF!),"")</f>
        <v/>
      </c>
      <c r="T917" t="str">
        <f>IFERROR(IF(OR(HLOOKUP($A917,#REF!,18,FALSE)&gt;2,HLOOKUP($A917,#REF!,18,FALSE)&lt;-2),"",#REF!),"")</f>
        <v/>
      </c>
      <c r="U917" t="str">
        <f>IFERROR(IF(OR(HLOOKUP($A917,#REF!,19,FALSE)&gt;2,HLOOKUP($A917,#REF!,19,FALSE)&lt;-2),"",#REF!),"")</f>
        <v/>
      </c>
      <c r="V917">
        <f t="shared" si="56"/>
        <v>1</v>
      </c>
      <c r="W917" t="str">
        <f t="shared" si="57"/>
        <v/>
      </c>
      <c r="X917" t="str">
        <f t="shared" si="58"/>
        <v/>
      </c>
      <c r="Y917" t="str">
        <f t="shared" si="59"/>
        <v/>
      </c>
    </row>
    <row r="918" spans="1:25" x14ac:dyDescent="0.35">
      <c r="A918">
        <v>926</v>
      </c>
      <c r="B918" t="s">
        <v>449</v>
      </c>
      <c r="C918">
        <v>42700</v>
      </c>
      <c r="D918">
        <v>909</v>
      </c>
      <c r="E918" t="str">
        <f>IFERROR(IF(OR(HLOOKUP($A918,#REF!,3,FALSE)&gt;2,HLOOKUP(A918,#REF!,3,FALSE)&lt;-2),"",#REF!),"")</f>
        <v/>
      </c>
      <c r="F918" t="str">
        <f>IFERROR(IF(OR(HLOOKUP($A918,#REF!,4,FALSE)&gt;2,HLOOKUP($A918,#REF!,4,FALSE)&lt;-2),"",#REF!),"")</f>
        <v/>
      </c>
      <c r="G918" t="str">
        <f>IFERROR(IF(OR(HLOOKUP($A918,#REF!,5,FALSE)&gt;2,HLOOKUP($A918,#REF!,5,FALSE)&lt;-2),"",#REF!),"")</f>
        <v/>
      </c>
      <c r="H918" t="str">
        <f>IFERROR(IF(OR(HLOOKUP($A918,#REF!,6,FALSE)&gt;2,HLOOKUP($A918,#REF!,6,FALSE)&lt;-2),"",#REF!),"")</f>
        <v/>
      </c>
      <c r="I918" t="str">
        <f>IFERROR(IF(OR(HLOOKUP($A918,#REF!,7,FALSE)&gt;2,HLOOKUP($A918,#REF!,7,FALSE)&lt;-2),"",#REF!),"")</f>
        <v/>
      </c>
      <c r="J918" t="str">
        <f>IFERROR(IF(OR(HLOOKUP($A918,#REF!,8,FALSE)&gt;2,HLOOKUP($A918,#REF!,8,FALSE)&lt;-2),"",#REF!),"")</f>
        <v/>
      </c>
      <c r="K918" t="str">
        <f>IFERROR(IF(OR(HLOOKUP($A918,#REF!,9,FALSE)&gt;2,HLOOKUP($A918,#REF!,9,FALSE)&lt;-2),"",#REF!),"")</f>
        <v/>
      </c>
      <c r="L918" t="str">
        <f>IFERROR(IF(OR(HLOOKUP($A918,#REF!,10,FALSE)&gt;2,HLOOKUP($A918,#REF!,10,FALSE)&lt;-2),"",#REF!),"")</f>
        <v/>
      </c>
      <c r="M918" t="str">
        <f>IFERROR(IF(OR(HLOOKUP($A918,#REF!,11,FALSE)&gt;2,HLOOKUP($A918,#REF!,11,FALSE)&lt;-2),"",#REF!),"")</f>
        <v/>
      </c>
      <c r="N918" t="str">
        <f>IFERROR(IF(OR(HLOOKUP($A918,#REF!,12,FALSE)&gt;2,HLOOKUP($A918,#REF!,12,FALSE)&lt;-2),"",#REF!),"")</f>
        <v/>
      </c>
      <c r="O918" t="str">
        <f>IFERROR(IF(OR(HLOOKUP($A918,#REF!,13,FALSE)&gt;2,HLOOKUP($A918,#REF!,13,FALSE)&lt;-2),"",#REF!),"")</f>
        <v/>
      </c>
      <c r="P918" t="str">
        <f>IFERROR(IF(OR(HLOOKUP($A918,#REF!,14,FALSE)&gt;2,HLOOKUP($A918,#REF!,14,FALSE)&lt;-2),"",#REF!),"")</f>
        <v/>
      </c>
      <c r="Q918" t="str">
        <f>IFERROR(IF(OR(HLOOKUP($A918,#REF!,15,FALSE)&gt;2,HLOOKUP($A918,#REF!,15,FALSE)&lt;-2),"",#REF!),"")</f>
        <v/>
      </c>
      <c r="R918" t="str">
        <f>IFERROR(IF(OR(HLOOKUP($A918,#REF!,16,FALSE)&gt;2,HLOOKUP($A918,#REF!,16,FALSE)&lt;-2),"",#REF!),"")</f>
        <v/>
      </c>
      <c r="S918" t="str">
        <f>IFERROR(IF(OR(HLOOKUP($A918,#REF!,17,FALSE)&gt;2,HLOOKUP($A918,#REF!,17,FALSE)&lt;-2),"",#REF!),"")</f>
        <v/>
      </c>
      <c r="T918" t="str">
        <f>IFERROR(IF(OR(HLOOKUP($A918,#REF!,18,FALSE)&gt;2,HLOOKUP($A918,#REF!,18,FALSE)&lt;-2),"",#REF!),"")</f>
        <v/>
      </c>
      <c r="U918" t="str">
        <f>IFERROR(IF(OR(HLOOKUP($A918,#REF!,19,FALSE)&gt;2,HLOOKUP($A918,#REF!,19,FALSE)&lt;-2),"",#REF!),"")</f>
        <v/>
      </c>
      <c r="V918">
        <f t="shared" si="56"/>
        <v>1</v>
      </c>
      <c r="W918" t="str">
        <f t="shared" si="57"/>
        <v/>
      </c>
      <c r="X918" t="str">
        <f t="shared" si="58"/>
        <v/>
      </c>
      <c r="Y918" t="str">
        <f t="shared" si="59"/>
        <v/>
      </c>
    </row>
    <row r="919" spans="1:25" x14ac:dyDescent="0.35">
      <c r="A919">
        <v>927</v>
      </c>
      <c r="B919" t="s">
        <v>450</v>
      </c>
      <c r="C919">
        <v>19400</v>
      </c>
      <c r="D919">
        <v>39</v>
      </c>
      <c r="E919" t="str">
        <f>IFERROR(IF(OR(HLOOKUP($A919,#REF!,3,FALSE)&gt;2,HLOOKUP(A919,#REF!,3,FALSE)&lt;-2),"",#REF!),"")</f>
        <v/>
      </c>
      <c r="F919" t="str">
        <f>IFERROR(IF(OR(HLOOKUP($A919,#REF!,4,FALSE)&gt;2,HLOOKUP($A919,#REF!,4,FALSE)&lt;-2),"",#REF!),"")</f>
        <v/>
      </c>
      <c r="G919" t="str">
        <f>IFERROR(IF(OR(HLOOKUP($A919,#REF!,5,FALSE)&gt;2,HLOOKUP($A919,#REF!,5,FALSE)&lt;-2),"",#REF!),"")</f>
        <v/>
      </c>
      <c r="H919" t="str">
        <f>IFERROR(IF(OR(HLOOKUP($A919,#REF!,6,FALSE)&gt;2,HLOOKUP($A919,#REF!,6,FALSE)&lt;-2),"",#REF!),"")</f>
        <v/>
      </c>
      <c r="I919" t="str">
        <f>IFERROR(IF(OR(HLOOKUP($A919,#REF!,7,FALSE)&gt;2,HLOOKUP($A919,#REF!,7,FALSE)&lt;-2),"",#REF!),"")</f>
        <v/>
      </c>
      <c r="J919" t="str">
        <f>IFERROR(IF(OR(HLOOKUP($A919,#REF!,8,FALSE)&gt;2,HLOOKUP($A919,#REF!,8,FALSE)&lt;-2),"",#REF!),"")</f>
        <v/>
      </c>
      <c r="K919" t="str">
        <f>IFERROR(IF(OR(HLOOKUP($A919,#REF!,9,FALSE)&gt;2,HLOOKUP($A919,#REF!,9,FALSE)&lt;-2),"",#REF!),"")</f>
        <v/>
      </c>
      <c r="L919" t="str">
        <f>IFERROR(IF(OR(HLOOKUP($A919,#REF!,10,FALSE)&gt;2,HLOOKUP($A919,#REF!,10,FALSE)&lt;-2),"",#REF!),"")</f>
        <v/>
      </c>
      <c r="M919" t="str">
        <f>IFERROR(IF(OR(HLOOKUP($A919,#REF!,11,FALSE)&gt;2,HLOOKUP($A919,#REF!,11,FALSE)&lt;-2),"",#REF!),"")</f>
        <v/>
      </c>
      <c r="N919" t="str">
        <f>IFERROR(IF(OR(HLOOKUP($A919,#REF!,12,FALSE)&gt;2,HLOOKUP($A919,#REF!,12,FALSE)&lt;-2),"",#REF!),"")</f>
        <v/>
      </c>
      <c r="O919" t="str">
        <f>IFERROR(IF(OR(HLOOKUP($A919,#REF!,13,FALSE)&gt;2,HLOOKUP($A919,#REF!,13,FALSE)&lt;-2),"",#REF!),"")</f>
        <v/>
      </c>
      <c r="P919" t="str">
        <f>IFERROR(IF(OR(HLOOKUP($A919,#REF!,14,FALSE)&gt;2,HLOOKUP($A919,#REF!,14,FALSE)&lt;-2),"",#REF!),"")</f>
        <v/>
      </c>
      <c r="Q919" t="str">
        <f>IFERROR(IF(OR(HLOOKUP($A919,#REF!,15,FALSE)&gt;2,HLOOKUP($A919,#REF!,15,FALSE)&lt;-2),"",#REF!),"")</f>
        <v/>
      </c>
      <c r="R919" t="str">
        <f>IFERROR(IF(OR(HLOOKUP($A919,#REF!,16,FALSE)&gt;2,HLOOKUP($A919,#REF!,16,FALSE)&lt;-2),"",#REF!),"")</f>
        <v/>
      </c>
      <c r="S919" t="str">
        <f>IFERROR(IF(OR(HLOOKUP($A919,#REF!,17,FALSE)&gt;2,HLOOKUP($A919,#REF!,17,FALSE)&lt;-2),"",#REF!),"")</f>
        <v/>
      </c>
      <c r="T919" t="str">
        <f>IFERROR(IF(OR(HLOOKUP($A919,#REF!,18,FALSE)&gt;2,HLOOKUP($A919,#REF!,18,FALSE)&lt;-2),"",#REF!),"")</f>
        <v/>
      </c>
      <c r="U919" t="str">
        <f>IFERROR(IF(OR(HLOOKUP($A919,#REF!,19,FALSE)&gt;2,HLOOKUP($A919,#REF!,19,FALSE)&lt;-2),"",#REF!),"")</f>
        <v/>
      </c>
      <c r="V919">
        <f t="shared" si="56"/>
        <v>1</v>
      </c>
      <c r="W919" t="str">
        <f t="shared" si="57"/>
        <v/>
      </c>
      <c r="X919" t="str">
        <f t="shared" si="58"/>
        <v/>
      </c>
      <c r="Y919" t="str">
        <f t="shared" si="59"/>
        <v/>
      </c>
    </row>
    <row r="920" spans="1:25" x14ac:dyDescent="0.35">
      <c r="A920">
        <v>928</v>
      </c>
      <c r="B920" t="s">
        <v>451</v>
      </c>
      <c r="C920">
        <v>56300</v>
      </c>
      <c r="D920">
        <v>645</v>
      </c>
      <c r="E920" t="str">
        <f>IFERROR(IF(OR(HLOOKUP($A920,#REF!,3,FALSE)&gt;2,HLOOKUP(A920,#REF!,3,FALSE)&lt;-2),"",#REF!),"")</f>
        <v/>
      </c>
      <c r="F920" t="str">
        <f>IFERROR(IF(OR(HLOOKUP($A920,#REF!,4,FALSE)&gt;2,HLOOKUP($A920,#REF!,4,FALSE)&lt;-2),"",#REF!),"")</f>
        <v/>
      </c>
      <c r="G920" t="str">
        <f>IFERROR(IF(OR(HLOOKUP($A920,#REF!,5,FALSE)&gt;2,HLOOKUP($A920,#REF!,5,FALSE)&lt;-2),"",#REF!),"")</f>
        <v/>
      </c>
      <c r="H920" t="str">
        <f>IFERROR(IF(OR(HLOOKUP($A920,#REF!,6,FALSE)&gt;2,HLOOKUP($A920,#REF!,6,FALSE)&lt;-2),"",#REF!),"")</f>
        <v/>
      </c>
      <c r="I920" t="str">
        <f>IFERROR(IF(OR(HLOOKUP($A920,#REF!,7,FALSE)&gt;2,HLOOKUP($A920,#REF!,7,FALSE)&lt;-2),"",#REF!),"")</f>
        <v/>
      </c>
      <c r="J920" t="str">
        <f>IFERROR(IF(OR(HLOOKUP($A920,#REF!,8,FALSE)&gt;2,HLOOKUP($A920,#REF!,8,FALSE)&lt;-2),"",#REF!),"")</f>
        <v/>
      </c>
      <c r="K920" t="str">
        <f>IFERROR(IF(OR(HLOOKUP($A920,#REF!,9,FALSE)&gt;2,HLOOKUP($A920,#REF!,9,FALSE)&lt;-2),"",#REF!),"")</f>
        <v/>
      </c>
      <c r="L920" t="str">
        <f>IFERROR(IF(OR(HLOOKUP($A920,#REF!,10,FALSE)&gt;2,HLOOKUP($A920,#REF!,10,FALSE)&lt;-2),"",#REF!),"")</f>
        <v/>
      </c>
      <c r="M920" t="str">
        <f>IFERROR(IF(OR(HLOOKUP($A920,#REF!,11,FALSE)&gt;2,HLOOKUP($A920,#REF!,11,FALSE)&lt;-2),"",#REF!),"")</f>
        <v/>
      </c>
      <c r="N920" t="str">
        <f>IFERROR(IF(OR(HLOOKUP($A920,#REF!,12,FALSE)&gt;2,HLOOKUP($A920,#REF!,12,FALSE)&lt;-2),"",#REF!),"")</f>
        <v/>
      </c>
      <c r="O920" t="str">
        <f>IFERROR(IF(OR(HLOOKUP($A920,#REF!,13,FALSE)&gt;2,HLOOKUP($A920,#REF!,13,FALSE)&lt;-2),"",#REF!),"")</f>
        <v/>
      </c>
      <c r="P920" t="str">
        <f>IFERROR(IF(OR(HLOOKUP($A920,#REF!,14,FALSE)&gt;2,HLOOKUP($A920,#REF!,14,FALSE)&lt;-2),"",#REF!),"")</f>
        <v/>
      </c>
      <c r="Q920" t="str">
        <f>IFERROR(IF(OR(HLOOKUP($A920,#REF!,15,FALSE)&gt;2,HLOOKUP($A920,#REF!,15,FALSE)&lt;-2),"",#REF!),"")</f>
        <v/>
      </c>
      <c r="R920" t="str">
        <f>IFERROR(IF(OR(HLOOKUP($A920,#REF!,16,FALSE)&gt;2,HLOOKUP($A920,#REF!,16,FALSE)&lt;-2),"",#REF!),"")</f>
        <v/>
      </c>
      <c r="S920" t="str">
        <f>IFERROR(IF(OR(HLOOKUP($A920,#REF!,17,FALSE)&gt;2,HLOOKUP($A920,#REF!,17,FALSE)&lt;-2),"",#REF!),"")</f>
        <v/>
      </c>
      <c r="T920" t="str">
        <f>IFERROR(IF(OR(HLOOKUP($A920,#REF!,18,FALSE)&gt;2,HLOOKUP($A920,#REF!,18,FALSE)&lt;-2),"",#REF!),"")</f>
        <v/>
      </c>
      <c r="U920" t="str">
        <f>IFERROR(IF(OR(HLOOKUP($A920,#REF!,19,FALSE)&gt;2,HLOOKUP($A920,#REF!,19,FALSE)&lt;-2),"",#REF!),"")</f>
        <v/>
      </c>
      <c r="V920">
        <f t="shared" si="56"/>
        <v>1</v>
      </c>
      <c r="W920" t="str">
        <f t="shared" si="57"/>
        <v/>
      </c>
      <c r="X920" t="str">
        <f t="shared" si="58"/>
        <v/>
      </c>
      <c r="Y920" t="str">
        <f t="shared" si="59"/>
        <v/>
      </c>
    </row>
    <row r="921" spans="1:25" x14ac:dyDescent="0.35">
      <c r="A921">
        <v>929</v>
      </c>
      <c r="B921" t="s">
        <v>452</v>
      </c>
      <c r="C921">
        <v>4100</v>
      </c>
      <c r="D921">
        <v>353</v>
      </c>
      <c r="E921" t="str">
        <f>IFERROR(IF(OR(HLOOKUP($A921,#REF!,3,FALSE)&gt;2,HLOOKUP(A921,#REF!,3,FALSE)&lt;-2),"",#REF!),"")</f>
        <v/>
      </c>
      <c r="F921" t="str">
        <f>IFERROR(IF(OR(HLOOKUP($A921,#REF!,4,FALSE)&gt;2,HLOOKUP($A921,#REF!,4,FALSE)&lt;-2),"",#REF!),"")</f>
        <v/>
      </c>
      <c r="G921" t="str">
        <f>IFERROR(IF(OR(HLOOKUP($A921,#REF!,5,FALSE)&gt;2,HLOOKUP($A921,#REF!,5,FALSE)&lt;-2),"",#REF!),"")</f>
        <v/>
      </c>
      <c r="H921" t="str">
        <f>IFERROR(IF(OR(HLOOKUP($A921,#REF!,6,FALSE)&gt;2,HLOOKUP($A921,#REF!,6,FALSE)&lt;-2),"",#REF!),"")</f>
        <v/>
      </c>
      <c r="I921" t="str">
        <f>IFERROR(IF(OR(HLOOKUP($A921,#REF!,7,FALSE)&gt;2,HLOOKUP($A921,#REF!,7,FALSE)&lt;-2),"",#REF!),"")</f>
        <v/>
      </c>
      <c r="J921" t="str">
        <f>IFERROR(IF(OR(HLOOKUP($A921,#REF!,8,FALSE)&gt;2,HLOOKUP($A921,#REF!,8,FALSE)&lt;-2),"",#REF!),"")</f>
        <v/>
      </c>
      <c r="K921" t="str">
        <f>IFERROR(IF(OR(HLOOKUP($A921,#REF!,9,FALSE)&gt;2,HLOOKUP($A921,#REF!,9,FALSE)&lt;-2),"",#REF!),"")</f>
        <v/>
      </c>
      <c r="L921" t="str">
        <f>IFERROR(IF(OR(HLOOKUP($A921,#REF!,10,FALSE)&gt;2,HLOOKUP($A921,#REF!,10,FALSE)&lt;-2),"",#REF!),"")</f>
        <v/>
      </c>
      <c r="M921" t="str">
        <f>IFERROR(IF(OR(HLOOKUP($A921,#REF!,11,FALSE)&gt;2,HLOOKUP($A921,#REF!,11,FALSE)&lt;-2),"",#REF!),"")</f>
        <v/>
      </c>
      <c r="N921" t="str">
        <f>IFERROR(IF(OR(HLOOKUP($A921,#REF!,12,FALSE)&gt;2,HLOOKUP($A921,#REF!,12,FALSE)&lt;-2),"",#REF!),"")</f>
        <v/>
      </c>
      <c r="O921" t="str">
        <f>IFERROR(IF(OR(HLOOKUP($A921,#REF!,13,FALSE)&gt;2,HLOOKUP($A921,#REF!,13,FALSE)&lt;-2),"",#REF!),"")</f>
        <v/>
      </c>
      <c r="P921" t="str">
        <f>IFERROR(IF(OR(HLOOKUP($A921,#REF!,14,FALSE)&gt;2,HLOOKUP($A921,#REF!,14,FALSE)&lt;-2),"",#REF!),"")</f>
        <v/>
      </c>
      <c r="Q921" t="str">
        <f>IFERROR(IF(OR(HLOOKUP($A921,#REF!,15,FALSE)&gt;2,HLOOKUP($A921,#REF!,15,FALSE)&lt;-2),"",#REF!),"")</f>
        <v/>
      </c>
      <c r="R921" t="str">
        <f>IFERROR(IF(OR(HLOOKUP($A921,#REF!,16,FALSE)&gt;2,HLOOKUP($A921,#REF!,16,FALSE)&lt;-2),"",#REF!),"")</f>
        <v/>
      </c>
      <c r="S921" t="str">
        <f>IFERROR(IF(OR(HLOOKUP($A921,#REF!,17,FALSE)&gt;2,HLOOKUP($A921,#REF!,17,FALSE)&lt;-2),"",#REF!),"")</f>
        <v/>
      </c>
      <c r="T921" t="str">
        <f>IFERROR(IF(OR(HLOOKUP($A921,#REF!,18,FALSE)&gt;2,HLOOKUP($A921,#REF!,18,FALSE)&lt;-2),"",#REF!),"")</f>
        <v/>
      </c>
      <c r="U921" t="str">
        <f>IFERROR(IF(OR(HLOOKUP($A921,#REF!,19,FALSE)&gt;2,HLOOKUP($A921,#REF!,19,FALSE)&lt;-2),"",#REF!),"")</f>
        <v/>
      </c>
      <c r="V921">
        <f t="shared" si="56"/>
        <v>1</v>
      </c>
      <c r="W921" t="str">
        <f t="shared" si="57"/>
        <v/>
      </c>
      <c r="X921" t="str">
        <f t="shared" si="58"/>
        <v/>
      </c>
      <c r="Y921" t="str">
        <f t="shared" si="59"/>
        <v/>
      </c>
    </row>
    <row r="922" spans="1:25" x14ac:dyDescent="0.35">
      <c r="A922">
        <v>930</v>
      </c>
      <c r="B922" t="s">
        <v>453</v>
      </c>
      <c r="C922">
        <v>68800</v>
      </c>
      <c r="D922">
        <v>51</v>
      </c>
      <c r="E922" t="str">
        <f>IFERROR(IF(OR(HLOOKUP($A922,#REF!,3,FALSE)&gt;2,HLOOKUP(A922,#REF!,3,FALSE)&lt;-2),"",#REF!),"")</f>
        <v/>
      </c>
      <c r="F922" t="str">
        <f>IFERROR(IF(OR(HLOOKUP($A922,#REF!,4,FALSE)&gt;2,HLOOKUP($A922,#REF!,4,FALSE)&lt;-2),"",#REF!),"")</f>
        <v/>
      </c>
      <c r="G922" t="str">
        <f>IFERROR(IF(OR(HLOOKUP($A922,#REF!,5,FALSE)&gt;2,HLOOKUP($A922,#REF!,5,FALSE)&lt;-2),"",#REF!),"")</f>
        <v/>
      </c>
      <c r="H922" t="str">
        <f>IFERROR(IF(OR(HLOOKUP($A922,#REF!,6,FALSE)&gt;2,HLOOKUP($A922,#REF!,6,FALSE)&lt;-2),"",#REF!),"")</f>
        <v/>
      </c>
      <c r="I922" t="str">
        <f>IFERROR(IF(OR(HLOOKUP($A922,#REF!,7,FALSE)&gt;2,HLOOKUP($A922,#REF!,7,FALSE)&lt;-2),"",#REF!),"")</f>
        <v/>
      </c>
      <c r="J922" t="str">
        <f>IFERROR(IF(OR(HLOOKUP($A922,#REF!,8,FALSE)&gt;2,HLOOKUP($A922,#REF!,8,FALSE)&lt;-2),"",#REF!),"")</f>
        <v/>
      </c>
      <c r="K922" t="str">
        <f>IFERROR(IF(OR(HLOOKUP($A922,#REF!,9,FALSE)&gt;2,HLOOKUP($A922,#REF!,9,FALSE)&lt;-2),"",#REF!),"")</f>
        <v/>
      </c>
      <c r="L922" t="str">
        <f>IFERROR(IF(OR(HLOOKUP($A922,#REF!,10,FALSE)&gt;2,HLOOKUP($A922,#REF!,10,FALSE)&lt;-2),"",#REF!),"")</f>
        <v/>
      </c>
      <c r="M922" t="str">
        <f>IFERROR(IF(OR(HLOOKUP($A922,#REF!,11,FALSE)&gt;2,HLOOKUP($A922,#REF!,11,FALSE)&lt;-2),"",#REF!),"")</f>
        <v/>
      </c>
      <c r="N922" t="str">
        <f>IFERROR(IF(OR(HLOOKUP($A922,#REF!,12,FALSE)&gt;2,HLOOKUP($A922,#REF!,12,FALSE)&lt;-2),"",#REF!),"")</f>
        <v/>
      </c>
      <c r="O922" t="str">
        <f>IFERROR(IF(OR(HLOOKUP($A922,#REF!,13,FALSE)&gt;2,HLOOKUP($A922,#REF!,13,FALSE)&lt;-2),"",#REF!),"")</f>
        <v/>
      </c>
      <c r="P922" t="str">
        <f>IFERROR(IF(OR(HLOOKUP($A922,#REF!,14,FALSE)&gt;2,HLOOKUP($A922,#REF!,14,FALSE)&lt;-2),"",#REF!),"")</f>
        <v/>
      </c>
      <c r="Q922" t="str">
        <f>IFERROR(IF(OR(HLOOKUP($A922,#REF!,15,FALSE)&gt;2,HLOOKUP($A922,#REF!,15,FALSE)&lt;-2),"",#REF!),"")</f>
        <v/>
      </c>
      <c r="R922" t="str">
        <f>IFERROR(IF(OR(HLOOKUP($A922,#REF!,16,FALSE)&gt;2,HLOOKUP($A922,#REF!,16,FALSE)&lt;-2),"",#REF!),"")</f>
        <v/>
      </c>
      <c r="S922" t="str">
        <f>IFERROR(IF(OR(HLOOKUP($A922,#REF!,17,FALSE)&gt;2,HLOOKUP($A922,#REF!,17,FALSE)&lt;-2),"",#REF!),"")</f>
        <v/>
      </c>
      <c r="T922" t="str">
        <f>IFERROR(IF(OR(HLOOKUP($A922,#REF!,18,FALSE)&gt;2,HLOOKUP($A922,#REF!,18,FALSE)&lt;-2),"",#REF!),"")</f>
        <v/>
      </c>
      <c r="U922" t="str">
        <f>IFERROR(IF(OR(HLOOKUP($A922,#REF!,19,FALSE)&gt;2,HLOOKUP($A922,#REF!,19,FALSE)&lt;-2),"",#REF!),"")</f>
        <v/>
      </c>
      <c r="V922">
        <f t="shared" si="56"/>
        <v>1</v>
      </c>
      <c r="W922" t="str">
        <f t="shared" si="57"/>
        <v/>
      </c>
      <c r="X922" t="str">
        <f t="shared" si="58"/>
        <v/>
      </c>
      <c r="Y922" t="str">
        <f t="shared" si="59"/>
        <v/>
      </c>
    </row>
    <row r="923" spans="1:25" x14ac:dyDescent="0.35">
      <c r="A923">
        <v>931</v>
      </c>
      <c r="B923" t="s">
        <v>454</v>
      </c>
      <c r="C923">
        <v>87500</v>
      </c>
      <c r="D923">
        <v>987</v>
      </c>
      <c r="E923" t="str">
        <f>IFERROR(IF(OR(HLOOKUP($A923,#REF!,3,FALSE)&gt;2,HLOOKUP(A923,#REF!,3,FALSE)&lt;-2),"",#REF!),"")</f>
        <v/>
      </c>
      <c r="F923" t="str">
        <f>IFERROR(IF(OR(HLOOKUP($A923,#REF!,4,FALSE)&gt;2,HLOOKUP($A923,#REF!,4,FALSE)&lt;-2),"",#REF!),"")</f>
        <v/>
      </c>
      <c r="G923" t="str">
        <f>IFERROR(IF(OR(HLOOKUP($A923,#REF!,5,FALSE)&gt;2,HLOOKUP($A923,#REF!,5,FALSE)&lt;-2),"",#REF!),"")</f>
        <v/>
      </c>
      <c r="H923" t="str">
        <f>IFERROR(IF(OR(HLOOKUP($A923,#REF!,6,FALSE)&gt;2,HLOOKUP($A923,#REF!,6,FALSE)&lt;-2),"",#REF!),"")</f>
        <v/>
      </c>
      <c r="I923" t="str">
        <f>IFERROR(IF(OR(HLOOKUP($A923,#REF!,7,FALSE)&gt;2,HLOOKUP($A923,#REF!,7,FALSE)&lt;-2),"",#REF!),"")</f>
        <v/>
      </c>
      <c r="J923" t="str">
        <f>IFERROR(IF(OR(HLOOKUP($A923,#REF!,8,FALSE)&gt;2,HLOOKUP($A923,#REF!,8,FALSE)&lt;-2),"",#REF!),"")</f>
        <v/>
      </c>
      <c r="K923" t="str">
        <f>IFERROR(IF(OR(HLOOKUP($A923,#REF!,9,FALSE)&gt;2,HLOOKUP($A923,#REF!,9,FALSE)&lt;-2),"",#REF!),"")</f>
        <v/>
      </c>
      <c r="L923" t="str">
        <f>IFERROR(IF(OR(HLOOKUP($A923,#REF!,10,FALSE)&gt;2,HLOOKUP($A923,#REF!,10,FALSE)&lt;-2),"",#REF!),"")</f>
        <v/>
      </c>
      <c r="M923" t="str">
        <f>IFERROR(IF(OR(HLOOKUP($A923,#REF!,11,FALSE)&gt;2,HLOOKUP($A923,#REF!,11,FALSE)&lt;-2),"",#REF!),"")</f>
        <v/>
      </c>
      <c r="N923" t="str">
        <f>IFERROR(IF(OR(HLOOKUP($A923,#REF!,12,FALSE)&gt;2,HLOOKUP($A923,#REF!,12,FALSE)&lt;-2),"",#REF!),"")</f>
        <v/>
      </c>
      <c r="O923" t="str">
        <f>IFERROR(IF(OR(HLOOKUP($A923,#REF!,13,FALSE)&gt;2,HLOOKUP($A923,#REF!,13,FALSE)&lt;-2),"",#REF!),"")</f>
        <v/>
      </c>
      <c r="P923" t="str">
        <f>IFERROR(IF(OR(HLOOKUP($A923,#REF!,14,FALSE)&gt;2,HLOOKUP($A923,#REF!,14,FALSE)&lt;-2),"",#REF!),"")</f>
        <v/>
      </c>
      <c r="Q923" t="str">
        <f>IFERROR(IF(OR(HLOOKUP($A923,#REF!,15,FALSE)&gt;2,HLOOKUP($A923,#REF!,15,FALSE)&lt;-2),"",#REF!),"")</f>
        <v/>
      </c>
      <c r="R923" t="str">
        <f>IFERROR(IF(OR(HLOOKUP($A923,#REF!,16,FALSE)&gt;2,HLOOKUP($A923,#REF!,16,FALSE)&lt;-2),"",#REF!),"")</f>
        <v/>
      </c>
      <c r="S923" t="str">
        <f>IFERROR(IF(OR(HLOOKUP($A923,#REF!,17,FALSE)&gt;2,HLOOKUP($A923,#REF!,17,FALSE)&lt;-2),"",#REF!),"")</f>
        <v/>
      </c>
      <c r="T923" t="str">
        <f>IFERROR(IF(OR(HLOOKUP($A923,#REF!,18,FALSE)&gt;2,HLOOKUP($A923,#REF!,18,FALSE)&lt;-2),"",#REF!),"")</f>
        <v/>
      </c>
      <c r="U923" t="str">
        <f>IFERROR(IF(OR(HLOOKUP($A923,#REF!,19,FALSE)&gt;2,HLOOKUP($A923,#REF!,19,FALSE)&lt;-2),"",#REF!),"")</f>
        <v/>
      </c>
      <c r="V923">
        <f t="shared" si="56"/>
        <v>1</v>
      </c>
      <c r="W923" t="str">
        <f t="shared" si="57"/>
        <v/>
      </c>
      <c r="X923" t="str">
        <f t="shared" si="58"/>
        <v/>
      </c>
      <c r="Y923" t="str">
        <f t="shared" si="59"/>
        <v/>
      </c>
    </row>
    <row r="924" spans="1:25" x14ac:dyDescent="0.35">
      <c r="A924">
        <v>932</v>
      </c>
      <c r="B924" t="s">
        <v>1072</v>
      </c>
      <c r="C924">
        <v>102100</v>
      </c>
      <c r="D924">
        <v>792</v>
      </c>
      <c r="E924" t="str">
        <f>IFERROR(IF(OR(HLOOKUP($A924,#REF!,3,FALSE)&gt;2,HLOOKUP(A924,#REF!,3,FALSE)&lt;-2),"",#REF!),"")</f>
        <v/>
      </c>
      <c r="F924" t="str">
        <f>IFERROR(IF(OR(HLOOKUP($A924,#REF!,4,FALSE)&gt;2,HLOOKUP($A924,#REF!,4,FALSE)&lt;-2),"",#REF!),"")</f>
        <v/>
      </c>
      <c r="G924" t="str">
        <f>IFERROR(IF(OR(HLOOKUP($A924,#REF!,5,FALSE)&gt;2,HLOOKUP($A924,#REF!,5,FALSE)&lt;-2),"",#REF!),"")</f>
        <v/>
      </c>
      <c r="H924" t="str">
        <f>IFERROR(IF(OR(HLOOKUP($A924,#REF!,6,FALSE)&gt;2,HLOOKUP($A924,#REF!,6,FALSE)&lt;-2),"",#REF!),"")</f>
        <v/>
      </c>
      <c r="I924" t="str">
        <f>IFERROR(IF(OR(HLOOKUP($A924,#REF!,7,FALSE)&gt;2,HLOOKUP($A924,#REF!,7,FALSE)&lt;-2),"",#REF!),"")</f>
        <v/>
      </c>
      <c r="J924" t="str">
        <f>IFERROR(IF(OR(HLOOKUP($A924,#REF!,8,FALSE)&gt;2,HLOOKUP($A924,#REF!,8,FALSE)&lt;-2),"",#REF!),"")</f>
        <v/>
      </c>
      <c r="K924" t="str">
        <f>IFERROR(IF(OR(HLOOKUP($A924,#REF!,9,FALSE)&gt;2,HLOOKUP($A924,#REF!,9,FALSE)&lt;-2),"",#REF!),"")</f>
        <v/>
      </c>
      <c r="L924" t="str">
        <f>IFERROR(IF(OR(HLOOKUP($A924,#REF!,10,FALSE)&gt;2,HLOOKUP($A924,#REF!,10,FALSE)&lt;-2),"",#REF!),"")</f>
        <v/>
      </c>
      <c r="M924" t="str">
        <f>IFERROR(IF(OR(HLOOKUP($A924,#REF!,11,FALSE)&gt;2,HLOOKUP($A924,#REF!,11,FALSE)&lt;-2),"",#REF!),"")</f>
        <v/>
      </c>
      <c r="N924" t="str">
        <f>IFERROR(IF(OR(HLOOKUP($A924,#REF!,12,FALSE)&gt;2,HLOOKUP($A924,#REF!,12,FALSE)&lt;-2),"",#REF!),"")</f>
        <v/>
      </c>
      <c r="O924" t="str">
        <f>IFERROR(IF(OR(HLOOKUP($A924,#REF!,13,FALSE)&gt;2,HLOOKUP($A924,#REF!,13,FALSE)&lt;-2),"",#REF!),"")</f>
        <v/>
      </c>
      <c r="P924" t="str">
        <f>IFERROR(IF(OR(HLOOKUP($A924,#REF!,14,FALSE)&gt;2,HLOOKUP($A924,#REF!,14,FALSE)&lt;-2),"",#REF!),"")</f>
        <v/>
      </c>
      <c r="Q924" t="str">
        <f>IFERROR(IF(OR(HLOOKUP($A924,#REF!,15,FALSE)&gt;2,HLOOKUP($A924,#REF!,15,FALSE)&lt;-2),"",#REF!),"")</f>
        <v/>
      </c>
      <c r="R924" t="str">
        <f>IFERROR(IF(OR(HLOOKUP($A924,#REF!,16,FALSE)&gt;2,HLOOKUP($A924,#REF!,16,FALSE)&lt;-2),"",#REF!),"")</f>
        <v/>
      </c>
      <c r="S924" t="str">
        <f>IFERROR(IF(OR(HLOOKUP($A924,#REF!,17,FALSE)&gt;2,HLOOKUP($A924,#REF!,17,FALSE)&lt;-2),"",#REF!),"")</f>
        <v/>
      </c>
      <c r="T924" t="str">
        <f>IFERROR(IF(OR(HLOOKUP($A924,#REF!,18,FALSE)&gt;2,HLOOKUP($A924,#REF!,18,FALSE)&lt;-2),"",#REF!),"")</f>
        <v/>
      </c>
      <c r="U924" t="str">
        <f>IFERROR(IF(OR(HLOOKUP($A924,#REF!,19,FALSE)&gt;2,HLOOKUP($A924,#REF!,19,FALSE)&lt;-2),"",#REF!),"")</f>
        <v/>
      </c>
      <c r="V924">
        <f t="shared" si="56"/>
        <v>1</v>
      </c>
      <c r="W924" t="str">
        <f t="shared" si="57"/>
        <v/>
      </c>
      <c r="X924" t="str">
        <f t="shared" si="58"/>
        <v/>
      </c>
      <c r="Y924" t="str">
        <f t="shared" si="59"/>
        <v/>
      </c>
    </row>
    <row r="925" spans="1:25" x14ac:dyDescent="0.35">
      <c r="A925">
        <v>933</v>
      </c>
      <c r="B925" t="s">
        <v>1073</v>
      </c>
      <c r="C925">
        <v>100400</v>
      </c>
      <c r="D925">
        <v>967</v>
      </c>
      <c r="E925" t="str">
        <f>IFERROR(IF(OR(HLOOKUP($A925,#REF!,3,FALSE)&gt;2,HLOOKUP(A925,#REF!,3,FALSE)&lt;-2),"",#REF!),"")</f>
        <v/>
      </c>
      <c r="F925" t="str">
        <f>IFERROR(IF(OR(HLOOKUP($A925,#REF!,4,FALSE)&gt;2,HLOOKUP($A925,#REF!,4,FALSE)&lt;-2),"",#REF!),"")</f>
        <v/>
      </c>
      <c r="G925" t="str">
        <f>IFERROR(IF(OR(HLOOKUP($A925,#REF!,5,FALSE)&gt;2,HLOOKUP($A925,#REF!,5,FALSE)&lt;-2),"",#REF!),"")</f>
        <v/>
      </c>
      <c r="H925" t="str">
        <f>IFERROR(IF(OR(HLOOKUP($A925,#REF!,6,FALSE)&gt;2,HLOOKUP($A925,#REF!,6,FALSE)&lt;-2),"",#REF!),"")</f>
        <v/>
      </c>
      <c r="I925" t="str">
        <f>IFERROR(IF(OR(HLOOKUP($A925,#REF!,7,FALSE)&gt;2,HLOOKUP($A925,#REF!,7,FALSE)&lt;-2),"",#REF!),"")</f>
        <v/>
      </c>
      <c r="J925" t="str">
        <f>IFERROR(IF(OR(HLOOKUP($A925,#REF!,8,FALSE)&gt;2,HLOOKUP($A925,#REF!,8,FALSE)&lt;-2),"",#REF!),"")</f>
        <v/>
      </c>
      <c r="K925" t="str">
        <f>IFERROR(IF(OR(HLOOKUP($A925,#REF!,9,FALSE)&gt;2,HLOOKUP($A925,#REF!,9,FALSE)&lt;-2),"",#REF!),"")</f>
        <v/>
      </c>
      <c r="L925" t="str">
        <f>IFERROR(IF(OR(HLOOKUP($A925,#REF!,10,FALSE)&gt;2,HLOOKUP($A925,#REF!,10,FALSE)&lt;-2),"",#REF!),"")</f>
        <v/>
      </c>
      <c r="M925" t="str">
        <f>IFERROR(IF(OR(HLOOKUP($A925,#REF!,11,FALSE)&gt;2,HLOOKUP($A925,#REF!,11,FALSE)&lt;-2),"",#REF!),"")</f>
        <v/>
      </c>
      <c r="N925" t="str">
        <f>IFERROR(IF(OR(HLOOKUP($A925,#REF!,12,FALSE)&gt;2,HLOOKUP($A925,#REF!,12,FALSE)&lt;-2),"",#REF!),"")</f>
        <v/>
      </c>
      <c r="O925" t="str">
        <f>IFERROR(IF(OR(HLOOKUP($A925,#REF!,13,FALSE)&gt;2,HLOOKUP($A925,#REF!,13,FALSE)&lt;-2),"",#REF!),"")</f>
        <v/>
      </c>
      <c r="P925" t="str">
        <f>IFERROR(IF(OR(HLOOKUP($A925,#REF!,14,FALSE)&gt;2,HLOOKUP($A925,#REF!,14,FALSE)&lt;-2),"",#REF!),"")</f>
        <v/>
      </c>
      <c r="Q925" t="str">
        <f>IFERROR(IF(OR(HLOOKUP($A925,#REF!,15,FALSE)&gt;2,HLOOKUP($A925,#REF!,15,FALSE)&lt;-2),"",#REF!),"")</f>
        <v/>
      </c>
      <c r="R925" t="str">
        <f>IFERROR(IF(OR(HLOOKUP($A925,#REF!,16,FALSE)&gt;2,HLOOKUP($A925,#REF!,16,FALSE)&lt;-2),"",#REF!),"")</f>
        <v/>
      </c>
      <c r="S925" t="str">
        <f>IFERROR(IF(OR(HLOOKUP($A925,#REF!,17,FALSE)&gt;2,HLOOKUP($A925,#REF!,17,FALSE)&lt;-2),"",#REF!),"")</f>
        <v/>
      </c>
      <c r="T925" t="str">
        <f>IFERROR(IF(OR(HLOOKUP($A925,#REF!,18,FALSE)&gt;2,HLOOKUP($A925,#REF!,18,FALSE)&lt;-2),"",#REF!),"")</f>
        <v/>
      </c>
      <c r="U925" t="str">
        <f>IFERROR(IF(OR(HLOOKUP($A925,#REF!,19,FALSE)&gt;2,HLOOKUP($A925,#REF!,19,FALSE)&lt;-2),"",#REF!),"")</f>
        <v/>
      </c>
      <c r="V925">
        <f t="shared" si="56"/>
        <v>1</v>
      </c>
      <c r="W925" t="str">
        <f t="shared" si="57"/>
        <v/>
      </c>
      <c r="X925" t="str">
        <f t="shared" si="58"/>
        <v/>
      </c>
      <c r="Y925" t="str">
        <f t="shared" si="59"/>
        <v/>
      </c>
    </row>
    <row r="926" spans="1:25" x14ac:dyDescent="0.35">
      <c r="A926">
        <v>934</v>
      </c>
      <c r="B926" t="s">
        <v>455</v>
      </c>
      <c r="C926">
        <v>43700</v>
      </c>
      <c r="D926">
        <v>909</v>
      </c>
      <c r="E926" t="str">
        <f>IFERROR(IF(OR(HLOOKUP($A926,#REF!,3,FALSE)&gt;2,HLOOKUP(A926,#REF!,3,FALSE)&lt;-2),"",#REF!),"")</f>
        <v/>
      </c>
      <c r="F926" t="str">
        <f>IFERROR(IF(OR(HLOOKUP($A926,#REF!,4,FALSE)&gt;2,HLOOKUP($A926,#REF!,4,FALSE)&lt;-2),"",#REF!),"")</f>
        <v/>
      </c>
      <c r="G926" t="str">
        <f>IFERROR(IF(OR(HLOOKUP($A926,#REF!,5,FALSE)&gt;2,HLOOKUP($A926,#REF!,5,FALSE)&lt;-2),"",#REF!),"")</f>
        <v/>
      </c>
      <c r="H926" t="str">
        <f>IFERROR(IF(OR(HLOOKUP($A926,#REF!,6,FALSE)&gt;2,HLOOKUP($A926,#REF!,6,FALSE)&lt;-2),"",#REF!),"")</f>
        <v/>
      </c>
      <c r="I926" t="str">
        <f>IFERROR(IF(OR(HLOOKUP($A926,#REF!,7,FALSE)&gt;2,HLOOKUP($A926,#REF!,7,FALSE)&lt;-2),"",#REF!),"")</f>
        <v/>
      </c>
      <c r="J926" t="str">
        <f>IFERROR(IF(OR(HLOOKUP($A926,#REF!,8,FALSE)&gt;2,HLOOKUP($A926,#REF!,8,FALSE)&lt;-2),"",#REF!),"")</f>
        <v/>
      </c>
      <c r="K926" t="str">
        <f>IFERROR(IF(OR(HLOOKUP($A926,#REF!,9,FALSE)&gt;2,HLOOKUP($A926,#REF!,9,FALSE)&lt;-2),"",#REF!),"")</f>
        <v/>
      </c>
      <c r="L926" t="str">
        <f>IFERROR(IF(OR(HLOOKUP($A926,#REF!,10,FALSE)&gt;2,HLOOKUP($A926,#REF!,10,FALSE)&lt;-2),"",#REF!),"")</f>
        <v/>
      </c>
      <c r="M926" t="str">
        <f>IFERROR(IF(OR(HLOOKUP($A926,#REF!,11,FALSE)&gt;2,HLOOKUP($A926,#REF!,11,FALSE)&lt;-2),"",#REF!),"")</f>
        <v/>
      </c>
      <c r="N926" t="str">
        <f>IFERROR(IF(OR(HLOOKUP($A926,#REF!,12,FALSE)&gt;2,HLOOKUP($A926,#REF!,12,FALSE)&lt;-2),"",#REF!),"")</f>
        <v/>
      </c>
      <c r="O926" t="str">
        <f>IFERROR(IF(OR(HLOOKUP($A926,#REF!,13,FALSE)&gt;2,HLOOKUP($A926,#REF!,13,FALSE)&lt;-2),"",#REF!),"")</f>
        <v/>
      </c>
      <c r="P926" t="str">
        <f>IFERROR(IF(OR(HLOOKUP($A926,#REF!,14,FALSE)&gt;2,HLOOKUP($A926,#REF!,14,FALSE)&lt;-2),"",#REF!),"")</f>
        <v/>
      </c>
      <c r="Q926" t="str">
        <f>IFERROR(IF(OR(HLOOKUP($A926,#REF!,15,FALSE)&gt;2,HLOOKUP($A926,#REF!,15,FALSE)&lt;-2),"",#REF!),"")</f>
        <v/>
      </c>
      <c r="R926" t="str">
        <f>IFERROR(IF(OR(HLOOKUP($A926,#REF!,16,FALSE)&gt;2,HLOOKUP($A926,#REF!,16,FALSE)&lt;-2),"",#REF!),"")</f>
        <v/>
      </c>
      <c r="S926" t="str">
        <f>IFERROR(IF(OR(HLOOKUP($A926,#REF!,17,FALSE)&gt;2,HLOOKUP($A926,#REF!,17,FALSE)&lt;-2),"",#REF!),"")</f>
        <v/>
      </c>
      <c r="T926" t="str">
        <f>IFERROR(IF(OR(HLOOKUP($A926,#REF!,18,FALSE)&gt;2,HLOOKUP($A926,#REF!,18,FALSE)&lt;-2),"",#REF!),"")</f>
        <v/>
      </c>
      <c r="U926" t="str">
        <f>IFERROR(IF(OR(HLOOKUP($A926,#REF!,19,FALSE)&gt;2,HLOOKUP($A926,#REF!,19,FALSE)&lt;-2),"",#REF!),"")</f>
        <v/>
      </c>
      <c r="V926">
        <f t="shared" si="56"/>
        <v>1</v>
      </c>
      <c r="W926" t="str">
        <f t="shared" si="57"/>
        <v/>
      </c>
      <c r="X926" t="str">
        <f t="shared" si="58"/>
        <v/>
      </c>
      <c r="Y926" t="str">
        <f t="shared" si="59"/>
        <v/>
      </c>
    </row>
    <row r="927" spans="1:25" x14ac:dyDescent="0.35">
      <c r="A927">
        <v>935</v>
      </c>
      <c r="B927" t="s">
        <v>456</v>
      </c>
      <c r="C927">
        <v>19000</v>
      </c>
      <c r="D927">
        <v>39</v>
      </c>
      <c r="E927" t="str">
        <f>IFERROR(IF(OR(HLOOKUP($A927,#REF!,3,FALSE)&gt;2,HLOOKUP(A927,#REF!,3,FALSE)&lt;-2),"",#REF!),"")</f>
        <v/>
      </c>
      <c r="F927" t="str">
        <f>IFERROR(IF(OR(HLOOKUP($A927,#REF!,4,FALSE)&gt;2,HLOOKUP($A927,#REF!,4,FALSE)&lt;-2),"",#REF!),"")</f>
        <v/>
      </c>
      <c r="G927" t="str">
        <f>IFERROR(IF(OR(HLOOKUP($A927,#REF!,5,FALSE)&gt;2,HLOOKUP($A927,#REF!,5,FALSE)&lt;-2),"",#REF!),"")</f>
        <v/>
      </c>
      <c r="H927" t="str">
        <f>IFERROR(IF(OR(HLOOKUP($A927,#REF!,6,FALSE)&gt;2,HLOOKUP($A927,#REF!,6,FALSE)&lt;-2),"",#REF!),"")</f>
        <v/>
      </c>
      <c r="I927" t="str">
        <f>IFERROR(IF(OR(HLOOKUP($A927,#REF!,7,FALSE)&gt;2,HLOOKUP($A927,#REF!,7,FALSE)&lt;-2),"",#REF!),"")</f>
        <v/>
      </c>
      <c r="J927" t="str">
        <f>IFERROR(IF(OR(HLOOKUP($A927,#REF!,8,FALSE)&gt;2,HLOOKUP($A927,#REF!,8,FALSE)&lt;-2),"",#REF!),"")</f>
        <v/>
      </c>
      <c r="K927" t="str">
        <f>IFERROR(IF(OR(HLOOKUP($A927,#REF!,9,FALSE)&gt;2,HLOOKUP($A927,#REF!,9,FALSE)&lt;-2),"",#REF!),"")</f>
        <v/>
      </c>
      <c r="L927" t="str">
        <f>IFERROR(IF(OR(HLOOKUP($A927,#REF!,10,FALSE)&gt;2,HLOOKUP($A927,#REF!,10,FALSE)&lt;-2),"",#REF!),"")</f>
        <v/>
      </c>
      <c r="M927" t="str">
        <f>IFERROR(IF(OR(HLOOKUP($A927,#REF!,11,FALSE)&gt;2,HLOOKUP($A927,#REF!,11,FALSE)&lt;-2),"",#REF!),"")</f>
        <v/>
      </c>
      <c r="N927" t="str">
        <f>IFERROR(IF(OR(HLOOKUP($A927,#REF!,12,FALSE)&gt;2,HLOOKUP($A927,#REF!,12,FALSE)&lt;-2),"",#REF!),"")</f>
        <v/>
      </c>
      <c r="O927" t="str">
        <f>IFERROR(IF(OR(HLOOKUP($A927,#REF!,13,FALSE)&gt;2,HLOOKUP($A927,#REF!,13,FALSE)&lt;-2),"",#REF!),"")</f>
        <v/>
      </c>
      <c r="P927" t="str">
        <f>IFERROR(IF(OR(HLOOKUP($A927,#REF!,14,FALSE)&gt;2,HLOOKUP($A927,#REF!,14,FALSE)&lt;-2),"",#REF!),"")</f>
        <v/>
      </c>
      <c r="Q927" t="str">
        <f>IFERROR(IF(OR(HLOOKUP($A927,#REF!,15,FALSE)&gt;2,HLOOKUP($A927,#REF!,15,FALSE)&lt;-2),"",#REF!),"")</f>
        <v/>
      </c>
      <c r="R927" t="str">
        <f>IFERROR(IF(OR(HLOOKUP($A927,#REF!,16,FALSE)&gt;2,HLOOKUP($A927,#REF!,16,FALSE)&lt;-2),"",#REF!),"")</f>
        <v/>
      </c>
      <c r="S927" t="str">
        <f>IFERROR(IF(OR(HLOOKUP($A927,#REF!,17,FALSE)&gt;2,HLOOKUP($A927,#REF!,17,FALSE)&lt;-2),"",#REF!),"")</f>
        <v/>
      </c>
      <c r="T927" t="str">
        <f>IFERROR(IF(OR(HLOOKUP($A927,#REF!,18,FALSE)&gt;2,HLOOKUP($A927,#REF!,18,FALSE)&lt;-2),"",#REF!),"")</f>
        <v/>
      </c>
      <c r="U927" t="str">
        <f>IFERROR(IF(OR(HLOOKUP($A927,#REF!,19,FALSE)&gt;2,HLOOKUP($A927,#REF!,19,FALSE)&lt;-2),"",#REF!),"")</f>
        <v/>
      </c>
      <c r="V927">
        <f t="shared" si="56"/>
        <v>1</v>
      </c>
      <c r="W927" t="str">
        <f t="shared" si="57"/>
        <v/>
      </c>
      <c r="X927" t="str">
        <f t="shared" si="58"/>
        <v/>
      </c>
      <c r="Y927" t="str">
        <f t="shared" si="59"/>
        <v/>
      </c>
    </row>
    <row r="928" spans="1:25" x14ac:dyDescent="0.35">
      <c r="A928">
        <v>936</v>
      </c>
      <c r="B928" t="s">
        <v>457</v>
      </c>
      <c r="C928">
        <v>57600</v>
      </c>
      <c r="D928">
        <v>645</v>
      </c>
      <c r="E928" t="str">
        <f>IFERROR(IF(OR(HLOOKUP($A928,#REF!,3,FALSE)&gt;2,HLOOKUP(A928,#REF!,3,FALSE)&lt;-2),"",#REF!),"")</f>
        <v/>
      </c>
      <c r="F928" t="str">
        <f>IFERROR(IF(OR(HLOOKUP($A928,#REF!,4,FALSE)&gt;2,HLOOKUP($A928,#REF!,4,FALSE)&lt;-2),"",#REF!),"")</f>
        <v/>
      </c>
      <c r="G928" t="str">
        <f>IFERROR(IF(OR(HLOOKUP($A928,#REF!,5,FALSE)&gt;2,HLOOKUP($A928,#REF!,5,FALSE)&lt;-2),"",#REF!),"")</f>
        <v/>
      </c>
      <c r="H928" t="str">
        <f>IFERROR(IF(OR(HLOOKUP($A928,#REF!,6,FALSE)&gt;2,HLOOKUP($A928,#REF!,6,FALSE)&lt;-2),"",#REF!),"")</f>
        <v/>
      </c>
      <c r="I928" t="str">
        <f>IFERROR(IF(OR(HLOOKUP($A928,#REF!,7,FALSE)&gt;2,HLOOKUP($A928,#REF!,7,FALSE)&lt;-2),"",#REF!),"")</f>
        <v/>
      </c>
      <c r="J928" t="str">
        <f>IFERROR(IF(OR(HLOOKUP($A928,#REF!,8,FALSE)&gt;2,HLOOKUP($A928,#REF!,8,FALSE)&lt;-2),"",#REF!),"")</f>
        <v/>
      </c>
      <c r="K928" t="str">
        <f>IFERROR(IF(OR(HLOOKUP($A928,#REF!,9,FALSE)&gt;2,HLOOKUP($A928,#REF!,9,FALSE)&lt;-2),"",#REF!),"")</f>
        <v/>
      </c>
      <c r="L928" t="str">
        <f>IFERROR(IF(OR(HLOOKUP($A928,#REF!,10,FALSE)&gt;2,HLOOKUP($A928,#REF!,10,FALSE)&lt;-2),"",#REF!),"")</f>
        <v/>
      </c>
      <c r="M928" t="str">
        <f>IFERROR(IF(OR(HLOOKUP($A928,#REF!,11,FALSE)&gt;2,HLOOKUP($A928,#REF!,11,FALSE)&lt;-2),"",#REF!),"")</f>
        <v/>
      </c>
      <c r="N928" t="str">
        <f>IFERROR(IF(OR(HLOOKUP($A928,#REF!,12,FALSE)&gt;2,HLOOKUP($A928,#REF!,12,FALSE)&lt;-2),"",#REF!),"")</f>
        <v/>
      </c>
      <c r="O928" t="str">
        <f>IFERROR(IF(OR(HLOOKUP($A928,#REF!,13,FALSE)&gt;2,HLOOKUP($A928,#REF!,13,FALSE)&lt;-2),"",#REF!),"")</f>
        <v/>
      </c>
      <c r="P928" t="str">
        <f>IFERROR(IF(OR(HLOOKUP($A928,#REF!,14,FALSE)&gt;2,HLOOKUP($A928,#REF!,14,FALSE)&lt;-2),"",#REF!),"")</f>
        <v/>
      </c>
      <c r="Q928" t="str">
        <f>IFERROR(IF(OR(HLOOKUP($A928,#REF!,15,FALSE)&gt;2,HLOOKUP($A928,#REF!,15,FALSE)&lt;-2),"",#REF!),"")</f>
        <v/>
      </c>
      <c r="R928" t="str">
        <f>IFERROR(IF(OR(HLOOKUP($A928,#REF!,16,FALSE)&gt;2,HLOOKUP($A928,#REF!,16,FALSE)&lt;-2),"",#REF!),"")</f>
        <v/>
      </c>
      <c r="S928" t="str">
        <f>IFERROR(IF(OR(HLOOKUP($A928,#REF!,17,FALSE)&gt;2,HLOOKUP($A928,#REF!,17,FALSE)&lt;-2),"",#REF!),"")</f>
        <v/>
      </c>
      <c r="T928" t="str">
        <f>IFERROR(IF(OR(HLOOKUP($A928,#REF!,18,FALSE)&gt;2,HLOOKUP($A928,#REF!,18,FALSE)&lt;-2),"",#REF!),"")</f>
        <v/>
      </c>
      <c r="U928" t="str">
        <f>IFERROR(IF(OR(HLOOKUP($A928,#REF!,19,FALSE)&gt;2,HLOOKUP($A928,#REF!,19,FALSE)&lt;-2),"",#REF!),"")</f>
        <v/>
      </c>
      <c r="V928">
        <f t="shared" si="56"/>
        <v>1</v>
      </c>
      <c r="W928" t="str">
        <f t="shared" si="57"/>
        <v/>
      </c>
      <c r="X928" t="str">
        <f t="shared" si="58"/>
        <v/>
      </c>
      <c r="Y928" t="str">
        <f t="shared" si="59"/>
        <v/>
      </c>
    </row>
    <row r="929" spans="1:25" x14ac:dyDescent="0.35">
      <c r="A929">
        <v>937</v>
      </c>
      <c r="B929" t="s">
        <v>1074</v>
      </c>
      <c r="C929">
        <v>13800</v>
      </c>
      <c r="D929">
        <v>669</v>
      </c>
      <c r="E929" t="str">
        <f>IFERROR(IF(OR(HLOOKUP($A929,#REF!,3,FALSE)&gt;2,HLOOKUP(A929,#REF!,3,FALSE)&lt;-2),"",#REF!),"")</f>
        <v/>
      </c>
      <c r="F929" t="str">
        <f>IFERROR(IF(OR(HLOOKUP($A929,#REF!,4,FALSE)&gt;2,HLOOKUP($A929,#REF!,4,FALSE)&lt;-2),"",#REF!),"")</f>
        <v/>
      </c>
      <c r="G929" t="str">
        <f>IFERROR(IF(OR(HLOOKUP($A929,#REF!,5,FALSE)&gt;2,HLOOKUP($A929,#REF!,5,FALSE)&lt;-2),"",#REF!),"")</f>
        <v/>
      </c>
      <c r="H929" t="str">
        <f>IFERROR(IF(OR(HLOOKUP($A929,#REF!,6,FALSE)&gt;2,HLOOKUP($A929,#REF!,6,FALSE)&lt;-2),"",#REF!),"")</f>
        <v/>
      </c>
      <c r="I929" t="str">
        <f>IFERROR(IF(OR(HLOOKUP($A929,#REF!,7,FALSE)&gt;2,HLOOKUP($A929,#REF!,7,FALSE)&lt;-2),"",#REF!),"")</f>
        <v/>
      </c>
      <c r="J929" t="str">
        <f>IFERROR(IF(OR(HLOOKUP($A929,#REF!,8,FALSE)&gt;2,HLOOKUP($A929,#REF!,8,FALSE)&lt;-2),"",#REF!),"")</f>
        <v/>
      </c>
      <c r="K929" t="str">
        <f>IFERROR(IF(OR(HLOOKUP($A929,#REF!,9,FALSE)&gt;2,HLOOKUP($A929,#REF!,9,FALSE)&lt;-2),"",#REF!),"")</f>
        <v/>
      </c>
      <c r="L929" t="str">
        <f>IFERROR(IF(OR(HLOOKUP($A929,#REF!,10,FALSE)&gt;2,HLOOKUP($A929,#REF!,10,FALSE)&lt;-2),"",#REF!),"")</f>
        <v/>
      </c>
      <c r="M929" t="str">
        <f>IFERROR(IF(OR(HLOOKUP($A929,#REF!,11,FALSE)&gt;2,HLOOKUP($A929,#REF!,11,FALSE)&lt;-2),"",#REF!),"")</f>
        <v/>
      </c>
      <c r="N929" t="str">
        <f>IFERROR(IF(OR(HLOOKUP($A929,#REF!,12,FALSE)&gt;2,HLOOKUP($A929,#REF!,12,FALSE)&lt;-2),"",#REF!),"")</f>
        <v/>
      </c>
      <c r="O929" t="str">
        <f>IFERROR(IF(OR(HLOOKUP($A929,#REF!,13,FALSE)&gt;2,HLOOKUP($A929,#REF!,13,FALSE)&lt;-2),"",#REF!),"")</f>
        <v/>
      </c>
      <c r="P929" t="str">
        <f>IFERROR(IF(OR(HLOOKUP($A929,#REF!,14,FALSE)&gt;2,HLOOKUP($A929,#REF!,14,FALSE)&lt;-2),"",#REF!),"")</f>
        <v/>
      </c>
      <c r="Q929" t="str">
        <f>IFERROR(IF(OR(HLOOKUP($A929,#REF!,15,FALSE)&gt;2,HLOOKUP($A929,#REF!,15,FALSE)&lt;-2),"",#REF!),"")</f>
        <v/>
      </c>
      <c r="R929" t="str">
        <f>IFERROR(IF(OR(HLOOKUP($A929,#REF!,16,FALSE)&gt;2,HLOOKUP($A929,#REF!,16,FALSE)&lt;-2),"",#REF!),"")</f>
        <v/>
      </c>
      <c r="S929" t="str">
        <f>IFERROR(IF(OR(HLOOKUP($A929,#REF!,17,FALSE)&gt;2,HLOOKUP($A929,#REF!,17,FALSE)&lt;-2),"",#REF!),"")</f>
        <v/>
      </c>
      <c r="T929" t="str">
        <f>IFERROR(IF(OR(HLOOKUP($A929,#REF!,18,FALSE)&gt;2,HLOOKUP($A929,#REF!,18,FALSE)&lt;-2),"",#REF!),"")</f>
        <v/>
      </c>
      <c r="U929" t="str">
        <f>IFERROR(IF(OR(HLOOKUP($A929,#REF!,19,FALSE)&gt;2,HLOOKUP($A929,#REF!,19,FALSE)&lt;-2),"",#REF!),"")</f>
        <v/>
      </c>
      <c r="V929">
        <f t="shared" si="56"/>
        <v>1</v>
      </c>
      <c r="W929" t="str">
        <f t="shared" si="57"/>
        <v/>
      </c>
      <c r="X929" t="str">
        <f t="shared" si="58"/>
        <v/>
      </c>
      <c r="Y929" t="str">
        <f t="shared" si="59"/>
        <v/>
      </c>
    </row>
    <row r="930" spans="1:25" x14ac:dyDescent="0.35">
      <c r="A930">
        <v>938</v>
      </c>
      <c r="B930" t="s">
        <v>1075</v>
      </c>
      <c r="C930">
        <v>94800</v>
      </c>
      <c r="D930">
        <v>370</v>
      </c>
      <c r="E930" t="str">
        <f>IFERROR(IF(OR(HLOOKUP($A930,#REF!,3,FALSE)&gt;2,HLOOKUP(A930,#REF!,3,FALSE)&lt;-2),"",#REF!),"")</f>
        <v/>
      </c>
      <c r="F930" t="str">
        <f>IFERROR(IF(OR(HLOOKUP($A930,#REF!,4,FALSE)&gt;2,HLOOKUP($A930,#REF!,4,FALSE)&lt;-2),"",#REF!),"")</f>
        <v/>
      </c>
      <c r="G930" t="str">
        <f>IFERROR(IF(OR(HLOOKUP($A930,#REF!,5,FALSE)&gt;2,HLOOKUP($A930,#REF!,5,FALSE)&lt;-2),"",#REF!),"")</f>
        <v/>
      </c>
      <c r="H930" t="str">
        <f>IFERROR(IF(OR(HLOOKUP($A930,#REF!,6,FALSE)&gt;2,HLOOKUP($A930,#REF!,6,FALSE)&lt;-2),"",#REF!),"")</f>
        <v/>
      </c>
      <c r="I930" t="str">
        <f>IFERROR(IF(OR(HLOOKUP($A930,#REF!,7,FALSE)&gt;2,HLOOKUP($A930,#REF!,7,FALSE)&lt;-2),"",#REF!),"")</f>
        <v/>
      </c>
      <c r="J930" t="str">
        <f>IFERROR(IF(OR(HLOOKUP($A930,#REF!,8,FALSE)&gt;2,HLOOKUP($A930,#REF!,8,FALSE)&lt;-2),"",#REF!),"")</f>
        <v/>
      </c>
      <c r="K930" t="str">
        <f>IFERROR(IF(OR(HLOOKUP($A930,#REF!,9,FALSE)&gt;2,HLOOKUP($A930,#REF!,9,FALSE)&lt;-2),"",#REF!),"")</f>
        <v/>
      </c>
      <c r="L930" t="str">
        <f>IFERROR(IF(OR(HLOOKUP($A930,#REF!,10,FALSE)&gt;2,HLOOKUP($A930,#REF!,10,FALSE)&lt;-2),"",#REF!),"")</f>
        <v/>
      </c>
      <c r="M930" t="str">
        <f>IFERROR(IF(OR(HLOOKUP($A930,#REF!,11,FALSE)&gt;2,HLOOKUP($A930,#REF!,11,FALSE)&lt;-2),"",#REF!),"")</f>
        <v/>
      </c>
      <c r="N930" t="str">
        <f>IFERROR(IF(OR(HLOOKUP($A930,#REF!,12,FALSE)&gt;2,HLOOKUP($A930,#REF!,12,FALSE)&lt;-2),"",#REF!),"")</f>
        <v/>
      </c>
      <c r="O930" t="str">
        <f>IFERROR(IF(OR(HLOOKUP($A930,#REF!,13,FALSE)&gt;2,HLOOKUP($A930,#REF!,13,FALSE)&lt;-2),"",#REF!),"")</f>
        <v/>
      </c>
      <c r="P930" t="str">
        <f>IFERROR(IF(OR(HLOOKUP($A930,#REF!,14,FALSE)&gt;2,HLOOKUP($A930,#REF!,14,FALSE)&lt;-2),"",#REF!),"")</f>
        <v/>
      </c>
      <c r="Q930" t="str">
        <f>IFERROR(IF(OR(HLOOKUP($A930,#REF!,15,FALSE)&gt;2,HLOOKUP($A930,#REF!,15,FALSE)&lt;-2),"",#REF!),"")</f>
        <v/>
      </c>
      <c r="R930" t="str">
        <f>IFERROR(IF(OR(HLOOKUP($A930,#REF!,16,FALSE)&gt;2,HLOOKUP($A930,#REF!,16,FALSE)&lt;-2),"",#REF!),"")</f>
        <v/>
      </c>
      <c r="S930" t="str">
        <f>IFERROR(IF(OR(HLOOKUP($A930,#REF!,17,FALSE)&gt;2,HLOOKUP($A930,#REF!,17,FALSE)&lt;-2),"",#REF!),"")</f>
        <v/>
      </c>
      <c r="T930" t="str">
        <f>IFERROR(IF(OR(HLOOKUP($A930,#REF!,18,FALSE)&gt;2,HLOOKUP($A930,#REF!,18,FALSE)&lt;-2),"",#REF!),"")</f>
        <v/>
      </c>
      <c r="U930" t="str">
        <f>IFERROR(IF(OR(HLOOKUP($A930,#REF!,19,FALSE)&gt;2,HLOOKUP($A930,#REF!,19,FALSE)&lt;-2),"",#REF!),"")</f>
        <v/>
      </c>
      <c r="V930">
        <f t="shared" si="56"/>
        <v>1</v>
      </c>
      <c r="W930" t="str">
        <f t="shared" si="57"/>
        <v/>
      </c>
      <c r="X930" t="str">
        <f t="shared" si="58"/>
        <v/>
      </c>
      <c r="Y930" t="str">
        <f t="shared" si="59"/>
        <v/>
      </c>
    </row>
    <row r="931" spans="1:25" x14ac:dyDescent="0.35">
      <c r="A931">
        <v>939</v>
      </c>
      <c r="B931" t="s">
        <v>458</v>
      </c>
      <c r="C931">
        <v>92900</v>
      </c>
      <c r="D931">
        <v>135</v>
      </c>
      <c r="E931" t="str">
        <f>IFERROR(IF(OR(HLOOKUP($A931,#REF!,3,FALSE)&gt;2,HLOOKUP(A931,#REF!,3,FALSE)&lt;-2),"",#REF!),"")</f>
        <v/>
      </c>
      <c r="F931" t="str">
        <f>IFERROR(IF(OR(HLOOKUP($A931,#REF!,4,FALSE)&gt;2,HLOOKUP($A931,#REF!,4,FALSE)&lt;-2),"",#REF!),"")</f>
        <v/>
      </c>
      <c r="G931" t="str">
        <f>IFERROR(IF(OR(HLOOKUP($A931,#REF!,5,FALSE)&gt;2,HLOOKUP($A931,#REF!,5,FALSE)&lt;-2),"",#REF!),"")</f>
        <v/>
      </c>
      <c r="H931" t="str">
        <f>IFERROR(IF(OR(HLOOKUP($A931,#REF!,6,FALSE)&gt;2,HLOOKUP($A931,#REF!,6,FALSE)&lt;-2),"",#REF!),"")</f>
        <v/>
      </c>
      <c r="I931" t="str">
        <f>IFERROR(IF(OR(HLOOKUP($A931,#REF!,7,FALSE)&gt;2,HLOOKUP($A931,#REF!,7,FALSE)&lt;-2),"",#REF!),"")</f>
        <v/>
      </c>
      <c r="J931" t="str">
        <f>IFERROR(IF(OR(HLOOKUP($A931,#REF!,8,FALSE)&gt;2,HLOOKUP($A931,#REF!,8,FALSE)&lt;-2),"",#REF!),"")</f>
        <v/>
      </c>
      <c r="K931" t="str">
        <f>IFERROR(IF(OR(HLOOKUP($A931,#REF!,9,FALSE)&gt;2,HLOOKUP($A931,#REF!,9,FALSE)&lt;-2),"",#REF!),"")</f>
        <v/>
      </c>
      <c r="L931" t="str">
        <f>IFERROR(IF(OR(HLOOKUP($A931,#REF!,10,FALSE)&gt;2,HLOOKUP($A931,#REF!,10,FALSE)&lt;-2),"",#REF!),"")</f>
        <v/>
      </c>
      <c r="M931" t="str">
        <f>IFERROR(IF(OR(HLOOKUP($A931,#REF!,11,FALSE)&gt;2,HLOOKUP($A931,#REF!,11,FALSE)&lt;-2),"",#REF!),"")</f>
        <v/>
      </c>
      <c r="N931" t="str">
        <f>IFERROR(IF(OR(HLOOKUP($A931,#REF!,12,FALSE)&gt;2,HLOOKUP($A931,#REF!,12,FALSE)&lt;-2),"",#REF!),"")</f>
        <v/>
      </c>
      <c r="O931" t="str">
        <f>IFERROR(IF(OR(HLOOKUP($A931,#REF!,13,FALSE)&gt;2,HLOOKUP($A931,#REF!,13,FALSE)&lt;-2),"",#REF!),"")</f>
        <v/>
      </c>
      <c r="P931" t="str">
        <f>IFERROR(IF(OR(HLOOKUP($A931,#REF!,14,FALSE)&gt;2,HLOOKUP($A931,#REF!,14,FALSE)&lt;-2),"",#REF!),"")</f>
        <v/>
      </c>
      <c r="Q931" t="str">
        <f>IFERROR(IF(OR(HLOOKUP($A931,#REF!,15,FALSE)&gt;2,HLOOKUP($A931,#REF!,15,FALSE)&lt;-2),"",#REF!),"")</f>
        <v/>
      </c>
      <c r="R931" t="str">
        <f>IFERROR(IF(OR(HLOOKUP($A931,#REF!,16,FALSE)&gt;2,HLOOKUP($A931,#REF!,16,FALSE)&lt;-2),"",#REF!),"")</f>
        <v/>
      </c>
      <c r="S931" t="str">
        <f>IFERROR(IF(OR(HLOOKUP($A931,#REF!,17,FALSE)&gt;2,HLOOKUP($A931,#REF!,17,FALSE)&lt;-2),"",#REF!),"")</f>
        <v/>
      </c>
      <c r="T931" t="str">
        <f>IFERROR(IF(OR(HLOOKUP($A931,#REF!,18,FALSE)&gt;2,HLOOKUP($A931,#REF!,18,FALSE)&lt;-2),"",#REF!),"")</f>
        <v/>
      </c>
      <c r="U931" t="str">
        <f>IFERROR(IF(OR(HLOOKUP($A931,#REF!,19,FALSE)&gt;2,HLOOKUP($A931,#REF!,19,FALSE)&lt;-2),"",#REF!),"")</f>
        <v/>
      </c>
      <c r="V931">
        <f t="shared" si="56"/>
        <v>1</v>
      </c>
      <c r="W931" t="str">
        <f t="shared" si="57"/>
        <v/>
      </c>
      <c r="X931" t="str">
        <f t="shared" si="58"/>
        <v/>
      </c>
      <c r="Y931" t="str">
        <f t="shared" si="59"/>
        <v/>
      </c>
    </row>
    <row r="932" spans="1:25" x14ac:dyDescent="0.35">
      <c r="A932">
        <v>940</v>
      </c>
      <c r="B932" t="s">
        <v>459</v>
      </c>
      <c r="C932">
        <v>111000</v>
      </c>
      <c r="D932">
        <v>768</v>
      </c>
      <c r="E932" t="str">
        <f>IFERROR(IF(OR(HLOOKUP($A932,#REF!,3,FALSE)&gt;2,HLOOKUP(A932,#REF!,3,FALSE)&lt;-2),"",#REF!),"")</f>
        <v/>
      </c>
      <c r="F932" t="str">
        <f>IFERROR(IF(OR(HLOOKUP($A932,#REF!,4,FALSE)&gt;2,HLOOKUP($A932,#REF!,4,FALSE)&lt;-2),"",#REF!),"")</f>
        <v/>
      </c>
      <c r="G932" t="str">
        <f>IFERROR(IF(OR(HLOOKUP($A932,#REF!,5,FALSE)&gt;2,HLOOKUP($A932,#REF!,5,FALSE)&lt;-2),"",#REF!),"")</f>
        <v/>
      </c>
      <c r="H932" t="str">
        <f>IFERROR(IF(OR(HLOOKUP($A932,#REF!,6,FALSE)&gt;2,HLOOKUP($A932,#REF!,6,FALSE)&lt;-2),"",#REF!),"")</f>
        <v/>
      </c>
      <c r="I932" t="str">
        <f>IFERROR(IF(OR(HLOOKUP($A932,#REF!,7,FALSE)&gt;2,HLOOKUP($A932,#REF!,7,FALSE)&lt;-2),"",#REF!),"")</f>
        <v/>
      </c>
      <c r="J932" t="str">
        <f>IFERROR(IF(OR(HLOOKUP($A932,#REF!,8,FALSE)&gt;2,HLOOKUP($A932,#REF!,8,FALSE)&lt;-2),"",#REF!),"")</f>
        <v/>
      </c>
      <c r="K932" t="str">
        <f>IFERROR(IF(OR(HLOOKUP($A932,#REF!,9,FALSE)&gt;2,HLOOKUP($A932,#REF!,9,FALSE)&lt;-2),"",#REF!),"")</f>
        <v/>
      </c>
      <c r="L932" t="str">
        <f>IFERROR(IF(OR(HLOOKUP($A932,#REF!,10,FALSE)&gt;2,HLOOKUP($A932,#REF!,10,FALSE)&lt;-2),"",#REF!),"")</f>
        <v/>
      </c>
      <c r="M932" t="str">
        <f>IFERROR(IF(OR(HLOOKUP($A932,#REF!,11,FALSE)&gt;2,HLOOKUP($A932,#REF!,11,FALSE)&lt;-2),"",#REF!),"")</f>
        <v/>
      </c>
      <c r="N932" t="str">
        <f>IFERROR(IF(OR(HLOOKUP($A932,#REF!,12,FALSE)&gt;2,HLOOKUP($A932,#REF!,12,FALSE)&lt;-2),"",#REF!),"")</f>
        <v/>
      </c>
      <c r="O932" t="str">
        <f>IFERROR(IF(OR(HLOOKUP($A932,#REF!,13,FALSE)&gt;2,HLOOKUP($A932,#REF!,13,FALSE)&lt;-2),"",#REF!),"")</f>
        <v/>
      </c>
      <c r="P932" t="str">
        <f>IFERROR(IF(OR(HLOOKUP($A932,#REF!,14,FALSE)&gt;2,HLOOKUP($A932,#REF!,14,FALSE)&lt;-2),"",#REF!),"")</f>
        <v/>
      </c>
      <c r="Q932" t="str">
        <f>IFERROR(IF(OR(HLOOKUP($A932,#REF!,15,FALSE)&gt;2,HLOOKUP($A932,#REF!,15,FALSE)&lt;-2),"",#REF!),"")</f>
        <v/>
      </c>
      <c r="R932" t="str">
        <f>IFERROR(IF(OR(HLOOKUP($A932,#REF!,16,FALSE)&gt;2,HLOOKUP($A932,#REF!,16,FALSE)&lt;-2),"",#REF!),"")</f>
        <v/>
      </c>
      <c r="S932" t="str">
        <f>IFERROR(IF(OR(HLOOKUP($A932,#REF!,17,FALSE)&gt;2,HLOOKUP($A932,#REF!,17,FALSE)&lt;-2),"",#REF!),"")</f>
        <v/>
      </c>
      <c r="T932" t="str">
        <f>IFERROR(IF(OR(HLOOKUP($A932,#REF!,18,FALSE)&gt;2,HLOOKUP($A932,#REF!,18,FALSE)&lt;-2),"",#REF!),"")</f>
        <v/>
      </c>
      <c r="U932" t="str">
        <f>IFERROR(IF(OR(HLOOKUP($A932,#REF!,19,FALSE)&gt;2,HLOOKUP($A932,#REF!,19,FALSE)&lt;-2),"",#REF!),"")</f>
        <v/>
      </c>
      <c r="V932">
        <f t="shared" si="56"/>
        <v>1</v>
      </c>
      <c r="W932" t="str">
        <f t="shared" si="57"/>
        <v/>
      </c>
      <c r="X932" t="str">
        <f t="shared" si="58"/>
        <v/>
      </c>
      <c r="Y932" t="str">
        <f t="shared" si="59"/>
        <v/>
      </c>
    </row>
    <row r="933" spans="1:25" x14ac:dyDescent="0.35">
      <c r="A933">
        <v>941</v>
      </c>
      <c r="B933" t="s">
        <v>1076</v>
      </c>
      <c r="C933">
        <v>110400</v>
      </c>
      <c r="D933">
        <v>1000</v>
      </c>
      <c r="E933" t="str">
        <f>IFERROR(IF(OR(HLOOKUP($A933,#REF!,3,FALSE)&gt;2,HLOOKUP(A933,#REF!,3,FALSE)&lt;-2),"",#REF!),"")</f>
        <v/>
      </c>
      <c r="F933" t="str">
        <f>IFERROR(IF(OR(HLOOKUP($A933,#REF!,4,FALSE)&gt;2,HLOOKUP($A933,#REF!,4,FALSE)&lt;-2),"",#REF!),"")</f>
        <v/>
      </c>
      <c r="G933" t="str">
        <f>IFERROR(IF(OR(HLOOKUP($A933,#REF!,5,FALSE)&gt;2,HLOOKUP($A933,#REF!,5,FALSE)&lt;-2),"",#REF!),"")</f>
        <v/>
      </c>
      <c r="H933" t="str">
        <f>IFERROR(IF(OR(HLOOKUP($A933,#REF!,6,FALSE)&gt;2,HLOOKUP($A933,#REF!,6,FALSE)&lt;-2),"",#REF!),"")</f>
        <v/>
      </c>
      <c r="I933" t="str">
        <f>IFERROR(IF(OR(HLOOKUP($A933,#REF!,7,FALSE)&gt;2,HLOOKUP($A933,#REF!,7,FALSE)&lt;-2),"",#REF!),"")</f>
        <v/>
      </c>
      <c r="J933" t="str">
        <f>IFERROR(IF(OR(HLOOKUP($A933,#REF!,8,FALSE)&gt;2,HLOOKUP($A933,#REF!,8,FALSE)&lt;-2),"",#REF!),"")</f>
        <v/>
      </c>
      <c r="K933" t="str">
        <f>IFERROR(IF(OR(HLOOKUP($A933,#REF!,9,FALSE)&gt;2,HLOOKUP($A933,#REF!,9,FALSE)&lt;-2),"",#REF!),"")</f>
        <v/>
      </c>
      <c r="L933" t="str">
        <f>IFERROR(IF(OR(HLOOKUP($A933,#REF!,10,FALSE)&gt;2,HLOOKUP($A933,#REF!,10,FALSE)&lt;-2),"",#REF!),"")</f>
        <v/>
      </c>
      <c r="M933" t="str">
        <f>IFERROR(IF(OR(HLOOKUP($A933,#REF!,11,FALSE)&gt;2,HLOOKUP($A933,#REF!,11,FALSE)&lt;-2),"",#REF!),"")</f>
        <v/>
      </c>
      <c r="N933" t="str">
        <f>IFERROR(IF(OR(HLOOKUP($A933,#REF!,12,FALSE)&gt;2,HLOOKUP($A933,#REF!,12,FALSE)&lt;-2),"",#REF!),"")</f>
        <v/>
      </c>
      <c r="O933" t="str">
        <f>IFERROR(IF(OR(HLOOKUP($A933,#REF!,13,FALSE)&gt;2,HLOOKUP($A933,#REF!,13,FALSE)&lt;-2),"",#REF!),"")</f>
        <v/>
      </c>
      <c r="P933" t="str">
        <f>IFERROR(IF(OR(HLOOKUP($A933,#REF!,14,FALSE)&gt;2,HLOOKUP($A933,#REF!,14,FALSE)&lt;-2),"",#REF!),"")</f>
        <v/>
      </c>
      <c r="Q933" t="str">
        <f>IFERROR(IF(OR(HLOOKUP($A933,#REF!,15,FALSE)&gt;2,HLOOKUP($A933,#REF!,15,FALSE)&lt;-2),"",#REF!),"")</f>
        <v/>
      </c>
      <c r="R933" t="str">
        <f>IFERROR(IF(OR(HLOOKUP($A933,#REF!,16,FALSE)&gt;2,HLOOKUP($A933,#REF!,16,FALSE)&lt;-2),"",#REF!),"")</f>
        <v/>
      </c>
      <c r="S933" t="str">
        <f>IFERROR(IF(OR(HLOOKUP($A933,#REF!,17,FALSE)&gt;2,HLOOKUP($A933,#REF!,17,FALSE)&lt;-2),"",#REF!),"")</f>
        <v/>
      </c>
      <c r="T933" t="str">
        <f>IFERROR(IF(OR(HLOOKUP($A933,#REF!,18,FALSE)&gt;2,HLOOKUP($A933,#REF!,18,FALSE)&lt;-2),"",#REF!),"")</f>
        <v/>
      </c>
      <c r="U933" t="str">
        <f>IFERROR(IF(OR(HLOOKUP($A933,#REF!,19,FALSE)&gt;2,HLOOKUP($A933,#REF!,19,FALSE)&lt;-2),"",#REF!),"")</f>
        <v/>
      </c>
      <c r="V933">
        <f t="shared" si="56"/>
        <v>1</v>
      </c>
      <c r="W933" t="str">
        <f t="shared" si="57"/>
        <v/>
      </c>
      <c r="X933" t="str">
        <f t="shared" si="58"/>
        <v/>
      </c>
      <c r="Y933" t="str">
        <f t="shared" si="59"/>
        <v/>
      </c>
    </row>
    <row r="934" spans="1:25" x14ac:dyDescent="0.35">
      <c r="A934">
        <v>942</v>
      </c>
      <c r="B934" t="s">
        <v>1077</v>
      </c>
      <c r="C934">
        <v>46700</v>
      </c>
      <c r="D934">
        <v>703</v>
      </c>
      <c r="E934" t="str">
        <f>IFERROR(IF(OR(HLOOKUP($A934,#REF!,3,FALSE)&gt;2,HLOOKUP(A934,#REF!,3,FALSE)&lt;-2),"",#REF!),"")</f>
        <v/>
      </c>
      <c r="F934" t="str">
        <f>IFERROR(IF(OR(HLOOKUP($A934,#REF!,4,FALSE)&gt;2,HLOOKUP($A934,#REF!,4,FALSE)&lt;-2),"",#REF!),"")</f>
        <v/>
      </c>
      <c r="G934" t="str">
        <f>IFERROR(IF(OR(HLOOKUP($A934,#REF!,5,FALSE)&gt;2,HLOOKUP($A934,#REF!,5,FALSE)&lt;-2),"",#REF!),"")</f>
        <v/>
      </c>
      <c r="H934" t="str">
        <f>IFERROR(IF(OR(HLOOKUP($A934,#REF!,6,FALSE)&gt;2,HLOOKUP($A934,#REF!,6,FALSE)&lt;-2),"",#REF!),"")</f>
        <v/>
      </c>
      <c r="I934" t="str">
        <f>IFERROR(IF(OR(HLOOKUP($A934,#REF!,7,FALSE)&gt;2,HLOOKUP($A934,#REF!,7,FALSE)&lt;-2),"",#REF!),"")</f>
        <v/>
      </c>
      <c r="J934" t="str">
        <f>IFERROR(IF(OR(HLOOKUP($A934,#REF!,8,FALSE)&gt;2,HLOOKUP($A934,#REF!,8,FALSE)&lt;-2),"",#REF!),"")</f>
        <v/>
      </c>
      <c r="K934" t="str">
        <f>IFERROR(IF(OR(HLOOKUP($A934,#REF!,9,FALSE)&gt;2,HLOOKUP($A934,#REF!,9,FALSE)&lt;-2),"",#REF!),"")</f>
        <v/>
      </c>
      <c r="L934" t="str">
        <f>IFERROR(IF(OR(HLOOKUP($A934,#REF!,10,FALSE)&gt;2,HLOOKUP($A934,#REF!,10,FALSE)&lt;-2),"",#REF!),"")</f>
        <v/>
      </c>
      <c r="M934" t="str">
        <f>IFERROR(IF(OR(HLOOKUP($A934,#REF!,11,FALSE)&gt;2,HLOOKUP($A934,#REF!,11,FALSE)&lt;-2),"",#REF!),"")</f>
        <v/>
      </c>
      <c r="N934" t="str">
        <f>IFERROR(IF(OR(HLOOKUP($A934,#REF!,12,FALSE)&gt;2,HLOOKUP($A934,#REF!,12,FALSE)&lt;-2),"",#REF!),"")</f>
        <v/>
      </c>
      <c r="O934" t="str">
        <f>IFERROR(IF(OR(HLOOKUP($A934,#REF!,13,FALSE)&gt;2,HLOOKUP($A934,#REF!,13,FALSE)&lt;-2),"",#REF!),"")</f>
        <v/>
      </c>
      <c r="P934" t="str">
        <f>IFERROR(IF(OR(HLOOKUP($A934,#REF!,14,FALSE)&gt;2,HLOOKUP($A934,#REF!,14,FALSE)&lt;-2),"",#REF!),"")</f>
        <v/>
      </c>
      <c r="Q934" t="str">
        <f>IFERROR(IF(OR(HLOOKUP($A934,#REF!,15,FALSE)&gt;2,HLOOKUP($A934,#REF!,15,FALSE)&lt;-2),"",#REF!),"")</f>
        <v/>
      </c>
      <c r="R934" t="str">
        <f>IFERROR(IF(OR(HLOOKUP($A934,#REF!,16,FALSE)&gt;2,HLOOKUP($A934,#REF!,16,FALSE)&lt;-2),"",#REF!),"")</f>
        <v/>
      </c>
      <c r="S934" t="str">
        <f>IFERROR(IF(OR(HLOOKUP($A934,#REF!,17,FALSE)&gt;2,HLOOKUP($A934,#REF!,17,FALSE)&lt;-2),"",#REF!),"")</f>
        <v/>
      </c>
      <c r="T934" t="str">
        <f>IFERROR(IF(OR(HLOOKUP($A934,#REF!,18,FALSE)&gt;2,HLOOKUP($A934,#REF!,18,FALSE)&lt;-2),"",#REF!),"")</f>
        <v/>
      </c>
      <c r="U934" t="str">
        <f>IFERROR(IF(OR(HLOOKUP($A934,#REF!,19,FALSE)&gt;2,HLOOKUP($A934,#REF!,19,FALSE)&lt;-2),"",#REF!),"")</f>
        <v/>
      </c>
      <c r="V934">
        <f t="shared" si="56"/>
        <v>1</v>
      </c>
      <c r="W934" t="str">
        <f t="shared" si="57"/>
        <v/>
      </c>
      <c r="X934" t="str">
        <f t="shared" si="58"/>
        <v/>
      </c>
      <c r="Y934" t="str">
        <f t="shared" si="59"/>
        <v/>
      </c>
    </row>
    <row r="935" spans="1:25" x14ac:dyDescent="0.35">
      <c r="A935">
        <v>943</v>
      </c>
      <c r="B935" t="s">
        <v>460</v>
      </c>
      <c r="C935">
        <v>1700</v>
      </c>
      <c r="D935">
        <v>985</v>
      </c>
      <c r="E935" t="str">
        <f>IFERROR(IF(OR(HLOOKUP($A935,#REF!,3,FALSE)&gt;2,HLOOKUP(A935,#REF!,3,FALSE)&lt;-2),"",#REF!),"")</f>
        <v/>
      </c>
      <c r="F935" t="str">
        <f>IFERROR(IF(OR(HLOOKUP($A935,#REF!,4,FALSE)&gt;2,HLOOKUP($A935,#REF!,4,FALSE)&lt;-2),"",#REF!),"")</f>
        <v/>
      </c>
      <c r="G935" t="str">
        <f>IFERROR(IF(OR(HLOOKUP($A935,#REF!,5,FALSE)&gt;2,HLOOKUP($A935,#REF!,5,FALSE)&lt;-2),"",#REF!),"")</f>
        <v/>
      </c>
      <c r="H935" t="str">
        <f>IFERROR(IF(OR(HLOOKUP($A935,#REF!,6,FALSE)&gt;2,HLOOKUP($A935,#REF!,6,FALSE)&lt;-2),"",#REF!),"")</f>
        <v/>
      </c>
      <c r="I935" t="str">
        <f>IFERROR(IF(OR(HLOOKUP($A935,#REF!,7,FALSE)&gt;2,HLOOKUP($A935,#REF!,7,FALSE)&lt;-2),"",#REF!),"")</f>
        <v/>
      </c>
      <c r="J935" t="str">
        <f>IFERROR(IF(OR(HLOOKUP($A935,#REF!,8,FALSE)&gt;2,HLOOKUP($A935,#REF!,8,FALSE)&lt;-2),"",#REF!),"")</f>
        <v/>
      </c>
      <c r="K935" t="str">
        <f>IFERROR(IF(OR(HLOOKUP($A935,#REF!,9,FALSE)&gt;2,HLOOKUP($A935,#REF!,9,FALSE)&lt;-2),"",#REF!),"")</f>
        <v/>
      </c>
      <c r="L935" t="str">
        <f>IFERROR(IF(OR(HLOOKUP($A935,#REF!,10,FALSE)&gt;2,HLOOKUP($A935,#REF!,10,FALSE)&lt;-2),"",#REF!),"")</f>
        <v/>
      </c>
      <c r="M935" t="str">
        <f>IFERROR(IF(OR(HLOOKUP($A935,#REF!,11,FALSE)&gt;2,HLOOKUP($A935,#REF!,11,FALSE)&lt;-2),"",#REF!),"")</f>
        <v/>
      </c>
      <c r="N935" t="str">
        <f>IFERROR(IF(OR(HLOOKUP($A935,#REF!,12,FALSE)&gt;2,HLOOKUP($A935,#REF!,12,FALSE)&lt;-2),"",#REF!),"")</f>
        <v/>
      </c>
      <c r="O935" t="str">
        <f>IFERROR(IF(OR(HLOOKUP($A935,#REF!,13,FALSE)&gt;2,HLOOKUP($A935,#REF!,13,FALSE)&lt;-2),"",#REF!),"")</f>
        <v/>
      </c>
      <c r="P935" t="str">
        <f>IFERROR(IF(OR(HLOOKUP($A935,#REF!,14,FALSE)&gt;2,HLOOKUP($A935,#REF!,14,FALSE)&lt;-2),"",#REF!),"")</f>
        <v/>
      </c>
      <c r="Q935" t="str">
        <f>IFERROR(IF(OR(HLOOKUP($A935,#REF!,15,FALSE)&gt;2,HLOOKUP($A935,#REF!,15,FALSE)&lt;-2),"",#REF!),"")</f>
        <v/>
      </c>
      <c r="R935" t="str">
        <f>IFERROR(IF(OR(HLOOKUP($A935,#REF!,16,FALSE)&gt;2,HLOOKUP($A935,#REF!,16,FALSE)&lt;-2),"",#REF!),"")</f>
        <v/>
      </c>
      <c r="S935" t="str">
        <f>IFERROR(IF(OR(HLOOKUP($A935,#REF!,17,FALSE)&gt;2,HLOOKUP($A935,#REF!,17,FALSE)&lt;-2),"",#REF!),"")</f>
        <v/>
      </c>
      <c r="T935" t="str">
        <f>IFERROR(IF(OR(HLOOKUP($A935,#REF!,18,FALSE)&gt;2,HLOOKUP($A935,#REF!,18,FALSE)&lt;-2),"",#REF!),"")</f>
        <v/>
      </c>
      <c r="U935" t="str">
        <f>IFERROR(IF(OR(HLOOKUP($A935,#REF!,19,FALSE)&gt;2,HLOOKUP($A935,#REF!,19,FALSE)&lt;-2),"",#REF!),"")</f>
        <v/>
      </c>
      <c r="V935">
        <f t="shared" si="56"/>
        <v>1</v>
      </c>
      <c r="W935" t="str">
        <f t="shared" si="57"/>
        <v/>
      </c>
      <c r="X935" t="str">
        <f t="shared" si="58"/>
        <v/>
      </c>
      <c r="Y935" t="str">
        <f t="shared" si="59"/>
        <v/>
      </c>
    </row>
    <row r="936" spans="1:25" x14ac:dyDescent="0.35">
      <c r="A936">
        <v>944</v>
      </c>
      <c r="B936" t="s">
        <v>461</v>
      </c>
      <c r="C936">
        <v>58000</v>
      </c>
      <c r="D936">
        <v>645</v>
      </c>
      <c r="E936" t="str">
        <f>IFERROR(IF(OR(HLOOKUP($A936,#REF!,3,FALSE)&gt;2,HLOOKUP(A936,#REF!,3,FALSE)&lt;-2),"",#REF!),"")</f>
        <v/>
      </c>
      <c r="F936" t="str">
        <f>IFERROR(IF(OR(HLOOKUP($A936,#REF!,4,FALSE)&gt;2,HLOOKUP($A936,#REF!,4,FALSE)&lt;-2),"",#REF!),"")</f>
        <v/>
      </c>
      <c r="G936" t="str">
        <f>IFERROR(IF(OR(HLOOKUP($A936,#REF!,5,FALSE)&gt;2,HLOOKUP($A936,#REF!,5,FALSE)&lt;-2),"",#REF!),"")</f>
        <v/>
      </c>
      <c r="H936" t="str">
        <f>IFERROR(IF(OR(HLOOKUP($A936,#REF!,6,FALSE)&gt;2,HLOOKUP($A936,#REF!,6,FALSE)&lt;-2),"",#REF!),"")</f>
        <v/>
      </c>
      <c r="I936" t="str">
        <f>IFERROR(IF(OR(HLOOKUP($A936,#REF!,7,FALSE)&gt;2,HLOOKUP($A936,#REF!,7,FALSE)&lt;-2),"",#REF!),"")</f>
        <v/>
      </c>
      <c r="J936" t="str">
        <f>IFERROR(IF(OR(HLOOKUP($A936,#REF!,8,FALSE)&gt;2,HLOOKUP($A936,#REF!,8,FALSE)&lt;-2),"",#REF!),"")</f>
        <v/>
      </c>
      <c r="K936" t="str">
        <f>IFERROR(IF(OR(HLOOKUP($A936,#REF!,9,FALSE)&gt;2,HLOOKUP($A936,#REF!,9,FALSE)&lt;-2),"",#REF!),"")</f>
        <v/>
      </c>
      <c r="L936" t="str">
        <f>IFERROR(IF(OR(HLOOKUP($A936,#REF!,10,FALSE)&gt;2,HLOOKUP($A936,#REF!,10,FALSE)&lt;-2),"",#REF!),"")</f>
        <v/>
      </c>
      <c r="M936" t="str">
        <f>IFERROR(IF(OR(HLOOKUP($A936,#REF!,11,FALSE)&gt;2,HLOOKUP($A936,#REF!,11,FALSE)&lt;-2),"",#REF!),"")</f>
        <v/>
      </c>
      <c r="N936" t="str">
        <f>IFERROR(IF(OR(HLOOKUP($A936,#REF!,12,FALSE)&gt;2,HLOOKUP($A936,#REF!,12,FALSE)&lt;-2),"",#REF!),"")</f>
        <v/>
      </c>
      <c r="O936" t="str">
        <f>IFERROR(IF(OR(HLOOKUP($A936,#REF!,13,FALSE)&gt;2,HLOOKUP($A936,#REF!,13,FALSE)&lt;-2),"",#REF!),"")</f>
        <v/>
      </c>
      <c r="P936" t="str">
        <f>IFERROR(IF(OR(HLOOKUP($A936,#REF!,14,FALSE)&gt;2,HLOOKUP($A936,#REF!,14,FALSE)&lt;-2),"",#REF!),"")</f>
        <v/>
      </c>
      <c r="Q936" t="str">
        <f>IFERROR(IF(OR(HLOOKUP($A936,#REF!,15,FALSE)&gt;2,HLOOKUP($A936,#REF!,15,FALSE)&lt;-2),"",#REF!),"")</f>
        <v/>
      </c>
      <c r="R936" t="str">
        <f>IFERROR(IF(OR(HLOOKUP($A936,#REF!,16,FALSE)&gt;2,HLOOKUP($A936,#REF!,16,FALSE)&lt;-2),"",#REF!),"")</f>
        <v/>
      </c>
      <c r="S936" t="str">
        <f>IFERROR(IF(OR(HLOOKUP($A936,#REF!,17,FALSE)&gt;2,HLOOKUP($A936,#REF!,17,FALSE)&lt;-2),"",#REF!),"")</f>
        <v/>
      </c>
      <c r="T936" t="str">
        <f>IFERROR(IF(OR(HLOOKUP($A936,#REF!,18,FALSE)&gt;2,HLOOKUP($A936,#REF!,18,FALSE)&lt;-2),"",#REF!),"")</f>
        <v/>
      </c>
      <c r="U936" t="str">
        <f>IFERROR(IF(OR(HLOOKUP($A936,#REF!,19,FALSE)&gt;2,HLOOKUP($A936,#REF!,19,FALSE)&lt;-2),"",#REF!),"")</f>
        <v/>
      </c>
      <c r="V936">
        <f t="shared" si="56"/>
        <v>1</v>
      </c>
      <c r="W936" t="str">
        <f t="shared" si="57"/>
        <v/>
      </c>
      <c r="X936" t="str">
        <f t="shared" si="58"/>
        <v/>
      </c>
      <c r="Y936" t="str">
        <f t="shared" si="59"/>
        <v/>
      </c>
    </row>
    <row r="937" spans="1:25" x14ac:dyDescent="0.35">
      <c r="A937">
        <v>945</v>
      </c>
      <c r="B937" t="s">
        <v>462</v>
      </c>
      <c r="C937">
        <v>6800</v>
      </c>
      <c r="D937">
        <v>369</v>
      </c>
      <c r="E937" t="str">
        <f>IFERROR(IF(OR(HLOOKUP($A937,#REF!,3,FALSE)&gt;2,HLOOKUP(A937,#REF!,3,FALSE)&lt;-2),"",#REF!),"")</f>
        <v/>
      </c>
      <c r="F937" t="str">
        <f>IFERROR(IF(OR(HLOOKUP($A937,#REF!,4,FALSE)&gt;2,HLOOKUP($A937,#REF!,4,FALSE)&lt;-2),"",#REF!),"")</f>
        <v/>
      </c>
      <c r="G937" t="str">
        <f>IFERROR(IF(OR(HLOOKUP($A937,#REF!,5,FALSE)&gt;2,HLOOKUP($A937,#REF!,5,FALSE)&lt;-2),"",#REF!),"")</f>
        <v/>
      </c>
      <c r="H937" t="str">
        <f>IFERROR(IF(OR(HLOOKUP($A937,#REF!,6,FALSE)&gt;2,HLOOKUP($A937,#REF!,6,FALSE)&lt;-2),"",#REF!),"")</f>
        <v/>
      </c>
      <c r="I937" t="str">
        <f>IFERROR(IF(OR(HLOOKUP($A937,#REF!,7,FALSE)&gt;2,HLOOKUP($A937,#REF!,7,FALSE)&lt;-2),"",#REF!),"")</f>
        <v/>
      </c>
      <c r="J937" t="str">
        <f>IFERROR(IF(OR(HLOOKUP($A937,#REF!,8,FALSE)&gt;2,HLOOKUP($A937,#REF!,8,FALSE)&lt;-2),"",#REF!),"")</f>
        <v/>
      </c>
      <c r="K937" t="str">
        <f>IFERROR(IF(OR(HLOOKUP($A937,#REF!,9,FALSE)&gt;2,HLOOKUP($A937,#REF!,9,FALSE)&lt;-2),"",#REF!),"")</f>
        <v/>
      </c>
      <c r="L937" t="str">
        <f>IFERROR(IF(OR(HLOOKUP($A937,#REF!,10,FALSE)&gt;2,HLOOKUP($A937,#REF!,10,FALSE)&lt;-2),"",#REF!),"")</f>
        <v/>
      </c>
      <c r="M937" t="str">
        <f>IFERROR(IF(OR(HLOOKUP($A937,#REF!,11,FALSE)&gt;2,HLOOKUP($A937,#REF!,11,FALSE)&lt;-2),"",#REF!),"")</f>
        <v/>
      </c>
      <c r="N937" t="str">
        <f>IFERROR(IF(OR(HLOOKUP($A937,#REF!,12,FALSE)&gt;2,HLOOKUP($A937,#REF!,12,FALSE)&lt;-2),"",#REF!),"")</f>
        <v/>
      </c>
      <c r="O937" t="str">
        <f>IFERROR(IF(OR(HLOOKUP($A937,#REF!,13,FALSE)&gt;2,HLOOKUP($A937,#REF!,13,FALSE)&lt;-2),"",#REF!),"")</f>
        <v/>
      </c>
      <c r="P937" t="str">
        <f>IFERROR(IF(OR(HLOOKUP($A937,#REF!,14,FALSE)&gt;2,HLOOKUP($A937,#REF!,14,FALSE)&lt;-2),"",#REF!),"")</f>
        <v/>
      </c>
      <c r="Q937" t="str">
        <f>IFERROR(IF(OR(HLOOKUP($A937,#REF!,15,FALSE)&gt;2,HLOOKUP($A937,#REF!,15,FALSE)&lt;-2),"",#REF!),"")</f>
        <v/>
      </c>
      <c r="R937" t="str">
        <f>IFERROR(IF(OR(HLOOKUP($A937,#REF!,16,FALSE)&gt;2,HLOOKUP($A937,#REF!,16,FALSE)&lt;-2),"",#REF!),"")</f>
        <v/>
      </c>
      <c r="S937" t="str">
        <f>IFERROR(IF(OR(HLOOKUP($A937,#REF!,17,FALSE)&gt;2,HLOOKUP($A937,#REF!,17,FALSE)&lt;-2),"",#REF!),"")</f>
        <v/>
      </c>
      <c r="T937" t="str">
        <f>IFERROR(IF(OR(HLOOKUP($A937,#REF!,18,FALSE)&gt;2,HLOOKUP($A937,#REF!,18,FALSE)&lt;-2),"",#REF!),"")</f>
        <v/>
      </c>
      <c r="U937" t="str">
        <f>IFERROR(IF(OR(HLOOKUP($A937,#REF!,19,FALSE)&gt;2,HLOOKUP($A937,#REF!,19,FALSE)&lt;-2),"",#REF!),"")</f>
        <v/>
      </c>
      <c r="V937">
        <f t="shared" si="56"/>
        <v>1</v>
      </c>
      <c r="W937" t="str">
        <f t="shared" si="57"/>
        <v/>
      </c>
      <c r="X937" t="str">
        <f t="shared" si="58"/>
        <v/>
      </c>
      <c r="Y937" t="str">
        <f t="shared" si="59"/>
        <v/>
      </c>
    </row>
    <row r="938" spans="1:25" x14ac:dyDescent="0.35">
      <c r="A938">
        <v>946</v>
      </c>
      <c r="B938" t="s">
        <v>463</v>
      </c>
      <c r="C938">
        <v>77150</v>
      </c>
      <c r="D938">
        <v>467</v>
      </c>
      <c r="E938" t="str">
        <f>IFERROR(IF(OR(HLOOKUP($A938,#REF!,3,FALSE)&gt;2,HLOOKUP(A938,#REF!,3,FALSE)&lt;-2),"",#REF!),"")</f>
        <v/>
      </c>
      <c r="F938" t="str">
        <f>IFERROR(IF(OR(HLOOKUP($A938,#REF!,4,FALSE)&gt;2,HLOOKUP($A938,#REF!,4,FALSE)&lt;-2),"",#REF!),"")</f>
        <v/>
      </c>
      <c r="G938" t="str">
        <f>IFERROR(IF(OR(HLOOKUP($A938,#REF!,5,FALSE)&gt;2,HLOOKUP($A938,#REF!,5,FALSE)&lt;-2),"",#REF!),"")</f>
        <v/>
      </c>
      <c r="H938" t="str">
        <f>IFERROR(IF(OR(HLOOKUP($A938,#REF!,6,FALSE)&gt;2,HLOOKUP($A938,#REF!,6,FALSE)&lt;-2),"",#REF!),"")</f>
        <v/>
      </c>
      <c r="I938" t="str">
        <f>IFERROR(IF(OR(HLOOKUP($A938,#REF!,7,FALSE)&gt;2,HLOOKUP($A938,#REF!,7,FALSE)&lt;-2),"",#REF!),"")</f>
        <v/>
      </c>
      <c r="J938" t="str">
        <f>IFERROR(IF(OR(HLOOKUP($A938,#REF!,8,FALSE)&gt;2,HLOOKUP($A938,#REF!,8,FALSE)&lt;-2),"",#REF!),"")</f>
        <v/>
      </c>
      <c r="K938" t="str">
        <f>IFERROR(IF(OR(HLOOKUP($A938,#REF!,9,FALSE)&gt;2,HLOOKUP($A938,#REF!,9,FALSE)&lt;-2),"",#REF!),"")</f>
        <v/>
      </c>
      <c r="L938" t="str">
        <f>IFERROR(IF(OR(HLOOKUP($A938,#REF!,10,FALSE)&gt;2,HLOOKUP($A938,#REF!,10,FALSE)&lt;-2),"",#REF!),"")</f>
        <v/>
      </c>
      <c r="M938" t="str">
        <f>IFERROR(IF(OR(HLOOKUP($A938,#REF!,11,FALSE)&gt;2,HLOOKUP($A938,#REF!,11,FALSE)&lt;-2),"",#REF!),"")</f>
        <v/>
      </c>
      <c r="N938" t="str">
        <f>IFERROR(IF(OR(HLOOKUP($A938,#REF!,12,FALSE)&gt;2,HLOOKUP($A938,#REF!,12,FALSE)&lt;-2),"",#REF!),"")</f>
        <v/>
      </c>
      <c r="O938" t="str">
        <f>IFERROR(IF(OR(HLOOKUP($A938,#REF!,13,FALSE)&gt;2,HLOOKUP($A938,#REF!,13,FALSE)&lt;-2),"",#REF!),"")</f>
        <v/>
      </c>
      <c r="P938" t="str">
        <f>IFERROR(IF(OR(HLOOKUP($A938,#REF!,14,FALSE)&gt;2,HLOOKUP($A938,#REF!,14,FALSE)&lt;-2),"",#REF!),"")</f>
        <v/>
      </c>
      <c r="Q938" t="str">
        <f>IFERROR(IF(OR(HLOOKUP($A938,#REF!,15,FALSE)&gt;2,HLOOKUP($A938,#REF!,15,FALSE)&lt;-2),"",#REF!),"")</f>
        <v/>
      </c>
      <c r="R938" t="str">
        <f>IFERROR(IF(OR(HLOOKUP($A938,#REF!,16,FALSE)&gt;2,HLOOKUP($A938,#REF!,16,FALSE)&lt;-2),"",#REF!),"")</f>
        <v/>
      </c>
      <c r="S938" t="str">
        <f>IFERROR(IF(OR(HLOOKUP($A938,#REF!,17,FALSE)&gt;2,HLOOKUP($A938,#REF!,17,FALSE)&lt;-2),"",#REF!),"")</f>
        <v/>
      </c>
      <c r="T938" t="str">
        <f>IFERROR(IF(OR(HLOOKUP($A938,#REF!,18,FALSE)&gt;2,HLOOKUP($A938,#REF!,18,FALSE)&lt;-2),"",#REF!),"")</f>
        <v/>
      </c>
      <c r="U938" t="str">
        <f>IFERROR(IF(OR(HLOOKUP($A938,#REF!,19,FALSE)&gt;2,HLOOKUP($A938,#REF!,19,FALSE)&lt;-2),"",#REF!),"")</f>
        <v/>
      </c>
      <c r="V938">
        <f t="shared" si="56"/>
        <v>1</v>
      </c>
      <c r="W938" t="str">
        <f t="shared" si="57"/>
        <v/>
      </c>
      <c r="X938" t="str">
        <f t="shared" si="58"/>
        <v/>
      </c>
      <c r="Y938" t="str">
        <f t="shared" si="59"/>
        <v/>
      </c>
    </row>
    <row r="939" spans="1:25" x14ac:dyDescent="0.35">
      <c r="A939">
        <v>947</v>
      </c>
      <c r="B939" t="s">
        <v>1078</v>
      </c>
      <c r="C939">
        <v>1400</v>
      </c>
      <c r="D939">
        <v>500</v>
      </c>
      <c r="E939" t="str">
        <f>IFERROR(IF(OR(HLOOKUP($A939,#REF!,3,FALSE)&gt;2,HLOOKUP(A939,#REF!,3,FALSE)&lt;-2),"",#REF!),"")</f>
        <v/>
      </c>
      <c r="F939" t="str">
        <f>IFERROR(IF(OR(HLOOKUP($A939,#REF!,4,FALSE)&gt;2,HLOOKUP($A939,#REF!,4,FALSE)&lt;-2),"",#REF!),"")</f>
        <v/>
      </c>
      <c r="G939" t="str">
        <f>IFERROR(IF(OR(HLOOKUP($A939,#REF!,5,FALSE)&gt;2,HLOOKUP($A939,#REF!,5,FALSE)&lt;-2),"",#REF!),"")</f>
        <v/>
      </c>
      <c r="H939" t="str">
        <f>IFERROR(IF(OR(HLOOKUP($A939,#REF!,6,FALSE)&gt;2,HLOOKUP($A939,#REF!,6,FALSE)&lt;-2),"",#REF!),"")</f>
        <v/>
      </c>
      <c r="I939" t="str">
        <f>IFERROR(IF(OR(HLOOKUP($A939,#REF!,7,FALSE)&gt;2,HLOOKUP($A939,#REF!,7,FALSE)&lt;-2),"",#REF!),"")</f>
        <v/>
      </c>
      <c r="J939" t="str">
        <f>IFERROR(IF(OR(HLOOKUP($A939,#REF!,8,FALSE)&gt;2,HLOOKUP($A939,#REF!,8,FALSE)&lt;-2),"",#REF!),"")</f>
        <v/>
      </c>
      <c r="K939" t="str">
        <f>IFERROR(IF(OR(HLOOKUP($A939,#REF!,9,FALSE)&gt;2,HLOOKUP($A939,#REF!,9,FALSE)&lt;-2),"",#REF!),"")</f>
        <v/>
      </c>
      <c r="L939" t="str">
        <f>IFERROR(IF(OR(HLOOKUP($A939,#REF!,10,FALSE)&gt;2,HLOOKUP($A939,#REF!,10,FALSE)&lt;-2),"",#REF!),"")</f>
        <v/>
      </c>
      <c r="M939" t="str">
        <f>IFERROR(IF(OR(HLOOKUP($A939,#REF!,11,FALSE)&gt;2,HLOOKUP($A939,#REF!,11,FALSE)&lt;-2),"",#REF!),"")</f>
        <v/>
      </c>
      <c r="N939" t="str">
        <f>IFERROR(IF(OR(HLOOKUP($A939,#REF!,12,FALSE)&gt;2,HLOOKUP($A939,#REF!,12,FALSE)&lt;-2),"",#REF!),"")</f>
        <v/>
      </c>
      <c r="O939" t="str">
        <f>IFERROR(IF(OR(HLOOKUP($A939,#REF!,13,FALSE)&gt;2,HLOOKUP($A939,#REF!,13,FALSE)&lt;-2),"",#REF!),"")</f>
        <v/>
      </c>
      <c r="P939" t="str">
        <f>IFERROR(IF(OR(HLOOKUP($A939,#REF!,14,FALSE)&gt;2,HLOOKUP($A939,#REF!,14,FALSE)&lt;-2),"",#REF!),"")</f>
        <v/>
      </c>
      <c r="Q939" t="str">
        <f>IFERROR(IF(OR(HLOOKUP($A939,#REF!,15,FALSE)&gt;2,HLOOKUP($A939,#REF!,15,FALSE)&lt;-2),"",#REF!),"")</f>
        <v/>
      </c>
      <c r="R939" t="str">
        <f>IFERROR(IF(OR(HLOOKUP($A939,#REF!,16,FALSE)&gt;2,HLOOKUP($A939,#REF!,16,FALSE)&lt;-2),"",#REF!),"")</f>
        <v/>
      </c>
      <c r="S939" t="str">
        <f>IFERROR(IF(OR(HLOOKUP($A939,#REF!,17,FALSE)&gt;2,HLOOKUP($A939,#REF!,17,FALSE)&lt;-2),"",#REF!),"")</f>
        <v/>
      </c>
      <c r="T939" t="str">
        <f>IFERROR(IF(OR(HLOOKUP($A939,#REF!,18,FALSE)&gt;2,HLOOKUP($A939,#REF!,18,FALSE)&lt;-2),"",#REF!),"")</f>
        <v/>
      </c>
      <c r="U939" t="str">
        <f>IFERROR(IF(OR(HLOOKUP($A939,#REF!,19,FALSE)&gt;2,HLOOKUP($A939,#REF!,19,FALSE)&lt;-2),"",#REF!),"")</f>
        <v/>
      </c>
      <c r="V939">
        <f t="shared" si="56"/>
        <v>1</v>
      </c>
      <c r="W939" t="str">
        <f t="shared" si="57"/>
        <v/>
      </c>
      <c r="X939" t="str">
        <f t="shared" si="58"/>
        <v/>
      </c>
      <c r="Y939" t="str">
        <f t="shared" si="59"/>
        <v/>
      </c>
    </row>
    <row r="940" spans="1:25" x14ac:dyDescent="0.35">
      <c r="A940">
        <v>948</v>
      </c>
      <c r="B940" t="s">
        <v>1079</v>
      </c>
      <c r="C940">
        <v>100700</v>
      </c>
      <c r="D940">
        <v>933</v>
      </c>
      <c r="E940" t="str">
        <f>IFERROR(IF(OR(HLOOKUP($A940,#REF!,3,FALSE)&gt;2,HLOOKUP(A940,#REF!,3,FALSE)&lt;-2),"",#REF!),"")</f>
        <v/>
      </c>
      <c r="F940" t="str">
        <f>IFERROR(IF(OR(HLOOKUP($A940,#REF!,4,FALSE)&gt;2,HLOOKUP($A940,#REF!,4,FALSE)&lt;-2),"",#REF!),"")</f>
        <v/>
      </c>
      <c r="G940" t="str">
        <f>IFERROR(IF(OR(HLOOKUP($A940,#REF!,5,FALSE)&gt;2,HLOOKUP($A940,#REF!,5,FALSE)&lt;-2),"",#REF!),"")</f>
        <v/>
      </c>
      <c r="H940" t="str">
        <f>IFERROR(IF(OR(HLOOKUP($A940,#REF!,6,FALSE)&gt;2,HLOOKUP($A940,#REF!,6,FALSE)&lt;-2),"",#REF!),"")</f>
        <v/>
      </c>
      <c r="I940" t="str">
        <f>IFERROR(IF(OR(HLOOKUP($A940,#REF!,7,FALSE)&gt;2,HLOOKUP($A940,#REF!,7,FALSE)&lt;-2),"",#REF!),"")</f>
        <v/>
      </c>
      <c r="J940" t="str">
        <f>IFERROR(IF(OR(HLOOKUP($A940,#REF!,8,FALSE)&gt;2,HLOOKUP($A940,#REF!,8,FALSE)&lt;-2),"",#REF!),"")</f>
        <v/>
      </c>
      <c r="K940" t="str">
        <f>IFERROR(IF(OR(HLOOKUP($A940,#REF!,9,FALSE)&gt;2,HLOOKUP($A940,#REF!,9,FALSE)&lt;-2),"",#REF!),"")</f>
        <v/>
      </c>
      <c r="L940" t="str">
        <f>IFERROR(IF(OR(HLOOKUP($A940,#REF!,10,FALSE)&gt;2,HLOOKUP($A940,#REF!,10,FALSE)&lt;-2),"",#REF!),"")</f>
        <v/>
      </c>
      <c r="M940" t="str">
        <f>IFERROR(IF(OR(HLOOKUP($A940,#REF!,11,FALSE)&gt;2,HLOOKUP($A940,#REF!,11,FALSE)&lt;-2),"",#REF!),"")</f>
        <v/>
      </c>
      <c r="N940" t="str">
        <f>IFERROR(IF(OR(HLOOKUP($A940,#REF!,12,FALSE)&gt;2,HLOOKUP($A940,#REF!,12,FALSE)&lt;-2),"",#REF!),"")</f>
        <v/>
      </c>
      <c r="O940" t="str">
        <f>IFERROR(IF(OR(HLOOKUP($A940,#REF!,13,FALSE)&gt;2,HLOOKUP($A940,#REF!,13,FALSE)&lt;-2),"",#REF!),"")</f>
        <v/>
      </c>
      <c r="P940" t="str">
        <f>IFERROR(IF(OR(HLOOKUP($A940,#REF!,14,FALSE)&gt;2,HLOOKUP($A940,#REF!,14,FALSE)&lt;-2),"",#REF!),"")</f>
        <v/>
      </c>
      <c r="Q940" t="str">
        <f>IFERROR(IF(OR(HLOOKUP($A940,#REF!,15,FALSE)&gt;2,HLOOKUP($A940,#REF!,15,FALSE)&lt;-2),"",#REF!),"")</f>
        <v/>
      </c>
      <c r="R940" t="str">
        <f>IFERROR(IF(OR(HLOOKUP($A940,#REF!,16,FALSE)&gt;2,HLOOKUP($A940,#REF!,16,FALSE)&lt;-2),"",#REF!),"")</f>
        <v/>
      </c>
      <c r="S940" t="str">
        <f>IFERROR(IF(OR(HLOOKUP($A940,#REF!,17,FALSE)&gt;2,HLOOKUP($A940,#REF!,17,FALSE)&lt;-2),"",#REF!),"")</f>
        <v/>
      </c>
      <c r="T940" t="str">
        <f>IFERROR(IF(OR(HLOOKUP($A940,#REF!,18,FALSE)&gt;2,HLOOKUP($A940,#REF!,18,FALSE)&lt;-2),"",#REF!),"")</f>
        <v/>
      </c>
      <c r="U940" t="str">
        <f>IFERROR(IF(OR(HLOOKUP($A940,#REF!,19,FALSE)&gt;2,HLOOKUP($A940,#REF!,19,FALSE)&lt;-2),"",#REF!),"")</f>
        <v/>
      </c>
      <c r="V940">
        <f t="shared" si="56"/>
        <v>1</v>
      </c>
      <c r="W940" t="str">
        <f t="shared" si="57"/>
        <v/>
      </c>
      <c r="X940" t="str">
        <f t="shared" si="58"/>
        <v/>
      </c>
      <c r="Y940" t="str">
        <f t="shared" si="59"/>
        <v/>
      </c>
    </row>
    <row r="941" spans="1:25" x14ac:dyDescent="0.35">
      <c r="A941">
        <v>949</v>
      </c>
      <c r="B941" t="s">
        <v>464</v>
      </c>
      <c r="C941">
        <v>97500</v>
      </c>
      <c r="D941">
        <v>967</v>
      </c>
      <c r="E941" t="str">
        <f>IFERROR(IF(OR(HLOOKUP($A941,#REF!,3,FALSE)&gt;2,HLOOKUP(A941,#REF!,3,FALSE)&lt;-2),"",#REF!),"")</f>
        <v/>
      </c>
      <c r="F941" t="str">
        <f>IFERROR(IF(OR(HLOOKUP($A941,#REF!,4,FALSE)&gt;2,HLOOKUP($A941,#REF!,4,FALSE)&lt;-2),"",#REF!),"")</f>
        <v/>
      </c>
      <c r="G941" t="str">
        <f>IFERROR(IF(OR(HLOOKUP($A941,#REF!,5,FALSE)&gt;2,HLOOKUP($A941,#REF!,5,FALSE)&lt;-2),"",#REF!),"")</f>
        <v/>
      </c>
      <c r="H941" t="str">
        <f>IFERROR(IF(OR(HLOOKUP($A941,#REF!,6,FALSE)&gt;2,HLOOKUP($A941,#REF!,6,FALSE)&lt;-2),"",#REF!),"")</f>
        <v/>
      </c>
      <c r="I941" t="str">
        <f>IFERROR(IF(OR(HLOOKUP($A941,#REF!,7,FALSE)&gt;2,HLOOKUP($A941,#REF!,7,FALSE)&lt;-2),"",#REF!),"")</f>
        <v/>
      </c>
      <c r="J941" t="str">
        <f>IFERROR(IF(OR(HLOOKUP($A941,#REF!,8,FALSE)&gt;2,HLOOKUP($A941,#REF!,8,FALSE)&lt;-2),"",#REF!),"")</f>
        <v/>
      </c>
      <c r="K941" t="str">
        <f>IFERROR(IF(OR(HLOOKUP($A941,#REF!,9,FALSE)&gt;2,HLOOKUP($A941,#REF!,9,FALSE)&lt;-2),"",#REF!),"")</f>
        <v/>
      </c>
      <c r="L941" t="str">
        <f>IFERROR(IF(OR(HLOOKUP($A941,#REF!,10,FALSE)&gt;2,HLOOKUP($A941,#REF!,10,FALSE)&lt;-2),"",#REF!),"")</f>
        <v/>
      </c>
      <c r="M941" t="str">
        <f>IFERROR(IF(OR(HLOOKUP($A941,#REF!,11,FALSE)&gt;2,HLOOKUP($A941,#REF!,11,FALSE)&lt;-2),"",#REF!),"")</f>
        <v/>
      </c>
      <c r="N941" t="str">
        <f>IFERROR(IF(OR(HLOOKUP($A941,#REF!,12,FALSE)&gt;2,HLOOKUP($A941,#REF!,12,FALSE)&lt;-2),"",#REF!),"")</f>
        <v/>
      </c>
      <c r="O941" t="str">
        <f>IFERROR(IF(OR(HLOOKUP($A941,#REF!,13,FALSE)&gt;2,HLOOKUP($A941,#REF!,13,FALSE)&lt;-2),"",#REF!),"")</f>
        <v/>
      </c>
      <c r="P941" t="str">
        <f>IFERROR(IF(OR(HLOOKUP($A941,#REF!,14,FALSE)&gt;2,HLOOKUP($A941,#REF!,14,FALSE)&lt;-2),"",#REF!),"")</f>
        <v/>
      </c>
      <c r="Q941" t="str">
        <f>IFERROR(IF(OR(HLOOKUP($A941,#REF!,15,FALSE)&gt;2,HLOOKUP($A941,#REF!,15,FALSE)&lt;-2),"",#REF!),"")</f>
        <v/>
      </c>
      <c r="R941" t="str">
        <f>IFERROR(IF(OR(HLOOKUP($A941,#REF!,16,FALSE)&gt;2,HLOOKUP($A941,#REF!,16,FALSE)&lt;-2),"",#REF!),"")</f>
        <v/>
      </c>
      <c r="S941" t="str">
        <f>IFERROR(IF(OR(HLOOKUP($A941,#REF!,17,FALSE)&gt;2,HLOOKUP($A941,#REF!,17,FALSE)&lt;-2),"",#REF!),"")</f>
        <v/>
      </c>
      <c r="T941" t="str">
        <f>IFERROR(IF(OR(HLOOKUP($A941,#REF!,18,FALSE)&gt;2,HLOOKUP($A941,#REF!,18,FALSE)&lt;-2),"",#REF!),"")</f>
        <v/>
      </c>
      <c r="U941" t="str">
        <f>IFERROR(IF(OR(HLOOKUP($A941,#REF!,19,FALSE)&gt;2,HLOOKUP($A941,#REF!,19,FALSE)&lt;-2),"",#REF!),"")</f>
        <v/>
      </c>
      <c r="V941">
        <f t="shared" si="56"/>
        <v>1</v>
      </c>
      <c r="W941" t="str">
        <f t="shared" si="57"/>
        <v/>
      </c>
      <c r="X941" t="str">
        <f t="shared" si="58"/>
        <v/>
      </c>
      <c r="Y941" t="str">
        <f t="shared" si="59"/>
        <v/>
      </c>
    </row>
    <row r="942" spans="1:25" x14ac:dyDescent="0.35">
      <c r="A942">
        <v>950</v>
      </c>
      <c r="B942" t="s">
        <v>465</v>
      </c>
      <c r="C942">
        <v>5900</v>
      </c>
      <c r="D942">
        <v>345</v>
      </c>
      <c r="E942" t="str">
        <f>IFERROR(IF(OR(HLOOKUP($A942,#REF!,3,FALSE)&gt;2,HLOOKUP(A942,#REF!,3,FALSE)&lt;-2),"",#REF!),"")</f>
        <v/>
      </c>
      <c r="F942" t="str">
        <f>IFERROR(IF(OR(HLOOKUP($A942,#REF!,4,FALSE)&gt;2,HLOOKUP($A942,#REF!,4,FALSE)&lt;-2),"",#REF!),"")</f>
        <v/>
      </c>
      <c r="G942" t="str">
        <f>IFERROR(IF(OR(HLOOKUP($A942,#REF!,5,FALSE)&gt;2,HLOOKUP($A942,#REF!,5,FALSE)&lt;-2),"",#REF!),"")</f>
        <v/>
      </c>
      <c r="H942" t="str">
        <f>IFERROR(IF(OR(HLOOKUP($A942,#REF!,6,FALSE)&gt;2,HLOOKUP($A942,#REF!,6,FALSE)&lt;-2),"",#REF!),"")</f>
        <v/>
      </c>
      <c r="I942" t="str">
        <f>IFERROR(IF(OR(HLOOKUP($A942,#REF!,7,FALSE)&gt;2,HLOOKUP($A942,#REF!,7,FALSE)&lt;-2),"",#REF!),"")</f>
        <v/>
      </c>
      <c r="J942" t="str">
        <f>IFERROR(IF(OR(HLOOKUP($A942,#REF!,8,FALSE)&gt;2,HLOOKUP($A942,#REF!,8,FALSE)&lt;-2),"",#REF!),"")</f>
        <v/>
      </c>
      <c r="K942" t="str">
        <f>IFERROR(IF(OR(HLOOKUP($A942,#REF!,9,FALSE)&gt;2,HLOOKUP($A942,#REF!,9,FALSE)&lt;-2),"",#REF!),"")</f>
        <v/>
      </c>
      <c r="L942" t="str">
        <f>IFERROR(IF(OR(HLOOKUP($A942,#REF!,10,FALSE)&gt;2,HLOOKUP($A942,#REF!,10,FALSE)&lt;-2),"",#REF!),"")</f>
        <v/>
      </c>
      <c r="M942" t="str">
        <f>IFERROR(IF(OR(HLOOKUP($A942,#REF!,11,FALSE)&gt;2,HLOOKUP($A942,#REF!,11,FALSE)&lt;-2),"",#REF!),"")</f>
        <v/>
      </c>
      <c r="N942" t="str">
        <f>IFERROR(IF(OR(HLOOKUP($A942,#REF!,12,FALSE)&gt;2,HLOOKUP($A942,#REF!,12,FALSE)&lt;-2),"",#REF!),"")</f>
        <v/>
      </c>
      <c r="O942" t="str">
        <f>IFERROR(IF(OR(HLOOKUP($A942,#REF!,13,FALSE)&gt;2,HLOOKUP($A942,#REF!,13,FALSE)&lt;-2),"",#REF!),"")</f>
        <v/>
      </c>
      <c r="P942" t="str">
        <f>IFERROR(IF(OR(HLOOKUP($A942,#REF!,14,FALSE)&gt;2,HLOOKUP($A942,#REF!,14,FALSE)&lt;-2),"",#REF!),"")</f>
        <v/>
      </c>
      <c r="Q942" t="str">
        <f>IFERROR(IF(OR(HLOOKUP($A942,#REF!,15,FALSE)&gt;2,HLOOKUP($A942,#REF!,15,FALSE)&lt;-2),"",#REF!),"")</f>
        <v/>
      </c>
      <c r="R942" t="str">
        <f>IFERROR(IF(OR(HLOOKUP($A942,#REF!,16,FALSE)&gt;2,HLOOKUP($A942,#REF!,16,FALSE)&lt;-2),"",#REF!),"")</f>
        <v/>
      </c>
      <c r="S942" t="str">
        <f>IFERROR(IF(OR(HLOOKUP($A942,#REF!,17,FALSE)&gt;2,HLOOKUP($A942,#REF!,17,FALSE)&lt;-2),"",#REF!),"")</f>
        <v/>
      </c>
      <c r="T942" t="str">
        <f>IFERROR(IF(OR(HLOOKUP($A942,#REF!,18,FALSE)&gt;2,HLOOKUP($A942,#REF!,18,FALSE)&lt;-2),"",#REF!),"")</f>
        <v/>
      </c>
      <c r="U942" t="str">
        <f>IFERROR(IF(OR(HLOOKUP($A942,#REF!,19,FALSE)&gt;2,HLOOKUP($A942,#REF!,19,FALSE)&lt;-2),"",#REF!),"")</f>
        <v/>
      </c>
      <c r="V942">
        <f t="shared" si="56"/>
        <v>1</v>
      </c>
      <c r="W942" t="str">
        <f t="shared" si="57"/>
        <v/>
      </c>
      <c r="X942" t="str">
        <f t="shared" si="58"/>
        <v/>
      </c>
      <c r="Y942" t="str">
        <f t="shared" si="59"/>
        <v/>
      </c>
    </row>
    <row r="943" spans="1:25" x14ac:dyDescent="0.35">
      <c r="A943">
        <v>951</v>
      </c>
      <c r="B943" t="s">
        <v>466</v>
      </c>
      <c r="C943">
        <v>58400</v>
      </c>
      <c r="D943">
        <v>645</v>
      </c>
      <c r="E943" t="str">
        <f>IFERROR(IF(OR(HLOOKUP($A943,#REF!,3,FALSE)&gt;2,HLOOKUP(A943,#REF!,3,FALSE)&lt;-2),"",#REF!),"")</f>
        <v/>
      </c>
      <c r="F943" t="str">
        <f>IFERROR(IF(OR(HLOOKUP($A943,#REF!,4,FALSE)&gt;2,HLOOKUP($A943,#REF!,4,FALSE)&lt;-2),"",#REF!),"")</f>
        <v/>
      </c>
      <c r="G943" t="str">
        <f>IFERROR(IF(OR(HLOOKUP($A943,#REF!,5,FALSE)&gt;2,HLOOKUP($A943,#REF!,5,FALSE)&lt;-2),"",#REF!),"")</f>
        <v/>
      </c>
      <c r="H943" t="str">
        <f>IFERROR(IF(OR(HLOOKUP($A943,#REF!,6,FALSE)&gt;2,HLOOKUP($A943,#REF!,6,FALSE)&lt;-2),"",#REF!),"")</f>
        <v/>
      </c>
      <c r="I943" t="str">
        <f>IFERROR(IF(OR(HLOOKUP($A943,#REF!,7,FALSE)&gt;2,HLOOKUP($A943,#REF!,7,FALSE)&lt;-2),"",#REF!),"")</f>
        <v/>
      </c>
      <c r="J943" t="str">
        <f>IFERROR(IF(OR(HLOOKUP($A943,#REF!,8,FALSE)&gt;2,HLOOKUP($A943,#REF!,8,FALSE)&lt;-2),"",#REF!),"")</f>
        <v/>
      </c>
      <c r="K943" t="str">
        <f>IFERROR(IF(OR(HLOOKUP($A943,#REF!,9,FALSE)&gt;2,HLOOKUP($A943,#REF!,9,FALSE)&lt;-2),"",#REF!),"")</f>
        <v/>
      </c>
      <c r="L943" t="str">
        <f>IFERROR(IF(OR(HLOOKUP($A943,#REF!,10,FALSE)&gt;2,HLOOKUP($A943,#REF!,10,FALSE)&lt;-2),"",#REF!),"")</f>
        <v/>
      </c>
      <c r="M943" t="str">
        <f>IFERROR(IF(OR(HLOOKUP($A943,#REF!,11,FALSE)&gt;2,HLOOKUP($A943,#REF!,11,FALSE)&lt;-2),"",#REF!),"")</f>
        <v/>
      </c>
      <c r="N943" t="str">
        <f>IFERROR(IF(OR(HLOOKUP($A943,#REF!,12,FALSE)&gt;2,HLOOKUP($A943,#REF!,12,FALSE)&lt;-2),"",#REF!),"")</f>
        <v/>
      </c>
      <c r="O943" t="str">
        <f>IFERROR(IF(OR(HLOOKUP($A943,#REF!,13,FALSE)&gt;2,HLOOKUP($A943,#REF!,13,FALSE)&lt;-2),"",#REF!),"")</f>
        <v/>
      </c>
      <c r="P943" t="str">
        <f>IFERROR(IF(OR(HLOOKUP($A943,#REF!,14,FALSE)&gt;2,HLOOKUP($A943,#REF!,14,FALSE)&lt;-2),"",#REF!),"")</f>
        <v/>
      </c>
      <c r="Q943" t="str">
        <f>IFERROR(IF(OR(HLOOKUP($A943,#REF!,15,FALSE)&gt;2,HLOOKUP($A943,#REF!,15,FALSE)&lt;-2),"",#REF!),"")</f>
        <v/>
      </c>
      <c r="R943" t="str">
        <f>IFERROR(IF(OR(HLOOKUP($A943,#REF!,16,FALSE)&gt;2,HLOOKUP($A943,#REF!,16,FALSE)&lt;-2),"",#REF!),"")</f>
        <v/>
      </c>
      <c r="S943" t="str">
        <f>IFERROR(IF(OR(HLOOKUP($A943,#REF!,17,FALSE)&gt;2,HLOOKUP($A943,#REF!,17,FALSE)&lt;-2),"",#REF!),"")</f>
        <v/>
      </c>
      <c r="T943" t="str">
        <f>IFERROR(IF(OR(HLOOKUP($A943,#REF!,18,FALSE)&gt;2,HLOOKUP($A943,#REF!,18,FALSE)&lt;-2),"",#REF!),"")</f>
        <v/>
      </c>
      <c r="U943" t="str">
        <f>IFERROR(IF(OR(HLOOKUP($A943,#REF!,19,FALSE)&gt;2,HLOOKUP($A943,#REF!,19,FALSE)&lt;-2),"",#REF!),"")</f>
        <v/>
      </c>
      <c r="V943">
        <f t="shared" si="56"/>
        <v>1</v>
      </c>
      <c r="W943" t="str">
        <f t="shared" si="57"/>
        <v/>
      </c>
      <c r="X943" t="str">
        <f t="shared" si="58"/>
        <v/>
      </c>
      <c r="Y943" t="str">
        <f t="shared" si="59"/>
        <v/>
      </c>
    </row>
    <row r="944" spans="1:25" x14ac:dyDescent="0.35">
      <c r="A944">
        <v>952</v>
      </c>
      <c r="B944" t="s">
        <v>467</v>
      </c>
      <c r="C944">
        <v>46800</v>
      </c>
      <c r="D944">
        <v>942</v>
      </c>
      <c r="E944" t="str">
        <f>IFERROR(IF(OR(HLOOKUP($A944,#REF!,3,FALSE)&gt;2,HLOOKUP(A944,#REF!,3,FALSE)&lt;-2),"",#REF!),"")</f>
        <v/>
      </c>
      <c r="F944" t="str">
        <f>IFERROR(IF(OR(HLOOKUP($A944,#REF!,4,FALSE)&gt;2,HLOOKUP($A944,#REF!,4,FALSE)&lt;-2),"",#REF!),"")</f>
        <v/>
      </c>
      <c r="G944" t="str">
        <f>IFERROR(IF(OR(HLOOKUP($A944,#REF!,5,FALSE)&gt;2,HLOOKUP($A944,#REF!,5,FALSE)&lt;-2),"",#REF!),"")</f>
        <v/>
      </c>
      <c r="H944" t="str">
        <f>IFERROR(IF(OR(HLOOKUP($A944,#REF!,6,FALSE)&gt;2,HLOOKUP($A944,#REF!,6,FALSE)&lt;-2),"",#REF!),"")</f>
        <v/>
      </c>
      <c r="I944" t="str">
        <f>IFERROR(IF(OR(HLOOKUP($A944,#REF!,7,FALSE)&gt;2,HLOOKUP($A944,#REF!,7,FALSE)&lt;-2),"",#REF!),"")</f>
        <v/>
      </c>
      <c r="J944" t="str">
        <f>IFERROR(IF(OR(HLOOKUP($A944,#REF!,8,FALSE)&gt;2,HLOOKUP($A944,#REF!,8,FALSE)&lt;-2),"",#REF!),"")</f>
        <v/>
      </c>
      <c r="K944" t="str">
        <f>IFERROR(IF(OR(HLOOKUP($A944,#REF!,9,FALSE)&gt;2,HLOOKUP($A944,#REF!,9,FALSE)&lt;-2),"",#REF!),"")</f>
        <v/>
      </c>
      <c r="L944" t="str">
        <f>IFERROR(IF(OR(HLOOKUP($A944,#REF!,10,FALSE)&gt;2,HLOOKUP($A944,#REF!,10,FALSE)&lt;-2),"",#REF!),"")</f>
        <v/>
      </c>
      <c r="M944" t="str">
        <f>IFERROR(IF(OR(HLOOKUP($A944,#REF!,11,FALSE)&gt;2,HLOOKUP($A944,#REF!,11,FALSE)&lt;-2),"",#REF!),"")</f>
        <v/>
      </c>
      <c r="N944" t="str">
        <f>IFERROR(IF(OR(HLOOKUP($A944,#REF!,12,FALSE)&gt;2,HLOOKUP($A944,#REF!,12,FALSE)&lt;-2),"",#REF!),"")</f>
        <v/>
      </c>
      <c r="O944" t="str">
        <f>IFERROR(IF(OR(HLOOKUP($A944,#REF!,13,FALSE)&gt;2,HLOOKUP($A944,#REF!,13,FALSE)&lt;-2),"",#REF!),"")</f>
        <v/>
      </c>
      <c r="P944" t="str">
        <f>IFERROR(IF(OR(HLOOKUP($A944,#REF!,14,FALSE)&gt;2,HLOOKUP($A944,#REF!,14,FALSE)&lt;-2),"",#REF!),"")</f>
        <v/>
      </c>
      <c r="Q944" t="str">
        <f>IFERROR(IF(OR(HLOOKUP($A944,#REF!,15,FALSE)&gt;2,HLOOKUP($A944,#REF!,15,FALSE)&lt;-2),"",#REF!),"")</f>
        <v/>
      </c>
      <c r="R944" t="str">
        <f>IFERROR(IF(OR(HLOOKUP($A944,#REF!,16,FALSE)&gt;2,HLOOKUP($A944,#REF!,16,FALSE)&lt;-2),"",#REF!),"")</f>
        <v/>
      </c>
      <c r="S944" t="str">
        <f>IFERROR(IF(OR(HLOOKUP($A944,#REF!,17,FALSE)&gt;2,HLOOKUP($A944,#REF!,17,FALSE)&lt;-2),"",#REF!),"")</f>
        <v/>
      </c>
      <c r="T944" t="str">
        <f>IFERROR(IF(OR(HLOOKUP($A944,#REF!,18,FALSE)&gt;2,HLOOKUP($A944,#REF!,18,FALSE)&lt;-2),"",#REF!),"")</f>
        <v/>
      </c>
      <c r="U944" t="str">
        <f>IFERROR(IF(OR(HLOOKUP($A944,#REF!,19,FALSE)&gt;2,HLOOKUP($A944,#REF!,19,FALSE)&lt;-2),"",#REF!),"")</f>
        <v/>
      </c>
      <c r="V944">
        <f t="shared" si="56"/>
        <v>1</v>
      </c>
      <c r="W944" t="str">
        <f t="shared" si="57"/>
        <v/>
      </c>
      <c r="X944" t="str">
        <f t="shared" si="58"/>
        <v/>
      </c>
      <c r="Y944" t="str">
        <f t="shared" si="59"/>
        <v/>
      </c>
    </row>
    <row r="945" spans="1:25" x14ac:dyDescent="0.35">
      <c r="A945">
        <v>953</v>
      </c>
      <c r="B945" t="s">
        <v>1080</v>
      </c>
      <c r="C945">
        <v>69900</v>
      </c>
      <c r="D945">
        <v>958</v>
      </c>
      <c r="E945" t="str">
        <f>IFERROR(IF(OR(HLOOKUP($A945,#REF!,3,FALSE)&gt;2,HLOOKUP(A945,#REF!,3,FALSE)&lt;-2),"",#REF!),"")</f>
        <v/>
      </c>
      <c r="F945" t="str">
        <f>IFERROR(IF(OR(HLOOKUP($A945,#REF!,4,FALSE)&gt;2,HLOOKUP($A945,#REF!,4,FALSE)&lt;-2),"",#REF!),"")</f>
        <v/>
      </c>
      <c r="G945" t="str">
        <f>IFERROR(IF(OR(HLOOKUP($A945,#REF!,5,FALSE)&gt;2,HLOOKUP($A945,#REF!,5,FALSE)&lt;-2),"",#REF!),"")</f>
        <v/>
      </c>
      <c r="H945" t="str">
        <f>IFERROR(IF(OR(HLOOKUP($A945,#REF!,6,FALSE)&gt;2,HLOOKUP($A945,#REF!,6,FALSE)&lt;-2),"",#REF!),"")</f>
        <v/>
      </c>
      <c r="I945" t="str">
        <f>IFERROR(IF(OR(HLOOKUP($A945,#REF!,7,FALSE)&gt;2,HLOOKUP($A945,#REF!,7,FALSE)&lt;-2),"",#REF!),"")</f>
        <v/>
      </c>
      <c r="J945" t="str">
        <f>IFERROR(IF(OR(HLOOKUP($A945,#REF!,8,FALSE)&gt;2,HLOOKUP($A945,#REF!,8,FALSE)&lt;-2),"",#REF!),"")</f>
        <v/>
      </c>
      <c r="K945" t="str">
        <f>IFERROR(IF(OR(HLOOKUP($A945,#REF!,9,FALSE)&gt;2,HLOOKUP($A945,#REF!,9,FALSE)&lt;-2),"",#REF!),"")</f>
        <v/>
      </c>
      <c r="L945" t="str">
        <f>IFERROR(IF(OR(HLOOKUP($A945,#REF!,10,FALSE)&gt;2,HLOOKUP($A945,#REF!,10,FALSE)&lt;-2),"",#REF!),"")</f>
        <v/>
      </c>
      <c r="M945" t="str">
        <f>IFERROR(IF(OR(HLOOKUP($A945,#REF!,11,FALSE)&gt;2,HLOOKUP($A945,#REF!,11,FALSE)&lt;-2),"",#REF!),"")</f>
        <v/>
      </c>
      <c r="N945" t="str">
        <f>IFERROR(IF(OR(HLOOKUP($A945,#REF!,12,FALSE)&gt;2,HLOOKUP($A945,#REF!,12,FALSE)&lt;-2),"",#REF!),"")</f>
        <v/>
      </c>
      <c r="O945" t="str">
        <f>IFERROR(IF(OR(HLOOKUP($A945,#REF!,13,FALSE)&gt;2,HLOOKUP($A945,#REF!,13,FALSE)&lt;-2),"",#REF!),"")</f>
        <v/>
      </c>
      <c r="P945" t="str">
        <f>IFERROR(IF(OR(HLOOKUP($A945,#REF!,14,FALSE)&gt;2,HLOOKUP($A945,#REF!,14,FALSE)&lt;-2),"",#REF!),"")</f>
        <v/>
      </c>
      <c r="Q945" t="str">
        <f>IFERROR(IF(OR(HLOOKUP($A945,#REF!,15,FALSE)&gt;2,HLOOKUP($A945,#REF!,15,FALSE)&lt;-2),"",#REF!),"")</f>
        <v/>
      </c>
      <c r="R945" t="str">
        <f>IFERROR(IF(OR(HLOOKUP($A945,#REF!,16,FALSE)&gt;2,HLOOKUP($A945,#REF!,16,FALSE)&lt;-2),"",#REF!),"")</f>
        <v/>
      </c>
      <c r="S945" t="str">
        <f>IFERROR(IF(OR(HLOOKUP($A945,#REF!,17,FALSE)&gt;2,HLOOKUP($A945,#REF!,17,FALSE)&lt;-2),"",#REF!),"")</f>
        <v/>
      </c>
      <c r="T945" t="str">
        <f>IFERROR(IF(OR(HLOOKUP($A945,#REF!,18,FALSE)&gt;2,HLOOKUP($A945,#REF!,18,FALSE)&lt;-2),"",#REF!),"")</f>
        <v/>
      </c>
      <c r="U945" t="str">
        <f>IFERROR(IF(OR(HLOOKUP($A945,#REF!,19,FALSE)&gt;2,HLOOKUP($A945,#REF!,19,FALSE)&lt;-2),"",#REF!),"")</f>
        <v/>
      </c>
      <c r="V945">
        <f t="shared" si="56"/>
        <v>1</v>
      </c>
      <c r="W945" t="str">
        <f t="shared" si="57"/>
        <v/>
      </c>
      <c r="X945" t="str">
        <f t="shared" si="58"/>
        <v/>
      </c>
      <c r="Y945" t="str">
        <f t="shared" si="59"/>
        <v/>
      </c>
    </row>
    <row r="946" spans="1:25" x14ac:dyDescent="0.35">
      <c r="A946">
        <v>954</v>
      </c>
      <c r="B946" t="s">
        <v>468</v>
      </c>
      <c r="C946">
        <v>11800</v>
      </c>
      <c r="D946">
        <v>1002</v>
      </c>
      <c r="E946" t="str">
        <f>IFERROR(IF(OR(HLOOKUP($A946,#REF!,3,FALSE)&gt;2,HLOOKUP(A946,#REF!,3,FALSE)&lt;-2),"",#REF!),"")</f>
        <v/>
      </c>
      <c r="F946" t="str">
        <f>IFERROR(IF(OR(HLOOKUP($A946,#REF!,4,FALSE)&gt;2,HLOOKUP($A946,#REF!,4,FALSE)&lt;-2),"",#REF!),"")</f>
        <v/>
      </c>
      <c r="G946" t="str">
        <f>IFERROR(IF(OR(HLOOKUP($A946,#REF!,5,FALSE)&gt;2,HLOOKUP($A946,#REF!,5,FALSE)&lt;-2),"",#REF!),"")</f>
        <v/>
      </c>
      <c r="H946" t="str">
        <f>IFERROR(IF(OR(HLOOKUP($A946,#REF!,6,FALSE)&gt;2,HLOOKUP($A946,#REF!,6,FALSE)&lt;-2),"",#REF!),"")</f>
        <v/>
      </c>
      <c r="I946" t="str">
        <f>IFERROR(IF(OR(HLOOKUP($A946,#REF!,7,FALSE)&gt;2,HLOOKUP($A946,#REF!,7,FALSE)&lt;-2),"",#REF!),"")</f>
        <v/>
      </c>
      <c r="J946" t="str">
        <f>IFERROR(IF(OR(HLOOKUP($A946,#REF!,8,FALSE)&gt;2,HLOOKUP($A946,#REF!,8,FALSE)&lt;-2),"",#REF!),"")</f>
        <v/>
      </c>
      <c r="K946" t="str">
        <f>IFERROR(IF(OR(HLOOKUP($A946,#REF!,9,FALSE)&gt;2,HLOOKUP($A946,#REF!,9,FALSE)&lt;-2),"",#REF!),"")</f>
        <v/>
      </c>
      <c r="L946" t="str">
        <f>IFERROR(IF(OR(HLOOKUP($A946,#REF!,10,FALSE)&gt;2,HLOOKUP($A946,#REF!,10,FALSE)&lt;-2),"",#REF!),"")</f>
        <v/>
      </c>
      <c r="M946" t="str">
        <f>IFERROR(IF(OR(HLOOKUP($A946,#REF!,11,FALSE)&gt;2,HLOOKUP($A946,#REF!,11,FALSE)&lt;-2),"",#REF!),"")</f>
        <v/>
      </c>
      <c r="N946" t="str">
        <f>IFERROR(IF(OR(HLOOKUP($A946,#REF!,12,FALSE)&gt;2,HLOOKUP($A946,#REF!,12,FALSE)&lt;-2),"",#REF!),"")</f>
        <v/>
      </c>
      <c r="O946" t="str">
        <f>IFERROR(IF(OR(HLOOKUP($A946,#REF!,13,FALSE)&gt;2,HLOOKUP($A946,#REF!,13,FALSE)&lt;-2),"",#REF!),"")</f>
        <v/>
      </c>
      <c r="P946" t="str">
        <f>IFERROR(IF(OR(HLOOKUP($A946,#REF!,14,FALSE)&gt;2,HLOOKUP($A946,#REF!,14,FALSE)&lt;-2),"",#REF!),"")</f>
        <v/>
      </c>
      <c r="Q946" t="str">
        <f>IFERROR(IF(OR(HLOOKUP($A946,#REF!,15,FALSE)&gt;2,HLOOKUP($A946,#REF!,15,FALSE)&lt;-2),"",#REF!),"")</f>
        <v/>
      </c>
      <c r="R946" t="str">
        <f>IFERROR(IF(OR(HLOOKUP($A946,#REF!,16,FALSE)&gt;2,HLOOKUP($A946,#REF!,16,FALSE)&lt;-2),"",#REF!),"")</f>
        <v/>
      </c>
      <c r="S946" t="str">
        <f>IFERROR(IF(OR(HLOOKUP($A946,#REF!,17,FALSE)&gt;2,HLOOKUP($A946,#REF!,17,FALSE)&lt;-2),"",#REF!),"")</f>
        <v/>
      </c>
      <c r="T946" t="str">
        <f>IFERROR(IF(OR(HLOOKUP($A946,#REF!,18,FALSE)&gt;2,HLOOKUP($A946,#REF!,18,FALSE)&lt;-2),"",#REF!),"")</f>
        <v/>
      </c>
      <c r="U946" t="str">
        <f>IFERROR(IF(OR(HLOOKUP($A946,#REF!,19,FALSE)&gt;2,HLOOKUP($A946,#REF!,19,FALSE)&lt;-2),"",#REF!),"")</f>
        <v/>
      </c>
      <c r="V946">
        <f t="shared" si="56"/>
        <v>1</v>
      </c>
      <c r="W946" t="str">
        <f t="shared" si="57"/>
        <v/>
      </c>
      <c r="X946" t="str">
        <f t="shared" si="58"/>
        <v/>
      </c>
      <c r="Y946" t="str">
        <f t="shared" si="59"/>
        <v/>
      </c>
    </row>
    <row r="947" spans="1:25" x14ac:dyDescent="0.35">
      <c r="A947">
        <v>955</v>
      </c>
      <c r="B947" t="s">
        <v>1081</v>
      </c>
      <c r="C947">
        <v>94000</v>
      </c>
      <c r="D947">
        <v>235</v>
      </c>
      <c r="E947" t="str">
        <f>IFERROR(IF(OR(HLOOKUP($A947,#REF!,3,FALSE)&gt;2,HLOOKUP(A947,#REF!,3,FALSE)&lt;-2),"",#REF!),"")</f>
        <v/>
      </c>
      <c r="F947" t="str">
        <f>IFERROR(IF(OR(HLOOKUP($A947,#REF!,4,FALSE)&gt;2,HLOOKUP($A947,#REF!,4,FALSE)&lt;-2),"",#REF!),"")</f>
        <v/>
      </c>
      <c r="G947" t="str">
        <f>IFERROR(IF(OR(HLOOKUP($A947,#REF!,5,FALSE)&gt;2,HLOOKUP($A947,#REF!,5,FALSE)&lt;-2),"",#REF!),"")</f>
        <v/>
      </c>
      <c r="H947" t="str">
        <f>IFERROR(IF(OR(HLOOKUP($A947,#REF!,6,FALSE)&gt;2,HLOOKUP($A947,#REF!,6,FALSE)&lt;-2),"",#REF!),"")</f>
        <v/>
      </c>
      <c r="I947" t="str">
        <f>IFERROR(IF(OR(HLOOKUP($A947,#REF!,7,FALSE)&gt;2,HLOOKUP($A947,#REF!,7,FALSE)&lt;-2),"",#REF!),"")</f>
        <v/>
      </c>
      <c r="J947" t="str">
        <f>IFERROR(IF(OR(HLOOKUP($A947,#REF!,8,FALSE)&gt;2,HLOOKUP($A947,#REF!,8,FALSE)&lt;-2),"",#REF!),"")</f>
        <v/>
      </c>
      <c r="K947" t="str">
        <f>IFERROR(IF(OR(HLOOKUP($A947,#REF!,9,FALSE)&gt;2,HLOOKUP($A947,#REF!,9,FALSE)&lt;-2),"",#REF!),"")</f>
        <v/>
      </c>
      <c r="L947" t="str">
        <f>IFERROR(IF(OR(HLOOKUP($A947,#REF!,10,FALSE)&gt;2,HLOOKUP($A947,#REF!,10,FALSE)&lt;-2),"",#REF!),"")</f>
        <v/>
      </c>
      <c r="M947" t="str">
        <f>IFERROR(IF(OR(HLOOKUP($A947,#REF!,11,FALSE)&gt;2,HLOOKUP($A947,#REF!,11,FALSE)&lt;-2),"",#REF!),"")</f>
        <v/>
      </c>
      <c r="N947" t="str">
        <f>IFERROR(IF(OR(HLOOKUP($A947,#REF!,12,FALSE)&gt;2,HLOOKUP($A947,#REF!,12,FALSE)&lt;-2),"",#REF!),"")</f>
        <v/>
      </c>
      <c r="O947" t="str">
        <f>IFERROR(IF(OR(HLOOKUP($A947,#REF!,13,FALSE)&gt;2,HLOOKUP($A947,#REF!,13,FALSE)&lt;-2),"",#REF!),"")</f>
        <v/>
      </c>
      <c r="P947" t="str">
        <f>IFERROR(IF(OR(HLOOKUP($A947,#REF!,14,FALSE)&gt;2,HLOOKUP($A947,#REF!,14,FALSE)&lt;-2),"",#REF!),"")</f>
        <v/>
      </c>
      <c r="Q947" t="str">
        <f>IFERROR(IF(OR(HLOOKUP($A947,#REF!,15,FALSE)&gt;2,HLOOKUP($A947,#REF!,15,FALSE)&lt;-2),"",#REF!),"")</f>
        <v/>
      </c>
      <c r="R947" t="str">
        <f>IFERROR(IF(OR(HLOOKUP($A947,#REF!,16,FALSE)&gt;2,HLOOKUP($A947,#REF!,16,FALSE)&lt;-2),"",#REF!),"")</f>
        <v/>
      </c>
      <c r="S947" t="str">
        <f>IFERROR(IF(OR(HLOOKUP($A947,#REF!,17,FALSE)&gt;2,HLOOKUP($A947,#REF!,17,FALSE)&lt;-2),"",#REF!),"")</f>
        <v/>
      </c>
      <c r="T947" t="str">
        <f>IFERROR(IF(OR(HLOOKUP($A947,#REF!,18,FALSE)&gt;2,HLOOKUP($A947,#REF!,18,FALSE)&lt;-2),"",#REF!),"")</f>
        <v/>
      </c>
      <c r="U947" t="str">
        <f>IFERROR(IF(OR(HLOOKUP($A947,#REF!,19,FALSE)&gt;2,HLOOKUP($A947,#REF!,19,FALSE)&lt;-2),"",#REF!),"")</f>
        <v/>
      </c>
      <c r="V947">
        <f t="shared" si="56"/>
        <v>1</v>
      </c>
      <c r="W947" t="str">
        <f t="shared" si="57"/>
        <v/>
      </c>
      <c r="X947" t="str">
        <f t="shared" si="58"/>
        <v/>
      </c>
      <c r="Y947" t="str">
        <f t="shared" si="59"/>
        <v/>
      </c>
    </row>
    <row r="948" spans="1:25" x14ac:dyDescent="0.35">
      <c r="A948">
        <v>956</v>
      </c>
      <c r="B948" t="s">
        <v>1082</v>
      </c>
      <c r="C948">
        <v>106200</v>
      </c>
      <c r="D948">
        <v>776</v>
      </c>
      <c r="E948" t="str">
        <f>IFERROR(IF(OR(HLOOKUP($A948,#REF!,3,FALSE)&gt;2,HLOOKUP(A948,#REF!,3,FALSE)&lt;-2),"",#REF!),"")</f>
        <v/>
      </c>
      <c r="F948" t="str">
        <f>IFERROR(IF(OR(HLOOKUP($A948,#REF!,4,FALSE)&gt;2,HLOOKUP($A948,#REF!,4,FALSE)&lt;-2),"",#REF!),"")</f>
        <v/>
      </c>
      <c r="G948" t="str">
        <f>IFERROR(IF(OR(HLOOKUP($A948,#REF!,5,FALSE)&gt;2,HLOOKUP($A948,#REF!,5,FALSE)&lt;-2),"",#REF!),"")</f>
        <v/>
      </c>
      <c r="H948" t="str">
        <f>IFERROR(IF(OR(HLOOKUP($A948,#REF!,6,FALSE)&gt;2,HLOOKUP($A948,#REF!,6,FALSE)&lt;-2),"",#REF!),"")</f>
        <v/>
      </c>
      <c r="I948" t="str">
        <f>IFERROR(IF(OR(HLOOKUP($A948,#REF!,7,FALSE)&gt;2,HLOOKUP($A948,#REF!,7,FALSE)&lt;-2),"",#REF!),"")</f>
        <v/>
      </c>
      <c r="J948" t="str">
        <f>IFERROR(IF(OR(HLOOKUP($A948,#REF!,8,FALSE)&gt;2,HLOOKUP($A948,#REF!,8,FALSE)&lt;-2),"",#REF!),"")</f>
        <v/>
      </c>
      <c r="K948" t="str">
        <f>IFERROR(IF(OR(HLOOKUP($A948,#REF!,9,FALSE)&gt;2,HLOOKUP($A948,#REF!,9,FALSE)&lt;-2),"",#REF!),"")</f>
        <v/>
      </c>
      <c r="L948" t="str">
        <f>IFERROR(IF(OR(HLOOKUP($A948,#REF!,10,FALSE)&gt;2,HLOOKUP($A948,#REF!,10,FALSE)&lt;-2),"",#REF!),"")</f>
        <v/>
      </c>
      <c r="M948" t="str">
        <f>IFERROR(IF(OR(HLOOKUP($A948,#REF!,11,FALSE)&gt;2,HLOOKUP($A948,#REF!,11,FALSE)&lt;-2),"",#REF!),"")</f>
        <v/>
      </c>
      <c r="N948" t="str">
        <f>IFERROR(IF(OR(HLOOKUP($A948,#REF!,12,FALSE)&gt;2,HLOOKUP($A948,#REF!,12,FALSE)&lt;-2),"",#REF!),"")</f>
        <v/>
      </c>
      <c r="O948" t="str">
        <f>IFERROR(IF(OR(HLOOKUP($A948,#REF!,13,FALSE)&gt;2,HLOOKUP($A948,#REF!,13,FALSE)&lt;-2),"",#REF!),"")</f>
        <v/>
      </c>
      <c r="P948" t="str">
        <f>IFERROR(IF(OR(HLOOKUP($A948,#REF!,14,FALSE)&gt;2,HLOOKUP($A948,#REF!,14,FALSE)&lt;-2),"",#REF!),"")</f>
        <v/>
      </c>
      <c r="Q948" t="str">
        <f>IFERROR(IF(OR(HLOOKUP($A948,#REF!,15,FALSE)&gt;2,HLOOKUP($A948,#REF!,15,FALSE)&lt;-2),"",#REF!),"")</f>
        <v/>
      </c>
      <c r="R948" t="str">
        <f>IFERROR(IF(OR(HLOOKUP($A948,#REF!,16,FALSE)&gt;2,HLOOKUP($A948,#REF!,16,FALSE)&lt;-2),"",#REF!),"")</f>
        <v/>
      </c>
      <c r="S948" t="str">
        <f>IFERROR(IF(OR(HLOOKUP($A948,#REF!,17,FALSE)&gt;2,HLOOKUP($A948,#REF!,17,FALSE)&lt;-2),"",#REF!),"")</f>
        <v/>
      </c>
      <c r="T948" t="str">
        <f>IFERROR(IF(OR(HLOOKUP($A948,#REF!,18,FALSE)&gt;2,HLOOKUP($A948,#REF!,18,FALSE)&lt;-2),"",#REF!),"")</f>
        <v/>
      </c>
      <c r="U948" t="str">
        <f>IFERROR(IF(OR(HLOOKUP($A948,#REF!,19,FALSE)&gt;2,HLOOKUP($A948,#REF!,19,FALSE)&lt;-2),"",#REF!),"")</f>
        <v/>
      </c>
      <c r="V948">
        <f t="shared" si="56"/>
        <v>1</v>
      </c>
      <c r="W948" t="str">
        <f t="shared" si="57"/>
        <v/>
      </c>
      <c r="X948" t="str">
        <f t="shared" si="58"/>
        <v/>
      </c>
      <c r="Y948" t="str">
        <f t="shared" si="59"/>
        <v/>
      </c>
    </row>
    <row r="949" spans="1:25" x14ac:dyDescent="0.35">
      <c r="A949">
        <v>957</v>
      </c>
      <c r="B949" t="s">
        <v>469</v>
      </c>
      <c r="C949">
        <v>58800</v>
      </c>
      <c r="D949">
        <v>645</v>
      </c>
      <c r="E949" t="str">
        <f>IFERROR(IF(OR(HLOOKUP($A949,#REF!,3,FALSE)&gt;2,HLOOKUP(A949,#REF!,3,FALSE)&lt;-2),"",#REF!),"")</f>
        <v/>
      </c>
      <c r="F949" t="str">
        <f>IFERROR(IF(OR(HLOOKUP($A949,#REF!,4,FALSE)&gt;2,HLOOKUP($A949,#REF!,4,FALSE)&lt;-2),"",#REF!),"")</f>
        <v/>
      </c>
      <c r="G949" t="str">
        <f>IFERROR(IF(OR(HLOOKUP($A949,#REF!,5,FALSE)&gt;2,HLOOKUP($A949,#REF!,5,FALSE)&lt;-2),"",#REF!),"")</f>
        <v/>
      </c>
      <c r="H949" t="str">
        <f>IFERROR(IF(OR(HLOOKUP($A949,#REF!,6,FALSE)&gt;2,HLOOKUP($A949,#REF!,6,FALSE)&lt;-2),"",#REF!),"")</f>
        <v/>
      </c>
      <c r="I949" t="str">
        <f>IFERROR(IF(OR(HLOOKUP($A949,#REF!,7,FALSE)&gt;2,HLOOKUP($A949,#REF!,7,FALSE)&lt;-2),"",#REF!),"")</f>
        <v/>
      </c>
      <c r="J949" t="str">
        <f>IFERROR(IF(OR(HLOOKUP($A949,#REF!,8,FALSE)&gt;2,HLOOKUP($A949,#REF!,8,FALSE)&lt;-2),"",#REF!),"")</f>
        <v/>
      </c>
      <c r="K949" t="str">
        <f>IFERROR(IF(OR(HLOOKUP($A949,#REF!,9,FALSE)&gt;2,HLOOKUP($A949,#REF!,9,FALSE)&lt;-2),"",#REF!),"")</f>
        <v/>
      </c>
      <c r="L949" t="str">
        <f>IFERROR(IF(OR(HLOOKUP($A949,#REF!,10,FALSE)&gt;2,HLOOKUP($A949,#REF!,10,FALSE)&lt;-2),"",#REF!),"")</f>
        <v/>
      </c>
      <c r="M949" t="str">
        <f>IFERROR(IF(OR(HLOOKUP($A949,#REF!,11,FALSE)&gt;2,HLOOKUP($A949,#REF!,11,FALSE)&lt;-2),"",#REF!),"")</f>
        <v/>
      </c>
      <c r="N949" t="str">
        <f>IFERROR(IF(OR(HLOOKUP($A949,#REF!,12,FALSE)&gt;2,HLOOKUP($A949,#REF!,12,FALSE)&lt;-2),"",#REF!),"")</f>
        <v/>
      </c>
      <c r="O949" t="str">
        <f>IFERROR(IF(OR(HLOOKUP($A949,#REF!,13,FALSE)&gt;2,HLOOKUP($A949,#REF!,13,FALSE)&lt;-2),"",#REF!),"")</f>
        <v/>
      </c>
      <c r="P949" t="str">
        <f>IFERROR(IF(OR(HLOOKUP($A949,#REF!,14,FALSE)&gt;2,HLOOKUP($A949,#REF!,14,FALSE)&lt;-2),"",#REF!),"")</f>
        <v/>
      </c>
      <c r="Q949" t="str">
        <f>IFERROR(IF(OR(HLOOKUP($A949,#REF!,15,FALSE)&gt;2,HLOOKUP($A949,#REF!,15,FALSE)&lt;-2),"",#REF!),"")</f>
        <v/>
      </c>
      <c r="R949" t="str">
        <f>IFERROR(IF(OR(HLOOKUP($A949,#REF!,16,FALSE)&gt;2,HLOOKUP($A949,#REF!,16,FALSE)&lt;-2),"",#REF!),"")</f>
        <v/>
      </c>
      <c r="S949" t="str">
        <f>IFERROR(IF(OR(HLOOKUP($A949,#REF!,17,FALSE)&gt;2,HLOOKUP($A949,#REF!,17,FALSE)&lt;-2),"",#REF!),"")</f>
        <v/>
      </c>
      <c r="T949" t="str">
        <f>IFERROR(IF(OR(HLOOKUP($A949,#REF!,18,FALSE)&gt;2,HLOOKUP($A949,#REF!,18,FALSE)&lt;-2),"",#REF!),"")</f>
        <v/>
      </c>
      <c r="U949" t="str">
        <f>IFERROR(IF(OR(HLOOKUP($A949,#REF!,19,FALSE)&gt;2,HLOOKUP($A949,#REF!,19,FALSE)&lt;-2),"",#REF!),"")</f>
        <v/>
      </c>
      <c r="V949">
        <f t="shared" si="56"/>
        <v>1</v>
      </c>
      <c r="W949" t="str">
        <f t="shared" si="57"/>
        <v/>
      </c>
      <c r="X949" t="str">
        <f t="shared" si="58"/>
        <v/>
      </c>
      <c r="Y949" t="str">
        <f t="shared" si="59"/>
        <v/>
      </c>
    </row>
    <row r="950" spans="1:25" x14ac:dyDescent="0.35">
      <c r="A950">
        <v>958</v>
      </c>
      <c r="B950" t="s">
        <v>1083</v>
      </c>
      <c r="C950">
        <v>69600</v>
      </c>
      <c r="D950">
        <v>856</v>
      </c>
      <c r="E950" t="str">
        <f>IFERROR(IF(OR(HLOOKUP($A950,#REF!,3,FALSE)&gt;2,HLOOKUP(A950,#REF!,3,FALSE)&lt;-2),"",#REF!),"")</f>
        <v/>
      </c>
      <c r="F950" t="str">
        <f>IFERROR(IF(OR(HLOOKUP($A950,#REF!,4,FALSE)&gt;2,HLOOKUP($A950,#REF!,4,FALSE)&lt;-2),"",#REF!),"")</f>
        <v/>
      </c>
      <c r="G950" t="str">
        <f>IFERROR(IF(OR(HLOOKUP($A950,#REF!,5,FALSE)&gt;2,HLOOKUP($A950,#REF!,5,FALSE)&lt;-2),"",#REF!),"")</f>
        <v/>
      </c>
      <c r="H950" t="str">
        <f>IFERROR(IF(OR(HLOOKUP($A950,#REF!,6,FALSE)&gt;2,HLOOKUP($A950,#REF!,6,FALSE)&lt;-2),"",#REF!),"")</f>
        <v/>
      </c>
      <c r="I950" t="str">
        <f>IFERROR(IF(OR(HLOOKUP($A950,#REF!,7,FALSE)&gt;2,HLOOKUP($A950,#REF!,7,FALSE)&lt;-2),"",#REF!),"")</f>
        <v/>
      </c>
      <c r="J950" t="str">
        <f>IFERROR(IF(OR(HLOOKUP($A950,#REF!,8,FALSE)&gt;2,HLOOKUP($A950,#REF!,8,FALSE)&lt;-2),"",#REF!),"")</f>
        <v/>
      </c>
      <c r="K950" t="str">
        <f>IFERROR(IF(OR(HLOOKUP($A950,#REF!,9,FALSE)&gt;2,HLOOKUP($A950,#REF!,9,FALSE)&lt;-2),"",#REF!),"")</f>
        <v/>
      </c>
      <c r="L950" t="str">
        <f>IFERROR(IF(OR(HLOOKUP($A950,#REF!,10,FALSE)&gt;2,HLOOKUP($A950,#REF!,10,FALSE)&lt;-2),"",#REF!),"")</f>
        <v/>
      </c>
      <c r="M950" t="str">
        <f>IFERROR(IF(OR(HLOOKUP($A950,#REF!,11,FALSE)&gt;2,HLOOKUP($A950,#REF!,11,FALSE)&lt;-2),"",#REF!),"")</f>
        <v/>
      </c>
      <c r="N950" t="str">
        <f>IFERROR(IF(OR(HLOOKUP($A950,#REF!,12,FALSE)&gt;2,HLOOKUP($A950,#REF!,12,FALSE)&lt;-2),"",#REF!),"")</f>
        <v/>
      </c>
      <c r="O950" t="str">
        <f>IFERROR(IF(OR(HLOOKUP($A950,#REF!,13,FALSE)&gt;2,HLOOKUP($A950,#REF!,13,FALSE)&lt;-2),"",#REF!),"")</f>
        <v/>
      </c>
      <c r="P950" t="str">
        <f>IFERROR(IF(OR(HLOOKUP($A950,#REF!,14,FALSE)&gt;2,HLOOKUP($A950,#REF!,14,FALSE)&lt;-2),"",#REF!),"")</f>
        <v/>
      </c>
      <c r="Q950" t="str">
        <f>IFERROR(IF(OR(HLOOKUP($A950,#REF!,15,FALSE)&gt;2,HLOOKUP($A950,#REF!,15,FALSE)&lt;-2),"",#REF!),"")</f>
        <v/>
      </c>
      <c r="R950" t="str">
        <f>IFERROR(IF(OR(HLOOKUP($A950,#REF!,16,FALSE)&gt;2,HLOOKUP($A950,#REF!,16,FALSE)&lt;-2),"",#REF!),"")</f>
        <v/>
      </c>
      <c r="S950" t="str">
        <f>IFERROR(IF(OR(HLOOKUP($A950,#REF!,17,FALSE)&gt;2,HLOOKUP($A950,#REF!,17,FALSE)&lt;-2),"",#REF!),"")</f>
        <v/>
      </c>
      <c r="T950" t="str">
        <f>IFERROR(IF(OR(HLOOKUP($A950,#REF!,18,FALSE)&gt;2,HLOOKUP($A950,#REF!,18,FALSE)&lt;-2),"",#REF!),"")</f>
        <v/>
      </c>
      <c r="U950" t="str">
        <f>IFERROR(IF(OR(HLOOKUP($A950,#REF!,19,FALSE)&gt;2,HLOOKUP($A950,#REF!,19,FALSE)&lt;-2),"",#REF!),"")</f>
        <v/>
      </c>
      <c r="V950">
        <f t="shared" si="56"/>
        <v>1</v>
      </c>
      <c r="W950" t="str">
        <f t="shared" si="57"/>
        <v/>
      </c>
      <c r="X950" t="str">
        <f t="shared" si="58"/>
        <v/>
      </c>
      <c r="Y950" t="str">
        <f t="shared" si="59"/>
        <v/>
      </c>
    </row>
    <row r="951" spans="1:25" x14ac:dyDescent="0.35">
      <c r="A951">
        <v>959</v>
      </c>
      <c r="B951" t="s">
        <v>470</v>
      </c>
      <c r="C951">
        <v>12800</v>
      </c>
      <c r="D951">
        <v>1018</v>
      </c>
      <c r="E951" t="str">
        <f>IFERROR(IF(OR(HLOOKUP($A951,#REF!,3,FALSE)&gt;2,HLOOKUP(A951,#REF!,3,FALSE)&lt;-2),"",#REF!),"")</f>
        <v/>
      </c>
      <c r="F951" t="str">
        <f>IFERROR(IF(OR(HLOOKUP($A951,#REF!,4,FALSE)&gt;2,HLOOKUP($A951,#REF!,4,FALSE)&lt;-2),"",#REF!),"")</f>
        <v/>
      </c>
      <c r="G951" t="str">
        <f>IFERROR(IF(OR(HLOOKUP($A951,#REF!,5,FALSE)&gt;2,HLOOKUP($A951,#REF!,5,FALSE)&lt;-2),"",#REF!),"")</f>
        <v/>
      </c>
      <c r="H951" t="str">
        <f>IFERROR(IF(OR(HLOOKUP($A951,#REF!,6,FALSE)&gt;2,HLOOKUP($A951,#REF!,6,FALSE)&lt;-2),"",#REF!),"")</f>
        <v/>
      </c>
      <c r="I951" t="str">
        <f>IFERROR(IF(OR(HLOOKUP($A951,#REF!,7,FALSE)&gt;2,HLOOKUP($A951,#REF!,7,FALSE)&lt;-2),"",#REF!),"")</f>
        <v/>
      </c>
      <c r="J951" t="str">
        <f>IFERROR(IF(OR(HLOOKUP($A951,#REF!,8,FALSE)&gt;2,HLOOKUP($A951,#REF!,8,FALSE)&lt;-2),"",#REF!),"")</f>
        <v/>
      </c>
      <c r="K951" t="str">
        <f>IFERROR(IF(OR(HLOOKUP($A951,#REF!,9,FALSE)&gt;2,HLOOKUP($A951,#REF!,9,FALSE)&lt;-2),"",#REF!),"")</f>
        <v/>
      </c>
      <c r="L951" t="str">
        <f>IFERROR(IF(OR(HLOOKUP($A951,#REF!,10,FALSE)&gt;2,HLOOKUP($A951,#REF!,10,FALSE)&lt;-2),"",#REF!),"")</f>
        <v/>
      </c>
      <c r="M951" t="str">
        <f>IFERROR(IF(OR(HLOOKUP($A951,#REF!,11,FALSE)&gt;2,HLOOKUP($A951,#REF!,11,FALSE)&lt;-2),"",#REF!),"")</f>
        <v/>
      </c>
      <c r="N951" t="str">
        <f>IFERROR(IF(OR(HLOOKUP($A951,#REF!,12,FALSE)&gt;2,HLOOKUP($A951,#REF!,12,FALSE)&lt;-2),"",#REF!),"")</f>
        <v/>
      </c>
      <c r="O951" t="str">
        <f>IFERROR(IF(OR(HLOOKUP($A951,#REF!,13,FALSE)&gt;2,HLOOKUP($A951,#REF!,13,FALSE)&lt;-2),"",#REF!),"")</f>
        <v/>
      </c>
      <c r="P951" t="str">
        <f>IFERROR(IF(OR(HLOOKUP($A951,#REF!,14,FALSE)&gt;2,HLOOKUP($A951,#REF!,14,FALSE)&lt;-2),"",#REF!),"")</f>
        <v/>
      </c>
      <c r="Q951" t="str">
        <f>IFERROR(IF(OR(HLOOKUP($A951,#REF!,15,FALSE)&gt;2,HLOOKUP($A951,#REF!,15,FALSE)&lt;-2),"",#REF!),"")</f>
        <v/>
      </c>
      <c r="R951" t="str">
        <f>IFERROR(IF(OR(HLOOKUP($A951,#REF!,16,FALSE)&gt;2,HLOOKUP($A951,#REF!,16,FALSE)&lt;-2),"",#REF!),"")</f>
        <v/>
      </c>
      <c r="S951" t="str">
        <f>IFERROR(IF(OR(HLOOKUP($A951,#REF!,17,FALSE)&gt;2,HLOOKUP($A951,#REF!,17,FALSE)&lt;-2),"",#REF!),"")</f>
        <v/>
      </c>
      <c r="T951" t="str">
        <f>IFERROR(IF(OR(HLOOKUP($A951,#REF!,18,FALSE)&gt;2,HLOOKUP($A951,#REF!,18,FALSE)&lt;-2),"",#REF!),"")</f>
        <v/>
      </c>
      <c r="U951" t="str">
        <f>IFERROR(IF(OR(HLOOKUP($A951,#REF!,19,FALSE)&gt;2,HLOOKUP($A951,#REF!,19,FALSE)&lt;-2),"",#REF!),"")</f>
        <v/>
      </c>
      <c r="V951">
        <f t="shared" si="56"/>
        <v>1</v>
      </c>
      <c r="W951" t="str">
        <f t="shared" si="57"/>
        <v/>
      </c>
      <c r="X951" t="str">
        <f t="shared" si="58"/>
        <v/>
      </c>
      <c r="Y951" t="str">
        <f t="shared" si="59"/>
        <v/>
      </c>
    </row>
    <row r="952" spans="1:25" x14ac:dyDescent="0.35">
      <c r="A952">
        <v>960</v>
      </c>
      <c r="B952" t="s">
        <v>1084</v>
      </c>
      <c r="C952">
        <v>104200</v>
      </c>
      <c r="D952">
        <v>1009</v>
      </c>
      <c r="E952" t="str">
        <f>IFERROR(IF(OR(HLOOKUP($A952,#REF!,3,FALSE)&gt;2,HLOOKUP(A952,#REF!,3,FALSE)&lt;-2),"",#REF!),"")</f>
        <v/>
      </c>
      <c r="F952" t="str">
        <f>IFERROR(IF(OR(HLOOKUP($A952,#REF!,4,FALSE)&gt;2,HLOOKUP($A952,#REF!,4,FALSE)&lt;-2),"",#REF!),"")</f>
        <v/>
      </c>
      <c r="G952" t="str">
        <f>IFERROR(IF(OR(HLOOKUP($A952,#REF!,5,FALSE)&gt;2,HLOOKUP($A952,#REF!,5,FALSE)&lt;-2),"",#REF!),"")</f>
        <v/>
      </c>
      <c r="H952" t="str">
        <f>IFERROR(IF(OR(HLOOKUP($A952,#REF!,6,FALSE)&gt;2,HLOOKUP($A952,#REF!,6,FALSE)&lt;-2),"",#REF!),"")</f>
        <v/>
      </c>
      <c r="I952" t="str">
        <f>IFERROR(IF(OR(HLOOKUP($A952,#REF!,7,FALSE)&gt;2,HLOOKUP($A952,#REF!,7,FALSE)&lt;-2),"",#REF!),"")</f>
        <v/>
      </c>
      <c r="J952" t="str">
        <f>IFERROR(IF(OR(HLOOKUP($A952,#REF!,8,FALSE)&gt;2,HLOOKUP($A952,#REF!,8,FALSE)&lt;-2),"",#REF!),"")</f>
        <v/>
      </c>
      <c r="K952" t="str">
        <f>IFERROR(IF(OR(HLOOKUP($A952,#REF!,9,FALSE)&gt;2,HLOOKUP($A952,#REF!,9,FALSE)&lt;-2),"",#REF!),"")</f>
        <v/>
      </c>
      <c r="L952" t="str">
        <f>IFERROR(IF(OR(HLOOKUP($A952,#REF!,10,FALSE)&gt;2,HLOOKUP($A952,#REF!,10,FALSE)&lt;-2),"",#REF!),"")</f>
        <v/>
      </c>
      <c r="M952" t="str">
        <f>IFERROR(IF(OR(HLOOKUP($A952,#REF!,11,FALSE)&gt;2,HLOOKUP($A952,#REF!,11,FALSE)&lt;-2),"",#REF!),"")</f>
        <v/>
      </c>
      <c r="N952" t="str">
        <f>IFERROR(IF(OR(HLOOKUP($A952,#REF!,12,FALSE)&gt;2,HLOOKUP($A952,#REF!,12,FALSE)&lt;-2),"",#REF!),"")</f>
        <v/>
      </c>
      <c r="O952" t="str">
        <f>IFERROR(IF(OR(HLOOKUP($A952,#REF!,13,FALSE)&gt;2,HLOOKUP($A952,#REF!,13,FALSE)&lt;-2),"",#REF!),"")</f>
        <v/>
      </c>
      <c r="P952" t="str">
        <f>IFERROR(IF(OR(HLOOKUP($A952,#REF!,14,FALSE)&gt;2,HLOOKUP($A952,#REF!,14,FALSE)&lt;-2),"",#REF!),"")</f>
        <v/>
      </c>
      <c r="Q952" t="str">
        <f>IFERROR(IF(OR(HLOOKUP($A952,#REF!,15,FALSE)&gt;2,HLOOKUP($A952,#REF!,15,FALSE)&lt;-2),"",#REF!),"")</f>
        <v/>
      </c>
      <c r="R952" t="str">
        <f>IFERROR(IF(OR(HLOOKUP($A952,#REF!,16,FALSE)&gt;2,HLOOKUP($A952,#REF!,16,FALSE)&lt;-2),"",#REF!),"")</f>
        <v/>
      </c>
      <c r="S952" t="str">
        <f>IFERROR(IF(OR(HLOOKUP($A952,#REF!,17,FALSE)&gt;2,HLOOKUP($A952,#REF!,17,FALSE)&lt;-2),"",#REF!),"")</f>
        <v/>
      </c>
      <c r="T952" t="str">
        <f>IFERROR(IF(OR(HLOOKUP($A952,#REF!,18,FALSE)&gt;2,HLOOKUP($A952,#REF!,18,FALSE)&lt;-2),"",#REF!),"")</f>
        <v/>
      </c>
      <c r="U952" t="str">
        <f>IFERROR(IF(OR(HLOOKUP($A952,#REF!,19,FALSE)&gt;2,HLOOKUP($A952,#REF!,19,FALSE)&lt;-2),"",#REF!),"")</f>
        <v/>
      </c>
      <c r="V952">
        <f t="shared" si="56"/>
        <v>1</v>
      </c>
      <c r="W952" t="str">
        <f t="shared" si="57"/>
        <v/>
      </c>
      <c r="X952" t="str">
        <f t="shared" si="58"/>
        <v/>
      </c>
      <c r="Y952" t="str">
        <f t="shared" si="59"/>
        <v/>
      </c>
    </row>
    <row r="953" spans="1:25" x14ac:dyDescent="0.35">
      <c r="A953">
        <v>961</v>
      </c>
      <c r="B953" t="s">
        <v>471</v>
      </c>
      <c r="C953">
        <v>33600</v>
      </c>
      <c r="D953">
        <v>698</v>
      </c>
      <c r="E953" t="str">
        <f>IFERROR(IF(OR(HLOOKUP($A953,#REF!,3,FALSE)&gt;2,HLOOKUP(A953,#REF!,3,FALSE)&lt;-2),"",#REF!),"")</f>
        <v/>
      </c>
      <c r="F953" t="str">
        <f>IFERROR(IF(OR(HLOOKUP($A953,#REF!,4,FALSE)&gt;2,HLOOKUP($A953,#REF!,4,FALSE)&lt;-2),"",#REF!),"")</f>
        <v/>
      </c>
      <c r="G953" t="str">
        <f>IFERROR(IF(OR(HLOOKUP($A953,#REF!,5,FALSE)&gt;2,HLOOKUP($A953,#REF!,5,FALSE)&lt;-2),"",#REF!),"")</f>
        <v/>
      </c>
      <c r="H953" t="str">
        <f>IFERROR(IF(OR(HLOOKUP($A953,#REF!,6,FALSE)&gt;2,HLOOKUP($A953,#REF!,6,FALSE)&lt;-2),"",#REF!),"")</f>
        <v/>
      </c>
      <c r="I953" t="str">
        <f>IFERROR(IF(OR(HLOOKUP($A953,#REF!,7,FALSE)&gt;2,HLOOKUP($A953,#REF!,7,FALSE)&lt;-2),"",#REF!),"")</f>
        <v/>
      </c>
      <c r="J953" t="str">
        <f>IFERROR(IF(OR(HLOOKUP($A953,#REF!,8,FALSE)&gt;2,HLOOKUP($A953,#REF!,8,FALSE)&lt;-2),"",#REF!),"")</f>
        <v/>
      </c>
      <c r="K953" t="str">
        <f>IFERROR(IF(OR(HLOOKUP($A953,#REF!,9,FALSE)&gt;2,HLOOKUP($A953,#REF!,9,FALSE)&lt;-2),"",#REF!),"")</f>
        <v/>
      </c>
      <c r="L953" t="str">
        <f>IFERROR(IF(OR(HLOOKUP($A953,#REF!,10,FALSE)&gt;2,HLOOKUP($A953,#REF!,10,FALSE)&lt;-2),"",#REF!),"")</f>
        <v/>
      </c>
      <c r="M953" t="str">
        <f>IFERROR(IF(OR(HLOOKUP($A953,#REF!,11,FALSE)&gt;2,HLOOKUP($A953,#REF!,11,FALSE)&lt;-2),"",#REF!),"")</f>
        <v/>
      </c>
      <c r="N953" t="str">
        <f>IFERROR(IF(OR(HLOOKUP($A953,#REF!,12,FALSE)&gt;2,HLOOKUP($A953,#REF!,12,FALSE)&lt;-2),"",#REF!),"")</f>
        <v/>
      </c>
      <c r="O953" t="str">
        <f>IFERROR(IF(OR(HLOOKUP($A953,#REF!,13,FALSE)&gt;2,HLOOKUP($A953,#REF!,13,FALSE)&lt;-2),"",#REF!),"")</f>
        <v/>
      </c>
      <c r="P953" t="str">
        <f>IFERROR(IF(OR(HLOOKUP($A953,#REF!,14,FALSE)&gt;2,HLOOKUP($A953,#REF!,14,FALSE)&lt;-2),"",#REF!),"")</f>
        <v/>
      </c>
      <c r="Q953" t="str">
        <f>IFERROR(IF(OR(HLOOKUP($A953,#REF!,15,FALSE)&gt;2,HLOOKUP($A953,#REF!,15,FALSE)&lt;-2),"",#REF!),"")</f>
        <v/>
      </c>
      <c r="R953" t="str">
        <f>IFERROR(IF(OR(HLOOKUP($A953,#REF!,16,FALSE)&gt;2,HLOOKUP($A953,#REF!,16,FALSE)&lt;-2),"",#REF!),"")</f>
        <v/>
      </c>
      <c r="S953" t="str">
        <f>IFERROR(IF(OR(HLOOKUP($A953,#REF!,17,FALSE)&gt;2,HLOOKUP($A953,#REF!,17,FALSE)&lt;-2),"",#REF!),"")</f>
        <v/>
      </c>
      <c r="T953" t="str">
        <f>IFERROR(IF(OR(HLOOKUP($A953,#REF!,18,FALSE)&gt;2,HLOOKUP($A953,#REF!,18,FALSE)&lt;-2),"",#REF!),"")</f>
        <v/>
      </c>
      <c r="U953" t="str">
        <f>IFERROR(IF(OR(HLOOKUP($A953,#REF!,19,FALSE)&gt;2,HLOOKUP($A953,#REF!,19,FALSE)&lt;-2),"",#REF!),"")</f>
        <v/>
      </c>
      <c r="V953">
        <f t="shared" si="56"/>
        <v>1</v>
      </c>
      <c r="W953" t="str">
        <f t="shared" si="57"/>
        <v/>
      </c>
      <c r="X953" t="str">
        <f t="shared" si="58"/>
        <v/>
      </c>
      <c r="Y953" t="str">
        <f t="shared" si="59"/>
        <v/>
      </c>
    </row>
    <row r="954" spans="1:25" x14ac:dyDescent="0.35">
      <c r="A954">
        <v>962</v>
      </c>
      <c r="B954" t="s">
        <v>472</v>
      </c>
      <c r="C954">
        <v>2300</v>
      </c>
      <c r="D954">
        <v>993</v>
      </c>
      <c r="E954" t="str">
        <f>IFERROR(IF(OR(HLOOKUP($A954,#REF!,3,FALSE)&gt;2,HLOOKUP(A954,#REF!,3,FALSE)&lt;-2),"",#REF!),"")</f>
        <v/>
      </c>
      <c r="F954" t="str">
        <f>IFERROR(IF(OR(HLOOKUP($A954,#REF!,4,FALSE)&gt;2,HLOOKUP($A954,#REF!,4,FALSE)&lt;-2),"",#REF!),"")</f>
        <v/>
      </c>
      <c r="G954" t="str">
        <f>IFERROR(IF(OR(HLOOKUP($A954,#REF!,5,FALSE)&gt;2,HLOOKUP($A954,#REF!,5,FALSE)&lt;-2),"",#REF!),"")</f>
        <v/>
      </c>
      <c r="H954" t="str">
        <f>IFERROR(IF(OR(HLOOKUP($A954,#REF!,6,FALSE)&gt;2,HLOOKUP($A954,#REF!,6,FALSE)&lt;-2),"",#REF!),"")</f>
        <v/>
      </c>
      <c r="I954" t="str">
        <f>IFERROR(IF(OR(HLOOKUP($A954,#REF!,7,FALSE)&gt;2,HLOOKUP($A954,#REF!,7,FALSE)&lt;-2),"",#REF!),"")</f>
        <v/>
      </c>
      <c r="J954" t="str">
        <f>IFERROR(IF(OR(HLOOKUP($A954,#REF!,8,FALSE)&gt;2,HLOOKUP($A954,#REF!,8,FALSE)&lt;-2),"",#REF!),"")</f>
        <v/>
      </c>
      <c r="K954" t="str">
        <f>IFERROR(IF(OR(HLOOKUP($A954,#REF!,9,FALSE)&gt;2,HLOOKUP($A954,#REF!,9,FALSE)&lt;-2),"",#REF!),"")</f>
        <v/>
      </c>
      <c r="L954" t="str">
        <f>IFERROR(IF(OR(HLOOKUP($A954,#REF!,10,FALSE)&gt;2,HLOOKUP($A954,#REF!,10,FALSE)&lt;-2),"",#REF!),"")</f>
        <v/>
      </c>
      <c r="M954" t="str">
        <f>IFERROR(IF(OR(HLOOKUP($A954,#REF!,11,FALSE)&gt;2,HLOOKUP($A954,#REF!,11,FALSE)&lt;-2),"",#REF!),"")</f>
        <v/>
      </c>
      <c r="N954" t="str">
        <f>IFERROR(IF(OR(HLOOKUP($A954,#REF!,12,FALSE)&gt;2,HLOOKUP($A954,#REF!,12,FALSE)&lt;-2),"",#REF!),"")</f>
        <v/>
      </c>
      <c r="O954" t="str">
        <f>IFERROR(IF(OR(HLOOKUP($A954,#REF!,13,FALSE)&gt;2,HLOOKUP($A954,#REF!,13,FALSE)&lt;-2),"",#REF!),"")</f>
        <v/>
      </c>
      <c r="P954" t="str">
        <f>IFERROR(IF(OR(HLOOKUP($A954,#REF!,14,FALSE)&gt;2,HLOOKUP($A954,#REF!,14,FALSE)&lt;-2),"",#REF!),"")</f>
        <v/>
      </c>
      <c r="Q954" t="str">
        <f>IFERROR(IF(OR(HLOOKUP($A954,#REF!,15,FALSE)&gt;2,HLOOKUP($A954,#REF!,15,FALSE)&lt;-2),"",#REF!),"")</f>
        <v/>
      </c>
      <c r="R954" t="str">
        <f>IFERROR(IF(OR(HLOOKUP($A954,#REF!,16,FALSE)&gt;2,HLOOKUP($A954,#REF!,16,FALSE)&lt;-2),"",#REF!),"")</f>
        <v/>
      </c>
      <c r="S954" t="str">
        <f>IFERROR(IF(OR(HLOOKUP($A954,#REF!,17,FALSE)&gt;2,HLOOKUP($A954,#REF!,17,FALSE)&lt;-2),"",#REF!),"")</f>
        <v/>
      </c>
      <c r="T954" t="str">
        <f>IFERROR(IF(OR(HLOOKUP($A954,#REF!,18,FALSE)&gt;2,HLOOKUP($A954,#REF!,18,FALSE)&lt;-2),"",#REF!),"")</f>
        <v/>
      </c>
      <c r="U954" t="str">
        <f>IFERROR(IF(OR(HLOOKUP($A954,#REF!,19,FALSE)&gt;2,HLOOKUP($A954,#REF!,19,FALSE)&lt;-2),"",#REF!),"")</f>
        <v/>
      </c>
      <c r="V954">
        <f t="shared" si="56"/>
        <v>1</v>
      </c>
      <c r="W954" t="str">
        <f t="shared" si="57"/>
        <v/>
      </c>
      <c r="X954" t="str">
        <f t="shared" si="58"/>
        <v/>
      </c>
      <c r="Y954" t="str">
        <f t="shared" si="59"/>
        <v/>
      </c>
    </row>
    <row r="955" spans="1:25" x14ac:dyDescent="0.35">
      <c r="A955">
        <v>963</v>
      </c>
      <c r="B955" t="s">
        <v>1085</v>
      </c>
      <c r="C955">
        <v>94100</v>
      </c>
      <c r="D955">
        <v>235</v>
      </c>
      <c r="E955" t="str">
        <f>IFERROR(IF(OR(HLOOKUP($A955,#REF!,3,FALSE)&gt;2,HLOOKUP(A955,#REF!,3,FALSE)&lt;-2),"",#REF!),"")</f>
        <v/>
      </c>
      <c r="F955" t="str">
        <f>IFERROR(IF(OR(HLOOKUP($A955,#REF!,4,FALSE)&gt;2,HLOOKUP($A955,#REF!,4,FALSE)&lt;-2),"",#REF!),"")</f>
        <v/>
      </c>
      <c r="G955" t="str">
        <f>IFERROR(IF(OR(HLOOKUP($A955,#REF!,5,FALSE)&gt;2,HLOOKUP($A955,#REF!,5,FALSE)&lt;-2),"",#REF!),"")</f>
        <v/>
      </c>
      <c r="H955" t="str">
        <f>IFERROR(IF(OR(HLOOKUP($A955,#REF!,6,FALSE)&gt;2,HLOOKUP($A955,#REF!,6,FALSE)&lt;-2),"",#REF!),"")</f>
        <v/>
      </c>
      <c r="I955" t="str">
        <f>IFERROR(IF(OR(HLOOKUP($A955,#REF!,7,FALSE)&gt;2,HLOOKUP($A955,#REF!,7,FALSE)&lt;-2),"",#REF!),"")</f>
        <v/>
      </c>
      <c r="J955" t="str">
        <f>IFERROR(IF(OR(HLOOKUP($A955,#REF!,8,FALSE)&gt;2,HLOOKUP($A955,#REF!,8,FALSE)&lt;-2),"",#REF!),"")</f>
        <v/>
      </c>
      <c r="K955" t="str">
        <f>IFERROR(IF(OR(HLOOKUP($A955,#REF!,9,FALSE)&gt;2,HLOOKUP($A955,#REF!,9,FALSE)&lt;-2),"",#REF!),"")</f>
        <v/>
      </c>
      <c r="L955" t="str">
        <f>IFERROR(IF(OR(HLOOKUP($A955,#REF!,10,FALSE)&gt;2,HLOOKUP($A955,#REF!,10,FALSE)&lt;-2),"",#REF!),"")</f>
        <v/>
      </c>
      <c r="M955" t="str">
        <f>IFERROR(IF(OR(HLOOKUP($A955,#REF!,11,FALSE)&gt;2,HLOOKUP($A955,#REF!,11,FALSE)&lt;-2),"",#REF!),"")</f>
        <v/>
      </c>
      <c r="N955" t="str">
        <f>IFERROR(IF(OR(HLOOKUP($A955,#REF!,12,FALSE)&gt;2,HLOOKUP($A955,#REF!,12,FALSE)&lt;-2),"",#REF!),"")</f>
        <v/>
      </c>
      <c r="O955" t="str">
        <f>IFERROR(IF(OR(HLOOKUP($A955,#REF!,13,FALSE)&gt;2,HLOOKUP($A955,#REF!,13,FALSE)&lt;-2),"",#REF!),"")</f>
        <v/>
      </c>
      <c r="P955" t="str">
        <f>IFERROR(IF(OR(HLOOKUP($A955,#REF!,14,FALSE)&gt;2,HLOOKUP($A955,#REF!,14,FALSE)&lt;-2),"",#REF!),"")</f>
        <v/>
      </c>
      <c r="Q955" t="str">
        <f>IFERROR(IF(OR(HLOOKUP($A955,#REF!,15,FALSE)&gt;2,HLOOKUP($A955,#REF!,15,FALSE)&lt;-2),"",#REF!),"")</f>
        <v/>
      </c>
      <c r="R955" t="str">
        <f>IFERROR(IF(OR(HLOOKUP($A955,#REF!,16,FALSE)&gt;2,HLOOKUP($A955,#REF!,16,FALSE)&lt;-2),"",#REF!),"")</f>
        <v/>
      </c>
      <c r="S955" t="str">
        <f>IFERROR(IF(OR(HLOOKUP($A955,#REF!,17,FALSE)&gt;2,HLOOKUP($A955,#REF!,17,FALSE)&lt;-2),"",#REF!),"")</f>
        <v/>
      </c>
      <c r="T955" t="str">
        <f>IFERROR(IF(OR(HLOOKUP($A955,#REF!,18,FALSE)&gt;2,HLOOKUP($A955,#REF!,18,FALSE)&lt;-2),"",#REF!),"")</f>
        <v/>
      </c>
      <c r="U955" t="str">
        <f>IFERROR(IF(OR(HLOOKUP($A955,#REF!,19,FALSE)&gt;2,HLOOKUP($A955,#REF!,19,FALSE)&lt;-2),"",#REF!),"")</f>
        <v/>
      </c>
      <c r="V955">
        <f t="shared" si="56"/>
        <v>1</v>
      </c>
      <c r="W955" t="str">
        <f t="shared" si="57"/>
        <v/>
      </c>
      <c r="X955" t="str">
        <f t="shared" si="58"/>
        <v/>
      </c>
      <c r="Y955" t="str">
        <f t="shared" si="59"/>
        <v/>
      </c>
    </row>
    <row r="956" spans="1:25" x14ac:dyDescent="0.35">
      <c r="A956">
        <v>964</v>
      </c>
      <c r="B956" t="s">
        <v>1086</v>
      </c>
      <c r="C956">
        <v>106400</v>
      </c>
      <c r="D956">
        <v>776</v>
      </c>
      <c r="E956" t="str">
        <f>IFERROR(IF(OR(HLOOKUP($A956,#REF!,3,FALSE)&gt;2,HLOOKUP(A956,#REF!,3,FALSE)&lt;-2),"",#REF!),"")</f>
        <v/>
      </c>
      <c r="F956" t="str">
        <f>IFERROR(IF(OR(HLOOKUP($A956,#REF!,4,FALSE)&gt;2,HLOOKUP($A956,#REF!,4,FALSE)&lt;-2),"",#REF!),"")</f>
        <v/>
      </c>
      <c r="G956" t="str">
        <f>IFERROR(IF(OR(HLOOKUP($A956,#REF!,5,FALSE)&gt;2,HLOOKUP($A956,#REF!,5,FALSE)&lt;-2),"",#REF!),"")</f>
        <v/>
      </c>
      <c r="H956" t="str">
        <f>IFERROR(IF(OR(HLOOKUP($A956,#REF!,6,FALSE)&gt;2,HLOOKUP($A956,#REF!,6,FALSE)&lt;-2),"",#REF!),"")</f>
        <v/>
      </c>
      <c r="I956" t="str">
        <f>IFERROR(IF(OR(HLOOKUP($A956,#REF!,7,FALSE)&gt;2,HLOOKUP($A956,#REF!,7,FALSE)&lt;-2),"",#REF!),"")</f>
        <v/>
      </c>
      <c r="J956" t="str">
        <f>IFERROR(IF(OR(HLOOKUP($A956,#REF!,8,FALSE)&gt;2,HLOOKUP($A956,#REF!,8,FALSE)&lt;-2),"",#REF!),"")</f>
        <v/>
      </c>
      <c r="K956" t="str">
        <f>IFERROR(IF(OR(HLOOKUP($A956,#REF!,9,FALSE)&gt;2,HLOOKUP($A956,#REF!,9,FALSE)&lt;-2),"",#REF!),"")</f>
        <v/>
      </c>
      <c r="L956" t="str">
        <f>IFERROR(IF(OR(HLOOKUP($A956,#REF!,10,FALSE)&gt;2,HLOOKUP($A956,#REF!,10,FALSE)&lt;-2),"",#REF!),"")</f>
        <v/>
      </c>
      <c r="M956" t="str">
        <f>IFERROR(IF(OR(HLOOKUP($A956,#REF!,11,FALSE)&gt;2,HLOOKUP($A956,#REF!,11,FALSE)&lt;-2),"",#REF!),"")</f>
        <v/>
      </c>
      <c r="N956" t="str">
        <f>IFERROR(IF(OR(HLOOKUP($A956,#REF!,12,FALSE)&gt;2,HLOOKUP($A956,#REF!,12,FALSE)&lt;-2),"",#REF!),"")</f>
        <v/>
      </c>
      <c r="O956" t="str">
        <f>IFERROR(IF(OR(HLOOKUP($A956,#REF!,13,FALSE)&gt;2,HLOOKUP($A956,#REF!,13,FALSE)&lt;-2),"",#REF!),"")</f>
        <v/>
      </c>
      <c r="P956" t="str">
        <f>IFERROR(IF(OR(HLOOKUP($A956,#REF!,14,FALSE)&gt;2,HLOOKUP($A956,#REF!,14,FALSE)&lt;-2),"",#REF!),"")</f>
        <v/>
      </c>
      <c r="Q956" t="str">
        <f>IFERROR(IF(OR(HLOOKUP($A956,#REF!,15,FALSE)&gt;2,HLOOKUP($A956,#REF!,15,FALSE)&lt;-2),"",#REF!),"")</f>
        <v/>
      </c>
      <c r="R956" t="str">
        <f>IFERROR(IF(OR(HLOOKUP($A956,#REF!,16,FALSE)&gt;2,HLOOKUP($A956,#REF!,16,FALSE)&lt;-2),"",#REF!),"")</f>
        <v/>
      </c>
      <c r="S956" t="str">
        <f>IFERROR(IF(OR(HLOOKUP($A956,#REF!,17,FALSE)&gt;2,HLOOKUP($A956,#REF!,17,FALSE)&lt;-2),"",#REF!),"")</f>
        <v/>
      </c>
      <c r="T956" t="str">
        <f>IFERROR(IF(OR(HLOOKUP($A956,#REF!,18,FALSE)&gt;2,HLOOKUP($A956,#REF!,18,FALSE)&lt;-2),"",#REF!),"")</f>
        <v/>
      </c>
      <c r="U956" t="str">
        <f>IFERROR(IF(OR(HLOOKUP($A956,#REF!,19,FALSE)&gt;2,HLOOKUP($A956,#REF!,19,FALSE)&lt;-2),"",#REF!),"")</f>
        <v/>
      </c>
      <c r="V956">
        <f t="shared" si="56"/>
        <v>1</v>
      </c>
      <c r="W956" t="str">
        <f t="shared" si="57"/>
        <v/>
      </c>
      <c r="X956" t="str">
        <f t="shared" si="58"/>
        <v/>
      </c>
      <c r="Y956" t="str">
        <f t="shared" si="59"/>
        <v/>
      </c>
    </row>
    <row r="957" spans="1:25" x14ac:dyDescent="0.35">
      <c r="A957">
        <v>965</v>
      </c>
      <c r="B957" t="s">
        <v>473</v>
      </c>
      <c r="C957">
        <v>25500</v>
      </c>
      <c r="D957">
        <v>894</v>
      </c>
      <c r="E957" t="str">
        <f>IFERROR(IF(OR(HLOOKUP($A957,#REF!,3,FALSE)&gt;2,HLOOKUP(A957,#REF!,3,FALSE)&lt;-2),"",#REF!),"")</f>
        <v/>
      </c>
      <c r="F957" t="str">
        <f>IFERROR(IF(OR(HLOOKUP($A957,#REF!,4,FALSE)&gt;2,HLOOKUP($A957,#REF!,4,FALSE)&lt;-2),"",#REF!),"")</f>
        <v/>
      </c>
      <c r="G957" t="str">
        <f>IFERROR(IF(OR(HLOOKUP($A957,#REF!,5,FALSE)&gt;2,HLOOKUP($A957,#REF!,5,FALSE)&lt;-2),"",#REF!),"")</f>
        <v/>
      </c>
      <c r="H957" t="str">
        <f>IFERROR(IF(OR(HLOOKUP($A957,#REF!,6,FALSE)&gt;2,HLOOKUP($A957,#REF!,6,FALSE)&lt;-2),"",#REF!),"")</f>
        <v/>
      </c>
      <c r="I957" t="str">
        <f>IFERROR(IF(OR(HLOOKUP($A957,#REF!,7,FALSE)&gt;2,HLOOKUP($A957,#REF!,7,FALSE)&lt;-2),"",#REF!),"")</f>
        <v/>
      </c>
      <c r="J957" t="str">
        <f>IFERROR(IF(OR(HLOOKUP($A957,#REF!,8,FALSE)&gt;2,HLOOKUP($A957,#REF!,8,FALSE)&lt;-2),"",#REF!),"")</f>
        <v/>
      </c>
      <c r="K957" t="str">
        <f>IFERROR(IF(OR(HLOOKUP($A957,#REF!,9,FALSE)&gt;2,HLOOKUP($A957,#REF!,9,FALSE)&lt;-2),"",#REF!),"")</f>
        <v/>
      </c>
      <c r="L957" t="str">
        <f>IFERROR(IF(OR(HLOOKUP($A957,#REF!,10,FALSE)&gt;2,HLOOKUP($A957,#REF!,10,FALSE)&lt;-2),"",#REF!),"")</f>
        <v/>
      </c>
      <c r="M957" t="str">
        <f>IFERROR(IF(OR(HLOOKUP($A957,#REF!,11,FALSE)&gt;2,HLOOKUP($A957,#REF!,11,FALSE)&lt;-2),"",#REF!),"")</f>
        <v/>
      </c>
      <c r="N957" t="str">
        <f>IFERROR(IF(OR(HLOOKUP($A957,#REF!,12,FALSE)&gt;2,HLOOKUP($A957,#REF!,12,FALSE)&lt;-2),"",#REF!),"")</f>
        <v/>
      </c>
      <c r="O957" t="str">
        <f>IFERROR(IF(OR(HLOOKUP($A957,#REF!,13,FALSE)&gt;2,HLOOKUP($A957,#REF!,13,FALSE)&lt;-2),"",#REF!),"")</f>
        <v/>
      </c>
      <c r="P957" t="str">
        <f>IFERROR(IF(OR(HLOOKUP($A957,#REF!,14,FALSE)&gt;2,HLOOKUP($A957,#REF!,14,FALSE)&lt;-2),"",#REF!),"")</f>
        <v/>
      </c>
      <c r="Q957" t="str">
        <f>IFERROR(IF(OR(HLOOKUP($A957,#REF!,15,FALSE)&gt;2,HLOOKUP($A957,#REF!,15,FALSE)&lt;-2),"",#REF!),"")</f>
        <v/>
      </c>
      <c r="R957" t="str">
        <f>IFERROR(IF(OR(HLOOKUP($A957,#REF!,16,FALSE)&gt;2,HLOOKUP($A957,#REF!,16,FALSE)&lt;-2),"",#REF!),"")</f>
        <v/>
      </c>
      <c r="S957" t="str">
        <f>IFERROR(IF(OR(HLOOKUP($A957,#REF!,17,FALSE)&gt;2,HLOOKUP($A957,#REF!,17,FALSE)&lt;-2),"",#REF!),"")</f>
        <v/>
      </c>
      <c r="T957" t="str">
        <f>IFERROR(IF(OR(HLOOKUP($A957,#REF!,18,FALSE)&gt;2,HLOOKUP($A957,#REF!,18,FALSE)&lt;-2),"",#REF!),"")</f>
        <v/>
      </c>
      <c r="U957" t="str">
        <f>IFERROR(IF(OR(HLOOKUP($A957,#REF!,19,FALSE)&gt;2,HLOOKUP($A957,#REF!,19,FALSE)&lt;-2),"",#REF!),"")</f>
        <v/>
      </c>
      <c r="V957">
        <f t="shared" si="56"/>
        <v>1</v>
      </c>
      <c r="W957" t="str">
        <f t="shared" si="57"/>
        <v/>
      </c>
      <c r="X957" t="str">
        <f t="shared" si="58"/>
        <v/>
      </c>
      <c r="Y957" t="str">
        <f t="shared" si="59"/>
        <v/>
      </c>
    </row>
    <row r="958" spans="1:25" x14ac:dyDescent="0.35">
      <c r="A958">
        <v>966</v>
      </c>
      <c r="B958" t="s">
        <v>474</v>
      </c>
      <c r="C958">
        <v>46900</v>
      </c>
      <c r="D958">
        <v>942</v>
      </c>
      <c r="E958" t="str">
        <f>IFERROR(IF(OR(HLOOKUP($A958,#REF!,3,FALSE)&gt;2,HLOOKUP(A958,#REF!,3,FALSE)&lt;-2),"",#REF!),"")</f>
        <v/>
      </c>
      <c r="F958" t="str">
        <f>IFERROR(IF(OR(HLOOKUP($A958,#REF!,4,FALSE)&gt;2,HLOOKUP($A958,#REF!,4,FALSE)&lt;-2),"",#REF!),"")</f>
        <v/>
      </c>
      <c r="G958" t="str">
        <f>IFERROR(IF(OR(HLOOKUP($A958,#REF!,5,FALSE)&gt;2,HLOOKUP($A958,#REF!,5,FALSE)&lt;-2),"",#REF!),"")</f>
        <v/>
      </c>
      <c r="H958" t="str">
        <f>IFERROR(IF(OR(HLOOKUP($A958,#REF!,6,FALSE)&gt;2,HLOOKUP($A958,#REF!,6,FALSE)&lt;-2),"",#REF!),"")</f>
        <v/>
      </c>
      <c r="I958" t="str">
        <f>IFERROR(IF(OR(HLOOKUP($A958,#REF!,7,FALSE)&gt;2,HLOOKUP($A958,#REF!,7,FALSE)&lt;-2),"",#REF!),"")</f>
        <v/>
      </c>
      <c r="J958" t="str">
        <f>IFERROR(IF(OR(HLOOKUP($A958,#REF!,8,FALSE)&gt;2,HLOOKUP($A958,#REF!,8,FALSE)&lt;-2),"",#REF!),"")</f>
        <v/>
      </c>
      <c r="K958" t="str">
        <f>IFERROR(IF(OR(HLOOKUP($A958,#REF!,9,FALSE)&gt;2,HLOOKUP($A958,#REF!,9,FALSE)&lt;-2),"",#REF!),"")</f>
        <v/>
      </c>
      <c r="L958" t="str">
        <f>IFERROR(IF(OR(HLOOKUP($A958,#REF!,10,FALSE)&gt;2,HLOOKUP($A958,#REF!,10,FALSE)&lt;-2),"",#REF!),"")</f>
        <v/>
      </c>
      <c r="M958" t="str">
        <f>IFERROR(IF(OR(HLOOKUP($A958,#REF!,11,FALSE)&gt;2,HLOOKUP($A958,#REF!,11,FALSE)&lt;-2),"",#REF!),"")</f>
        <v/>
      </c>
      <c r="N958" t="str">
        <f>IFERROR(IF(OR(HLOOKUP($A958,#REF!,12,FALSE)&gt;2,HLOOKUP($A958,#REF!,12,FALSE)&lt;-2),"",#REF!),"")</f>
        <v/>
      </c>
      <c r="O958" t="str">
        <f>IFERROR(IF(OR(HLOOKUP($A958,#REF!,13,FALSE)&gt;2,HLOOKUP($A958,#REF!,13,FALSE)&lt;-2),"",#REF!),"")</f>
        <v/>
      </c>
      <c r="P958" t="str">
        <f>IFERROR(IF(OR(HLOOKUP($A958,#REF!,14,FALSE)&gt;2,HLOOKUP($A958,#REF!,14,FALSE)&lt;-2),"",#REF!),"")</f>
        <v/>
      </c>
      <c r="Q958" t="str">
        <f>IFERROR(IF(OR(HLOOKUP($A958,#REF!,15,FALSE)&gt;2,HLOOKUP($A958,#REF!,15,FALSE)&lt;-2),"",#REF!),"")</f>
        <v/>
      </c>
      <c r="R958" t="str">
        <f>IFERROR(IF(OR(HLOOKUP($A958,#REF!,16,FALSE)&gt;2,HLOOKUP($A958,#REF!,16,FALSE)&lt;-2),"",#REF!),"")</f>
        <v/>
      </c>
      <c r="S958" t="str">
        <f>IFERROR(IF(OR(HLOOKUP($A958,#REF!,17,FALSE)&gt;2,HLOOKUP($A958,#REF!,17,FALSE)&lt;-2),"",#REF!),"")</f>
        <v/>
      </c>
      <c r="T958" t="str">
        <f>IFERROR(IF(OR(HLOOKUP($A958,#REF!,18,FALSE)&gt;2,HLOOKUP($A958,#REF!,18,FALSE)&lt;-2),"",#REF!),"")</f>
        <v/>
      </c>
      <c r="U958" t="str">
        <f>IFERROR(IF(OR(HLOOKUP($A958,#REF!,19,FALSE)&gt;2,HLOOKUP($A958,#REF!,19,FALSE)&lt;-2),"",#REF!),"")</f>
        <v/>
      </c>
      <c r="V958">
        <f t="shared" si="56"/>
        <v>1</v>
      </c>
      <c r="W958" t="str">
        <f t="shared" si="57"/>
        <v/>
      </c>
      <c r="X958" t="str">
        <f t="shared" si="58"/>
        <v/>
      </c>
      <c r="Y958" t="str">
        <f t="shared" si="59"/>
        <v/>
      </c>
    </row>
    <row r="959" spans="1:25" x14ac:dyDescent="0.35">
      <c r="A959">
        <v>967</v>
      </c>
      <c r="B959" t="s">
        <v>1087</v>
      </c>
      <c r="C959">
        <v>97300</v>
      </c>
      <c r="D959">
        <v>1009</v>
      </c>
      <c r="E959" t="str">
        <f>IFERROR(IF(OR(HLOOKUP($A959,#REF!,3,FALSE)&gt;2,HLOOKUP(A959,#REF!,3,FALSE)&lt;-2),"",#REF!),"")</f>
        <v/>
      </c>
      <c r="F959" t="str">
        <f>IFERROR(IF(OR(HLOOKUP($A959,#REF!,4,FALSE)&gt;2,HLOOKUP($A959,#REF!,4,FALSE)&lt;-2),"",#REF!),"")</f>
        <v/>
      </c>
      <c r="G959" t="str">
        <f>IFERROR(IF(OR(HLOOKUP($A959,#REF!,5,FALSE)&gt;2,HLOOKUP($A959,#REF!,5,FALSE)&lt;-2),"",#REF!),"")</f>
        <v/>
      </c>
      <c r="H959" t="str">
        <f>IFERROR(IF(OR(HLOOKUP($A959,#REF!,6,FALSE)&gt;2,HLOOKUP($A959,#REF!,6,FALSE)&lt;-2),"",#REF!),"")</f>
        <v/>
      </c>
      <c r="I959" t="str">
        <f>IFERROR(IF(OR(HLOOKUP($A959,#REF!,7,FALSE)&gt;2,HLOOKUP($A959,#REF!,7,FALSE)&lt;-2),"",#REF!),"")</f>
        <v/>
      </c>
      <c r="J959" t="str">
        <f>IFERROR(IF(OR(HLOOKUP($A959,#REF!,8,FALSE)&gt;2,HLOOKUP($A959,#REF!,8,FALSE)&lt;-2),"",#REF!),"")</f>
        <v/>
      </c>
      <c r="K959" t="str">
        <f>IFERROR(IF(OR(HLOOKUP($A959,#REF!,9,FALSE)&gt;2,HLOOKUP($A959,#REF!,9,FALSE)&lt;-2),"",#REF!),"")</f>
        <v/>
      </c>
      <c r="L959" t="str">
        <f>IFERROR(IF(OR(HLOOKUP($A959,#REF!,10,FALSE)&gt;2,HLOOKUP($A959,#REF!,10,FALSE)&lt;-2),"",#REF!),"")</f>
        <v/>
      </c>
      <c r="M959" t="str">
        <f>IFERROR(IF(OR(HLOOKUP($A959,#REF!,11,FALSE)&gt;2,HLOOKUP($A959,#REF!,11,FALSE)&lt;-2),"",#REF!),"")</f>
        <v/>
      </c>
      <c r="N959" t="str">
        <f>IFERROR(IF(OR(HLOOKUP($A959,#REF!,12,FALSE)&gt;2,HLOOKUP($A959,#REF!,12,FALSE)&lt;-2),"",#REF!),"")</f>
        <v/>
      </c>
      <c r="O959" t="str">
        <f>IFERROR(IF(OR(HLOOKUP($A959,#REF!,13,FALSE)&gt;2,HLOOKUP($A959,#REF!,13,FALSE)&lt;-2),"",#REF!),"")</f>
        <v/>
      </c>
      <c r="P959" t="str">
        <f>IFERROR(IF(OR(HLOOKUP($A959,#REF!,14,FALSE)&gt;2,HLOOKUP($A959,#REF!,14,FALSE)&lt;-2),"",#REF!),"")</f>
        <v/>
      </c>
      <c r="Q959" t="str">
        <f>IFERROR(IF(OR(HLOOKUP($A959,#REF!,15,FALSE)&gt;2,HLOOKUP($A959,#REF!,15,FALSE)&lt;-2),"",#REF!),"")</f>
        <v/>
      </c>
      <c r="R959" t="str">
        <f>IFERROR(IF(OR(HLOOKUP($A959,#REF!,16,FALSE)&gt;2,HLOOKUP($A959,#REF!,16,FALSE)&lt;-2),"",#REF!),"")</f>
        <v/>
      </c>
      <c r="S959" t="str">
        <f>IFERROR(IF(OR(HLOOKUP($A959,#REF!,17,FALSE)&gt;2,HLOOKUP($A959,#REF!,17,FALSE)&lt;-2),"",#REF!),"")</f>
        <v/>
      </c>
      <c r="T959" t="str">
        <f>IFERROR(IF(OR(HLOOKUP($A959,#REF!,18,FALSE)&gt;2,HLOOKUP($A959,#REF!,18,FALSE)&lt;-2),"",#REF!),"")</f>
        <v/>
      </c>
      <c r="U959" t="str">
        <f>IFERROR(IF(OR(HLOOKUP($A959,#REF!,19,FALSE)&gt;2,HLOOKUP($A959,#REF!,19,FALSE)&lt;-2),"",#REF!),"")</f>
        <v/>
      </c>
      <c r="V959">
        <f t="shared" si="56"/>
        <v>1</v>
      </c>
      <c r="W959" t="str">
        <f t="shared" si="57"/>
        <v/>
      </c>
      <c r="X959" t="str">
        <f t="shared" si="58"/>
        <v/>
      </c>
      <c r="Y959" t="str">
        <f t="shared" si="59"/>
        <v/>
      </c>
    </row>
    <row r="960" spans="1:25" x14ac:dyDescent="0.35">
      <c r="A960">
        <v>968</v>
      </c>
      <c r="B960" t="s">
        <v>475</v>
      </c>
      <c r="C960">
        <v>59200</v>
      </c>
      <c r="D960">
        <v>645</v>
      </c>
      <c r="E960" t="str">
        <f>IFERROR(IF(OR(HLOOKUP($A960,#REF!,3,FALSE)&gt;2,HLOOKUP(A960,#REF!,3,FALSE)&lt;-2),"",#REF!),"")</f>
        <v/>
      </c>
      <c r="F960" t="str">
        <f>IFERROR(IF(OR(HLOOKUP($A960,#REF!,4,FALSE)&gt;2,HLOOKUP($A960,#REF!,4,FALSE)&lt;-2),"",#REF!),"")</f>
        <v/>
      </c>
      <c r="G960" t="str">
        <f>IFERROR(IF(OR(HLOOKUP($A960,#REF!,5,FALSE)&gt;2,HLOOKUP($A960,#REF!,5,FALSE)&lt;-2),"",#REF!),"")</f>
        <v/>
      </c>
      <c r="H960" t="str">
        <f>IFERROR(IF(OR(HLOOKUP($A960,#REF!,6,FALSE)&gt;2,HLOOKUP($A960,#REF!,6,FALSE)&lt;-2),"",#REF!),"")</f>
        <v/>
      </c>
      <c r="I960" t="str">
        <f>IFERROR(IF(OR(HLOOKUP($A960,#REF!,7,FALSE)&gt;2,HLOOKUP($A960,#REF!,7,FALSE)&lt;-2),"",#REF!),"")</f>
        <v/>
      </c>
      <c r="J960" t="str">
        <f>IFERROR(IF(OR(HLOOKUP($A960,#REF!,8,FALSE)&gt;2,HLOOKUP($A960,#REF!,8,FALSE)&lt;-2),"",#REF!),"")</f>
        <v/>
      </c>
      <c r="K960" t="str">
        <f>IFERROR(IF(OR(HLOOKUP($A960,#REF!,9,FALSE)&gt;2,HLOOKUP($A960,#REF!,9,FALSE)&lt;-2),"",#REF!),"")</f>
        <v/>
      </c>
      <c r="L960" t="str">
        <f>IFERROR(IF(OR(HLOOKUP($A960,#REF!,10,FALSE)&gt;2,HLOOKUP($A960,#REF!,10,FALSE)&lt;-2),"",#REF!),"")</f>
        <v/>
      </c>
      <c r="M960" t="str">
        <f>IFERROR(IF(OR(HLOOKUP($A960,#REF!,11,FALSE)&gt;2,HLOOKUP($A960,#REF!,11,FALSE)&lt;-2),"",#REF!),"")</f>
        <v/>
      </c>
      <c r="N960" t="str">
        <f>IFERROR(IF(OR(HLOOKUP($A960,#REF!,12,FALSE)&gt;2,HLOOKUP($A960,#REF!,12,FALSE)&lt;-2),"",#REF!),"")</f>
        <v/>
      </c>
      <c r="O960" t="str">
        <f>IFERROR(IF(OR(HLOOKUP($A960,#REF!,13,FALSE)&gt;2,HLOOKUP($A960,#REF!,13,FALSE)&lt;-2),"",#REF!),"")</f>
        <v/>
      </c>
      <c r="P960" t="str">
        <f>IFERROR(IF(OR(HLOOKUP($A960,#REF!,14,FALSE)&gt;2,HLOOKUP($A960,#REF!,14,FALSE)&lt;-2),"",#REF!),"")</f>
        <v/>
      </c>
      <c r="Q960" t="str">
        <f>IFERROR(IF(OR(HLOOKUP($A960,#REF!,15,FALSE)&gt;2,HLOOKUP($A960,#REF!,15,FALSE)&lt;-2),"",#REF!),"")</f>
        <v/>
      </c>
      <c r="R960" t="str">
        <f>IFERROR(IF(OR(HLOOKUP($A960,#REF!,16,FALSE)&gt;2,HLOOKUP($A960,#REF!,16,FALSE)&lt;-2),"",#REF!),"")</f>
        <v/>
      </c>
      <c r="S960" t="str">
        <f>IFERROR(IF(OR(HLOOKUP($A960,#REF!,17,FALSE)&gt;2,HLOOKUP($A960,#REF!,17,FALSE)&lt;-2),"",#REF!),"")</f>
        <v/>
      </c>
      <c r="T960" t="str">
        <f>IFERROR(IF(OR(HLOOKUP($A960,#REF!,18,FALSE)&gt;2,HLOOKUP($A960,#REF!,18,FALSE)&lt;-2),"",#REF!),"")</f>
        <v/>
      </c>
      <c r="U960" t="str">
        <f>IFERROR(IF(OR(HLOOKUP($A960,#REF!,19,FALSE)&gt;2,HLOOKUP($A960,#REF!,19,FALSE)&lt;-2),"",#REF!),"")</f>
        <v/>
      </c>
      <c r="V960">
        <f t="shared" si="56"/>
        <v>1</v>
      </c>
      <c r="W960" t="str">
        <f t="shared" si="57"/>
        <v/>
      </c>
      <c r="X960" t="str">
        <f t="shared" si="58"/>
        <v/>
      </c>
      <c r="Y960" t="str">
        <f t="shared" si="59"/>
        <v/>
      </c>
    </row>
    <row r="961" spans="1:25" x14ac:dyDescent="0.35">
      <c r="A961">
        <v>969</v>
      </c>
      <c r="B961" t="s">
        <v>476</v>
      </c>
      <c r="C961">
        <v>22800</v>
      </c>
      <c r="D961">
        <v>746</v>
      </c>
      <c r="E961" t="str">
        <f>IFERROR(IF(OR(HLOOKUP($A961,#REF!,3,FALSE)&gt;2,HLOOKUP(A961,#REF!,3,FALSE)&lt;-2),"",#REF!),"")</f>
        <v/>
      </c>
      <c r="F961" t="str">
        <f>IFERROR(IF(OR(HLOOKUP($A961,#REF!,4,FALSE)&gt;2,HLOOKUP($A961,#REF!,4,FALSE)&lt;-2),"",#REF!),"")</f>
        <v/>
      </c>
      <c r="G961" t="str">
        <f>IFERROR(IF(OR(HLOOKUP($A961,#REF!,5,FALSE)&gt;2,HLOOKUP($A961,#REF!,5,FALSE)&lt;-2),"",#REF!),"")</f>
        <v/>
      </c>
      <c r="H961" t="str">
        <f>IFERROR(IF(OR(HLOOKUP($A961,#REF!,6,FALSE)&gt;2,HLOOKUP($A961,#REF!,6,FALSE)&lt;-2),"",#REF!),"")</f>
        <v/>
      </c>
      <c r="I961" t="str">
        <f>IFERROR(IF(OR(HLOOKUP($A961,#REF!,7,FALSE)&gt;2,HLOOKUP($A961,#REF!,7,FALSE)&lt;-2),"",#REF!),"")</f>
        <v/>
      </c>
      <c r="J961" t="str">
        <f>IFERROR(IF(OR(HLOOKUP($A961,#REF!,8,FALSE)&gt;2,HLOOKUP($A961,#REF!,8,FALSE)&lt;-2),"",#REF!),"")</f>
        <v/>
      </c>
      <c r="K961" t="str">
        <f>IFERROR(IF(OR(HLOOKUP($A961,#REF!,9,FALSE)&gt;2,HLOOKUP($A961,#REF!,9,FALSE)&lt;-2),"",#REF!),"")</f>
        <v/>
      </c>
      <c r="L961" t="str">
        <f>IFERROR(IF(OR(HLOOKUP($A961,#REF!,10,FALSE)&gt;2,HLOOKUP($A961,#REF!,10,FALSE)&lt;-2),"",#REF!),"")</f>
        <v/>
      </c>
      <c r="M961" t="str">
        <f>IFERROR(IF(OR(HLOOKUP($A961,#REF!,11,FALSE)&gt;2,HLOOKUP($A961,#REF!,11,FALSE)&lt;-2),"",#REF!),"")</f>
        <v/>
      </c>
      <c r="N961" t="str">
        <f>IFERROR(IF(OR(HLOOKUP($A961,#REF!,12,FALSE)&gt;2,HLOOKUP($A961,#REF!,12,FALSE)&lt;-2),"",#REF!),"")</f>
        <v/>
      </c>
      <c r="O961" t="str">
        <f>IFERROR(IF(OR(HLOOKUP($A961,#REF!,13,FALSE)&gt;2,HLOOKUP($A961,#REF!,13,FALSE)&lt;-2),"",#REF!),"")</f>
        <v/>
      </c>
      <c r="P961" t="str">
        <f>IFERROR(IF(OR(HLOOKUP($A961,#REF!,14,FALSE)&gt;2,HLOOKUP($A961,#REF!,14,FALSE)&lt;-2),"",#REF!),"")</f>
        <v/>
      </c>
      <c r="Q961" t="str">
        <f>IFERROR(IF(OR(HLOOKUP($A961,#REF!,15,FALSE)&gt;2,HLOOKUP($A961,#REF!,15,FALSE)&lt;-2),"",#REF!),"")</f>
        <v/>
      </c>
      <c r="R961" t="str">
        <f>IFERROR(IF(OR(HLOOKUP($A961,#REF!,16,FALSE)&gt;2,HLOOKUP($A961,#REF!,16,FALSE)&lt;-2),"",#REF!),"")</f>
        <v/>
      </c>
      <c r="S961" t="str">
        <f>IFERROR(IF(OR(HLOOKUP($A961,#REF!,17,FALSE)&gt;2,HLOOKUP($A961,#REF!,17,FALSE)&lt;-2),"",#REF!),"")</f>
        <v/>
      </c>
      <c r="T961" t="str">
        <f>IFERROR(IF(OR(HLOOKUP($A961,#REF!,18,FALSE)&gt;2,HLOOKUP($A961,#REF!,18,FALSE)&lt;-2),"",#REF!),"")</f>
        <v/>
      </c>
      <c r="U961" t="str">
        <f>IFERROR(IF(OR(HLOOKUP($A961,#REF!,19,FALSE)&gt;2,HLOOKUP($A961,#REF!,19,FALSE)&lt;-2),"",#REF!),"")</f>
        <v/>
      </c>
      <c r="V961">
        <f t="shared" si="56"/>
        <v>1</v>
      </c>
      <c r="W961" t="str">
        <f t="shared" si="57"/>
        <v/>
      </c>
      <c r="X961" t="str">
        <f t="shared" si="58"/>
        <v/>
      </c>
      <c r="Y961" t="str">
        <f t="shared" si="59"/>
        <v/>
      </c>
    </row>
    <row r="962" spans="1:25" x14ac:dyDescent="0.35">
      <c r="A962">
        <v>970</v>
      </c>
      <c r="B962" t="s">
        <v>477</v>
      </c>
      <c r="C962">
        <v>94900</v>
      </c>
      <c r="D962">
        <v>938</v>
      </c>
      <c r="E962" t="str">
        <f>IFERROR(IF(OR(HLOOKUP($A962,#REF!,3,FALSE)&gt;2,HLOOKUP(A962,#REF!,3,FALSE)&lt;-2),"",#REF!),"")</f>
        <v/>
      </c>
      <c r="F962" t="str">
        <f>IFERROR(IF(OR(HLOOKUP($A962,#REF!,4,FALSE)&gt;2,HLOOKUP($A962,#REF!,4,FALSE)&lt;-2),"",#REF!),"")</f>
        <v/>
      </c>
      <c r="G962" t="str">
        <f>IFERROR(IF(OR(HLOOKUP($A962,#REF!,5,FALSE)&gt;2,HLOOKUP($A962,#REF!,5,FALSE)&lt;-2),"",#REF!),"")</f>
        <v/>
      </c>
      <c r="H962" t="str">
        <f>IFERROR(IF(OR(HLOOKUP($A962,#REF!,6,FALSE)&gt;2,HLOOKUP($A962,#REF!,6,FALSE)&lt;-2),"",#REF!),"")</f>
        <v/>
      </c>
      <c r="I962" t="str">
        <f>IFERROR(IF(OR(HLOOKUP($A962,#REF!,7,FALSE)&gt;2,HLOOKUP($A962,#REF!,7,FALSE)&lt;-2),"",#REF!),"")</f>
        <v/>
      </c>
      <c r="J962" t="str">
        <f>IFERROR(IF(OR(HLOOKUP($A962,#REF!,8,FALSE)&gt;2,HLOOKUP($A962,#REF!,8,FALSE)&lt;-2),"",#REF!),"")</f>
        <v/>
      </c>
      <c r="K962" t="str">
        <f>IFERROR(IF(OR(HLOOKUP($A962,#REF!,9,FALSE)&gt;2,HLOOKUP($A962,#REF!,9,FALSE)&lt;-2),"",#REF!),"")</f>
        <v/>
      </c>
      <c r="L962" t="str">
        <f>IFERROR(IF(OR(HLOOKUP($A962,#REF!,10,FALSE)&gt;2,HLOOKUP($A962,#REF!,10,FALSE)&lt;-2),"",#REF!),"")</f>
        <v/>
      </c>
      <c r="M962" t="str">
        <f>IFERROR(IF(OR(HLOOKUP($A962,#REF!,11,FALSE)&gt;2,HLOOKUP($A962,#REF!,11,FALSE)&lt;-2),"",#REF!),"")</f>
        <v/>
      </c>
      <c r="N962" t="str">
        <f>IFERROR(IF(OR(HLOOKUP($A962,#REF!,12,FALSE)&gt;2,HLOOKUP($A962,#REF!,12,FALSE)&lt;-2),"",#REF!),"")</f>
        <v/>
      </c>
      <c r="O962" t="str">
        <f>IFERROR(IF(OR(HLOOKUP($A962,#REF!,13,FALSE)&gt;2,HLOOKUP($A962,#REF!,13,FALSE)&lt;-2),"",#REF!),"")</f>
        <v/>
      </c>
      <c r="P962" t="str">
        <f>IFERROR(IF(OR(HLOOKUP($A962,#REF!,14,FALSE)&gt;2,HLOOKUP($A962,#REF!,14,FALSE)&lt;-2),"",#REF!),"")</f>
        <v/>
      </c>
      <c r="Q962" t="str">
        <f>IFERROR(IF(OR(HLOOKUP($A962,#REF!,15,FALSE)&gt;2,HLOOKUP($A962,#REF!,15,FALSE)&lt;-2),"",#REF!),"")</f>
        <v/>
      </c>
      <c r="R962" t="str">
        <f>IFERROR(IF(OR(HLOOKUP($A962,#REF!,16,FALSE)&gt;2,HLOOKUP($A962,#REF!,16,FALSE)&lt;-2),"",#REF!),"")</f>
        <v/>
      </c>
      <c r="S962" t="str">
        <f>IFERROR(IF(OR(HLOOKUP($A962,#REF!,17,FALSE)&gt;2,HLOOKUP($A962,#REF!,17,FALSE)&lt;-2),"",#REF!),"")</f>
        <v/>
      </c>
      <c r="T962" t="str">
        <f>IFERROR(IF(OR(HLOOKUP($A962,#REF!,18,FALSE)&gt;2,HLOOKUP($A962,#REF!,18,FALSE)&lt;-2),"",#REF!),"")</f>
        <v/>
      </c>
      <c r="U962" t="str">
        <f>IFERROR(IF(OR(HLOOKUP($A962,#REF!,19,FALSE)&gt;2,HLOOKUP($A962,#REF!,19,FALSE)&lt;-2),"",#REF!),"")</f>
        <v/>
      </c>
      <c r="V962">
        <f t="shared" si="56"/>
        <v>1</v>
      </c>
      <c r="W962" t="str">
        <f t="shared" si="57"/>
        <v/>
      </c>
      <c r="X962" t="str">
        <f t="shared" si="58"/>
        <v/>
      </c>
      <c r="Y962" t="str">
        <f t="shared" si="59"/>
        <v/>
      </c>
    </row>
    <row r="963" spans="1:25" x14ac:dyDescent="0.35">
      <c r="A963">
        <v>971</v>
      </c>
      <c r="B963" t="s">
        <v>1088</v>
      </c>
      <c r="C963">
        <v>106600</v>
      </c>
      <c r="D963">
        <v>776</v>
      </c>
      <c r="E963" t="str">
        <f>IFERROR(IF(OR(HLOOKUP($A963,#REF!,3,FALSE)&gt;2,HLOOKUP(A963,#REF!,3,FALSE)&lt;-2),"",#REF!),"")</f>
        <v/>
      </c>
      <c r="F963" t="str">
        <f>IFERROR(IF(OR(HLOOKUP($A963,#REF!,4,FALSE)&gt;2,HLOOKUP($A963,#REF!,4,FALSE)&lt;-2),"",#REF!),"")</f>
        <v/>
      </c>
      <c r="G963" t="str">
        <f>IFERROR(IF(OR(HLOOKUP($A963,#REF!,5,FALSE)&gt;2,HLOOKUP($A963,#REF!,5,FALSE)&lt;-2),"",#REF!),"")</f>
        <v/>
      </c>
      <c r="H963" t="str">
        <f>IFERROR(IF(OR(HLOOKUP($A963,#REF!,6,FALSE)&gt;2,HLOOKUP($A963,#REF!,6,FALSE)&lt;-2),"",#REF!),"")</f>
        <v/>
      </c>
      <c r="I963" t="str">
        <f>IFERROR(IF(OR(HLOOKUP($A963,#REF!,7,FALSE)&gt;2,HLOOKUP($A963,#REF!,7,FALSE)&lt;-2),"",#REF!),"")</f>
        <v/>
      </c>
      <c r="J963" t="str">
        <f>IFERROR(IF(OR(HLOOKUP($A963,#REF!,8,FALSE)&gt;2,HLOOKUP($A963,#REF!,8,FALSE)&lt;-2),"",#REF!),"")</f>
        <v/>
      </c>
      <c r="K963" t="str">
        <f>IFERROR(IF(OR(HLOOKUP($A963,#REF!,9,FALSE)&gt;2,HLOOKUP($A963,#REF!,9,FALSE)&lt;-2),"",#REF!),"")</f>
        <v/>
      </c>
      <c r="L963" t="str">
        <f>IFERROR(IF(OR(HLOOKUP($A963,#REF!,10,FALSE)&gt;2,HLOOKUP($A963,#REF!,10,FALSE)&lt;-2),"",#REF!),"")</f>
        <v/>
      </c>
      <c r="M963" t="str">
        <f>IFERROR(IF(OR(HLOOKUP($A963,#REF!,11,FALSE)&gt;2,HLOOKUP($A963,#REF!,11,FALSE)&lt;-2),"",#REF!),"")</f>
        <v/>
      </c>
      <c r="N963" t="str">
        <f>IFERROR(IF(OR(HLOOKUP($A963,#REF!,12,FALSE)&gt;2,HLOOKUP($A963,#REF!,12,FALSE)&lt;-2),"",#REF!),"")</f>
        <v/>
      </c>
      <c r="O963" t="str">
        <f>IFERROR(IF(OR(HLOOKUP($A963,#REF!,13,FALSE)&gt;2,HLOOKUP($A963,#REF!,13,FALSE)&lt;-2),"",#REF!),"")</f>
        <v/>
      </c>
      <c r="P963" t="str">
        <f>IFERROR(IF(OR(HLOOKUP($A963,#REF!,14,FALSE)&gt;2,HLOOKUP($A963,#REF!,14,FALSE)&lt;-2),"",#REF!),"")</f>
        <v/>
      </c>
      <c r="Q963" t="str">
        <f>IFERROR(IF(OR(HLOOKUP($A963,#REF!,15,FALSE)&gt;2,HLOOKUP($A963,#REF!,15,FALSE)&lt;-2),"",#REF!),"")</f>
        <v/>
      </c>
      <c r="R963" t="str">
        <f>IFERROR(IF(OR(HLOOKUP($A963,#REF!,16,FALSE)&gt;2,HLOOKUP($A963,#REF!,16,FALSE)&lt;-2),"",#REF!),"")</f>
        <v/>
      </c>
      <c r="S963" t="str">
        <f>IFERROR(IF(OR(HLOOKUP($A963,#REF!,17,FALSE)&gt;2,HLOOKUP($A963,#REF!,17,FALSE)&lt;-2),"",#REF!),"")</f>
        <v/>
      </c>
      <c r="T963" t="str">
        <f>IFERROR(IF(OR(HLOOKUP($A963,#REF!,18,FALSE)&gt;2,HLOOKUP($A963,#REF!,18,FALSE)&lt;-2),"",#REF!),"")</f>
        <v/>
      </c>
      <c r="U963" t="str">
        <f>IFERROR(IF(OR(HLOOKUP($A963,#REF!,19,FALSE)&gt;2,HLOOKUP($A963,#REF!,19,FALSE)&lt;-2),"",#REF!),"")</f>
        <v/>
      </c>
      <c r="V963">
        <f t="shared" si="56"/>
        <v>1</v>
      </c>
      <c r="W963" t="str">
        <f t="shared" si="57"/>
        <v/>
      </c>
      <c r="X963" t="str">
        <f t="shared" si="58"/>
        <v/>
      </c>
      <c r="Y963" t="str">
        <f t="shared" si="59"/>
        <v/>
      </c>
    </row>
    <row r="964" spans="1:25" x14ac:dyDescent="0.35">
      <c r="A964">
        <v>972</v>
      </c>
      <c r="B964" t="s">
        <v>478</v>
      </c>
      <c r="C964">
        <v>20100</v>
      </c>
      <c r="D964">
        <v>315</v>
      </c>
      <c r="E964" t="str">
        <f>IFERROR(IF(OR(HLOOKUP($A964,#REF!,3,FALSE)&gt;2,HLOOKUP(A964,#REF!,3,FALSE)&lt;-2),"",#REF!),"")</f>
        <v/>
      </c>
      <c r="F964" t="str">
        <f>IFERROR(IF(OR(HLOOKUP($A964,#REF!,4,FALSE)&gt;2,HLOOKUP($A964,#REF!,4,FALSE)&lt;-2),"",#REF!),"")</f>
        <v/>
      </c>
      <c r="G964" t="str">
        <f>IFERROR(IF(OR(HLOOKUP($A964,#REF!,5,FALSE)&gt;2,HLOOKUP($A964,#REF!,5,FALSE)&lt;-2),"",#REF!),"")</f>
        <v/>
      </c>
      <c r="H964" t="str">
        <f>IFERROR(IF(OR(HLOOKUP($A964,#REF!,6,FALSE)&gt;2,HLOOKUP($A964,#REF!,6,FALSE)&lt;-2),"",#REF!),"")</f>
        <v/>
      </c>
      <c r="I964" t="str">
        <f>IFERROR(IF(OR(HLOOKUP($A964,#REF!,7,FALSE)&gt;2,HLOOKUP($A964,#REF!,7,FALSE)&lt;-2),"",#REF!),"")</f>
        <v/>
      </c>
      <c r="J964" t="str">
        <f>IFERROR(IF(OR(HLOOKUP($A964,#REF!,8,FALSE)&gt;2,HLOOKUP($A964,#REF!,8,FALSE)&lt;-2),"",#REF!),"")</f>
        <v/>
      </c>
      <c r="K964" t="str">
        <f>IFERROR(IF(OR(HLOOKUP($A964,#REF!,9,FALSE)&gt;2,HLOOKUP($A964,#REF!,9,FALSE)&lt;-2),"",#REF!),"")</f>
        <v/>
      </c>
      <c r="L964" t="str">
        <f>IFERROR(IF(OR(HLOOKUP($A964,#REF!,10,FALSE)&gt;2,HLOOKUP($A964,#REF!,10,FALSE)&lt;-2),"",#REF!),"")</f>
        <v/>
      </c>
      <c r="M964" t="str">
        <f>IFERROR(IF(OR(HLOOKUP($A964,#REF!,11,FALSE)&gt;2,HLOOKUP($A964,#REF!,11,FALSE)&lt;-2),"",#REF!),"")</f>
        <v/>
      </c>
      <c r="N964" t="str">
        <f>IFERROR(IF(OR(HLOOKUP($A964,#REF!,12,FALSE)&gt;2,HLOOKUP($A964,#REF!,12,FALSE)&lt;-2),"",#REF!),"")</f>
        <v/>
      </c>
      <c r="O964" t="str">
        <f>IFERROR(IF(OR(HLOOKUP($A964,#REF!,13,FALSE)&gt;2,HLOOKUP($A964,#REF!,13,FALSE)&lt;-2),"",#REF!),"")</f>
        <v/>
      </c>
      <c r="P964" t="str">
        <f>IFERROR(IF(OR(HLOOKUP($A964,#REF!,14,FALSE)&gt;2,HLOOKUP($A964,#REF!,14,FALSE)&lt;-2),"",#REF!),"")</f>
        <v/>
      </c>
      <c r="Q964" t="str">
        <f>IFERROR(IF(OR(HLOOKUP($A964,#REF!,15,FALSE)&gt;2,HLOOKUP($A964,#REF!,15,FALSE)&lt;-2),"",#REF!),"")</f>
        <v/>
      </c>
      <c r="R964" t="str">
        <f>IFERROR(IF(OR(HLOOKUP($A964,#REF!,16,FALSE)&gt;2,HLOOKUP($A964,#REF!,16,FALSE)&lt;-2),"",#REF!),"")</f>
        <v/>
      </c>
      <c r="S964" t="str">
        <f>IFERROR(IF(OR(HLOOKUP($A964,#REF!,17,FALSE)&gt;2,HLOOKUP($A964,#REF!,17,FALSE)&lt;-2),"",#REF!),"")</f>
        <v/>
      </c>
      <c r="T964" t="str">
        <f>IFERROR(IF(OR(HLOOKUP($A964,#REF!,18,FALSE)&gt;2,HLOOKUP($A964,#REF!,18,FALSE)&lt;-2),"",#REF!),"")</f>
        <v/>
      </c>
      <c r="U964" t="str">
        <f>IFERROR(IF(OR(HLOOKUP($A964,#REF!,19,FALSE)&gt;2,HLOOKUP($A964,#REF!,19,FALSE)&lt;-2),"",#REF!),"")</f>
        <v/>
      </c>
      <c r="V964">
        <f t="shared" ref="V964:V1027" si="60">IFERROR(IF(AND(X964=0,Y964=0),0,1),0)</f>
        <v>1</v>
      </c>
      <c r="W964" t="str">
        <f t="shared" ref="W964:W1027" si="61">IFERROR(_xlfn.T.TEST(E964:M964,N964:U964,2,2),"")</f>
        <v/>
      </c>
      <c r="X964" t="str">
        <f t="shared" ref="X964:X1027" si="62">IFERROR(AVERAGE(E964:M964),"")</f>
        <v/>
      </c>
      <c r="Y964" t="str">
        <f t="shared" ref="Y964:Y1027" si="63">IFERROR(AVERAGE(N964:U964),"")</f>
        <v/>
      </c>
    </row>
    <row r="965" spans="1:25" x14ac:dyDescent="0.35">
      <c r="A965">
        <v>973</v>
      </c>
      <c r="B965" t="s">
        <v>479</v>
      </c>
      <c r="C965">
        <v>15700</v>
      </c>
      <c r="D965">
        <v>409</v>
      </c>
      <c r="E965" t="str">
        <f>IFERROR(IF(OR(HLOOKUP($A965,#REF!,3,FALSE)&gt;2,HLOOKUP(A965,#REF!,3,FALSE)&lt;-2),"",#REF!),"")</f>
        <v/>
      </c>
      <c r="F965" t="str">
        <f>IFERROR(IF(OR(HLOOKUP($A965,#REF!,4,FALSE)&gt;2,HLOOKUP($A965,#REF!,4,FALSE)&lt;-2),"",#REF!),"")</f>
        <v/>
      </c>
      <c r="G965" t="str">
        <f>IFERROR(IF(OR(HLOOKUP($A965,#REF!,5,FALSE)&gt;2,HLOOKUP($A965,#REF!,5,FALSE)&lt;-2),"",#REF!),"")</f>
        <v/>
      </c>
      <c r="H965" t="str">
        <f>IFERROR(IF(OR(HLOOKUP($A965,#REF!,6,FALSE)&gt;2,HLOOKUP($A965,#REF!,6,FALSE)&lt;-2),"",#REF!),"")</f>
        <v/>
      </c>
      <c r="I965" t="str">
        <f>IFERROR(IF(OR(HLOOKUP($A965,#REF!,7,FALSE)&gt;2,HLOOKUP($A965,#REF!,7,FALSE)&lt;-2),"",#REF!),"")</f>
        <v/>
      </c>
      <c r="J965" t="str">
        <f>IFERROR(IF(OR(HLOOKUP($A965,#REF!,8,FALSE)&gt;2,HLOOKUP($A965,#REF!,8,FALSE)&lt;-2),"",#REF!),"")</f>
        <v/>
      </c>
      <c r="K965" t="str">
        <f>IFERROR(IF(OR(HLOOKUP($A965,#REF!,9,FALSE)&gt;2,HLOOKUP($A965,#REF!,9,FALSE)&lt;-2),"",#REF!),"")</f>
        <v/>
      </c>
      <c r="L965" t="str">
        <f>IFERROR(IF(OR(HLOOKUP($A965,#REF!,10,FALSE)&gt;2,HLOOKUP($A965,#REF!,10,FALSE)&lt;-2),"",#REF!),"")</f>
        <v/>
      </c>
      <c r="M965" t="str">
        <f>IFERROR(IF(OR(HLOOKUP($A965,#REF!,11,FALSE)&gt;2,HLOOKUP($A965,#REF!,11,FALSE)&lt;-2),"",#REF!),"")</f>
        <v/>
      </c>
      <c r="N965" t="str">
        <f>IFERROR(IF(OR(HLOOKUP($A965,#REF!,12,FALSE)&gt;2,HLOOKUP($A965,#REF!,12,FALSE)&lt;-2),"",#REF!),"")</f>
        <v/>
      </c>
      <c r="O965" t="str">
        <f>IFERROR(IF(OR(HLOOKUP($A965,#REF!,13,FALSE)&gt;2,HLOOKUP($A965,#REF!,13,FALSE)&lt;-2),"",#REF!),"")</f>
        <v/>
      </c>
      <c r="P965" t="str">
        <f>IFERROR(IF(OR(HLOOKUP($A965,#REF!,14,FALSE)&gt;2,HLOOKUP($A965,#REF!,14,FALSE)&lt;-2),"",#REF!),"")</f>
        <v/>
      </c>
      <c r="Q965" t="str">
        <f>IFERROR(IF(OR(HLOOKUP($A965,#REF!,15,FALSE)&gt;2,HLOOKUP($A965,#REF!,15,FALSE)&lt;-2),"",#REF!),"")</f>
        <v/>
      </c>
      <c r="R965" t="str">
        <f>IFERROR(IF(OR(HLOOKUP($A965,#REF!,16,FALSE)&gt;2,HLOOKUP($A965,#REF!,16,FALSE)&lt;-2),"",#REF!),"")</f>
        <v/>
      </c>
      <c r="S965" t="str">
        <f>IFERROR(IF(OR(HLOOKUP($A965,#REF!,17,FALSE)&gt;2,HLOOKUP($A965,#REF!,17,FALSE)&lt;-2),"",#REF!),"")</f>
        <v/>
      </c>
      <c r="T965" t="str">
        <f>IFERROR(IF(OR(HLOOKUP($A965,#REF!,18,FALSE)&gt;2,HLOOKUP($A965,#REF!,18,FALSE)&lt;-2),"",#REF!),"")</f>
        <v/>
      </c>
      <c r="U965" t="str">
        <f>IFERROR(IF(OR(HLOOKUP($A965,#REF!,19,FALSE)&gt;2,HLOOKUP($A965,#REF!,19,FALSE)&lt;-2),"",#REF!),"")</f>
        <v/>
      </c>
      <c r="V965">
        <f t="shared" si="60"/>
        <v>1</v>
      </c>
      <c r="W965" t="str">
        <f t="shared" si="61"/>
        <v/>
      </c>
      <c r="X965" t="str">
        <f t="shared" si="62"/>
        <v/>
      </c>
      <c r="Y965" t="str">
        <f t="shared" si="63"/>
        <v/>
      </c>
    </row>
    <row r="966" spans="1:25" x14ac:dyDescent="0.35">
      <c r="A966">
        <v>974</v>
      </c>
      <c r="B966" t="s">
        <v>480</v>
      </c>
      <c r="C966">
        <v>6000</v>
      </c>
      <c r="D966">
        <v>345</v>
      </c>
      <c r="E966" t="str">
        <f>IFERROR(IF(OR(HLOOKUP($A966,#REF!,3,FALSE)&gt;2,HLOOKUP(A966,#REF!,3,FALSE)&lt;-2),"",#REF!),"")</f>
        <v/>
      </c>
      <c r="F966" t="str">
        <f>IFERROR(IF(OR(HLOOKUP($A966,#REF!,4,FALSE)&gt;2,HLOOKUP($A966,#REF!,4,FALSE)&lt;-2),"",#REF!),"")</f>
        <v/>
      </c>
      <c r="G966" t="str">
        <f>IFERROR(IF(OR(HLOOKUP($A966,#REF!,5,FALSE)&gt;2,HLOOKUP($A966,#REF!,5,FALSE)&lt;-2),"",#REF!),"")</f>
        <v/>
      </c>
      <c r="H966" t="str">
        <f>IFERROR(IF(OR(HLOOKUP($A966,#REF!,6,FALSE)&gt;2,HLOOKUP($A966,#REF!,6,FALSE)&lt;-2),"",#REF!),"")</f>
        <v/>
      </c>
      <c r="I966" t="str">
        <f>IFERROR(IF(OR(HLOOKUP($A966,#REF!,7,FALSE)&gt;2,HLOOKUP($A966,#REF!,7,FALSE)&lt;-2),"",#REF!),"")</f>
        <v/>
      </c>
      <c r="J966" t="str">
        <f>IFERROR(IF(OR(HLOOKUP($A966,#REF!,8,FALSE)&gt;2,HLOOKUP($A966,#REF!,8,FALSE)&lt;-2),"",#REF!),"")</f>
        <v/>
      </c>
      <c r="K966" t="str">
        <f>IFERROR(IF(OR(HLOOKUP($A966,#REF!,9,FALSE)&gt;2,HLOOKUP($A966,#REF!,9,FALSE)&lt;-2),"",#REF!),"")</f>
        <v/>
      </c>
      <c r="L966" t="str">
        <f>IFERROR(IF(OR(HLOOKUP($A966,#REF!,10,FALSE)&gt;2,HLOOKUP($A966,#REF!,10,FALSE)&lt;-2),"",#REF!),"")</f>
        <v/>
      </c>
      <c r="M966" t="str">
        <f>IFERROR(IF(OR(HLOOKUP($A966,#REF!,11,FALSE)&gt;2,HLOOKUP($A966,#REF!,11,FALSE)&lt;-2),"",#REF!),"")</f>
        <v/>
      </c>
      <c r="N966" t="str">
        <f>IFERROR(IF(OR(HLOOKUP($A966,#REF!,12,FALSE)&gt;2,HLOOKUP($A966,#REF!,12,FALSE)&lt;-2),"",#REF!),"")</f>
        <v/>
      </c>
      <c r="O966" t="str">
        <f>IFERROR(IF(OR(HLOOKUP($A966,#REF!,13,FALSE)&gt;2,HLOOKUP($A966,#REF!,13,FALSE)&lt;-2),"",#REF!),"")</f>
        <v/>
      </c>
      <c r="P966" t="str">
        <f>IFERROR(IF(OR(HLOOKUP($A966,#REF!,14,FALSE)&gt;2,HLOOKUP($A966,#REF!,14,FALSE)&lt;-2),"",#REF!),"")</f>
        <v/>
      </c>
      <c r="Q966" t="str">
        <f>IFERROR(IF(OR(HLOOKUP($A966,#REF!,15,FALSE)&gt;2,HLOOKUP($A966,#REF!,15,FALSE)&lt;-2),"",#REF!),"")</f>
        <v/>
      </c>
      <c r="R966" t="str">
        <f>IFERROR(IF(OR(HLOOKUP($A966,#REF!,16,FALSE)&gt;2,HLOOKUP($A966,#REF!,16,FALSE)&lt;-2),"",#REF!),"")</f>
        <v/>
      </c>
      <c r="S966" t="str">
        <f>IFERROR(IF(OR(HLOOKUP($A966,#REF!,17,FALSE)&gt;2,HLOOKUP($A966,#REF!,17,FALSE)&lt;-2),"",#REF!),"")</f>
        <v/>
      </c>
      <c r="T966" t="str">
        <f>IFERROR(IF(OR(HLOOKUP($A966,#REF!,18,FALSE)&gt;2,HLOOKUP($A966,#REF!,18,FALSE)&lt;-2),"",#REF!),"")</f>
        <v/>
      </c>
      <c r="U966" t="str">
        <f>IFERROR(IF(OR(HLOOKUP($A966,#REF!,19,FALSE)&gt;2,HLOOKUP($A966,#REF!,19,FALSE)&lt;-2),"",#REF!),"")</f>
        <v/>
      </c>
      <c r="V966">
        <f t="shared" si="60"/>
        <v>1</v>
      </c>
      <c r="W966" t="str">
        <f t="shared" si="61"/>
        <v/>
      </c>
      <c r="X966" t="str">
        <f t="shared" si="62"/>
        <v/>
      </c>
      <c r="Y966" t="str">
        <f t="shared" si="63"/>
        <v/>
      </c>
    </row>
    <row r="967" spans="1:25" x14ac:dyDescent="0.35">
      <c r="A967">
        <v>975</v>
      </c>
      <c r="B967" t="s">
        <v>1089</v>
      </c>
      <c r="C967">
        <v>82900</v>
      </c>
      <c r="D967">
        <v>323</v>
      </c>
      <c r="E967" t="str">
        <f>IFERROR(IF(OR(HLOOKUP($A967,#REF!,3,FALSE)&gt;2,HLOOKUP(A967,#REF!,3,FALSE)&lt;-2),"",#REF!),"")</f>
        <v/>
      </c>
      <c r="F967" t="str">
        <f>IFERROR(IF(OR(HLOOKUP($A967,#REF!,4,FALSE)&gt;2,HLOOKUP($A967,#REF!,4,FALSE)&lt;-2),"",#REF!),"")</f>
        <v/>
      </c>
      <c r="G967" t="str">
        <f>IFERROR(IF(OR(HLOOKUP($A967,#REF!,5,FALSE)&gt;2,HLOOKUP($A967,#REF!,5,FALSE)&lt;-2),"",#REF!),"")</f>
        <v/>
      </c>
      <c r="H967" t="str">
        <f>IFERROR(IF(OR(HLOOKUP($A967,#REF!,6,FALSE)&gt;2,HLOOKUP($A967,#REF!,6,FALSE)&lt;-2),"",#REF!),"")</f>
        <v/>
      </c>
      <c r="I967" t="str">
        <f>IFERROR(IF(OR(HLOOKUP($A967,#REF!,7,FALSE)&gt;2,HLOOKUP($A967,#REF!,7,FALSE)&lt;-2),"",#REF!),"")</f>
        <v/>
      </c>
      <c r="J967" t="str">
        <f>IFERROR(IF(OR(HLOOKUP($A967,#REF!,8,FALSE)&gt;2,HLOOKUP($A967,#REF!,8,FALSE)&lt;-2),"",#REF!),"")</f>
        <v/>
      </c>
      <c r="K967" t="str">
        <f>IFERROR(IF(OR(HLOOKUP($A967,#REF!,9,FALSE)&gt;2,HLOOKUP($A967,#REF!,9,FALSE)&lt;-2),"",#REF!),"")</f>
        <v/>
      </c>
      <c r="L967" t="str">
        <f>IFERROR(IF(OR(HLOOKUP($A967,#REF!,10,FALSE)&gt;2,HLOOKUP($A967,#REF!,10,FALSE)&lt;-2),"",#REF!),"")</f>
        <v/>
      </c>
      <c r="M967" t="str">
        <f>IFERROR(IF(OR(HLOOKUP($A967,#REF!,11,FALSE)&gt;2,HLOOKUP($A967,#REF!,11,FALSE)&lt;-2),"",#REF!),"")</f>
        <v/>
      </c>
      <c r="N967" t="str">
        <f>IFERROR(IF(OR(HLOOKUP($A967,#REF!,12,FALSE)&gt;2,HLOOKUP($A967,#REF!,12,FALSE)&lt;-2),"",#REF!),"")</f>
        <v/>
      </c>
      <c r="O967" t="str">
        <f>IFERROR(IF(OR(HLOOKUP($A967,#REF!,13,FALSE)&gt;2,HLOOKUP($A967,#REF!,13,FALSE)&lt;-2),"",#REF!),"")</f>
        <v/>
      </c>
      <c r="P967" t="str">
        <f>IFERROR(IF(OR(HLOOKUP($A967,#REF!,14,FALSE)&gt;2,HLOOKUP($A967,#REF!,14,FALSE)&lt;-2),"",#REF!),"")</f>
        <v/>
      </c>
      <c r="Q967" t="str">
        <f>IFERROR(IF(OR(HLOOKUP($A967,#REF!,15,FALSE)&gt;2,HLOOKUP($A967,#REF!,15,FALSE)&lt;-2),"",#REF!),"")</f>
        <v/>
      </c>
      <c r="R967" t="str">
        <f>IFERROR(IF(OR(HLOOKUP($A967,#REF!,16,FALSE)&gt;2,HLOOKUP($A967,#REF!,16,FALSE)&lt;-2),"",#REF!),"")</f>
        <v/>
      </c>
      <c r="S967" t="str">
        <f>IFERROR(IF(OR(HLOOKUP($A967,#REF!,17,FALSE)&gt;2,HLOOKUP($A967,#REF!,17,FALSE)&lt;-2),"",#REF!),"")</f>
        <v/>
      </c>
      <c r="T967" t="str">
        <f>IFERROR(IF(OR(HLOOKUP($A967,#REF!,18,FALSE)&gt;2,HLOOKUP($A967,#REF!,18,FALSE)&lt;-2),"",#REF!),"")</f>
        <v/>
      </c>
      <c r="U967" t="str">
        <f>IFERROR(IF(OR(HLOOKUP($A967,#REF!,19,FALSE)&gt;2,HLOOKUP($A967,#REF!,19,FALSE)&lt;-2),"",#REF!),"")</f>
        <v/>
      </c>
      <c r="V967">
        <f t="shared" si="60"/>
        <v>1</v>
      </c>
      <c r="W967" t="str">
        <f t="shared" si="61"/>
        <v/>
      </c>
      <c r="X967" t="str">
        <f t="shared" si="62"/>
        <v/>
      </c>
      <c r="Y967" t="str">
        <f t="shared" si="63"/>
        <v/>
      </c>
    </row>
    <row r="968" spans="1:25" x14ac:dyDescent="0.35">
      <c r="A968">
        <v>976</v>
      </c>
      <c r="B968" t="s">
        <v>1090</v>
      </c>
      <c r="C968">
        <v>55500</v>
      </c>
      <c r="D968">
        <v>920</v>
      </c>
      <c r="E968" t="str">
        <f>IFERROR(IF(OR(HLOOKUP($A968,#REF!,3,FALSE)&gt;2,HLOOKUP(A968,#REF!,3,FALSE)&lt;-2),"",#REF!),"")</f>
        <v/>
      </c>
      <c r="F968" t="str">
        <f>IFERROR(IF(OR(HLOOKUP($A968,#REF!,4,FALSE)&gt;2,HLOOKUP($A968,#REF!,4,FALSE)&lt;-2),"",#REF!),"")</f>
        <v/>
      </c>
      <c r="G968" t="str">
        <f>IFERROR(IF(OR(HLOOKUP($A968,#REF!,5,FALSE)&gt;2,HLOOKUP($A968,#REF!,5,FALSE)&lt;-2),"",#REF!),"")</f>
        <v/>
      </c>
      <c r="H968" t="str">
        <f>IFERROR(IF(OR(HLOOKUP($A968,#REF!,6,FALSE)&gt;2,HLOOKUP($A968,#REF!,6,FALSE)&lt;-2),"",#REF!),"")</f>
        <v/>
      </c>
      <c r="I968" t="str">
        <f>IFERROR(IF(OR(HLOOKUP($A968,#REF!,7,FALSE)&gt;2,HLOOKUP($A968,#REF!,7,FALSE)&lt;-2),"",#REF!),"")</f>
        <v/>
      </c>
      <c r="J968" t="str">
        <f>IFERROR(IF(OR(HLOOKUP($A968,#REF!,8,FALSE)&gt;2,HLOOKUP($A968,#REF!,8,FALSE)&lt;-2),"",#REF!),"")</f>
        <v/>
      </c>
      <c r="K968" t="str">
        <f>IFERROR(IF(OR(HLOOKUP($A968,#REF!,9,FALSE)&gt;2,HLOOKUP($A968,#REF!,9,FALSE)&lt;-2),"",#REF!),"")</f>
        <v/>
      </c>
      <c r="L968" t="str">
        <f>IFERROR(IF(OR(HLOOKUP($A968,#REF!,10,FALSE)&gt;2,HLOOKUP($A968,#REF!,10,FALSE)&lt;-2),"",#REF!),"")</f>
        <v/>
      </c>
      <c r="M968" t="str">
        <f>IFERROR(IF(OR(HLOOKUP($A968,#REF!,11,FALSE)&gt;2,HLOOKUP($A968,#REF!,11,FALSE)&lt;-2),"",#REF!),"")</f>
        <v/>
      </c>
      <c r="N968" t="str">
        <f>IFERROR(IF(OR(HLOOKUP($A968,#REF!,12,FALSE)&gt;2,HLOOKUP($A968,#REF!,12,FALSE)&lt;-2),"",#REF!),"")</f>
        <v/>
      </c>
      <c r="O968" t="str">
        <f>IFERROR(IF(OR(HLOOKUP($A968,#REF!,13,FALSE)&gt;2,HLOOKUP($A968,#REF!,13,FALSE)&lt;-2),"",#REF!),"")</f>
        <v/>
      </c>
      <c r="P968" t="str">
        <f>IFERROR(IF(OR(HLOOKUP($A968,#REF!,14,FALSE)&gt;2,HLOOKUP($A968,#REF!,14,FALSE)&lt;-2),"",#REF!),"")</f>
        <v/>
      </c>
      <c r="Q968" t="str">
        <f>IFERROR(IF(OR(HLOOKUP($A968,#REF!,15,FALSE)&gt;2,HLOOKUP($A968,#REF!,15,FALSE)&lt;-2),"",#REF!),"")</f>
        <v/>
      </c>
      <c r="R968" t="str">
        <f>IFERROR(IF(OR(HLOOKUP($A968,#REF!,16,FALSE)&gt;2,HLOOKUP($A968,#REF!,16,FALSE)&lt;-2),"",#REF!),"")</f>
        <v/>
      </c>
      <c r="S968" t="str">
        <f>IFERROR(IF(OR(HLOOKUP($A968,#REF!,17,FALSE)&gt;2,HLOOKUP($A968,#REF!,17,FALSE)&lt;-2),"",#REF!),"")</f>
        <v/>
      </c>
      <c r="T968" t="str">
        <f>IFERROR(IF(OR(HLOOKUP($A968,#REF!,18,FALSE)&gt;2,HLOOKUP($A968,#REF!,18,FALSE)&lt;-2),"",#REF!),"")</f>
        <v/>
      </c>
      <c r="U968" t="str">
        <f>IFERROR(IF(OR(HLOOKUP($A968,#REF!,19,FALSE)&gt;2,HLOOKUP($A968,#REF!,19,FALSE)&lt;-2),"",#REF!),"")</f>
        <v/>
      </c>
      <c r="V968">
        <f t="shared" si="60"/>
        <v>1</v>
      </c>
      <c r="W968" t="str">
        <f t="shared" si="61"/>
        <v/>
      </c>
      <c r="X968" t="str">
        <f t="shared" si="62"/>
        <v/>
      </c>
      <c r="Y968" t="str">
        <f t="shared" si="63"/>
        <v/>
      </c>
    </row>
    <row r="969" spans="1:25" x14ac:dyDescent="0.35">
      <c r="A969">
        <v>977</v>
      </c>
      <c r="B969" t="s">
        <v>481</v>
      </c>
      <c r="C969">
        <v>29700</v>
      </c>
      <c r="D969">
        <v>895</v>
      </c>
      <c r="E969" t="str">
        <f>IFERROR(IF(OR(HLOOKUP($A969,#REF!,3,FALSE)&gt;2,HLOOKUP(A969,#REF!,3,FALSE)&lt;-2),"",#REF!),"")</f>
        <v/>
      </c>
      <c r="F969" t="str">
        <f>IFERROR(IF(OR(HLOOKUP($A969,#REF!,4,FALSE)&gt;2,HLOOKUP($A969,#REF!,4,FALSE)&lt;-2),"",#REF!),"")</f>
        <v/>
      </c>
      <c r="G969" t="str">
        <f>IFERROR(IF(OR(HLOOKUP($A969,#REF!,5,FALSE)&gt;2,HLOOKUP($A969,#REF!,5,FALSE)&lt;-2),"",#REF!),"")</f>
        <v/>
      </c>
      <c r="H969" t="str">
        <f>IFERROR(IF(OR(HLOOKUP($A969,#REF!,6,FALSE)&gt;2,HLOOKUP($A969,#REF!,6,FALSE)&lt;-2),"",#REF!),"")</f>
        <v/>
      </c>
      <c r="I969" t="str">
        <f>IFERROR(IF(OR(HLOOKUP($A969,#REF!,7,FALSE)&gt;2,HLOOKUP($A969,#REF!,7,FALSE)&lt;-2),"",#REF!),"")</f>
        <v/>
      </c>
      <c r="J969" t="str">
        <f>IFERROR(IF(OR(HLOOKUP($A969,#REF!,8,FALSE)&gt;2,HLOOKUP($A969,#REF!,8,FALSE)&lt;-2),"",#REF!),"")</f>
        <v/>
      </c>
      <c r="K969" t="str">
        <f>IFERROR(IF(OR(HLOOKUP($A969,#REF!,9,FALSE)&gt;2,HLOOKUP($A969,#REF!,9,FALSE)&lt;-2),"",#REF!),"")</f>
        <v/>
      </c>
      <c r="L969" t="str">
        <f>IFERROR(IF(OR(HLOOKUP($A969,#REF!,10,FALSE)&gt;2,HLOOKUP($A969,#REF!,10,FALSE)&lt;-2),"",#REF!),"")</f>
        <v/>
      </c>
      <c r="M969" t="str">
        <f>IFERROR(IF(OR(HLOOKUP($A969,#REF!,11,FALSE)&gt;2,HLOOKUP($A969,#REF!,11,FALSE)&lt;-2),"",#REF!),"")</f>
        <v/>
      </c>
      <c r="N969" t="str">
        <f>IFERROR(IF(OR(HLOOKUP($A969,#REF!,12,FALSE)&gt;2,HLOOKUP($A969,#REF!,12,FALSE)&lt;-2),"",#REF!),"")</f>
        <v/>
      </c>
      <c r="O969" t="str">
        <f>IFERROR(IF(OR(HLOOKUP($A969,#REF!,13,FALSE)&gt;2,HLOOKUP($A969,#REF!,13,FALSE)&lt;-2),"",#REF!),"")</f>
        <v/>
      </c>
      <c r="P969" t="str">
        <f>IFERROR(IF(OR(HLOOKUP($A969,#REF!,14,FALSE)&gt;2,HLOOKUP($A969,#REF!,14,FALSE)&lt;-2),"",#REF!),"")</f>
        <v/>
      </c>
      <c r="Q969" t="str">
        <f>IFERROR(IF(OR(HLOOKUP($A969,#REF!,15,FALSE)&gt;2,HLOOKUP($A969,#REF!,15,FALSE)&lt;-2),"",#REF!),"")</f>
        <v/>
      </c>
      <c r="R969" t="str">
        <f>IFERROR(IF(OR(HLOOKUP($A969,#REF!,16,FALSE)&gt;2,HLOOKUP($A969,#REF!,16,FALSE)&lt;-2),"",#REF!),"")</f>
        <v/>
      </c>
      <c r="S969" t="str">
        <f>IFERROR(IF(OR(HLOOKUP($A969,#REF!,17,FALSE)&gt;2,HLOOKUP($A969,#REF!,17,FALSE)&lt;-2),"",#REF!),"")</f>
        <v/>
      </c>
      <c r="T969" t="str">
        <f>IFERROR(IF(OR(HLOOKUP($A969,#REF!,18,FALSE)&gt;2,HLOOKUP($A969,#REF!,18,FALSE)&lt;-2),"",#REF!),"")</f>
        <v/>
      </c>
      <c r="U969" t="str">
        <f>IFERROR(IF(OR(HLOOKUP($A969,#REF!,19,FALSE)&gt;2,HLOOKUP($A969,#REF!,19,FALSE)&lt;-2),"",#REF!),"")</f>
        <v/>
      </c>
      <c r="V969">
        <f t="shared" si="60"/>
        <v>1</v>
      </c>
      <c r="W969" t="str">
        <f t="shared" si="61"/>
        <v/>
      </c>
      <c r="X969" t="str">
        <f t="shared" si="62"/>
        <v/>
      </c>
      <c r="Y969" t="str">
        <f t="shared" si="63"/>
        <v/>
      </c>
    </row>
    <row r="970" spans="1:25" x14ac:dyDescent="0.35">
      <c r="A970">
        <v>978</v>
      </c>
      <c r="B970" t="s">
        <v>482</v>
      </c>
      <c r="C970">
        <v>95000</v>
      </c>
      <c r="D970">
        <v>938</v>
      </c>
      <c r="E970" t="str">
        <f>IFERROR(IF(OR(HLOOKUP($A970,#REF!,3,FALSE)&gt;2,HLOOKUP(A970,#REF!,3,FALSE)&lt;-2),"",#REF!),"")</f>
        <v/>
      </c>
      <c r="F970" t="str">
        <f>IFERROR(IF(OR(HLOOKUP($A970,#REF!,4,FALSE)&gt;2,HLOOKUP($A970,#REF!,4,FALSE)&lt;-2),"",#REF!),"")</f>
        <v/>
      </c>
      <c r="G970" t="str">
        <f>IFERROR(IF(OR(HLOOKUP($A970,#REF!,5,FALSE)&gt;2,HLOOKUP($A970,#REF!,5,FALSE)&lt;-2),"",#REF!),"")</f>
        <v/>
      </c>
      <c r="H970" t="str">
        <f>IFERROR(IF(OR(HLOOKUP($A970,#REF!,6,FALSE)&gt;2,HLOOKUP($A970,#REF!,6,FALSE)&lt;-2),"",#REF!),"")</f>
        <v/>
      </c>
      <c r="I970" t="str">
        <f>IFERROR(IF(OR(HLOOKUP($A970,#REF!,7,FALSE)&gt;2,HLOOKUP($A970,#REF!,7,FALSE)&lt;-2),"",#REF!),"")</f>
        <v/>
      </c>
      <c r="J970" t="str">
        <f>IFERROR(IF(OR(HLOOKUP($A970,#REF!,8,FALSE)&gt;2,HLOOKUP($A970,#REF!,8,FALSE)&lt;-2),"",#REF!),"")</f>
        <v/>
      </c>
      <c r="K970" t="str">
        <f>IFERROR(IF(OR(HLOOKUP($A970,#REF!,9,FALSE)&gt;2,HLOOKUP($A970,#REF!,9,FALSE)&lt;-2),"",#REF!),"")</f>
        <v/>
      </c>
      <c r="L970" t="str">
        <f>IFERROR(IF(OR(HLOOKUP($A970,#REF!,10,FALSE)&gt;2,HLOOKUP($A970,#REF!,10,FALSE)&lt;-2),"",#REF!),"")</f>
        <v/>
      </c>
      <c r="M970" t="str">
        <f>IFERROR(IF(OR(HLOOKUP($A970,#REF!,11,FALSE)&gt;2,HLOOKUP($A970,#REF!,11,FALSE)&lt;-2),"",#REF!),"")</f>
        <v/>
      </c>
      <c r="N970" t="str">
        <f>IFERROR(IF(OR(HLOOKUP($A970,#REF!,12,FALSE)&gt;2,HLOOKUP($A970,#REF!,12,FALSE)&lt;-2),"",#REF!),"")</f>
        <v/>
      </c>
      <c r="O970" t="str">
        <f>IFERROR(IF(OR(HLOOKUP($A970,#REF!,13,FALSE)&gt;2,HLOOKUP($A970,#REF!,13,FALSE)&lt;-2),"",#REF!),"")</f>
        <v/>
      </c>
      <c r="P970" t="str">
        <f>IFERROR(IF(OR(HLOOKUP($A970,#REF!,14,FALSE)&gt;2,HLOOKUP($A970,#REF!,14,FALSE)&lt;-2),"",#REF!),"")</f>
        <v/>
      </c>
      <c r="Q970" t="str">
        <f>IFERROR(IF(OR(HLOOKUP($A970,#REF!,15,FALSE)&gt;2,HLOOKUP($A970,#REF!,15,FALSE)&lt;-2),"",#REF!),"")</f>
        <v/>
      </c>
      <c r="R970" t="str">
        <f>IFERROR(IF(OR(HLOOKUP($A970,#REF!,16,FALSE)&gt;2,HLOOKUP($A970,#REF!,16,FALSE)&lt;-2),"",#REF!),"")</f>
        <v/>
      </c>
      <c r="S970" t="str">
        <f>IFERROR(IF(OR(HLOOKUP($A970,#REF!,17,FALSE)&gt;2,HLOOKUP($A970,#REF!,17,FALSE)&lt;-2),"",#REF!),"")</f>
        <v/>
      </c>
      <c r="T970" t="str">
        <f>IFERROR(IF(OR(HLOOKUP($A970,#REF!,18,FALSE)&gt;2,HLOOKUP($A970,#REF!,18,FALSE)&lt;-2),"",#REF!),"")</f>
        <v/>
      </c>
      <c r="U970" t="str">
        <f>IFERROR(IF(OR(HLOOKUP($A970,#REF!,19,FALSE)&gt;2,HLOOKUP($A970,#REF!,19,FALSE)&lt;-2),"",#REF!),"")</f>
        <v/>
      </c>
      <c r="V970">
        <f t="shared" si="60"/>
        <v>1</v>
      </c>
      <c r="W970" t="str">
        <f t="shared" si="61"/>
        <v/>
      </c>
      <c r="X970" t="str">
        <f t="shared" si="62"/>
        <v/>
      </c>
      <c r="Y970" t="str">
        <f t="shared" si="63"/>
        <v/>
      </c>
    </row>
    <row r="971" spans="1:25" x14ac:dyDescent="0.35">
      <c r="A971">
        <v>979</v>
      </c>
      <c r="B971" t="s">
        <v>1091</v>
      </c>
      <c r="C971">
        <v>106700</v>
      </c>
      <c r="D971">
        <v>776</v>
      </c>
      <c r="E971" t="str">
        <f>IFERROR(IF(OR(HLOOKUP($A971,#REF!,3,FALSE)&gt;2,HLOOKUP(A971,#REF!,3,FALSE)&lt;-2),"",#REF!),"")</f>
        <v/>
      </c>
      <c r="F971" t="str">
        <f>IFERROR(IF(OR(HLOOKUP($A971,#REF!,4,FALSE)&gt;2,HLOOKUP($A971,#REF!,4,FALSE)&lt;-2),"",#REF!),"")</f>
        <v/>
      </c>
      <c r="G971" t="str">
        <f>IFERROR(IF(OR(HLOOKUP($A971,#REF!,5,FALSE)&gt;2,HLOOKUP($A971,#REF!,5,FALSE)&lt;-2),"",#REF!),"")</f>
        <v/>
      </c>
      <c r="H971" t="str">
        <f>IFERROR(IF(OR(HLOOKUP($A971,#REF!,6,FALSE)&gt;2,HLOOKUP($A971,#REF!,6,FALSE)&lt;-2),"",#REF!),"")</f>
        <v/>
      </c>
      <c r="I971" t="str">
        <f>IFERROR(IF(OR(HLOOKUP($A971,#REF!,7,FALSE)&gt;2,HLOOKUP($A971,#REF!,7,FALSE)&lt;-2),"",#REF!),"")</f>
        <v/>
      </c>
      <c r="J971" t="str">
        <f>IFERROR(IF(OR(HLOOKUP($A971,#REF!,8,FALSE)&gt;2,HLOOKUP($A971,#REF!,8,FALSE)&lt;-2),"",#REF!),"")</f>
        <v/>
      </c>
      <c r="K971" t="str">
        <f>IFERROR(IF(OR(HLOOKUP($A971,#REF!,9,FALSE)&gt;2,HLOOKUP($A971,#REF!,9,FALSE)&lt;-2),"",#REF!),"")</f>
        <v/>
      </c>
      <c r="L971" t="str">
        <f>IFERROR(IF(OR(HLOOKUP($A971,#REF!,10,FALSE)&gt;2,HLOOKUP($A971,#REF!,10,FALSE)&lt;-2),"",#REF!),"")</f>
        <v/>
      </c>
      <c r="M971" t="str">
        <f>IFERROR(IF(OR(HLOOKUP($A971,#REF!,11,FALSE)&gt;2,HLOOKUP($A971,#REF!,11,FALSE)&lt;-2),"",#REF!),"")</f>
        <v/>
      </c>
      <c r="N971" t="str">
        <f>IFERROR(IF(OR(HLOOKUP($A971,#REF!,12,FALSE)&gt;2,HLOOKUP($A971,#REF!,12,FALSE)&lt;-2),"",#REF!),"")</f>
        <v/>
      </c>
      <c r="O971" t="str">
        <f>IFERROR(IF(OR(HLOOKUP($A971,#REF!,13,FALSE)&gt;2,HLOOKUP($A971,#REF!,13,FALSE)&lt;-2),"",#REF!),"")</f>
        <v/>
      </c>
      <c r="P971" t="str">
        <f>IFERROR(IF(OR(HLOOKUP($A971,#REF!,14,FALSE)&gt;2,HLOOKUP($A971,#REF!,14,FALSE)&lt;-2),"",#REF!),"")</f>
        <v/>
      </c>
      <c r="Q971" t="str">
        <f>IFERROR(IF(OR(HLOOKUP($A971,#REF!,15,FALSE)&gt;2,HLOOKUP($A971,#REF!,15,FALSE)&lt;-2),"",#REF!),"")</f>
        <v/>
      </c>
      <c r="R971" t="str">
        <f>IFERROR(IF(OR(HLOOKUP($A971,#REF!,16,FALSE)&gt;2,HLOOKUP($A971,#REF!,16,FALSE)&lt;-2),"",#REF!),"")</f>
        <v/>
      </c>
      <c r="S971" t="str">
        <f>IFERROR(IF(OR(HLOOKUP($A971,#REF!,17,FALSE)&gt;2,HLOOKUP($A971,#REF!,17,FALSE)&lt;-2),"",#REF!),"")</f>
        <v/>
      </c>
      <c r="T971" t="str">
        <f>IFERROR(IF(OR(HLOOKUP($A971,#REF!,18,FALSE)&gt;2,HLOOKUP($A971,#REF!,18,FALSE)&lt;-2),"",#REF!),"")</f>
        <v/>
      </c>
      <c r="U971" t="str">
        <f>IFERROR(IF(OR(HLOOKUP($A971,#REF!,19,FALSE)&gt;2,HLOOKUP($A971,#REF!,19,FALSE)&lt;-2),"",#REF!),"")</f>
        <v/>
      </c>
      <c r="V971">
        <f t="shared" si="60"/>
        <v>1</v>
      </c>
      <c r="W971" t="str">
        <f t="shared" si="61"/>
        <v/>
      </c>
      <c r="X971" t="str">
        <f t="shared" si="62"/>
        <v/>
      </c>
      <c r="Y971" t="str">
        <f t="shared" si="63"/>
        <v/>
      </c>
    </row>
    <row r="972" spans="1:25" x14ac:dyDescent="0.35">
      <c r="A972">
        <v>980</v>
      </c>
      <c r="B972" t="s">
        <v>483</v>
      </c>
      <c r="C972">
        <v>76000</v>
      </c>
      <c r="D972">
        <v>467</v>
      </c>
      <c r="E972" t="str">
        <f>IFERROR(IF(OR(HLOOKUP($A972,#REF!,3,FALSE)&gt;2,HLOOKUP(A972,#REF!,3,FALSE)&lt;-2),"",#REF!),"")</f>
        <v/>
      </c>
      <c r="F972" t="str">
        <f>IFERROR(IF(OR(HLOOKUP($A972,#REF!,4,FALSE)&gt;2,HLOOKUP($A972,#REF!,4,FALSE)&lt;-2),"",#REF!),"")</f>
        <v/>
      </c>
      <c r="G972" t="str">
        <f>IFERROR(IF(OR(HLOOKUP($A972,#REF!,5,FALSE)&gt;2,HLOOKUP($A972,#REF!,5,FALSE)&lt;-2),"",#REF!),"")</f>
        <v/>
      </c>
      <c r="H972" t="str">
        <f>IFERROR(IF(OR(HLOOKUP($A972,#REF!,6,FALSE)&gt;2,HLOOKUP($A972,#REF!,6,FALSE)&lt;-2),"",#REF!),"")</f>
        <v/>
      </c>
      <c r="I972" t="str">
        <f>IFERROR(IF(OR(HLOOKUP($A972,#REF!,7,FALSE)&gt;2,HLOOKUP($A972,#REF!,7,FALSE)&lt;-2),"",#REF!),"")</f>
        <v/>
      </c>
      <c r="J972" t="str">
        <f>IFERROR(IF(OR(HLOOKUP($A972,#REF!,8,FALSE)&gt;2,HLOOKUP($A972,#REF!,8,FALSE)&lt;-2),"",#REF!),"")</f>
        <v/>
      </c>
      <c r="K972" t="str">
        <f>IFERROR(IF(OR(HLOOKUP($A972,#REF!,9,FALSE)&gt;2,HLOOKUP($A972,#REF!,9,FALSE)&lt;-2),"",#REF!),"")</f>
        <v/>
      </c>
      <c r="L972" t="str">
        <f>IFERROR(IF(OR(HLOOKUP($A972,#REF!,10,FALSE)&gt;2,HLOOKUP($A972,#REF!,10,FALSE)&lt;-2),"",#REF!),"")</f>
        <v/>
      </c>
      <c r="M972" t="str">
        <f>IFERROR(IF(OR(HLOOKUP($A972,#REF!,11,FALSE)&gt;2,HLOOKUP($A972,#REF!,11,FALSE)&lt;-2),"",#REF!),"")</f>
        <v/>
      </c>
      <c r="N972" t="str">
        <f>IFERROR(IF(OR(HLOOKUP($A972,#REF!,12,FALSE)&gt;2,HLOOKUP($A972,#REF!,12,FALSE)&lt;-2),"",#REF!),"")</f>
        <v/>
      </c>
      <c r="O972" t="str">
        <f>IFERROR(IF(OR(HLOOKUP($A972,#REF!,13,FALSE)&gt;2,HLOOKUP($A972,#REF!,13,FALSE)&lt;-2),"",#REF!),"")</f>
        <v/>
      </c>
      <c r="P972" t="str">
        <f>IFERROR(IF(OR(HLOOKUP($A972,#REF!,14,FALSE)&gt;2,HLOOKUP($A972,#REF!,14,FALSE)&lt;-2),"",#REF!),"")</f>
        <v/>
      </c>
      <c r="Q972" t="str">
        <f>IFERROR(IF(OR(HLOOKUP($A972,#REF!,15,FALSE)&gt;2,HLOOKUP($A972,#REF!,15,FALSE)&lt;-2),"",#REF!),"")</f>
        <v/>
      </c>
      <c r="R972" t="str">
        <f>IFERROR(IF(OR(HLOOKUP($A972,#REF!,16,FALSE)&gt;2,HLOOKUP($A972,#REF!,16,FALSE)&lt;-2),"",#REF!),"")</f>
        <v/>
      </c>
      <c r="S972" t="str">
        <f>IFERROR(IF(OR(HLOOKUP($A972,#REF!,17,FALSE)&gt;2,HLOOKUP($A972,#REF!,17,FALSE)&lt;-2),"",#REF!),"")</f>
        <v/>
      </c>
      <c r="T972" t="str">
        <f>IFERROR(IF(OR(HLOOKUP($A972,#REF!,18,FALSE)&gt;2,HLOOKUP($A972,#REF!,18,FALSE)&lt;-2),"",#REF!),"")</f>
        <v/>
      </c>
      <c r="U972" t="str">
        <f>IFERROR(IF(OR(HLOOKUP($A972,#REF!,19,FALSE)&gt;2,HLOOKUP($A972,#REF!,19,FALSE)&lt;-2),"",#REF!),"")</f>
        <v/>
      </c>
      <c r="V972">
        <f t="shared" si="60"/>
        <v>1</v>
      </c>
      <c r="W972" t="str">
        <f t="shared" si="61"/>
        <v/>
      </c>
      <c r="X972" t="str">
        <f t="shared" si="62"/>
        <v/>
      </c>
      <c r="Y972" t="str">
        <f t="shared" si="63"/>
        <v/>
      </c>
    </row>
    <row r="973" spans="1:25" x14ac:dyDescent="0.35">
      <c r="A973">
        <v>981</v>
      </c>
      <c r="B973" t="s">
        <v>484</v>
      </c>
      <c r="C973">
        <v>4300</v>
      </c>
      <c r="D973">
        <v>329</v>
      </c>
      <c r="E973" t="str">
        <f>IFERROR(IF(OR(HLOOKUP($A973,#REF!,3,FALSE)&gt;2,HLOOKUP(A973,#REF!,3,FALSE)&lt;-2),"",#REF!),"")</f>
        <v/>
      </c>
      <c r="F973" t="str">
        <f>IFERROR(IF(OR(HLOOKUP($A973,#REF!,4,FALSE)&gt;2,HLOOKUP($A973,#REF!,4,FALSE)&lt;-2),"",#REF!),"")</f>
        <v/>
      </c>
      <c r="G973" t="str">
        <f>IFERROR(IF(OR(HLOOKUP($A973,#REF!,5,FALSE)&gt;2,HLOOKUP($A973,#REF!,5,FALSE)&lt;-2),"",#REF!),"")</f>
        <v/>
      </c>
      <c r="H973" t="str">
        <f>IFERROR(IF(OR(HLOOKUP($A973,#REF!,6,FALSE)&gt;2,HLOOKUP($A973,#REF!,6,FALSE)&lt;-2),"",#REF!),"")</f>
        <v/>
      </c>
      <c r="I973" t="str">
        <f>IFERROR(IF(OR(HLOOKUP($A973,#REF!,7,FALSE)&gt;2,HLOOKUP($A973,#REF!,7,FALSE)&lt;-2),"",#REF!),"")</f>
        <v/>
      </c>
      <c r="J973" t="str">
        <f>IFERROR(IF(OR(HLOOKUP($A973,#REF!,8,FALSE)&gt;2,HLOOKUP($A973,#REF!,8,FALSE)&lt;-2),"",#REF!),"")</f>
        <v/>
      </c>
      <c r="K973" t="str">
        <f>IFERROR(IF(OR(HLOOKUP($A973,#REF!,9,FALSE)&gt;2,HLOOKUP($A973,#REF!,9,FALSE)&lt;-2),"",#REF!),"")</f>
        <v/>
      </c>
      <c r="L973" t="str">
        <f>IFERROR(IF(OR(HLOOKUP($A973,#REF!,10,FALSE)&gt;2,HLOOKUP($A973,#REF!,10,FALSE)&lt;-2),"",#REF!),"")</f>
        <v/>
      </c>
      <c r="M973" t="str">
        <f>IFERROR(IF(OR(HLOOKUP($A973,#REF!,11,FALSE)&gt;2,HLOOKUP($A973,#REF!,11,FALSE)&lt;-2),"",#REF!),"")</f>
        <v/>
      </c>
      <c r="N973" t="str">
        <f>IFERROR(IF(OR(HLOOKUP($A973,#REF!,12,FALSE)&gt;2,HLOOKUP($A973,#REF!,12,FALSE)&lt;-2),"",#REF!),"")</f>
        <v/>
      </c>
      <c r="O973" t="str">
        <f>IFERROR(IF(OR(HLOOKUP($A973,#REF!,13,FALSE)&gt;2,HLOOKUP($A973,#REF!,13,FALSE)&lt;-2),"",#REF!),"")</f>
        <v/>
      </c>
      <c r="P973" t="str">
        <f>IFERROR(IF(OR(HLOOKUP($A973,#REF!,14,FALSE)&gt;2,HLOOKUP($A973,#REF!,14,FALSE)&lt;-2),"",#REF!),"")</f>
        <v/>
      </c>
      <c r="Q973" t="str">
        <f>IFERROR(IF(OR(HLOOKUP($A973,#REF!,15,FALSE)&gt;2,HLOOKUP($A973,#REF!,15,FALSE)&lt;-2),"",#REF!),"")</f>
        <v/>
      </c>
      <c r="R973" t="str">
        <f>IFERROR(IF(OR(HLOOKUP($A973,#REF!,16,FALSE)&gt;2,HLOOKUP($A973,#REF!,16,FALSE)&lt;-2),"",#REF!),"")</f>
        <v/>
      </c>
      <c r="S973" t="str">
        <f>IFERROR(IF(OR(HLOOKUP($A973,#REF!,17,FALSE)&gt;2,HLOOKUP($A973,#REF!,17,FALSE)&lt;-2),"",#REF!),"")</f>
        <v/>
      </c>
      <c r="T973" t="str">
        <f>IFERROR(IF(OR(HLOOKUP($A973,#REF!,18,FALSE)&gt;2,HLOOKUP($A973,#REF!,18,FALSE)&lt;-2),"",#REF!),"")</f>
        <v/>
      </c>
      <c r="U973" t="str">
        <f>IFERROR(IF(OR(HLOOKUP($A973,#REF!,19,FALSE)&gt;2,HLOOKUP($A973,#REF!,19,FALSE)&lt;-2),"",#REF!),"")</f>
        <v/>
      </c>
      <c r="V973">
        <f t="shared" si="60"/>
        <v>1</v>
      </c>
      <c r="W973" t="str">
        <f t="shared" si="61"/>
        <v/>
      </c>
      <c r="X973" t="str">
        <f t="shared" si="62"/>
        <v/>
      </c>
      <c r="Y973" t="str">
        <f t="shared" si="63"/>
        <v/>
      </c>
    </row>
    <row r="974" spans="1:25" x14ac:dyDescent="0.35">
      <c r="A974">
        <v>982</v>
      </c>
      <c r="B974" t="s">
        <v>485</v>
      </c>
      <c r="C974">
        <v>41000</v>
      </c>
      <c r="D974">
        <v>1080</v>
      </c>
      <c r="E974" t="str">
        <f>IFERROR(IF(OR(HLOOKUP($A974,#REF!,3,FALSE)&gt;2,HLOOKUP(A974,#REF!,3,FALSE)&lt;-2),"",#REF!),"")</f>
        <v/>
      </c>
      <c r="F974" t="str">
        <f>IFERROR(IF(OR(HLOOKUP($A974,#REF!,4,FALSE)&gt;2,HLOOKUP($A974,#REF!,4,FALSE)&lt;-2),"",#REF!),"")</f>
        <v/>
      </c>
      <c r="G974" t="str">
        <f>IFERROR(IF(OR(HLOOKUP($A974,#REF!,5,FALSE)&gt;2,HLOOKUP($A974,#REF!,5,FALSE)&lt;-2),"",#REF!),"")</f>
        <v/>
      </c>
      <c r="H974" t="str">
        <f>IFERROR(IF(OR(HLOOKUP($A974,#REF!,6,FALSE)&gt;2,HLOOKUP($A974,#REF!,6,FALSE)&lt;-2),"",#REF!),"")</f>
        <v/>
      </c>
      <c r="I974" t="str">
        <f>IFERROR(IF(OR(HLOOKUP($A974,#REF!,7,FALSE)&gt;2,HLOOKUP($A974,#REF!,7,FALSE)&lt;-2),"",#REF!),"")</f>
        <v/>
      </c>
      <c r="J974" t="str">
        <f>IFERROR(IF(OR(HLOOKUP($A974,#REF!,8,FALSE)&gt;2,HLOOKUP($A974,#REF!,8,FALSE)&lt;-2),"",#REF!),"")</f>
        <v/>
      </c>
      <c r="K974" t="str">
        <f>IFERROR(IF(OR(HLOOKUP($A974,#REF!,9,FALSE)&gt;2,HLOOKUP($A974,#REF!,9,FALSE)&lt;-2),"",#REF!),"")</f>
        <v/>
      </c>
      <c r="L974" t="str">
        <f>IFERROR(IF(OR(HLOOKUP($A974,#REF!,10,FALSE)&gt;2,HLOOKUP($A974,#REF!,10,FALSE)&lt;-2),"",#REF!),"")</f>
        <v/>
      </c>
      <c r="M974" t="str">
        <f>IFERROR(IF(OR(HLOOKUP($A974,#REF!,11,FALSE)&gt;2,HLOOKUP($A974,#REF!,11,FALSE)&lt;-2),"",#REF!),"")</f>
        <v/>
      </c>
      <c r="N974" t="str">
        <f>IFERROR(IF(OR(HLOOKUP($A974,#REF!,12,FALSE)&gt;2,HLOOKUP($A974,#REF!,12,FALSE)&lt;-2),"",#REF!),"")</f>
        <v/>
      </c>
      <c r="O974" t="str">
        <f>IFERROR(IF(OR(HLOOKUP($A974,#REF!,13,FALSE)&gt;2,HLOOKUP($A974,#REF!,13,FALSE)&lt;-2),"",#REF!),"")</f>
        <v/>
      </c>
      <c r="P974" t="str">
        <f>IFERROR(IF(OR(HLOOKUP($A974,#REF!,14,FALSE)&gt;2,HLOOKUP($A974,#REF!,14,FALSE)&lt;-2),"",#REF!),"")</f>
        <v/>
      </c>
      <c r="Q974" t="str">
        <f>IFERROR(IF(OR(HLOOKUP($A974,#REF!,15,FALSE)&gt;2,HLOOKUP($A974,#REF!,15,FALSE)&lt;-2),"",#REF!),"")</f>
        <v/>
      </c>
      <c r="R974" t="str">
        <f>IFERROR(IF(OR(HLOOKUP($A974,#REF!,16,FALSE)&gt;2,HLOOKUP($A974,#REF!,16,FALSE)&lt;-2),"",#REF!),"")</f>
        <v/>
      </c>
      <c r="S974" t="str">
        <f>IFERROR(IF(OR(HLOOKUP($A974,#REF!,17,FALSE)&gt;2,HLOOKUP($A974,#REF!,17,FALSE)&lt;-2),"",#REF!),"")</f>
        <v/>
      </c>
      <c r="T974" t="str">
        <f>IFERROR(IF(OR(HLOOKUP($A974,#REF!,18,FALSE)&gt;2,HLOOKUP($A974,#REF!,18,FALSE)&lt;-2),"",#REF!),"")</f>
        <v/>
      </c>
      <c r="U974" t="str">
        <f>IFERROR(IF(OR(HLOOKUP($A974,#REF!,19,FALSE)&gt;2,HLOOKUP($A974,#REF!,19,FALSE)&lt;-2),"",#REF!),"")</f>
        <v/>
      </c>
      <c r="V974">
        <f t="shared" si="60"/>
        <v>1</v>
      </c>
      <c r="W974" t="str">
        <f t="shared" si="61"/>
        <v/>
      </c>
      <c r="X974" t="str">
        <f t="shared" si="62"/>
        <v/>
      </c>
      <c r="Y974" t="str">
        <f t="shared" si="63"/>
        <v/>
      </c>
    </row>
    <row r="975" spans="1:25" x14ac:dyDescent="0.35">
      <c r="A975">
        <v>983</v>
      </c>
      <c r="B975" t="s">
        <v>1092</v>
      </c>
      <c r="C975">
        <v>106000</v>
      </c>
      <c r="D975">
        <v>1009</v>
      </c>
      <c r="E975" t="str">
        <f>IFERROR(IF(OR(HLOOKUP($A975,#REF!,3,FALSE)&gt;2,HLOOKUP(A975,#REF!,3,FALSE)&lt;-2),"",#REF!),"")</f>
        <v/>
      </c>
      <c r="F975" t="str">
        <f>IFERROR(IF(OR(HLOOKUP($A975,#REF!,4,FALSE)&gt;2,HLOOKUP($A975,#REF!,4,FALSE)&lt;-2),"",#REF!),"")</f>
        <v/>
      </c>
      <c r="G975" t="str">
        <f>IFERROR(IF(OR(HLOOKUP($A975,#REF!,5,FALSE)&gt;2,HLOOKUP($A975,#REF!,5,FALSE)&lt;-2),"",#REF!),"")</f>
        <v/>
      </c>
      <c r="H975" t="str">
        <f>IFERROR(IF(OR(HLOOKUP($A975,#REF!,6,FALSE)&gt;2,HLOOKUP($A975,#REF!,6,FALSE)&lt;-2),"",#REF!),"")</f>
        <v/>
      </c>
      <c r="I975" t="str">
        <f>IFERROR(IF(OR(HLOOKUP($A975,#REF!,7,FALSE)&gt;2,HLOOKUP($A975,#REF!,7,FALSE)&lt;-2),"",#REF!),"")</f>
        <v/>
      </c>
      <c r="J975" t="str">
        <f>IFERROR(IF(OR(HLOOKUP($A975,#REF!,8,FALSE)&gt;2,HLOOKUP($A975,#REF!,8,FALSE)&lt;-2),"",#REF!),"")</f>
        <v/>
      </c>
      <c r="K975" t="str">
        <f>IFERROR(IF(OR(HLOOKUP($A975,#REF!,9,FALSE)&gt;2,HLOOKUP($A975,#REF!,9,FALSE)&lt;-2),"",#REF!),"")</f>
        <v/>
      </c>
      <c r="L975" t="str">
        <f>IFERROR(IF(OR(HLOOKUP($A975,#REF!,10,FALSE)&gt;2,HLOOKUP($A975,#REF!,10,FALSE)&lt;-2),"",#REF!),"")</f>
        <v/>
      </c>
      <c r="M975" t="str">
        <f>IFERROR(IF(OR(HLOOKUP($A975,#REF!,11,FALSE)&gt;2,HLOOKUP($A975,#REF!,11,FALSE)&lt;-2),"",#REF!),"")</f>
        <v/>
      </c>
      <c r="N975" t="str">
        <f>IFERROR(IF(OR(HLOOKUP($A975,#REF!,12,FALSE)&gt;2,HLOOKUP($A975,#REF!,12,FALSE)&lt;-2),"",#REF!),"")</f>
        <v/>
      </c>
      <c r="O975" t="str">
        <f>IFERROR(IF(OR(HLOOKUP($A975,#REF!,13,FALSE)&gt;2,HLOOKUP($A975,#REF!,13,FALSE)&lt;-2),"",#REF!),"")</f>
        <v/>
      </c>
      <c r="P975" t="str">
        <f>IFERROR(IF(OR(HLOOKUP($A975,#REF!,14,FALSE)&gt;2,HLOOKUP($A975,#REF!,14,FALSE)&lt;-2),"",#REF!),"")</f>
        <v/>
      </c>
      <c r="Q975" t="str">
        <f>IFERROR(IF(OR(HLOOKUP($A975,#REF!,15,FALSE)&gt;2,HLOOKUP($A975,#REF!,15,FALSE)&lt;-2),"",#REF!),"")</f>
        <v/>
      </c>
      <c r="R975" t="str">
        <f>IFERROR(IF(OR(HLOOKUP($A975,#REF!,16,FALSE)&gt;2,HLOOKUP($A975,#REF!,16,FALSE)&lt;-2),"",#REF!),"")</f>
        <v/>
      </c>
      <c r="S975" t="str">
        <f>IFERROR(IF(OR(HLOOKUP($A975,#REF!,17,FALSE)&gt;2,HLOOKUP($A975,#REF!,17,FALSE)&lt;-2),"",#REF!),"")</f>
        <v/>
      </c>
      <c r="T975" t="str">
        <f>IFERROR(IF(OR(HLOOKUP($A975,#REF!,18,FALSE)&gt;2,HLOOKUP($A975,#REF!,18,FALSE)&lt;-2),"",#REF!),"")</f>
        <v/>
      </c>
      <c r="U975" t="str">
        <f>IFERROR(IF(OR(HLOOKUP($A975,#REF!,19,FALSE)&gt;2,HLOOKUP($A975,#REF!,19,FALSE)&lt;-2),"",#REF!),"")</f>
        <v/>
      </c>
      <c r="V975">
        <f t="shared" si="60"/>
        <v>1</v>
      </c>
      <c r="W975" t="str">
        <f t="shared" si="61"/>
        <v/>
      </c>
      <c r="X975" t="str">
        <f t="shared" si="62"/>
        <v/>
      </c>
      <c r="Y975" t="str">
        <f t="shared" si="63"/>
        <v/>
      </c>
    </row>
    <row r="976" spans="1:25" x14ac:dyDescent="0.35">
      <c r="A976">
        <v>984</v>
      </c>
      <c r="B976" t="s">
        <v>1093</v>
      </c>
      <c r="C976">
        <v>55900</v>
      </c>
      <c r="D976">
        <v>920</v>
      </c>
      <c r="E976" t="str">
        <f>IFERROR(IF(OR(HLOOKUP($A976,#REF!,3,FALSE)&gt;2,HLOOKUP(A976,#REF!,3,FALSE)&lt;-2),"",#REF!),"")</f>
        <v/>
      </c>
      <c r="F976" t="str">
        <f>IFERROR(IF(OR(HLOOKUP($A976,#REF!,4,FALSE)&gt;2,HLOOKUP($A976,#REF!,4,FALSE)&lt;-2),"",#REF!),"")</f>
        <v/>
      </c>
      <c r="G976" t="str">
        <f>IFERROR(IF(OR(HLOOKUP($A976,#REF!,5,FALSE)&gt;2,HLOOKUP($A976,#REF!,5,FALSE)&lt;-2),"",#REF!),"")</f>
        <v/>
      </c>
      <c r="H976" t="str">
        <f>IFERROR(IF(OR(HLOOKUP($A976,#REF!,6,FALSE)&gt;2,HLOOKUP($A976,#REF!,6,FALSE)&lt;-2),"",#REF!),"")</f>
        <v/>
      </c>
      <c r="I976" t="str">
        <f>IFERROR(IF(OR(HLOOKUP($A976,#REF!,7,FALSE)&gt;2,HLOOKUP($A976,#REF!,7,FALSE)&lt;-2),"",#REF!),"")</f>
        <v/>
      </c>
      <c r="J976" t="str">
        <f>IFERROR(IF(OR(HLOOKUP($A976,#REF!,8,FALSE)&gt;2,HLOOKUP($A976,#REF!,8,FALSE)&lt;-2),"",#REF!),"")</f>
        <v/>
      </c>
      <c r="K976" t="str">
        <f>IFERROR(IF(OR(HLOOKUP($A976,#REF!,9,FALSE)&gt;2,HLOOKUP($A976,#REF!,9,FALSE)&lt;-2),"",#REF!),"")</f>
        <v/>
      </c>
      <c r="L976" t="str">
        <f>IFERROR(IF(OR(HLOOKUP($A976,#REF!,10,FALSE)&gt;2,HLOOKUP($A976,#REF!,10,FALSE)&lt;-2),"",#REF!),"")</f>
        <v/>
      </c>
      <c r="M976" t="str">
        <f>IFERROR(IF(OR(HLOOKUP($A976,#REF!,11,FALSE)&gt;2,HLOOKUP($A976,#REF!,11,FALSE)&lt;-2),"",#REF!),"")</f>
        <v/>
      </c>
      <c r="N976" t="str">
        <f>IFERROR(IF(OR(HLOOKUP($A976,#REF!,12,FALSE)&gt;2,HLOOKUP($A976,#REF!,12,FALSE)&lt;-2),"",#REF!),"")</f>
        <v/>
      </c>
      <c r="O976" t="str">
        <f>IFERROR(IF(OR(HLOOKUP($A976,#REF!,13,FALSE)&gt;2,HLOOKUP($A976,#REF!,13,FALSE)&lt;-2),"",#REF!),"")</f>
        <v/>
      </c>
      <c r="P976" t="str">
        <f>IFERROR(IF(OR(HLOOKUP($A976,#REF!,14,FALSE)&gt;2,HLOOKUP($A976,#REF!,14,FALSE)&lt;-2),"",#REF!),"")</f>
        <v/>
      </c>
      <c r="Q976" t="str">
        <f>IFERROR(IF(OR(HLOOKUP($A976,#REF!,15,FALSE)&gt;2,HLOOKUP($A976,#REF!,15,FALSE)&lt;-2),"",#REF!),"")</f>
        <v/>
      </c>
      <c r="R976" t="str">
        <f>IFERROR(IF(OR(HLOOKUP($A976,#REF!,16,FALSE)&gt;2,HLOOKUP($A976,#REF!,16,FALSE)&lt;-2),"",#REF!),"")</f>
        <v/>
      </c>
      <c r="S976" t="str">
        <f>IFERROR(IF(OR(HLOOKUP($A976,#REF!,17,FALSE)&gt;2,HLOOKUP($A976,#REF!,17,FALSE)&lt;-2),"",#REF!),"")</f>
        <v/>
      </c>
      <c r="T976" t="str">
        <f>IFERROR(IF(OR(HLOOKUP($A976,#REF!,18,FALSE)&gt;2,HLOOKUP($A976,#REF!,18,FALSE)&lt;-2),"",#REF!),"")</f>
        <v/>
      </c>
      <c r="U976" t="str">
        <f>IFERROR(IF(OR(HLOOKUP($A976,#REF!,19,FALSE)&gt;2,HLOOKUP($A976,#REF!,19,FALSE)&lt;-2),"",#REF!),"")</f>
        <v/>
      </c>
      <c r="V976">
        <f t="shared" si="60"/>
        <v>1</v>
      </c>
      <c r="W976" t="str">
        <f t="shared" si="61"/>
        <v/>
      </c>
      <c r="X976" t="str">
        <f t="shared" si="62"/>
        <v/>
      </c>
      <c r="Y976" t="str">
        <f t="shared" si="63"/>
        <v/>
      </c>
    </row>
    <row r="977" spans="1:25" x14ac:dyDescent="0.35">
      <c r="A977">
        <v>985</v>
      </c>
      <c r="B977" t="s">
        <v>486</v>
      </c>
      <c r="C977">
        <v>1500</v>
      </c>
      <c r="D977">
        <v>500</v>
      </c>
      <c r="E977" t="str">
        <f>IFERROR(IF(OR(HLOOKUP($A977,#REF!,3,FALSE)&gt;2,HLOOKUP(A977,#REF!,3,FALSE)&lt;-2),"",#REF!),"")</f>
        <v/>
      </c>
      <c r="F977" t="str">
        <f>IFERROR(IF(OR(HLOOKUP($A977,#REF!,4,FALSE)&gt;2,HLOOKUP($A977,#REF!,4,FALSE)&lt;-2),"",#REF!),"")</f>
        <v/>
      </c>
      <c r="G977" t="str">
        <f>IFERROR(IF(OR(HLOOKUP($A977,#REF!,5,FALSE)&gt;2,HLOOKUP($A977,#REF!,5,FALSE)&lt;-2),"",#REF!),"")</f>
        <v/>
      </c>
      <c r="H977" t="str">
        <f>IFERROR(IF(OR(HLOOKUP($A977,#REF!,6,FALSE)&gt;2,HLOOKUP($A977,#REF!,6,FALSE)&lt;-2),"",#REF!),"")</f>
        <v/>
      </c>
      <c r="I977" t="str">
        <f>IFERROR(IF(OR(HLOOKUP($A977,#REF!,7,FALSE)&gt;2,HLOOKUP($A977,#REF!,7,FALSE)&lt;-2),"",#REF!),"")</f>
        <v/>
      </c>
      <c r="J977" t="str">
        <f>IFERROR(IF(OR(HLOOKUP($A977,#REF!,8,FALSE)&gt;2,HLOOKUP($A977,#REF!,8,FALSE)&lt;-2),"",#REF!),"")</f>
        <v/>
      </c>
      <c r="K977" t="str">
        <f>IFERROR(IF(OR(HLOOKUP($A977,#REF!,9,FALSE)&gt;2,HLOOKUP($A977,#REF!,9,FALSE)&lt;-2),"",#REF!),"")</f>
        <v/>
      </c>
      <c r="L977" t="str">
        <f>IFERROR(IF(OR(HLOOKUP($A977,#REF!,10,FALSE)&gt;2,HLOOKUP($A977,#REF!,10,FALSE)&lt;-2),"",#REF!),"")</f>
        <v/>
      </c>
      <c r="M977" t="str">
        <f>IFERROR(IF(OR(HLOOKUP($A977,#REF!,11,FALSE)&gt;2,HLOOKUP($A977,#REF!,11,FALSE)&lt;-2),"",#REF!),"")</f>
        <v/>
      </c>
      <c r="N977" t="str">
        <f>IFERROR(IF(OR(HLOOKUP($A977,#REF!,12,FALSE)&gt;2,HLOOKUP($A977,#REF!,12,FALSE)&lt;-2),"",#REF!),"")</f>
        <v/>
      </c>
      <c r="O977" t="str">
        <f>IFERROR(IF(OR(HLOOKUP($A977,#REF!,13,FALSE)&gt;2,HLOOKUP($A977,#REF!,13,FALSE)&lt;-2),"",#REF!),"")</f>
        <v/>
      </c>
      <c r="P977" t="str">
        <f>IFERROR(IF(OR(HLOOKUP($A977,#REF!,14,FALSE)&gt;2,HLOOKUP($A977,#REF!,14,FALSE)&lt;-2),"",#REF!),"")</f>
        <v/>
      </c>
      <c r="Q977" t="str">
        <f>IFERROR(IF(OR(HLOOKUP($A977,#REF!,15,FALSE)&gt;2,HLOOKUP($A977,#REF!,15,FALSE)&lt;-2),"",#REF!),"")</f>
        <v/>
      </c>
      <c r="R977" t="str">
        <f>IFERROR(IF(OR(HLOOKUP($A977,#REF!,16,FALSE)&gt;2,HLOOKUP($A977,#REF!,16,FALSE)&lt;-2),"",#REF!),"")</f>
        <v/>
      </c>
      <c r="S977" t="str">
        <f>IFERROR(IF(OR(HLOOKUP($A977,#REF!,17,FALSE)&gt;2,HLOOKUP($A977,#REF!,17,FALSE)&lt;-2),"",#REF!),"")</f>
        <v/>
      </c>
      <c r="T977" t="str">
        <f>IFERROR(IF(OR(HLOOKUP($A977,#REF!,18,FALSE)&gt;2,HLOOKUP($A977,#REF!,18,FALSE)&lt;-2),"",#REF!),"")</f>
        <v/>
      </c>
      <c r="U977" t="str">
        <f>IFERROR(IF(OR(HLOOKUP($A977,#REF!,19,FALSE)&gt;2,HLOOKUP($A977,#REF!,19,FALSE)&lt;-2),"",#REF!),"")</f>
        <v/>
      </c>
      <c r="V977">
        <f t="shared" si="60"/>
        <v>1</v>
      </c>
      <c r="W977" t="str">
        <f t="shared" si="61"/>
        <v/>
      </c>
      <c r="X977" t="str">
        <f t="shared" si="62"/>
        <v/>
      </c>
      <c r="Y977" t="str">
        <f t="shared" si="63"/>
        <v/>
      </c>
    </row>
    <row r="978" spans="1:25" x14ac:dyDescent="0.35">
      <c r="A978">
        <v>986</v>
      </c>
      <c r="B978" t="s">
        <v>1094</v>
      </c>
      <c r="C978">
        <v>106800</v>
      </c>
      <c r="D978">
        <v>776</v>
      </c>
      <c r="E978" t="str">
        <f>IFERROR(IF(OR(HLOOKUP($A978,#REF!,3,FALSE)&gt;2,HLOOKUP(A978,#REF!,3,FALSE)&lt;-2),"",#REF!),"")</f>
        <v/>
      </c>
      <c r="F978" t="str">
        <f>IFERROR(IF(OR(HLOOKUP($A978,#REF!,4,FALSE)&gt;2,HLOOKUP($A978,#REF!,4,FALSE)&lt;-2),"",#REF!),"")</f>
        <v/>
      </c>
      <c r="G978" t="str">
        <f>IFERROR(IF(OR(HLOOKUP($A978,#REF!,5,FALSE)&gt;2,HLOOKUP($A978,#REF!,5,FALSE)&lt;-2),"",#REF!),"")</f>
        <v/>
      </c>
      <c r="H978" t="str">
        <f>IFERROR(IF(OR(HLOOKUP($A978,#REF!,6,FALSE)&gt;2,HLOOKUP($A978,#REF!,6,FALSE)&lt;-2),"",#REF!),"")</f>
        <v/>
      </c>
      <c r="I978" t="str">
        <f>IFERROR(IF(OR(HLOOKUP($A978,#REF!,7,FALSE)&gt;2,HLOOKUP($A978,#REF!,7,FALSE)&lt;-2),"",#REF!),"")</f>
        <v/>
      </c>
      <c r="J978" t="str">
        <f>IFERROR(IF(OR(HLOOKUP($A978,#REF!,8,FALSE)&gt;2,HLOOKUP($A978,#REF!,8,FALSE)&lt;-2),"",#REF!),"")</f>
        <v/>
      </c>
      <c r="K978" t="str">
        <f>IFERROR(IF(OR(HLOOKUP($A978,#REF!,9,FALSE)&gt;2,HLOOKUP($A978,#REF!,9,FALSE)&lt;-2),"",#REF!),"")</f>
        <v/>
      </c>
      <c r="L978" t="str">
        <f>IFERROR(IF(OR(HLOOKUP($A978,#REF!,10,FALSE)&gt;2,HLOOKUP($A978,#REF!,10,FALSE)&lt;-2),"",#REF!),"")</f>
        <v/>
      </c>
      <c r="M978" t="str">
        <f>IFERROR(IF(OR(HLOOKUP($A978,#REF!,11,FALSE)&gt;2,HLOOKUP($A978,#REF!,11,FALSE)&lt;-2),"",#REF!),"")</f>
        <v/>
      </c>
      <c r="N978" t="str">
        <f>IFERROR(IF(OR(HLOOKUP($A978,#REF!,12,FALSE)&gt;2,HLOOKUP($A978,#REF!,12,FALSE)&lt;-2),"",#REF!),"")</f>
        <v/>
      </c>
      <c r="O978" t="str">
        <f>IFERROR(IF(OR(HLOOKUP($A978,#REF!,13,FALSE)&gt;2,HLOOKUP($A978,#REF!,13,FALSE)&lt;-2),"",#REF!),"")</f>
        <v/>
      </c>
      <c r="P978" t="str">
        <f>IFERROR(IF(OR(HLOOKUP($A978,#REF!,14,FALSE)&gt;2,HLOOKUP($A978,#REF!,14,FALSE)&lt;-2),"",#REF!),"")</f>
        <v/>
      </c>
      <c r="Q978" t="str">
        <f>IFERROR(IF(OR(HLOOKUP($A978,#REF!,15,FALSE)&gt;2,HLOOKUP($A978,#REF!,15,FALSE)&lt;-2),"",#REF!),"")</f>
        <v/>
      </c>
      <c r="R978" t="str">
        <f>IFERROR(IF(OR(HLOOKUP($A978,#REF!,16,FALSE)&gt;2,HLOOKUP($A978,#REF!,16,FALSE)&lt;-2),"",#REF!),"")</f>
        <v/>
      </c>
      <c r="S978" t="str">
        <f>IFERROR(IF(OR(HLOOKUP($A978,#REF!,17,FALSE)&gt;2,HLOOKUP($A978,#REF!,17,FALSE)&lt;-2),"",#REF!),"")</f>
        <v/>
      </c>
      <c r="T978" t="str">
        <f>IFERROR(IF(OR(HLOOKUP($A978,#REF!,18,FALSE)&gt;2,HLOOKUP($A978,#REF!,18,FALSE)&lt;-2),"",#REF!),"")</f>
        <v/>
      </c>
      <c r="U978" t="str">
        <f>IFERROR(IF(OR(HLOOKUP($A978,#REF!,19,FALSE)&gt;2,HLOOKUP($A978,#REF!,19,FALSE)&lt;-2),"",#REF!),"")</f>
        <v/>
      </c>
      <c r="V978">
        <f t="shared" si="60"/>
        <v>1</v>
      </c>
      <c r="W978" t="str">
        <f t="shared" si="61"/>
        <v/>
      </c>
      <c r="X978" t="str">
        <f t="shared" si="62"/>
        <v/>
      </c>
      <c r="Y978" t="str">
        <f t="shared" si="63"/>
        <v/>
      </c>
    </row>
    <row r="979" spans="1:25" x14ac:dyDescent="0.35">
      <c r="A979">
        <v>987</v>
      </c>
      <c r="B979" t="s">
        <v>1095</v>
      </c>
      <c r="C979">
        <v>87000</v>
      </c>
      <c r="D979">
        <v>771</v>
      </c>
      <c r="E979" t="str">
        <f>IFERROR(IF(OR(HLOOKUP($A979,#REF!,3,FALSE)&gt;2,HLOOKUP(A979,#REF!,3,FALSE)&lt;-2),"",#REF!),"")</f>
        <v/>
      </c>
      <c r="F979" t="str">
        <f>IFERROR(IF(OR(HLOOKUP($A979,#REF!,4,FALSE)&gt;2,HLOOKUP($A979,#REF!,4,FALSE)&lt;-2),"",#REF!),"")</f>
        <v/>
      </c>
      <c r="G979" t="str">
        <f>IFERROR(IF(OR(HLOOKUP($A979,#REF!,5,FALSE)&gt;2,HLOOKUP($A979,#REF!,5,FALSE)&lt;-2),"",#REF!),"")</f>
        <v/>
      </c>
      <c r="H979" t="str">
        <f>IFERROR(IF(OR(HLOOKUP($A979,#REF!,6,FALSE)&gt;2,HLOOKUP($A979,#REF!,6,FALSE)&lt;-2),"",#REF!),"")</f>
        <v/>
      </c>
      <c r="I979" t="str">
        <f>IFERROR(IF(OR(HLOOKUP($A979,#REF!,7,FALSE)&gt;2,HLOOKUP($A979,#REF!,7,FALSE)&lt;-2),"",#REF!),"")</f>
        <v/>
      </c>
      <c r="J979" t="str">
        <f>IFERROR(IF(OR(HLOOKUP($A979,#REF!,8,FALSE)&gt;2,HLOOKUP($A979,#REF!,8,FALSE)&lt;-2),"",#REF!),"")</f>
        <v/>
      </c>
      <c r="K979" t="str">
        <f>IFERROR(IF(OR(HLOOKUP($A979,#REF!,9,FALSE)&gt;2,HLOOKUP($A979,#REF!,9,FALSE)&lt;-2),"",#REF!),"")</f>
        <v/>
      </c>
      <c r="L979" t="str">
        <f>IFERROR(IF(OR(HLOOKUP($A979,#REF!,10,FALSE)&gt;2,HLOOKUP($A979,#REF!,10,FALSE)&lt;-2),"",#REF!),"")</f>
        <v/>
      </c>
      <c r="M979" t="str">
        <f>IFERROR(IF(OR(HLOOKUP($A979,#REF!,11,FALSE)&gt;2,HLOOKUP($A979,#REF!,11,FALSE)&lt;-2),"",#REF!),"")</f>
        <v/>
      </c>
      <c r="N979" t="str">
        <f>IFERROR(IF(OR(HLOOKUP($A979,#REF!,12,FALSE)&gt;2,HLOOKUP($A979,#REF!,12,FALSE)&lt;-2),"",#REF!),"")</f>
        <v/>
      </c>
      <c r="O979" t="str">
        <f>IFERROR(IF(OR(HLOOKUP($A979,#REF!,13,FALSE)&gt;2,HLOOKUP($A979,#REF!,13,FALSE)&lt;-2),"",#REF!),"")</f>
        <v/>
      </c>
      <c r="P979" t="str">
        <f>IFERROR(IF(OR(HLOOKUP($A979,#REF!,14,FALSE)&gt;2,HLOOKUP($A979,#REF!,14,FALSE)&lt;-2),"",#REF!),"")</f>
        <v/>
      </c>
      <c r="Q979" t="str">
        <f>IFERROR(IF(OR(HLOOKUP($A979,#REF!,15,FALSE)&gt;2,HLOOKUP($A979,#REF!,15,FALSE)&lt;-2),"",#REF!),"")</f>
        <v/>
      </c>
      <c r="R979" t="str">
        <f>IFERROR(IF(OR(HLOOKUP($A979,#REF!,16,FALSE)&gt;2,HLOOKUP($A979,#REF!,16,FALSE)&lt;-2),"",#REF!),"")</f>
        <v/>
      </c>
      <c r="S979" t="str">
        <f>IFERROR(IF(OR(HLOOKUP($A979,#REF!,17,FALSE)&gt;2,HLOOKUP($A979,#REF!,17,FALSE)&lt;-2),"",#REF!),"")</f>
        <v/>
      </c>
      <c r="T979" t="str">
        <f>IFERROR(IF(OR(HLOOKUP($A979,#REF!,18,FALSE)&gt;2,HLOOKUP($A979,#REF!,18,FALSE)&lt;-2),"",#REF!),"")</f>
        <v/>
      </c>
      <c r="U979" t="str">
        <f>IFERROR(IF(OR(HLOOKUP($A979,#REF!,19,FALSE)&gt;2,HLOOKUP($A979,#REF!,19,FALSE)&lt;-2),"",#REF!),"")</f>
        <v/>
      </c>
      <c r="V979">
        <f t="shared" si="60"/>
        <v>1</v>
      </c>
      <c r="W979" t="str">
        <f t="shared" si="61"/>
        <v/>
      </c>
      <c r="X979" t="str">
        <f t="shared" si="62"/>
        <v/>
      </c>
      <c r="Y979" t="str">
        <f t="shared" si="63"/>
        <v/>
      </c>
    </row>
    <row r="980" spans="1:25" x14ac:dyDescent="0.35">
      <c r="A980">
        <v>988</v>
      </c>
      <c r="B980" t="s">
        <v>487</v>
      </c>
      <c r="C980">
        <v>29600</v>
      </c>
      <c r="D980">
        <v>895</v>
      </c>
      <c r="E980" t="str">
        <f>IFERROR(IF(OR(HLOOKUP($A980,#REF!,3,FALSE)&gt;2,HLOOKUP(A980,#REF!,3,FALSE)&lt;-2),"",#REF!),"")</f>
        <v/>
      </c>
      <c r="F980" t="str">
        <f>IFERROR(IF(OR(HLOOKUP($A980,#REF!,4,FALSE)&gt;2,HLOOKUP($A980,#REF!,4,FALSE)&lt;-2),"",#REF!),"")</f>
        <v/>
      </c>
      <c r="G980" t="str">
        <f>IFERROR(IF(OR(HLOOKUP($A980,#REF!,5,FALSE)&gt;2,HLOOKUP($A980,#REF!,5,FALSE)&lt;-2),"",#REF!),"")</f>
        <v/>
      </c>
      <c r="H980" t="str">
        <f>IFERROR(IF(OR(HLOOKUP($A980,#REF!,6,FALSE)&gt;2,HLOOKUP($A980,#REF!,6,FALSE)&lt;-2),"",#REF!),"")</f>
        <v/>
      </c>
      <c r="I980" t="str">
        <f>IFERROR(IF(OR(HLOOKUP($A980,#REF!,7,FALSE)&gt;2,HLOOKUP($A980,#REF!,7,FALSE)&lt;-2),"",#REF!),"")</f>
        <v/>
      </c>
      <c r="J980" t="str">
        <f>IFERROR(IF(OR(HLOOKUP($A980,#REF!,8,FALSE)&gt;2,HLOOKUP($A980,#REF!,8,FALSE)&lt;-2),"",#REF!),"")</f>
        <v/>
      </c>
      <c r="K980" t="str">
        <f>IFERROR(IF(OR(HLOOKUP($A980,#REF!,9,FALSE)&gt;2,HLOOKUP($A980,#REF!,9,FALSE)&lt;-2),"",#REF!),"")</f>
        <v/>
      </c>
      <c r="L980" t="str">
        <f>IFERROR(IF(OR(HLOOKUP($A980,#REF!,10,FALSE)&gt;2,HLOOKUP($A980,#REF!,10,FALSE)&lt;-2),"",#REF!),"")</f>
        <v/>
      </c>
      <c r="M980" t="str">
        <f>IFERROR(IF(OR(HLOOKUP($A980,#REF!,11,FALSE)&gt;2,HLOOKUP($A980,#REF!,11,FALSE)&lt;-2),"",#REF!),"")</f>
        <v/>
      </c>
      <c r="N980" t="str">
        <f>IFERROR(IF(OR(HLOOKUP($A980,#REF!,12,FALSE)&gt;2,HLOOKUP($A980,#REF!,12,FALSE)&lt;-2),"",#REF!),"")</f>
        <v/>
      </c>
      <c r="O980" t="str">
        <f>IFERROR(IF(OR(HLOOKUP($A980,#REF!,13,FALSE)&gt;2,HLOOKUP($A980,#REF!,13,FALSE)&lt;-2),"",#REF!),"")</f>
        <v/>
      </c>
      <c r="P980" t="str">
        <f>IFERROR(IF(OR(HLOOKUP($A980,#REF!,14,FALSE)&gt;2,HLOOKUP($A980,#REF!,14,FALSE)&lt;-2),"",#REF!),"")</f>
        <v/>
      </c>
      <c r="Q980" t="str">
        <f>IFERROR(IF(OR(HLOOKUP($A980,#REF!,15,FALSE)&gt;2,HLOOKUP($A980,#REF!,15,FALSE)&lt;-2),"",#REF!),"")</f>
        <v/>
      </c>
      <c r="R980" t="str">
        <f>IFERROR(IF(OR(HLOOKUP($A980,#REF!,16,FALSE)&gt;2,HLOOKUP($A980,#REF!,16,FALSE)&lt;-2),"",#REF!),"")</f>
        <v/>
      </c>
      <c r="S980" t="str">
        <f>IFERROR(IF(OR(HLOOKUP($A980,#REF!,17,FALSE)&gt;2,HLOOKUP($A980,#REF!,17,FALSE)&lt;-2),"",#REF!),"")</f>
        <v/>
      </c>
      <c r="T980" t="str">
        <f>IFERROR(IF(OR(HLOOKUP($A980,#REF!,18,FALSE)&gt;2,HLOOKUP($A980,#REF!,18,FALSE)&lt;-2),"",#REF!),"")</f>
        <v/>
      </c>
      <c r="U980" t="str">
        <f>IFERROR(IF(OR(HLOOKUP($A980,#REF!,19,FALSE)&gt;2,HLOOKUP($A980,#REF!,19,FALSE)&lt;-2),"",#REF!),"")</f>
        <v/>
      </c>
      <c r="V980">
        <f t="shared" si="60"/>
        <v>1</v>
      </c>
      <c r="W980" t="str">
        <f t="shared" si="61"/>
        <v/>
      </c>
      <c r="X980" t="str">
        <f t="shared" si="62"/>
        <v/>
      </c>
      <c r="Y980" t="str">
        <f t="shared" si="63"/>
        <v/>
      </c>
    </row>
    <row r="981" spans="1:25" x14ac:dyDescent="0.35">
      <c r="A981">
        <v>989</v>
      </c>
      <c r="B981" t="s">
        <v>488</v>
      </c>
      <c r="C981">
        <v>63000</v>
      </c>
      <c r="D981">
        <v>519</v>
      </c>
      <c r="E981" t="str">
        <f>IFERROR(IF(OR(HLOOKUP($A981,#REF!,3,FALSE)&gt;2,HLOOKUP(A981,#REF!,3,FALSE)&lt;-2),"",#REF!),"")</f>
        <v/>
      </c>
      <c r="F981" t="str">
        <f>IFERROR(IF(OR(HLOOKUP($A981,#REF!,4,FALSE)&gt;2,HLOOKUP($A981,#REF!,4,FALSE)&lt;-2),"",#REF!),"")</f>
        <v/>
      </c>
      <c r="G981" t="str">
        <f>IFERROR(IF(OR(HLOOKUP($A981,#REF!,5,FALSE)&gt;2,HLOOKUP($A981,#REF!,5,FALSE)&lt;-2),"",#REF!),"")</f>
        <v/>
      </c>
      <c r="H981" t="str">
        <f>IFERROR(IF(OR(HLOOKUP($A981,#REF!,6,FALSE)&gt;2,HLOOKUP($A981,#REF!,6,FALSE)&lt;-2),"",#REF!),"")</f>
        <v/>
      </c>
      <c r="I981" t="str">
        <f>IFERROR(IF(OR(HLOOKUP($A981,#REF!,7,FALSE)&gt;2,HLOOKUP($A981,#REF!,7,FALSE)&lt;-2),"",#REF!),"")</f>
        <v/>
      </c>
      <c r="J981" t="str">
        <f>IFERROR(IF(OR(HLOOKUP($A981,#REF!,8,FALSE)&gt;2,HLOOKUP($A981,#REF!,8,FALSE)&lt;-2),"",#REF!),"")</f>
        <v/>
      </c>
      <c r="K981" t="str">
        <f>IFERROR(IF(OR(HLOOKUP($A981,#REF!,9,FALSE)&gt;2,HLOOKUP($A981,#REF!,9,FALSE)&lt;-2),"",#REF!),"")</f>
        <v/>
      </c>
      <c r="L981" t="str">
        <f>IFERROR(IF(OR(HLOOKUP($A981,#REF!,10,FALSE)&gt;2,HLOOKUP($A981,#REF!,10,FALSE)&lt;-2),"",#REF!),"")</f>
        <v/>
      </c>
      <c r="M981" t="str">
        <f>IFERROR(IF(OR(HLOOKUP($A981,#REF!,11,FALSE)&gt;2,HLOOKUP($A981,#REF!,11,FALSE)&lt;-2),"",#REF!),"")</f>
        <v/>
      </c>
      <c r="N981" t="str">
        <f>IFERROR(IF(OR(HLOOKUP($A981,#REF!,12,FALSE)&gt;2,HLOOKUP($A981,#REF!,12,FALSE)&lt;-2),"",#REF!),"")</f>
        <v/>
      </c>
      <c r="O981" t="str">
        <f>IFERROR(IF(OR(HLOOKUP($A981,#REF!,13,FALSE)&gt;2,HLOOKUP($A981,#REF!,13,FALSE)&lt;-2),"",#REF!),"")</f>
        <v/>
      </c>
      <c r="P981" t="str">
        <f>IFERROR(IF(OR(HLOOKUP($A981,#REF!,14,FALSE)&gt;2,HLOOKUP($A981,#REF!,14,FALSE)&lt;-2),"",#REF!),"")</f>
        <v/>
      </c>
      <c r="Q981" t="str">
        <f>IFERROR(IF(OR(HLOOKUP($A981,#REF!,15,FALSE)&gt;2,HLOOKUP($A981,#REF!,15,FALSE)&lt;-2),"",#REF!),"")</f>
        <v/>
      </c>
      <c r="R981" t="str">
        <f>IFERROR(IF(OR(HLOOKUP($A981,#REF!,16,FALSE)&gt;2,HLOOKUP($A981,#REF!,16,FALSE)&lt;-2),"",#REF!),"")</f>
        <v/>
      </c>
      <c r="S981" t="str">
        <f>IFERROR(IF(OR(HLOOKUP($A981,#REF!,17,FALSE)&gt;2,HLOOKUP($A981,#REF!,17,FALSE)&lt;-2),"",#REF!),"")</f>
        <v/>
      </c>
      <c r="T981" t="str">
        <f>IFERROR(IF(OR(HLOOKUP($A981,#REF!,18,FALSE)&gt;2,HLOOKUP($A981,#REF!,18,FALSE)&lt;-2),"",#REF!),"")</f>
        <v/>
      </c>
      <c r="U981" t="str">
        <f>IFERROR(IF(OR(HLOOKUP($A981,#REF!,19,FALSE)&gt;2,HLOOKUP($A981,#REF!,19,FALSE)&lt;-2),"",#REF!),"")</f>
        <v/>
      </c>
      <c r="V981">
        <f t="shared" si="60"/>
        <v>1</v>
      </c>
      <c r="W981" t="str">
        <f t="shared" si="61"/>
        <v/>
      </c>
      <c r="X981" t="str">
        <f t="shared" si="62"/>
        <v/>
      </c>
      <c r="Y981" t="str">
        <f t="shared" si="63"/>
        <v/>
      </c>
    </row>
    <row r="982" spans="1:25" x14ac:dyDescent="0.35">
      <c r="A982">
        <v>990</v>
      </c>
      <c r="B982" t="s">
        <v>489</v>
      </c>
      <c r="C982">
        <v>13000</v>
      </c>
      <c r="D982">
        <v>1018</v>
      </c>
      <c r="E982" t="str">
        <f>IFERROR(IF(OR(HLOOKUP($A982,#REF!,3,FALSE)&gt;2,HLOOKUP(A982,#REF!,3,FALSE)&lt;-2),"",#REF!),"")</f>
        <v/>
      </c>
      <c r="F982" t="str">
        <f>IFERROR(IF(OR(HLOOKUP($A982,#REF!,4,FALSE)&gt;2,HLOOKUP($A982,#REF!,4,FALSE)&lt;-2),"",#REF!),"")</f>
        <v/>
      </c>
      <c r="G982" t="str">
        <f>IFERROR(IF(OR(HLOOKUP($A982,#REF!,5,FALSE)&gt;2,HLOOKUP($A982,#REF!,5,FALSE)&lt;-2),"",#REF!),"")</f>
        <v/>
      </c>
      <c r="H982" t="str">
        <f>IFERROR(IF(OR(HLOOKUP($A982,#REF!,6,FALSE)&gt;2,HLOOKUP($A982,#REF!,6,FALSE)&lt;-2),"",#REF!),"")</f>
        <v/>
      </c>
      <c r="I982" t="str">
        <f>IFERROR(IF(OR(HLOOKUP($A982,#REF!,7,FALSE)&gt;2,HLOOKUP($A982,#REF!,7,FALSE)&lt;-2),"",#REF!),"")</f>
        <v/>
      </c>
      <c r="J982" t="str">
        <f>IFERROR(IF(OR(HLOOKUP($A982,#REF!,8,FALSE)&gt;2,HLOOKUP($A982,#REF!,8,FALSE)&lt;-2),"",#REF!),"")</f>
        <v/>
      </c>
      <c r="K982" t="str">
        <f>IFERROR(IF(OR(HLOOKUP($A982,#REF!,9,FALSE)&gt;2,HLOOKUP($A982,#REF!,9,FALSE)&lt;-2),"",#REF!),"")</f>
        <v/>
      </c>
      <c r="L982" t="str">
        <f>IFERROR(IF(OR(HLOOKUP($A982,#REF!,10,FALSE)&gt;2,HLOOKUP($A982,#REF!,10,FALSE)&lt;-2),"",#REF!),"")</f>
        <v/>
      </c>
      <c r="M982" t="str">
        <f>IFERROR(IF(OR(HLOOKUP($A982,#REF!,11,FALSE)&gt;2,HLOOKUP($A982,#REF!,11,FALSE)&lt;-2),"",#REF!),"")</f>
        <v/>
      </c>
      <c r="N982" t="str">
        <f>IFERROR(IF(OR(HLOOKUP($A982,#REF!,12,FALSE)&gt;2,HLOOKUP($A982,#REF!,12,FALSE)&lt;-2),"",#REF!),"")</f>
        <v/>
      </c>
      <c r="O982" t="str">
        <f>IFERROR(IF(OR(HLOOKUP($A982,#REF!,13,FALSE)&gt;2,HLOOKUP($A982,#REF!,13,FALSE)&lt;-2),"",#REF!),"")</f>
        <v/>
      </c>
      <c r="P982" t="str">
        <f>IFERROR(IF(OR(HLOOKUP($A982,#REF!,14,FALSE)&gt;2,HLOOKUP($A982,#REF!,14,FALSE)&lt;-2),"",#REF!),"")</f>
        <v/>
      </c>
      <c r="Q982" t="str">
        <f>IFERROR(IF(OR(HLOOKUP($A982,#REF!,15,FALSE)&gt;2,HLOOKUP($A982,#REF!,15,FALSE)&lt;-2),"",#REF!),"")</f>
        <v/>
      </c>
      <c r="R982" t="str">
        <f>IFERROR(IF(OR(HLOOKUP($A982,#REF!,16,FALSE)&gt;2,HLOOKUP($A982,#REF!,16,FALSE)&lt;-2),"",#REF!),"")</f>
        <v/>
      </c>
      <c r="S982" t="str">
        <f>IFERROR(IF(OR(HLOOKUP($A982,#REF!,17,FALSE)&gt;2,HLOOKUP($A982,#REF!,17,FALSE)&lt;-2),"",#REF!),"")</f>
        <v/>
      </c>
      <c r="T982" t="str">
        <f>IFERROR(IF(OR(HLOOKUP($A982,#REF!,18,FALSE)&gt;2,HLOOKUP($A982,#REF!,18,FALSE)&lt;-2),"",#REF!),"")</f>
        <v/>
      </c>
      <c r="U982" t="str">
        <f>IFERROR(IF(OR(HLOOKUP($A982,#REF!,19,FALSE)&gt;2,HLOOKUP($A982,#REF!,19,FALSE)&lt;-2),"",#REF!),"")</f>
        <v/>
      </c>
      <c r="V982">
        <f t="shared" si="60"/>
        <v>1</v>
      </c>
      <c r="W982" t="str">
        <f t="shared" si="61"/>
        <v/>
      </c>
      <c r="X982" t="str">
        <f t="shared" si="62"/>
        <v/>
      </c>
      <c r="Y982" t="str">
        <f t="shared" si="63"/>
        <v/>
      </c>
    </row>
    <row r="983" spans="1:25" x14ac:dyDescent="0.35">
      <c r="A983">
        <v>991</v>
      </c>
      <c r="B983" t="s">
        <v>1096</v>
      </c>
      <c r="C983">
        <v>110500</v>
      </c>
      <c r="D983">
        <v>1009</v>
      </c>
      <c r="E983" t="str">
        <f>IFERROR(IF(OR(HLOOKUP($A983,#REF!,3,FALSE)&gt;2,HLOOKUP(A983,#REF!,3,FALSE)&lt;-2),"",#REF!),"")</f>
        <v/>
      </c>
      <c r="F983" t="str">
        <f>IFERROR(IF(OR(HLOOKUP($A983,#REF!,4,FALSE)&gt;2,HLOOKUP($A983,#REF!,4,FALSE)&lt;-2),"",#REF!),"")</f>
        <v/>
      </c>
      <c r="G983" t="str">
        <f>IFERROR(IF(OR(HLOOKUP($A983,#REF!,5,FALSE)&gt;2,HLOOKUP($A983,#REF!,5,FALSE)&lt;-2),"",#REF!),"")</f>
        <v/>
      </c>
      <c r="H983" t="str">
        <f>IFERROR(IF(OR(HLOOKUP($A983,#REF!,6,FALSE)&gt;2,HLOOKUP($A983,#REF!,6,FALSE)&lt;-2),"",#REF!),"")</f>
        <v/>
      </c>
      <c r="I983" t="str">
        <f>IFERROR(IF(OR(HLOOKUP($A983,#REF!,7,FALSE)&gt;2,HLOOKUP($A983,#REF!,7,FALSE)&lt;-2),"",#REF!),"")</f>
        <v/>
      </c>
      <c r="J983" t="str">
        <f>IFERROR(IF(OR(HLOOKUP($A983,#REF!,8,FALSE)&gt;2,HLOOKUP($A983,#REF!,8,FALSE)&lt;-2),"",#REF!),"")</f>
        <v/>
      </c>
      <c r="K983" t="str">
        <f>IFERROR(IF(OR(HLOOKUP($A983,#REF!,9,FALSE)&gt;2,HLOOKUP($A983,#REF!,9,FALSE)&lt;-2),"",#REF!),"")</f>
        <v/>
      </c>
      <c r="L983" t="str">
        <f>IFERROR(IF(OR(HLOOKUP($A983,#REF!,10,FALSE)&gt;2,HLOOKUP($A983,#REF!,10,FALSE)&lt;-2),"",#REF!),"")</f>
        <v/>
      </c>
      <c r="M983" t="str">
        <f>IFERROR(IF(OR(HLOOKUP($A983,#REF!,11,FALSE)&gt;2,HLOOKUP($A983,#REF!,11,FALSE)&lt;-2),"",#REF!),"")</f>
        <v/>
      </c>
      <c r="N983" t="str">
        <f>IFERROR(IF(OR(HLOOKUP($A983,#REF!,12,FALSE)&gt;2,HLOOKUP($A983,#REF!,12,FALSE)&lt;-2),"",#REF!),"")</f>
        <v/>
      </c>
      <c r="O983" t="str">
        <f>IFERROR(IF(OR(HLOOKUP($A983,#REF!,13,FALSE)&gt;2,HLOOKUP($A983,#REF!,13,FALSE)&lt;-2),"",#REF!),"")</f>
        <v/>
      </c>
      <c r="P983" t="str">
        <f>IFERROR(IF(OR(HLOOKUP($A983,#REF!,14,FALSE)&gt;2,HLOOKUP($A983,#REF!,14,FALSE)&lt;-2),"",#REF!),"")</f>
        <v/>
      </c>
      <c r="Q983" t="str">
        <f>IFERROR(IF(OR(HLOOKUP($A983,#REF!,15,FALSE)&gt;2,HLOOKUP($A983,#REF!,15,FALSE)&lt;-2),"",#REF!),"")</f>
        <v/>
      </c>
      <c r="R983" t="str">
        <f>IFERROR(IF(OR(HLOOKUP($A983,#REF!,16,FALSE)&gt;2,HLOOKUP($A983,#REF!,16,FALSE)&lt;-2),"",#REF!),"")</f>
        <v/>
      </c>
      <c r="S983" t="str">
        <f>IFERROR(IF(OR(HLOOKUP($A983,#REF!,17,FALSE)&gt;2,HLOOKUP($A983,#REF!,17,FALSE)&lt;-2),"",#REF!),"")</f>
        <v/>
      </c>
      <c r="T983" t="str">
        <f>IFERROR(IF(OR(HLOOKUP($A983,#REF!,18,FALSE)&gt;2,HLOOKUP($A983,#REF!,18,FALSE)&lt;-2),"",#REF!),"")</f>
        <v/>
      </c>
      <c r="U983" t="str">
        <f>IFERROR(IF(OR(HLOOKUP($A983,#REF!,19,FALSE)&gt;2,HLOOKUP($A983,#REF!,19,FALSE)&lt;-2),"",#REF!),"")</f>
        <v/>
      </c>
      <c r="V983">
        <f t="shared" si="60"/>
        <v>1</v>
      </c>
      <c r="W983" t="str">
        <f t="shared" si="61"/>
        <v/>
      </c>
      <c r="X983" t="str">
        <f t="shared" si="62"/>
        <v/>
      </c>
      <c r="Y983" t="str">
        <f t="shared" si="63"/>
        <v/>
      </c>
    </row>
    <row r="984" spans="1:25" x14ac:dyDescent="0.35">
      <c r="A984">
        <v>992</v>
      </c>
      <c r="B984" t="s">
        <v>1097</v>
      </c>
      <c r="C984">
        <v>56400</v>
      </c>
      <c r="D984">
        <v>928</v>
      </c>
      <c r="E984" t="str">
        <f>IFERROR(IF(OR(HLOOKUP($A984,#REF!,3,FALSE)&gt;2,HLOOKUP(A984,#REF!,3,FALSE)&lt;-2),"",#REF!),"")</f>
        <v/>
      </c>
      <c r="F984" t="str">
        <f>IFERROR(IF(OR(HLOOKUP($A984,#REF!,4,FALSE)&gt;2,HLOOKUP($A984,#REF!,4,FALSE)&lt;-2),"",#REF!),"")</f>
        <v/>
      </c>
      <c r="G984" t="str">
        <f>IFERROR(IF(OR(HLOOKUP($A984,#REF!,5,FALSE)&gt;2,HLOOKUP($A984,#REF!,5,FALSE)&lt;-2),"",#REF!),"")</f>
        <v/>
      </c>
      <c r="H984" t="str">
        <f>IFERROR(IF(OR(HLOOKUP($A984,#REF!,6,FALSE)&gt;2,HLOOKUP($A984,#REF!,6,FALSE)&lt;-2),"",#REF!),"")</f>
        <v/>
      </c>
      <c r="I984" t="str">
        <f>IFERROR(IF(OR(HLOOKUP($A984,#REF!,7,FALSE)&gt;2,HLOOKUP($A984,#REF!,7,FALSE)&lt;-2),"",#REF!),"")</f>
        <v/>
      </c>
      <c r="J984" t="str">
        <f>IFERROR(IF(OR(HLOOKUP($A984,#REF!,8,FALSE)&gt;2,HLOOKUP($A984,#REF!,8,FALSE)&lt;-2),"",#REF!),"")</f>
        <v/>
      </c>
      <c r="K984" t="str">
        <f>IFERROR(IF(OR(HLOOKUP($A984,#REF!,9,FALSE)&gt;2,HLOOKUP($A984,#REF!,9,FALSE)&lt;-2),"",#REF!),"")</f>
        <v/>
      </c>
      <c r="L984" t="str">
        <f>IFERROR(IF(OR(HLOOKUP($A984,#REF!,10,FALSE)&gt;2,HLOOKUP($A984,#REF!,10,FALSE)&lt;-2),"",#REF!),"")</f>
        <v/>
      </c>
      <c r="M984" t="str">
        <f>IFERROR(IF(OR(HLOOKUP($A984,#REF!,11,FALSE)&gt;2,HLOOKUP($A984,#REF!,11,FALSE)&lt;-2),"",#REF!),"")</f>
        <v/>
      </c>
      <c r="N984" t="str">
        <f>IFERROR(IF(OR(HLOOKUP($A984,#REF!,12,FALSE)&gt;2,HLOOKUP($A984,#REF!,12,FALSE)&lt;-2),"",#REF!),"")</f>
        <v/>
      </c>
      <c r="O984" t="str">
        <f>IFERROR(IF(OR(HLOOKUP($A984,#REF!,13,FALSE)&gt;2,HLOOKUP($A984,#REF!,13,FALSE)&lt;-2),"",#REF!),"")</f>
        <v/>
      </c>
      <c r="P984" t="str">
        <f>IFERROR(IF(OR(HLOOKUP($A984,#REF!,14,FALSE)&gt;2,HLOOKUP($A984,#REF!,14,FALSE)&lt;-2),"",#REF!),"")</f>
        <v/>
      </c>
      <c r="Q984" t="str">
        <f>IFERROR(IF(OR(HLOOKUP($A984,#REF!,15,FALSE)&gt;2,HLOOKUP($A984,#REF!,15,FALSE)&lt;-2),"",#REF!),"")</f>
        <v/>
      </c>
      <c r="R984" t="str">
        <f>IFERROR(IF(OR(HLOOKUP($A984,#REF!,16,FALSE)&gt;2,HLOOKUP($A984,#REF!,16,FALSE)&lt;-2),"",#REF!),"")</f>
        <v/>
      </c>
      <c r="S984" t="str">
        <f>IFERROR(IF(OR(HLOOKUP($A984,#REF!,17,FALSE)&gt;2,HLOOKUP($A984,#REF!,17,FALSE)&lt;-2),"",#REF!),"")</f>
        <v/>
      </c>
      <c r="T984" t="str">
        <f>IFERROR(IF(OR(HLOOKUP($A984,#REF!,18,FALSE)&gt;2,HLOOKUP($A984,#REF!,18,FALSE)&lt;-2),"",#REF!),"")</f>
        <v/>
      </c>
      <c r="U984" t="str">
        <f>IFERROR(IF(OR(HLOOKUP($A984,#REF!,19,FALSE)&gt;2,HLOOKUP($A984,#REF!,19,FALSE)&lt;-2),"",#REF!),"")</f>
        <v/>
      </c>
      <c r="V984">
        <f t="shared" si="60"/>
        <v>1</v>
      </c>
      <c r="W984" t="str">
        <f t="shared" si="61"/>
        <v/>
      </c>
      <c r="X984" t="str">
        <f t="shared" si="62"/>
        <v/>
      </c>
      <c r="Y984" t="str">
        <f t="shared" si="63"/>
        <v/>
      </c>
    </row>
    <row r="985" spans="1:25" x14ac:dyDescent="0.35">
      <c r="A985">
        <v>993</v>
      </c>
      <c r="B985" t="s">
        <v>1098</v>
      </c>
      <c r="C985">
        <v>2100</v>
      </c>
      <c r="D985">
        <v>500</v>
      </c>
      <c r="E985" t="str">
        <f>IFERROR(IF(OR(HLOOKUP($A985,#REF!,3,FALSE)&gt;2,HLOOKUP(A985,#REF!,3,FALSE)&lt;-2),"",#REF!),"")</f>
        <v/>
      </c>
      <c r="F985" t="str">
        <f>IFERROR(IF(OR(HLOOKUP($A985,#REF!,4,FALSE)&gt;2,HLOOKUP($A985,#REF!,4,FALSE)&lt;-2),"",#REF!),"")</f>
        <v/>
      </c>
      <c r="G985" t="str">
        <f>IFERROR(IF(OR(HLOOKUP($A985,#REF!,5,FALSE)&gt;2,HLOOKUP($A985,#REF!,5,FALSE)&lt;-2),"",#REF!),"")</f>
        <v/>
      </c>
      <c r="H985" t="str">
        <f>IFERROR(IF(OR(HLOOKUP($A985,#REF!,6,FALSE)&gt;2,HLOOKUP($A985,#REF!,6,FALSE)&lt;-2),"",#REF!),"")</f>
        <v/>
      </c>
      <c r="I985" t="str">
        <f>IFERROR(IF(OR(HLOOKUP($A985,#REF!,7,FALSE)&gt;2,HLOOKUP($A985,#REF!,7,FALSE)&lt;-2),"",#REF!),"")</f>
        <v/>
      </c>
      <c r="J985" t="str">
        <f>IFERROR(IF(OR(HLOOKUP($A985,#REF!,8,FALSE)&gt;2,HLOOKUP($A985,#REF!,8,FALSE)&lt;-2),"",#REF!),"")</f>
        <v/>
      </c>
      <c r="K985" t="str">
        <f>IFERROR(IF(OR(HLOOKUP($A985,#REF!,9,FALSE)&gt;2,HLOOKUP($A985,#REF!,9,FALSE)&lt;-2),"",#REF!),"")</f>
        <v/>
      </c>
      <c r="L985" t="str">
        <f>IFERROR(IF(OR(HLOOKUP($A985,#REF!,10,FALSE)&gt;2,HLOOKUP($A985,#REF!,10,FALSE)&lt;-2),"",#REF!),"")</f>
        <v/>
      </c>
      <c r="M985" t="str">
        <f>IFERROR(IF(OR(HLOOKUP($A985,#REF!,11,FALSE)&gt;2,HLOOKUP($A985,#REF!,11,FALSE)&lt;-2),"",#REF!),"")</f>
        <v/>
      </c>
      <c r="N985" t="str">
        <f>IFERROR(IF(OR(HLOOKUP($A985,#REF!,12,FALSE)&gt;2,HLOOKUP($A985,#REF!,12,FALSE)&lt;-2),"",#REF!),"")</f>
        <v/>
      </c>
      <c r="O985" t="str">
        <f>IFERROR(IF(OR(HLOOKUP($A985,#REF!,13,FALSE)&gt;2,HLOOKUP($A985,#REF!,13,FALSE)&lt;-2),"",#REF!),"")</f>
        <v/>
      </c>
      <c r="P985" t="str">
        <f>IFERROR(IF(OR(HLOOKUP($A985,#REF!,14,FALSE)&gt;2,HLOOKUP($A985,#REF!,14,FALSE)&lt;-2),"",#REF!),"")</f>
        <v/>
      </c>
      <c r="Q985" t="str">
        <f>IFERROR(IF(OR(HLOOKUP($A985,#REF!,15,FALSE)&gt;2,HLOOKUP($A985,#REF!,15,FALSE)&lt;-2),"",#REF!),"")</f>
        <v/>
      </c>
      <c r="R985" t="str">
        <f>IFERROR(IF(OR(HLOOKUP($A985,#REF!,16,FALSE)&gt;2,HLOOKUP($A985,#REF!,16,FALSE)&lt;-2),"",#REF!),"")</f>
        <v/>
      </c>
      <c r="S985" t="str">
        <f>IFERROR(IF(OR(HLOOKUP($A985,#REF!,17,FALSE)&gt;2,HLOOKUP($A985,#REF!,17,FALSE)&lt;-2),"",#REF!),"")</f>
        <v/>
      </c>
      <c r="T985" t="str">
        <f>IFERROR(IF(OR(HLOOKUP($A985,#REF!,18,FALSE)&gt;2,HLOOKUP($A985,#REF!,18,FALSE)&lt;-2),"",#REF!),"")</f>
        <v/>
      </c>
      <c r="U985" t="str">
        <f>IFERROR(IF(OR(HLOOKUP($A985,#REF!,19,FALSE)&gt;2,HLOOKUP($A985,#REF!,19,FALSE)&lt;-2),"",#REF!),"")</f>
        <v/>
      </c>
      <c r="V985">
        <f t="shared" si="60"/>
        <v>1</v>
      </c>
      <c r="W985" t="str">
        <f t="shared" si="61"/>
        <v/>
      </c>
      <c r="X985" t="str">
        <f t="shared" si="62"/>
        <v/>
      </c>
      <c r="Y985" t="str">
        <f t="shared" si="63"/>
        <v/>
      </c>
    </row>
    <row r="986" spans="1:25" x14ac:dyDescent="0.35">
      <c r="A986">
        <v>994</v>
      </c>
      <c r="B986" t="s">
        <v>1099</v>
      </c>
      <c r="C986">
        <v>107500</v>
      </c>
      <c r="D986">
        <v>784</v>
      </c>
      <c r="E986" t="str">
        <f>IFERROR(IF(OR(HLOOKUP($A986,#REF!,3,FALSE)&gt;2,HLOOKUP(A986,#REF!,3,FALSE)&lt;-2),"",#REF!),"")</f>
        <v/>
      </c>
      <c r="F986" t="str">
        <f>IFERROR(IF(OR(HLOOKUP($A986,#REF!,4,FALSE)&gt;2,HLOOKUP($A986,#REF!,4,FALSE)&lt;-2),"",#REF!),"")</f>
        <v/>
      </c>
      <c r="G986" t="str">
        <f>IFERROR(IF(OR(HLOOKUP($A986,#REF!,5,FALSE)&gt;2,HLOOKUP($A986,#REF!,5,FALSE)&lt;-2),"",#REF!),"")</f>
        <v/>
      </c>
      <c r="H986" t="str">
        <f>IFERROR(IF(OR(HLOOKUP($A986,#REF!,6,FALSE)&gt;2,HLOOKUP($A986,#REF!,6,FALSE)&lt;-2),"",#REF!),"")</f>
        <v/>
      </c>
      <c r="I986" t="str">
        <f>IFERROR(IF(OR(HLOOKUP($A986,#REF!,7,FALSE)&gt;2,HLOOKUP($A986,#REF!,7,FALSE)&lt;-2),"",#REF!),"")</f>
        <v/>
      </c>
      <c r="J986" t="str">
        <f>IFERROR(IF(OR(HLOOKUP($A986,#REF!,8,FALSE)&gt;2,HLOOKUP($A986,#REF!,8,FALSE)&lt;-2),"",#REF!),"")</f>
        <v/>
      </c>
      <c r="K986" t="str">
        <f>IFERROR(IF(OR(HLOOKUP($A986,#REF!,9,FALSE)&gt;2,HLOOKUP($A986,#REF!,9,FALSE)&lt;-2),"",#REF!),"")</f>
        <v/>
      </c>
      <c r="L986" t="str">
        <f>IFERROR(IF(OR(HLOOKUP($A986,#REF!,10,FALSE)&gt;2,HLOOKUP($A986,#REF!,10,FALSE)&lt;-2),"",#REF!),"")</f>
        <v/>
      </c>
      <c r="M986" t="str">
        <f>IFERROR(IF(OR(HLOOKUP($A986,#REF!,11,FALSE)&gt;2,HLOOKUP($A986,#REF!,11,FALSE)&lt;-2),"",#REF!),"")</f>
        <v/>
      </c>
      <c r="N986" t="str">
        <f>IFERROR(IF(OR(HLOOKUP($A986,#REF!,12,FALSE)&gt;2,HLOOKUP($A986,#REF!,12,FALSE)&lt;-2),"",#REF!),"")</f>
        <v/>
      </c>
      <c r="O986" t="str">
        <f>IFERROR(IF(OR(HLOOKUP($A986,#REF!,13,FALSE)&gt;2,HLOOKUP($A986,#REF!,13,FALSE)&lt;-2),"",#REF!),"")</f>
        <v/>
      </c>
      <c r="P986" t="str">
        <f>IFERROR(IF(OR(HLOOKUP($A986,#REF!,14,FALSE)&gt;2,HLOOKUP($A986,#REF!,14,FALSE)&lt;-2),"",#REF!),"")</f>
        <v/>
      </c>
      <c r="Q986" t="str">
        <f>IFERROR(IF(OR(HLOOKUP($A986,#REF!,15,FALSE)&gt;2,HLOOKUP($A986,#REF!,15,FALSE)&lt;-2),"",#REF!),"")</f>
        <v/>
      </c>
      <c r="R986" t="str">
        <f>IFERROR(IF(OR(HLOOKUP($A986,#REF!,16,FALSE)&gt;2,HLOOKUP($A986,#REF!,16,FALSE)&lt;-2),"",#REF!),"")</f>
        <v/>
      </c>
      <c r="S986" t="str">
        <f>IFERROR(IF(OR(HLOOKUP($A986,#REF!,17,FALSE)&gt;2,HLOOKUP($A986,#REF!,17,FALSE)&lt;-2),"",#REF!),"")</f>
        <v/>
      </c>
      <c r="T986" t="str">
        <f>IFERROR(IF(OR(HLOOKUP($A986,#REF!,18,FALSE)&gt;2,HLOOKUP($A986,#REF!,18,FALSE)&lt;-2),"",#REF!),"")</f>
        <v/>
      </c>
      <c r="U986" t="str">
        <f>IFERROR(IF(OR(HLOOKUP($A986,#REF!,19,FALSE)&gt;2,HLOOKUP($A986,#REF!,19,FALSE)&lt;-2),"",#REF!),"")</f>
        <v/>
      </c>
      <c r="V986">
        <f t="shared" si="60"/>
        <v>1</v>
      </c>
      <c r="W986" t="str">
        <f t="shared" si="61"/>
        <v/>
      </c>
      <c r="X986" t="str">
        <f t="shared" si="62"/>
        <v/>
      </c>
      <c r="Y986" t="str">
        <f t="shared" si="63"/>
        <v/>
      </c>
    </row>
    <row r="987" spans="1:25" x14ac:dyDescent="0.35">
      <c r="A987">
        <v>995</v>
      </c>
      <c r="B987" t="s">
        <v>1100</v>
      </c>
      <c r="C987">
        <v>95500</v>
      </c>
      <c r="D987">
        <v>370</v>
      </c>
      <c r="E987" t="str">
        <f>IFERROR(IF(OR(HLOOKUP($A987,#REF!,3,FALSE)&gt;2,HLOOKUP(A987,#REF!,3,FALSE)&lt;-2),"",#REF!),"")</f>
        <v/>
      </c>
      <c r="F987" t="str">
        <f>IFERROR(IF(OR(HLOOKUP($A987,#REF!,4,FALSE)&gt;2,HLOOKUP($A987,#REF!,4,FALSE)&lt;-2),"",#REF!),"")</f>
        <v/>
      </c>
      <c r="G987" t="str">
        <f>IFERROR(IF(OR(HLOOKUP($A987,#REF!,5,FALSE)&gt;2,HLOOKUP($A987,#REF!,5,FALSE)&lt;-2),"",#REF!),"")</f>
        <v/>
      </c>
      <c r="H987" t="str">
        <f>IFERROR(IF(OR(HLOOKUP($A987,#REF!,6,FALSE)&gt;2,HLOOKUP($A987,#REF!,6,FALSE)&lt;-2),"",#REF!),"")</f>
        <v/>
      </c>
      <c r="I987" t="str">
        <f>IFERROR(IF(OR(HLOOKUP($A987,#REF!,7,FALSE)&gt;2,HLOOKUP($A987,#REF!,7,FALSE)&lt;-2),"",#REF!),"")</f>
        <v/>
      </c>
      <c r="J987" t="str">
        <f>IFERROR(IF(OR(HLOOKUP($A987,#REF!,8,FALSE)&gt;2,HLOOKUP($A987,#REF!,8,FALSE)&lt;-2),"",#REF!),"")</f>
        <v/>
      </c>
      <c r="K987" t="str">
        <f>IFERROR(IF(OR(HLOOKUP($A987,#REF!,9,FALSE)&gt;2,HLOOKUP($A987,#REF!,9,FALSE)&lt;-2),"",#REF!),"")</f>
        <v/>
      </c>
      <c r="L987" t="str">
        <f>IFERROR(IF(OR(HLOOKUP($A987,#REF!,10,FALSE)&gt;2,HLOOKUP($A987,#REF!,10,FALSE)&lt;-2),"",#REF!),"")</f>
        <v/>
      </c>
      <c r="M987" t="str">
        <f>IFERROR(IF(OR(HLOOKUP($A987,#REF!,11,FALSE)&gt;2,HLOOKUP($A987,#REF!,11,FALSE)&lt;-2),"",#REF!),"")</f>
        <v/>
      </c>
      <c r="N987" t="str">
        <f>IFERROR(IF(OR(HLOOKUP($A987,#REF!,12,FALSE)&gt;2,HLOOKUP($A987,#REF!,12,FALSE)&lt;-2),"",#REF!),"")</f>
        <v/>
      </c>
      <c r="O987" t="str">
        <f>IFERROR(IF(OR(HLOOKUP($A987,#REF!,13,FALSE)&gt;2,HLOOKUP($A987,#REF!,13,FALSE)&lt;-2),"",#REF!),"")</f>
        <v/>
      </c>
      <c r="P987" t="str">
        <f>IFERROR(IF(OR(HLOOKUP($A987,#REF!,14,FALSE)&gt;2,HLOOKUP($A987,#REF!,14,FALSE)&lt;-2),"",#REF!),"")</f>
        <v/>
      </c>
      <c r="Q987" t="str">
        <f>IFERROR(IF(OR(HLOOKUP($A987,#REF!,15,FALSE)&gt;2,HLOOKUP($A987,#REF!,15,FALSE)&lt;-2),"",#REF!),"")</f>
        <v/>
      </c>
      <c r="R987" t="str">
        <f>IFERROR(IF(OR(HLOOKUP($A987,#REF!,16,FALSE)&gt;2,HLOOKUP($A987,#REF!,16,FALSE)&lt;-2),"",#REF!),"")</f>
        <v/>
      </c>
      <c r="S987" t="str">
        <f>IFERROR(IF(OR(HLOOKUP($A987,#REF!,17,FALSE)&gt;2,HLOOKUP($A987,#REF!,17,FALSE)&lt;-2),"",#REF!),"")</f>
        <v/>
      </c>
      <c r="T987" t="str">
        <f>IFERROR(IF(OR(HLOOKUP($A987,#REF!,18,FALSE)&gt;2,HLOOKUP($A987,#REF!,18,FALSE)&lt;-2),"",#REF!),"")</f>
        <v/>
      </c>
      <c r="U987" t="str">
        <f>IFERROR(IF(OR(HLOOKUP($A987,#REF!,19,FALSE)&gt;2,HLOOKUP($A987,#REF!,19,FALSE)&lt;-2),"",#REF!),"")</f>
        <v/>
      </c>
      <c r="V987">
        <f t="shared" si="60"/>
        <v>1</v>
      </c>
      <c r="W987" t="str">
        <f t="shared" si="61"/>
        <v/>
      </c>
      <c r="X987" t="str">
        <f t="shared" si="62"/>
        <v/>
      </c>
      <c r="Y987" t="str">
        <f t="shared" si="63"/>
        <v/>
      </c>
    </row>
    <row r="988" spans="1:25" x14ac:dyDescent="0.35">
      <c r="A988">
        <v>996</v>
      </c>
      <c r="B988" t="s">
        <v>490</v>
      </c>
      <c r="C988">
        <v>23500</v>
      </c>
      <c r="D988">
        <v>104</v>
      </c>
      <c r="E988" t="str">
        <f>IFERROR(IF(OR(HLOOKUP($A988,#REF!,3,FALSE)&gt;2,HLOOKUP(A988,#REF!,3,FALSE)&lt;-2),"",#REF!),"")</f>
        <v/>
      </c>
      <c r="F988" t="str">
        <f>IFERROR(IF(OR(HLOOKUP($A988,#REF!,4,FALSE)&gt;2,HLOOKUP($A988,#REF!,4,FALSE)&lt;-2),"",#REF!),"")</f>
        <v/>
      </c>
      <c r="G988" t="str">
        <f>IFERROR(IF(OR(HLOOKUP($A988,#REF!,5,FALSE)&gt;2,HLOOKUP($A988,#REF!,5,FALSE)&lt;-2),"",#REF!),"")</f>
        <v/>
      </c>
      <c r="H988" t="str">
        <f>IFERROR(IF(OR(HLOOKUP($A988,#REF!,6,FALSE)&gt;2,HLOOKUP($A988,#REF!,6,FALSE)&lt;-2),"",#REF!),"")</f>
        <v/>
      </c>
      <c r="I988" t="str">
        <f>IFERROR(IF(OR(HLOOKUP($A988,#REF!,7,FALSE)&gt;2,HLOOKUP($A988,#REF!,7,FALSE)&lt;-2),"",#REF!),"")</f>
        <v/>
      </c>
      <c r="J988" t="str">
        <f>IFERROR(IF(OR(HLOOKUP($A988,#REF!,8,FALSE)&gt;2,HLOOKUP($A988,#REF!,8,FALSE)&lt;-2),"",#REF!),"")</f>
        <v/>
      </c>
      <c r="K988" t="str">
        <f>IFERROR(IF(OR(HLOOKUP($A988,#REF!,9,FALSE)&gt;2,HLOOKUP($A988,#REF!,9,FALSE)&lt;-2),"",#REF!),"")</f>
        <v/>
      </c>
      <c r="L988" t="str">
        <f>IFERROR(IF(OR(HLOOKUP($A988,#REF!,10,FALSE)&gt;2,HLOOKUP($A988,#REF!,10,FALSE)&lt;-2),"",#REF!),"")</f>
        <v/>
      </c>
      <c r="M988" t="str">
        <f>IFERROR(IF(OR(HLOOKUP($A988,#REF!,11,FALSE)&gt;2,HLOOKUP($A988,#REF!,11,FALSE)&lt;-2),"",#REF!),"")</f>
        <v/>
      </c>
      <c r="N988" t="str">
        <f>IFERROR(IF(OR(HLOOKUP($A988,#REF!,12,FALSE)&gt;2,HLOOKUP($A988,#REF!,12,FALSE)&lt;-2),"",#REF!),"")</f>
        <v/>
      </c>
      <c r="O988" t="str">
        <f>IFERROR(IF(OR(HLOOKUP($A988,#REF!,13,FALSE)&gt;2,HLOOKUP($A988,#REF!,13,FALSE)&lt;-2),"",#REF!),"")</f>
        <v/>
      </c>
      <c r="P988" t="str">
        <f>IFERROR(IF(OR(HLOOKUP($A988,#REF!,14,FALSE)&gt;2,HLOOKUP($A988,#REF!,14,FALSE)&lt;-2),"",#REF!),"")</f>
        <v/>
      </c>
      <c r="Q988" t="str">
        <f>IFERROR(IF(OR(HLOOKUP($A988,#REF!,15,FALSE)&gt;2,HLOOKUP($A988,#REF!,15,FALSE)&lt;-2),"",#REF!),"")</f>
        <v/>
      </c>
      <c r="R988" t="str">
        <f>IFERROR(IF(OR(HLOOKUP($A988,#REF!,16,FALSE)&gt;2,HLOOKUP($A988,#REF!,16,FALSE)&lt;-2),"",#REF!),"")</f>
        <v/>
      </c>
      <c r="S988" t="str">
        <f>IFERROR(IF(OR(HLOOKUP($A988,#REF!,17,FALSE)&gt;2,HLOOKUP($A988,#REF!,17,FALSE)&lt;-2),"",#REF!),"")</f>
        <v/>
      </c>
      <c r="T988" t="str">
        <f>IFERROR(IF(OR(HLOOKUP($A988,#REF!,18,FALSE)&gt;2,HLOOKUP($A988,#REF!,18,FALSE)&lt;-2),"",#REF!),"")</f>
        <v/>
      </c>
      <c r="U988" t="str">
        <f>IFERROR(IF(OR(HLOOKUP($A988,#REF!,19,FALSE)&gt;2,HLOOKUP($A988,#REF!,19,FALSE)&lt;-2),"",#REF!),"")</f>
        <v/>
      </c>
      <c r="V988">
        <f t="shared" si="60"/>
        <v>1</v>
      </c>
      <c r="W988" t="str">
        <f t="shared" si="61"/>
        <v/>
      </c>
      <c r="X988" t="str">
        <f t="shared" si="62"/>
        <v/>
      </c>
      <c r="Y988" t="str">
        <f t="shared" si="63"/>
        <v/>
      </c>
    </row>
    <row r="989" spans="1:25" x14ac:dyDescent="0.35">
      <c r="A989">
        <v>997</v>
      </c>
      <c r="B989" t="s">
        <v>491</v>
      </c>
      <c r="C989">
        <v>0</v>
      </c>
      <c r="E989" t="str">
        <f>IFERROR(IF(OR(HLOOKUP($A989,#REF!,3,FALSE)&gt;2,HLOOKUP(A989,#REF!,3,FALSE)&lt;-2),"",#REF!),"")</f>
        <v/>
      </c>
      <c r="F989" t="str">
        <f>IFERROR(IF(OR(HLOOKUP($A989,#REF!,4,FALSE)&gt;2,HLOOKUP($A989,#REF!,4,FALSE)&lt;-2),"",#REF!),"")</f>
        <v/>
      </c>
      <c r="G989" t="str">
        <f>IFERROR(IF(OR(HLOOKUP($A989,#REF!,5,FALSE)&gt;2,HLOOKUP($A989,#REF!,5,FALSE)&lt;-2),"",#REF!),"")</f>
        <v/>
      </c>
      <c r="H989" t="str">
        <f>IFERROR(IF(OR(HLOOKUP($A989,#REF!,6,FALSE)&gt;2,HLOOKUP($A989,#REF!,6,FALSE)&lt;-2),"",#REF!),"")</f>
        <v/>
      </c>
      <c r="I989" t="str">
        <f>IFERROR(IF(OR(HLOOKUP($A989,#REF!,7,FALSE)&gt;2,HLOOKUP($A989,#REF!,7,FALSE)&lt;-2),"",#REF!),"")</f>
        <v/>
      </c>
      <c r="J989" t="str">
        <f>IFERROR(IF(OR(HLOOKUP($A989,#REF!,8,FALSE)&gt;2,HLOOKUP($A989,#REF!,8,FALSE)&lt;-2),"",#REF!),"")</f>
        <v/>
      </c>
      <c r="K989" t="str">
        <f>IFERROR(IF(OR(HLOOKUP($A989,#REF!,9,FALSE)&gt;2,HLOOKUP($A989,#REF!,9,FALSE)&lt;-2),"",#REF!),"")</f>
        <v/>
      </c>
      <c r="L989" t="str">
        <f>IFERROR(IF(OR(HLOOKUP($A989,#REF!,10,FALSE)&gt;2,HLOOKUP($A989,#REF!,10,FALSE)&lt;-2),"",#REF!),"")</f>
        <v/>
      </c>
      <c r="M989" t="str">
        <f>IFERROR(IF(OR(HLOOKUP($A989,#REF!,11,FALSE)&gt;2,HLOOKUP($A989,#REF!,11,FALSE)&lt;-2),"",#REF!),"")</f>
        <v/>
      </c>
      <c r="N989" t="str">
        <f>IFERROR(IF(OR(HLOOKUP($A989,#REF!,12,FALSE)&gt;2,HLOOKUP($A989,#REF!,12,FALSE)&lt;-2),"",#REF!),"")</f>
        <v/>
      </c>
      <c r="O989" t="str">
        <f>IFERROR(IF(OR(HLOOKUP($A989,#REF!,13,FALSE)&gt;2,HLOOKUP($A989,#REF!,13,FALSE)&lt;-2),"",#REF!),"")</f>
        <v/>
      </c>
      <c r="P989" t="str">
        <f>IFERROR(IF(OR(HLOOKUP($A989,#REF!,14,FALSE)&gt;2,HLOOKUP($A989,#REF!,14,FALSE)&lt;-2),"",#REF!),"")</f>
        <v/>
      </c>
      <c r="Q989" t="str">
        <f>IFERROR(IF(OR(HLOOKUP($A989,#REF!,15,FALSE)&gt;2,HLOOKUP($A989,#REF!,15,FALSE)&lt;-2),"",#REF!),"")</f>
        <v/>
      </c>
      <c r="R989" t="str">
        <f>IFERROR(IF(OR(HLOOKUP($A989,#REF!,16,FALSE)&gt;2,HLOOKUP($A989,#REF!,16,FALSE)&lt;-2),"",#REF!),"")</f>
        <v/>
      </c>
      <c r="S989" t="str">
        <f>IFERROR(IF(OR(HLOOKUP($A989,#REF!,17,FALSE)&gt;2,HLOOKUP($A989,#REF!,17,FALSE)&lt;-2),"",#REF!),"")</f>
        <v/>
      </c>
      <c r="T989" t="str">
        <f>IFERROR(IF(OR(HLOOKUP($A989,#REF!,18,FALSE)&gt;2,HLOOKUP($A989,#REF!,18,FALSE)&lt;-2),"",#REF!),"")</f>
        <v/>
      </c>
      <c r="U989" t="str">
        <f>IFERROR(IF(OR(HLOOKUP($A989,#REF!,19,FALSE)&gt;2,HLOOKUP($A989,#REF!,19,FALSE)&lt;-2),"",#REF!),"")</f>
        <v/>
      </c>
      <c r="V989">
        <f t="shared" si="60"/>
        <v>1</v>
      </c>
      <c r="W989" t="str">
        <f t="shared" si="61"/>
        <v/>
      </c>
      <c r="X989" t="str">
        <f t="shared" si="62"/>
        <v/>
      </c>
      <c r="Y989" t="str">
        <f t="shared" si="63"/>
        <v/>
      </c>
    </row>
    <row r="990" spans="1:25" x14ac:dyDescent="0.35">
      <c r="A990">
        <v>998</v>
      </c>
      <c r="B990" t="s">
        <v>492</v>
      </c>
      <c r="C990">
        <v>48500</v>
      </c>
      <c r="D990">
        <v>493</v>
      </c>
      <c r="E990" t="str">
        <f>IFERROR(IF(OR(HLOOKUP($A990,#REF!,3,FALSE)&gt;2,HLOOKUP(A990,#REF!,3,FALSE)&lt;-2),"",#REF!),"")</f>
        <v/>
      </c>
      <c r="F990" t="str">
        <f>IFERROR(IF(OR(HLOOKUP($A990,#REF!,4,FALSE)&gt;2,HLOOKUP($A990,#REF!,4,FALSE)&lt;-2),"",#REF!),"")</f>
        <v/>
      </c>
      <c r="G990" t="str">
        <f>IFERROR(IF(OR(HLOOKUP($A990,#REF!,5,FALSE)&gt;2,HLOOKUP($A990,#REF!,5,FALSE)&lt;-2),"",#REF!),"")</f>
        <v/>
      </c>
      <c r="H990" t="str">
        <f>IFERROR(IF(OR(HLOOKUP($A990,#REF!,6,FALSE)&gt;2,HLOOKUP($A990,#REF!,6,FALSE)&lt;-2),"",#REF!),"")</f>
        <v/>
      </c>
      <c r="I990" t="str">
        <f>IFERROR(IF(OR(HLOOKUP($A990,#REF!,7,FALSE)&gt;2,HLOOKUP($A990,#REF!,7,FALSE)&lt;-2),"",#REF!),"")</f>
        <v/>
      </c>
      <c r="J990" t="str">
        <f>IFERROR(IF(OR(HLOOKUP($A990,#REF!,8,FALSE)&gt;2,HLOOKUP($A990,#REF!,8,FALSE)&lt;-2),"",#REF!),"")</f>
        <v/>
      </c>
      <c r="K990" t="str">
        <f>IFERROR(IF(OR(HLOOKUP($A990,#REF!,9,FALSE)&gt;2,HLOOKUP($A990,#REF!,9,FALSE)&lt;-2),"",#REF!),"")</f>
        <v/>
      </c>
      <c r="L990" t="str">
        <f>IFERROR(IF(OR(HLOOKUP($A990,#REF!,10,FALSE)&gt;2,HLOOKUP($A990,#REF!,10,FALSE)&lt;-2),"",#REF!),"")</f>
        <v/>
      </c>
      <c r="M990" t="str">
        <f>IFERROR(IF(OR(HLOOKUP($A990,#REF!,11,FALSE)&gt;2,HLOOKUP($A990,#REF!,11,FALSE)&lt;-2),"",#REF!),"")</f>
        <v/>
      </c>
      <c r="N990" t="str">
        <f>IFERROR(IF(OR(HLOOKUP($A990,#REF!,12,FALSE)&gt;2,HLOOKUP($A990,#REF!,12,FALSE)&lt;-2),"",#REF!),"")</f>
        <v/>
      </c>
      <c r="O990" t="str">
        <f>IFERROR(IF(OR(HLOOKUP($A990,#REF!,13,FALSE)&gt;2,HLOOKUP($A990,#REF!,13,FALSE)&lt;-2),"",#REF!),"")</f>
        <v/>
      </c>
      <c r="P990" t="str">
        <f>IFERROR(IF(OR(HLOOKUP($A990,#REF!,14,FALSE)&gt;2,HLOOKUP($A990,#REF!,14,FALSE)&lt;-2),"",#REF!),"")</f>
        <v/>
      </c>
      <c r="Q990" t="str">
        <f>IFERROR(IF(OR(HLOOKUP($A990,#REF!,15,FALSE)&gt;2,HLOOKUP($A990,#REF!,15,FALSE)&lt;-2),"",#REF!),"")</f>
        <v/>
      </c>
      <c r="R990" t="str">
        <f>IFERROR(IF(OR(HLOOKUP($A990,#REF!,16,FALSE)&gt;2,HLOOKUP($A990,#REF!,16,FALSE)&lt;-2),"",#REF!),"")</f>
        <v/>
      </c>
      <c r="S990" t="str">
        <f>IFERROR(IF(OR(HLOOKUP($A990,#REF!,17,FALSE)&gt;2,HLOOKUP($A990,#REF!,17,FALSE)&lt;-2),"",#REF!),"")</f>
        <v/>
      </c>
      <c r="T990" t="str">
        <f>IFERROR(IF(OR(HLOOKUP($A990,#REF!,18,FALSE)&gt;2,HLOOKUP($A990,#REF!,18,FALSE)&lt;-2),"",#REF!),"")</f>
        <v/>
      </c>
      <c r="U990" t="str">
        <f>IFERROR(IF(OR(HLOOKUP($A990,#REF!,19,FALSE)&gt;2,HLOOKUP($A990,#REF!,19,FALSE)&lt;-2),"",#REF!),"")</f>
        <v/>
      </c>
      <c r="V990">
        <f t="shared" si="60"/>
        <v>1</v>
      </c>
      <c r="W990" t="str">
        <f t="shared" si="61"/>
        <v/>
      </c>
      <c r="X990" t="str">
        <f t="shared" si="62"/>
        <v/>
      </c>
      <c r="Y990" t="str">
        <f t="shared" si="63"/>
        <v/>
      </c>
    </row>
    <row r="991" spans="1:25" x14ac:dyDescent="0.35">
      <c r="A991">
        <v>999</v>
      </c>
      <c r="B991" t="s">
        <v>1101</v>
      </c>
      <c r="C991">
        <v>41600</v>
      </c>
      <c r="D991">
        <v>918</v>
      </c>
      <c r="E991" t="str">
        <f>IFERROR(IF(OR(HLOOKUP($A991,#REF!,3,FALSE)&gt;2,HLOOKUP(A991,#REF!,3,FALSE)&lt;-2),"",#REF!),"")</f>
        <v/>
      </c>
      <c r="F991" t="str">
        <f>IFERROR(IF(OR(HLOOKUP($A991,#REF!,4,FALSE)&gt;2,HLOOKUP($A991,#REF!,4,FALSE)&lt;-2),"",#REF!),"")</f>
        <v/>
      </c>
      <c r="G991" t="str">
        <f>IFERROR(IF(OR(HLOOKUP($A991,#REF!,5,FALSE)&gt;2,HLOOKUP($A991,#REF!,5,FALSE)&lt;-2),"",#REF!),"")</f>
        <v/>
      </c>
      <c r="H991" t="str">
        <f>IFERROR(IF(OR(HLOOKUP($A991,#REF!,6,FALSE)&gt;2,HLOOKUP($A991,#REF!,6,FALSE)&lt;-2),"",#REF!),"")</f>
        <v/>
      </c>
      <c r="I991" t="str">
        <f>IFERROR(IF(OR(HLOOKUP($A991,#REF!,7,FALSE)&gt;2,HLOOKUP($A991,#REF!,7,FALSE)&lt;-2),"",#REF!),"")</f>
        <v/>
      </c>
      <c r="J991" t="str">
        <f>IFERROR(IF(OR(HLOOKUP($A991,#REF!,8,FALSE)&gt;2,HLOOKUP($A991,#REF!,8,FALSE)&lt;-2),"",#REF!),"")</f>
        <v/>
      </c>
      <c r="K991" t="str">
        <f>IFERROR(IF(OR(HLOOKUP($A991,#REF!,9,FALSE)&gt;2,HLOOKUP($A991,#REF!,9,FALSE)&lt;-2),"",#REF!),"")</f>
        <v/>
      </c>
      <c r="L991" t="str">
        <f>IFERROR(IF(OR(HLOOKUP($A991,#REF!,10,FALSE)&gt;2,HLOOKUP($A991,#REF!,10,FALSE)&lt;-2),"",#REF!),"")</f>
        <v/>
      </c>
      <c r="M991" t="str">
        <f>IFERROR(IF(OR(HLOOKUP($A991,#REF!,11,FALSE)&gt;2,HLOOKUP($A991,#REF!,11,FALSE)&lt;-2),"",#REF!),"")</f>
        <v/>
      </c>
      <c r="N991" t="str">
        <f>IFERROR(IF(OR(HLOOKUP($A991,#REF!,12,FALSE)&gt;2,HLOOKUP($A991,#REF!,12,FALSE)&lt;-2),"",#REF!),"")</f>
        <v/>
      </c>
      <c r="O991" t="str">
        <f>IFERROR(IF(OR(HLOOKUP($A991,#REF!,13,FALSE)&gt;2,HLOOKUP($A991,#REF!,13,FALSE)&lt;-2),"",#REF!),"")</f>
        <v/>
      </c>
      <c r="P991" t="str">
        <f>IFERROR(IF(OR(HLOOKUP($A991,#REF!,14,FALSE)&gt;2,HLOOKUP($A991,#REF!,14,FALSE)&lt;-2),"",#REF!),"")</f>
        <v/>
      </c>
      <c r="Q991" t="str">
        <f>IFERROR(IF(OR(HLOOKUP($A991,#REF!,15,FALSE)&gt;2,HLOOKUP($A991,#REF!,15,FALSE)&lt;-2),"",#REF!),"")</f>
        <v/>
      </c>
      <c r="R991" t="str">
        <f>IFERROR(IF(OR(HLOOKUP($A991,#REF!,16,FALSE)&gt;2,HLOOKUP($A991,#REF!,16,FALSE)&lt;-2),"",#REF!),"")</f>
        <v/>
      </c>
      <c r="S991" t="str">
        <f>IFERROR(IF(OR(HLOOKUP($A991,#REF!,17,FALSE)&gt;2,HLOOKUP($A991,#REF!,17,FALSE)&lt;-2),"",#REF!),"")</f>
        <v/>
      </c>
      <c r="T991" t="str">
        <f>IFERROR(IF(OR(HLOOKUP($A991,#REF!,18,FALSE)&gt;2,HLOOKUP($A991,#REF!,18,FALSE)&lt;-2),"",#REF!),"")</f>
        <v/>
      </c>
      <c r="U991" t="str">
        <f>IFERROR(IF(OR(HLOOKUP($A991,#REF!,19,FALSE)&gt;2,HLOOKUP($A991,#REF!,19,FALSE)&lt;-2),"",#REF!),"")</f>
        <v/>
      </c>
      <c r="V991">
        <f t="shared" si="60"/>
        <v>1</v>
      </c>
      <c r="W991" t="str">
        <f t="shared" si="61"/>
        <v/>
      </c>
      <c r="X991" t="str">
        <f t="shared" si="62"/>
        <v/>
      </c>
      <c r="Y991" t="str">
        <f t="shared" si="63"/>
        <v/>
      </c>
    </row>
    <row r="992" spans="1:25" x14ac:dyDescent="0.35">
      <c r="A992">
        <v>1000</v>
      </c>
      <c r="B992" t="s">
        <v>1102</v>
      </c>
      <c r="C992">
        <v>108500</v>
      </c>
      <c r="D992">
        <v>1009</v>
      </c>
      <c r="E992" t="str">
        <f>IFERROR(IF(OR(HLOOKUP($A992,#REF!,3,FALSE)&gt;2,HLOOKUP(A992,#REF!,3,FALSE)&lt;-2),"",#REF!),"")</f>
        <v/>
      </c>
      <c r="F992" t="str">
        <f>IFERROR(IF(OR(HLOOKUP($A992,#REF!,4,FALSE)&gt;2,HLOOKUP($A992,#REF!,4,FALSE)&lt;-2),"",#REF!),"")</f>
        <v/>
      </c>
      <c r="G992" t="str">
        <f>IFERROR(IF(OR(HLOOKUP($A992,#REF!,5,FALSE)&gt;2,HLOOKUP($A992,#REF!,5,FALSE)&lt;-2),"",#REF!),"")</f>
        <v/>
      </c>
      <c r="H992" t="str">
        <f>IFERROR(IF(OR(HLOOKUP($A992,#REF!,6,FALSE)&gt;2,HLOOKUP($A992,#REF!,6,FALSE)&lt;-2),"",#REF!),"")</f>
        <v/>
      </c>
      <c r="I992" t="str">
        <f>IFERROR(IF(OR(HLOOKUP($A992,#REF!,7,FALSE)&gt;2,HLOOKUP($A992,#REF!,7,FALSE)&lt;-2),"",#REF!),"")</f>
        <v/>
      </c>
      <c r="J992" t="str">
        <f>IFERROR(IF(OR(HLOOKUP($A992,#REF!,8,FALSE)&gt;2,HLOOKUP($A992,#REF!,8,FALSE)&lt;-2),"",#REF!),"")</f>
        <v/>
      </c>
      <c r="K992" t="str">
        <f>IFERROR(IF(OR(HLOOKUP($A992,#REF!,9,FALSE)&gt;2,HLOOKUP($A992,#REF!,9,FALSE)&lt;-2),"",#REF!),"")</f>
        <v/>
      </c>
      <c r="L992" t="str">
        <f>IFERROR(IF(OR(HLOOKUP($A992,#REF!,10,FALSE)&gt;2,HLOOKUP($A992,#REF!,10,FALSE)&lt;-2),"",#REF!),"")</f>
        <v/>
      </c>
      <c r="M992" t="str">
        <f>IFERROR(IF(OR(HLOOKUP($A992,#REF!,11,FALSE)&gt;2,HLOOKUP($A992,#REF!,11,FALSE)&lt;-2),"",#REF!),"")</f>
        <v/>
      </c>
      <c r="N992" t="str">
        <f>IFERROR(IF(OR(HLOOKUP($A992,#REF!,12,FALSE)&gt;2,HLOOKUP($A992,#REF!,12,FALSE)&lt;-2),"",#REF!),"")</f>
        <v/>
      </c>
      <c r="O992" t="str">
        <f>IFERROR(IF(OR(HLOOKUP($A992,#REF!,13,FALSE)&gt;2,HLOOKUP($A992,#REF!,13,FALSE)&lt;-2),"",#REF!),"")</f>
        <v/>
      </c>
      <c r="P992" t="str">
        <f>IFERROR(IF(OR(HLOOKUP($A992,#REF!,14,FALSE)&gt;2,HLOOKUP($A992,#REF!,14,FALSE)&lt;-2),"",#REF!),"")</f>
        <v/>
      </c>
      <c r="Q992" t="str">
        <f>IFERROR(IF(OR(HLOOKUP($A992,#REF!,15,FALSE)&gt;2,HLOOKUP($A992,#REF!,15,FALSE)&lt;-2),"",#REF!),"")</f>
        <v/>
      </c>
      <c r="R992" t="str">
        <f>IFERROR(IF(OR(HLOOKUP($A992,#REF!,16,FALSE)&gt;2,HLOOKUP($A992,#REF!,16,FALSE)&lt;-2),"",#REF!),"")</f>
        <v/>
      </c>
      <c r="S992" t="str">
        <f>IFERROR(IF(OR(HLOOKUP($A992,#REF!,17,FALSE)&gt;2,HLOOKUP($A992,#REF!,17,FALSE)&lt;-2),"",#REF!),"")</f>
        <v/>
      </c>
      <c r="T992" t="str">
        <f>IFERROR(IF(OR(HLOOKUP($A992,#REF!,18,FALSE)&gt;2,HLOOKUP($A992,#REF!,18,FALSE)&lt;-2),"",#REF!),"")</f>
        <v/>
      </c>
      <c r="U992" t="str">
        <f>IFERROR(IF(OR(HLOOKUP($A992,#REF!,19,FALSE)&gt;2,HLOOKUP($A992,#REF!,19,FALSE)&lt;-2),"",#REF!),"")</f>
        <v/>
      </c>
      <c r="V992">
        <f t="shared" si="60"/>
        <v>1</v>
      </c>
      <c r="W992" t="str">
        <f t="shared" si="61"/>
        <v/>
      </c>
      <c r="X992" t="str">
        <f t="shared" si="62"/>
        <v/>
      </c>
      <c r="Y992" t="str">
        <f t="shared" si="63"/>
        <v/>
      </c>
    </row>
    <row r="993" spans="1:25" x14ac:dyDescent="0.35">
      <c r="A993">
        <v>1001</v>
      </c>
      <c r="B993" t="s">
        <v>1103</v>
      </c>
      <c r="C993">
        <v>56800</v>
      </c>
      <c r="D993">
        <v>928</v>
      </c>
      <c r="E993" t="str">
        <f>IFERROR(IF(OR(HLOOKUP($A993,#REF!,3,FALSE)&gt;2,HLOOKUP(A993,#REF!,3,FALSE)&lt;-2),"",#REF!),"")</f>
        <v/>
      </c>
      <c r="F993" t="str">
        <f>IFERROR(IF(OR(HLOOKUP($A993,#REF!,4,FALSE)&gt;2,HLOOKUP($A993,#REF!,4,FALSE)&lt;-2),"",#REF!),"")</f>
        <v/>
      </c>
      <c r="G993" t="str">
        <f>IFERROR(IF(OR(HLOOKUP($A993,#REF!,5,FALSE)&gt;2,HLOOKUP($A993,#REF!,5,FALSE)&lt;-2),"",#REF!),"")</f>
        <v/>
      </c>
      <c r="H993" t="str">
        <f>IFERROR(IF(OR(HLOOKUP($A993,#REF!,6,FALSE)&gt;2,HLOOKUP($A993,#REF!,6,FALSE)&lt;-2),"",#REF!),"")</f>
        <v/>
      </c>
      <c r="I993" t="str">
        <f>IFERROR(IF(OR(HLOOKUP($A993,#REF!,7,FALSE)&gt;2,HLOOKUP($A993,#REF!,7,FALSE)&lt;-2),"",#REF!),"")</f>
        <v/>
      </c>
      <c r="J993" t="str">
        <f>IFERROR(IF(OR(HLOOKUP($A993,#REF!,8,FALSE)&gt;2,HLOOKUP($A993,#REF!,8,FALSE)&lt;-2),"",#REF!),"")</f>
        <v/>
      </c>
      <c r="K993" t="str">
        <f>IFERROR(IF(OR(HLOOKUP($A993,#REF!,9,FALSE)&gt;2,HLOOKUP($A993,#REF!,9,FALSE)&lt;-2),"",#REF!),"")</f>
        <v/>
      </c>
      <c r="L993" t="str">
        <f>IFERROR(IF(OR(HLOOKUP($A993,#REF!,10,FALSE)&gt;2,HLOOKUP($A993,#REF!,10,FALSE)&lt;-2),"",#REF!),"")</f>
        <v/>
      </c>
      <c r="M993" t="str">
        <f>IFERROR(IF(OR(HLOOKUP($A993,#REF!,11,FALSE)&gt;2,HLOOKUP($A993,#REF!,11,FALSE)&lt;-2),"",#REF!),"")</f>
        <v/>
      </c>
      <c r="N993" t="str">
        <f>IFERROR(IF(OR(HLOOKUP($A993,#REF!,12,FALSE)&gt;2,HLOOKUP($A993,#REF!,12,FALSE)&lt;-2),"",#REF!),"")</f>
        <v/>
      </c>
      <c r="O993" t="str">
        <f>IFERROR(IF(OR(HLOOKUP($A993,#REF!,13,FALSE)&gt;2,HLOOKUP($A993,#REF!,13,FALSE)&lt;-2),"",#REF!),"")</f>
        <v/>
      </c>
      <c r="P993" t="str">
        <f>IFERROR(IF(OR(HLOOKUP($A993,#REF!,14,FALSE)&gt;2,HLOOKUP($A993,#REF!,14,FALSE)&lt;-2),"",#REF!),"")</f>
        <v/>
      </c>
      <c r="Q993" t="str">
        <f>IFERROR(IF(OR(HLOOKUP($A993,#REF!,15,FALSE)&gt;2,HLOOKUP($A993,#REF!,15,FALSE)&lt;-2),"",#REF!),"")</f>
        <v/>
      </c>
      <c r="R993" t="str">
        <f>IFERROR(IF(OR(HLOOKUP($A993,#REF!,16,FALSE)&gt;2,HLOOKUP($A993,#REF!,16,FALSE)&lt;-2),"",#REF!),"")</f>
        <v/>
      </c>
      <c r="S993" t="str">
        <f>IFERROR(IF(OR(HLOOKUP($A993,#REF!,17,FALSE)&gt;2,HLOOKUP($A993,#REF!,17,FALSE)&lt;-2),"",#REF!),"")</f>
        <v/>
      </c>
      <c r="T993" t="str">
        <f>IFERROR(IF(OR(HLOOKUP($A993,#REF!,18,FALSE)&gt;2,HLOOKUP($A993,#REF!,18,FALSE)&lt;-2),"",#REF!),"")</f>
        <v/>
      </c>
      <c r="U993" t="str">
        <f>IFERROR(IF(OR(HLOOKUP($A993,#REF!,19,FALSE)&gt;2,HLOOKUP($A993,#REF!,19,FALSE)&lt;-2),"",#REF!),"")</f>
        <v/>
      </c>
      <c r="V993">
        <f t="shared" si="60"/>
        <v>1</v>
      </c>
      <c r="W993" t="str">
        <f t="shared" si="61"/>
        <v/>
      </c>
      <c r="X993" t="str">
        <f t="shared" si="62"/>
        <v/>
      </c>
      <c r="Y993" t="str">
        <f t="shared" si="63"/>
        <v/>
      </c>
    </row>
    <row r="994" spans="1:25" x14ac:dyDescent="0.35">
      <c r="A994">
        <v>1002</v>
      </c>
      <c r="B994" t="s">
        <v>1104</v>
      </c>
      <c r="C994">
        <v>11300</v>
      </c>
      <c r="D994">
        <v>247</v>
      </c>
      <c r="E994" t="str">
        <f>IFERROR(IF(OR(HLOOKUP($A994,#REF!,3,FALSE)&gt;2,HLOOKUP(A994,#REF!,3,FALSE)&lt;-2),"",#REF!),"")</f>
        <v/>
      </c>
      <c r="F994" t="str">
        <f>IFERROR(IF(OR(HLOOKUP($A994,#REF!,4,FALSE)&gt;2,HLOOKUP($A994,#REF!,4,FALSE)&lt;-2),"",#REF!),"")</f>
        <v/>
      </c>
      <c r="G994" t="str">
        <f>IFERROR(IF(OR(HLOOKUP($A994,#REF!,5,FALSE)&gt;2,HLOOKUP($A994,#REF!,5,FALSE)&lt;-2),"",#REF!),"")</f>
        <v/>
      </c>
      <c r="H994" t="str">
        <f>IFERROR(IF(OR(HLOOKUP($A994,#REF!,6,FALSE)&gt;2,HLOOKUP($A994,#REF!,6,FALSE)&lt;-2),"",#REF!),"")</f>
        <v/>
      </c>
      <c r="I994" t="str">
        <f>IFERROR(IF(OR(HLOOKUP($A994,#REF!,7,FALSE)&gt;2,HLOOKUP($A994,#REF!,7,FALSE)&lt;-2),"",#REF!),"")</f>
        <v/>
      </c>
      <c r="J994" t="str">
        <f>IFERROR(IF(OR(HLOOKUP($A994,#REF!,8,FALSE)&gt;2,HLOOKUP($A994,#REF!,8,FALSE)&lt;-2),"",#REF!),"")</f>
        <v/>
      </c>
      <c r="K994" t="str">
        <f>IFERROR(IF(OR(HLOOKUP($A994,#REF!,9,FALSE)&gt;2,HLOOKUP($A994,#REF!,9,FALSE)&lt;-2),"",#REF!),"")</f>
        <v/>
      </c>
      <c r="L994" t="str">
        <f>IFERROR(IF(OR(HLOOKUP($A994,#REF!,10,FALSE)&gt;2,HLOOKUP($A994,#REF!,10,FALSE)&lt;-2),"",#REF!),"")</f>
        <v/>
      </c>
      <c r="M994" t="str">
        <f>IFERROR(IF(OR(HLOOKUP($A994,#REF!,11,FALSE)&gt;2,HLOOKUP($A994,#REF!,11,FALSE)&lt;-2),"",#REF!),"")</f>
        <v/>
      </c>
      <c r="N994" t="str">
        <f>IFERROR(IF(OR(HLOOKUP($A994,#REF!,12,FALSE)&gt;2,HLOOKUP($A994,#REF!,12,FALSE)&lt;-2),"",#REF!),"")</f>
        <v/>
      </c>
      <c r="O994" t="str">
        <f>IFERROR(IF(OR(HLOOKUP($A994,#REF!,13,FALSE)&gt;2,HLOOKUP($A994,#REF!,13,FALSE)&lt;-2),"",#REF!),"")</f>
        <v/>
      </c>
      <c r="P994" t="str">
        <f>IFERROR(IF(OR(HLOOKUP($A994,#REF!,14,FALSE)&gt;2,HLOOKUP($A994,#REF!,14,FALSE)&lt;-2),"",#REF!),"")</f>
        <v/>
      </c>
      <c r="Q994" t="str">
        <f>IFERROR(IF(OR(HLOOKUP($A994,#REF!,15,FALSE)&gt;2,HLOOKUP($A994,#REF!,15,FALSE)&lt;-2),"",#REF!),"")</f>
        <v/>
      </c>
      <c r="R994" t="str">
        <f>IFERROR(IF(OR(HLOOKUP($A994,#REF!,16,FALSE)&gt;2,HLOOKUP($A994,#REF!,16,FALSE)&lt;-2),"",#REF!),"")</f>
        <v/>
      </c>
      <c r="S994" t="str">
        <f>IFERROR(IF(OR(HLOOKUP($A994,#REF!,17,FALSE)&gt;2,HLOOKUP($A994,#REF!,17,FALSE)&lt;-2),"",#REF!),"")</f>
        <v/>
      </c>
      <c r="T994" t="str">
        <f>IFERROR(IF(OR(HLOOKUP($A994,#REF!,18,FALSE)&gt;2,HLOOKUP($A994,#REF!,18,FALSE)&lt;-2),"",#REF!),"")</f>
        <v/>
      </c>
      <c r="U994" t="str">
        <f>IFERROR(IF(OR(HLOOKUP($A994,#REF!,19,FALSE)&gt;2,HLOOKUP($A994,#REF!,19,FALSE)&lt;-2),"",#REF!),"")</f>
        <v/>
      </c>
      <c r="V994">
        <f t="shared" si="60"/>
        <v>1</v>
      </c>
      <c r="W994" t="str">
        <f t="shared" si="61"/>
        <v/>
      </c>
      <c r="X994" t="str">
        <f t="shared" si="62"/>
        <v/>
      </c>
      <c r="Y994" t="str">
        <f t="shared" si="63"/>
        <v/>
      </c>
    </row>
    <row r="995" spans="1:25" x14ac:dyDescent="0.35">
      <c r="A995">
        <v>1003</v>
      </c>
      <c r="B995" t="s">
        <v>1105</v>
      </c>
      <c r="C995">
        <v>107400</v>
      </c>
      <c r="D995">
        <v>784</v>
      </c>
      <c r="E995" t="str">
        <f>IFERROR(IF(OR(HLOOKUP($A995,#REF!,3,FALSE)&gt;2,HLOOKUP(A995,#REF!,3,FALSE)&lt;-2),"",#REF!),"")</f>
        <v/>
      </c>
      <c r="F995" t="str">
        <f>IFERROR(IF(OR(HLOOKUP($A995,#REF!,4,FALSE)&gt;2,HLOOKUP($A995,#REF!,4,FALSE)&lt;-2),"",#REF!),"")</f>
        <v/>
      </c>
      <c r="G995" t="str">
        <f>IFERROR(IF(OR(HLOOKUP($A995,#REF!,5,FALSE)&gt;2,HLOOKUP($A995,#REF!,5,FALSE)&lt;-2),"",#REF!),"")</f>
        <v/>
      </c>
      <c r="H995" t="str">
        <f>IFERROR(IF(OR(HLOOKUP($A995,#REF!,6,FALSE)&gt;2,HLOOKUP($A995,#REF!,6,FALSE)&lt;-2),"",#REF!),"")</f>
        <v/>
      </c>
      <c r="I995" t="str">
        <f>IFERROR(IF(OR(HLOOKUP($A995,#REF!,7,FALSE)&gt;2,HLOOKUP($A995,#REF!,7,FALSE)&lt;-2),"",#REF!),"")</f>
        <v/>
      </c>
      <c r="J995" t="str">
        <f>IFERROR(IF(OR(HLOOKUP($A995,#REF!,8,FALSE)&gt;2,HLOOKUP($A995,#REF!,8,FALSE)&lt;-2),"",#REF!),"")</f>
        <v/>
      </c>
      <c r="K995" t="str">
        <f>IFERROR(IF(OR(HLOOKUP($A995,#REF!,9,FALSE)&gt;2,HLOOKUP($A995,#REF!,9,FALSE)&lt;-2),"",#REF!),"")</f>
        <v/>
      </c>
      <c r="L995" t="str">
        <f>IFERROR(IF(OR(HLOOKUP($A995,#REF!,10,FALSE)&gt;2,HLOOKUP($A995,#REF!,10,FALSE)&lt;-2),"",#REF!),"")</f>
        <v/>
      </c>
      <c r="M995" t="str">
        <f>IFERROR(IF(OR(HLOOKUP($A995,#REF!,11,FALSE)&gt;2,HLOOKUP($A995,#REF!,11,FALSE)&lt;-2),"",#REF!),"")</f>
        <v/>
      </c>
      <c r="N995" t="str">
        <f>IFERROR(IF(OR(HLOOKUP($A995,#REF!,12,FALSE)&gt;2,HLOOKUP($A995,#REF!,12,FALSE)&lt;-2),"",#REF!),"")</f>
        <v/>
      </c>
      <c r="O995" t="str">
        <f>IFERROR(IF(OR(HLOOKUP($A995,#REF!,13,FALSE)&gt;2,HLOOKUP($A995,#REF!,13,FALSE)&lt;-2),"",#REF!),"")</f>
        <v/>
      </c>
      <c r="P995" t="str">
        <f>IFERROR(IF(OR(HLOOKUP($A995,#REF!,14,FALSE)&gt;2,HLOOKUP($A995,#REF!,14,FALSE)&lt;-2),"",#REF!),"")</f>
        <v/>
      </c>
      <c r="Q995" t="str">
        <f>IFERROR(IF(OR(HLOOKUP($A995,#REF!,15,FALSE)&gt;2,HLOOKUP($A995,#REF!,15,FALSE)&lt;-2),"",#REF!),"")</f>
        <v/>
      </c>
      <c r="R995" t="str">
        <f>IFERROR(IF(OR(HLOOKUP($A995,#REF!,16,FALSE)&gt;2,HLOOKUP($A995,#REF!,16,FALSE)&lt;-2),"",#REF!),"")</f>
        <v/>
      </c>
      <c r="S995" t="str">
        <f>IFERROR(IF(OR(HLOOKUP($A995,#REF!,17,FALSE)&gt;2,HLOOKUP($A995,#REF!,17,FALSE)&lt;-2),"",#REF!),"")</f>
        <v/>
      </c>
      <c r="T995" t="str">
        <f>IFERROR(IF(OR(HLOOKUP($A995,#REF!,18,FALSE)&gt;2,HLOOKUP($A995,#REF!,18,FALSE)&lt;-2),"",#REF!),"")</f>
        <v/>
      </c>
      <c r="U995" t="str">
        <f>IFERROR(IF(OR(HLOOKUP($A995,#REF!,19,FALSE)&gt;2,HLOOKUP($A995,#REF!,19,FALSE)&lt;-2),"",#REF!),"")</f>
        <v/>
      </c>
      <c r="V995">
        <f t="shared" si="60"/>
        <v>1</v>
      </c>
      <c r="W995" t="str">
        <f t="shared" si="61"/>
        <v/>
      </c>
      <c r="X995" t="str">
        <f t="shared" si="62"/>
        <v/>
      </c>
      <c r="Y995" t="str">
        <f t="shared" si="63"/>
        <v/>
      </c>
    </row>
    <row r="996" spans="1:25" x14ac:dyDescent="0.35">
      <c r="A996">
        <v>1004</v>
      </c>
      <c r="B996" t="s">
        <v>493</v>
      </c>
      <c r="C996">
        <v>76100</v>
      </c>
      <c r="D996">
        <v>467</v>
      </c>
      <c r="E996" t="str">
        <f>IFERROR(IF(OR(HLOOKUP($A996,#REF!,3,FALSE)&gt;2,HLOOKUP(A996,#REF!,3,FALSE)&lt;-2),"",#REF!),"")</f>
        <v/>
      </c>
      <c r="F996" t="str">
        <f>IFERROR(IF(OR(HLOOKUP($A996,#REF!,4,FALSE)&gt;2,HLOOKUP($A996,#REF!,4,FALSE)&lt;-2),"",#REF!),"")</f>
        <v/>
      </c>
      <c r="G996" t="str">
        <f>IFERROR(IF(OR(HLOOKUP($A996,#REF!,5,FALSE)&gt;2,HLOOKUP($A996,#REF!,5,FALSE)&lt;-2),"",#REF!),"")</f>
        <v/>
      </c>
      <c r="H996" t="str">
        <f>IFERROR(IF(OR(HLOOKUP($A996,#REF!,6,FALSE)&gt;2,HLOOKUP($A996,#REF!,6,FALSE)&lt;-2),"",#REF!),"")</f>
        <v/>
      </c>
      <c r="I996" t="str">
        <f>IFERROR(IF(OR(HLOOKUP($A996,#REF!,7,FALSE)&gt;2,HLOOKUP($A996,#REF!,7,FALSE)&lt;-2),"",#REF!),"")</f>
        <v/>
      </c>
      <c r="J996" t="str">
        <f>IFERROR(IF(OR(HLOOKUP($A996,#REF!,8,FALSE)&gt;2,HLOOKUP($A996,#REF!,8,FALSE)&lt;-2),"",#REF!),"")</f>
        <v/>
      </c>
      <c r="K996" t="str">
        <f>IFERROR(IF(OR(HLOOKUP($A996,#REF!,9,FALSE)&gt;2,HLOOKUP($A996,#REF!,9,FALSE)&lt;-2),"",#REF!),"")</f>
        <v/>
      </c>
      <c r="L996" t="str">
        <f>IFERROR(IF(OR(HLOOKUP($A996,#REF!,10,FALSE)&gt;2,HLOOKUP($A996,#REF!,10,FALSE)&lt;-2),"",#REF!),"")</f>
        <v/>
      </c>
      <c r="M996" t="str">
        <f>IFERROR(IF(OR(HLOOKUP($A996,#REF!,11,FALSE)&gt;2,HLOOKUP($A996,#REF!,11,FALSE)&lt;-2),"",#REF!),"")</f>
        <v/>
      </c>
      <c r="N996" t="str">
        <f>IFERROR(IF(OR(HLOOKUP($A996,#REF!,12,FALSE)&gt;2,HLOOKUP($A996,#REF!,12,FALSE)&lt;-2),"",#REF!),"")</f>
        <v/>
      </c>
      <c r="O996" t="str">
        <f>IFERROR(IF(OR(HLOOKUP($A996,#REF!,13,FALSE)&gt;2,HLOOKUP($A996,#REF!,13,FALSE)&lt;-2),"",#REF!),"")</f>
        <v/>
      </c>
      <c r="P996" t="str">
        <f>IFERROR(IF(OR(HLOOKUP($A996,#REF!,14,FALSE)&gt;2,HLOOKUP($A996,#REF!,14,FALSE)&lt;-2),"",#REF!),"")</f>
        <v/>
      </c>
      <c r="Q996" t="str">
        <f>IFERROR(IF(OR(HLOOKUP($A996,#REF!,15,FALSE)&gt;2,HLOOKUP($A996,#REF!,15,FALSE)&lt;-2),"",#REF!),"")</f>
        <v/>
      </c>
      <c r="R996" t="str">
        <f>IFERROR(IF(OR(HLOOKUP($A996,#REF!,16,FALSE)&gt;2,HLOOKUP($A996,#REF!,16,FALSE)&lt;-2),"",#REF!),"")</f>
        <v/>
      </c>
      <c r="S996" t="str">
        <f>IFERROR(IF(OR(HLOOKUP($A996,#REF!,17,FALSE)&gt;2,HLOOKUP($A996,#REF!,17,FALSE)&lt;-2),"",#REF!),"")</f>
        <v/>
      </c>
      <c r="T996" t="str">
        <f>IFERROR(IF(OR(HLOOKUP($A996,#REF!,18,FALSE)&gt;2,HLOOKUP($A996,#REF!,18,FALSE)&lt;-2),"",#REF!),"")</f>
        <v/>
      </c>
      <c r="U996" t="str">
        <f>IFERROR(IF(OR(HLOOKUP($A996,#REF!,19,FALSE)&gt;2,HLOOKUP($A996,#REF!,19,FALSE)&lt;-2),"",#REF!),"")</f>
        <v/>
      </c>
      <c r="V996">
        <f t="shared" si="60"/>
        <v>1</v>
      </c>
      <c r="W996" t="str">
        <f t="shared" si="61"/>
        <v/>
      </c>
      <c r="X996" t="str">
        <f t="shared" si="62"/>
        <v/>
      </c>
      <c r="Y996" t="str">
        <f t="shared" si="63"/>
        <v/>
      </c>
    </row>
    <row r="997" spans="1:25" x14ac:dyDescent="0.35">
      <c r="A997">
        <v>1005</v>
      </c>
      <c r="B997" t="s">
        <v>494</v>
      </c>
      <c r="C997">
        <v>11900</v>
      </c>
      <c r="D997">
        <v>1002</v>
      </c>
      <c r="E997" t="str">
        <f>IFERROR(IF(OR(HLOOKUP($A997,#REF!,3,FALSE)&gt;2,HLOOKUP(A997,#REF!,3,FALSE)&lt;-2),"",#REF!),"")</f>
        <v/>
      </c>
      <c r="F997" t="str">
        <f>IFERROR(IF(OR(HLOOKUP($A997,#REF!,4,FALSE)&gt;2,HLOOKUP($A997,#REF!,4,FALSE)&lt;-2),"",#REF!),"")</f>
        <v/>
      </c>
      <c r="G997" t="str">
        <f>IFERROR(IF(OR(HLOOKUP($A997,#REF!,5,FALSE)&gt;2,HLOOKUP($A997,#REF!,5,FALSE)&lt;-2),"",#REF!),"")</f>
        <v/>
      </c>
      <c r="H997" t="str">
        <f>IFERROR(IF(OR(HLOOKUP($A997,#REF!,6,FALSE)&gt;2,HLOOKUP($A997,#REF!,6,FALSE)&lt;-2),"",#REF!),"")</f>
        <v/>
      </c>
      <c r="I997" t="str">
        <f>IFERROR(IF(OR(HLOOKUP($A997,#REF!,7,FALSE)&gt;2,HLOOKUP($A997,#REF!,7,FALSE)&lt;-2),"",#REF!),"")</f>
        <v/>
      </c>
      <c r="J997" t="str">
        <f>IFERROR(IF(OR(HLOOKUP($A997,#REF!,8,FALSE)&gt;2,HLOOKUP($A997,#REF!,8,FALSE)&lt;-2),"",#REF!),"")</f>
        <v/>
      </c>
      <c r="K997" t="str">
        <f>IFERROR(IF(OR(HLOOKUP($A997,#REF!,9,FALSE)&gt;2,HLOOKUP($A997,#REF!,9,FALSE)&lt;-2),"",#REF!),"")</f>
        <v/>
      </c>
      <c r="L997" t="str">
        <f>IFERROR(IF(OR(HLOOKUP($A997,#REF!,10,FALSE)&gt;2,HLOOKUP($A997,#REF!,10,FALSE)&lt;-2),"",#REF!),"")</f>
        <v/>
      </c>
      <c r="M997" t="str">
        <f>IFERROR(IF(OR(HLOOKUP($A997,#REF!,11,FALSE)&gt;2,HLOOKUP($A997,#REF!,11,FALSE)&lt;-2),"",#REF!),"")</f>
        <v/>
      </c>
      <c r="N997" t="str">
        <f>IFERROR(IF(OR(HLOOKUP($A997,#REF!,12,FALSE)&gt;2,HLOOKUP($A997,#REF!,12,FALSE)&lt;-2),"",#REF!),"")</f>
        <v/>
      </c>
      <c r="O997" t="str">
        <f>IFERROR(IF(OR(HLOOKUP($A997,#REF!,13,FALSE)&gt;2,HLOOKUP($A997,#REF!,13,FALSE)&lt;-2),"",#REF!),"")</f>
        <v/>
      </c>
      <c r="P997" t="str">
        <f>IFERROR(IF(OR(HLOOKUP($A997,#REF!,14,FALSE)&gt;2,HLOOKUP($A997,#REF!,14,FALSE)&lt;-2),"",#REF!),"")</f>
        <v/>
      </c>
      <c r="Q997" t="str">
        <f>IFERROR(IF(OR(HLOOKUP($A997,#REF!,15,FALSE)&gt;2,HLOOKUP($A997,#REF!,15,FALSE)&lt;-2),"",#REF!),"")</f>
        <v/>
      </c>
      <c r="R997" t="str">
        <f>IFERROR(IF(OR(HLOOKUP($A997,#REF!,16,FALSE)&gt;2,HLOOKUP($A997,#REF!,16,FALSE)&lt;-2),"",#REF!),"")</f>
        <v/>
      </c>
      <c r="S997" t="str">
        <f>IFERROR(IF(OR(HLOOKUP($A997,#REF!,17,FALSE)&gt;2,HLOOKUP($A997,#REF!,17,FALSE)&lt;-2),"",#REF!),"")</f>
        <v/>
      </c>
      <c r="T997" t="str">
        <f>IFERROR(IF(OR(HLOOKUP($A997,#REF!,18,FALSE)&gt;2,HLOOKUP($A997,#REF!,18,FALSE)&lt;-2),"",#REF!),"")</f>
        <v/>
      </c>
      <c r="U997" t="str">
        <f>IFERROR(IF(OR(HLOOKUP($A997,#REF!,19,FALSE)&gt;2,HLOOKUP($A997,#REF!,19,FALSE)&lt;-2),"",#REF!),"")</f>
        <v/>
      </c>
      <c r="V997">
        <f t="shared" si="60"/>
        <v>1</v>
      </c>
      <c r="W997" t="str">
        <f t="shared" si="61"/>
        <v/>
      </c>
      <c r="X997" t="str">
        <f t="shared" si="62"/>
        <v/>
      </c>
      <c r="Y997" t="str">
        <f t="shared" si="63"/>
        <v/>
      </c>
    </row>
    <row r="998" spans="1:25" x14ac:dyDescent="0.35">
      <c r="A998">
        <v>1006</v>
      </c>
      <c r="B998" t="s">
        <v>495</v>
      </c>
      <c r="C998">
        <v>7100</v>
      </c>
      <c r="D998">
        <v>361</v>
      </c>
      <c r="E998" t="str">
        <f>IFERROR(IF(OR(HLOOKUP($A998,#REF!,3,FALSE)&gt;2,HLOOKUP(A998,#REF!,3,FALSE)&lt;-2),"",#REF!),"")</f>
        <v/>
      </c>
      <c r="F998" t="str">
        <f>IFERROR(IF(OR(HLOOKUP($A998,#REF!,4,FALSE)&gt;2,HLOOKUP($A998,#REF!,4,FALSE)&lt;-2),"",#REF!),"")</f>
        <v/>
      </c>
      <c r="G998" t="str">
        <f>IFERROR(IF(OR(HLOOKUP($A998,#REF!,5,FALSE)&gt;2,HLOOKUP($A998,#REF!,5,FALSE)&lt;-2),"",#REF!),"")</f>
        <v/>
      </c>
      <c r="H998" t="str">
        <f>IFERROR(IF(OR(HLOOKUP($A998,#REF!,6,FALSE)&gt;2,HLOOKUP($A998,#REF!,6,FALSE)&lt;-2),"",#REF!),"")</f>
        <v/>
      </c>
      <c r="I998" t="str">
        <f>IFERROR(IF(OR(HLOOKUP($A998,#REF!,7,FALSE)&gt;2,HLOOKUP($A998,#REF!,7,FALSE)&lt;-2),"",#REF!),"")</f>
        <v/>
      </c>
      <c r="J998" t="str">
        <f>IFERROR(IF(OR(HLOOKUP($A998,#REF!,8,FALSE)&gt;2,HLOOKUP($A998,#REF!,8,FALSE)&lt;-2),"",#REF!),"")</f>
        <v/>
      </c>
      <c r="K998" t="str">
        <f>IFERROR(IF(OR(HLOOKUP($A998,#REF!,9,FALSE)&gt;2,HLOOKUP($A998,#REF!,9,FALSE)&lt;-2),"",#REF!),"")</f>
        <v/>
      </c>
      <c r="L998" t="str">
        <f>IFERROR(IF(OR(HLOOKUP($A998,#REF!,10,FALSE)&gt;2,HLOOKUP($A998,#REF!,10,FALSE)&lt;-2),"",#REF!),"")</f>
        <v/>
      </c>
      <c r="M998" t="str">
        <f>IFERROR(IF(OR(HLOOKUP($A998,#REF!,11,FALSE)&gt;2,HLOOKUP($A998,#REF!,11,FALSE)&lt;-2),"",#REF!),"")</f>
        <v/>
      </c>
      <c r="N998" t="str">
        <f>IFERROR(IF(OR(HLOOKUP($A998,#REF!,12,FALSE)&gt;2,HLOOKUP($A998,#REF!,12,FALSE)&lt;-2),"",#REF!),"")</f>
        <v/>
      </c>
      <c r="O998" t="str">
        <f>IFERROR(IF(OR(HLOOKUP($A998,#REF!,13,FALSE)&gt;2,HLOOKUP($A998,#REF!,13,FALSE)&lt;-2),"",#REF!),"")</f>
        <v/>
      </c>
      <c r="P998" t="str">
        <f>IFERROR(IF(OR(HLOOKUP($A998,#REF!,14,FALSE)&gt;2,HLOOKUP($A998,#REF!,14,FALSE)&lt;-2),"",#REF!),"")</f>
        <v/>
      </c>
      <c r="Q998" t="str">
        <f>IFERROR(IF(OR(HLOOKUP($A998,#REF!,15,FALSE)&gt;2,HLOOKUP($A998,#REF!,15,FALSE)&lt;-2),"",#REF!),"")</f>
        <v/>
      </c>
      <c r="R998" t="str">
        <f>IFERROR(IF(OR(HLOOKUP($A998,#REF!,16,FALSE)&gt;2,HLOOKUP($A998,#REF!,16,FALSE)&lt;-2),"",#REF!),"")</f>
        <v/>
      </c>
      <c r="S998" t="str">
        <f>IFERROR(IF(OR(HLOOKUP($A998,#REF!,17,FALSE)&gt;2,HLOOKUP($A998,#REF!,17,FALSE)&lt;-2),"",#REF!),"")</f>
        <v/>
      </c>
      <c r="T998" t="str">
        <f>IFERROR(IF(OR(HLOOKUP($A998,#REF!,18,FALSE)&gt;2,HLOOKUP($A998,#REF!,18,FALSE)&lt;-2),"",#REF!),"")</f>
        <v/>
      </c>
      <c r="U998" t="str">
        <f>IFERROR(IF(OR(HLOOKUP($A998,#REF!,19,FALSE)&gt;2,HLOOKUP($A998,#REF!,19,FALSE)&lt;-2),"",#REF!),"")</f>
        <v/>
      </c>
      <c r="V998">
        <f t="shared" si="60"/>
        <v>1</v>
      </c>
      <c r="W998" t="str">
        <f t="shared" si="61"/>
        <v/>
      </c>
      <c r="X998" t="str">
        <f t="shared" si="62"/>
        <v/>
      </c>
      <c r="Y998" t="str">
        <f t="shared" si="63"/>
        <v/>
      </c>
    </row>
    <row r="999" spans="1:25" x14ac:dyDescent="0.35">
      <c r="A999">
        <v>1007</v>
      </c>
      <c r="B999" t="s">
        <v>496</v>
      </c>
      <c r="C999">
        <v>59700</v>
      </c>
      <c r="D999">
        <v>1073</v>
      </c>
      <c r="E999" t="str">
        <f>IFERROR(IF(OR(HLOOKUP($A999,#REF!,3,FALSE)&gt;2,HLOOKUP(A999,#REF!,3,FALSE)&lt;-2),"",#REF!),"")</f>
        <v/>
      </c>
      <c r="F999" t="str">
        <f>IFERROR(IF(OR(HLOOKUP($A999,#REF!,4,FALSE)&gt;2,HLOOKUP($A999,#REF!,4,FALSE)&lt;-2),"",#REF!),"")</f>
        <v/>
      </c>
      <c r="G999" t="str">
        <f>IFERROR(IF(OR(HLOOKUP($A999,#REF!,5,FALSE)&gt;2,HLOOKUP($A999,#REF!,5,FALSE)&lt;-2),"",#REF!),"")</f>
        <v/>
      </c>
      <c r="H999" t="str">
        <f>IFERROR(IF(OR(HLOOKUP($A999,#REF!,6,FALSE)&gt;2,HLOOKUP($A999,#REF!,6,FALSE)&lt;-2),"",#REF!),"")</f>
        <v/>
      </c>
      <c r="I999" t="str">
        <f>IFERROR(IF(OR(HLOOKUP($A999,#REF!,7,FALSE)&gt;2,HLOOKUP($A999,#REF!,7,FALSE)&lt;-2),"",#REF!),"")</f>
        <v/>
      </c>
      <c r="J999" t="str">
        <f>IFERROR(IF(OR(HLOOKUP($A999,#REF!,8,FALSE)&gt;2,HLOOKUP($A999,#REF!,8,FALSE)&lt;-2),"",#REF!),"")</f>
        <v/>
      </c>
      <c r="K999" t="str">
        <f>IFERROR(IF(OR(HLOOKUP($A999,#REF!,9,FALSE)&gt;2,HLOOKUP($A999,#REF!,9,FALSE)&lt;-2),"",#REF!),"")</f>
        <v/>
      </c>
      <c r="L999" t="str">
        <f>IFERROR(IF(OR(HLOOKUP($A999,#REF!,10,FALSE)&gt;2,HLOOKUP($A999,#REF!,10,FALSE)&lt;-2),"",#REF!),"")</f>
        <v/>
      </c>
      <c r="M999" t="str">
        <f>IFERROR(IF(OR(HLOOKUP($A999,#REF!,11,FALSE)&gt;2,HLOOKUP($A999,#REF!,11,FALSE)&lt;-2),"",#REF!),"")</f>
        <v/>
      </c>
      <c r="N999" t="str">
        <f>IFERROR(IF(OR(HLOOKUP($A999,#REF!,12,FALSE)&gt;2,HLOOKUP($A999,#REF!,12,FALSE)&lt;-2),"",#REF!),"")</f>
        <v/>
      </c>
      <c r="O999" t="str">
        <f>IFERROR(IF(OR(HLOOKUP($A999,#REF!,13,FALSE)&gt;2,HLOOKUP($A999,#REF!,13,FALSE)&lt;-2),"",#REF!),"")</f>
        <v/>
      </c>
      <c r="P999" t="str">
        <f>IFERROR(IF(OR(HLOOKUP($A999,#REF!,14,FALSE)&gt;2,HLOOKUP($A999,#REF!,14,FALSE)&lt;-2),"",#REF!),"")</f>
        <v/>
      </c>
      <c r="Q999" t="str">
        <f>IFERROR(IF(OR(HLOOKUP($A999,#REF!,15,FALSE)&gt;2,HLOOKUP($A999,#REF!,15,FALSE)&lt;-2),"",#REF!),"")</f>
        <v/>
      </c>
      <c r="R999" t="str">
        <f>IFERROR(IF(OR(HLOOKUP($A999,#REF!,16,FALSE)&gt;2,HLOOKUP($A999,#REF!,16,FALSE)&lt;-2),"",#REF!),"")</f>
        <v/>
      </c>
      <c r="S999" t="str">
        <f>IFERROR(IF(OR(HLOOKUP($A999,#REF!,17,FALSE)&gt;2,HLOOKUP($A999,#REF!,17,FALSE)&lt;-2),"",#REF!),"")</f>
        <v/>
      </c>
      <c r="T999" t="str">
        <f>IFERROR(IF(OR(HLOOKUP($A999,#REF!,18,FALSE)&gt;2,HLOOKUP($A999,#REF!,18,FALSE)&lt;-2),"",#REF!),"")</f>
        <v/>
      </c>
      <c r="U999" t="str">
        <f>IFERROR(IF(OR(HLOOKUP($A999,#REF!,19,FALSE)&gt;2,HLOOKUP($A999,#REF!,19,FALSE)&lt;-2),"",#REF!),"")</f>
        <v/>
      </c>
      <c r="V999">
        <f t="shared" si="60"/>
        <v>1</v>
      </c>
      <c r="W999" t="str">
        <f t="shared" si="61"/>
        <v/>
      </c>
      <c r="X999" t="str">
        <f t="shared" si="62"/>
        <v/>
      </c>
      <c r="Y999" t="str">
        <f t="shared" si="63"/>
        <v/>
      </c>
    </row>
    <row r="1000" spans="1:25" x14ac:dyDescent="0.35">
      <c r="A1000">
        <v>1008</v>
      </c>
      <c r="B1000" t="s">
        <v>1106</v>
      </c>
      <c r="C1000">
        <v>65000</v>
      </c>
      <c r="D1000">
        <v>864</v>
      </c>
      <c r="E1000" t="str">
        <f>IFERROR(IF(OR(HLOOKUP($A1000,#REF!,3,FALSE)&gt;2,HLOOKUP(A1000,#REF!,3,FALSE)&lt;-2),"",#REF!),"")</f>
        <v/>
      </c>
      <c r="F1000" t="str">
        <f>IFERROR(IF(OR(HLOOKUP($A1000,#REF!,4,FALSE)&gt;2,HLOOKUP($A1000,#REF!,4,FALSE)&lt;-2),"",#REF!),"")</f>
        <v/>
      </c>
      <c r="G1000" t="str">
        <f>IFERROR(IF(OR(HLOOKUP($A1000,#REF!,5,FALSE)&gt;2,HLOOKUP($A1000,#REF!,5,FALSE)&lt;-2),"",#REF!),"")</f>
        <v/>
      </c>
      <c r="H1000" t="str">
        <f>IFERROR(IF(OR(HLOOKUP($A1000,#REF!,6,FALSE)&gt;2,HLOOKUP($A1000,#REF!,6,FALSE)&lt;-2),"",#REF!),"")</f>
        <v/>
      </c>
      <c r="I1000" t="str">
        <f>IFERROR(IF(OR(HLOOKUP($A1000,#REF!,7,FALSE)&gt;2,HLOOKUP($A1000,#REF!,7,FALSE)&lt;-2),"",#REF!),"")</f>
        <v/>
      </c>
      <c r="J1000" t="str">
        <f>IFERROR(IF(OR(HLOOKUP($A1000,#REF!,8,FALSE)&gt;2,HLOOKUP($A1000,#REF!,8,FALSE)&lt;-2),"",#REF!),"")</f>
        <v/>
      </c>
      <c r="K1000" t="str">
        <f>IFERROR(IF(OR(HLOOKUP($A1000,#REF!,9,FALSE)&gt;2,HLOOKUP($A1000,#REF!,9,FALSE)&lt;-2),"",#REF!),"")</f>
        <v/>
      </c>
      <c r="L1000" t="str">
        <f>IFERROR(IF(OR(HLOOKUP($A1000,#REF!,10,FALSE)&gt;2,HLOOKUP($A1000,#REF!,10,FALSE)&lt;-2),"",#REF!),"")</f>
        <v/>
      </c>
      <c r="M1000" t="str">
        <f>IFERROR(IF(OR(HLOOKUP($A1000,#REF!,11,FALSE)&gt;2,HLOOKUP($A1000,#REF!,11,FALSE)&lt;-2),"",#REF!),"")</f>
        <v/>
      </c>
      <c r="N1000" t="str">
        <f>IFERROR(IF(OR(HLOOKUP($A1000,#REF!,12,FALSE)&gt;2,HLOOKUP($A1000,#REF!,12,FALSE)&lt;-2),"",#REF!),"")</f>
        <v/>
      </c>
      <c r="O1000" t="str">
        <f>IFERROR(IF(OR(HLOOKUP($A1000,#REF!,13,FALSE)&gt;2,HLOOKUP($A1000,#REF!,13,FALSE)&lt;-2),"",#REF!),"")</f>
        <v/>
      </c>
      <c r="P1000" t="str">
        <f>IFERROR(IF(OR(HLOOKUP($A1000,#REF!,14,FALSE)&gt;2,HLOOKUP($A1000,#REF!,14,FALSE)&lt;-2),"",#REF!),"")</f>
        <v/>
      </c>
      <c r="Q1000" t="str">
        <f>IFERROR(IF(OR(HLOOKUP($A1000,#REF!,15,FALSE)&gt;2,HLOOKUP($A1000,#REF!,15,FALSE)&lt;-2),"",#REF!),"")</f>
        <v/>
      </c>
      <c r="R1000" t="str">
        <f>IFERROR(IF(OR(HLOOKUP($A1000,#REF!,16,FALSE)&gt;2,HLOOKUP($A1000,#REF!,16,FALSE)&lt;-2),"",#REF!),"")</f>
        <v/>
      </c>
      <c r="S1000" t="str">
        <f>IFERROR(IF(OR(HLOOKUP($A1000,#REF!,17,FALSE)&gt;2,HLOOKUP($A1000,#REF!,17,FALSE)&lt;-2),"",#REF!),"")</f>
        <v/>
      </c>
      <c r="T1000" t="str">
        <f>IFERROR(IF(OR(HLOOKUP($A1000,#REF!,18,FALSE)&gt;2,HLOOKUP($A1000,#REF!,18,FALSE)&lt;-2),"",#REF!),"")</f>
        <v/>
      </c>
      <c r="U1000" t="str">
        <f>IFERROR(IF(OR(HLOOKUP($A1000,#REF!,19,FALSE)&gt;2,HLOOKUP($A1000,#REF!,19,FALSE)&lt;-2),"",#REF!),"")</f>
        <v/>
      </c>
      <c r="V1000">
        <f t="shared" si="60"/>
        <v>1</v>
      </c>
      <c r="W1000" t="str">
        <f t="shared" si="61"/>
        <v/>
      </c>
      <c r="X1000" t="str">
        <f t="shared" si="62"/>
        <v/>
      </c>
      <c r="Y1000" t="str">
        <f t="shared" si="63"/>
        <v/>
      </c>
    </row>
    <row r="1001" spans="1:25" x14ac:dyDescent="0.35">
      <c r="A1001">
        <v>1009</v>
      </c>
      <c r="B1001" t="s">
        <v>497</v>
      </c>
      <c r="C1001">
        <v>97200</v>
      </c>
      <c r="D1001">
        <v>997</v>
      </c>
      <c r="E1001" t="str">
        <f>IFERROR(IF(OR(HLOOKUP($A1001,#REF!,3,FALSE)&gt;2,HLOOKUP(A1001,#REF!,3,FALSE)&lt;-2),"",#REF!),"")</f>
        <v/>
      </c>
      <c r="F1001" t="str">
        <f>IFERROR(IF(OR(HLOOKUP($A1001,#REF!,4,FALSE)&gt;2,HLOOKUP($A1001,#REF!,4,FALSE)&lt;-2),"",#REF!),"")</f>
        <v/>
      </c>
      <c r="G1001" t="str">
        <f>IFERROR(IF(OR(HLOOKUP($A1001,#REF!,5,FALSE)&gt;2,HLOOKUP($A1001,#REF!,5,FALSE)&lt;-2),"",#REF!),"")</f>
        <v/>
      </c>
      <c r="H1001" t="str">
        <f>IFERROR(IF(OR(HLOOKUP($A1001,#REF!,6,FALSE)&gt;2,HLOOKUP($A1001,#REF!,6,FALSE)&lt;-2),"",#REF!),"")</f>
        <v/>
      </c>
      <c r="I1001" t="str">
        <f>IFERROR(IF(OR(HLOOKUP($A1001,#REF!,7,FALSE)&gt;2,HLOOKUP($A1001,#REF!,7,FALSE)&lt;-2),"",#REF!),"")</f>
        <v/>
      </c>
      <c r="J1001" t="str">
        <f>IFERROR(IF(OR(HLOOKUP($A1001,#REF!,8,FALSE)&gt;2,HLOOKUP($A1001,#REF!,8,FALSE)&lt;-2),"",#REF!),"")</f>
        <v/>
      </c>
      <c r="K1001" t="str">
        <f>IFERROR(IF(OR(HLOOKUP($A1001,#REF!,9,FALSE)&gt;2,HLOOKUP($A1001,#REF!,9,FALSE)&lt;-2),"",#REF!),"")</f>
        <v/>
      </c>
      <c r="L1001" t="str">
        <f>IFERROR(IF(OR(HLOOKUP($A1001,#REF!,10,FALSE)&gt;2,HLOOKUP($A1001,#REF!,10,FALSE)&lt;-2),"",#REF!),"")</f>
        <v/>
      </c>
      <c r="M1001" t="str">
        <f>IFERROR(IF(OR(HLOOKUP($A1001,#REF!,11,FALSE)&gt;2,HLOOKUP($A1001,#REF!,11,FALSE)&lt;-2),"",#REF!),"")</f>
        <v/>
      </c>
      <c r="N1001" t="str">
        <f>IFERROR(IF(OR(HLOOKUP($A1001,#REF!,12,FALSE)&gt;2,HLOOKUP($A1001,#REF!,12,FALSE)&lt;-2),"",#REF!),"")</f>
        <v/>
      </c>
      <c r="O1001" t="str">
        <f>IFERROR(IF(OR(HLOOKUP($A1001,#REF!,13,FALSE)&gt;2,HLOOKUP($A1001,#REF!,13,FALSE)&lt;-2),"",#REF!),"")</f>
        <v/>
      </c>
      <c r="P1001" t="str">
        <f>IFERROR(IF(OR(HLOOKUP($A1001,#REF!,14,FALSE)&gt;2,HLOOKUP($A1001,#REF!,14,FALSE)&lt;-2),"",#REF!),"")</f>
        <v/>
      </c>
      <c r="Q1001" t="str">
        <f>IFERROR(IF(OR(HLOOKUP($A1001,#REF!,15,FALSE)&gt;2,HLOOKUP($A1001,#REF!,15,FALSE)&lt;-2),"",#REF!),"")</f>
        <v/>
      </c>
      <c r="R1001" t="str">
        <f>IFERROR(IF(OR(HLOOKUP($A1001,#REF!,16,FALSE)&gt;2,HLOOKUP($A1001,#REF!,16,FALSE)&lt;-2),"",#REF!),"")</f>
        <v/>
      </c>
      <c r="S1001" t="str">
        <f>IFERROR(IF(OR(HLOOKUP($A1001,#REF!,17,FALSE)&gt;2,HLOOKUP($A1001,#REF!,17,FALSE)&lt;-2),"",#REF!),"")</f>
        <v/>
      </c>
      <c r="T1001" t="str">
        <f>IFERROR(IF(OR(HLOOKUP($A1001,#REF!,18,FALSE)&gt;2,HLOOKUP($A1001,#REF!,18,FALSE)&lt;-2),"",#REF!),"")</f>
        <v/>
      </c>
      <c r="U1001" t="str">
        <f>IFERROR(IF(OR(HLOOKUP($A1001,#REF!,19,FALSE)&gt;2,HLOOKUP($A1001,#REF!,19,FALSE)&lt;-2),"",#REF!),"")</f>
        <v/>
      </c>
      <c r="V1001">
        <f t="shared" si="60"/>
        <v>1</v>
      </c>
      <c r="W1001" t="str">
        <f t="shared" si="61"/>
        <v/>
      </c>
      <c r="X1001" t="str">
        <f t="shared" si="62"/>
        <v/>
      </c>
      <c r="Y1001" t="str">
        <f t="shared" si="63"/>
        <v/>
      </c>
    </row>
    <row r="1002" spans="1:25" x14ac:dyDescent="0.35">
      <c r="A1002">
        <v>1010</v>
      </c>
      <c r="B1002" t="s">
        <v>498</v>
      </c>
      <c r="C1002">
        <v>10100</v>
      </c>
      <c r="D1002">
        <v>677</v>
      </c>
      <c r="E1002" t="str">
        <f>IFERROR(IF(OR(HLOOKUP($A1002,#REF!,3,FALSE)&gt;2,HLOOKUP(A1002,#REF!,3,FALSE)&lt;-2),"",#REF!),"")</f>
        <v/>
      </c>
      <c r="F1002" t="str">
        <f>IFERROR(IF(OR(HLOOKUP($A1002,#REF!,4,FALSE)&gt;2,HLOOKUP($A1002,#REF!,4,FALSE)&lt;-2),"",#REF!),"")</f>
        <v/>
      </c>
      <c r="G1002" t="str">
        <f>IFERROR(IF(OR(HLOOKUP($A1002,#REF!,5,FALSE)&gt;2,HLOOKUP($A1002,#REF!,5,FALSE)&lt;-2),"",#REF!),"")</f>
        <v/>
      </c>
      <c r="H1002" t="str">
        <f>IFERROR(IF(OR(HLOOKUP($A1002,#REF!,6,FALSE)&gt;2,HLOOKUP($A1002,#REF!,6,FALSE)&lt;-2),"",#REF!),"")</f>
        <v/>
      </c>
      <c r="I1002" t="str">
        <f>IFERROR(IF(OR(HLOOKUP($A1002,#REF!,7,FALSE)&gt;2,HLOOKUP($A1002,#REF!,7,FALSE)&lt;-2),"",#REF!),"")</f>
        <v/>
      </c>
      <c r="J1002" t="str">
        <f>IFERROR(IF(OR(HLOOKUP($A1002,#REF!,8,FALSE)&gt;2,HLOOKUP($A1002,#REF!,8,FALSE)&lt;-2),"",#REF!),"")</f>
        <v/>
      </c>
      <c r="K1002" t="str">
        <f>IFERROR(IF(OR(HLOOKUP($A1002,#REF!,9,FALSE)&gt;2,HLOOKUP($A1002,#REF!,9,FALSE)&lt;-2),"",#REF!),"")</f>
        <v/>
      </c>
      <c r="L1002" t="str">
        <f>IFERROR(IF(OR(HLOOKUP($A1002,#REF!,10,FALSE)&gt;2,HLOOKUP($A1002,#REF!,10,FALSE)&lt;-2),"",#REF!),"")</f>
        <v/>
      </c>
      <c r="M1002" t="str">
        <f>IFERROR(IF(OR(HLOOKUP($A1002,#REF!,11,FALSE)&gt;2,HLOOKUP($A1002,#REF!,11,FALSE)&lt;-2),"",#REF!),"")</f>
        <v/>
      </c>
      <c r="N1002" t="str">
        <f>IFERROR(IF(OR(HLOOKUP($A1002,#REF!,12,FALSE)&gt;2,HLOOKUP($A1002,#REF!,12,FALSE)&lt;-2),"",#REF!),"")</f>
        <v/>
      </c>
      <c r="O1002" t="str">
        <f>IFERROR(IF(OR(HLOOKUP($A1002,#REF!,13,FALSE)&gt;2,HLOOKUP($A1002,#REF!,13,FALSE)&lt;-2),"",#REF!),"")</f>
        <v/>
      </c>
      <c r="P1002" t="str">
        <f>IFERROR(IF(OR(HLOOKUP($A1002,#REF!,14,FALSE)&gt;2,HLOOKUP($A1002,#REF!,14,FALSE)&lt;-2),"",#REF!),"")</f>
        <v/>
      </c>
      <c r="Q1002" t="str">
        <f>IFERROR(IF(OR(HLOOKUP($A1002,#REF!,15,FALSE)&gt;2,HLOOKUP($A1002,#REF!,15,FALSE)&lt;-2),"",#REF!),"")</f>
        <v/>
      </c>
      <c r="R1002" t="str">
        <f>IFERROR(IF(OR(HLOOKUP($A1002,#REF!,16,FALSE)&gt;2,HLOOKUP($A1002,#REF!,16,FALSE)&lt;-2),"",#REF!),"")</f>
        <v/>
      </c>
      <c r="S1002" t="str">
        <f>IFERROR(IF(OR(HLOOKUP($A1002,#REF!,17,FALSE)&gt;2,HLOOKUP($A1002,#REF!,17,FALSE)&lt;-2),"",#REF!),"")</f>
        <v/>
      </c>
      <c r="T1002" t="str">
        <f>IFERROR(IF(OR(HLOOKUP($A1002,#REF!,18,FALSE)&gt;2,HLOOKUP($A1002,#REF!,18,FALSE)&lt;-2),"",#REF!),"")</f>
        <v/>
      </c>
      <c r="U1002" t="str">
        <f>IFERROR(IF(OR(HLOOKUP($A1002,#REF!,19,FALSE)&gt;2,HLOOKUP($A1002,#REF!,19,FALSE)&lt;-2),"",#REF!),"")</f>
        <v/>
      </c>
      <c r="V1002">
        <f t="shared" si="60"/>
        <v>1</v>
      </c>
      <c r="W1002" t="str">
        <f t="shared" si="61"/>
        <v/>
      </c>
      <c r="X1002" t="str">
        <f t="shared" si="62"/>
        <v/>
      </c>
      <c r="Y1002" t="str">
        <f t="shared" si="63"/>
        <v/>
      </c>
    </row>
    <row r="1003" spans="1:25" x14ac:dyDescent="0.35">
      <c r="A1003">
        <v>1011</v>
      </c>
      <c r="B1003" t="s">
        <v>1107</v>
      </c>
      <c r="C1003">
        <v>10600</v>
      </c>
      <c r="D1003">
        <v>247</v>
      </c>
      <c r="E1003" t="str">
        <f>IFERROR(IF(OR(HLOOKUP($A1003,#REF!,3,FALSE)&gt;2,HLOOKUP(A1003,#REF!,3,FALSE)&lt;-2),"",#REF!),"")</f>
        <v/>
      </c>
      <c r="F1003" t="str">
        <f>IFERROR(IF(OR(HLOOKUP($A1003,#REF!,4,FALSE)&gt;2,HLOOKUP($A1003,#REF!,4,FALSE)&lt;-2),"",#REF!),"")</f>
        <v/>
      </c>
      <c r="G1003" t="str">
        <f>IFERROR(IF(OR(HLOOKUP($A1003,#REF!,5,FALSE)&gt;2,HLOOKUP($A1003,#REF!,5,FALSE)&lt;-2),"",#REF!),"")</f>
        <v/>
      </c>
      <c r="H1003" t="str">
        <f>IFERROR(IF(OR(HLOOKUP($A1003,#REF!,6,FALSE)&gt;2,HLOOKUP($A1003,#REF!,6,FALSE)&lt;-2),"",#REF!),"")</f>
        <v/>
      </c>
      <c r="I1003" t="str">
        <f>IFERROR(IF(OR(HLOOKUP($A1003,#REF!,7,FALSE)&gt;2,HLOOKUP($A1003,#REF!,7,FALSE)&lt;-2),"",#REF!),"")</f>
        <v/>
      </c>
      <c r="J1003" t="str">
        <f>IFERROR(IF(OR(HLOOKUP($A1003,#REF!,8,FALSE)&gt;2,HLOOKUP($A1003,#REF!,8,FALSE)&lt;-2),"",#REF!),"")</f>
        <v/>
      </c>
      <c r="K1003" t="str">
        <f>IFERROR(IF(OR(HLOOKUP($A1003,#REF!,9,FALSE)&gt;2,HLOOKUP($A1003,#REF!,9,FALSE)&lt;-2),"",#REF!),"")</f>
        <v/>
      </c>
      <c r="L1003" t="str">
        <f>IFERROR(IF(OR(HLOOKUP($A1003,#REF!,10,FALSE)&gt;2,HLOOKUP($A1003,#REF!,10,FALSE)&lt;-2),"",#REF!),"")</f>
        <v/>
      </c>
      <c r="M1003" t="str">
        <f>IFERROR(IF(OR(HLOOKUP($A1003,#REF!,11,FALSE)&gt;2,HLOOKUP($A1003,#REF!,11,FALSE)&lt;-2),"",#REF!),"")</f>
        <v/>
      </c>
      <c r="N1003" t="str">
        <f>IFERROR(IF(OR(HLOOKUP($A1003,#REF!,12,FALSE)&gt;2,HLOOKUP($A1003,#REF!,12,FALSE)&lt;-2),"",#REF!),"")</f>
        <v/>
      </c>
      <c r="O1003" t="str">
        <f>IFERROR(IF(OR(HLOOKUP($A1003,#REF!,13,FALSE)&gt;2,HLOOKUP($A1003,#REF!,13,FALSE)&lt;-2),"",#REF!),"")</f>
        <v/>
      </c>
      <c r="P1003" t="str">
        <f>IFERROR(IF(OR(HLOOKUP($A1003,#REF!,14,FALSE)&gt;2,HLOOKUP($A1003,#REF!,14,FALSE)&lt;-2),"",#REF!),"")</f>
        <v/>
      </c>
      <c r="Q1003" t="str">
        <f>IFERROR(IF(OR(HLOOKUP($A1003,#REF!,15,FALSE)&gt;2,HLOOKUP($A1003,#REF!,15,FALSE)&lt;-2),"",#REF!),"")</f>
        <v/>
      </c>
      <c r="R1003" t="str">
        <f>IFERROR(IF(OR(HLOOKUP($A1003,#REF!,16,FALSE)&gt;2,HLOOKUP($A1003,#REF!,16,FALSE)&lt;-2),"",#REF!),"")</f>
        <v/>
      </c>
      <c r="S1003" t="str">
        <f>IFERROR(IF(OR(HLOOKUP($A1003,#REF!,17,FALSE)&gt;2,HLOOKUP($A1003,#REF!,17,FALSE)&lt;-2),"",#REF!),"")</f>
        <v/>
      </c>
      <c r="T1003" t="str">
        <f>IFERROR(IF(OR(HLOOKUP($A1003,#REF!,18,FALSE)&gt;2,HLOOKUP($A1003,#REF!,18,FALSE)&lt;-2),"",#REF!),"")</f>
        <v/>
      </c>
      <c r="U1003" t="str">
        <f>IFERROR(IF(OR(HLOOKUP($A1003,#REF!,19,FALSE)&gt;2,HLOOKUP($A1003,#REF!,19,FALSE)&lt;-2),"",#REF!),"")</f>
        <v/>
      </c>
      <c r="V1003">
        <f t="shared" si="60"/>
        <v>1</v>
      </c>
      <c r="W1003" t="str">
        <f t="shared" si="61"/>
        <v/>
      </c>
      <c r="X1003" t="str">
        <f t="shared" si="62"/>
        <v/>
      </c>
      <c r="Y1003" t="str">
        <f t="shared" si="63"/>
        <v/>
      </c>
    </row>
    <row r="1004" spans="1:25" x14ac:dyDescent="0.35">
      <c r="A1004">
        <v>1012</v>
      </c>
      <c r="B1004" t="s">
        <v>1108</v>
      </c>
      <c r="C1004">
        <v>107300</v>
      </c>
      <c r="D1004">
        <v>784</v>
      </c>
      <c r="E1004" t="str">
        <f>IFERROR(IF(OR(HLOOKUP($A1004,#REF!,3,FALSE)&gt;2,HLOOKUP(A1004,#REF!,3,FALSE)&lt;-2),"",#REF!),"")</f>
        <v/>
      </c>
      <c r="F1004" t="str">
        <f>IFERROR(IF(OR(HLOOKUP($A1004,#REF!,4,FALSE)&gt;2,HLOOKUP($A1004,#REF!,4,FALSE)&lt;-2),"",#REF!),"")</f>
        <v/>
      </c>
      <c r="G1004" t="str">
        <f>IFERROR(IF(OR(HLOOKUP($A1004,#REF!,5,FALSE)&gt;2,HLOOKUP($A1004,#REF!,5,FALSE)&lt;-2),"",#REF!),"")</f>
        <v/>
      </c>
      <c r="H1004" t="str">
        <f>IFERROR(IF(OR(HLOOKUP($A1004,#REF!,6,FALSE)&gt;2,HLOOKUP($A1004,#REF!,6,FALSE)&lt;-2),"",#REF!),"")</f>
        <v/>
      </c>
      <c r="I1004" t="str">
        <f>IFERROR(IF(OR(HLOOKUP($A1004,#REF!,7,FALSE)&gt;2,HLOOKUP($A1004,#REF!,7,FALSE)&lt;-2),"",#REF!),"")</f>
        <v/>
      </c>
      <c r="J1004" t="str">
        <f>IFERROR(IF(OR(HLOOKUP($A1004,#REF!,8,FALSE)&gt;2,HLOOKUP($A1004,#REF!,8,FALSE)&lt;-2),"",#REF!),"")</f>
        <v/>
      </c>
      <c r="K1004" t="str">
        <f>IFERROR(IF(OR(HLOOKUP($A1004,#REF!,9,FALSE)&gt;2,HLOOKUP($A1004,#REF!,9,FALSE)&lt;-2),"",#REF!),"")</f>
        <v/>
      </c>
      <c r="L1004" t="str">
        <f>IFERROR(IF(OR(HLOOKUP($A1004,#REF!,10,FALSE)&gt;2,HLOOKUP($A1004,#REF!,10,FALSE)&lt;-2),"",#REF!),"")</f>
        <v/>
      </c>
      <c r="M1004" t="str">
        <f>IFERROR(IF(OR(HLOOKUP($A1004,#REF!,11,FALSE)&gt;2,HLOOKUP($A1004,#REF!,11,FALSE)&lt;-2),"",#REF!),"")</f>
        <v/>
      </c>
      <c r="N1004" t="str">
        <f>IFERROR(IF(OR(HLOOKUP($A1004,#REF!,12,FALSE)&gt;2,HLOOKUP($A1004,#REF!,12,FALSE)&lt;-2),"",#REF!),"")</f>
        <v/>
      </c>
      <c r="O1004" t="str">
        <f>IFERROR(IF(OR(HLOOKUP($A1004,#REF!,13,FALSE)&gt;2,HLOOKUP($A1004,#REF!,13,FALSE)&lt;-2),"",#REF!),"")</f>
        <v/>
      </c>
      <c r="P1004" t="str">
        <f>IFERROR(IF(OR(HLOOKUP($A1004,#REF!,14,FALSE)&gt;2,HLOOKUP($A1004,#REF!,14,FALSE)&lt;-2),"",#REF!),"")</f>
        <v/>
      </c>
      <c r="Q1004" t="str">
        <f>IFERROR(IF(OR(HLOOKUP($A1004,#REF!,15,FALSE)&gt;2,HLOOKUP($A1004,#REF!,15,FALSE)&lt;-2),"",#REF!),"")</f>
        <v/>
      </c>
      <c r="R1004" t="str">
        <f>IFERROR(IF(OR(HLOOKUP($A1004,#REF!,16,FALSE)&gt;2,HLOOKUP($A1004,#REF!,16,FALSE)&lt;-2),"",#REF!),"")</f>
        <v/>
      </c>
      <c r="S1004" t="str">
        <f>IFERROR(IF(OR(HLOOKUP($A1004,#REF!,17,FALSE)&gt;2,HLOOKUP($A1004,#REF!,17,FALSE)&lt;-2),"",#REF!),"")</f>
        <v/>
      </c>
      <c r="T1004" t="str">
        <f>IFERROR(IF(OR(HLOOKUP($A1004,#REF!,18,FALSE)&gt;2,HLOOKUP($A1004,#REF!,18,FALSE)&lt;-2),"",#REF!),"")</f>
        <v/>
      </c>
      <c r="U1004" t="str">
        <f>IFERROR(IF(OR(HLOOKUP($A1004,#REF!,19,FALSE)&gt;2,HLOOKUP($A1004,#REF!,19,FALSE)&lt;-2),"",#REF!),"")</f>
        <v/>
      </c>
      <c r="V1004">
        <f t="shared" si="60"/>
        <v>1</v>
      </c>
      <c r="W1004" t="str">
        <f t="shared" si="61"/>
        <v/>
      </c>
      <c r="X1004" t="str">
        <f t="shared" si="62"/>
        <v/>
      </c>
      <c r="Y1004" t="str">
        <f t="shared" si="63"/>
        <v/>
      </c>
    </row>
    <row r="1005" spans="1:25" x14ac:dyDescent="0.35">
      <c r="A1005">
        <v>1014</v>
      </c>
      <c r="B1005" t="s">
        <v>1109</v>
      </c>
      <c r="C1005">
        <v>69000</v>
      </c>
      <c r="D1005">
        <v>856</v>
      </c>
      <c r="E1005" t="str">
        <f>IFERROR(IF(OR(HLOOKUP($A1005,#REF!,3,FALSE)&gt;2,HLOOKUP(A1005,#REF!,3,FALSE)&lt;-2),"",#REF!),"")</f>
        <v/>
      </c>
      <c r="F1005" t="str">
        <f>IFERROR(IF(OR(HLOOKUP($A1005,#REF!,4,FALSE)&gt;2,HLOOKUP($A1005,#REF!,4,FALSE)&lt;-2),"",#REF!),"")</f>
        <v/>
      </c>
      <c r="G1005" t="str">
        <f>IFERROR(IF(OR(HLOOKUP($A1005,#REF!,5,FALSE)&gt;2,HLOOKUP($A1005,#REF!,5,FALSE)&lt;-2),"",#REF!),"")</f>
        <v/>
      </c>
      <c r="H1005" t="str">
        <f>IFERROR(IF(OR(HLOOKUP($A1005,#REF!,6,FALSE)&gt;2,HLOOKUP($A1005,#REF!,6,FALSE)&lt;-2),"",#REF!),"")</f>
        <v/>
      </c>
      <c r="I1005" t="str">
        <f>IFERROR(IF(OR(HLOOKUP($A1005,#REF!,7,FALSE)&gt;2,HLOOKUP($A1005,#REF!,7,FALSE)&lt;-2),"",#REF!),"")</f>
        <v/>
      </c>
      <c r="J1005" t="str">
        <f>IFERROR(IF(OR(HLOOKUP($A1005,#REF!,8,FALSE)&gt;2,HLOOKUP($A1005,#REF!,8,FALSE)&lt;-2),"",#REF!),"")</f>
        <v/>
      </c>
      <c r="K1005" t="str">
        <f>IFERROR(IF(OR(HLOOKUP($A1005,#REF!,9,FALSE)&gt;2,HLOOKUP($A1005,#REF!,9,FALSE)&lt;-2),"",#REF!),"")</f>
        <v/>
      </c>
      <c r="L1005" t="str">
        <f>IFERROR(IF(OR(HLOOKUP($A1005,#REF!,10,FALSE)&gt;2,HLOOKUP($A1005,#REF!,10,FALSE)&lt;-2),"",#REF!),"")</f>
        <v/>
      </c>
      <c r="M1005" t="str">
        <f>IFERROR(IF(OR(HLOOKUP($A1005,#REF!,11,FALSE)&gt;2,HLOOKUP($A1005,#REF!,11,FALSE)&lt;-2),"",#REF!),"")</f>
        <v/>
      </c>
      <c r="N1005" t="str">
        <f>IFERROR(IF(OR(HLOOKUP($A1005,#REF!,12,FALSE)&gt;2,HLOOKUP($A1005,#REF!,12,FALSE)&lt;-2),"",#REF!),"")</f>
        <v/>
      </c>
      <c r="O1005" t="str">
        <f>IFERROR(IF(OR(HLOOKUP($A1005,#REF!,13,FALSE)&gt;2,HLOOKUP($A1005,#REF!,13,FALSE)&lt;-2),"",#REF!),"")</f>
        <v/>
      </c>
      <c r="P1005" t="str">
        <f>IFERROR(IF(OR(HLOOKUP($A1005,#REF!,14,FALSE)&gt;2,HLOOKUP($A1005,#REF!,14,FALSE)&lt;-2),"",#REF!),"")</f>
        <v/>
      </c>
      <c r="Q1005" t="str">
        <f>IFERROR(IF(OR(HLOOKUP($A1005,#REF!,15,FALSE)&gt;2,HLOOKUP($A1005,#REF!,15,FALSE)&lt;-2),"",#REF!),"")</f>
        <v/>
      </c>
      <c r="R1005" t="str">
        <f>IFERROR(IF(OR(HLOOKUP($A1005,#REF!,16,FALSE)&gt;2,HLOOKUP($A1005,#REF!,16,FALSE)&lt;-2),"",#REF!),"")</f>
        <v/>
      </c>
      <c r="S1005" t="str">
        <f>IFERROR(IF(OR(HLOOKUP($A1005,#REF!,17,FALSE)&gt;2,HLOOKUP($A1005,#REF!,17,FALSE)&lt;-2),"",#REF!),"")</f>
        <v/>
      </c>
      <c r="T1005" t="str">
        <f>IFERROR(IF(OR(HLOOKUP($A1005,#REF!,18,FALSE)&gt;2,HLOOKUP($A1005,#REF!,18,FALSE)&lt;-2),"",#REF!),"")</f>
        <v/>
      </c>
      <c r="U1005" t="str">
        <f>IFERROR(IF(OR(HLOOKUP($A1005,#REF!,19,FALSE)&gt;2,HLOOKUP($A1005,#REF!,19,FALSE)&lt;-2),"",#REF!),"")</f>
        <v/>
      </c>
      <c r="V1005">
        <f t="shared" si="60"/>
        <v>1</v>
      </c>
      <c r="W1005" t="str">
        <f t="shared" si="61"/>
        <v/>
      </c>
      <c r="X1005" t="str">
        <f t="shared" si="62"/>
        <v/>
      </c>
      <c r="Y1005" t="str">
        <f t="shared" si="63"/>
        <v/>
      </c>
    </row>
    <row r="1006" spans="1:25" x14ac:dyDescent="0.35">
      <c r="A1006">
        <v>1015</v>
      </c>
      <c r="B1006" t="s">
        <v>499</v>
      </c>
      <c r="C1006">
        <v>19200</v>
      </c>
      <c r="D1006">
        <v>39</v>
      </c>
      <c r="E1006" t="str">
        <f>IFERROR(IF(OR(HLOOKUP($A1006,#REF!,3,FALSE)&gt;2,HLOOKUP(A1006,#REF!,3,FALSE)&lt;-2),"",#REF!),"")</f>
        <v/>
      </c>
      <c r="F1006" t="str">
        <f>IFERROR(IF(OR(HLOOKUP($A1006,#REF!,4,FALSE)&gt;2,HLOOKUP($A1006,#REF!,4,FALSE)&lt;-2),"",#REF!),"")</f>
        <v/>
      </c>
      <c r="G1006" t="str">
        <f>IFERROR(IF(OR(HLOOKUP($A1006,#REF!,5,FALSE)&gt;2,HLOOKUP($A1006,#REF!,5,FALSE)&lt;-2),"",#REF!),"")</f>
        <v/>
      </c>
      <c r="H1006" t="str">
        <f>IFERROR(IF(OR(HLOOKUP($A1006,#REF!,6,FALSE)&gt;2,HLOOKUP($A1006,#REF!,6,FALSE)&lt;-2),"",#REF!),"")</f>
        <v/>
      </c>
      <c r="I1006" t="str">
        <f>IFERROR(IF(OR(HLOOKUP($A1006,#REF!,7,FALSE)&gt;2,HLOOKUP($A1006,#REF!,7,FALSE)&lt;-2),"",#REF!),"")</f>
        <v/>
      </c>
      <c r="J1006" t="str">
        <f>IFERROR(IF(OR(HLOOKUP($A1006,#REF!,8,FALSE)&gt;2,HLOOKUP($A1006,#REF!,8,FALSE)&lt;-2),"",#REF!),"")</f>
        <v/>
      </c>
      <c r="K1006" t="str">
        <f>IFERROR(IF(OR(HLOOKUP($A1006,#REF!,9,FALSE)&gt;2,HLOOKUP($A1006,#REF!,9,FALSE)&lt;-2),"",#REF!),"")</f>
        <v/>
      </c>
      <c r="L1006" t="str">
        <f>IFERROR(IF(OR(HLOOKUP($A1006,#REF!,10,FALSE)&gt;2,HLOOKUP($A1006,#REF!,10,FALSE)&lt;-2),"",#REF!),"")</f>
        <v/>
      </c>
      <c r="M1006" t="str">
        <f>IFERROR(IF(OR(HLOOKUP($A1006,#REF!,11,FALSE)&gt;2,HLOOKUP($A1006,#REF!,11,FALSE)&lt;-2),"",#REF!),"")</f>
        <v/>
      </c>
      <c r="N1006" t="str">
        <f>IFERROR(IF(OR(HLOOKUP($A1006,#REF!,12,FALSE)&gt;2,HLOOKUP($A1006,#REF!,12,FALSE)&lt;-2),"",#REF!),"")</f>
        <v/>
      </c>
      <c r="O1006" t="str">
        <f>IFERROR(IF(OR(HLOOKUP($A1006,#REF!,13,FALSE)&gt;2,HLOOKUP($A1006,#REF!,13,FALSE)&lt;-2),"",#REF!),"")</f>
        <v/>
      </c>
      <c r="P1006" t="str">
        <f>IFERROR(IF(OR(HLOOKUP($A1006,#REF!,14,FALSE)&gt;2,HLOOKUP($A1006,#REF!,14,FALSE)&lt;-2),"",#REF!),"")</f>
        <v/>
      </c>
      <c r="Q1006" t="str">
        <f>IFERROR(IF(OR(HLOOKUP($A1006,#REF!,15,FALSE)&gt;2,HLOOKUP($A1006,#REF!,15,FALSE)&lt;-2),"",#REF!),"")</f>
        <v/>
      </c>
      <c r="R1006" t="str">
        <f>IFERROR(IF(OR(HLOOKUP($A1006,#REF!,16,FALSE)&gt;2,HLOOKUP($A1006,#REF!,16,FALSE)&lt;-2),"",#REF!),"")</f>
        <v/>
      </c>
      <c r="S1006" t="str">
        <f>IFERROR(IF(OR(HLOOKUP($A1006,#REF!,17,FALSE)&gt;2,HLOOKUP($A1006,#REF!,17,FALSE)&lt;-2),"",#REF!),"")</f>
        <v/>
      </c>
      <c r="T1006" t="str">
        <f>IFERROR(IF(OR(HLOOKUP($A1006,#REF!,18,FALSE)&gt;2,HLOOKUP($A1006,#REF!,18,FALSE)&lt;-2),"",#REF!),"")</f>
        <v/>
      </c>
      <c r="U1006" t="str">
        <f>IFERROR(IF(OR(HLOOKUP($A1006,#REF!,19,FALSE)&gt;2,HLOOKUP($A1006,#REF!,19,FALSE)&lt;-2),"",#REF!),"")</f>
        <v/>
      </c>
      <c r="V1006">
        <f t="shared" si="60"/>
        <v>1</v>
      </c>
      <c r="W1006" t="str">
        <f t="shared" si="61"/>
        <v/>
      </c>
      <c r="X1006" t="str">
        <f t="shared" si="62"/>
        <v/>
      </c>
      <c r="Y1006" t="str">
        <f t="shared" si="63"/>
        <v/>
      </c>
    </row>
    <row r="1007" spans="1:25" x14ac:dyDescent="0.35">
      <c r="A1007">
        <v>1016</v>
      </c>
      <c r="B1007" t="s">
        <v>500</v>
      </c>
      <c r="C1007">
        <v>97700</v>
      </c>
      <c r="D1007">
        <v>840</v>
      </c>
      <c r="E1007" t="str">
        <f>IFERROR(IF(OR(HLOOKUP($A1007,#REF!,3,FALSE)&gt;2,HLOOKUP(A1007,#REF!,3,FALSE)&lt;-2),"",#REF!),"")</f>
        <v/>
      </c>
      <c r="F1007" t="str">
        <f>IFERROR(IF(OR(HLOOKUP($A1007,#REF!,4,FALSE)&gt;2,HLOOKUP($A1007,#REF!,4,FALSE)&lt;-2),"",#REF!),"")</f>
        <v/>
      </c>
      <c r="G1007" t="str">
        <f>IFERROR(IF(OR(HLOOKUP($A1007,#REF!,5,FALSE)&gt;2,HLOOKUP($A1007,#REF!,5,FALSE)&lt;-2),"",#REF!),"")</f>
        <v/>
      </c>
      <c r="H1007" t="str">
        <f>IFERROR(IF(OR(HLOOKUP($A1007,#REF!,6,FALSE)&gt;2,HLOOKUP($A1007,#REF!,6,FALSE)&lt;-2),"",#REF!),"")</f>
        <v/>
      </c>
      <c r="I1007" t="str">
        <f>IFERROR(IF(OR(HLOOKUP($A1007,#REF!,7,FALSE)&gt;2,HLOOKUP($A1007,#REF!,7,FALSE)&lt;-2),"",#REF!),"")</f>
        <v/>
      </c>
      <c r="J1007" t="str">
        <f>IFERROR(IF(OR(HLOOKUP($A1007,#REF!,8,FALSE)&gt;2,HLOOKUP($A1007,#REF!,8,FALSE)&lt;-2),"",#REF!),"")</f>
        <v/>
      </c>
      <c r="K1007" t="str">
        <f>IFERROR(IF(OR(HLOOKUP($A1007,#REF!,9,FALSE)&gt;2,HLOOKUP($A1007,#REF!,9,FALSE)&lt;-2),"",#REF!),"")</f>
        <v/>
      </c>
      <c r="L1007" t="str">
        <f>IFERROR(IF(OR(HLOOKUP($A1007,#REF!,10,FALSE)&gt;2,HLOOKUP($A1007,#REF!,10,FALSE)&lt;-2),"",#REF!),"")</f>
        <v/>
      </c>
      <c r="M1007" t="str">
        <f>IFERROR(IF(OR(HLOOKUP($A1007,#REF!,11,FALSE)&gt;2,HLOOKUP($A1007,#REF!,11,FALSE)&lt;-2),"",#REF!),"")</f>
        <v/>
      </c>
      <c r="N1007" t="str">
        <f>IFERROR(IF(OR(HLOOKUP($A1007,#REF!,12,FALSE)&gt;2,HLOOKUP($A1007,#REF!,12,FALSE)&lt;-2),"",#REF!),"")</f>
        <v/>
      </c>
      <c r="O1007" t="str">
        <f>IFERROR(IF(OR(HLOOKUP($A1007,#REF!,13,FALSE)&gt;2,HLOOKUP($A1007,#REF!,13,FALSE)&lt;-2),"",#REF!),"")</f>
        <v/>
      </c>
      <c r="P1007" t="str">
        <f>IFERROR(IF(OR(HLOOKUP($A1007,#REF!,14,FALSE)&gt;2,HLOOKUP($A1007,#REF!,14,FALSE)&lt;-2),"",#REF!),"")</f>
        <v/>
      </c>
      <c r="Q1007" t="str">
        <f>IFERROR(IF(OR(HLOOKUP($A1007,#REF!,15,FALSE)&gt;2,HLOOKUP($A1007,#REF!,15,FALSE)&lt;-2),"",#REF!),"")</f>
        <v/>
      </c>
      <c r="R1007" t="str">
        <f>IFERROR(IF(OR(HLOOKUP($A1007,#REF!,16,FALSE)&gt;2,HLOOKUP($A1007,#REF!,16,FALSE)&lt;-2),"",#REF!),"")</f>
        <v/>
      </c>
      <c r="S1007" t="str">
        <f>IFERROR(IF(OR(HLOOKUP($A1007,#REF!,17,FALSE)&gt;2,HLOOKUP($A1007,#REF!,17,FALSE)&lt;-2),"",#REF!),"")</f>
        <v/>
      </c>
      <c r="T1007" t="str">
        <f>IFERROR(IF(OR(HLOOKUP($A1007,#REF!,18,FALSE)&gt;2,HLOOKUP($A1007,#REF!,18,FALSE)&lt;-2),"",#REF!),"")</f>
        <v/>
      </c>
      <c r="U1007" t="str">
        <f>IFERROR(IF(OR(HLOOKUP($A1007,#REF!,19,FALSE)&gt;2,HLOOKUP($A1007,#REF!,19,FALSE)&lt;-2),"",#REF!),"")</f>
        <v/>
      </c>
      <c r="V1007">
        <f t="shared" si="60"/>
        <v>1</v>
      </c>
      <c r="W1007" t="str">
        <f t="shared" si="61"/>
        <v/>
      </c>
      <c r="X1007" t="str">
        <f t="shared" si="62"/>
        <v/>
      </c>
      <c r="Y1007" t="str">
        <f t="shared" si="63"/>
        <v/>
      </c>
    </row>
    <row r="1008" spans="1:25" x14ac:dyDescent="0.35">
      <c r="A1008">
        <v>1017</v>
      </c>
      <c r="B1008" t="s">
        <v>501</v>
      </c>
      <c r="C1008">
        <v>60100</v>
      </c>
      <c r="D1008">
        <v>1073</v>
      </c>
      <c r="E1008" t="str">
        <f>IFERROR(IF(OR(HLOOKUP($A1008,#REF!,3,FALSE)&gt;2,HLOOKUP(A1008,#REF!,3,FALSE)&lt;-2),"",#REF!),"")</f>
        <v/>
      </c>
      <c r="F1008" t="str">
        <f>IFERROR(IF(OR(HLOOKUP($A1008,#REF!,4,FALSE)&gt;2,HLOOKUP($A1008,#REF!,4,FALSE)&lt;-2),"",#REF!),"")</f>
        <v/>
      </c>
      <c r="G1008" t="str">
        <f>IFERROR(IF(OR(HLOOKUP($A1008,#REF!,5,FALSE)&gt;2,HLOOKUP($A1008,#REF!,5,FALSE)&lt;-2),"",#REF!),"")</f>
        <v/>
      </c>
      <c r="H1008" t="str">
        <f>IFERROR(IF(OR(HLOOKUP($A1008,#REF!,6,FALSE)&gt;2,HLOOKUP($A1008,#REF!,6,FALSE)&lt;-2),"",#REF!),"")</f>
        <v/>
      </c>
      <c r="I1008" t="str">
        <f>IFERROR(IF(OR(HLOOKUP($A1008,#REF!,7,FALSE)&gt;2,HLOOKUP($A1008,#REF!,7,FALSE)&lt;-2),"",#REF!),"")</f>
        <v/>
      </c>
      <c r="J1008" t="str">
        <f>IFERROR(IF(OR(HLOOKUP($A1008,#REF!,8,FALSE)&gt;2,HLOOKUP($A1008,#REF!,8,FALSE)&lt;-2),"",#REF!),"")</f>
        <v/>
      </c>
      <c r="K1008" t="str">
        <f>IFERROR(IF(OR(HLOOKUP($A1008,#REF!,9,FALSE)&gt;2,HLOOKUP($A1008,#REF!,9,FALSE)&lt;-2),"",#REF!),"")</f>
        <v/>
      </c>
      <c r="L1008" t="str">
        <f>IFERROR(IF(OR(HLOOKUP($A1008,#REF!,10,FALSE)&gt;2,HLOOKUP($A1008,#REF!,10,FALSE)&lt;-2),"",#REF!),"")</f>
        <v/>
      </c>
      <c r="M1008" t="str">
        <f>IFERROR(IF(OR(HLOOKUP($A1008,#REF!,11,FALSE)&gt;2,HLOOKUP($A1008,#REF!,11,FALSE)&lt;-2),"",#REF!),"")</f>
        <v/>
      </c>
      <c r="N1008" t="str">
        <f>IFERROR(IF(OR(HLOOKUP($A1008,#REF!,12,FALSE)&gt;2,HLOOKUP($A1008,#REF!,12,FALSE)&lt;-2),"",#REF!),"")</f>
        <v/>
      </c>
      <c r="O1008" t="str">
        <f>IFERROR(IF(OR(HLOOKUP($A1008,#REF!,13,FALSE)&gt;2,HLOOKUP($A1008,#REF!,13,FALSE)&lt;-2),"",#REF!),"")</f>
        <v/>
      </c>
      <c r="P1008" t="str">
        <f>IFERROR(IF(OR(HLOOKUP($A1008,#REF!,14,FALSE)&gt;2,HLOOKUP($A1008,#REF!,14,FALSE)&lt;-2),"",#REF!),"")</f>
        <v/>
      </c>
      <c r="Q1008" t="str">
        <f>IFERROR(IF(OR(HLOOKUP($A1008,#REF!,15,FALSE)&gt;2,HLOOKUP($A1008,#REF!,15,FALSE)&lt;-2),"",#REF!),"")</f>
        <v/>
      </c>
      <c r="R1008" t="str">
        <f>IFERROR(IF(OR(HLOOKUP($A1008,#REF!,16,FALSE)&gt;2,HLOOKUP($A1008,#REF!,16,FALSE)&lt;-2),"",#REF!),"")</f>
        <v/>
      </c>
      <c r="S1008" t="str">
        <f>IFERROR(IF(OR(HLOOKUP($A1008,#REF!,17,FALSE)&gt;2,HLOOKUP($A1008,#REF!,17,FALSE)&lt;-2),"",#REF!),"")</f>
        <v/>
      </c>
      <c r="T1008" t="str">
        <f>IFERROR(IF(OR(HLOOKUP($A1008,#REF!,18,FALSE)&gt;2,HLOOKUP($A1008,#REF!,18,FALSE)&lt;-2),"",#REF!),"")</f>
        <v/>
      </c>
      <c r="U1008" t="str">
        <f>IFERROR(IF(OR(HLOOKUP($A1008,#REF!,19,FALSE)&gt;2,HLOOKUP($A1008,#REF!,19,FALSE)&lt;-2),"",#REF!),"")</f>
        <v/>
      </c>
      <c r="V1008">
        <f t="shared" si="60"/>
        <v>1</v>
      </c>
      <c r="W1008" t="str">
        <f t="shared" si="61"/>
        <v/>
      </c>
      <c r="X1008" t="str">
        <f t="shared" si="62"/>
        <v/>
      </c>
      <c r="Y1008" t="str">
        <f t="shared" si="63"/>
        <v/>
      </c>
    </row>
    <row r="1009" spans="1:25" x14ac:dyDescent="0.35">
      <c r="A1009">
        <v>1018</v>
      </c>
      <c r="B1009" t="s">
        <v>1110</v>
      </c>
      <c r="C1009">
        <v>12700</v>
      </c>
      <c r="D1009">
        <v>247</v>
      </c>
      <c r="E1009" t="str">
        <f>IFERROR(IF(OR(HLOOKUP($A1009,#REF!,3,FALSE)&gt;2,HLOOKUP(A1009,#REF!,3,FALSE)&lt;-2),"",#REF!),"")</f>
        <v/>
      </c>
      <c r="F1009" t="str">
        <f>IFERROR(IF(OR(HLOOKUP($A1009,#REF!,4,FALSE)&gt;2,HLOOKUP($A1009,#REF!,4,FALSE)&lt;-2),"",#REF!),"")</f>
        <v/>
      </c>
      <c r="G1009" t="str">
        <f>IFERROR(IF(OR(HLOOKUP($A1009,#REF!,5,FALSE)&gt;2,HLOOKUP($A1009,#REF!,5,FALSE)&lt;-2),"",#REF!),"")</f>
        <v/>
      </c>
      <c r="H1009" t="str">
        <f>IFERROR(IF(OR(HLOOKUP($A1009,#REF!,6,FALSE)&gt;2,HLOOKUP($A1009,#REF!,6,FALSE)&lt;-2),"",#REF!),"")</f>
        <v/>
      </c>
      <c r="I1009" t="str">
        <f>IFERROR(IF(OR(HLOOKUP($A1009,#REF!,7,FALSE)&gt;2,HLOOKUP($A1009,#REF!,7,FALSE)&lt;-2),"",#REF!),"")</f>
        <v/>
      </c>
      <c r="J1009" t="str">
        <f>IFERROR(IF(OR(HLOOKUP($A1009,#REF!,8,FALSE)&gt;2,HLOOKUP($A1009,#REF!,8,FALSE)&lt;-2),"",#REF!),"")</f>
        <v/>
      </c>
      <c r="K1009" t="str">
        <f>IFERROR(IF(OR(HLOOKUP($A1009,#REF!,9,FALSE)&gt;2,HLOOKUP($A1009,#REF!,9,FALSE)&lt;-2),"",#REF!),"")</f>
        <v/>
      </c>
      <c r="L1009" t="str">
        <f>IFERROR(IF(OR(HLOOKUP($A1009,#REF!,10,FALSE)&gt;2,HLOOKUP($A1009,#REF!,10,FALSE)&lt;-2),"",#REF!),"")</f>
        <v/>
      </c>
      <c r="M1009" t="str">
        <f>IFERROR(IF(OR(HLOOKUP($A1009,#REF!,11,FALSE)&gt;2,HLOOKUP($A1009,#REF!,11,FALSE)&lt;-2),"",#REF!),"")</f>
        <v/>
      </c>
      <c r="N1009" t="str">
        <f>IFERROR(IF(OR(HLOOKUP($A1009,#REF!,12,FALSE)&gt;2,HLOOKUP($A1009,#REF!,12,FALSE)&lt;-2),"",#REF!),"")</f>
        <v/>
      </c>
      <c r="O1009" t="str">
        <f>IFERROR(IF(OR(HLOOKUP($A1009,#REF!,13,FALSE)&gt;2,HLOOKUP($A1009,#REF!,13,FALSE)&lt;-2),"",#REF!),"")</f>
        <v/>
      </c>
      <c r="P1009" t="str">
        <f>IFERROR(IF(OR(HLOOKUP($A1009,#REF!,14,FALSE)&gt;2,HLOOKUP($A1009,#REF!,14,FALSE)&lt;-2),"",#REF!),"")</f>
        <v/>
      </c>
      <c r="Q1009" t="str">
        <f>IFERROR(IF(OR(HLOOKUP($A1009,#REF!,15,FALSE)&gt;2,HLOOKUP($A1009,#REF!,15,FALSE)&lt;-2),"",#REF!),"")</f>
        <v/>
      </c>
      <c r="R1009" t="str">
        <f>IFERROR(IF(OR(HLOOKUP($A1009,#REF!,16,FALSE)&gt;2,HLOOKUP($A1009,#REF!,16,FALSE)&lt;-2),"",#REF!),"")</f>
        <v/>
      </c>
      <c r="S1009" t="str">
        <f>IFERROR(IF(OR(HLOOKUP($A1009,#REF!,17,FALSE)&gt;2,HLOOKUP($A1009,#REF!,17,FALSE)&lt;-2),"",#REF!),"")</f>
        <v/>
      </c>
      <c r="T1009" t="str">
        <f>IFERROR(IF(OR(HLOOKUP($A1009,#REF!,18,FALSE)&gt;2,HLOOKUP($A1009,#REF!,18,FALSE)&lt;-2),"",#REF!),"")</f>
        <v/>
      </c>
      <c r="U1009" t="str">
        <f>IFERROR(IF(OR(HLOOKUP($A1009,#REF!,19,FALSE)&gt;2,HLOOKUP($A1009,#REF!,19,FALSE)&lt;-2),"",#REF!),"")</f>
        <v/>
      </c>
      <c r="V1009">
        <f t="shared" si="60"/>
        <v>1</v>
      </c>
      <c r="W1009" t="str">
        <f t="shared" si="61"/>
        <v/>
      </c>
      <c r="X1009" t="str">
        <f t="shared" si="62"/>
        <v/>
      </c>
      <c r="Y1009" t="str">
        <f t="shared" si="63"/>
        <v/>
      </c>
    </row>
    <row r="1010" spans="1:25" x14ac:dyDescent="0.35">
      <c r="A1010">
        <v>1019</v>
      </c>
      <c r="B1010" t="s">
        <v>1111</v>
      </c>
      <c r="C1010">
        <v>107800</v>
      </c>
      <c r="D1010">
        <v>784</v>
      </c>
      <c r="E1010" t="str">
        <f>IFERROR(IF(OR(HLOOKUP($A1010,#REF!,3,FALSE)&gt;2,HLOOKUP(A1010,#REF!,3,FALSE)&lt;-2),"",#REF!),"")</f>
        <v/>
      </c>
      <c r="F1010" t="str">
        <f>IFERROR(IF(OR(HLOOKUP($A1010,#REF!,4,FALSE)&gt;2,HLOOKUP($A1010,#REF!,4,FALSE)&lt;-2),"",#REF!),"")</f>
        <v/>
      </c>
      <c r="G1010" t="str">
        <f>IFERROR(IF(OR(HLOOKUP($A1010,#REF!,5,FALSE)&gt;2,HLOOKUP($A1010,#REF!,5,FALSE)&lt;-2),"",#REF!),"")</f>
        <v/>
      </c>
      <c r="H1010" t="str">
        <f>IFERROR(IF(OR(HLOOKUP($A1010,#REF!,6,FALSE)&gt;2,HLOOKUP($A1010,#REF!,6,FALSE)&lt;-2),"",#REF!),"")</f>
        <v/>
      </c>
      <c r="I1010" t="str">
        <f>IFERROR(IF(OR(HLOOKUP($A1010,#REF!,7,FALSE)&gt;2,HLOOKUP($A1010,#REF!,7,FALSE)&lt;-2),"",#REF!),"")</f>
        <v/>
      </c>
      <c r="J1010" t="str">
        <f>IFERROR(IF(OR(HLOOKUP($A1010,#REF!,8,FALSE)&gt;2,HLOOKUP($A1010,#REF!,8,FALSE)&lt;-2),"",#REF!),"")</f>
        <v/>
      </c>
      <c r="K1010" t="str">
        <f>IFERROR(IF(OR(HLOOKUP($A1010,#REF!,9,FALSE)&gt;2,HLOOKUP($A1010,#REF!,9,FALSE)&lt;-2),"",#REF!),"")</f>
        <v/>
      </c>
      <c r="L1010" t="str">
        <f>IFERROR(IF(OR(HLOOKUP($A1010,#REF!,10,FALSE)&gt;2,HLOOKUP($A1010,#REF!,10,FALSE)&lt;-2),"",#REF!),"")</f>
        <v/>
      </c>
      <c r="M1010" t="str">
        <f>IFERROR(IF(OR(HLOOKUP($A1010,#REF!,11,FALSE)&gt;2,HLOOKUP($A1010,#REF!,11,FALSE)&lt;-2),"",#REF!),"")</f>
        <v/>
      </c>
      <c r="N1010" t="str">
        <f>IFERROR(IF(OR(HLOOKUP($A1010,#REF!,12,FALSE)&gt;2,HLOOKUP($A1010,#REF!,12,FALSE)&lt;-2),"",#REF!),"")</f>
        <v/>
      </c>
      <c r="O1010" t="str">
        <f>IFERROR(IF(OR(HLOOKUP($A1010,#REF!,13,FALSE)&gt;2,HLOOKUP($A1010,#REF!,13,FALSE)&lt;-2),"",#REF!),"")</f>
        <v/>
      </c>
      <c r="P1010" t="str">
        <f>IFERROR(IF(OR(HLOOKUP($A1010,#REF!,14,FALSE)&gt;2,HLOOKUP($A1010,#REF!,14,FALSE)&lt;-2),"",#REF!),"")</f>
        <v/>
      </c>
      <c r="Q1010" t="str">
        <f>IFERROR(IF(OR(HLOOKUP($A1010,#REF!,15,FALSE)&gt;2,HLOOKUP($A1010,#REF!,15,FALSE)&lt;-2),"",#REF!),"")</f>
        <v/>
      </c>
      <c r="R1010" t="str">
        <f>IFERROR(IF(OR(HLOOKUP($A1010,#REF!,16,FALSE)&gt;2,HLOOKUP($A1010,#REF!,16,FALSE)&lt;-2),"",#REF!),"")</f>
        <v/>
      </c>
      <c r="S1010" t="str">
        <f>IFERROR(IF(OR(HLOOKUP($A1010,#REF!,17,FALSE)&gt;2,HLOOKUP($A1010,#REF!,17,FALSE)&lt;-2),"",#REF!),"")</f>
        <v/>
      </c>
      <c r="T1010" t="str">
        <f>IFERROR(IF(OR(HLOOKUP($A1010,#REF!,18,FALSE)&gt;2,HLOOKUP($A1010,#REF!,18,FALSE)&lt;-2),"",#REF!),"")</f>
        <v/>
      </c>
      <c r="U1010" t="str">
        <f>IFERROR(IF(OR(HLOOKUP($A1010,#REF!,19,FALSE)&gt;2,HLOOKUP($A1010,#REF!,19,FALSE)&lt;-2),"",#REF!),"")</f>
        <v/>
      </c>
      <c r="V1010">
        <f t="shared" si="60"/>
        <v>1</v>
      </c>
      <c r="W1010" t="str">
        <f t="shared" si="61"/>
        <v/>
      </c>
      <c r="X1010" t="str">
        <f t="shared" si="62"/>
        <v/>
      </c>
      <c r="Y1010" t="str">
        <f t="shared" si="63"/>
        <v/>
      </c>
    </row>
    <row r="1011" spans="1:25" x14ac:dyDescent="0.35">
      <c r="A1011">
        <v>1020</v>
      </c>
      <c r="B1011" t="s">
        <v>502</v>
      </c>
      <c r="C1011">
        <v>65900</v>
      </c>
      <c r="D1011">
        <v>138</v>
      </c>
      <c r="E1011" t="str">
        <f>IFERROR(IF(OR(HLOOKUP($A1011,#REF!,3,FALSE)&gt;2,HLOOKUP(A1011,#REF!,3,FALSE)&lt;-2),"",#REF!),"")</f>
        <v/>
      </c>
      <c r="F1011" t="str">
        <f>IFERROR(IF(OR(HLOOKUP($A1011,#REF!,4,FALSE)&gt;2,HLOOKUP($A1011,#REF!,4,FALSE)&lt;-2),"",#REF!),"")</f>
        <v/>
      </c>
      <c r="G1011" t="str">
        <f>IFERROR(IF(OR(HLOOKUP($A1011,#REF!,5,FALSE)&gt;2,HLOOKUP($A1011,#REF!,5,FALSE)&lt;-2),"",#REF!),"")</f>
        <v/>
      </c>
      <c r="H1011" t="str">
        <f>IFERROR(IF(OR(HLOOKUP($A1011,#REF!,6,FALSE)&gt;2,HLOOKUP($A1011,#REF!,6,FALSE)&lt;-2),"",#REF!),"")</f>
        <v/>
      </c>
      <c r="I1011" t="str">
        <f>IFERROR(IF(OR(HLOOKUP($A1011,#REF!,7,FALSE)&gt;2,HLOOKUP($A1011,#REF!,7,FALSE)&lt;-2),"",#REF!),"")</f>
        <v/>
      </c>
      <c r="J1011" t="str">
        <f>IFERROR(IF(OR(HLOOKUP($A1011,#REF!,8,FALSE)&gt;2,HLOOKUP($A1011,#REF!,8,FALSE)&lt;-2),"",#REF!),"")</f>
        <v/>
      </c>
      <c r="K1011" t="str">
        <f>IFERROR(IF(OR(HLOOKUP($A1011,#REF!,9,FALSE)&gt;2,HLOOKUP($A1011,#REF!,9,FALSE)&lt;-2),"",#REF!),"")</f>
        <v/>
      </c>
      <c r="L1011" t="str">
        <f>IFERROR(IF(OR(HLOOKUP($A1011,#REF!,10,FALSE)&gt;2,HLOOKUP($A1011,#REF!,10,FALSE)&lt;-2),"",#REF!),"")</f>
        <v/>
      </c>
      <c r="M1011" t="str">
        <f>IFERROR(IF(OR(HLOOKUP($A1011,#REF!,11,FALSE)&gt;2,HLOOKUP($A1011,#REF!,11,FALSE)&lt;-2),"",#REF!),"")</f>
        <v/>
      </c>
      <c r="N1011" t="str">
        <f>IFERROR(IF(OR(HLOOKUP($A1011,#REF!,12,FALSE)&gt;2,HLOOKUP($A1011,#REF!,12,FALSE)&lt;-2),"",#REF!),"")</f>
        <v/>
      </c>
      <c r="O1011" t="str">
        <f>IFERROR(IF(OR(HLOOKUP($A1011,#REF!,13,FALSE)&gt;2,HLOOKUP($A1011,#REF!,13,FALSE)&lt;-2),"",#REF!),"")</f>
        <v/>
      </c>
      <c r="P1011" t="str">
        <f>IFERROR(IF(OR(HLOOKUP($A1011,#REF!,14,FALSE)&gt;2,HLOOKUP($A1011,#REF!,14,FALSE)&lt;-2),"",#REF!),"")</f>
        <v/>
      </c>
      <c r="Q1011" t="str">
        <f>IFERROR(IF(OR(HLOOKUP($A1011,#REF!,15,FALSE)&gt;2,HLOOKUP($A1011,#REF!,15,FALSE)&lt;-2),"",#REF!),"")</f>
        <v/>
      </c>
      <c r="R1011" t="str">
        <f>IFERROR(IF(OR(HLOOKUP($A1011,#REF!,16,FALSE)&gt;2,HLOOKUP($A1011,#REF!,16,FALSE)&lt;-2),"",#REF!),"")</f>
        <v/>
      </c>
      <c r="S1011" t="str">
        <f>IFERROR(IF(OR(HLOOKUP($A1011,#REF!,17,FALSE)&gt;2,HLOOKUP($A1011,#REF!,17,FALSE)&lt;-2),"",#REF!),"")</f>
        <v/>
      </c>
      <c r="T1011" t="str">
        <f>IFERROR(IF(OR(HLOOKUP($A1011,#REF!,18,FALSE)&gt;2,HLOOKUP($A1011,#REF!,18,FALSE)&lt;-2),"",#REF!),"")</f>
        <v/>
      </c>
      <c r="U1011" t="str">
        <f>IFERROR(IF(OR(HLOOKUP($A1011,#REF!,19,FALSE)&gt;2,HLOOKUP($A1011,#REF!,19,FALSE)&lt;-2),"",#REF!),"")</f>
        <v/>
      </c>
      <c r="V1011">
        <f t="shared" si="60"/>
        <v>1</v>
      </c>
      <c r="W1011" t="str">
        <f t="shared" si="61"/>
        <v/>
      </c>
      <c r="X1011" t="str">
        <f t="shared" si="62"/>
        <v/>
      </c>
      <c r="Y1011" t="str">
        <f t="shared" si="63"/>
        <v/>
      </c>
    </row>
    <row r="1012" spans="1:25" x14ac:dyDescent="0.35">
      <c r="A1012">
        <v>1021</v>
      </c>
      <c r="B1012" t="s">
        <v>503</v>
      </c>
      <c r="C1012">
        <v>2500</v>
      </c>
      <c r="D1012">
        <v>993</v>
      </c>
      <c r="E1012" t="str">
        <f>IFERROR(IF(OR(HLOOKUP($A1012,#REF!,3,FALSE)&gt;2,HLOOKUP(A1012,#REF!,3,FALSE)&lt;-2),"",#REF!),"")</f>
        <v/>
      </c>
      <c r="F1012" t="str">
        <f>IFERROR(IF(OR(HLOOKUP($A1012,#REF!,4,FALSE)&gt;2,HLOOKUP($A1012,#REF!,4,FALSE)&lt;-2),"",#REF!),"")</f>
        <v/>
      </c>
      <c r="G1012" t="str">
        <f>IFERROR(IF(OR(HLOOKUP($A1012,#REF!,5,FALSE)&gt;2,HLOOKUP($A1012,#REF!,5,FALSE)&lt;-2),"",#REF!),"")</f>
        <v/>
      </c>
      <c r="H1012" t="str">
        <f>IFERROR(IF(OR(HLOOKUP($A1012,#REF!,6,FALSE)&gt;2,HLOOKUP($A1012,#REF!,6,FALSE)&lt;-2),"",#REF!),"")</f>
        <v/>
      </c>
      <c r="I1012" t="str">
        <f>IFERROR(IF(OR(HLOOKUP($A1012,#REF!,7,FALSE)&gt;2,HLOOKUP($A1012,#REF!,7,FALSE)&lt;-2),"",#REF!),"")</f>
        <v/>
      </c>
      <c r="J1012" t="str">
        <f>IFERROR(IF(OR(HLOOKUP($A1012,#REF!,8,FALSE)&gt;2,HLOOKUP($A1012,#REF!,8,FALSE)&lt;-2),"",#REF!),"")</f>
        <v/>
      </c>
      <c r="K1012" t="str">
        <f>IFERROR(IF(OR(HLOOKUP($A1012,#REF!,9,FALSE)&gt;2,HLOOKUP($A1012,#REF!,9,FALSE)&lt;-2),"",#REF!),"")</f>
        <v/>
      </c>
      <c r="L1012" t="str">
        <f>IFERROR(IF(OR(HLOOKUP($A1012,#REF!,10,FALSE)&gt;2,HLOOKUP($A1012,#REF!,10,FALSE)&lt;-2),"",#REF!),"")</f>
        <v/>
      </c>
      <c r="M1012" t="str">
        <f>IFERROR(IF(OR(HLOOKUP($A1012,#REF!,11,FALSE)&gt;2,HLOOKUP($A1012,#REF!,11,FALSE)&lt;-2),"",#REF!),"")</f>
        <v/>
      </c>
      <c r="N1012" t="str">
        <f>IFERROR(IF(OR(HLOOKUP($A1012,#REF!,12,FALSE)&gt;2,HLOOKUP($A1012,#REF!,12,FALSE)&lt;-2),"",#REF!),"")</f>
        <v/>
      </c>
      <c r="O1012" t="str">
        <f>IFERROR(IF(OR(HLOOKUP($A1012,#REF!,13,FALSE)&gt;2,HLOOKUP($A1012,#REF!,13,FALSE)&lt;-2),"",#REF!),"")</f>
        <v/>
      </c>
      <c r="P1012" t="str">
        <f>IFERROR(IF(OR(HLOOKUP($A1012,#REF!,14,FALSE)&gt;2,HLOOKUP($A1012,#REF!,14,FALSE)&lt;-2),"",#REF!),"")</f>
        <v/>
      </c>
      <c r="Q1012" t="str">
        <f>IFERROR(IF(OR(HLOOKUP($A1012,#REF!,15,FALSE)&gt;2,HLOOKUP($A1012,#REF!,15,FALSE)&lt;-2),"",#REF!),"")</f>
        <v/>
      </c>
      <c r="R1012" t="str">
        <f>IFERROR(IF(OR(HLOOKUP($A1012,#REF!,16,FALSE)&gt;2,HLOOKUP($A1012,#REF!,16,FALSE)&lt;-2),"",#REF!),"")</f>
        <v/>
      </c>
      <c r="S1012" t="str">
        <f>IFERROR(IF(OR(HLOOKUP($A1012,#REF!,17,FALSE)&gt;2,HLOOKUP($A1012,#REF!,17,FALSE)&lt;-2),"",#REF!),"")</f>
        <v/>
      </c>
      <c r="T1012" t="str">
        <f>IFERROR(IF(OR(HLOOKUP($A1012,#REF!,18,FALSE)&gt;2,HLOOKUP($A1012,#REF!,18,FALSE)&lt;-2),"",#REF!),"")</f>
        <v/>
      </c>
      <c r="U1012" t="str">
        <f>IFERROR(IF(OR(HLOOKUP($A1012,#REF!,19,FALSE)&gt;2,HLOOKUP($A1012,#REF!,19,FALSE)&lt;-2),"",#REF!),"")</f>
        <v/>
      </c>
      <c r="V1012">
        <f t="shared" si="60"/>
        <v>1</v>
      </c>
      <c r="W1012" t="str">
        <f t="shared" si="61"/>
        <v/>
      </c>
      <c r="X1012" t="str">
        <f t="shared" si="62"/>
        <v/>
      </c>
      <c r="Y1012" t="str">
        <f t="shared" si="63"/>
        <v/>
      </c>
    </row>
    <row r="1013" spans="1:25" x14ac:dyDescent="0.35">
      <c r="A1013">
        <v>1022</v>
      </c>
      <c r="B1013" t="s">
        <v>504</v>
      </c>
      <c r="C1013">
        <v>51800</v>
      </c>
      <c r="D1013">
        <v>818</v>
      </c>
      <c r="E1013" t="str">
        <f>IFERROR(IF(OR(HLOOKUP($A1013,#REF!,3,FALSE)&gt;2,HLOOKUP(A1013,#REF!,3,FALSE)&lt;-2),"",#REF!),"")</f>
        <v/>
      </c>
      <c r="F1013" t="str">
        <f>IFERROR(IF(OR(HLOOKUP($A1013,#REF!,4,FALSE)&gt;2,HLOOKUP($A1013,#REF!,4,FALSE)&lt;-2),"",#REF!),"")</f>
        <v/>
      </c>
      <c r="G1013" t="str">
        <f>IFERROR(IF(OR(HLOOKUP($A1013,#REF!,5,FALSE)&gt;2,HLOOKUP($A1013,#REF!,5,FALSE)&lt;-2),"",#REF!),"")</f>
        <v/>
      </c>
      <c r="H1013" t="str">
        <f>IFERROR(IF(OR(HLOOKUP($A1013,#REF!,6,FALSE)&gt;2,HLOOKUP($A1013,#REF!,6,FALSE)&lt;-2),"",#REF!),"")</f>
        <v/>
      </c>
      <c r="I1013" t="str">
        <f>IFERROR(IF(OR(HLOOKUP($A1013,#REF!,7,FALSE)&gt;2,HLOOKUP($A1013,#REF!,7,FALSE)&lt;-2),"",#REF!),"")</f>
        <v/>
      </c>
      <c r="J1013" t="str">
        <f>IFERROR(IF(OR(HLOOKUP($A1013,#REF!,8,FALSE)&gt;2,HLOOKUP($A1013,#REF!,8,FALSE)&lt;-2),"",#REF!),"")</f>
        <v/>
      </c>
      <c r="K1013" t="str">
        <f>IFERROR(IF(OR(HLOOKUP($A1013,#REF!,9,FALSE)&gt;2,HLOOKUP($A1013,#REF!,9,FALSE)&lt;-2),"",#REF!),"")</f>
        <v/>
      </c>
      <c r="L1013" t="str">
        <f>IFERROR(IF(OR(HLOOKUP($A1013,#REF!,10,FALSE)&gt;2,HLOOKUP($A1013,#REF!,10,FALSE)&lt;-2),"",#REF!),"")</f>
        <v/>
      </c>
      <c r="M1013" t="str">
        <f>IFERROR(IF(OR(HLOOKUP($A1013,#REF!,11,FALSE)&gt;2,HLOOKUP($A1013,#REF!,11,FALSE)&lt;-2),"",#REF!),"")</f>
        <v/>
      </c>
      <c r="N1013" t="str">
        <f>IFERROR(IF(OR(HLOOKUP($A1013,#REF!,12,FALSE)&gt;2,HLOOKUP($A1013,#REF!,12,FALSE)&lt;-2),"",#REF!),"")</f>
        <v/>
      </c>
      <c r="O1013" t="str">
        <f>IFERROR(IF(OR(HLOOKUP($A1013,#REF!,13,FALSE)&gt;2,HLOOKUP($A1013,#REF!,13,FALSE)&lt;-2),"",#REF!),"")</f>
        <v/>
      </c>
      <c r="P1013" t="str">
        <f>IFERROR(IF(OR(HLOOKUP($A1013,#REF!,14,FALSE)&gt;2,HLOOKUP($A1013,#REF!,14,FALSE)&lt;-2),"",#REF!),"")</f>
        <v/>
      </c>
      <c r="Q1013" t="str">
        <f>IFERROR(IF(OR(HLOOKUP($A1013,#REF!,15,FALSE)&gt;2,HLOOKUP($A1013,#REF!,15,FALSE)&lt;-2),"",#REF!),"")</f>
        <v/>
      </c>
      <c r="R1013" t="str">
        <f>IFERROR(IF(OR(HLOOKUP($A1013,#REF!,16,FALSE)&gt;2,HLOOKUP($A1013,#REF!,16,FALSE)&lt;-2),"",#REF!),"")</f>
        <v/>
      </c>
      <c r="S1013" t="str">
        <f>IFERROR(IF(OR(HLOOKUP($A1013,#REF!,17,FALSE)&gt;2,HLOOKUP($A1013,#REF!,17,FALSE)&lt;-2),"",#REF!),"")</f>
        <v/>
      </c>
      <c r="T1013" t="str">
        <f>IFERROR(IF(OR(HLOOKUP($A1013,#REF!,18,FALSE)&gt;2,HLOOKUP($A1013,#REF!,18,FALSE)&lt;-2),"",#REF!),"")</f>
        <v/>
      </c>
      <c r="U1013" t="str">
        <f>IFERROR(IF(OR(HLOOKUP($A1013,#REF!,19,FALSE)&gt;2,HLOOKUP($A1013,#REF!,19,FALSE)&lt;-2),"",#REF!),"")</f>
        <v/>
      </c>
      <c r="V1013">
        <f t="shared" si="60"/>
        <v>1</v>
      </c>
      <c r="W1013" t="str">
        <f t="shared" si="61"/>
        <v/>
      </c>
      <c r="X1013" t="str">
        <f t="shared" si="62"/>
        <v/>
      </c>
      <c r="Y1013" t="str">
        <f t="shared" si="63"/>
        <v/>
      </c>
    </row>
    <row r="1014" spans="1:25" x14ac:dyDescent="0.35">
      <c r="A1014">
        <v>1023</v>
      </c>
      <c r="B1014" t="s">
        <v>505</v>
      </c>
      <c r="C1014">
        <v>13100</v>
      </c>
      <c r="D1014">
        <v>1018</v>
      </c>
      <c r="E1014" t="str">
        <f>IFERROR(IF(OR(HLOOKUP($A1014,#REF!,3,FALSE)&gt;2,HLOOKUP(A1014,#REF!,3,FALSE)&lt;-2),"",#REF!),"")</f>
        <v/>
      </c>
      <c r="F1014" t="str">
        <f>IFERROR(IF(OR(HLOOKUP($A1014,#REF!,4,FALSE)&gt;2,HLOOKUP($A1014,#REF!,4,FALSE)&lt;-2),"",#REF!),"")</f>
        <v/>
      </c>
      <c r="G1014" t="str">
        <f>IFERROR(IF(OR(HLOOKUP($A1014,#REF!,5,FALSE)&gt;2,HLOOKUP($A1014,#REF!,5,FALSE)&lt;-2),"",#REF!),"")</f>
        <v/>
      </c>
      <c r="H1014" t="str">
        <f>IFERROR(IF(OR(HLOOKUP($A1014,#REF!,6,FALSE)&gt;2,HLOOKUP($A1014,#REF!,6,FALSE)&lt;-2),"",#REF!),"")</f>
        <v/>
      </c>
      <c r="I1014" t="str">
        <f>IFERROR(IF(OR(HLOOKUP($A1014,#REF!,7,FALSE)&gt;2,HLOOKUP($A1014,#REF!,7,FALSE)&lt;-2),"",#REF!),"")</f>
        <v/>
      </c>
      <c r="J1014" t="str">
        <f>IFERROR(IF(OR(HLOOKUP($A1014,#REF!,8,FALSE)&gt;2,HLOOKUP($A1014,#REF!,8,FALSE)&lt;-2),"",#REF!),"")</f>
        <v/>
      </c>
      <c r="K1014" t="str">
        <f>IFERROR(IF(OR(HLOOKUP($A1014,#REF!,9,FALSE)&gt;2,HLOOKUP($A1014,#REF!,9,FALSE)&lt;-2),"",#REF!),"")</f>
        <v/>
      </c>
      <c r="L1014" t="str">
        <f>IFERROR(IF(OR(HLOOKUP($A1014,#REF!,10,FALSE)&gt;2,HLOOKUP($A1014,#REF!,10,FALSE)&lt;-2),"",#REF!),"")</f>
        <v/>
      </c>
      <c r="M1014" t="str">
        <f>IFERROR(IF(OR(HLOOKUP($A1014,#REF!,11,FALSE)&gt;2,HLOOKUP($A1014,#REF!,11,FALSE)&lt;-2),"",#REF!),"")</f>
        <v/>
      </c>
      <c r="N1014" t="str">
        <f>IFERROR(IF(OR(HLOOKUP($A1014,#REF!,12,FALSE)&gt;2,HLOOKUP($A1014,#REF!,12,FALSE)&lt;-2),"",#REF!),"")</f>
        <v/>
      </c>
      <c r="O1014" t="str">
        <f>IFERROR(IF(OR(HLOOKUP($A1014,#REF!,13,FALSE)&gt;2,HLOOKUP($A1014,#REF!,13,FALSE)&lt;-2),"",#REF!),"")</f>
        <v/>
      </c>
      <c r="P1014" t="str">
        <f>IFERROR(IF(OR(HLOOKUP($A1014,#REF!,14,FALSE)&gt;2,HLOOKUP($A1014,#REF!,14,FALSE)&lt;-2),"",#REF!),"")</f>
        <v/>
      </c>
      <c r="Q1014" t="str">
        <f>IFERROR(IF(OR(HLOOKUP($A1014,#REF!,15,FALSE)&gt;2,HLOOKUP($A1014,#REF!,15,FALSE)&lt;-2),"",#REF!),"")</f>
        <v/>
      </c>
      <c r="R1014" t="str">
        <f>IFERROR(IF(OR(HLOOKUP($A1014,#REF!,16,FALSE)&gt;2,HLOOKUP($A1014,#REF!,16,FALSE)&lt;-2),"",#REF!),"")</f>
        <v/>
      </c>
      <c r="S1014" t="str">
        <f>IFERROR(IF(OR(HLOOKUP($A1014,#REF!,17,FALSE)&gt;2,HLOOKUP($A1014,#REF!,17,FALSE)&lt;-2),"",#REF!),"")</f>
        <v/>
      </c>
      <c r="T1014" t="str">
        <f>IFERROR(IF(OR(HLOOKUP($A1014,#REF!,18,FALSE)&gt;2,HLOOKUP($A1014,#REF!,18,FALSE)&lt;-2),"",#REF!),"")</f>
        <v/>
      </c>
      <c r="U1014" t="str">
        <f>IFERROR(IF(OR(HLOOKUP($A1014,#REF!,19,FALSE)&gt;2,HLOOKUP($A1014,#REF!,19,FALSE)&lt;-2),"",#REF!),"")</f>
        <v/>
      </c>
      <c r="V1014">
        <f t="shared" si="60"/>
        <v>1</v>
      </c>
      <c r="W1014" t="str">
        <f t="shared" si="61"/>
        <v/>
      </c>
      <c r="X1014" t="str">
        <f t="shared" si="62"/>
        <v/>
      </c>
      <c r="Y1014" t="str">
        <f t="shared" si="63"/>
        <v/>
      </c>
    </row>
    <row r="1015" spans="1:25" x14ac:dyDescent="0.35">
      <c r="A1015">
        <v>1024</v>
      </c>
      <c r="B1015" t="s">
        <v>1112</v>
      </c>
      <c r="C1015">
        <v>117000</v>
      </c>
      <c r="D1015">
        <v>997</v>
      </c>
      <c r="E1015" t="str">
        <f>IFERROR(IF(OR(HLOOKUP($A1015,#REF!,3,FALSE)&gt;2,HLOOKUP(A1015,#REF!,3,FALSE)&lt;-2),"",#REF!),"")</f>
        <v/>
      </c>
      <c r="F1015" t="str">
        <f>IFERROR(IF(OR(HLOOKUP($A1015,#REF!,4,FALSE)&gt;2,HLOOKUP($A1015,#REF!,4,FALSE)&lt;-2),"",#REF!),"")</f>
        <v/>
      </c>
      <c r="G1015" t="str">
        <f>IFERROR(IF(OR(HLOOKUP($A1015,#REF!,5,FALSE)&gt;2,HLOOKUP($A1015,#REF!,5,FALSE)&lt;-2),"",#REF!),"")</f>
        <v/>
      </c>
      <c r="H1015" t="str">
        <f>IFERROR(IF(OR(HLOOKUP($A1015,#REF!,6,FALSE)&gt;2,HLOOKUP($A1015,#REF!,6,FALSE)&lt;-2),"",#REF!),"")</f>
        <v/>
      </c>
      <c r="I1015" t="str">
        <f>IFERROR(IF(OR(HLOOKUP($A1015,#REF!,7,FALSE)&gt;2,HLOOKUP($A1015,#REF!,7,FALSE)&lt;-2),"",#REF!),"")</f>
        <v/>
      </c>
      <c r="J1015" t="str">
        <f>IFERROR(IF(OR(HLOOKUP($A1015,#REF!,8,FALSE)&gt;2,HLOOKUP($A1015,#REF!,8,FALSE)&lt;-2),"",#REF!),"")</f>
        <v/>
      </c>
      <c r="K1015" t="str">
        <f>IFERROR(IF(OR(HLOOKUP($A1015,#REF!,9,FALSE)&gt;2,HLOOKUP($A1015,#REF!,9,FALSE)&lt;-2),"",#REF!),"")</f>
        <v/>
      </c>
      <c r="L1015" t="str">
        <f>IFERROR(IF(OR(HLOOKUP($A1015,#REF!,10,FALSE)&gt;2,HLOOKUP($A1015,#REF!,10,FALSE)&lt;-2),"",#REF!),"")</f>
        <v/>
      </c>
      <c r="M1015" t="str">
        <f>IFERROR(IF(OR(HLOOKUP($A1015,#REF!,11,FALSE)&gt;2,HLOOKUP($A1015,#REF!,11,FALSE)&lt;-2),"",#REF!),"")</f>
        <v/>
      </c>
      <c r="N1015" t="str">
        <f>IFERROR(IF(OR(HLOOKUP($A1015,#REF!,12,FALSE)&gt;2,HLOOKUP($A1015,#REF!,12,FALSE)&lt;-2),"",#REF!),"")</f>
        <v/>
      </c>
      <c r="O1015" t="str">
        <f>IFERROR(IF(OR(HLOOKUP($A1015,#REF!,13,FALSE)&gt;2,HLOOKUP($A1015,#REF!,13,FALSE)&lt;-2),"",#REF!),"")</f>
        <v/>
      </c>
      <c r="P1015" t="str">
        <f>IFERROR(IF(OR(HLOOKUP($A1015,#REF!,14,FALSE)&gt;2,HLOOKUP($A1015,#REF!,14,FALSE)&lt;-2),"",#REF!),"")</f>
        <v/>
      </c>
      <c r="Q1015" t="str">
        <f>IFERROR(IF(OR(HLOOKUP($A1015,#REF!,15,FALSE)&gt;2,HLOOKUP($A1015,#REF!,15,FALSE)&lt;-2),"",#REF!),"")</f>
        <v/>
      </c>
      <c r="R1015" t="str">
        <f>IFERROR(IF(OR(HLOOKUP($A1015,#REF!,16,FALSE)&gt;2,HLOOKUP($A1015,#REF!,16,FALSE)&lt;-2),"",#REF!),"")</f>
        <v/>
      </c>
      <c r="S1015" t="str">
        <f>IFERROR(IF(OR(HLOOKUP($A1015,#REF!,17,FALSE)&gt;2,HLOOKUP($A1015,#REF!,17,FALSE)&lt;-2),"",#REF!),"")</f>
        <v/>
      </c>
      <c r="T1015" t="str">
        <f>IFERROR(IF(OR(HLOOKUP($A1015,#REF!,18,FALSE)&gt;2,HLOOKUP($A1015,#REF!,18,FALSE)&lt;-2),"",#REF!),"")</f>
        <v/>
      </c>
      <c r="U1015" t="str">
        <f>IFERROR(IF(OR(HLOOKUP($A1015,#REF!,19,FALSE)&gt;2,HLOOKUP($A1015,#REF!,19,FALSE)&lt;-2),"",#REF!),"")</f>
        <v/>
      </c>
      <c r="V1015">
        <f t="shared" si="60"/>
        <v>1</v>
      </c>
      <c r="W1015" t="str">
        <f t="shared" si="61"/>
        <v/>
      </c>
      <c r="X1015" t="str">
        <f t="shared" si="62"/>
        <v/>
      </c>
      <c r="Y1015" t="str">
        <f t="shared" si="63"/>
        <v/>
      </c>
    </row>
    <row r="1016" spans="1:25" x14ac:dyDescent="0.35">
      <c r="A1016">
        <v>1025</v>
      </c>
      <c r="B1016" t="s">
        <v>506</v>
      </c>
      <c r="C1016">
        <v>61000</v>
      </c>
      <c r="D1016">
        <v>1073</v>
      </c>
      <c r="E1016" t="str">
        <f>IFERROR(IF(OR(HLOOKUP($A1016,#REF!,3,FALSE)&gt;2,HLOOKUP(A1016,#REF!,3,FALSE)&lt;-2),"",#REF!),"")</f>
        <v/>
      </c>
      <c r="F1016" t="str">
        <f>IFERROR(IF(OR(HLOOKUP($A1016,#REF!,4,FALSE)&gt;2,HLOOKUP($A1016,#REF!,4,FALSE)&lt;-2),"",#REF!),"")</f>
        <v/>
      </c>
      <c r="G1016" t="str">
        <f>IFERROR(IF(OR(HLOOKUP($A1016,#REF!,5,FALSE)&gt;2,HLOOKUP($A1016,#REF!,5,FALSE)&lt;-2),"",#REF!),"")</f>
        <v/>
      </c>
      <c r="H1016" t="str">
        <f>IFERROR(IF(OR(HLOOKUP($A1016,#REF!,6,FALSE)&gt;2,HLOOKUP($A1016,#REF!,6,FALSE)&lt;-2),"",#REF!),"")</f>
        <v/>
      </c>
      <c r="I1016" t="str">
        <f>IFERROR(IF(OR(HLOOKUP($A1016,#REF!,7,FALSE)&gt;2,HLOOKUP($A1016,#REF!,7,FALSE)&lt;-2),"",#REF!),"")</f>
        <v/>
      </c>
      <c r="J1016" t="str">
        <f>IFERROR(IF(OR(HLOOKUP($A1016,#REF!,8,FALSE)&gt;2,HLOOKUP($A1016,#REF!,8,FALSE)&lt;-2),"",#REF!),"")</f>
        <v/>
      </c>
      <c r="K1016" t="str">
        <f>IFERROR(IF(OR(HLOOKUP($A1016,#REF!,9,FALSE)&gt;2,HLOOKUP($A1016,#REF!,9,FALSE)&lt;-2),"",#REF!),"")</f>
        <v/>
      </c>
      <c r="L1016" t="str">
        <f>IFERROR(IF(OR(HLOOKUP($A1016,#REF!,10,FALSE)&gt;2,HLOOKUP($A1016,#REF!,10,FALSE)&lt;-2),"",#REF!),"")</f>
        <v/>
      </c>
      <c r="M1016" t="str">
        <f>IFERROR(IF(OR(HLOOKUP($A1016,#REF!,11,FALSE)&gt;2,HLOOKUP($A1016,#REF!,11,FALSE)&lt;-2),"",#REF!),"")</f>
        <v/>
      </c>
      <c r="N1016" t="str">
        <f>IFERROR(IF(OR(HLOOKUP($A1016,#REF!,12,FALSE)&gt;2,HLOOKUP($A1016,#REF!,12,FALSE)&lt;-2),"",#REF!),"")</f>
        <v/>
      </c>
      <c r="O1016" t="str">
        <f>IFERROR(IF(OR(HLOOKUP($A1016,#REF!,13,FALSE)&gt;2,HLOOKUP($A1016,#REF!,13,FALSE)&lt;-2),"",#REF!),"")</f>
        <v/>
      </c>
      <c r="P1016" t="str">
        <f>IFERROR(IF(OR(HLOOKUP($A1016,#REF!,14,FALSE)&gt;2,HLOOKUP($A1016,#REF!,14,FALSE)&lt;-2),"",#REF!),"")</f>
        <v/>
      </c>
      <c r="Q1016" t="str">
        <f>IFERROR(IF(OR(HLOOKUP($A1016,#REF!,15,FALSE)&gt;2,HLOOKUP($A1016,#REF!,15,FALSE)&lt;-2),"",#REF!),"")</f>
        <v/>
      </c>
      <c r="R1016" t="str">
        <f>IFERROR(IF(OR(HLOOKUP($A1016,#REF!,16,FALSE)&gt;2,HLOOKUP($A1016,#REF!,16,FALSE)&lt;-2),"",#REF!),"")</f>
        <v/>
      </c>
      <c r="S1016" t="str">
        <f>IFERROR(IF(OR(HLOOKUP($A1016,#REF!,17,FALSE)&gt;2,HLOOKUP($A1016,#REF!,17,FALSE)&lt;-2),"",#REF!),"")</f>
        <v/>
      </c>
      <c r="T1016" t="str">
        <f>IFERROR(IF(OR(HLOOKUP($A1016,#REF!,18,FALSE)&gt;2,HLOOKUP($A1016,#REF!,18,FALSE)&lt;-2),"",#REF!),"")</f>
        <v/>
      </c>
      <c r="U1016" t="str">
        <f>IFERROR(IF(OR(HLOOKUP($A1016,#REF!,19,FALSE)&gt;2,HLOOKUP($A1016,#REF!,19,FALSE)&lt;-2),"",#REF!),"")</f>
        <v/>
      </c>
      <c r="V1016">
        <f t="shared" si="60"/>
        <v>1</v>
      </c>
      <c r="W1016" t="str">
        <f t="shared" si="61"/>
        <v/>
      </c>
      <c r="X1016" t="str">
        <f t="shared" si="62"/>
        <v/>
      </c>
      <c r="Y1016" t="str">
        <f t="shared" si="63"/>
        <v/>
      </c>
    </row>
    <row r="1017" spans="1:25" x14ac:dyDescent="0.35">
      <c r="A1017">
        <v>1026</v>
      </c>
      <c r="B1017" t="s">
        <v>507</v>
      </c>
      <c r="C1017">
        <v>6900</v>
      </c>
      <c r="D1017">
        <v>369</v>
      </c>
      <c r="E1017" t="str">
        <f>IFERROR(IF(OR(HLOOKUP($A1017,#REF!,3,FALSE)&gt;2,HLOOKUP(A1017,#REF!,3,FALSE)&lt;-2),"",#REF!),"")</f>
        <v/>
      </c>
      <c r="F1017" t="str">
        <f>IFERROR(IF(OR(HLOOKUP($A1017,#REF!,4,FALSE)&gt;2,HLOOKUP($A1017,#REF!,4,FALSE)&lt;-2),"",#REF!),"")</f>
        <v/>
      </c>
      <c r="G1017" t="str">
        <f>IFERROR(IF(OR(HLOOKUP($A1017,#REF!,5,FALSE)&gt;2,HLOOKUP($A1017,#REF!,5,FALSE)&lt;-2),"",#REF!),"")</f>
        <v/>
      </c>
      <c r="H1017" t="str">
        <f>IFERROR(IF(OR(HLOOKUP($A1017,#REF!,6,FALSE)&gt;2,HLOOKUP($A1017,#REF!,6,FALSE)&lt;-2),"",#REF!),"")</f>
        <v/>
      </c>
      <c r="I1017" t="str">
        <f>IFERROR(IF(OR(HLOOKUP($A1017,#REF!,7,FALSE)&gt;2,HLOOKUP($A1017,#REF!,7,FALSE)&lt;-2),"",#REF!),"")</f>
        <v/>
      </c>
      <c r="J1017" t="str">
        <f>IFERROR(IF(OR(HLOOKUP($A1017,#REF!,8,FALSE)&gt;2,HLOOKUP($A1017,#REF!,8,FALSE)&lt;-2),"",#REF!),"")</f>
        <v/>
      </c>
      <c r="K1017" t="str">
        <f>IFERROR(IF(OR(HLOOKUP($A1017,#REF!,9,FALSE)&gt;2,HLOOKUP($A1017,#REF!,9,FALSE)&lt;-2),"",#REF!),"")</f>
        <v/>
      </c>
      <c r="L1017" t="str">
        <f>IFERROR(IF(OR(HLOOKUP($A1017,#REF!,10,FALSE)&gt;2,HLOOKUP($A1017,#REF!,10,FALSE)&lt;-2),"",#REF!),"")</f>
        <v/>
      </c>
      <c r="M1017" t="str">
        <f>IFERROR(IF(OR(HLOOKUP($A1017,#REF!,11,FALSE)&gt;2,HLOOKUP($A1017,#REF!,11,FALSE)&lt;-2),"",#REF!),"")</f>
        <v/>
      </c>
      <c r="N1017" t="str">
        <f>IFERROR(IF(OR(HLOOKUP($A1017,#REF!,12,FALSE)&gt;2,HLOOKUP($A1017,#REF!,12,FALSE)&lt;-2),"",#REF!),"")</f>
        <v/>
      </c>
      <c r="O1017" t="str">
        <f>IFERROR(IF(OR(HLOOKUP($A1017,#REF!,13,FALSE)&gt;2,HLOOKUP($A1017,#REF!,13,FALSE)&lt;-2),"",#REF!),"")</f>
        <v/>
      </c>
      <c r="P1017" t="str">
        <f>IFERROR(IF(OR(HLOOKUP($A1017,#REF!,14,FALSE)&gt;2,HLOOKUP($A1017,#REF!,14,FALSE)&lt;-2),"",#REF!),"")</f>
        <v/>
      </c>
      <c r="Q1017" t="str">
        <f>IFERROR(IF(OR(HLOOKUP($A1017,#REF!,15,FALSE)&gt;2,HLOOKUP($A1017,#REF!,15,FALSE)&lt;-2),"",#REF!),"")</f>
        <v/>
      </c>
      <c r="R1017" t="str">
        <f>IFERROR(IF(OR(HLOOKUP($A1017,#REF!,16,FALSE)&gt;2,HLOOKUP($A1017,#REF!,16,FALSE)&lt;-2),"",#REF!),"")</f>
        <v/>
      </c>
      <c r="S1017" t="str">
        <f>IFERROR(IF(OR(HLOOKUP($A1017,#REF!,17,FALSE)&gt;2,HLOOKUP($A1017,#REF!,17,FALSE)&lt;-2),"",#REF!),"")</f>
        <v/>
      </c>
      <c r="T1017" t="str">
        <f>IFERROR(IF(OR(HLOOKUP($A1017,#REF!,18,FALSE)&gt;2,HLOOKUP($A1017,#REF!,18,FALSE)&lt;-2),"",#REF!),"")</f>
        <v/>
      </c>
      <c r="U1017" t="str">
        <f>IFERROR(IF(OR(HLOOKUP($A1017,#REF!,19,FALSE)&gt;2,HLOOKUP($A1017,#REF!,19,FALSE)&lt;-2),"",#REF!),"")</f>
        <v/>
      </c>
      <c r="V1017">
        <f t="shared" si="60"/>
        <v>1</v>
      </c>
      <c r="W1017" t="str">
        <f t="shared" si="61"/>
        <v/>
      </c>
      <c r="X1017" t="str">
        <f t="shared" si="62"/>
        <v/>
      </c>
      <c r="Y1017" t="str">
        <f t="shared" si="63"/>
        <v/>
      </c>
    </row>
    <row r="1018" spans="1:25" x14ac:dyDescent="0.35">
      <c r="A1018">
        <v>1027</v>
      </c>
      <c r="B1018" t="s">
        <v>1113</v>
      </c>
      <c r="C1018">
        <v>12000</v>
      </c>
      <c r="D1018">
        <v>247</v>
      </c>
      <c r="E1018" t="str">
        <f>IFERROR(IF(OR(HLOOKUP($A1018,#REF!,3,FALSE)&gt;2,HLOOKUP(A1018,#REF!,3,FALSE)&lt;-2),"",#REF!),"")</f>
        <v/>
      </c>
      <c r="F1018" t="str">
        <f>IFERROR(IF(OR(HLOOKUP($A1018,#REF!,4,FALSE)&gt;2,HLOOKUP($A1018,#REF!,4,FALSE)&lt;-2),"",#REF!),"")</f>
        <v/>
      </c>
      <c r="G1018" t="str">
        <f>IFERROR(IF(OR(HLOOKUP($A1018,#REF!,5,FALSE)&gt;2,HLOOKUP($A1018,#REF!,5,FALSE)&lt;-2),"",#REF!),"")</f>
        <v/>
      </c>
      <c r="H1018" t="str">
        <f>IFERROR(IF(OR(HLOOKUP($A1018,#REF!,6,FALSE)&gt;2,HLOOKUP($A1018,#REF!,6,FALSE)&lt;-2),"",#REF!),"")</f>
        <v/>
      </c>
      <c r="I1018" t="str">
        <f>IFERROR(IF(OR(HLOOKUP($A1018,#REF!,7,FALSE)&gt;2,HLOOKUP($A1018,#REF!,7,FALSE)&lt;-2),"",#REF!),"")</f>
        <v/>
      </c>
      <c r="J1018" t="str">
        <f>IFERROR(IF(OR(HLOOKUP($A1018,#REF!,8,FALSE)&gt;2,HLOOKUP($A1018,#REF!,8,FALSE)&lt;-2),"",#REF!),"")</f>
        <v/>
      </c>
      <c r="K1018" t="str">
        <f>IFERROR(IF(OR(HLOOKUP($A1018,#REF!,9,FALSE)&gt;2,HLOOKUP($A1018,#REF!,9,FALSE)&lt;-2),"",#REF!),"")</f>
        <v/>
      </c>
      <c r="L1018" t="str">
        <f>IFERROR(IF(OR(HLOOKUP($A1018,#REF!,10,FALSE)&gt;2,HLOOKUP($A1018,#REF!,10,FALSE)&lt;-2),"",#REF!),"")</f>
        <v/>
      </c>
      <c r="M1018" t="str">
        <f>IFERROR(IF(OR(HLOOKUP($A1018,#REF!,11,FALSE)&gt;2,HLOOKUP($A1018,#REF!,11,FALSE)&lt;-2),"",#REF!),"")</f>
        <v/>
      </c>
      <c r="N1018" t="str">
        <f>IFERROR(IF(OR(HLOOKUP($A1018,#REF!,12,FALSE)&gt;2,HLOOKUP($A1018,#REF!,12,FALSE)&lt;-2),"",#REF!),"")</f>
        <v/>
      </c>
      <c r="O1018" t="str">
        <f>IFERROR(IF(OR(HLOOKUP($A1018,#REF!,13,FALSE)&gt;2,HLOOKUP($A1018,#REF!,13,FALSE)&lt;-2),"",#REF!),"")</f>
        <v/>
      </c>
      <c r="P1018" t="str">
        <f>IFERROR(IF(OR(HLOOKUP($A1018,#REF!,14,FALSE)&gt;2,HLOOKUP($A1018,#REF!,14,FALSE)&lt;-2),"",#REF!),"")</f>
        <v/>
      </c>
      <c r="Q1018" t="str">
        <f>IFERROR(IF(OR(HLOOKUP($A1018,#REF!,15,FALSE)&gt;2,HLOOKUP($A1018,#REF!,15,FALSE)&lt;-2),"",#REF!),"")</f>
        <v/>
      </c>
      <c r="R1018" t="str">
        <f>IFERROR(IF(OR(HLOOKUP($A1018,#REF!,16,FALSE)&gt;2,HLOOKUP($A1018,#REF!,16,FALSE)&lt;-2),"",#REF!),"")</f>
        <v/>
      </c>
      <c r="S1018" t="str">
        <f>IFERROR(IF(OR(HLOOKUP($A1018,#REF!,17,FALSE)&gt;2,HLOOKUP($A1018,#REF!,17,FALSE)&lt;-2),"",#REF!),"")</f>
        <v/>
      </c>
      <c r="T1018" t="str">
        <f>IFERROR(IF(OR(HLOOKUP($A1018,#REF!,18,FALSE)&gt;2,HLOOKUP($A1018,#REF!,18,FALSE)&lt;-2),"",#REF!),"")</f>
        <v/>
      </c>
      <c r="U1018" t="str">
        <f>IFERROR(IF(OR(HLOOKUP($A1018,#REF!,19,FALSE)&gt;2,HLOOKUP($A1018,#REF!,19,FALSE)&lt;-2),"",#REF!),"")</f>
        <v/>
      </c>
      <c r="V1018">
        <f t="shared" si="60"/>
        <v>1</v>
      </c>
      <c r="W1018" t="str">
        <f t="shared" si="61"/>
        <v/>
      </c>
      <c r="X1018" t="str">
        <f t="shared" si="62"/>
        <v/>
      </c>
      <c r="Y1018" t="str">
        <f t="shared" si="63"/>
        <v/>
      </c>
    </row>
    <row r="1019" spans="1:25" x14ac:dyDescent="0.35">
      <c r="A1019">
        <v>1028</v>
      </c>
      <c r="B1019" t="s">
        <v>1114</v>
      </c>
      <c r="C1019">
        <v>107900</v>
      </c>
      <c r="D1019">
        <v>784</v>
      </c>
      <c r="E1019" t="str">
        <f>IFERROR(IF(OR(HLOOKUP($A1019,#REF!,3,FALSE)&gt;2,HLOOKUP(A1019,#REF!,3,FALSE)&lt;-2),"",#REF!),"")</f>
        <v/>
      </c>
      <c r="F1019" t="str">
        <f>IFERROR(IF(OR(HLOOKUP($A1019,#REF!,4,FALSE)&gt;2,HLOOKUP($A1019,#REF!,4,FALSE)&lt;-2),"",#REF!),"")</f>
        <v/>
      </c>
      <c r="G1019" t="str">
        <f>IFERROR(IF(OR(HLOOKUP($A1019,#REF!,5,FALSE)&gt;2,HLOOKUP($A1019,#REF!,5,FALSE)&lt;-2),"",#REF!),"")</f>
        <v/>
      </c>
      <c r="H1019" t="str">
        <f>IFERROR(IF(OR(HLOOKUP($A1019,#REF!,6,FALSE)&gt;2,HLOOKUP($A1019,#REF!,6,FALSE)&lt;-2),"",#REF!),"")</f>
        <v/>
      </c>
      <c r="I1019" t="str">
        <f>IFERROR(IF(OR(HLOOKUP($A1019,#REF!,7,FALSE)&gt;2,HLOOKUP($A1019,#REF!,7,FALSE)&lt;-2),"",#REF!),"")</f>
        <v/>
      </c>
      <c r="J1019" t="str">
        <f>IFERROR(IF(OR(HLOOKUP($A1019,#REF!,8,FALSE)&gt;2,HLOOKUP($A1019,#REF!,8,FALSE)&lt;-2),"",#REF!),"")</f>
        <v/>
      </c>
      <c r="K1019" t="str">
        <f>IFERROR(IF(OR(HLOOKUP($A1019,#REF!,9,FALSE)&gt;2,HLOOKUP($A1019,#REF!,9,FALSE)&lt;-2),"",#REF!),"")</f>
        <v/>
      </c>
      <c r="L1019" t="str">
        <f>IFERROR(IF(OR(HLOOKUP($A1019,#REF!,10,FALSE)&gt;2,HLOOKUP($A1019,#REF!,10,FALSE)&lt;-2),"",#REF!),"")</f>
        <v/>
      </c>
      <c r="M1019" t="str">
        <f>IFERROR(IF(OR(HLOOKUP($A1019,#REF!,11,FALSE)&gt;2,HLOOKUP($A1019,#REF!,11,FALSE)&lt;-2),"",#REF!),"")</f>
        <v/>
      </c>
      <c r="N1019" t="str">
        <f>IFERROR(IF(OR(HLOOKUP($A1019,#REF!,12,FALSE)&gt;2,HLOOKUP($A1019,#REF!,12,FALSE)&lt;-2),"",#REF!),"")</f>
        <v/>
      </c>
      <c r="O1019" t="str">
        <f>IFERROR(IF(OR(HLOOKUP($A1019,#REF!,13,FALSE)&gt;2,HLOOKUP($A1019,#REF!,13,FALSE)&lt;-2),"",#REF!),"")</f>
        <v/>
      </c>
      <c r="P1019" t="str">
        <f>IFERROR(IF(OR(HLOOKUP($A1019,#REF!,14,FALSE)&gt;2,HLOOKUP($A1019,#REF!,14,FALSE)&lt;-2),"",#REF!),"")</f>
        <v/>
      </c>
      <c r="Q1019" t="str">
        <f>IFERROR(IF(OR(HLOOKUP($A1019,#REF!,15,FALSE)&gt;2,HLOOKUP($A1019,#REF!,15,FALSE)&lt;-2),"",#REF!),"")</f>
        <v/>
      </c>
      <c r="R1019" t="str">
        <f>IFERROR(IF(OR(HLOOKUP($A1019,#REF!,16,FALSE)&gt;2,HLOOKUP($A1019,#REF!,16,FALSE)&lt;-2),"",#REF!),"")</f>
        <v/>
      </c>
      <c r="S1019" t="str">
        <f>IFERROR(IF(OR(HLOOKUP($A1019,#REF!,17,FALSE)&gt;2,HLOOKUP($A1019,#REF!,17,FALSE)&lt;-2),"",#REF!),"")</f>
        <v/>
      </c>
      <c r="T1019" t="str">
        <f>IFERROR(IF(OR(HLOOKUP($A1019,#REF!,18,FALSE)&gt;2,HLOOKUP($A1019,#REF!,18,FALSE)&lt;-2),"",#REF!),"")</f>
        <v/>
      </c>
      <c r="U1019" t="str">
        <f>IFERROR(IF(OR(HLOOKUP($A1019,#REF!,19,FALSE)&gt;2,HLOOKUP($A1019,#REF!,19,FALSE)&lt;-2),"",#REF!),"")</f>
        <v/>
      </c>
      <c r="V1019">
        <f t="shared" si="60"/>
        <v>1</v>
      </c>
      <c r="W1019" t="str">
        <f t="shared" si="61"/>
        <v/>
      </c>
      <c r="X1019" t="str">
        <f t="shared" si="62"/>
        <v/>
      </c>
      <c r="Y1019" t="str">
        <f t="shared" si="63"/>
        <v/>
      </c>
    </row>
    <row r="1020" spans="1:25" x14ac:dyDescent="0.35">
      <c r="A1020">
        <v>1029</v>
      </c>
      <c r="B1020" t="s">
        <v>508</v>
      </c>
      <c r="C1020">
        <v>66000</v>
      </c>
      <c r="D1020">
        <v>138</v>
      </c>
      <c r="E1020" t="str">
        <f>IFERROR(IF(OR(HLOOKUP($A1020,#REF!,3,FALSE)&gt;2,HLOOKUP(A1020,#REF!,3,FALSE)&lt;-2),"",#REF!),"")</f>
        <v/>
      </c>
      <c r="F1020" t="str">
        <f>IFERROR(IF(OR(HLOOKUP($A1020,#REF!,4,FALSE)&gt;2,HLOOKUP($A1020,#REF!,4,FALSE)&lt;-2),"",#REF!),"")</f>
        <v/>
      </c>
      <c r="G1020" t="str">
        <f>IFERROR(IF(OR(HLOOKUP($A1020,#REF!,5,FALSE)&gt;2,HLOOKUP($A1020,#REF!,5,FALSE)&lt;-2),"",#REF!),"")</f>
        <v/>
      </c>
      <c r="H1020" t="str">
        <f>IFERROR(IF(OR(HLOOKUP($A1020,#REF!,6,FALSE)&gt;2,HLOOKUP($A1020,#REF!,6,FALSE)&lt;-2),"",#REF!),"")</f>
        <v/>
      </c>
      <c r="I1020" t="str">
        <f>IFERROR(IF(OR(HLOOKUP($A1020,#REF!,7,FALSE)&gt;2,HLOOKUP($A1020,#REF!,7,FALSE)&lt;-2),"",#REF!),"")</f>
        <v/>
      </c>
      <c r="J1020" t="str">
        <f>IFERROR(IF(OR(HLOOKUP($A1020,#REF!,8,FALSE)&gt;2,HLOOKUP($A1020,#REF!,8,FALSE)&lt;-2),"",#REF!),"")</f>
        <v/>
      </c>
      <c r="K1020" t="str">
        <f>IFERROR(IF(OR(HLOOKUP($A1020,#REF!,9,FALSE)&gt;2,HLOOKUP($A1020,#REF!,9,FALSE)&lt;-2),"",#REF!),"")</f>
        <v/>
      </c>
      <c r="L1020" t="str">
        <f>IFERROR(IF(OR(HLOOKUP($A1020,#REF!,10,FALSE)&gt;2,HLOOKUP($A1020,#REF!,10,FALSE)&lt;-2),"",#REF!),"")</f>
        <v/>
      </c>
      <c r="M1020" t="str">
        <f>IFERROR(IF(OR(HLOOKUP($A1020,#REF!,11,FALSE)&gt;2,HLOOKUP($A1020,#REF!,11,FALSE)&lt;-2),"",#REF!),"")</f>
        <v/>
      </c>
      <c r="N1020" t="str">
        <f>IFERROR(IF(OR(HLOOKUP($A1020,#REF!,12,FALSE)&gt;2,HLOOKUP($A1020,#REF!,12,FALSE)&lt;-2),"",#REF!),"")</f>
        <v/>
      </c>
      <c r="O1020" t="str">
        <f>IFERROR(IF(OR(HLOOKUP($A1020,#REF!,13,FALSE)&gt;2,HLOOKUP($A1020,#REF!,13,FALSE)&lt;-2),"",#REF!),"")</f>
        <v/>
      </c>
      <c r="P1020" t="str">
        <f>IFERROR(IF(OR(HLOOKUP($A1020,#REF!,14,FALSE)&gt;2,HLOOKUP($A1020,#REF!,14,FALSE)&lt;-2),"",#REF!),"")</f>
        <v/>
      </c>
      <c r="Q1020" t="str">
        <f>IFERROR(IF(OR(HLOOKUP($A1020,#REF!,15,FALSE)&gt;2,HLOOKUP($A1020,#REF!,15,FALSE)&lt;-2),"",#REF!),"")</f>
        <v/>
      </c>
      <c r="R1020" t="str">
        <f>IFERROR(IF(OR(HLOOKUP($A1020,#REF!,16,FALSE)&gt;2,HLOOKUP($A1020,#REF!,16,FALSE)&lt;-2),"",#REF!),"")</f>
        <v/>
      </c>
      <c r="S1020" t="str">
        <f>IFERROR(IF(OR(HLOOKUP($A1020,#REF!,17,FALSE)&gt;2,HLOOKUP($A1020,#REF!,17,FALSE)&lt;-2),"",#REF!),"")</f>
        <v/>
      </c>
      <c r="T1020" t="str">
        <f>IFERROR(IF(OR(HLOOKUP($A1020,#REF!,18,FALSE)&gt;2,HLOOKUP($A1020,#REF!,18,FALSE)&lt;-2),"",#REF!),"")</f>
        <v/>
      </c>
      <c r="U1020" t="str">
        <f>IFERROR(IF(OR(HLOOKUP($A1020,#REF!,19,FALSE)&gt;2,HLOOKUP($A1020,#REF!,19,FALSE)&lt;-2),"",#REF!),"")</f>
        <v/>
      </c>
      <c r="V1020">
        <f t="shared" si="60"/>
        <v>1</v>
      </c>
      <c r="W1020" t="str">
        <f t="shared" si="61"/>
        <v/>
      </c>
      <c r="X1020" t="str">
        <f t="shared" si="62"/>
        <v/>
      </c>
      <c r="Y1020" t="str">
        <f t="shared" si="63"/>
        <v/>
      </c>
    </row>
    <row r="1021" spans="1:25" x14ac:dyDescent="0.35">
      <c r="A1021">
        <v>1030</v>
      </c>
      <c r="B1021" t="s">
        <v>509</v>
      </c>
      <c r="C1021">
        <v>5000</v>
      </c>
      <c r="D1021">
        <v>337</v>
      </c>
      <c r="E1021" t="str">
        <f>IFERROR(IF(OR(HLOOKUP($A1021,#REF!,3,FALSE)&gt;2,HLOOKUP(A1021,#REF!,3,FALSE)&lt;-2),"",#REF!),"")</f>
        <v/>
      </c>
      <c r="F1021" t="str">
        <f>IFERROR(IF(OR(HLOOKUP($A1021,#REF!,4,FALSE)&gt;2,HLOOKUP($A1021,#REF!,4,FALSE)&lt;-2),"",#REF!),"")</f>
        <v/>
      </c>
      <c r="G1021" t="str">
        <f>IFERROR(IF(OR(HLOOKUP($A1021,#REF!,5,FALSE)&gt;2,HLOOKUP($A1021,#REF!,5,FALSE)&lt;-2),"",#REF!),"")</f>
        <v/>
      </c>
      <c r="H1021" t="str">
        <f>IFERROR(IF(OR(HLOOKUP($A1021,#REF!,6,FALSE)&gt;2,HLOOKUP($A1021,#REF!,6,FALSE)&lt;-2),"",#REF!),"")</f>
        <v/>
      </c>
      <c r="I1021" t="str">
        <f>IFERROR(IF(OR(HLOOKUP($A1021,#REF!,7,FALSE)&gt;2,HLOOKUP($A1021,#REF!,7,FALSE)&lt;-2),"",#REF!),"")</f>
        <v/>
      </c>
      <c r="J1021" t="str">
        <f>IFERROR(IF(OR(HLOOKUP($A1021,#REF!,8,FALSE)&gt;2,HLOOKUP($A1021,#REF!,8,FALSE)&lt;-2),"",#REF!),"")</f>
        <v/>
      </c>
      <c r="K1021" t="str">
        <f>IFERROR(IF(OR(HLOOKUP($A1021,#REF!,9,FALSE)&gt;2,HLOOKUP($A1021,#REF!,9,FALSE)&lt;-2),"",#REF!),"")</f>
        <v/>
      </c>
      <c r="L1021" t="str">
        <f>IFERROR(IF(OR(HLOOKUP($A1021,#REF!,10,FALSE)&gt;2,HLOOKUP($A1021,#REF!,10,FALSE)&lt;-2),"",#REF!),"")</f>
        <v/>
      </c>
      <c r="M1021" t="str">
        <f>IFERROR(IF(OR(HLOOKUP($A1021,#REF!,11,FALSE)&gt;2,HLOOKUP($A1021,#REF!,11,FALSE)&lt;-2),"",#REF!),"")</f>
        <v/>
      </c>
      <c r="N1021" t="str">
        <f>IFERROR(IF(OR(HLOOKUP($A1021,#REF!,12,FALSE)&gt;2,HLOOKUP($A1021,#REF!,12,FALSE)&lt;-2),"",#REF!),"")</f>
        <v/>
      </c>
      <c r="O1021" t="str">
        <f>IFERROR(IF(OR(HLOOKUP($A1021,#REF!,13,FALSE)&gt;2,HLOOKUP($A1021,#REF!,13,FALSE)&lt;-2),"",#REF!),"")</f>
        <v/>
      </c>
      <c r="P1021" t="str">
        <f>IFERROR(IF(OR(HLOOKUP($A1021,#REF!,14,FALSE)&gt;2,HLOOKUP($A1021,#REF!,14,FALSE)&lt;-2),"",#REF!),"")</f>
        <v/>
      </c>
      <c r="Q1021" t="str">
        <f>IFERROR(IF(OR(HLOOKUP($A1021,#REF!,15,FALSE)&gt;2,HLOOKUP($A1021,#REF!,15,FALSE)&lt;-2),"",#REF!),"")</f>
        <v/>
      </c>
      <c r="R1021" t="str">
        <f>IFERROR(IF(OR(HLOOKUP($A1021,#REF!,16,FALSE)&gt;2,HLOOKUP($A1021,#REF!,16,FALSE)&lt;-2),"",#REF!),"")</f>
        <v/>
      </c>
      <c r="S1021" t="str">
        <f>IFERROR(IF(OR(HLOOKUP($A1021,#REF!,17,FALSE)&gt;2,HLOOKUP($A1021,#REF!,17,FALSE)&lt;-2),"",#REF!),"")</f>
        <v/>
      </c>
      <c r="T1021" t="str">
        <f>IFERROR(IF(OR(HLOOKUP($A1021,#REF!,18,FALSE)&gt;2,HLOOKUP($A1021,#REF!,18,FALSE)&lt;-2),"",#REF!),"")</f>
        <v/>
      </c>
      <c r="U1021" t="str">
        <f>IFERROR(IF(OR(HLOOKUP($A1021,#REF!,19,FALSE)&gt;2,HLOOKUP($A1021,#REF!,19,FALSE)&lt;-2),"",#REF!),"")</f>
        <v/>
      </c>
      <c r="V1021">
        <f t="shared" si="60"/>
        <v>1</v>
      </c>
      <c r="W1021" t="str">
        <f t="shared" si="61"/>
        <v/>
      </c>
      <c r="X1021" t="str">
        <f t="shared" si="62"/>
        <v/>
      </c>
      <c r="Y1021" t="str">
        <f t="shared" si="63"/>
        <v/>
      </c>
    </row>
    <row r="1022" spans="1:25" x14ac:dyDescent="0.35">
      <c r="A1022">
        <v>1031</v>
      </c>
      <c r="B1022" t="s">
        <v>510</v>
      </c>
      <c r="C1022">
        <v>51900</v>
      </c>
      <c r="D1022">
        <v>818</v>
      </c>
      <c r="E1022" t="str">
        <f>IFERROR(IF(OR(HLOOKUP($A1022,#REF!,3,FALSE)&gt;2,HLOOKUP(A1022,#REF!,3,FALSE)&lt;-2),"",#REF!),"")</f>
        <v/>
      </c>
      <c r="F1022" t="str">
        <f>IFERROR(IF(OR(HLOOKUP($A1022,#REF!,4,FALSE)&gt;2,HLOOKUP($A1022,#REF!,4,FALSE)&lt;-2),"",#REF!),"")</f>
        <v/>
      </c>
      <c r="G1022" t="str">
        <f>IFERROR(IF(OR(HLOOKUP($A1022,#REF!,5,FALSE)&gt;2,HLOOKUP($A1022,#REF!,5,FALSE)&lt;-2),"",#REF!),"")</f>
        <v/>
      </c>
      <c r="H1022" t="str">
        <f>IFERROR(IF(OR(HLOOKUP($A1022,#REF!,6,FALSE)&gt;2,HLOOKUP($A1022,#REF!,6,FALSE)&lt;-2),"",#REF!),"")</f>
        <v/>
      </c>
      <c r="I1022" t="str">
        <f>IFERROR(IF(OR(HLOOKUP($A1022,#REF!,7,FALSE)&gt;2,HLOOKUP($A1022,#REF!,7,FALSE)&lt;-2),"",#REF!),"")</f>
        <v/>
      </c>
      <c r="J1022" t="str">
        <f>IFERROR(IF(OR(HLOOKUP($A1022,#REF!,8,FALSE)&gt;2,HLOOKUP($A1022,#REF!,8,FALSE)&lt;-2),"",#REF!),"")</f>
        <v/>
      </c>
      <c r="K1022" t="str">
        <f>IFERROR(IF(OR(HLOOKUP($A1022,#REF!,9,FALSE)&gt;2,HLOOKUP($A1022,#REF!,9,FALSE)&lt;-2),"",#REF!),"")</f>
        <v/>
      </c>
      <c r="L1022" t="str">
        <f>IFERROR(IF(OR(HLOOKUP($A1022,#REF!,10,FALSE)&gt;2,HLOOKUP($A1022,#REF!,10,FALSE)&lt;-2),"",#REF!),"")</f>
        <v/>
      </c>
      <c r="M1022" t="str">
        <f>IFERROR(IF(OR(HLOOKUP($A1022,#REF!,11,FALSE)&gt;2,HLOOKUP($A1022,#REF!,11,FALSE)&lt;-2),"",#REF!),"")</f>
        <v/>
      </c>
      <c r="N1022" t="str">
        <f>IFERROR(IF(OR(HLOOKUP($A1022,#REF!,12,FALSE)&gt;2,HLOOKUP($A1022,#REF!,12,FALSE)&lt;-2),"",#REF!),"")</f>
        <v/>
      </c>
      <c r="O1022" t="str">
        <f>IFERROR(IF(OR(HLOOKUP($A1022,#REF!,13,FALSE)&gt;2,HLOOKUP($A1022,#REF!,13,FALSE)&lt;-2),"",#REF!),"")</f>
        <v/>
      </c>
      <c r="P1022" t="str">
        <f>IFERROR(IF(OR(HLOOKUP($A1022,#REF!,14,FALSE)&gt;2,HLOOKUP($A1022,#REF!,14,FALSE)&lt;-2),"",#REF!),"")</f>
        <v/>
      </c>
      <c r="Q1022" t="str">
        <f>IFERROR(IF(OR(HLOOKUP($A1022,#REF!,15,FALSE)&gt;2,HLOOKUP($A1022,#REF!,15,FALSE)&lt;-2),"",#REF!),"")</f>
        <v/>
      </c>
      <c r="R1022" t="str">
        <f>IFERROR(IF(OR(HLOOKUP($A1022,#REF!,16,FALSE)&gt;2,HLOOKUP($A1022,#REF!,16,FALSE)&lt;-2),"",#REF!),"")</f>
        <v/>
      </c>
      <c r="S1022" t="str">
        <f>IFERROR(IF(OR(HLOOKUP($A1022,#REF!,17,FALSE)&gt;2,HLOOKUP($A1022,#REF!,17,FALSE)&lt;-2),"",#REF!),"")</f>
        <v/>
      </c>
      <c r="T1022" t="str">
        <f>IFERROR(IF(OR(HLOOKUP($A1022,#REF!,18,FALSE)&gt;2,HLOOKUP($A1022,#REF!,18,FALSE)&lt;-2),"",#REF!),"")</f>
        <v/>
      </c>
      <c r="U1022" t="str">
        <f>IFERROR(IF(OR(HLOOKUP($A1022,#REF!,19,FALSE)&gt;2,HLOOKUP($A1022,#REF!,19,FALSE)&lt;-2),"",#REF!),"")</f>
        <v/>
      </c>
      <c r="V1022">
        <f t="shared" si="60"/>
        <v>1</v>
      </c>
      <c r="W1022" t="str">
        <f t="shared" si="61"/>
        <v/>
      </c>
      <c r="X1022" t="str">
        <f t="shared" si="62"/>
        <v/>
      </c>
      <c r="Y1022" t="str">
        <f t="shared" si="63"/>
        <v/>
      </c>
    </row>
    <row r="1023" spans="1:25" x14ac:dyDescent="0.35">
      <c r="A1023">
        <v>1032</v>
      </c>
      <c r="B1023" t="s">
        <v>1115</v>
      </c>
      <c r="C1023">
        <v>117100</v>
      </c>
      <c r="D1023">
        <v>1024</v>
      </c>
      <c r="E1023" t="str">
        <f>IFERROR(IF(OR(HLOOKUP($A1023,#REF!,3,FALSE)&gt;2,HLOOKUP(A1023,#REF!,3,FALSE)&lt;-2),"",#REF!),"")</f>
        <v/>
      </c>
      <c r="F1023" t="str">
        <f>IFERROR(IF(OR(HLOOKUP($A1023,#REF!,4,FALSE)&gt;2,HLOOKUP($A1023,#REF!,4,FALSE)&lt;-2),"",#REF!),"")</f>
        <v/>
      </c>
      <c r="G1023" t="str">
        <f>IFERROR(IF(OR(HLOOKUP($A1023,#REF!,5,FALSE)&gt;2,HLOOKUP($A1023,#REF!,5,FALSE)&lt;-2),"",#REF!),"")</f>
        <v/>
      </c>
      <c r="H1023" t="str">
        <f>IFERROR(IF(OR(HLOOKUP($A1023,#REF!,6,FALSE)&gt;2,HLOOKUP($A1023,#REF!,6,FALSE)&lt;-2),"",#REF!),"")</f>
        <v/>
      </c>
      <c r="I1023" t="str">
        <f>IFERROR(IF(OR(HLOOKUP($A1023,#REF!,7,FALSE)&gt;2,HLOOKUP($A1023,#REF!,7,FALSE)&lt;-2),"",#REF!),"")</f>
        <v/>
      </c>
      <c r="J1023" t="str">
        <f>IFERROR(IF(OR(HLOOKUP($A1023,#REF!,8,FALSE)&gt;2,HLOOKUP($A1023,#REF!,8,FALSE)&lt;-2),"",#REF!),"")</f>
        <v/>
      </c>
      <c r="K1023" t="str">
        <f>IFERROR(IF(OR(HLOOKUP($A1023,#REF!,9,FALSE)&gt;2,HLOOKUP($A1023,#REF!,9,FALSE)&lt;-2),"",#REF!),"")</f>
        <v/>
      </c>
      <c r="L1023" t="str">
        <f>IFERROR(IF(OR(HLOOKUP($A1023,#REF!,10,FALSE)&gt;2,HLOOKUP($A1023,#REF!,10,FALSE)&lt;-2),"",#REF!),"")</f>
        <v/>
      </c>
      <c r="M1023" t="str">
        <f>IFERROR(IF(OR(HLOOKUP($A1023,#REF!,11,FALSE)&gt;2,HLOOKUP($A1023,#REF!,11,FALSE)&lt;-2),"",#REF!),"")</f>
        <v/>
      </c>
      <c r="N1023" t="str">
        <f>IFERROR(IF(OR(HLOOKUP($A1023,#REF!,12,FALSE)&gt;2,HLOOKUP($A1023,#REF!,12,FALSE)&lt;-2),"",#REF!),"")</f>
        <v/>
      </c>
      <c r="O1023" t="str">
        <f>IFERROR(IF(OR(HLOOKUP($A1023,#REF!,13,FALSE)&gt;2,HLOOKUP($A1023,#REF!,13,FALSE)&lt;-2),"",#REF!),"")</f>
        <v/>
      </c>
      <c r="P1023" t="str">
        <f>IFERROR(IF(OR(HLOOKUP($A1023,#REF!,14,FALSE)&gt;2,HLOOKUP($A1023,#REF!,14,FALSE)&lt;-2),"",#REF!),"")</f>
        <v/>
      </c>
      <c r="Q1023" t="str">
        <f>IFERROR(IF(OR(HLOOKUP($A1023,#REF!,15,FALSE)&gt;2,HLOOKUP($A1023,#REF!,15,FALSE)&lt;-2),"",#REF!),"")</f>
        <v/>
      </c>
      <c r="R1023" t="str">
        <f>IFERROR(IF(OR(HLOOKUP($A1023,#REF!,16,FALSE)&gt;2,HLOOKUP($A1023,#REF!,16,FALSE)&lt;-2),"",#REF!),"")</f>
        <v/>
      </c>
      <c r="S1023" t="str">
        <f>IFERROR(IF(OR(HLOOKUP($A1023,#REF!,17,FALSE)&gt;2,HLOOKUP($A1023,#REF!,17,FALSE)&lt;-2),"",#REF!),"")</f>
        <v/>
      </c>
      <c r="T1023" t="str">
        <f>IFERROR(IF(OR(HLOOKUP($A1023,#REF!,18,FALSE)&gt;2,HLOOKUP($A1023,#REF!,18,FALSE)&lt;-2),"",#REF!),"")</f>
        <v/>
      </c>
      <c r="U1023" t="str">
        <f>IFERROR(IF(OR(HLOOKUP($A1023,#REF!,19,FALSE)&gt;2,HLOOKUP($A1023,#REF!,19,FALSE)&lt;-2),"",#REF!),"")</f>
        <v/>
      </c>
      <c r="V1023">
        <f t="shared" si="60"/>
        <v>1</v>
      </c>
      <c r="W1023" t="str">
        <f t="shared" si="61"/>
        <v/>
      </c>
      <c r="X1023" t="str">
        <f t="shared" si="62"/>
        <v/>
      </c>
      <c r="Y1023" t="str">
        <f t="shared" si="63"/>
        <v/>
      </c>
    </row>
    <row r="1024" spans="1:25" x14ac:dyDescent="0.35">
      <c r="A1024">
        <v>1033</v>
      </c>
      <c r="B1024" t="s">
        <v>511</v>
      </c>
      <c r="C1024">
        <v>61400</v>
      </c>
      <c r="D1024">
        <v>1073</v>
      </c>
      <c r="E1024" t="str">
        <f>IFERROR(IF(OR(HLOOKUP($A1024,#REF!,3,FALSE)&gt;2,HLOOKUP(A1024,#REF!,3,FALSE)&lt;-2),"",#REF!),"")</f>
        <v/>
      </c>
      <c r="F1024" t="str">
        <f>IFERROR(IF(OR(HLOOKUP($A1024,#REF!,4,FALSE)&gt;2,HLOOKUP($A1024,#REF!,4,FALSE)&lt;-2),"",#REF!),"")</f>
        <v/>
      </c>
      <c r="G1024" t="str">
        <f>IFERROR(IF(OR(HLOOKUP($A1024,#REF!,5,FALSE)&gt;2,HLOOKUP($A1024,#REF!,5,FALSE)&lt;-2),"",#REF!),"")</f>
        <v/>
      </c>
      <c r="H1024" t="str">
        <f>IFERROR(IF(OR(HLOOKUP($A1024,#REF!,6,FALSE)&gt;2,HLOOKUP($A1024,#REF!,6,FALSE)&lt;-2),"",#REF!),"")</f>
        <v/>
      </c>
      <c r="I1024" t="str">
        <f>IFERROR(IF(OR(HLOOKUP($A1024,#REF!,7,FALSE)&gt;2,HLOOKUP($A1024,#REF!,7,FALSE)&lt;-2),"",#REF!),"")</f>
        <v/>
      </c>
      <c r="J1024" t="str">
        <f>IFERROR(IF(OR(HLOOKUP($A1024,#REF!,8,FALSE)&gt;2,HLOOKUP($A1024,#REF!,8,FALSE)&lt;-2),"",#REF!),"")</f>
        <v/>
      </c>
      <c r="K1024" t="str">
        <f>IFERROR(IF(OR(HLOOKUP($A1024,#REF!,9,FALSE)&gt;2,HLOOKUP($A1024,#REF!,9,FALSE)&lt;-2),"",#REF!),"")</f>
        <v/>
      </c>
      <c r="L1024" t="str">
        <f>IFERROR(IF(OR(HLOOKUP($A1024,#REF!,10,FALSE)&gt;2,HLOOKUP($A1024,#REF!,10,FALSE)&lt;-2),"",#REF!),"")</f>
        <v/>
      </c>
      <c r="M1024" t="str">
        <f>IFERROR(IF(OR(HLOOKUP($A1024,#REF!,11,FALSE)&gt;2,HLOOKUP($A1024,#REF!,11,FALSE)&lt;-2),"",#REF!),"")</f>
        <v/>
      </c>
      <c r="N1024" t="str">
        <f>IFERROR(IF(OR(HLOOKUP($A1024,#REF!,12,FALSE)&gt;2,HLOOKUP($A1024,#REF!,12,FALSE)&lt;-2),"",#REF!),"")</f>
        <v/>
      </c>
      <c r="O1024" t="str">
        <f>IFERROR(IF(OR(HLOOKUP($A1024,#REF!,13,FALSE)&gt;2,HLOOKUP($A1024,#REF!,13,FALSE)&lt;-2),"",#REF!),"")</f>
        <v/>
      </c>
      <c r="P1024" t="str">
        <f>IFERROR(IF(OR(HLOOKUP($A1024,#REF!,14,FALSE)&gt;2,HLOOKUP($A1024,#REF!,14,FALSE)&lt;-2),"",#REF!),"")</f>
        <v/>
      </c>
      <c r="Q1024" t="str">
        <f>IFERROR(IF(OR(HLOOKUP($A1024,#REF!,15,FALSE)&gt;2,HLOOKUP($A1024,#REF!,15,FALSE)&lt;-2),"",#REF!),"")</f>
        <v/>
      </c>
      <c r="R1024" t="str">
        <f>IFERROR(IF(OR(HLOOKUP($A1024,#REF!,16,FALSE)&gt;2,HLOOKUP($A1024,#REF!,16,FALSE)&lt;-2),"",#REF!),"")</f>
        <v/>
      </c>
      <c r="S1024" t="str">
        <f>IFERROR(IF(OR(HLOOKUP($A1024,#REF!,17,FALSE)&gt;2,HLOOKUP($A1024,#REF!,17,FALSE)&lt;-2),"",#REF!),"")</f>
        <v/>
      </c>
      <c r="T1024" t="str">
        <f>IFERROR(IF(OR(HLOOKUP($A1024,#REF!,18,FALSE)&gt;2,HLOOKUP($A1024,#REF!,18,FALSE)&lt;-2),"",#REF!),"")</f>
        <v/>
      </c>
      <c r="U1024" t="str">
        <f>IFERROR(IF(OR(HLOOKUP($A1024,#REF!,19,FALSE)&gt;2,HLOOKUP($A1024,#REF!,19,FALSE)&lt;-2),"",#REF!),"")</f>
        <v/>
      </c>
      <c r="V1024">
        <f t="shared" si="60"/>
        <v>1</v>
      </c>
      <c r="W1024" t="str">
        <f t="shared" si="61"/>
        <v/>
      </c>
      <c r="X1024" t="str">
        <f t="shared" si="62"/>
        <v/>
      </c>
      <c r="Y1024" t="str">
        <f t="shared" si="63"/>
        <v/>
      </c>
    </row>
    <row r="1025" spans="1:25" x14ac:dyDescent="0.35">
      <c r="A1025">
        <v>1034</v>
      </c>
      <c r="B1025" t="s">
        <v>1116</v>
      </c>
      <c r="C1025">
        <v>32100</v>
      </c>
      <c r="D1025">
        <v>589</v>
      </c>
      <c r="E1025" t="str">
        <f>IFERROR(IF(OR(HLOOKUP($A1025,#REF!,3,FALSE)&gt;2,HLOOKUP(A1025,#REF!,3,FALSE)&lt;-2),"",#REF!),"")</f>
        <v/>
      </c>
      <c r="F1025" t="str">
        <f>IFERROR(IF(OR(HLOOKUP($A1025,#REF!,4,FALSE)&gt;2,HLOOKUP($A1025,#REF!,4,FALSE)&lt;-2),"",#REF!),"")</f>
        <v/>
      </c>
      <c r="G1025" t="str">
        <f>IFERROR(IF(OR(HLOOKUP($A1025,#REF!,5,FALSE)&gt;2,HLOOKUP($A1025,#REF!,5,FALSE)&lt;-2),"",#REF!),"")</f>
        <v/>
      </c>
      <c r="H1025" t="str">
        <f>IFERROR(IF(OR(HLOOKUP($A1025,#REF!,6,FALSE)&gt;2,HLOOKUP($A1025,#REF!,6,FALSE)&lt;-2),"",#REF!),"")</f>
        <v/>
      </c>
      <c r="I1025" t="str">
        <f>IFERROR(IF(OR(HLOOKUP($A1025,#REF!,7,FALSE)&gt;2,HLOOKUP($A1025,#REF!,7,FALSE)&lt;-2),"",#REF!),"")</f>
        <v/>
      </c>
      <c r="J1025" t="str">
        <f>IFERROR(IF(OR(HLOOKUP($A1025,#REF!,8,FALSE)&gt;2,HLOOKUP($A1025,#REF!,8,FALSE)&lt;-2),"",#REF!),"")</f>
        <v/>
      </c>
      <c r="K1025" t="str">
        <f>IFERROR(IF(OR(HLOOKUP($A1025,#REF!,9,FALSE)&gt;2,HLOOKUP($A1025,#REF!,9,FALSE)&lt;-2),"",#REF!),"")</f>
        <v/>
      </c>
      <c r="L1025" t="str">
        <f>IFERROR(IF(OR(HLOOKUP($A1025,#REF!,10,FALSE)&gt;2,HLOOKUP($A1025,#REF!,10,FALSE)&lt;-2),"",#REF!),"")</f>
        <v/>
      </c>
      <c r="M1025" t="str">
        <f>IFERROR(IF(OR(HLOOKUP($A1025,#REF!,11,FALSE)&gt;2,HLOOKUP($A1025,#REF!,11,FALSE)&lt;-2),"",#REF!),"")</f>
        <v/>
      </c>
      <c r="N1025" t="str">
        <f>IFERROR(IF(OR(HLOOKUP($A1025,#REF!,12,FALSE)&gt;2,HLOOKUP($A1025,#REF!,12,FALSE)&lt;-2),"",#REF!),"")</f>
        <v/>
      </c>
      <c r="O1025" t="str">
        <f>IFERROR(IF(OR(HLOOKUP($A1025,#REF!,13,FALSE)&gt;2,HLOOKUP($A1025,#REF!,13,FALSE)&lt;-2),"",#REF!),"")</f>
        <v/>
      </c>
      <c r="P1025" t="str">
        <f>IFERROR(IF(OR(HLOOKUP($A1025,#REF!,14,FALSE)&gt;2,HLOOKUP($A1025,#REF!,14,FALSE)&lt;-2),"",#REF!),"")</f>
        <v/>
      </c>
      <c r="Q1025" t="str">
        <f>IFERROR(IF(OR(HLOOKUP($A1025,#REF!,15,FALSE)&gt;2,HLOOKUP($A1025,#REF!,15,FALSE)&lt;-2),"",#REF!),"")</f>
        <v/>
      </c>
      <c r="R1025" t="str">
        <f>IFERROR(IF(OR(HLOOKUP($A1025,#REF!,16,FALSE)&gt;2,HLOOKUP($A1025,#REF!,16,FALSE)&lt;-2),"",#REF!),"")</f>
        <v/>
      </c>
      <c r="S1025" t="str">
        <f>IFERROR(IF(OR(HLOOKUP($A1025,#REF!,17,FALSE)&gt;2,HLOOKUP($A1025,#REF!,17,FALSE)&lt;-2),"",#REF!),"")</f>
        <v/>
      </c>
      <c r="T1025" t="str">
        <f>IFERROR(IF(OR(HLOOKUP($A1025,#REF!,18,FALSE)&gt;2,HLOOKUP($A1025,#REF!,18,FALSE)&lt;-2),"",#REF!),"")</f>
        <v/>
      </c>
      <c r="U1025" t="str">
        <f>IFERROR(IF(OR(HLOOKUP($A1025,#REF!,19,FALSE)&gt;2,HLOOKUP($A1025,#REF!,19,FALSE)&lt;-2),"",#REF!),"")</f>
        <v/>
      </c>
      <c r="V1025">
        <f t="shared" si="60"/>
        <v>1</v>
      </c>
      <c r="W1025" t="str">
        <f t="shared" si="61"/>
        <v/>
      </c>
      <c r="X1025" t="str">
        <f t="shared" si="62"/>
        <v/>
      </c>
      <c r="Y1025" t="str">
        <f t="shared" si="63"/>
        <v/>
      </c>
    </row>
    <row r="1026" spans="1:25" x14ac:dyDescent="0.35">
      <c r="A1026">
        <v>1035</v>
      </c>
      <c r="B1026" t="s">
        <v>512</v>
      </c>
      <c r="C1026">
        <v>8000</v>
      </c>
      <c r="D1026">
        <v>378</v>
      </c>
      <c r="E1026" t="str">
        <f>IFERROR(IF(OR(HLOOKUP($A1026,#REF!,3,FALSE)&gt;2,HLOOKUP(A1026,#REF!,3,FALSE)&lt;-2),"",#REF!),"")</f>
        <v/>
      </c>
      <c r="F1026" t="str">
        <f>IFERROR(IF(OR(HLOOKUP($A1026,#REF!,4,FALSE)&gt;2,HLOOKUP($A1026,#REF!,4,FALSE)&lt;-2),"",#REF!),"")</f>
        <v/>
      </c>
      <c r="G1026" t="str">
        <f>IFERROR(IF(OR(HLOOKUP($A1026,#REF!,5,FALSE)&gt;2,HLOOKUP($A1026,#REF!,5,FALSE)&lt;-2),"",#REF!),"")</f>
        <v/>
      </c>
      <c r="H1026" t="str">
        <f>IFERROR(IF(OR(HLOOKUP($A1026,#REF!,6,FALSE)&gt;2,HLOOKUP($A1026,#REF!,6,FALSE)&lt;-2),"",#REF!),"")</f>
        <v/>
      </c>
      <c r="I1026" t="str">
        <f>IFERROR(IF(OR(HLOOKUP($A1026,#REF!,7,FALSE)&gt;2,HLOOKUP($A1026,#REF!,7,FALSE)&lt;-2),"",#REF!),"")</f>
        <v/>
      </c>
      <c r="J1026" t="str">
        <f>IFERROR(IF(OR(HLOOKUP($A1026,#REF!,8,FALSE)&gt;2,HLOOKUP($A1026,#REF!,8,FALSE)&lt;-2),"",#REF!),"")</f>
        <v/>
      </c>
      <c r="K1026" t="str">
        <f>IFERROR(IF(OR(HLOOKUP($A1026,#REF!,9,FALSE)&gt;2,HLOOKUP($A1026,#REF!,9,FALSE)&lt;-2),"",#REF!),"")</f>
        <v/>
      </c>
      <c r="L1026" t="str">
        <f>IFERROR(IF(OR(HLOOKUP($A1026,#REF!,10,FALSE)&gt;2,HLOOKUP($A1026,#REF!,10,FALSE)&lt;-2),"",#REF!),"")</f>
        <v/>
      </c>
      <c r="M1026" t="str">
        <f>IFERROR(IF(OR(HLOOKUP($A1026,#REF!,11,FALSE)&gt;2,HLOOKUP($A1026,#REF!,11,FALSE)&lt;-2),"",#REF!),"")</f>
        <v/>
      </c>
      <c r="N1026" t="str">
        <f>IFERROR(IF(OR(HLOOKUP($A1026,#REF!,12,FALSE)&gt;2,HLOOKUP($A1026,#REF!,12,FALSE)&lt;-2),"",#REF!),"")</f>
        <v/>
      </c>
      <c r="O1026" t="str">
        <f>IFERROR(IF(OR(HLOOKUP($A1026,#REF!,13,FALSE)&gt;2,HLOOKUP($A1026,#REF!,13,FALSE)&lt;-2),"",#REF!),"")</f>
        <v/>
      </c>
      <c r="P1026" t="str">
        <f>IFERROR(IF(OR(HLOOKUP($A1026,#REF!,14,FALSE)&gt;2,HLOOKUP($A1026,#REF!,14,FALSE)&lt;-2),"",#REF!),"")</f>
        <v/>
      </c>
      <c r="Q1026" t="str">
        <f>IFERROR(IF(OR(HLOOKUP($A1026,#REF!,15,FALSE)&gt;2,HLOOKUP($A1026,#REF!,15,FALSE)&lt;-2),"",#REF!),"")</f>
        <v/>
      </c>
      <c r="R1026" t="str">
        <f>IFERROR(IF(OR(HLOOKUP($A1026,#REF!,16,FALSE)&gt;2,HLOOKUP($A1026,#REF!,16,FALSE)&lt;-2),"",#REF!),"")</f>
        <v/>
      </c>
      <c r="S1026" t="str">
        <f>IFERROR(IF(OR(HLOOKUP($A1026,#REF!,17,FALSE)&gt;2,HLOOKUP($A1026,#REF!,17,FALSE)&lt;-2),"",#REF!),"")</f>
        <v/>
      </c>
      <c r="T1026" t="str">
        <f>IFERROR(IF(OR(HLOOKUP($A1026,#REF!,18,FALSE)&gt;2,HLOOKUP($A1026,#REF!,18,FALSE)&lt;-2),"",#REF!),"")</f>
        <v/>
      </c>
      <c r="U1026" t="str">
        <f>IFERROR(IF(OR(HLOOKUP($A1026,#REF!,19,FALSE)&gt;2,HLOOKUP($A1026,#REF!,19,FALSE)&lt;-2),"",#REF!),"")</f>
        <v/>
      </c>
      <c r="V1026">
        <f t="shared" si="60"/>
        <v>1</v>
      </c>
      <c r="W1026" t="str">
        <f t="shared" si="61"/>
        <v/>
      </c>
      <c r="X1026" t="str">
        <f t="shared" si="62"/>
        <v/>
      </c>
      <c r="Y1026" t="str">
        <f t="shared" si="63"/>
        <v/>
      </c>
    </row>
    <row r="1027" spans="1:25" x14ac:dyDescent="0.35">
      <c r="A1027">
        <v>1036</v>
      </c>
      <c r="B1027" t="s">
        <v>1117</v>
      </c>
      <c r="C1027">
        <v>107200</v>
      </c>
      <c r="D1027">
        <v>784</v>
      </c>
      <c r="E1027" t="str">
        <f>IFERROR(IF(OR(HLOOKUP($A1027,#REF!,3,FALSE)&gt;2,HLOOKUP(A1027,#REF!,3,FALSE)&lt;-2),"",#REF!),"")</f>
        <v/>
      </c>
      <c r="F1027" t="str">
        <f>IFERROR(IF(OR(HLOOKUP($A1027,#REF!,4,FALSE)&gt;2,HLOOKUP($A1027,#REF!,4,FALSE)&lt;-2),"",#REF!),"")</f>
        <v/>
      </c>
      <c r="G1027" t="str">
        <f>IFERROR(IF(OR(HLOOKUP($A1027,#REF!,5,FALSE)&gt;2,HLOOKUP($A1027,#REF!,5,FALSE)&lt;-2),"",#REF!),"")</f>
        <v/>
      </c>
      <c r="H1027" t="str">
        <f>IFERROR(IF(OR(HLOOKUP($A1027,#REF!,6,FALSE)&gt;2,HLOOKUP($A1027,#REF!,6,FALSE)&lt;-2),"",#REF!),"")</f>
        <v/>
      </c>
      <c r="I1027" t="str">
        <f>IFERROR(IF(OR(HLOOKUP($A1027,#REF!,7,FALSE)&gt;2,HLOOKUP($A1027,#REF!,7,FALSE)&lt;-2),"",#REF!),"")</f>
        <v/>
      </c>
      <c r="J1027" t="str">
        <f>IFERROR(IF(OR(HLOOKUP($A1027,#REF!,8,FALSE)&gt;2,HLOOKUP($A1027,#REF!,8,FALSE)&lt;-2),"",#REF!),"")</f>
        <v/>
      </c>
      <c r="K1027" t="str">
        <f>IFERROR(IF(OR(HLOOKUP($A1027,#REF!,9,FALSE)&gt;2,HLOOKUP($A1027,#REF!,9,FALSE)&lt;-2),"",#REF!),"")</f>
        <v/>
      </c>
      <c r="L1027" t="str">
        <f>IFERROR(IF(OR(HLOOKUP($A1027,#REF!,10,FALSE)&gt;2,HLOOKUP($A1027,#REF!,10,FALSE)&lt;-2),"",#REF!),"")</f>
        <v/>
      </c>
      <c r="M1027" t="str">
        <f>IFERROR(IF(OR(HLOOKUP($A1027,#REF!,11,FALSE)&gt;2,HLOOKUP($A1027,#REF!,11,FALSE)&lt;-2),"",#REF!),"")</f>
        <v/>
      </c>
      <c r="N1027" t="str">
        <f>IFERROR(IF(OR(HLOOKUP($A1027,#REF!,12,FALSE)&gt;2,HLOOKUP($A1027,#REF!,12,FALSE)&lt;-2),"",#REF!),"")</f>
        <v/>
      </c>
      <c r="O1027" t="str">
        <f>IFERROR(IF(OR(HLOOKUP($A1027,#REF!,13,FALSE)&gt;2,HLOOKUP($A1027,#REF!,13,FALSE)&lt;-2),"",#REF!),"")</f>
        <v/>
      </c>
      <c r="P1027" t="str">
        <f>IFERROR(IF(OR(HLOOKUP($A1027,#REF!,14,FALSE)&gt;2,HLOOKUP($A1027,#REF!,14,FALSE)&lt;-2),"",#REF!),"")</f>
        <v/>
      </c>
      <c r="Q1027" t="str">
        <f>IFERROR(IF(OR(HLOOKUP($A1027,#REF!,15,FALSE)&gt;2,HLOOKUP($A1027,#REF!,15,FALSE)&lt;-2),"",#REF!),"")</f>
        <v/>
      </c>
      <c r="R1027" t="str">
        <f>IFERROR(IF(OR(HLOOKUP($A1027,#REF!,16,FALSE)&gt;2,HLOOKUP($A1027,#REF!,16,FALSE)&lt;-2),"",#REF!),"")</f>
        <v/>
      </c>
      <c r="S1027" t="str">
        <f>IFERROR(IF(OR(HLOOKUP($A1027,#REF!,17,FALSE)&gt;2,HLOOKUP($A1027,#REF!,17,FALSE)&lt;-2),"",#REF!),"")</f>
        <v/>
      </c>
      <c r="T1027" t="str">
        <f>IFERROR(IF(OR(HLOOKUP($A1027,#REF!,18,FALSE)&gt;2,HLOOKUP($A1027,#REF!,18,FALSE)&lt;-2),"",#REF!),"")</f>
        <v/>
      </c>
      <c r="U1027" t="str">
        <f>IFERROR(IF(OR(HLOOKUP($A1027,#REF!,19,FALSE)&gt;2,HLOOKUP($A1027,#REF!,19,FALSE)&lt;-2),"",#REF!),"")</f>
        <v/>
      </c>
      <c r="V1027">
        <f t="shared" si="60"/>
        <v>1</v>
      </c>
      <c r="W1027" t="str">
        <f t="shared" si="61"/>
        <v/>
      </c>
      <c r="X1027" t="str">
        <f t="shared" si="62"/>
        <v/>
      </c>
      <c r="Y1027" t="str">
        <f t="shared" si="63"/>
        <v/>
      </c>
    </row>
    <row r="1028" spans="1:25" x14ac:dyDescent="0.35">
      <c r="A1028">
        <v>1037</v>
      </c>
      <c r="B1028" t="s">
        <v>513</v>
      </c>
      <c r="C1028">
        <v>44700</v>
      </c>
      <c r="D1028">
        <v>822</v>
      </c>
      <c r="E1028" t="str">
        <f>IFERROR(IF(OR(HLOOKUP($A1028,#REF!,3,FALSE)&gt;2,HLOOKUP(A1028,#REF!,3,FALSE)&lt;-2),"",#REF!),"")</f>
        <v/>
      </c>
      <c r="F1028" t="str">
        <f>IFERROR(IF(OR(HLOOKUP($A1028,#REF!,4,FALSE)&gt;2,HLOOKUP($A1028,#REF!,4,FALSE)&lt;-2),"",#REF!),"")</f>
        <v/>
      </c>
      <c r="G1028" t="str">
        <f>IFERROR(IF(OR(HLOOKUP($A1028,#REF!,5,FALSE)&gt;2,HLOOKUP($A1028,#REF!,5,FALSE)&lt;-2),"",#REF!),"")</f>
        <v/>
      </c>
      <c r="H1028" t="str">
        <f>IFERROR(IF(OR(HLOOKUP($A1028,#REF!,6,FALSE)&gt;2,HLOOKUP($A1028,#REF!,6,FALSE)&lt;-2),"",#REF!),"")</f>
        <v/>
      </c>
      <c r="I1028" t="str">
        <f>IFERROR(IF(OR(HLOOKUP($A1028,#REF!,7,FALSE)&gt;2,HLOOKUP($A1028,#REF!,7,FALSE)&lt;-2),"",#REF!),"")</f>
        <v/>
      </c>
      <c r="J1028" t="str">
        <f>IFERROR(IF(OR(HLOOKUP($A1028,#REF!,8,FALSE)&gt;2,HLOOKUP($A1028,#REF!,8,FALSE)&lt;-2),"",#REF!),"")</f>
        <v/>
      </c>
      <c r="K1028" t="str">
        <f>IFERROR(IF(OR(HLOOKUP($A1028,#REF!,9,FALSE)&gt;2,HLOOKUP($A1028,#REF!,9,FALSE)&lt;-2),"",#REF!),"")</f>
        <v/>
      </c>
      <c r="L1028" t="str">
        <f>IFERROR(IF(OR(HLOOKUP($A1028,#REF!,10,FALSE)&gt;2,HLOOKUP($A1028,#REF!,10,FALSE)&lt;-2),"",#REF!),"")</f>
        <v/>
      </c>
      <c r="M1028" t="str">
        <f>IFERROR(IF(OR(HLOOKUP($A1028,#REF!,11,FALSE)&gt;2,HLOOKUP($A1028,#REF!,11,FALSE)&lt;-2),"",#REF!),"")</f>
        <v/>
      </c>
      <c r="N1028" t="str">
        <f>IFERROR(IF(OR(HLOOKUP($A1028,#REF!,12,FALSE)&gt;2,HLOOKUP($A1028,#REF!,12,FALSE)&lt;-2),"",#REF!),"")</f>
        <v/>
      </c>
      <c r="O1028" t="str">
        <f>IFERROR(IF(OR(HLOOKUP($A1028,#REF!,13,FALSE)&gt;2,HLOOKUP($A1028,#REF!,13,FALSE)&lt;-2),"",#REF!),"")</f>
        <v/>
      </c>
      <c r="P1028" t="str">
        <f>IFERROR(IF(OR(HLOOKUP($A1028,#REF!,14,FALSE)&gt;2,HLOOKUP($A1028,#REF!,14,FALSE)&lt;-2),"",#REF!),"")</f>
        <v/>
      </c>
      <c r="Q1028" t="str">
        <f>IFERROR(IF(OR(HLOOKUP($A1028,#REF!,15,FALSE)&gt;2,HLOOKUP($A1028,#REF!,15,FALSE)&lt;-2),"",#REF!),"")</f>
        <v/>
      </c>
      <c r="R1028" t="str">
        <f>IFERROR(IF(OR(HLOOKUP($A1028,#REF!,16,FALSE)&gt;2,HLOOKUP($A1028,#REF!,16,FALSE)&lt;-2),"",#REF!),"")</f>
        <v/>
      </c>
      <c r="S1028" t="str">
        <f>IFERROR(IF(OR(HLOOKUP($A1028,#REF!,17,FALSE)&gt;2,HLOOKUP($A1028,#REF!,17,FALSE)&lt;-2),"",#REF!),"")</f>
        <v/>
      </c>
      <c r="T1028" t="str">
        <f>IFERROR(IF(OR(HLOOKUP($A1028,#REF!,18,FALSE)&gt;2,HLOOKUP($A1028,#REF!,18,FALSE)&lt;-2),"",#REF!),"")</f>
        <v/>
      </c>
      <c r="U1028" t="str">
        <f>IFERROR(IF(OR(HLOOKUP($A1028,#REF!,19,FALSE)&gt;2,HLOOKUP($A1028,#REF!,19,FALSE)&lt;-2),"",#REF!),"")</f>
        <v/>
      </c>
      <c r="V1028">
        <f t="shared" ref="V1028:V1091" si="64">IFERROR(IF(AND(X1028=0,Y1028=0),0,1),0)</f>
        <v>1</v>
      </c>
      <c r="W1028" t="str">
        <f t="shared" ref="W1028:W1091" si="65">IFERROR(_xlfn.T.TEST(E1028:M1028,N1028:U1028,2,2),"")</f>
        <v/>
      </c>
      <c r="X1028" t="str">
        <f t="shared" ref="X1028:X1091" si="66">IFERROR(AVERAGE(E1028:M1028),"")</f>
        <v/>
      </c>
      <c r="Y1028" t="str">
        <f t="shared" ref="Y1028:Y1091" si="67">IFERROR(AVERAGE(N1028:U1028),"")</f>
        <v/>
      </c>
    </row>
    <row r="1029" spans="1:25" x14ac:dyDescent="0.35">
      <c r="A1029">
        <v>1038</v>
      </c>
      <c r="B1029" t="s">
        <v>514</v>
      </c>
      <c r="C1029">
        <v>4700</v>
      </c>
      <c r="D1029">
        <v>329</v>
      </c>
      <c r="E1029" t="str">
        <f>IFERROR(IF(OR(HLOOKUP($A1029,#REF!,3,FALSE)&gt;2,HLOOKUP(A1029,#REF!,3,FALSE)&lt;-2),"",#REF!),"")</f>
        <v/>
      </c>
      <c r="F1029" t="str">
        <f>IFERROR(IF(OR(HLOOKUP($A1029,#REF!,4,FALSE)&gt;2,HLOOKUP($A1029,#REF!,4,FALSE)&lt;-2),"",#REF!),"")</f>
        <v/>
      </c>
      <c r="G1029" t="str">
        <f>IFERROR(IF(OR(HLOOKUP($A1029,#REF!,5,FALSE)&gt;2,HLOOKUP($A1029,#REF!,5,FALSE)&lt;-2),"",#REF!),"")</f>
        <v/>
      </c>
      <c r="H1029" t="str">
        <f>IFERROR(IF(OR(HLOOKUP($A1029,#REF!,6,FALSE)&gt;2,HLOOKUP($A1029,#REF!,6,FALSE)&lt;-2),"",#REF!),"")</f>
        <v/>
      </c>
      <c r="I1029" t="str">
        <f>IFERROR(IF(OR(HLOOKUP($A1029,#REF!,7,FALSE)&gt;2,HLOOKUP($A1029,#REF!,7,FALSE)&lt;-2),"",#REF!),"")</f>
        <v/>
      </c>
      <c r="J1029" t="str">
        <f>IFERROR(IF(OR(HLOOKUP($A1029,#REF!,8,FALSE)&gt;2,HLOOKUP($A1029,#REF!,8,FALSE)&lt;-2),"",#REF!),"")</f>
        <v/>
      </c>
      <c r="K1029" t="str">
        <f>IFERROR(IF(OR(HLOOKUP($A1029,#REF!,9,FALSE)&gt;2,HLOOKUP($A1029,#REF!,9,FALSE)&lt;-2),"",#REF!),"")</f>
        <v/>
      </c>
      <c r="L1029" t="str">
        <f>IFERROR(IF(OR(HLOOKUP($A1029,#REF!,10,FALSE)&gt;2,HLOOKUP($A1029,#REF!,10,FALSE)&lt;-2),"",#REF!),"")</f>
        <v/>
      </c>
      <c r="M1029" t="str">
        <f>IFERROR(IF(OR(HLOOKUP($A1029,#REF!,11,FALSE)&gt;2,HLOOKUP($A1029,#REF!,11,FALSE)&lt;-2),"",#REF!),"")</f>
        <v/>
      </c>
      <c r="N1029" t="str">
        <f>IFERROR(IF(OR(HLOOKUP($A1029,#REF!,12,FALSE)&gt;2,HLOOKUP($A1029,#REF!,12,FALSE)&lt;-2),"",#REF!),"")</f>
        <v/>
      </c>
      <c r="O1029" t="str">
        <f>IFERROR(IF(OR(HLOOKUP($A1029,#REF!,13,FALSE)&gt;2,HLOOKUP($A1029,#REF!,13,FALSE)&lt;-2),"",#REF!),"")</f>
        <v/>
      </c>
      <c r="P1029" t="str">
        <f>IFERROR(IF(OR(HLOOKUP($A1029,#REF!,14,FALSE)&gt;2,HLOOKUP($A1029,#REF!,14,FALSE)&lt;-2),"",#REF!),"")</f>
        <v/>
      </c>
      <c r="Q1029" t="str">
        <f>IFERROR(IF(OR(HLOOKUP($A1029,#REF!,15,FALSE)&gt;2,HLOOKUP($A1029,#REF!,15,FALSE)&lt;-2),"",#REF!),"")</f>
        <v/>
      </c>
      <c r="R1029" t="str">
        <f>IFERROR(IF(OR(HLOOKUP($A1029,#REF!,16,FALSE)&gt;2,HLOOKUP($A1029,#REF!,16,FALSE)&lt;-2),"",#REF!),"")</f>
        <v/>
      </c>
      <c r="S1029" t="str">
        <f>IFERROR(IF(OR(HLOOKUP($A1029,#REF!,17,FALSE)&gt;2,HLOOKUP($A1029,#REF!,17,FALSE)&lt;-2),"",#REF!),"")</f>
        <v/>
      </c>
      <c r="T1029" t="str">
        <f>IFERROR(IF(OR(HLOOKUP($A1029,#REF!,18,FALSE)&gt;2,HLOOKUP($A1029,#REF!,18,FALSE)&lt;-2),"",#REF!),"")</f>
        <v/>
      </c>
      <c r="U1029" t="str">
        <f>IFERROR(IF(OR(HLOOKUP($A1029,#REF!,19,FALSE)&gt;2,HLOOKUP($A1029,#REF!,19,FALSE)&lt;-2),"",#REF!),"")</f>
        <v/>
      </c>
      <c r="V1029">
        <f t="shared" si="64"/>
        <v>1</v>
      </c>
      <c r="W1029" t="str">
        <f t="shared" si="65"/>
        <v/>
      </c>
      <c r="X1029" t="str">
        <f t="shared" si="66"/>
        <v/>
      </c>
      <c r="Y1029" t="str">
        <f t="shared" si="67"/>
        <v/>
      </c>
    </row>
    <row r="1030" spans="1:25" x14ac:dyDescent="0.35">
      <c r="A1030">
        <v>1039</v>
      </c>
      <c r="B1030" t="s">
        <v>515</v>
      </c>
      <c r="C1030">
        <v>90400</v>
      </c>
      <c r="D1030">
        <v>720</v>
      </c>
      <c r="E1030" t="str">
        <f>IFERROR(IF(OR(HLOOKUP($A1030,#REF!,3,FALSE)&gt;2,HLOOKUP(A1030,#REF!,3,FALSE)&lt;-2),"",#REF!),"")</f>
        <v/>
      </c>
      <c r="F1030" t="str">
        <f>IFERROR(IF(OR(HLOOKUP($A1030,#REF!,4,FALSE)&gt;2,HLOOKUP($A1030,#REF!,4,FALSE)&lt;-2),"",#REF!),"")</f>
        <v/>
      </c>
      <c r="G1030" t="str">
        <f>IFERROR(IF(OR(HLOOKUP($A1030,#REF!,5,FALSE)&gt;2,HLOOKUP($A1030,#REF!,5,FALSE)&lt;-2),"",#REF!),"")</f>
        <v/>
      </c>
      <c r="H1030" t="str">
        <f>IFERROR(IF(OR(HLOOKUP($A1030,#REF!,6,FALSE)&gt;2,HLOOKUP($A1030,#REF!,6,FALSE)&lt;-2),"",#REF!),"")</f>
        <v/>
      </c>
      <c r="I1030" t="str">
        <f>IFERROR(IF(OR(HLOOKUP($A1030,#REF!,7,FALSE)&gt;2,HLOOKUP($A1030,#REF!,7,FALSE)&lt;-2),"",#REF!),"")</f>
        <v/>
      </c>
      <c r="J1030" t="str">
        <f>IFERROR(IF(OR(HLOOKUP($A1030,#REF!,8,FALSE)&gt;2,HLOOKUP($A1030,#REF!,8,FALSE)&lt;-2),"",#REF!),"")</f>
        <v/>
      </c>
      <c r="K1030" t="str">
        <f>IFERROR(IF(OR(HLOOKUP($A1030,#REF!,9,FALSE)&gt;2,HLOOKUP($A1030,#REF!,9,FALSE)&lt;-2),"",#REF!),"")</f>
        <v/>
      </c>
      <c r="L1030" t="str">
        <f>IFERROR(IF(OR(HLOOKUP($A1030,#REF!,10,FALSE)&gt;2,HLOOKUP($A1030,#REF!,10,FALSE)&lt;-2),"",#REF!),"")</f>
        <v/>
      </c>
      <c r="M1030" t="str">
        <f>IFERROR(IF(OR(HLOOKUP($A1030,#REF!,11,FALSE)&gt;2,HLOOKUP($A1030,#REF!,11,FALSE)&lt;-2),"",#REF!),"")</f>
        <v/>
      </c>
      <c r="N1030" t="str">
        <f>IFERROR(IF(OR(HLOOKUP($A1030,#REF!,12,FALSE)&gt;2,HLOOKUP($A1030,#REF!,12,FALSE)&lt;-2),"",#REF!),"")</f>
        <v/>
      </c>
      <c r="O1030" t="str">
        <f>IFERROR(IF(OR(HLOOKUP($A1030,#REF!,13,FALSE)&gt;2,HLOOKUP($A1030,#REF!,13,FALSE)&lt;-2),"",#REF!),"")</f>
        <v/>
      </c>
      <c r="P1030" t="str">
        <f>IFERROR(IF(OR(HLOOKUP($A1030,#REF!,14,FALSE)&gt;2,HLOOKUP($A1030,#REF!,14,FALSE)&lt;-2),"",#REF!),"")</f>
        <v/>
      </c>
      <c r="Q1030" t="str">
        <f>IFERROR(IF(OR(HLOOKUP($A1030,#REF!,15,FALSE)&gt;2,HLOOKUP($A1030,#REF!,15,FALSE)&lt;-2),"",#REF!),"")</f>
        <v/>
      </c>
      <c r="R1030" t="str">
        <f>IFERROR(IF(OR(HLOOKUP($A1030,#REF!,16,FALSE)&gt;2,HLOOKUP($A1030,#REF!,16,FALSE)&lt;-2),"",#REF!),"")</f>
        <v/>
      </c>
      <c r="S1030" t="str">
        <f>IFERROR(IF(OR(HLOOKUP($A1030,#REF!,17,FALSE)&gt;2,HLOOKUP($A1030,#REF!,17,FALSE)&lt;-2),"",#REF!),"")</f>
        <v/>
      </c>
      <c r="T1030" t="str">
        <f>IFERROR(IF(OR(HLOOKUP($A1030,#REF!,18,FALSE)&gt;2,HLOOKUP($A1030,#REF!,18,FALSE)&lt;-2),"",#REF!),"")</f>
        <v/>
      </c>
      <c r="U1030" t="str">
        <f>IFERROR(IF(OR(HLOOKUP($A1030,#REF!,19,FALSE)&gt;2,HLOOKUP($A1030,#REF!,19,FALSE)&lt;-2),"",#REF!),"")</f>
        <v/>
      </c>
      <c r="V1030">
        <f t="shared" si="64"/>
        <v>1</v>
      </c>
      <c r="W1030" t="str">
        <f t="shared" si="65"/>
        <v/>
      </c>
      <c r="X1030" t="str">
        <f t="shared" si="66"/>
        <v/>
      </c>
      <c r="Y1030" t="str">
        <f t="shared" si="67"/>
        <v/>
      </c>
    </row>
    <row r="1031" spans="1:25" x14ac:dyDescent="0.35">
      <c r="A1031">
        <v>1040</v>
      </c>
      <c r="B1031" t="s">
        <v>1118</v>
      </c>
      <c r="C1031">
        <v>117600</v>
      </c>
      <c r="D1031">
        <v>1024</v>
      </c>
      <c r="E1031" t="str">
        <f>IFERROR(IF(OR(HLOOKUP($A1031,#REF!,3,FALSE)&gt;2,HLOOKUP(A1031,#REF!,3,FALSE)&lt;-2),"",#REF!),"")</f>
        <v/>
      </c>
      <c r="F1031" t="str">
        <f>IFERROR(IF(OR(HLOOKUP($A1031,#REF!,4,FALSE)&gt;2,HLOOKUP($A1031,#REF!,4,FALSE)&lt;-2),"",#REF!),"")</f>
        <v/>
      </c>
      <c r="G1031" t="str">
        <f>IFERROR(IF(OR(HLOOKUP($A1031,#REF!,5,FALSE)&gt;2,HLOOKUP($A1031,#REF!,5,FALSE)&lt;-2),"",#REF!),"")</f>
        <v/>
      </c>
      <c r="H1031" t="str">
        <f>IFERROR(IF(OR(HLOOKUP($A1031,#REF!,6,FALSE)&gt;2,HLOOKUP($A1031,#REF!,6,FALSE)&lt;-2),"",#REF!),"")</f>
        <v/>
      </c>
      <c r="I1031" t="str">
        <f>IFERROR(IF(OR(HLOOKUP($A1031,#REF!,7,FALSE)&gt;2,HLOOKUP($A1031,#REF!,7,FALSE)&lt;-2),"",#REF!),"")</f>
        <v/>
      </c>
      <c r="J1031" t="str">
        <f>IFERROR(IF(OR(HLOOKUP($A1031,#REF!,8,FALSE)&gt;2,HLOOKUP($A1031,#REF!,8,FALSE)&lt;-2),"",#REF!),"")</f>
        <v/>
      </c>
      <c r="K1031" t="str">
        <f>IFERROR(IF(OR(HLOOKUP($A1031,#REF!,9,FALSE)&gt;2,HLOOKUP($A1031,#REF!,9,FALSE)&lt;-2),"",#REF!),"")</f>
        <v/>
      </c>
      <c r="L1031" t="str">
        <f>IFERROR(IF(OR(HLOOKUP($A1031,#REF!,10,FALSE)&gt;2,HLOOKUP($A1031,#REF!,10,FALSE)&lt;-2),"",#REF!),"")</f>
        <v/>
      </c>
      <c r="M1031" t="str">
        <f>IFERROR(IF(OR(HLOOKUP($A1031,#REF!,11,FALSE)&gt;2,HLOOKUP($A1031,#REF!,11,FALSE)&lt;-2),"",#REF!),"")</f>
        <v/>
      </c>
      <c r="N1031" t="str">
        <f>IFERROR(IF(OR(HLOOKUP($A1031,#REF!,12,FALSE)&gt;2,HLOOKUP($A1031,#REF!,12,FALSE)&lt;-2),"",#REF!),"")</f>
        <v/>
      </c>
      <c r="O1031" t="str">
        <f>IFERROR(IF(OR(HLOOKUP($A1031,#REF!,13,FALSE)&gt;2,HLOOKUP($A1031,#REF!,13,FALSE)&lt;-2),"",#REF!),"")</f>
        <v/>
      </c>
      <c r="P1031" t="str">
        <f>IFERROR(IF(OR(HLOOKUP($A1031,#REF!,14,FALSE)&gt;2,HLOOKUP($A1031,#REF!,14,FALSE)&lt;-2),"",#REF!),"")</f>
        <v/>
      </c>
      <c r="Q1031" t="str">
        <f>IFERROR(IF(OR(HLOOKUP($A1031,#REF!,15,FALSE)&gt;2,HLOOKUP($A1031,#REF!,15,FALSE)&lt;-2),"",#REF!),"")</f>
        <v/>
      </c>
      <c r="R1031" t="str">
        <f>IFERROR(IF(OR(HLOOKUP($A1031,#REF!,16,FALSE)&gt;2,HLOOKUP($A1031,#REF!,16,FALSE)&lt;-2),"",#REF!),"")</f>
        <v/>
      </c>
      <c r="S1031" t="str">
        <f>IFERROR(IF(OR(HLOOKUP($A1031,#REF!,17,FALSE)&gt;2,HLOOKUP($A1031,#REF!,17,FALSE)&lt;-2),"",#REF!),"")</f>
        <v/>
      </c>
      <c r="T1031" t="str">
        <f>IFERROR(IF(OR(HLOOKUP($A1031,#REF!,18,FALSE)&gt;2,HLOOKUP($A1031,#REF!,18,FALSE)&lt;-2),"",#REF!),"")</f>
        <v/>
      </c>
      <c r="U1031" t="str">
        <f>IFERROR(IF(OR(HLOOKUP($A1031,#REF!,19,FALSE)&gt;2,HLOOKUP($A1031,#REF!,19,FALSE)&lt;-2),"",#REF!),"")</f>
        <v/>
      </c>
      <c r="V1031">
        <f t="shared" si="64"/>
        <v>1</v>
      </c>
      <c r="W1031" t="str">
        <f t="shared" si="65"/>
        <v/>
      </c>
      <c r="X1031" t="str">
        <f t="shared" si="66"/>
        <v/>
      </c>
      <c r="Y1031" t="str">
        <f t="shared" si="67"/>
        <v/>
      </c>
    </row>
    <row r="1032" spans="1:25" x14ac:dyDescent="0.35">
      <c r="A1032">
        <v>1041</v>
      </c>
      <c r="B1032" t="s">
        <v>516</v>
      </c>
      <c r="C1032">
        <v>61800</v>
      </c>
      <c r="D1032">
        <v>1073</v>
      </c>
      <c r="E1032" t="str">
        <f>IFERROR(IF(OR(HLOOKUP($A1032,#REF!,3,FALSE)&gt;2,HLOOKUP(A1032,#REF!,3,FALSE)&lt;-2),"",#REF!),"")</f>
        <v/>
      </c>
      <c r="F1032" t="str">
        <f>IFERROR(IF(OR(HLOOKUP($A1032,#REF!,4,FALSE)&gt;2,HLOOKUP($A1032,#REF!,4,FALSE)&lt;-2),"",#REF!),"")</f>
        <v/>
      </c>
      <c r="G1032" t="str">
        <f>IFERROR(IF(OR(HLOOKUP($A1032,#REF!,5,FALSE)&gt;2,HLOOKUP($A1032,#REF!,5,FALSE)&lt;-2),"",#REF!),"")</f>
        <v/>
      </c>
      <c r="H1032" t="str">
        <f>IFERROR(IF(OR(HLOOKUP($A1032,#REF!,6,FALSE)&gt;2,HLOOKUP($A1032,#REF!,6,FALSE)&lt;-2),"",#REF!),"")</f>
        <v/>
      </c>
      <c r="I1032" t="str">
        <f>IFERROR(IF(OR(HLOOKUP($A1032,#REF!,7,FALSE)&gt;2,HLOOKUP($A1032,#REF!,7,FALSE)&lt;-2),"",#REF!),"")</f>
        <v/>
      </c>
      <c r="J1032" t="str">
        <f>IFERROR(IF(OR(HLOOKUP($A1032,#REF!,8,FALSE)&gt;2,HLOOKUP($A1032,#REF!,8,FALSE)&lt;-2),"",#REF!),"")</f>
        <v/>
      </c>
      <c r="K1032" t="str">
        <f>IFERROR(IF(OR(HLOOKUP($A1032,#REF!,9,FALSE)&gt;2,HLOOKUP($A1032,#REF!,9,FALSE)&lt;-2),"",#REF!),"")</f>
        <v/>
      </c>
      <c r="L1032" t="str">
        <f>IFERROR(IF(OR(HLOOKUP($A1032,#REF!,10,FALSE)&gt;2,HLOOKUP($A1032,#REF!,10,FALSE)&lt;-2),"",#REF!),"")</f>
        <v/>
      </c>
      <c r="M1032" t="str">
        <f>IFERROR(IF(OR(HLOOKUP($A1032,#REF!,11,FALSE)&gt;2,HLOOKUP($A1032,#REF!,11,FALSE)&lt;-2),"",#REF!),"")</f>
        <v/>
      </c>
      <c r="N1032" t="str">
        <f>IFERROR(IF(OR(HLOOKUP($A1032,#REF!,12,FALSE)&gt;2,HLOOKUP($A1032,#REF!,12,FALSE)&lt;-2),"",#REF!),"")</f>
        <v/>
      </c>
      <c r="O1032" t="str">
        <f>IFERROR(IF(OR(HLOOKUP($A1032,#REF!,13,FALSE)&gt;2,HLOOKUP($A1032,#REF!,13,FALSE)&lt;-2),"",#REF!),"")</f>
        <v/>
      </c>
      <c r="P1032" t="str">
        <f>IFERROR(IF(OR(HLOOKUP($A1032,#REF!,14,FALSE)&gt;2,HLOOKUP($A1032,#REF!,14,FALSE)&lt;-2),"",#REF!),"")</f>
        <v/>
      </c>
      <c r="Q1032" t="str">
        <f>IFERROR(IF(OR(HLOOKUP($A1032,#REF!,15,FALSE)&gt;2,HLOOKUP($A1032,#REF!,15,FALSE)&lt;-2),"",#REF!),"")</f>
        <v/>
      </c>
      <c r="R1032" t="str">
        <f>IFERROR(IF(OR(HLOOKUP($A1032,#REF!,16,FALSE)&gt;2,HLOOKUP($A1032,#REF!,16,FALSE)&lt;-2),"",#REF!),"")</f>
        <v/>
      </c>
      <c r="S1032" t="str">
        <f>IFERROR(IF(OR(HLOOKUP($A1032,#REF!,17,FALSE)&gt;2,HLOOKUP($A1032,#REF!,17,FALSE)&lt;-2),"",#REF!),"")</f>
        <v/>
      </c>
      <c r="T1032" t="str">
        <f>IFERROR(IF(OR(HLOOKUP($A1032,#REF!,18,FALSE)&gt;2,HLOOKUP($A1032,#REF!,18,FALSE)&lt;-2),"",#REF!),"")</f>
        <v/>
      </c>
      <c r="U1032" t="str">
        <f>IFERROR(IF(OR(HLOOKUP($A1032,#REF!,19,FALSE)&gt;2,HLOOKUP($A1032,#REF!,19,FALSE)&lt;-2),"",#REF!),"")</f>
        <v/>
      </c>
      <c r="V1032">
        <f t="shared" si="64"/>
        <v>1</v>
      </c>
      <c r="W1032" t="str">
        <f t="shared" si="65"/>
        <v/>
      </c>
      <c r="X1032" t="str">
        <f t="shared" si="66"/>
        <v/>
      </c>
      <c r="Y1032" t="str">
        <f t="shared" si="67"/>
        <v/>
      </c>
    </row>
    <row r="1033" spans="1:25" x14ac:dyDescent="0.35">
      <c r="A1033">
        <v>1042</v>
      </c>
      <c r="B1033" t="s">
        <v>1119</v>
      </c>
      <c r="C1033">
        <v>32200</v>
      </c>
      <c r="D1033">
        <v>589</v>
      </c>
      <c r="E1033" t="str">
        <f>IFERROR(IF(OR(HLOOKUP($A1033,#REF!,3,FALSE)&gt;2,HLOOKUP(A1033,#REF!,3,FALSE)&lt;-2),"",#REF!),"")</f>
        <v/>
      </c>
      <c r="F1033" t="str">
        <f>IFERROR(IF(OR(HLOOKUP($A1033,#REF!,4,FALSE)&gt;2,HLOOKUP($A1033,#REF!,4,FALSE)&lt;-2),"",#REF!),"")</f>
        <v/>
      </c>
      <c r="G1033" t="str">
        <f>IFERROR(IF(OR(HLOOKUP($A1033,#REF!,5,FALSE)&gt;2,HLOOKUP($A1033,#REF!,5,FALSE)&lt;-2),"",#REF!),"")</f>
        <v/>
      </c>
      <c r="H1033" t="str">
        <f>IFERROR(IF(OR(HLOOKUP($A1033,#REF!,6,FALSE)&gt;2,HLOOKUP($A1033,#REF!,6,FALSE)&lt;-2),"",#REF!),"")</f>
        <v/>
      </c>
      <c r="I1033" t="str">
        <f>IFERROR(IF(OR(HLOOKUP($A1033,#REF!,7,FALSE)&gt;2,HLOOKUP($A1033,#REF!,7,FALSE)&lt;-2),"",#REF!),"")</f>
        <v/>
      </c>
      <c r="J1033" t="str">
        <f>IFERROR(IF(OR(HLOOKUP($A1033,#REF!,8,FALSE)&gt;2,HLOOKUP($A1033,#REF!,8,FALSE)&lt;-2),"",#REF!),"")</f>
        <v/>
      </c>
      <c r="K1033" t="str">
        <f>IFERROR(IF(OR(HLOOKUP($A1033,#REF!,9,FALSE)&gt;2,HLOOKUP($A1033,#REF!,9,FALSE)&lt;-2),"",#REF!),"")</f>
        <v/>
      </c>
      <c r="L1033" t="str">
        <f>IFERROR(IF(OR(HLOOKUP($A1033,#REF!,10,FALSE)&gt;2,HLOOKUP($A1033,#REF!,10,FALSE)&lt;-2),"",#REF!),"")</f>
        <v/>
      </c>
      <c r="M1033" t="str">
        <f>IFERROR(IF(OR(HLOOKUP($A1033,#REF!,11,FALSE)&gt;2,HLOOKUP($A1033,#REF!,11,FALSE)&lt;-2),"",#REF!),"")</f>
        <v/>
      </c>
      <c r="N1033" t="str">
        <f>IFERROR(IF(OR(HLOOKUP($A1033,#REF!,12,FALSE)&gt;2,HLOOKUP($A1033,#REF!,12,FALSE)&lt;-2),"",#REF!),"")</f>
        <v/>
      </c>
      <c r="O1033" t="str">
        <f>IFERROR(IF(OR(HLOOKUP($A1033,#REF!,13,FALSE)&gt;2,HLOOKUP($A1033,#REF!,13,FALSE)&lt;-2),"",#REF!),"")</f>
        <v/>
      </c>
      <c r="P1033" t="str">
        <f>IFERROR(IF(OR(HLOOKUP($A1033,#REF!,14,FALSE)&gt;2,HLOOKUP($A1033,#REF!,14,FALSE)&lt;-2),"",#REF!),"")</f>
        <v/>
      </c>
      <c r="Q1033" t="str">
        <f>IFERROR(IF(OR(HLOOKUP($A1033,#REF!,15,FALSE)&gt;2,HLOOKUP($A1033,#REF!,15,FALSE)&lt;-2),"",#REF!),"")</f>
        <v/>
      </c>
      <c r="R1033" t="str">
        <f>IFERROR(IF(OR(HLOOKUP($A1033,#REF!,16,FALSE)&gt;2,HLOOKUP($A1033,#REF!,16,FALSE)&lt;-2),"",#REF!),"")</f>
        <v/>
      </c>
      <c r="S1033" t="str">
        <f>IFERROR(IF(OR(HLOOKUP($A1033,#REF!,17,FALSE)&gt;2,HLOOKUP($A1033,#REF!,17,FALSE)&lt;-2),"",#REF!),"")</f>
        <v/>
      </c>
      <c r="T1033" t="str">
        <f>IFERROR(IF(OR(HLOOKUP($A1033,#REF!,18,FALSE)&gt;2,HLOOKUP($A1033,#REF!,18,FALSE)&lt;-2),"",#REF!),"")</f>
        <v/>
      </c>
      <c r="U1033" t="str">
        <f>IFERROR(IF(OR(HLOOKUP($A1033,#REF!,19,FALSE)&gt;2,HLOOKUP($A1033,#REF!,19,FALSE)&lt;-2),"",#REF!),"")</f>
        <v/>
      </c>
      <c r="V1033">
        <f t="shared" si="64"/>
        <v>1</v>
      </c>
      <c r="W1033" t="str">
        <f t="shared" si="65"/>
        <v/>
      </c>
      <c r="X1033" t="str">
        <f t="shared" si="66"/>
        <v/>
      </c>
      <c r="Y1033" t="str">
        <f t="shared" si="67"/>
        <v/>
      </c>
    </row>
    <row r="1034" spans="1:25" x14ac:dyDescent="0.35">
      <c r="A1034">
        <v>1043</v>
      </c>
      <c r="B1034" t="s">
        <v>1120</v>
      </c>
      <c r="C1034">
        <v>109600</v>
      </c>
      <c r="D1034">
        <v>877</v>
      </c>
      <c r="E1034" t="str">
        <f>IFERROR(IF(OR(HLOOKUP($A1034,#REF!,3,FALSE)&gt;2,HLOOKUP(A1034,#REF!,3,FALSE)&lt;-2),"",#REF!),"")</f>
        <v/>
      </c>
      <c r="F1034" t="str">
        <f>IFERROR(IF(OR(HLOOKUP($A1034,#REF!,4,FALSE)&gt;2,HLOOKUP($A1034,#REF!,4,FALSE)&lt;-2),"",#REF!),"")</f>
        <v/>
      </c>
      <c r="G1034" t="str">
        <f>IFERROR(IF(OR(HLOOKUP($A1034,#REF!,5,FALSE)&gt;2,HLOOKUP($A1034,#REF!,5,FALSE)&lt;-2),"",#REF!),"")</f>
        <v/>
      </c>
      <c r="H1034" t="str">
        <f>IFERROR(IF(OR(HLOOKUP($A1034,#REF!,6,FALSE)&gt;2,HLOOKUP($A1034,#REF!,6,FALSE)&lt;-2),"",#REF!),"")</f>
        <v/>
      </c>
      <c r="I1034" t="str">
        <f>IFERROR(IF(OR(HLOOKUP($A1034,#REF!,7,FALSE)&gt;2,HLOOKUP($A1034,#REF!,7,FALSE)&lt;-2),"",#REF!),"")</f>
        <v/>
      </c>
      <c r="J1034" t="str">
        <f>IFERROR(IF(OR(HLOOKUP($A1034,#REF!,8,FALSE)&gt;2,HLOOKUP($A1034,#REF!,8,FALSE)&lt;-2),"",#REF!),"")</f>
        <v/>
      </c>
      <c r="K1034" t="str">
        <f>IFERROR(IF(OR(HLOOKUP($A1034,#REF!,9,FALSE)&gt;2,HLOOKUP($A1034,#REF!,9,FALSE)&lt;-2),"",#REF!),"")</f>
        <v/>
      </c>
      <c r="L1034" t="str">
        <f>IFERROR(IF(OR(HLOOKUP($A1034,#REF!,10,FALSE)&gt;2,HLOOKUP($A1034,#REF!,10,FALSE)&lt;-2),"",#REF!),"")</f>
        <v/>
      </c>
      <c r="M1034" t="str">
        <f>IFERROR(IF(OR(HLOOKUP($A1034,#REF!,11,FALSE)&gt;2,HLOOKUP($A1034,#REF!,11,FALSE)&lt;-2),"",#REF!),"")</f>
        <v/>
      </c>
      <c r="N1034" t="str">
        <f>IFERROR(IF(OR(HLOOKUP($A1034,#REF!,12,FALSE)&gt;2,HLOOKUP($A1034,#REF!,12,FALSE)&lt;-2),"",#REF!),"")</f>
        <v/>
      </c>
      <c r="O1034" t="str">
        <f>IFERROR(IF(OR(HLOOKUP($A1034,#REF!,13,FALSE)&gt;2,HLOOKUP($A1034,#REF!,13,FALSE)&lt;-2),"",#REF!),"")</f>
        <v/>
      </c>
      <c r="P1034" t="str">
        <f>IFERROR(IF(OR(HLOOKUP($A1034,#REF!,14,FALSE)&gt;2,HLOOKUP($A1034,#REF!,14,FALSE)&lt;-2),"",#REF!),"")</f>
        <v/>
      </c>
      <c r="Q1034" t="str">
        <f>IFERROR(IF(OR(HLOOKUP($A1034,#REF!,15,FALSE)&gt;2,HLOOKUP($A1034,#REF!,15,FALSE)&lt;-2),"",#REF!),"")</f>
        <v/>
      </c>
      <c r="R1034" t="str">
        <f>IFERROR(IF(OR(HLOOKUP($A1034,#REF!,16,FALSE)&gt;2,HLOOKUP($A1034,#REF!,16,FALSE)&lt;-2),"",#REF!),"")</f>
        <v/>
      </c>
      <c r="S1034" t="str">
        <f>IFERROR(IF(OR(HLOOKUP($A1034,#REF!,17,FALSE)&gt;2,HLOOKUP($A1034,#REF!,17,FALSE)&lt;-2),"",#REF!),"")</f>
        <v/>
      </c>
      <c r="T1034" t="str">
        <f>IFERROR(IF(OR(HLOOKUP($A1034,#REF!,18,FALSE)&gt;2,HLOOKUP($A1034,#REF!,18,FALSE)&lt;-2),"",#REF!),"")</f>
        <v/>
      </c>
      <c r="U1034" t="str">
        <f>IFERROR(IF(OR(HLOOKUP($A1034,#REF!,19,FALSE)&gt;2,HLOOKUP($A1034,#REF!,19,FALSE)&lt;-2),"",#REF!),"")</f>
        <v/>
      </c>
      <c r="V1034">
        <f t="shared" si="64"/>
        <v>1</v>
      </c>
      <c r="W1034" t="str">
        <f t="shared" si="65"/>
        <v/>
      </c>
      <c r="X1034" t="str">
        <f t="shared" si="66"/>
        <v/>
      </c>
      <c r="Y1034" t="str">
        <f t="shared" si="67"/>
        <v/>
      </c>
    </row>
    <row r="1035" spans="1:25" x14ac:dyDescent="0.35">
      <c r="A1035">
        <v>1044</v>
      </c>
      <c r="B1035" t="s">
        <v>517</v>
      </c>
      <c r="C1035">
        <v>64900</v>
      </c>
      <c r="D1035">
        <v>864</v>
      </c>
      <c r="E1035" t="str">
        <f>IFERROR(IF(OR(HLOOKUP($A1035,#REF!,3,FALSE)&gt;2,HLOOKUP(A1035,#REF!,3,FALSE)&lt;-2),"",#REF!),"")</f>
        <v/>
      </c>
      <c r="F1035" t="str">
        <f>IFERROR(IF(OR(HLOOKUP($A1035,#REF!,4,FALSE)&gt;2,HLOOKUP($A1035,#REF!,4,FALSE)&lt;-2),"",#REF!),"")</f>
        <v/>
      </c>
      <c r="G1035" t="str">
        <f>IFERROR(IF(OR(HLOOKUP($A1035,#REF!,5,FALSE)&gt;2,HLOOKUP($A1035,#REF!,5,FALSE)&lt;-2),"",#REF!),"")</f>
        <v/>
      </c>
      <c r="H1035" t="str">
        <f>IFERROR(IF(OR(HLOOKUP($A1035,#REF!,6,FALSE)&gt;2,HLOOKUP($A1035,#REF!,6,FALSE)&lt;-2),"",#REF!),"")</f>
        <v/>
      </c>
      <c r="I1035" t="str">
        <f>IFERROR(IF(OR(HLOOKUP($A1035,#REF!,7,FALSE)&gt;2,HLOOKUP($A1035,#REF!,7,FALSE)&lt;-2),"",#REF!),"")</f>
        <v/>
      </c>
      <c r="J1035" t="str">
        <f>IFERROR(IF(OR(HLOOKUP($A1035,#REF!,8,FALSE)&gt;2,HLOOKUP($A1035,#REF!,8,FALSE)&lt;-2),"",#REF!),"")</f>
        <v/>
      </c>
      <c r="K1035" t="str">
        <f>IFERROR(IF(OR(HLOOKUP($A1035,#REF!,9,FALSE)&gt;2,HLOOKUP($A1035,#REF!,9,FALSE)&lt;-2),"",#REF!),"")</f>
        <v/>
      </c>
      <c r="L1035" t="str">
        <f>IFERROR(IF(OR(HLOOKUP($A1035,#REF!,10,FALSE)&gt;2,HLOOKUP($A1035,#REF!,10,FALSE)&lt;-2),"",#REF!),"")</f>
        <v/>
      </c>
      <c r="M1035" t="str">
        <f>IFERROR(IF(OR(HLOOKUP($A1035,#REF!,11,FALSE)&gt;2,HLOOKUP($A1035,#REF!,11,FALSE)&lt;-2),"",#REF!),"")</f>
        <v/>
      </c>
      <c r="N1035" t="str">
        <f>IFERROR(IF(OR(HLOOKUP($A1035,#REF!,12,FALSE)&gt;2,HLOOKUP($A1035,#REF!,12,FALSE)&lt;-2),"",#REF!),"")</f>
        <v/>
      </c>
      <c r="O1035" t="str">
        <f>IFERROR(IF(OR(HLOOKUP($A1035,#REF!,13,FALSE)&gt;2,HLOOKUP($A1035,#REF!,13,FALSE)&lt;-2),"",#REF!),"")</f>
        <v/>
      </c>
      <c r="P1035" t="str">
        <f>IFERROR(IF(OR(HLOOKUP($A1035,#REF!,14,FALSE)&gt;2,HLOOKUP($A1035,#REF!,14,FALSE)&lt;-2),"",#REF!),"")</f>
        <v/>
      </c>
      <c r="Q1035" t="str">
        <f>IFERROR(IF(OR(HLOOKUP($A1035,#REF!,15,FALSE)&gt;2,HLOOKUP($A1035,#REF!,15,FALSE)&lt;-2),"",#REF!),"")</f>
        <v/>
      </c>
      <c r="R1035" t="str">
        <f>IFERROR(IF(OR(HLOOKUP($A1035,#REF!,16,FALSE)&gt;2,HLOOKUP($A1035,#REF!,16,FALSE)&lt;-2),"",#REF!),"")</f>
        <v/>
      </c>
      <c r="S1035" t="str">
        <f>IFERROR(IF(OR(HLOOKUP($A1035,#REF!,17,FALSE)&gt;2,HLOOKUP($A1035,#REF!,17,FALSE)&lt;-2),"",#REF!),"")</f>
        <v/>
      </c>
      <c r="T1035" t="str">
        <f>IFERROR(IF(OR(HLOOKUP($A1035,#REF!,18,FALSE)&gt;2,HLOOKUP($A1035,#REF!,18,FALSE)&lt;-2),"",#REF!),"")</f>
        <v/>
      </c>
      <c r="U1035" t="str">
        <f>IFERROR(IF(OR(HLOOKUP($A1035,#REF!,19,FALSE)&gt;2,HLOOKUP($A1035,#REF!,19,FALSE)&lt;-2),"",#REF!),"")</f>
        <v/>
      </c>
      <c r="V1035">
        <f t="shared" si="64"/>
        <v>1</v>
      </c>
      <c r="W1035" t="str">
        <f t="shared" si="65"/>
        <v/>
      </c>
      <c r="X1035" t="str">
        <f t="shared" si="66"/>
        <v/>
      </c>
      <c r="Y1035" t="str">
        <f t="shared" si="67"/>
        <v/>
      </c>
    </row>
    <row r="1036" spans="1:25" x14ac:dyDescent="0.35">
      <c r="A1036">
        <v>1045</v>
      </c>
      <c r="B1036" t="s">
        <v>518</v>
      </c>
      <c r="C1036">
        <v>29800</v>
      </c>
      <c r="D1036">
        <v>895</v>
      </c>
      <c r="E1036" t="str">
        <f>IFERROR(IF(OR(HLOOKUP($A1036,#REF!,3,FALSE)&gt;2,HLOOKUP(A1036,#REF!,3,FALSE)&lt;-2),"",#REF!),"")</f>
        <v/>
      </c>
      <c r="F1036" t="str">
        <f>IFERROR(IF(OR(HLOOKUP($A1036,#REF!,4,FALSE)&gt;2,HLOOKUP($A1036,#REF!,4,FALSE)&lt;-2),"",#REF!),"")</f>
        <v/>
      </c>
      <c r="G1036" t="str">
        <f>IFERROR(IF(OR(HLOOKUP($A1036,#REF!,5,FALSE)&gt;2,HLOOKUP($A1036,#REF!,5,FALSE)&lt;-2),"",#REF!),"")</f>
        <v/>
      </c>
      <c r="H1036" t="str">
        <f>IFERROR(IF(OR(HLOOKUP($A1036,#REF!,6,FALSE)&gt;2,HLOOKUP($A1036,#REF!,6,FALSE)&lt;-2),"",#REF!),"")</f>
        <v/>
      </c>
      <c r="I1036" t="str">
        <f>IFERROR(IF(OR(HLOOKUP($A1036,#REF!,7,FALSE)&gt;2,HLOOKUP($A1036,#REF!,7,FALSE)&lt;-2),"",#REF!),"")</f>
        <v/>
      </c>
      <c r="J1036" t="str">
        <f>IFERROR(IF(OR(HLOOKUP($A1036,#REF!,8,FALSE)&gt;2,HLOOKUP($A1036,#REF!,8,FALSE)&lt;-2),"",#REF!),"")</f>
        <v/>
      </c>
      <c r="K1036" t="str">
        <f>IFERROR(IF(OR(HLOOKUP($A1036,#REF!,9,FALSE)&gt;2,HLOOKUP($A1036,#REF!,9,FALSE)&lt;-2),"",#REF!),"")</f>
        <v/>
      </c>
      <c r="L1036" t="str">
        <f>IFERROR(IF(OR(HLOOKUP($A1036,#REF!,10,FALSE)&gt;2,HLOOKUP($A1036,#REF!,10,FALSE)&lt;-2),"",#REF!),"")</f>
        <v/>
      </c>
      <c r="M1036" t="str">
        <f>IFERROR(IF(OR(HLOOKUP($A1036,#REF!,11,FALSE)&gt;2,HLOOKUP($A1036,#REF!,11,FALSE)&lt;-2),"",#REF!),"")</f>
        <v/>
      </c>
      <c r="N1036" t="str">
        <f>IFERROR(IF(OR(HLOOKUP($A1036,#REF!,12,FALSE)&gt;2,HLOOKUP($A1036,#REF!,12,FALSE)&lt;-2),"",#REF!),"")</f>
        <v/>
      </c>
      <c r="O1036" t="str">
        <f>IFERROR(IF(OR(HLOOKUP($A1036,#REF!,13,FALSE)&gt;2,HLOOKUP($A1036,#REF!,13,FALSE)&lt;-2),"",#REF!),"")</f>
        <v/>
      </c>
      <c r="P1036" t="str">
        <f>IFERROR(IF(OR(HLOOKUP($A1036,#REF!,14,FALSE)&gt;2,HLOOKUP($A1036,#REF!,14,FALSE)&lt;-2),"",#REF!),"")</f>
        <v/>
      </c>
      <c r="Q1036" t="str">
        <f>IFERROR(IF(OR(HLOOKUP($A1036,#REF!,15,FALSE)&gt;2,HLOOKUP($A1036,#REF!,15,FALSE)&lt;-2),"",#REF!),"")</f>
        <v/>
      </c>
      <c r="R1036" t="str">
        <f>IFERROR(IF(OR(HLOOKUP($A1036,#REF!,16,FALSE)&gt;2,HLOOKUP($A1036,#REF!,16,FALSE)&lt;-2),"",#REF!),"")</f>
        <v/>
      </c>
      <c r="S1036" t="str">
        <f>IFERROR(IF(OR(HLOOKUP($A1036,#REF!,17,FALSE)&gt;2,HLOOKUP($A1036,#REF!,17,FALSE)&lt;-2),"",#REF!),"")</f>
        <v/>
      </c>
      <c r="T1036" t="str">
        <f>IFERROR(IF(OR(HLOOKUP($A1036,#REF!,18,FALSE)&gt;2,HLOOKUP($A1036,#REF!,18,FALSE)&lt;-2),"",#REF!),"")</f>
        <v/>
      </c>
      <c r="U1036" t="str">
        <f>IFERROR(IF(OR(HLOOKUP($A1036,#REF!,19,FALSE)&gt;2,HLOOKUP($A1036,#REF!,19,FALSE)&lt;-2),"",#REF!),"")</f>
        <v/>
      </c>
      <c r="V1036">
        <f t="shared" si="64"/>
        <v>1</v>
      </c>
      <c r="W1036" t="str">
        <f t="shared" si="65"/>
        <v/>
      </c>
      <c r="X1036" t="str">
        <f t="shared" si="66"/>
        <v/>
      </c>
      <c r="Y1036" t="str">
        <f t="shared" si="67"/>
        <v/>
      </c>
    </row>
    <row r="1037" spans="1:25" x14ac:dyDescent="0.35">
      <c r="A1037">
        <v>1046</v>
      </c>
      <c r="B1037" t="s">
        <v>519</v>
      </c>
      <c r="C1037">
        <v>15300</v>
      </c>
      <c r="D1037">
        <v>394</v>
      </c>
      <c r="E1037" t="str">
        <f>IFERROR(IF(OR(HLOOKUP($A1037,#REF!,3,FALSE)&gt;2,HLOOKUP(A1037,#REF!,3,FALSE)&lt;-2),"",#REF!),"")</f>
        <v/>
      </c>
      <c r="F1037" t="str">
        <f>IFERROR(IF(OR(HLOOKUP($A1037,#REF!,4,FALSE)&gt;2,HLOOKUP($A1037,#REF!,4,FALSE)&lt;-2),"",#REF!),"")</f>
        <v/>
      </c>
      <c r="G1037" t="str">
        <f>IFERROR(IF(OR(HLOOKUP($A1037,#REF!,5,FALSE)&gt;2,HLOOKUP($A1037,#REF!,5,FALSE)&lt;-2),"",#REF!),"")</f>
        <v/>
      </c>
      <c r="H1037" t="str">
        <f>IFERROR(IF(OR(HLOOKUP($A1037,#REF!,6,FALSE)&gt;2,HLOOKUP($A1037,#REF!,6,FALSE)&lt;-2),"",#REF!),"")</f>
        <v/>
      </c>
      <c r="I1037" t="str">
        <f>IFERROR(IF(OR(HLOOKUP($A1037,#REF!,7,FALSE)&gt;2,HLOOKUP($A1037,#REF!,7,FALSE)&lt;-2),"",#REF!),"")</f>
        <v/>
      </c>
      <c r="J1037" t="str">
        <f>IFERROR(IF(OR(HLOOKUP($A1037,#REF!,8,FALSE)&gt;2,HLOOKUP($A1037,#REF!,8,FALSE)&lt;-2),"",#REF!),"")</f>
        <v/>
      </c>
      <c r="K1037" t="str">
        <f>IFERROR(IF(OR(HLOOKUP($A1037,#REF!,9,FALSE)&gt;2,HLOOKUP($A1037,#REF!,9,FALSE)&lt;-2),"",#REF!),"")</f>
        <v/>
      </c>
      <c r="L1037" t="str">
        <f>IFERROR(IF(OR(HLOOKUP($A1037,#REF!,10,FALSE)&gt;2,HLOOKUP($A1037,#REF!,10,FALSE)&lt;-2),"",#REF!),"")</f>
        <v/>
      </c>
      <c r="M1037" t="str">
        <f>IFERROR(IF(OR(HLOOKUP($A1037,#REF!,11,FALSE)&gt;2,HLOOKUP($A1037,#REF!,11,FALSE)&lt;-2),"",#REF!),"")</f>
        <v/>
      </c>
      <c r="N1037" t="str">
        <f>IFERROR(IF(OR(HLOOKUP($A1037,#REF!,12,FALSE)&gt;2,HLOOKUP($A1037,#REF!,12,FALSE)&lt;-2),"",#REF!),"")</f>
        <v/>
      </c>
      <c r="O1037" t="str">
        <f>IFERROR(IF(OR(HLOOKUP($A1037,#REF!,13,FALSE)&gt;2,HLOOKUP($A1037,#REF!,13,FALSE)&lt;-2),"",#REF!),"")</f>
        <v/>
      </c>
      <c r="P1037" t="str">
        <f>IFERROR(IF(OR(HLOOKUP($A1037,#REF!,14,FALSE)&gt;2,HLOOKUP($A1037,#REF!,14,FALSE)&lt;-2),"",#REF!),"")</f>
        <v/>
      </c>
      <c r="Q1037" t="str">
        <f>IFERROR(IF(OR(HLOOKUP($A1037,#REF!,15,FALSE)&gt;2,HLOOKUP($A1037,#REF!,15,FALSE)&lt;-2),"",#REF!),"")</f>
        <v/>
      </c>
      <c r="R1037" t="str">
        <f>IFERROR(IF(OR(HLOOKUP($A1037,#REF!,16,FALSE)&gt;2,HLOOKUP($A1037,#REF!,16,FALSE)&lt;-2),"",#REF!),"")</f>
        <v/>
      </c>
      <c r="S1037" t="str">
        <f>IFERROR(IF(OR(HLOOKUP($A1037,#REF!,17,FALSE)&gt;2,HLOOKUP($A1037,#REF!,17,FALSE)&lt;-2),"",#REF!),"")</f>
        <v/>
      </c>
      <c r="T1037" t="str">
        <f>IFERROR(IF(OR(HLOOKUP($A1037,#REF!,18,FALSE)&gt;2,HLOOKUP($A1037,#REF!,18,FALSE)&lt;-2),"",#REF!),"")</f>
        <v/>
      </c>
      <c r="U1037" t="str">
        <f>IFERROR(IF(OR(HLOOKUP($A1037,#REF!,19,FALSE)&gt;2,HLOOKUP($A1037,#REF!,19,FALSE)&lt;-2),"",#REF!),"")</f>
        <v/>
      </c>
      <c r="V1037">
        <f t="shared" si="64"/>
        <v>1</v>
      </c>
      <c r="W1037" t="str">
        <f t="shared" si="65"/>
        <v/>
      </c>
      <c r="X1037" t="str">
        <f t="shared" si="66"/>
        <v/>
      </c>
      <c r="Y1037" t="str">
        <f t="shared" si="67"/>
        <v/>
      </c>
    </row>
    <row r="1038" spans="1:25" x14ac:dyDescent="0.35">
      <c r="A1038">
        <v>1047</v>
      </c>
      <c r="B1038" t="s">
        <v>520</v>
      </c>
      <c r="C1038">
        <v>4500</v>
      </c>
      <c r="D1038">
        <v>329</v>
      </c>
      <c r="E1038" t="str">
        <f>IFERROR(IF(OR(HLOOKUP($A1038,#REF!,3,FALSE)&gt;2,HLOOKUP(A1038,#REF!,3,FALSE)&lt;-2),"",#REF!),"")</f>
        <v/>
      </c>
      <c r="F1038" t="str">
        <f>IFERROR(IF(OR(HLOOKUP($A1038,#REF!,4,FALSE)&gt;2,HLOOKUP($A1038,#REF!,4,FALSE)&lt;-2),"",#REF!),"")</f>
        <v/>
      </c>
      <c r="G1038" t="str">
        <f>IFERROR(IF(OR(HLOOKUP($A1038,#REF!,5,FALSE)&gt;2,HLOOKUP($A1038,#REF!,5,FALSE)&lt;-2),"",#REF!),"")</f>
        <v/>
      </c>
      <c r="H1038" t="str">
        <f>IFERROR(IF(OR(HLOOKUP($A1038,#REF!,6,FALSE)&gt;2,HLOOKUP($A1038,#REF!,6,FALSE)&lt;-2),"",#REF!),"")</f>
        <v/>
      </c>
      <c r="I1038" t="str">
        <f>IFERROR(IF(OR(HLOOKUP($A1038,#REF!,7,FALSE)&gt;2,HLOOKUP($A1038,#REF!,7,FALSE)&lt;-2),"",#REF!),"")</f>
        <v/>
      </c>
      <c r="J1038" t="str">
        <f>IFERROR(IF(OR(HLOOKUP($A1038,#REF!,8,FALSE)&gt;2,HLOOKUP($A1038,#REF!,8,FALSE)&lt;-2),"",#REF!),"")</f>
        <v/>
      </c>
      <c r="K1038" t="str">
        <f>IFERROR(IF(OR(HLOOKUP($A1038,#REF!,9,FALSE)&gt;2,HLOOKUP($A1038,#REF!,9,FALSE)&lt;-2),"",#REF!),"")</f>
        <v/>
      </c>
      <c r="L1038" t="str">
        <f>IFERROR(IF(OR(HLOOKUP($A1038,#REF!,10,FALSE)&gt;2,HLOOKUP($A1038,#REF!,10,FALSE)&lt;-2),"",#REF!),"")</f>
        <v/>
      </c>
      <c r="M1038" t="str">
        <f>IFERROR(IF(OR(HLOOKUP($A1038,#REF!,11,FALSE)&gt;2,HLOOKUP($A1038,#REF!,11,FALSE)&lt;-2),"",#REF!),"")</f>
        <v/>
      </c>
      <c r="N1038" t="str">
        <f>IFERROR(IF(OR(HLOOKUP($A1038,#REF!,12,FALSE)&gt;2,HLOOKUP($A1038,#REF!,12,FALSE)&lt;-2),"",#REF!),"")</f>
        <v/>
      </c>
      <c r="O1038" t="str">
        <f>IFERROR(IF(OR(HLOOKUP($A1038,#REF!,13,FALSE)&gt;2,HLOOKUP($A1038,#REF!,13,FALSE)&lt;-2),"",#REF!),"")</f>
        <v/>
      </c>
      <c r="P1038" t="str">
        <f>IFERROR(IF(OR(HLOOKUP($A1038,#REF!,14,FALSE)&gt;2,HLOOKUP($A1038,#REF!,14,FALSE)&lt;-2),"",#REF!),"")</f>
        <v/>
      </c>
      <c r="Q1038" t="str">
        <f>IFERROR(IF(OR(HLOOKUP($A1038,#REF!,15,FALSE)&gt;2,HLOOKUP($A1038,#REF!,15,FALSE)&lt;-2),"",#REF!),"")</f>
        <v/>
      </c>
      <c r="R1038" t="str">
        <f>IFERROR(IF(OR(HLOOKUP($A1038,#REF!,16,FALSE)&gt;2,HLOOKUP($A1038,#REF!,16,FALSE)&lt;-2),"",#REF!),"")</f>
        <v/>
      </c>
      <c r="S1038" t="str">
        <f>IFERROR(IF(OR(HLOOKUP($A1038,#REF!,17,FALSE)&gt;2,HLOOKUP($A1038,#REF!,17,FALSE)&lt;-2),"",#REF!),"")</f>
        <v/>
      </c>
      <c r="T1038" t="str">
        <f>IFERROR(IF(OR(HLOOKUP($A1038,#REF!,18,FALSE)&gt;2,HLOOKUP($A1038,#REF!,18,FALSE)&lt;-2),"",#REF!),"")</f>
        <v/>
      </c>
      <c r="U1038" t="str">
        <f>IFERROR(IF(OR(HLOOKUP($A1038,#REF!,19,FALSE)&gt;2,HLOOKUP($A1038,#REF!,19,FALSE)&lt;-2),"",#REF!),"")</f>
        <v/>
      </c>
      <c r="V1038">
        <f t="shared" si="64"/>
        <v>1</v>
      </c>
      <c r="W1038" t="str">
        <f t="shared" si="65"/>
        <v/>
      </c>
      <c r="X1038" t="str">
        <f t="shared" si="66"/>
        <v/>
      </c>
      <c r="Y1038" t="str">
        <f t="shared" si="67"/>
        <v/>
      </c>
    </row>
    <row r="1039" spans="1:25" x14ac:dyDescent="0.35">
      <c r="A1039">
        <v>1048</v>
      </c>
      <c r="B1039" t="s">
        <v>521</v>
      </c>
      <c r="C1039">
        <v>93300</v>
      </c>
      <c r="D1039">
        <v>370</v>
      </c>
      <c r="E1039" t="str">
        <f>IFERROR(IF(OR(HLOOKUP($A1039,#REF!,3,FALSE)&gt;2,HLOOKUP(A1039,#REF!,3,FALSE)&lt;-2),"",#REF!),"")</f>
        <v/>
      </c>
      <c r="F1039" t="str">
        <f>IFERROR(IF(OR(HLOOKUP($A1039,#REF!,4,FALSE)&gt;2,HLOOKUP($A1039,#REF!,4,FALSE)&lt;-2),"",#REF!),"")</f>
        <v/>
      </c>
      <c r="G1039" t="str">
        <f>IFERROR(IF(OR(HLOOKUP($A1039,#REF!,5,FALSE)&gt;2,HLOOKUP($A1039,#REF!,5,FALSE)&lt;-2),"",#REF!),"")</f>
        <v/>
      </c>
      <c r="H1039" t="str">
        <f>IFERROR(IF(OR(HLOOKUP($A1039,#REF!,6,FALSE)&gt;2,HLOOKUP($A1039,#REF!,6,FALSE)&lt;-2),"",#REF!),"")</f>
        <v/>
      </c>
      <c r="I1039" t="str">
        <f>IFERROR(IF(OR(HLOOKUP($A1039,#REF!,7,FALSE)&gt;2,HLOOKUP($A1039,#REF!,7,FALSE)&lt;-2),"",#REF!),"")</f>
        <v/>
      </c>
      <c r="J1039" t="str">
        <f>IFERROR(IF(OR(HLOOKUP($A1039,#REF!,8,FALSE)&gt;2,HLOOKUP($A1039,#REF!,8,FALSE)&lt;-2),"",#REF!),"")</f>
        <v/>
      </c>
      <c r="K1039" t="str">
        <f>IFERROR(IF(OR(HLOOKUP($A1039,#REF!,9,FALSE)&gt;2,HLOOKUP($A1039,#REF!,9,FALSE)&lt;-2),"",#REF!),"")</f>
        <v/>
      </c>
      <c r="L1039" t="str">
        <f>IFERROR(IF(OR(HLOOKUP($A1039,#REF!,10,FALSE)&gt;2,HLOOKUP($A1039,#REF!,10,FALSE)&lt;-2),"",#REF!),"")</f>
        <v/>
      </c>
      <c r="M1039" t="str">
        <f>IFERROR(IF(OR(HLOOKUP($A1039,#REF!,11,FALSE)&gt;2,HLOOKUP($A1039,#REF!,11,FALSE)&lt;-2),"",#REF!),"")</f>
        <v/>
      </c>
      <c r="N1039" t="str">
        <f>IFERROR(IF(OR(HLOOKUP($A1039,#REF!,12,FALSE)&gt;2,HLOOKUP($A1039,#REF!,12,FALSE)&lt;-2),"",#REF!),"")</f>
        <v/>
      </c>
      <c r="O1039" t="str">
        <f>IFERROR(IF(OR(HLOOKUP($A1039,#REF!,13,FALSE)&gt;2,HLOOKUP($A1039,#REF!,13,FALSE)&lt;-2),"",#REF!),"")</f>
        <v/>
      </c>
      <c r="P1039" t="str">
        <f>IFERROR(IF(OR(HLOOKUP($A1039,#REF!,14,FALSE)&gt;2,HLOOKUP($A1039,#REF!,14,FALSE)&lt;-2),"",#REF!),"")</f>
        <v/>
      </c>
      <c r="Q1039" t="str">
        <f>IFERROR(IF(OR(HLOOKUP($A1039,#REF!,15,FALSE)&gt;2,HLOOKUP($A1039,#REF!,15,FALSE)&lt;-2),"",#REF!),"")</f>
        <v/>
      </c>
      <c r="R1039" t="str">
        <f>IFERROR(IF(OR(HLOOKUP($A1039,#REF!,16,FALSE)&gt;2,HLOOKUP($A1039,#REF!,16,FALSE)&lt;-2),"",#REF!),"")</f>
        <v/>
      </c>
      <c r="S1039" t="str">
        <f>IFERROR(IF(OR(HLOOKUP($A1039,#REF!,17,FALSE)&gt;2,HLOOKUP($A1039,#REF!,17,FALSE)&lt;-2),"",#REF!),"")</f>
        <v/>
      </c>
      <c r="T1039" t="str">
        <f>IFERROR(IF(OR(HLOOKUP($A1039,#REF!,18,FALSE)&gt;2,HLOOKUP($A1039,#REF!,18,FALSE)&lt;-2),"",#REF!),"")</f>
        <v/>
      </c>
      <c r="U1039" t="str">
        <f>IFERROR(IF(OR(HLOOKUP($A1039,#REF!,19,FALSE)&gt;2,HLOOKUP($A1039,#REF!,19,FALSE)&lt;-2),"",#REF!),"")</f>
        <v/>
      </c>
      <c r="V1039">
        <f t="shared" si="64"/>
        <v>1</v>
      </c>
      <c r="W1039" t="str">
        <f t="shared" si="65"/>
        <v/>
      </c>
      <c r="X1039" t="str">
        <f t="shared" si="66"/>
        <v/>
      </c>
      <c r="Y1039" t="str">
        <f t="shared" si="67"/>
        <v/>
      </c>
    </row>
    <row r="1040" spans="1:25" x14ac:dyDescent="0.35">
      <c r="A1040">
        <v>1049</v>
      </c>
      <c r="B1040" t="s">
        <v>522</v>
      </c>
      <c r="C1040">
        <v>62200</v>
      </c>
      <c r="D1040">
        <v>1073</v>
      </c>
      <c r="E1040" t="str">
        <f>IFERROR(IF(OR(HLOOKUP($A1040,#REF!,3,FALSE)&gt;2,HLOOKUP(A1040,#REF!,3,FALSE)&lt;-2),"",#REF!),"")</f>
        <v/>
      </c>
      <c r="F1040" t="str">
        <f>IFERROR(IF(OR(HLOOKUP($A1040,#REF!,4,FALSE)&gt;2,HLOOKUP($A1040,#REF!,4,FALSE)&lt;-2),"",#REF!),"")</f>
        <v/>
      </c>
      <c r="G1040" t="str">
        <f>IFERROR(IF(OR(HLOOKUP($A1040,#REF!,5,FALSE)&gt;2,HLOOKUP($A1040,#REF!,5,FALSE)&lt;-2),"",#REF!),"")</f>
        <v/>
      </c>
      <c r="H1040" t="str">
        <f>IFERROR(IF(OR(HLOOKUP($A1040,#REF!,6,FALSE)&gt;2,HLOOKUP($A1040,#REF!,6,FALSE)&lt;-2),"",#REF!),"")</f>
        <v/>
      </c>
      <c r="I1040" t="str">
        <f>IFERROR(IF(OR(HLOOKUP($A1040,#REF!,7,FALSE)&gt;2,HLOOKUP($A1040,#REF!,7,FALSE)&lt;-2),"",#REF!),"")</f>
        <v/>
      </c>
      <c r="J1040" t="str">
        <f>IFERROR(IF(OR(HLOOKUP($A1040,#REF!,8,FALSE)&gt;2,HLOOKUP($A1040,#REF!,8,FALSE)&lt;-2),"",#REF!),"")</f>
        <v/>
      </c>
      <c r="K1040" t="str">
        <f>IFERROR(IF(OR(HLOOKUP($A1040,#REF!,9,FALSE)&gt;2,HLOOKUP($A1040,#REF!,9,FALSE)&lt;-2),"",#REF!),"")</f>
        <v/>
      </c>
      <c r="L1040" t="str">
        <f>IFERROR(IF(OR(HLOOKUP($A1040,#REF!,10,FALSE)&gt;2,HLOOKUP($A1040,#REF!,10,FALSE)&lt;-2),"",#REF!),"")</f>
        <v/>
      </c>
      <c r="M1040" t="str">
        <f>IFERROR(IF(OR(HLOOKUP($A1040,#REF!,11,FALSE)&gt;2,HLOOKUP($A1040,#REF!,11,FALSE)&lt;-2),"",#REF!),"")</f>
        <v/>
      </c>
      <c r="N1040" t="str">
        <f>IFERROR(IF(OR(HLOOKUP($A1040,#REF!,12,FALSE)&gt;2,HLOOKUP($A1040,#REF!,12,FALSE)&lt;-2),"",#REF!),"")</f>
        <v/>
      </c>
      <c r="O1040" t="str">
        <f>IFERROR(IF(OR(HLOOKUP($A1040,#REF!,13,FALSE)&gt;2,HLOOKUP($A1040,#REF!,13,FALSE)&lt;-2),"",#REF!),"")</f>
        <v/>
      </c>
      <c r="P1040" t="str">
        <f>IFERROR(IF(OR(HLOOKUP($A1040,#REF!,14,FALSE)&gt;2,HLOOKUP($A1040,#REF!,14,FALSE)&lt;-2),"",#REF!),"")</f>
        <v/>
      </c>
      <c r="Q1040" t="str">
        <f>IFERROR(IF(OR(HLOOKUP($A1040,#REF!,15,FALSE)&gt;2,HLOOKUP($A1040,#REF!,15,FALSE)&lt;-2),"",#REF!),"")</f>
        <v/>
      </c>
      <c r="R1040" t="str">
        <f>IFERROR(IF(OR(HLOOKUP($A1040,#REF!,16,FALSE)&gt;2,HLOOKUP($A1040,#REF!,16,FALSE)&lt;-2),"",#REF!),"")</f>
        <v/>
      </c>
      <c r="S1040" t="str">
        <f>IFERROR(IF(OR(HLOOKUP($A1040,#REF!,17,FALSE)&gt;2,HLOOKUP($A1040,#REF!,17,FALSE)&lt;-2),"",#REF!),"")</f>
        <v/>
      </c>
      <c r="T1040" t="str">
        <f>IFERROR(IF(OR(HLOOKUP($A1040,#REF!,18,FALSE)&gt;2,HLOOKUP($A1040,#REF!,18,FALSE)&lt;-2),"",#REF!),"")</f>
        <v/>
      </c>
      <c r="U1040" t="str">
        <f>IFERROR(IF(OR(HLOOKUP($A1040,#REF!,19,FALSE)&gt;2,HLOOKUP($A1040,#REF!,19,FALSE)&lt;-2),"",#REF!),"")</f>
        <v/>
      </c>
      <c r="V1040">
        <f t="shared" si="64"/>
        <v>1</v>
      </c>
      <c r="W1040" t="str">
        <f t="shared" si="65"/>
        <v/>
      </c>
      <c r="X1040" t="str">
        <f t="shared" si="66"/>
        <v/>
      </c>
      <c r="Y1040" t="str">
        <f t="shared" si="67"/>
        <v/>
      </c>
    </row>
    <row r="1041" spans="1:25" x14ac:dyDescent="0.35">
      <c r="A1041">
        <v>1050</v>
      </c>
      <c r="B1041" t="s">
        <v>1121</v>
      </c>
      <c r="C1041">
        <v>32300</v>
      </c>
      <c r="D1041">
        <v>589</v>
      </c>
      <c r="E1041" t="str">
        <f>IFERROR(IF(OR(HLOOKUP($A1041,#REF!,3,FALSE)&gt;2,HLOOKUP(A1041,#REF!,3,FALSE)&lt;-2),"",#REF!),"")</f>
        <v/>
      </c>
      <c r="F1041" t="str">
        <f>IFERROR(IF(OR(HLOOKUP($A1041,#REF!,4,FALSE)&gt;2,HLOOKUP($A1041,#REF!,4,FALSE)&lt;-2),"",#REF!),"")</f>
        <v/>
      </c>
      <c r="G1041" t="str">
        <f>IFERROR(IF(OR(HLOOKUP($A1041,#REF!,5,FALSE)&gt;2,HLOOKUP($A1041,#REF!,5,FALSE)&lt;-2),"",#REF!),"")</f>
        <v/>
      </c>
      <c r="H1041" t="str">
        <f>IFERROR(IF(OR(HLOOKUP($A1041,#REF!,6,FALSE)&gt;2,HLOOKUP($A1041,#REF!,6,FALSE)&lt;-2),"",#REF!),"")</f>
        <v/>
      </c>
      <c r="I1041" t="str">
        <f>IFERROR(IF(OR(HLOOKUP($A1041,#REF!,7,FALSE)&gt;2,HLOOKUP($A1041,#REF!,7,FALSE)&lt;-2),"",#REF!),"")</f>
        <v/>
      </c>
      <c r="J1041" t="str">
        <f>IFERROR(IF(OR(HLOOKUP($A1041,#REF!,8,FALSE)&gt;2,HLOOKUP($A1041,#REF!,8,FALSE)&lt;-2),"",#REF!),"")</f>
        <v/>
      </c>
      <c r="K1041" t="str">
        <f>IFERROR(IF(OR(HLOOKUP($A1041,#REF!,9,FALSE)&gt;2,HLOOKUP($A1041,#REF!,9,FALSE)&lt;-2),"",#REF!),"")</f>
        <v/>
      </c>
      <c r="L1041" t="str">
        <f>IFERROR(IF(OR(HLOOKUP($A1041,#REF!,10,FALSE)&gt;2,HLOOKUP($A1041,#REF!,10,FALSE)&lt;-2),"",#REF!),"")</f>
        <v/>
      </c>
      <c r="M1041" t="str">
        <f>IFERROR(IF(OR(HLOOKUP($A1041,#REF!,11,FALSE)&gt;2,HLOOKUP($A1041,#REF!,11,FALSE)&lt;-2),"",#REF!),"")</f>
        <v/>
      </c>
      <c r="N1041" t="str">
        <f>IFERROR(IF(OR(HLOOKUP($A1041,#REF!,12,FALSE)&gt;2,HLOOKUP($A1041,#REF!,12,FALSE)&lt;-2),"",#REF!),"")</f>
        <v/>
      </c>
      <c r="O1041" t="str">
        <f>IFERROR(IF(OR(HLOOKUP($A1041,#REF!,13,FALSE)&gt;2,HLOOKUP($A1041,#REF!,13,FALSE)&lt;-2),"",#REF!),"")</f>
        <v/>
      </c>
      <c r="P1041" t="str">
        <f>IFERROR(IF(OR(HLOOKUP($A1041,#REF!,14,FALSE)&gt;2,HLOOKUP($A1041,#REF!,14,FALSE)&lt;-2),"",#REF!),"")</f>
        <v/>
      </c>
      <c r="Q1041" t="str">
        <f>IFERROR(IF(OR(HLOOKUP($A1041,#REF!,15,FALSE)&gt;2,HLOOKUP($A1041,#REF!,15,FALSE)&lt;-2),"",#REF!),"")</f>
        <v/>
      </c>
      <c r="R1041" t="str">
        <f>IFERROR(IF(OR(HLOOKUP($A1041,#REF!,16,FALSE)&gt;2,HLOOKUP($A1041,#REF!,16,FALSE)&lt;-2),"",#REF!),"")</f>
        <v/>
      </c>
      <c r="S1041" t="str">
        <f>IFERROR(IF(OR(HLOOKUP($A1041,#REF!,17,FALSE)&gt;2,HLOOKUP($A1041,#REF!,17,FALSE)&lt;-2),"",#REF!),"")</f>
        <v/>
      </c>
      <c r="T1041" t="str">
        <f>IFERROR(IF(OR(HLOOKUP($A1041,#REF!,18,FALSE)&gt;2,HLOOKUP($A1041,#REF!,18,FALSE)&lt;-2),"",#REF!),"")</f>
        <v/>
      </c>
      <c r="U1041" t="str">
        <f>IFERROR(IF(OR(HLOOKUP($A1041,#REF!,19,FALSE)&gt;2,HLOOKUP($A1041,#REF!,19,FALSE)&lt;-2),"",#REF!),"")</f>
        <v/>
      </c>
      <c r="V1041">
        <f t="shared" si="64"/>
        <v>1</v>
      </c>
      <c r="W1041" t="str">
        <f t="shared" si="65"/>
        <v/>
      </c>
      <c r="X1041" t="str">
        <f t="shared" si="66"/>
        <v/>
      </c>
      <c r="Y1041" t="str">
        <f t="shared" si="67"/>
        <v/>
      </c>
    </row>
    <row r="1042" spans="1:25" x14ac:dyDescent="0.35">
      <c r="A1042">
        <v>1051</v>
      </c>
      <c r="B1042" t="s">
        <v>1122</v>
      </c>
      <c r="C1042">
        <v>109400</v>
      </c>
      <c r="D1042">
        <v>877</v>
      </c>
      <c r="E1042" t="str">
        <f>IFERROR(IF(OR(HLOOKUP($A1042,#REF!,3,FALSE)&gt;2,HLOOKUP(A1042,#REF!,3,FALSE)&lt;-2),"",#REF!),"")</f>
        <v/>
      </c>
      <c r="F1042" t="str">
        <f>IFERROR(IF(OR(HLOOKUP($A1042,#REF!,4,FALSE)&gt;2,HLOOKUP($A1042,#REF!,4,FALSE)&lt;-2),"",#REF!),"")</f>
        <v/>
      </c>
      <c r="G1042" t="str">
        <f>IFERROR(IF(OR(HLOOKUP($A1042,#REF!,5,FALSE)&gt;2,HLOOKUP($A1042,#REF!,5,FALSE)&lt;-2),"",#REF!),"")</f>
        <v/>
      </c>
      <c r="H1042" t="str">
        <f>IFERROR(IF(OR(HLOOKUP($A1042,#REF!,6,FALSE)&gt;2,HLOOKUP($A1042,#REF!,6,FALSE)&lt;-2),"",#REF!),"")</f>
        <v/>
      </c>
      <c r="I1042" t="str">
        <f>IFERROR(IF(OR(HLOOKUP($A1042,#REF!,7,FALSE)&gt;2,HLOOKUP($A1042,#REF!,7,FALSE)&lt;-2),"",#REF!),"")</f>
        <v/>
      </c>
      <c r="J1042" t="str">
        <f>IFERROR(IF(OR(HLOOKUP($A1042,#REF!,8,FALSE)&gt;2,HLOOKUP($A1042,#REF!,8,FALSE)&lt;-2),"",#REF!),"")</f>
        <v/>
      </c>
      <c r="K1042" t="str">
        <f>IFERROR(IF(OR(HLOOKUP($A1042,#REF!,9,FALSE)&gt;2,HLOOKUP($A1042,#REF!,9,FALSE)&lt;-2),"",#REF!),"")</f>
        <v/>
      </c>
      <c r="L1042" t="str">
        <f>IFERROR(IF(OR(HLOOKUP($A1042,#REF!,10,FALSE)&gt;2,HLOOKUP($A1042,#REF!,10,FALSE)&lt;-2),"",#REF!),"")</f>
        <v/>
      </c>
      <c r="M1042" t="str">
        <f>IFERROR(IF(OR(HLOOKUP($A1042,#REF!,11,FALSE)&gt;2,HLOOKUP($A1042,#REF!,11,FALSE)&lt;-2),"",#REF!),"")</f>
        <v/>
      </c>
      <c r="N1042" t="str">
        <f>IFERROR(IF(OR(HLOOKUP($A1042,#REF!,12,FALSE)&gt;2,HLOOKUP($A1042,#REF!,12,FALSE)&lt;-2),"",#REF!),"")</f>
        <v/>
      </c>
      <c r="O1042" t="str">
        <f>IFERROR(IF(OR(HLOOKUP($A1042,#REF!,13,FALSE)&gt;2,HLOOKUP($A1042,#REF!,13,FALSE)&lt;-2),"",#REF!),"")</f>
        <v/>
      </c>
      <c r="P1042" t="str">
        <f>IFERROR(IF(OR(HLOOKUP($A1042,#REF!,14,FALSE)&gt;2,HLOOKUP($A1042,#REF!,14,FALSE)&lt;-2),"",#REF!),"")</f>
        <v/>
      </c>
      <c r="Q1042" t="str">
        <f>IFERROR(IF(OR(HLOOKUP($A1042,#REF!,15,FALSE)&gt;2,HLOOKUP($A1042,#REF!,15,FALSE)&lt;-2),"",#REF!),"")</f>
        <v/>
      </c>
      <c r="R1042" t="str">
        <f>IFERROR(IF(OR(HLOOKUP($A1042,#REF!,16,FALSE)&gt;2,HLOOKUP($A1042,#REF!,16,FALSE)&lt;-2),"",#REF!),"")</f>
        <v/>
      </c>
      <c r="S1042" t="str">
        <f>IFERROR(IF(OR(HLOOKUP($A1042,#REF!,17,FALSE)&gt;2,HLOOKUP($A1042,#REF!,17,FALSE)&lt;-2),"",#REF!),"")</f>
        <v/>
      </c>
      <c r="T1042" t="str">
        <f>IFERROR(IF(OR(HLOOKUP($A1042,#REF!,18,FALSE)&gt;2,HLOOKUP($A1042,#REF!,18,FALSE)&lt;-2),"",#REF!),"")</f>
        <v/>
      </c>
      <c r="U1042" t="str">
        <f>IFERROR(IF(OR(HLOOKUP($A1042,#REF!,19,FALSE)&gt;2,HLOOKUP($A1042,#REF!,19,FALSE)&lt;-2),"",#REF!),"")</f>
        <v/>
      </c>
      <c r="V1042">
        <f t="shared" si="64"/>
        <v>1</v>
      </c>
      <c r="W1042" t="str">
        <f t="shared" si="65"/>
        <v/>
      </c>
      <c r="X1042" t="str">
        <f t="shared" si="66"/>
        <v/>
      </c>
      <c r="Y1042" t="str">
        <f t="shared" si="67"/>
        <v/>
      </c>
    </row>
    <row r="1043" spans="1:25" x14ac:dyDescent="0.35">
      <c r="A1043">
        <v>1052</v>
      </c>
      <c r="B1043" t="s">
        <v>523</v>
      </c>
      <c r="C1043">
        <v>83900</v>
      </c>
      <c r="D1043">
        <v>348</v>
      </c>
      <c r="E1043" t="str">
        <f>IFERROR(IF(OR(HLOOKUP($A1043,#REF!,3,FALSE)&gt;2,HLOOKUP(A1043,#REF!,3,FALSE)&lt;-2),"",#REF!),"")</f>
        <v/>
      </c>
      <c r="F1043" t="str">
        <f>IFERROR(IF(OR(HLOOKUP($A1043,#REF!,4,FALSE)&gt;2,HLOOKUP($A1043,#REF!,4,FALSE)&lt;-2),"",#REF!),"")</f>
        <v/>
      </c>
      <c r="G1043" t="str">
        <f>IFERROR(IF(OR(HLOOKUP($A1043,#REF!,5,FALSE)&gt;2,HLOOKUP($A1043,#REF!,5,FALSE)&lt;-2),"",#REF!),"")</f>
        <v/>
      </c>
      <c r="H1043" t="str">
        <f>IFERROR(IF(OR(HLOOKUP($A1043,#REF!,6,FALSE)&gt;2,HLOOKUP($A1043,#REF!,6,FALSE)&lt;-2),"",#REF!),"")</f>
        <v/>
      </c>
      <c r="I1043" t="str">
        <f>IFERROR(IF(OR(HLOOKUP($A1043,#REF!,7,FALSE)&gt;2,HLOOKUP($A1043,#REF!,7,FALSE)&lt;-2),"",#REF!),"")</f>
        <v/>
      </c>
      <c r="J1043" t="str">
        <f>IFERROR(IF(OR(HLOOKUP($A1043,#REF!,8,FALSE)&gt;2,HLOOKUP($A1043,#REF!,8,FALSE)&lt;-2),"",#REF!),"")</f>
        <v/>
      </c>
      <c r="K1043" t="str">
        <f>IFERROR(IF(OR(HLOOKUP($A1043,#REF!,9,FALSE)&gt;2,HLOOKUP($A1043,#REF!,9,FALSE)&lt;-2),"",#REF!),"")</f>
        <v/>
      </c>
      <c r="L1043" t="str">
        <f>IFERROR(IF(OR(HLOOKUP($A1043,#REF!,10,FALSE)&gt;2,HLOOKUP($A1043,#REF!,10,FALSE)&lt;-2),"",#REF!),"")</f>
        <v/>
      </c>
      <c r="M1043" t="str">
        <f>IFERROR(IF(OR(HLOOKUP($A1043,#REF!,11,FALSE)&gt;2,HLOOKUP($A1043,#REF!,11,FALSE)&lt;-2),"",#REF!),"")</f>
        <v/>
      </c>
      <c r="N1043" t="str">
        <f>IFERROR(IF(OR(HLOOKUP($A1043,#REF!,12,FALSE)&gt;2,HLOOKUP($A1043,#REF!,12,FALSE)&lt;-2),"",#REF!),"")</f>
        <v/>
      </c>
      <c r="O1043" t="str">
        <f>IFERROR(IF(OR(HLOOKUP($A1043,#REF!,13,FALSE)&gt;2,HLOOKUP($A1043,#REF!,13,FALSE)&lt;-2),"",#REF!),"")</f>
        <v/>
      </c>
      <c r="P1043" t="str">
        <f>IFERROR(IF(OR(HLOOKUP($A1043,#REF!,14,FALSE)&gt;2,HLOOKUP($A1043,#REF!,14,FALSE)&lt;-2),"",#REF!),"")</f>
        <v/>
      </c>
      <c r="Q1043" t="str">
        <f>IFERROR(IF(OR(HLOOKUP($A1043,#REF!,15,FALSE)&gt;2,HLOOKUP($A1043,#REF!,15,FALSE)&lt;-2),"",#REF!),"")</f>
        <v/>
      </c>
      <c r="R1043" t="str">
        <f>IFERROR(IF(OR(HLOOKUP($A1043,#REF!,16,FALSE)&gt;2,HLOOKUP($A1043,#REF!,16,FALSE)&lt;-2),"",#REF!),"")</f>
        <v/>
      </c>
      <c r="S1043" t="str">
        <f>IFERROR(IF(OR(HLOOKUP($A1043,#REF!,17,FALSE)&gt;2,HLOOKUP($A1043,#REF!,17,FALSE)&lt;-2),"",#REF!),"")</f>
        <v/>
      </c>
      <c r="T1043" t="str">
        <f>IFERROR(IF(OR(HLOOKUP($A1043,#REF!,18,FALSE)&gt;2,HLOOKUP($A1043,#REF!,18,FALSE)&lt;-2),"",#REF!),"")</f>
        <v/>
      </c>
      <c r="U1043" t="str">
        <f>IFERROR(IF(OR(HLOOKUP($A1043,#REF!,19,FALSE)&gt;2,HLOOKUP($A1043,#REF!,19,FALSE)&lt;-2),"",#REF!),"")</f>
        <v/>
      </c>
      <c r="V1043">
        <f t="shared" si="64"/>
        <v>1</v>
      </c>
      <c r="W1043" t="str">
        <f t="shared" si="65"/>
        <v/>
      </c>
      <c r="X1043" t="str">
        <f t="shared" si="66"/>
        <v/>
      </c>
      <c r="Y1043" t="str">
        <f t="shared" si="67"/>
        <v/>
      </c>
    </row>
    <row r="1044" spans="1:25" x14ac:dyDescent="0.35">
      <c r="A1044">
        <v>1053</v>
      </c>
      <c r="B1044" t="s">
        <v>1123</v>
      </c>
      <c r="C1044">
        <v>18500</v>
      </c>
      <c r="D1044">
        <v>31</v>
      </c>
      <c r="E1044" t="str">
        <f>IFERROR(IF(OR(HLOOKUP($A1044,#REF!,3,FALSE)&gt;2,HLOOKUP(A1044,#REF!,3,FALSE)&lt;-2),"",#REF!),"")</f>
        <v/>
      </c>
      <c r="F1044" t="str">
        <f>IFERROR(IF(OR(HLOOKUP($A1044,#REF!,4,FALSE)&gt;2,HLOOKUP($A1044,#REF!,4,FALSE)&lt;-2),"",#REF!),"")</f>
        <v/>
      </c>
      <c r="G1044" t="str">
        <f>IFERROR(IF(OR(HLOOKUP($A1044,#REF!,5,FALSE)&gt;2,HLOOKUP($A1044,#REF!,5,FALSE)&lt;-2),"",#REF!),"")</f>
        <v/>
      </c>
      <c r="H1044" t="str">
        <f>IFERROR(IF(OR(HLOOKUP($A1044,#REF!,6,FALSE)&gt;2,HLOOKUP($A1044,#REF!,6,FALSE)&lt;-2),"",#REF!),"")</f>
        <v/>
      </c>
      <c r="I1044" t="str">
        <f>IFERROR(IF(OR(HLOOKUP($A1044,#REF!,7,FALSE)&gt;2,HLOOKUP($A1044,#REF!,7,FALSE)&lt;-2),"",#REF!),"")</f>
        <v/>
      </c>
      <c r="J1044" t="str">
        <f>IFERROR(IF(OR(HLOOKUP($A1044,#REF!,8,FALSE)&gt;2,HLOOKUP($A1044,#REF!,8,FALSE)&lt;-2),"",#REF!),"")</f>
        <v/>
      </c>
      <c r="K1044" t="str">
        <f>IFERROR(IF(OR(HLOOKUP($A1044,#REF!,9,FALSE)&gt;2,HLOOKUP($A1044,#REF!,9,FALSE)&lt;-2),"",#REF!),"")</f>
        <v/>
      </c>
      <c r="L1044" t="str">
        <f>IFERROR(IF(OR(HLOOKUP($A1044,#REF!,10,FALSE)&gt;2,HLOOKUP($A1044,#REF!,10,FALSE)&lt;-2),"",#REF!),"")</f>
        <v/>
      </c>
      <c r="M1044" t="str">
        <f>IFERROR(IF(OR(HLOOKUP($A1044,#REF!,11,FALSE)&gt;2,HLOOKUP($A1044,#REF!,11,FALSE)&lt;-2),"",#REF!),"")</f>
        <v/>
      </c>
      <c r="N1044" t="str">
        <f>IFERROR(IF(OR(HLOOKUP($A1044,#REF!,12,FALSE)&gt;2,HLOOKUP($A1044,#REF!,12,FALSE)&lt;-2),"",#REF!),"")</f>
        <v/>
      </c>
      <c r="O1044" t="str">
        <f>IFERROR(IF(OR(HLOOKUP($A1044,#REF!,13,FALSE)&gt;2,HLOOKUP($A1044,#REF!,13,FALSE)&lt;-2),"",#REF!),"")</f>
        <v/>
      </c>
      <c r="P1044" t="str">
        <f>IFERROR(IF(OR(HLOOKUP($A1044,#REF!,14,FALSE)&gt;2,HLOOKUP($A1044,#REF!,14,FALSE)&lt;-2),"",#REF!),"")</f>
        <v/>
      </c>
      <c r="Q1044" t="str">
        <f>IFERROR(IF(OR(HLOOKUP($A1044,#REF!,15,FALSE)&gt;2,HLOOKUP($A1044,#REF!,15,FALSE)&lt;-2),"",#REF!),"")</f>
        <v/>
      </c>
      <c r="R1044" t="str">
        <f>IFERROR(IF(OR(HLOOKUP($A1044,#REF!,16,FALSE)&gt;2,HLOOKUP($A1044,#REF!,16,FALSE)&lt;-2),"",#REF!),"")</f>
        <v/>
      </c>
      <c r="S1044" t="str">
        <f>IFERROR(IF(OR(HLOOKUP($A1044,#REF!,17,FALSE)&gt;2,HLOOKUP($A1044,#REF!,17,FALSE)&lt;-2),"",#REF!),"")</f>
        <v/>
      </c>
      <c r="T1044" t="str">
        <f>IFERROR(IF(OR(HLOOKUP($A1044,#REF!,18,FALSE)&gt;2,HLOOKUP($A1044,#REF!,18,FALSE)&lt;-2),"",#REF!),"")</f>
        <v/>
      </c>
      <c r="U1044" t="str">
        <f>IFERROR(IF(OR(HLOOKUP($A1044,#REF!,19,FALSE)&gt;2,HLOOKUP($A1044,#REF!,19,FALSE)&lt;-2),"",#REF!),"")</f>
        <v/>
      </c>
      <c r="V1044">
        <f t="shared" si="64"/>
        <v>1</v>
      </c>
      <c r="W1044" t="str">
        <f t="shared" si="65"/>
        <v/>
      </c>
      <c r="X1044" t="str">
        <f t="shared" si="66"/>
        <v/>
      </c>
      <c r="Y1044" t="str">
        <f t="shared" si="67"/>
        <v/>
      </c>
    </row>
    <row r="1045" spans="1:25" x14ac:dyDescent="0.35">
      <c r="A1045">
        <v>1054</v>
      </c>
      <c r="B1045" t="s">
        <v>524</v>
      </c>
      <c r="C1045">
        <v>8900</v>
      </c>
      <c r="D1045">
        <v>44</v>
      </c>
      <c r="E1045" t="str">
        <f>IFERROR(IF(OR(HLOOKUP($A1045,#REF!,3,FALSE)&gt;2,HLOOKUP(A1045,#REF!,3,FALSE)&lt;-2),"",#REF!),"")</f>
        <v/>
      </c>
      <c r="F1045" t="str">
        <f>IFERROR(IF(OR(HLOOKUP($A1045,#REF!,4,FALSE)&gt;2,HLOOKUP($A1045,#REF!,4,FALSE)&lt;-2),"",#REF!),"")</f>
        <v/>
      </c>
      <c r="G1045" t="str">
        <f>IFERROR(IF(OR(HLOOKUP($A1045,#REF!,5,FALSE)&gt;2,HLOOKUP($A1045,#REF!,5,FALSE)&lt;-2),"",#REF!),"")</f>
        <v/>
      </c>
      <c r="H1045" t="str">
        <f>IFERROR(IF(OR(HLOOKUP($A1045,#REF!,6,FALSE)&gt;2,HLOOKUP($A1045,#REF!,6,FALSE)&lt;-2),"",#REF!),"")</f>
        <v/>
      </c>
      <c r="I1045" t="str">
        <f>IFERROR(IF(OR(HLOOKUP($A1045,#REF!,7,FALSE)&gt;2,HLOOKUP($A1045,#REF!,7,FALSE)&lt;-2),"",#REF!),"")</f>
        <v/>
      </c>
      <c r="J1045" t="str">
        <f>IFERROR(IF(OR(HLOOKUP($A1045,#REF!,8,FALSE)&gt;2,HLOOKUP($A1045,#REF!,8,FALSE)&lt;-2),"",#REF!),"")</f>
        <v/>
      </c>
      <c r="K1045" t="str">
        <f>IFERROR(IF(OR(HLOOKUP($A1045,#REF!,9,FALSE)&gt;2,HLOOKUP($A1045,#REF!,9,FALSE)&lt;-2),"",#REF!),"")</f>
        <v/>
      </c>
      <c r="L1045" t="str">
        <f>IFERROR(IF(OR(HLOOKUP($A1045,#REF!,10,FALSE)&gt;2,HLOOKUP($A1045,#REF!,10,FALSE)&lt;-2),"",#REF!),"")</f>
        <v/>
      </c>
      <c r="M1045" t="str">
        <f>IFERROR(IF(OR(HLOOKUP($A1045,#REF!,11,FALSE)&gt;2,HLOOKUP($A1045,#REF!,11,FALSE)&lt;-2),"",#REF!),"")</f>
        <v/>
      </c>
      <c r="N1045" t="str">
        <f>IFERROR(IF(OR(HLOOKUP($A1045,#REF!,12,FALSE)&gt;2,HLOOKUP($A1045,#REF!,12,FALSE)&lt;-2),"",#REF!),"")</f>
        <v/>
      </c>
      <c r="O1045" t="str">
        <f>IFERROR(IF(OR(HLOOKUP($A1045,#REF!,13,FALSE)&gt;2,HLOOKUP($A1045,#REF!,13,FALSE)&lt;-2),"",#REF!),"")</f>
        <v/>
      </c>
      <c r="P1045" t="str">
        <f>IFERROR(IF(OR(HLOOKUP($A1045,#REF!,14,FALSE)&gt;2,HLOOKUP($A1045,#REF!,14,FALSE)&lt;-2),"",#REF!),"")</f>
        <v/>
      </c>
      <c r="Q1045" t="str">
        <f>IFERROR(IF(OR(HLOOKUP($A1045,#REF!,15,FALSE)&gt;2,HLOOKUP($A1045,#REF!,15,FALSE)&lt;-2),"",#REF!),"")</f>
        <v/>
      </c>
      <c r="R1045" t="str">
        <f>IFERROR(IF(OR(HLOOKUP($A1045,#REF!,16,FALSE)&gt;2,HLOOKUP($A1045,#REF!,16,FALSE)&lt;-2),"",#REF!),"")</f>
        <v/>
      </c>
      <c r="S1045" t="str">
        <f>IFERROR(IF(OR(HLOOKUP($A1045,#REF!,17,FALSE)&gt;2,HLOOKUP($A1045,#REF!,17,FALSE)&lt;-2),"",#REF!),"")</f>
        <v/>
      </c>
      <c r="T1045" t="str">
        <f>IFERROR(IF(OR(HLOOKUP($A1045,#REF!,18,FALSE)&gt;2,HLOOKUP($A1045,#REF!,18,FALSE)&lt;-2),"",#REF!),"")</f>
        <v/>
      </c>
      <c r="U1045" t="str">
        <f>IFERROR(IF(OR(HLOOKUP($A1045,#REF!,19,FALSE)&gt;2,HLOOKUP($A1045,#REF!,19,FALSE)&lt;-2),"",#REF!),"")</f>
        <v/>
      </c>
      <c r="V1045">
        <f t="shared" si="64"/>
        <v>1</v>
      </c>
      <c r="W1045" t="str">
        <f t="shared" si="65"/>
        <v/>
      </c>
      <c r="X1045" t="str">
        <f t="shared" si="66"/>
        <v/>
      </c>
      <c r="Y1045" t="str">
        <f t="shared" si="67"/>
        <v/>
      </c>
    </row>
    <row r="1046" spans="1:25" x14ac:dyDescent="0.35">
      <c r="A1046">
        <v>1055</v>
      </c>
      <c r="B1046" t="s">
        <v>1124</v>
      </c>
      <c r="C1046">
        <v>117200</v>
      </c>
      <c r="D1046">
        <v>1032</v>
      </c>
      <c r="E1046" t="str">
        <f>IFERROR(IF(OR(HLOOKUP($A1046,#REF!,3,FALSE)&gt;2,HLOOKUP(A1046,#REF!,3,FALSE)&lt;-2),"",#REF!),"")</f>
        <v/>
      </c>
      <c r="F1046" t="str">
        <f>IFERROR(IF(OR(HLOOKUP($A1046,#REF!,4,FALSE)&gt;2,HLOOKUP($A1046,#REF!,4,FALSE)&lt;-2),"",#REF!),"")</f>
        <v/>
      </c>
      <c r="G1046" t="str">
        <f>IFERROR(IF(OR(HLOOKUP($A1046,#REF!,5,FALSE)&gt;2,HLOOKUP($A1046,#REF!,5,FALSE)&lt;-2),"",#REF!),"")</f>
        <v/>
      </c>
      <c r="H1046" t="str">
        <f>IFERROR(IF(OR(HLOOKUP($A1046,#REF!,6,FALSE)&gt;2,HLOOKUP($A1046,#REF!,6,FALSE)&lt;-2),"",#REF!),"")</f>
        <v/>
      </c>
      <c r="I1046" t="str">
        <f>IFERROR(IF(OR(HLOOKUP($A1046,#REF!,7,FALSE)&gt;2,HLOOKUP($A1046,#REF!,7,FALSE)&lt;-2),"",#REF!),"")</f>
        <v/>
      </c>
      <c r="J1046" t="str">
        <f>IFERROR(IF(OR(HLOOKUP($A1046,#REF!,8,FALSE)&gt;2,HLOOKUP($A1046,#REF!,8,FALSE)&lt;-2),"",#REF!),"")</f>
        <v/>
      </c>
      <c r="K1046" t="str">
        <f>IFERROR(IF(OR(HLOOKUP($A1046,#REF!,9,FALSE)&gt;2,HLOOKUP($A1046,#REF!,9,FALSE)&lt;-2),"",#REF!),"")</f>
        <v/>
      </c>
      <c r="L1046" t="str">
        <f>IFERROR(IF(OR(HLOOKUP($A1046,#REF!,10,FALSE)&gt;2,HLOOKUP($A1046,#REF!,10,FALSE)&lt;-2),"",#REF!),"")</f>
        <v/>
      </c>
      <c r="M1046" t="str">
        <f>IFERROR(IF(OR(HLOOKUP($A1046,#REF!,11,FALSE)&gt;2,HLOOKUP($A1046,#REF!,11,FALSE)&lt;-2),"",#REF!),"")</f>
        <v/>
      </c>
      <c r="N1046" t="str">
        <f>IFERROR(IF(OR(HLOOKUP($A1046,#REF!,12,FALSE)&gt;2,HLOOKUP($A1046,#REF!,12,FALSE)&lt;-2),"",#REF!),"")</f>
        <v/>
      </c>
      <c r="O1046" t="str">
        <f>IFERROR(IF(OR(HLOOKUP($A1046,#REF!,13,FALSE)&gt;2,HLOOKUP($A1046,#REF!,13,FALSE)&lt;-2),"",#REF!),"")</f>
        <v/>
      </c>
      <c r="P1046" t="str">
        <f>IFERROR(IF(OR(HLOOKUP($A1046,#REF!,14,FALSE)&gt;2,HLOOKUP($A1046,#REF!,14,FALSE)&lt;-2),"",#REF!),"")</f>
        <v/>
      </c>
      <c r="Q1046" t="str">
        <f>IFERROR(IF(OR(HLOOKUP($A1046,#REF!,15,FALSE)&gt;2,HLOOKUP($A1046,#REF!,15,FALSE)&lt;-2),"",#REF!),"")</f>
        <v/>
      </c>
      <c r="R1046" t="str">
        <f>IFERROR(IF(OR(HLOOKUP($A1046,#REF!,16,FALSE)&gt;2,HLOOKUP($A1046,#REF!,16,FALSE)&lt;-2),"",#REF!),"")</f>
        <v/>
      </c>
      <c r="S1046" t="str">
        <f>IFERROR(IF(OR(HLOOKUP($A1046,#REF!,17,FALSE)&gt;2,HLOOKUP($A1046,#REF!,17,FALSE)&lt;-2),"",#REF!),"")</f>
        <v/>
      </c>
      <c r="T1046" t="str">
        <f>IFERROR(IF(OR(HLOOKUP($A1046,#REF!,18,FALSE)&gt;2,HLOOKUP($A1046,#REF!,18,FALSE)&lt;-2),"",#REF!),"")</f>
        <v/>
      </c>
      <c r="U1046" t="str">
        <f>IFERROR(IF(OR(HLOOKUP($A1046,#REF!,19,FALSE)&gt;2,HLOOKUP($A1046,#REF!,19,FALSE)&lt;-2),"",#REF!),"")</f>
        <v/>
      </c>
      <c r="V1046">
        <f t="shared" si="64"/>
        <v>1</v>
      </c>
      <c r="W1046" t="str">
        <f t="shared" si="65"/>
        <v/>
      </c>
      <c r="X1046" t="str">
        <f t="shared" si="66"/>
        <v/>
      </c>
      <c r="Y1046" t="str">
        <f t="shared" si="67"/>
        <v/>
      </c>
    </row>
    <row r="1047" spans="1:25" x14ac:dyDescent="0.35">
      <c r="A1047">
        <v>1056</v>
      </c>
      <c r="B1047" t="s">
        <v>1125</v>
      </c>
      <c r="C1047">
        <v>60200</v>
      </c>
      <c r="D1047">
        <v>1017</v>
      </c>
      <c r="E1047" t="str">
        <f>IFERROR(IF(OR(HLOOKUP($A1047,#REF!,3,FALSE)&gt;2,HLOOKUP(A1047,#REF!,3,FALSE)&lt;-2),"",#REF!),"")</f>
        <v/>
      </c>
      <c r="F1047" t="str">
        <f>IFERROR(IF(OR(HLOOKUP($A1047,#REF!,4,FALSE)&gt;2,HLOOKUP($A1047,#REF!,4,FALSE)&lt;-2),"",#REF!),"")</f>
        <v/>
      </c>
      <c r="G1047" t="str">
        <f>IFERROR(IF(OR(HLOOKUP($A1047,#REF!,5,FALSE)&gt;2,HLOOKUP($A1047,#REF!,5,FALSE)&lt;-2),"",#REF!),"")</f>
        <v/>
      </c>
      <c r="H1047" t="str">
        <f>IFERROR(IF(OR(HLOOKUP($A1047,#REF!,6,FALSE)&gt;2,HLOOKUP($A1047,#REF!,6,FALSE)&lt;-2),"",#REF!),"")</f>
        <v/>
      </c>
      <c r="I1047" t="str">
        <f>IFERROR(IF(OR(HLOOKUP($A1047,#REF!,7,FALSE)&gt;2,HLOOKUP($A1047,#REF!,7,FALSE)&lt;-2),"",#REF!),"")</f>
        <v/>
      </c>
      <c r="J1047" t="str">
        <f>IFERROR(IF(OR(HLOOKUP($A1047,#REF!,8,FALSE)&gt;2,HLOOKUP($A1047,#REF!,8,FALSE)&lt;-2),"",#REF!),"")</f>
        <v/>
      </c>
      <c r="K1047" t="str">
        <f>IFERROR(IF(OR(HLOOKUP($A1047,#REF!,9,FALSE)&gt;2,HLOOKUP($A1047,#REF!,9,FALSE)&lt;-2),"",#REF!),"")</f>
        <v/>
      </c>
      <c r="L1047" t="str">
        <f>IFERROR(IF(OR(HLOOKUP($A1047,#REF!,10,FALSE)&gt;2,HLOOKUP($A1047,#REF!,10,FALSE)&lt;-2),"",#REF!),"")</f>
        <v/>
      </c>
      <c r="M1047" t="str">
        <f>IFERROR(IF(OR(HLOOKUP($A1047,#REF!,11,FALSE)&gt;2,HLOOKUP($A1047,#REF!,11,FALSE)&lt;-2),"",#REF!),"")</f>
        <v/>
      </c>
      <c r="N1047" t="str">
        <f>IFERROR(IF(OR(HLOOKUP($A1047,#REF!,12,FALSE)&gt;2,HLOOKUP($A1047,#REF!,12,FALSE)&lt;-2),"",#REF!),"")</f>
        <v/>
      </c>
      <c r="O1047" t="str">
        <f>IFERROR(IF(OR(HLOOKUP($A1047,#REF!,13,FALSE)&gt;2,HLOOKUP($A1047,#REF!,13,FALSE)&lt;-2),"",#REF!),"")</f>
        <v/>
      </c>
      <c r="P1047" t="str">
        <f>IFERROR(IF(OR(HLOOKUP($A1047,#REF!,14,FALSE)&gt;2,HLOOKUP($A1047,#REF!,14,FALSE)&lt;-2),"",#REF!),"")</f>
        <v/>
      </c>
      <c r="Q1047" t="str">
        <f>IFERROR(IF(OR(HLOOKUP($A1047,#REF!,15,FALSE)&gt;2,HLOOKUP($A1047,#REF!,15,FALSE)&lt;-2),"",#REF!),"")</f>
        <v/>
      </c>
      <c r="R1047" t="str">
        <f>IFERROR(IF(OR(HLOOKUP($A1047,#REF!,16,FALSE)&gt;2,HLOOKUP($A1047,#REF!,16,FALSE)&lt;-2),"",#REF!),"")</f>
        <v/>
      </c>
      <c r="S1047" t="str">
        <f>IFERROR(IF(OR(HLOOKUP($A1047,#REF!,17,FALSE)&gt;2,HLOOKUP($A1047,#REF!,17,FALSE)&lt;-2),"",#REF!),"")</f>
        <v/>
      </c>
      <c r="T1047" t="str">
        <f>IFERROR(IF(OR(HLOOKUP($A1047,#REF!,18,FALSE)&gt;2,HLOOKUP($A1047,#REF!,18,FALSE)&lt;-2),"",#REF!),"")</f>
        <v/>
      </c>
      <c r="U1047" t="str">
        <f>IFERROR(IF(OR(HLOOKUP($A1047,#REF!,19,FALSE)&gt;2,HLOOKUP($A1047,#REF!,19,FALSE)&lt;-2),"",#REF!),"")</f>
        <v/>
      </c>
      <c r="V1047">
        <f t="shared" si="64"/>
        <v>1</v>
      </c>
      <c r="W1047" t="str">
        <f t="shared" si="65"/>
        <v/>
      </c>
      <c r="X1047" t="str">
        <f t="shared" si="66"/>
        <v/>
      </c>
      <c r="Y1047" t="str">
        <f t="shared" si="67"/>
        <v/>
      </c>
    </row>
    <row r="1048" spans="1:25" x14ac:dyDescent="0.35">
      <c r="A1048">
        <v>1057</v>
      </c>
      <c r="B1048" t="s">
        <v>1126</v>
      </c>
      <c r="C1048">
        <v>9100</v>
      </c>
      <c r="D1048">
        <v>315</v>
      </c>
      <c r="E1048" t="str">
        <f>IFERROR(IF(OR(HLOOKUP($A1048,#REF!,3,FALSE)&gt;2,HLOOKUP(A1048,#REF!,3,FALSE)&lt;-2),"",#REF!),"")</f>
        <v/>
      </c>
      <c r="F1048" t="str">
        <f>IFERROR(IF(OR(HLOOKUP($A1048,#REF!,4,FALSE)&gt;2,HLOOKUP($A1048,#REF!,4,FALSE)&lt;-2),"",#REF!),"")</f>
        <v/>
      </c>
      <c r="G1048" t="str">
        <f>IFERROR(IF(OR(HLOOKUP($A1048,#REF!,5,FALSE)&gt;2,HLOOKUP($A1048,#REF!,5,FALSE)&lt;-2),"",#REF!),"")</f>
        <v/>
      </c>
      <c r="H1048" t="str">
        <f>IFERROR(IF(OR(HLOOKUP($A1048,#REF!,6,FALSE)&gt;2,HLOOKUP($A1048,#REF!,6,FALSE)&lt;-2),"",#REF!),"")</f>
        <v/>
      </c>
      <c r="I1048" t="str">
        <f>IFERROR(IF(OR(HLOOKUP($A1048,#REF!,7,FALSE)&gt;2,HLOOKUP($A1048,#REF!,7,FALSE)&lt;-2),"",#REF!),"")</f>
        <v/>
      </c>
      <c r="J1048" t="str">
        <f>IFERROR(IF(OR(HLOOKUP($A1048,#REF!,8,FALSE)&gt;2,HLOOKUP($A1048,#REF!,8,FALSE)&lt;-2),"",#REF!),"")</f>
        <v/>
      </c>
      <c r="K1048" t="str">
        <f>IFERROR(IF(OR(HLOOKUP($A1048,#REF!,9,FALSE)&gt;2,HLOOKUP($A1048,#REF!,9,FALSE)&lt;-2),"",#REF!),"")</f>
        <v/>
      </c>
      <c r="L1048" t="str">
        <f>IFERROR(IF(OR(HLOOKUP($A1048,#REF!,10,FALSE)&gt;2,HLOOKUP($A1048,#REF!,10,FALSE)&lt;-2),"",#REF!),"")</f>
        <v/>
      </c>
      <c r="M1048" t="str">
        <f>IFERROR(IF(OR(HLOOKUP($A1048,#REF!,11,FALSE)&gt;2,HLOOKUP($A1048,#REF!,11,FALSE)&lt;-2),"",#REF!),"")</f>
        <v/>
      </c>
      <c r="N1048" t="str">
        <f>IFERROR(IF(OR(HLOOKUP($A1048,#REF!,12,FALSE)&gt;2,HLOOKUP($A1048,#REF!,12,FALSE)&lt;-2),"",#REF!),"")</f>
        <v/>
      </c>
      <c r="O1048" t="str">
        <f>IFERROR(IF(OR(HLOOKUP($A1048,#REF!,13,FALSE)&gt;2,HLOOKUP($A1048,#REF!,13,FALSE)&lt;-2),"",#REF!),"")</f>
        <v/>
      </c>
      <c r="P1048" t="str">
        <f>IFERROR(IF(OR(HLOOKUP($A1048,#REF!,14,FALSE)&gt;2,HLOOKUP($A1048,#REF!,14,FALSE)&lt;-2),"",#REF!),"")</f>
        <v/>
      </c>
      <c r="Q1048" t="str">
        <f>IFERROR(IF(OR(HLOOKUP($A1048,#REF!,15,FALSE)&gt;2,HLOOKUP($A1048,#REF!,15,FALSE)&lt;-2),"",#REF!),"")</f>
        <v/>
      </c>
      <c r="R1048" t="str">
        <f>IFERROR(IF(OR(HLOOKUP($A1048,#REF!,16,FALSE)&gt;2,HLOOKUP($A1048,#REF!,16,FALSE)&lt;-2),"",#REF!),"")</f>
        <v/>
      </c>
      <c r="S1048" t="str">
        <f>IFERROR(IF(OR(HLOOKUP($A1048,#REF!,17,FALSE)&gt;2,HLOOKUP($A1048,#REF!,17,FALSE)&lt;-2),"",#REF!),"")</f>
        <v/>
      </c>
      <c r="T1048" t="str">
        <f>IFERROR(IF(OR(HLOOKUP($A1048,#REF!,18,FALSE)&gt;2,HLOOKUP($A1048,#REF!,18,FALSE)&lt;-2),"",#REF!),"")</f>
        <v/>
      </c>
      <c r="U1048" t="str">
        <f>IFERROR(IF(OR(HLOOKUP($A1048,#REF!,19,FALSE)&gt;2,HLOOKUP($A1048,#REF!,19,FALSE)&lt;-2),"",#REF!),"")</f>
        <v/>
      </c>
      <c r="V1048">
        <f t="shared" si="64"/>
        <v>1</v>
      </c>
      <c r="W1048" t="str">
        <f t="shared" si="65"/>
        <v/>
      </c>
      <c r="X1048" t="str">
        <f t="shared" si="66"/>
        <v/>
      </c>
      <c r="Y1048" t="str">
        <f t="shared" si="67"/>
        <v/>
      </c>
    </row>
    <row r="1049" spans="1:25" x14ac:dyDescent="0.35">
      <c r="A1049">
        <v>1058</v>
      </c>
      <c r="B1049" t="s">
        <v>525</v>
      </c>
      <c r="C1049">
        <v>10200</v>
      </c>
      <c r="D1049">
        <v>677</v>
      </c>
      <c r="E1049" t="str">
        <f>IFERROR(IF(OR(HLOOKUP($A1049,#REF!,3,FALSE)&gt;2,HLOOKUP(A1049,#REF!,3,FALSE)&lt;-2),"",#REF!),"")</f>
        <v/>
      </c>
      <c r="F1049" t="str">
        <f>IFERROR(IF(OR(HLOOKUP($A1049,#REF!,4,FALSE)&gt;2,HLOOKUP($A1049,#REF!,4,FALSE)&lt;-2),"",#REF!),"")</f>
        <v/>
      </c>
      <c r="G1049" t="str">
        <f>IFERROR(IF(OR(HLOOKUP($A1049,#REF!,5,FALSE)&gt;2,HLOOKUP($A1049,#REF!,5,FALSE)&lt;-2),"",#REF!),"")</f>
        <v/>
      </c>
      <c r="H1049" t="str">
        <f>IFERROR(IF(OR(HLOOKUP($A1049,#REF!,6,FALSE)&gt;2,HLOOKUP($A1049,#REF!,6,FALSE)&lt;-2),"",#REF!),"")</f>
        <v/>
      </c>
      <c r="I1049" t="str">
        <f>IFERROR(IF(OR(HLOOKUP($A1049,#REF!,7,FALSE)&gt;2,HLOOKUP($A1049,#REF!,7,FALSE)&lt;-2),"",#REF!),"")</f>
        <v/>
      </c>
      <c r="J1049" t="str">
        <f>IFERROR(IF(OR(HLOOKUP($A1049,#REF!,8,FALSE)&gt;2,HLOOKUP($A1049,#REF!,8,FALSE)&lt;-2),"",#REF!),"")</f>
        <v/>
      </c>
      <c r="K1049" t="str">
        <f>IFERROR(IF(OR(HLOOKUP($A1049,#REF!,9,FALSE)&gt;2,HLOOKUP($A1049,#REF!,9,FALSE)&lt;-2),"",#REF!),"")</f>
        <v/>
      </c>
      <c r="L1049" t="str">
        <f>IFERROR(IF(OR(HLOOKUP($A1049,#REF!,10,FALSE)&gt;2,HLOOKUP($A1049,#REF!,10,FALSE)&lt;-2),"",#REF!),"")</f>
        <v/>
      </c>
      <c r="M1049" t="str">
        <f>IFERROR(IF(OR(HLOOKUP($A1049,#REF!,11,FALSE)&gt;2,HLOOKUP($A1049,#REF!,11,FALSE)&lt;-2),"",#REF!),"")</f>
        <v/>
      </c>
      <c r="N1049" t="str">
        <f>IFERROR(IF(OR(HLOOKUP($A1049,#REF!,12,FALSE)&gt;2,HLOOKUP($A1049,#REF!,12,FALSE)&lt;-2),"",#REF!),"")</f>
        <v/>
      </c>
      <c r="O1049" t="str">
        <f>IFERROR(IF(OR(HLOOKUP($A1049,#REF!,13,FALSE)&gt;2,HLOOKUP($A1049,#REF!,13,FALSE)&lt;-2),"",#REF!),"")</f>
        <v/>
      </c>
      <c r="P1049" t="str">
        <f>IFERROR(IF(OR(HLOOKUP($A1049,#REF!,14,FALSE)&gt;2,HLOOKUP($A1049,#REF!,14,FALSE)&lt;-2),"",#REF!),"")</f>
        <v/>
      </c>
      <c r="Q1049" t="str">
        <f>IFERROR(IF(OR(HLOOKUP($A1049,#REF!,15,FALSE)&gt;2,HLOOKUP($A1049,#REF!,15,FALSE)&lt;-2),"",#REF!),"")</f>
        <v/>
      </c>
      <c r="R1049" t="str">
        <f>IFERROR(IF(OR(HLOOKUP($A1049,#REF!,16,FALSE)&gt;2,HLOOKUP($A1049,#REF!,16,FALSE)&lt;-2),"",#REF!),"")</f>
        <v/>
      </c>
      <c r="S1049" t="str">
        <f>IFERROR(IF(OR(HLOOKUP($A1049,#REF!,17,FALSE)&gt;2,HLOOKUP($A1049,#REF!,17,FALSE)&lt;-2),"",#REF!),"")</f>
        <v/>
      </c>
      <c r="T1049" t="str">
        <f>IFERROR(IF(OR(HLOOKUP($A1049,#REF!,18,FALSE)&gt;2,HLOOKUP($A1049,#REF!,18,FALSE)&lt;-2),"",#REF!),"")</f>
        <v/>
      </c>
      <c r="U1049" t="str">
        <f>IFERROR(IF(OR(HLOOKUP($A1049,#REF!,19,FALSE)&gt;2,HLOOKUP($A1049,#REF!,19,FALSE)&lt;-2),"",#REF!),"")</f>
        <v/>
      </c>
      <c r="V1049">
        <f t="shared" si="64"/>
        <v>1</v>
      </c>
      <c r="W1049" t="str">
        <f t="shared" si="65"/>
        <v/>
      </c>
      <c r="X1049" t="str">
        <f t="shared" si="66"/>
        <v/>
      </c>
      <c r="Y1049" t="str">
        <f t="shared" si="67"/>
        <v/>
      </c>
    </row>
    <row r="1050" spans="1:25" x14ac:dyDescent="0.35">
      <c r="A1050">
        <v>1059</v>
      </c>
      <c r="B1050" t="s">
        <v>1127</v>
      </c>
      <c r="C1050">
        <v>32400</v>
      </c>
      <c r="D1050">
        <v>589</v>
      </c>
      <c r="E1050" t="str">
        <f>IFERROR(IF(OR(HLOOKUP($A1050,#REF!,3,FALSE)&gt;2,HLOOKUP(A1050,#REF!,3,FALSE)&lt;-2),"",#REF!),"")</f>
        <v/>
      </c>
      <c r="F1050" t="str">
        <f>IFERROR(IF(OR(HLOOKUP($A1050,#REF!,4,FALSE)&gt;2,HLOOKUP($A1050,#REF!,4,FALSE)&lt;-2),"",#REF!),"")</f>
        <v/>
      </c>
      <c r="G1050" t="str">
        <f>IFERROR(IF(OR(HLOOKUP($A1050,#REF!,5,FALSE)&gt;2,HLOOKUP($A1050,#REF!,5,FALSE)&lt;-2),"",#REF!),"")</f>
        <v/>
      </c>
      <c r="H1050" t="str">
        <f>IFERROR(IF(OR(HLOOKUP($A1050,#REF!,6,FALSE)&gt;2,HLOOKUP($A1050,#REF!,6,FALSE)&lt;-2),"",#REF!),"")</f>
        <v/>
      </c>
      <c r="I1050" t="str">
        <f>IFERROR(IF(OR(HLOOKUP($A1050,#REF!,7,FALSE)&gt;2,HLOOKUP($A1050,#REF!,7,FALSE)&lt;-2),"",#REF!),"")</f>
        <v/>
      </c>
      <c r="J1050" t="str">
        <f>IFERROR(IF(OR(HLOOKUP($A1050,#REF!,8,FALSE)&gt;2,HLOOKUP($A1050,#REF!,8,FALSE)&lt;-2),"",#REF!),"")</f>
        <v/>
      </c>
      <c r="K1050" t="str">
        <f>IFERROR(IF(OR(HLOOKUP($A1050,#REF!,9,FALSE)&gt;2,HLOOKUP($A1050,#REF!,9,FALSE)&lt;-2),"",#REF!),"")</f>
        <v/>
      </c>
      <c r="L1050" t="str">
        <f>IFERROR(IF(OR(HLOOKUP($A1050,#REF!,10,FALSE)&gt;2,HLOOKUP($A1050,#REF!,10,FALSE)&lt;-2),"",#REF!),"")</f>
        <v/>
      </c>
      <c r="M1050" t="str">
        <f>IFERROR(IF(OR(HLOOKUP($A1050,#REF!,11,FALSE)&gt;2,HLOOKUP($A1050,#REF!,11,FALSE)&lt;-2),"",#REF!),"")</f>
        <v/>
      </c>
      <c r="N1050" t="str">
        <f>IFERROR(IF(OR(HLOOKUP($A1050,#REF!,12,FALSE)&gt;2,HLOOKUP($A1050,#REF!,12,FALSE)&lt;-2),"",#REF!),"")</f>
        <v/>
      </c>
      <c r="O1050" t="str">
        <f>IFERROR(IF(OR(HLOOKUP($A1050,#REF!,13,FALSE)&gt;2,HLOOKUP($A1050,#REF!,13,FALSE)&lt;-2),"",#REF!),"")</f>
        <v/>
      </c>
      <c r="P1050" t="str">
        <f>IFERROR(IF(OR(HLOOKUP($A1050,#REF!,14,FALSE)&gt;2,HLOOKUP($A1050,#REF!,14,FALSE)&lt;-2),"",#REF!),"")</f>
        <v/>
      </c>
      <c r="Q1050" t="str">
        <f>IFERROR(IF(OR(HLOOKUP($A1050,#REF!,15,FALSE)&gt;2,HLOOKUP($A1050,#REF!,15,FALSE)&lt;-2),"",#REF!),"")</f>
        <v/>
      </c>
      <c r="R1050" t="str">
        <f>IFERROR(IF(OR(HLOOKUP($A1050,#REF!,16,FALSE)&gt;2,HLOOKUP($A1050,#REF!,16,FALSE)&lt;-2),"",#REF!),"")</f>
        <v/>
      </c>
      <c r="S1050" t="str">
        <f>IFERROR(IF(OR(HLOOKUP($A1050,#REF!,17,FALSE)&gt;2,HLOOKUP($A1050,#REF!,17,FALSE)&lt;-2),"",#REF!),"")</f>
        <v/>
      </c>
      <c r="T1050" t="str">
        <f>IFERROR(IF(OR(HLOOKUP($A1050,#REF!,18,FALSE)&gt;2,HLOOKUP($A1050,#REF!,18,FALSE)&lt;-2),"",#REF!),"")</f>
        <v/>
      </c>
      <c r="U1050" t="str">
        <f>IFERROR(IF(OR(HLOOKUP($A1050,#REF!,19,FALSE)&gt;2,HLOOKUP($A1050,#REF!,19,FALSE)&lt;-2),"",#REF!),"")</f>
        <v/>
      </c>
      <c r="V1050">
        <f t="shared" si="64"/>
        <v>1</v>
      </c>
      <c r="W1050" t="str">
        <f t="shared" si="65"/>
        <v/>
      </c>
      <c r="X1050" t="str">
        <f t="shared" si="66"/>
        <v/>
      </c>
      <c r="Y1050" t="str">
        <f t="shared" si="67"/>
        <v/>
      </c>
    </row>
    <row r="1051" spans="1:25" x14ac:dyDescent="0.35">
      <c r="A1051">
        <v>1060</v>
      </c>
      <c r="B1051" t="s">
        <v>526</v>
      </c>
      <c r="C1051">
        <v>109500</v>
      </c>
      <c r="D1051">
        <v>877</v>
      </c>
      <c r="E1051" t="str">
        <f>IFERROR(IF(OR(HLOOKUP($A1051,#REF!,3,FALSE)&gt;2,HLOOKUP(A1051,#REF!,3,FALSE)&lt;-2),"",#REF!),"")</f>
        <v/>
      </c>
      <c r="F1051" t="str">
        <f>IFERROR(IF(OR(HLOOKUP($A1051,#REF!,4,FALSE)&gt;2,HLOOKUP($A1051,#REF!,4,FALSE)&lt;-2),"",#REF!),"")</f>
        <v/>
      </c>
      <c r="G1051" t="str">
        <f>IFERROR(IF(OR(HLOOKUP($A1051,#REF!,5,FALSE)&gt;2,HLOOKUP($A1051,#REF!,5,FALSE)&lt;-2),"",#REF!),"")</f>
        <v/>
      </c>
      <c r="H1051" t="str">
        <f>IFERROR(IF(OR(HLOOKUP($A1051,#REF!,6,FALSE)&gt;2,HLOOKUP($A1051,#REF!,6,FALSE)&lt;-2),"",#REF!),"")</f>
        <v/>
      </c>
      <c r="I1051" t="str">
        <f>IFERROR(IF(OR(HLOOKUP($A1051,#REF!,7,FALSE)&gt;2,HLOOKUP($A1051,#REF!,7,FALSE)&lt;-2),"",#REF!),"")</f>
        <v/>
      </c>
      <c r="J1051" t="str">
        <f>IFERROR(IF(OR(HLOOKUP($A1051,#REF!,8,FALSE)&gt;2,HLOOKUP($A1051,#REF!,8,FALSE)&lt;-2),"",#REF!),"")</f>
        <v/>
      </c>
      <c r="K1051" t="str">
        <f>IFERROR(IF(OR(HLOOKUP($A1051,#REF!,9,FALSE)&gt;2,HLOOKUP($A1051,#REF!,9,FALSE)&lt;-2),"",#REF!),"")</f>
        <v/>
      </c>
      <c r="L1051" t="str">
        <f>IFERROR(IF(OR(HLOOKUP($A1051,#REF!,10,FALSE)&gt;2,HLOOKUP($A1051,#REF!,10,FALSE)&lt;-2),"",#REF!),"")</f>
        <v/>
      </c>
      <c r="M1051" t="str">
        <f>IFERROR(IF(OR(HLOOKUP($A1051,#REF!,11,FALSE)&gt;2,HLOOKUP($A1051,#REF!,11,FALSE)&lt;-2),"",#REF!),"")</f>
        <v/>
      </c>
      <c r="N1051" t="str">
        <f>IFERROR(IF(OR(HLOOKUP($A1051,#REF!,12,FALSE)&gt;2,HLOOKUP($A1051,#REF!,12,FALSE)&lt;-2),"",#REF!),"")</f>
        <v/>
      </c>
      <c r="O1051" t="str">
        <f>IFERROR(IF(OR(HLOOKUP($A1051,#REF!,13,FALSE)&gt;2,HLOOKUP($A1051,#REF!,13,FALSE)&lt;-2),"",#REF!),"")</f>
        <v/>
      </c>
      <c r="P1051" t="str">
        <f>IFERROR(IF(OR(HLOOKUP($A1051,#REF!,14,FALSE)&gt;2,HLOOKUP($A1051,#REF!,14,FALSE)&lt;-2),"",#REF!),"")</f>
        <v/>
      </c>
      <c r="Q1051" t="str">
        <f>IFERROR(IF(OR(HLOOKUP($A1051,#REF!,15,FALSE)&gt;2,HLOOKUP($A1051,#REF!,15,FALSE)&lt;-2),"",#REF!),"")</f>
        <v/>
      </c>
      <c r="R1051" t="str">
        <f>IFERROR(IF(OR(HLOOKUP($A1051,#REF!,16,FALSE)&gt;2,HLOOKUP($A1051,#REF!,16,FALSE)&lt;-2),"",#REF!),"")</f>
        <v/>
      </c>
      <c r="S1051" t="str">
        <f>IFERROR(IF(OR(HLOOKUP($A1051,#REF!,17,FALSE)&gt;2,HLOOKUP($A1051,#REF!,17,FALSE)&lt;-2),"",#REF!),"")</f>
        <v/>
      </c>
      <c r="T1051" t="str">
        <f>IFERROR(IF(OR(HLOOKUP($A1051,#REF!,18,FALSE)&gt;2,HLOOKUP($A1051,#REF!,18,FALSE)&lt;-2),"",#REF!),"")</f>
        <v/>
      </c>
      <c r="U1051" t="str">
        <f>IFERROR(IF(OR(HLOOKUP($A1051,#REF!,19,FALSE)&gt;2,HLOOKUP($A1051,#REF!,19,FALSE)&lt;-2),"",#REF!),"")</f>
        <v/>
      </c>
      <c r="V1051">
        <f t="shared" si="64"/>
        <v>1</v>
      </c>
      <c r="W1051" t="str">
        <f t="shared" si="65"/>
        <v/>
      </c>
      <c r="X1051" t="str">
        <f t="shared" si="66"/>
        <v/>
      </c>
      <c r="Y1051" t="str">
        <f t="shared" si="67"/>
        <v/>
      </c>
    </row>
    <row r="1052" spans="1:25" x14ac:dyDescent="0.35">
      <c r="A1052">
        <v>1061</v>
      </c>
      <c r="B1052" t="s">
        <v>527</v>
      </c>
      <c r="C1052">
        <v>82500</v>
      </c>
      <c r="D1052">
        <v>1100</v>
      </c>
      <c r="E1052" t="str">
        <f>IFERROR(IF(OR(HLOOKUP($A1052,#REF!,3,FALSE)&gt;2,HLOOKUP(A1052,#REF!,3,FALSE)&lt;-2),"",#REF!),"")</f>
        <v/>
      </c>
      <c r="F1052" t="str">
        <f>IFERROR(IF(OR(HLOOKUP($A1052,#REF!,4,FALSE)&gt;2,HLOOKUP($A1052,#REF!,4,FALSE)&lt;-2),"",#REF!),"")</f>
        <v/>
      </c>
      <c r="G1052" t="str">
        <f>IFERROR(IF(OR(HLOOKUP($A1052,#REF!,5,FALSE)&gt;2,HLOOKUP($A1052,#REF!,5,FALSE)&lt;-2),"",#REF!),"")</f>
        <v/>
      </c>
      <c r="H1052" t="str">
        <f>IFERROR(IF(OR(HLOOKUP($A1052,#REF!,6,FALSE)&gt;2,HLOOKUP($A1052,#REF!,6,FALSE)&lt;-2),"",#REF!),"")</f>
        <v/>
      </c>
      <c r="I1052" t="str">
        <f>IFERROR(IF(OR(HLOOKUP($A1052,#REF!,7,FALSE)&gt;2,HLOOKUP($A1052,#REF!,7,FALSE)&lt;-2),"",#REF!),"")</f>
        <v/>
      </c>
      <c r="J1052" t="str">
        <f>IFERROR(IF(OR(HLOOKUP($A1052,#REF!,8,FALSE)&gt;2,HLOOKUP($A1052,#REF!,8,FALSE)&lt;-2),"",#REF!),"")</f>
        <v/>
      </c>
      <c r="K1052" t="str">
        <f>IFERROR(IF(OR(HLOOKUP($A1052,#REF!,9,FALSE)&gt;2,HLOOKUP($A1052,#REF!,9,FALSE)&lt;-2),"",#REF!),"")</f>
        <v/>
      </c>
      <c r="L1052" t="str">
        <f>IFERROR(IF(OR(HLOOKUP($A1052,#REF!,10,FALSE)&gt;2,HLOOKUP($A1052,#REF!,10,FALSE)&lt;-2),"",#REF!),"")</f>
        <v/>
      </c>
      <c r="M1052" t="str">
        <f>IFERROR(IF(OR(HLOOKUP($A1052,#REF!,11,FALSE)&gt;2,HLOOKUP($A1052,#REF!,11,FALSE)&lt;-2),"",#REF!),"")</f>
        <v/>
      </c>
      <c r="N1052" t="str">
        <f>IFERROR(IF(OR(HLOOKUP($A1052,#REF!,12,FALSE)&gt;2,HLOOKUP($A1052,#REF!,12,FALSE)&lt;-2),"",#REF!),"")</f>
        <v/>
      </c>
      <c r="O1052" t="str">
        <f>IFERROR(IF(OR(HLOOKUP($A1052,#REF!,13,FALSE)&gt;2,HLOOKUP($A1052,#REF!,13,FALSE)&lt;-2),"",#REF!),"")</f>
        <v/>
      </c>
      <c r="P1052" t="str">
        <f>IFERROR(IF(OR(HLOOKUP($A1052,#REF!,14,FALSE)&gt;2,HLOOKUP($A1052,#REF!,14,FALSE)&lt;-2),"",#REF!),"")</f>
        <v/>
      </c>
      <c r="Q1052" t="str">
        <f>IFERROR(IF(OR(HLOOKUP($A1052,#REF!,15,FALSE)&gt;2,HLOOKUP($A1052,#REF!,15,FALSE)&lt;-2),"",#REF!),"")</f>
        <v/>
      </c>
      <c r="R1052" t="str">
        <f>IFERROR(IF(OR(HLOOKUP($A1052,#REF!,16,FALSE)&gt;2,HLOOKUP($A1052,#REF!,16,FALSE)&lt;-2),"",#REF!),"")</f>
        <v/>
      </c>
      <c r="S1052" t="str">
        <f>IFERROR(IF(OR(HLOOKUP($A1052,#REF!,17,FALSE)&gt;2,HLOOKUP($A1052,#REF!,17,FALSE)&lt;-2),"",#REF!),"")</f>
        <v/>
      </c>
      <c r="T1052" t="str">
        <f>IFERROR(IF(OR(HLOOKUP($A1052,#REF!,18,FALSE)&gt;2,HLOOKUP($A1052,#REF!,18,FALSE)&lt;-2),"",#REF!),"")</f>
        <v/>
      </c>
      <c r="U1052" t="str">
        <f>IFERROR(IF(OR(HLOOKUP($A1052,#REF!,19,FALSE)&gt;2,HLOOKUP($A1052,#REF!,19,FALSE)&lt;-2),"",#REF!),"")</f>
        <v/>
      </c>
      <c r="V1052">
        <f t="shared" si="64"/>
        <v>1</v>
      </c>
      <c r="W1052" t="str">
        <f t="shared" si="65"/>
        <v/>
      </c>
      <c r="X1052" t="str">
        <f t="shared" si="66"/>
        <v/>
      </c>
      <c r="Y1052" t="str">
        <f t="shared" si="67"/>
        <v/>
      </c>
    </row>
    <row r="1053" spans="1:25" x14ac:dyDescent="0.35">
      <c r="A1053">
        <v>1062</v>
      </c>
      <c r="B1053" t="s">
        <v>528</v>
      </c>
      <c r="C1053">
        <v>4800</v>
      </c>
      <c r="D1053">
        <v>329</v>
      </c>
      <c r="E1053" t="str">
        <f>IFERROR(IF(OR(HLOOKUP($A1053,#REF!,3,FALSE)&gt;2,HLOOKUP(A1053,#REF!,3,FALSE)&lt;-2),"",#REF!),"")</f>
        <v/>
      </c>
      <c r="F1053" t="str">
        <f>IFERROR(IF(OR(HLOOKUP($A1053,#REF!,4,FALSE)&gt;2,HLOOKUP($A1053,#REF!,4,FALSE)&lt;-2),"",#REF!),"")</f>
        <v/>
      </c>
      <c r="G1053" t="str">
        <f>IFERROR(IF(OR(HLOOKUP($A1053,#REF!,5,FALSE)&gt;2,HLOOKUP($A1053,#REF!,5,FALSE)&lt;-2),"",#REF!),"")</f>
        <v/>
      </c>
      <c r="H1053" t="str">
        <f>IFERROR(IF(OR(HLOOKUP($A1053,#REF!,6,FALSE)&gt;2,HLOOKUP($A1053,#REF!,6,FALSE)&lt;-2),"",#REF!),"")</f>
        <v/>
      </c>
      <c r="I1053" t="str">
        <f>IFERROR(IF(OR(HLOOKUP($A1053,#REF!,7,FALSE)&gt;2,HLOOKUP($A1053,#REF!,7,FALSE)&lt;-2),"",#REF!),"")</f>
        <v/>
      </c>
      <c r="J1053" t="str">
        <f>IFERROR(IF(OR(HLOOKUP($A1053,#REF!,8,FALSE)&gt;2,HLOOKUP($A1053,#REF!,8,FALSE)&lt;-2),"",#REF!),"")</f>
        <v/>
      </c>
      <c r="K1053" t="str">
        <f>IFERROR(IF(OR(HLOOKUP($A1053,#REF!,9,FALSE)&gt;2,HLOOKUP($A1053,#REF!,9,FALSE)&lt;-2),"",#REF!),"")</f>
        <v/>
      </c>
      <c r="L1053" t="str">
        <f>IFERROR(IF(OR(HLOOKUP($A1053,#REF!,10,FALSE)&gt;2,HLOOKUP($A1053,#REF!,10,FALSE)&lt;-2),"",#REF!),"")</f>
        <v/>
      </c>
      <c r="M1053" t="str">
        <f>IFERROR(IF(OR(HLOOKUP($A1053,#REF!,11,FALSE)&gt;2,HLOOKUP($A1053,#REF!,11,FALSE)&lt;-2),"",#REF!),"")</f>
        <v/>
      </c>
      <c r="N1053" t="str">
        <f>IFERROR(IF(OR(HLOOKUP($A1053,#REF!,12,FALSE)&gt;2,HLOOKUP($A1053,#REF!,12,FALSE)&lt;-2),"",#REF!),"")</f>
        <v/>
      </c>
      <c r="O1053" t="str">
        <f>IFERROR(IF(OR(HLOOKUP($A1053,#REF!,13,FALSE)&gt;2,HLOOKUP($A1053,#REF!,13,FALSE)&lt;-2),"",#REF!),"")</f>
        <v/>
      </c>
      <c r="P1053" t="str">
        <f>IFERROR(IF(OR(HLOOKUP($A1053,#REF!,14,FALSE)&gt;2,HLOOKUP($A1053,#REF!,14,FALSE)&lt;-2),"",#REF!),"")</f>
        <v/>
      </c>
      <c r="Q1053" t="str">
        <f>IFERROR(IF(OR(HLOOKUP($A1053,#REF!,15,FALSE)&gt;2,HLOOKUP($A1053,#REF!,15,FALSE)&lt;-2),"",#REF!),"")</f>
        <v/>
      </c>
      <c r="R1053" t="str">
        <f>IFERROR(IF(OR(HLOOKUP($A1053,#REF!,16,FALSE)&gt;2,HLOOKUP($A1053,#REF!,16,FALSE)&lt;-2),"",#REF!),"")</f>
        <v/>
      </c>
      <c r="S1053" t="str">
        <f>IFERROR(IF(OR(HLOOKUP($A1053,#REF!,17,FALSE)&gt;2,HLOOKUP($A1053,#REF!,17,FALSE)&lt;-2),"",#REF!),"")</f>
        <v/>
      </c>
      <c r="T1053" t="str">
        <f>IFERROR(IF(OR(HLOOKUP($A1053,#REF!,18,FALSE)&gt;2,HLOOKUP($A1053,#REF!,18,FALSE)&lt;-2),"",#REF!),"")</f>
        <v/>
      </c>
      <c r="U1053" t="str">
        <f>IFERROR(IF(OR(HLOOKUP($A1053,#REF!,19,FALSE)&gt;2,HLOOKUP($A1053,#REF!,19,FALSE)&lt;-2),"",#REF!),"")</f>
        <v/>
      </c>
      <c r="V1053">
        <f t="shared" si="64"/>
        <v>1</v>
      </c>
      <c r="W1053" t="str">
        <f t="shared" si="65"/>
        <v/>
      </c>
      <c r="X1053" t="str">
        <f t="shared" si="66"/>
        <v/>
      </c>
      <c r="Y1053" t="str">
        <f t="shared" si="67"/>
        <v/>
      </c>
    </row>
    <row r="1054" spans="1:25" x14ac:dyDescent="0.35">
      <c r="A1054">
        <v>1063</v>
      </c>
      <c r="B1054" t="s">
        <v>1128</v>
      </c>
      <c r="C1054">
        <v>117300</v>
      </c>
      <c r="D1054">
        <v>1032</v>
      </c>
      <c r="E1054" t="str">
        <f>IFERROR(IF(OR(HLOOKUP($A1054,#REF!,3,FALSE)&gt;2,HLOOKUP(A1054,#REF!,3,FALSE)&lt;-2),"",#REF!),"")</f>
        <v/>
      </c>
      <c r="F1054" t="str">
        <f>IFERROR(IF(OR(HLOOKUP($A1054,#REF!,4,FALSE)&gt;2,HLOOKUP($A1054,#REF!,4,FALSE)&lt;-2),"",#REF!),"")</f>
        <v/>
      </c>
      <c r="G1054" t="str">
        <f>IFERROR(IF(OR(HLOOKUP($A1054,#REF!,5,FALSE)&gt;2,HLOOKUP($A1054,#REF!,5,FALSE)&lt;-2),"",#REF!),"")</f>
        <v/>
      </c>
      <c r="H1054" t="str">
        <f>IFERROR(IF(OR(HLOOKUP($A1054,#REF!,6,FALSE)&gt;2,HLOOKUP($A1054,#REF!,6,FALSE)&lt;-2),"",#REF!),"")</f>
        <v/>
      </c>
      <c r="I1054" t="str">
        <f>IFERROR(IF(OR(HLOOKUP($A1054,#REF!,7,FALSE)&gt;2,HLOOKUP($A1054,#REF!,7,FALSE)&lt;-2),"",#REF!),"")</f>
        <v/>
      </c>
      <c r="J1054" t="str">
        <f>IFERROR(IF(OR(HLOOKUP($A1054,#REF!,8,FALSE)&gt;2,HLOOKUP($A1054,#REF!,8,FALSE)&lt;-2),"",#REF!),"")</f>
        <v/>
      </c>
      <c r="K1054" t="str">
        <f>IFERROR(IF(OR(HLOOKUP($A1054,#REF!,9,FALSE)&gt;2,HLOOKUP($A1054,#REF!,9,FALSE)&lt;-2),"",#REF!),"")</f>
        <v/>
      </c>
      <c r="L1054" t="str">
        <f>IFERROR(IF(OR(HLOOKUP($A1054,#REF!,10,FALSE)&gt;2,HLOOKUP($A1054,#REF!,10,FALSE)&lt;-2),"",#REF!),"")</f>
        <v/>
      </c>
      <c r="M1054" t="str">
        <f>IFERROR(IF(OR(HLOOKUP($A1054,#REF!,11,FALSE)&gt;2,HLOOKUP($A1054,#REF!,11,FALSE)&lt;-2),"",#REF!),"")</f>
        <v/>
      </c>
      <c r="N1054" t="str">
        <f>IFERROR(IF(OR(HLOOKUP($A1054,#REF!,12,FALSE)&gt;2,HLOOKUP($A1054,#REF!,12,FALSE)&lt;-2),"",#REF!),"")</f>
        <v/>
      </c>
      <c r="O1054" t="str">
        <f>IFERROR(IF(OR(HLOOKUP($A1054,#REF!,13,FALSE)&gt;2,HLOOKUP($A1054,#REF!,13,FALSE)&lt;-2),"",#REF!),"")</f>
        <v/>
      </c>
      <c r="P1054" t="str">
        <f>IFERROR(IF(OR(HLOOKUP($A1054,#REF!,14,FALSE)&gt;2,HLOOKUP($A1054,#REF!,14,FALSE)&lt;-2),"",#REF!),"")</f>
        <v/>
      </c>
      <c r="Q1054" t="str">
        <f>IFERROR(IF(OR(HLOOKUP($A1054,#REF!,15,FALSE)&gt;2,HLOOKUP($A1054,#REF!,15,FALSE)&lt;-2),"",#REF!),"")</f>
        <v/>
      </c>
      <c r="R1054" t="str">
        <f>IFERROR(IF(OR(HLOOKUP($A1054,#REF!,16,FALSE)&gt;2,HLOOKUP($A1054,#REF!,16,FALSE)&lt;-2),"",#REF!),"")</f>
        <v/>
      </c>
      <c r="S1054" t="str">
        <f>IFERROR(IF(OR(HLOOKUP($A1054,#REF!,17,FALSE)&gt;2,HLOOKUP($A1054,#REF!,17,FALSE)&lt;-2),"",#REF!),"")</f>
        <v/>
      </c>
      <c r="T1054" t="str">
        <f>IFERROR(IF(OR(HLOOKUP($A1054,#REF!,18,FALSE)&gt;2,HLOOKUP($A1054,#REF!,18,FALSE)&lt;-2),"",#REF!),"")</f>
        <v/>
      </c>
      <c r="U1054" t="str">
        <f>IFERROR(IF(OR(HLOOKUP($A1054,#REF!,19,FALSE)&gt;2,HLOOKUP($A1054,#REF!,19,FALSE)&lt;-2),"",#REF!),"")</f>
        <v/>
      </c>
      <c r="V1054">
        <f t="shared" si="64"/>
        <v>1</v>
      </c>
      <c r="W1054" t="str">
        <f t="shared" si="65"/>
        <v/>
      </c>
      <c r="X1054" t="str">
        <f t="shared" si="66"/>
        <v/>
      </c>
      <c r="Y1054" t="str">
        <f t="shared" si="67"/>
        <v/>
      </c>
    </row>
    <row r="1055" spans="1:25" x14ac:dyDescent="0.35">
      <c r="A1055">
        <v>1064</v>
      </c>
      <c r="B1055" t="s">
        <v>1129</v>
      </c>
      <c r="C1055">
        <v>60600</v>
      </c>
      <c r="D1055">
        <v>1017</v>
      </c>
      <c r="E1055" t="str">
        <f>IFERROR(IF(OR(HLOOKUP($A1055,#REF!,3,FALSE)&gt;2,HLOOKUP(A1055,#REF!,3,FALSE)&lt;-2),"",#REF!),"")</f>
        <v/>
      </c>
      <c r="F1055" t="str">
        <f>IFERROR(IF(OR(HLOOKUP($A1055,#REF!,4,FALSE)&gt;2,HLOOKUP($A1055,#REF!,4,FALSE)&lt;-2),"",#REF!),"")</f>
        <v/>
      </c>
      <c r="G1055" t="str">
        <f>IFERROR(IF(OR(HLOOKUP($A1055,#REF!,5,FALSE)&gt;2,HLOOKUP($A1055,#REF!,5,FALSE)&lt;-2),"",#REF!),"")</f>
        <v/>
      </c>
      <c r="H1055" t="str">
        <f>IFERROR(IF(OR(HLOOKUP($A1055,#REF!,6,FALSE)&gt;2,HLOOKUP($A1055,#REF!,6,FALSE)&lt;-2),"",#REF!),"")</f>
        <v/>
      </c>
      <c r="I1055" t="str">
        <f>IFERROR(IF(OR(HLOOKUP($A1055,#REF!,7,FALSE)&gt;2,HLOOKUP($A1055,#REF!,7,FALSE)&lt;-2),"",#REF!),"")</f>
        <v/>
      </c>
      <c r="J1055" t="str">
        <f>IFERROR(IF(OR(HLOOKUP($A1055,#REF!,8,FALSE)&gt;2,HLOOKUP($A1055,#REF!,8,FALSE)&lt;-2),"",#REF!),"")</f>
        <v/>
      </c>
      <c r="K1055" t="str">
        <f>IFERROR(IF(OR(HLOOKUP($A1055,#REF!,9,FALSE)&gt;2,HLOOKUP($A1055,#REF!,9,FALSE)&lt;-2),"",#REF!),"")</f>
        <v/>
      </c>
      <c r="L1055" t="str">
        <f>IFERROR(IF(OR(HLOOKUP($A1055,#REF!,10,FALSE)&gt;2,HLOOKUP($A1055,#REF!,10,FALSE)&lt;-2),"",#REF!),"")</f>
        <v/>
      </c>
      <c r="M1055" t="str">
        <f>IFERROR(IF(OR(HLOOKUP($A1055,#REF!,11,FALSE)&gt;2,HLOOKUP($A1055,#REF!,11,FALSE)&lt;-2),"",#REF!),"")</f>
        <v/>
      </c>
      <c r="N1055" t="str">
        <f>IFERROR(IF(OR(HLOOKUP($A1055,#REF!,12,FALSE)&gt;2,HLOOKUP($A1055,#REF!,12,FALSE)&lt;-2),"",#REF!),"")</f>
        <v/>
      </c>
      <c r="O1055" t="str">
        <f>IFERROR(IF(OR(HLOOKUP($A1055,#REF!,13,FALSE)&gt;2,HLOOKUP($A1055,#REF!,13,FALSE)&lt;-2),"",#REF!),"")</f>
        <v/>
      </c>
      <c r="P1055" t="str">
        <f>IFERROR(IF(OR(HLOOKUP($A1055,#REF!,14,FALSE)&gt;2,HLOOKUP($A1055,#REF!,14,FALSE)&lt;-2),"",#REF!),"")</f>
        <v/>
      </c>
      <c r="Q1055" t="str">
        <f>IFERROR(IF(OR(HLOOKUP($A1055,#REF!,15,FALSE)&gt;2,HLOOKUP($A1055,#REF!,15,FALSE)&lt;-2),"",#REF!),"")</f>
        <v/>
      </c>
      <c r="R1055" t="str">
        <f>IFERROR(IF(OR(HLOOKUP($A1055,#REF!,16,FALSE)&gt;2,HLOOKUP($A1055,#REF!,16,FALSE)&lt;-2),"",#REF!),"")</f>
        <v/>
      </c>
      <c r="S1055" t="str">
        <f>IFERROR(IF(OR(HLOOKUP($A1055,#REF!,17,FALSE)&gt;2,HLOOKUP($A1055,#REF!,17,FALSE)&lt;-2),"",#REF!),"")</f>
        <v/>
      </c>
      <c r="T1055" t="str">
        <f>IFERROR(IF(OR(HLOOKUP($A1055,#REF!,18,FALSE)&gt;2,HLOOKUP($A1055,#REF!,18,FALSE)&lt;-2),"",#REF!),"")</f>
        <v/>
      </c>
      <c r="U1055" t="str">
        <f>IFERROR(IF(OR(HLOOKUP($A1055,#REF!,19,FALSE)&gt;2,HLOOKUP($A1055,#REF!,19,FALSE)&lt;-2),"",#REF!),"")</f>
        <v/>
      </c>
      <c r="V1055">
        <f t="shared" si="64"/>
        <v>1</v>
      </c>
      <c r="W1055" t="str">
        <f t="shared" si="65"/>
        <v/>
      </c>
      <c r="X1055" t="str">
        <f t="shared" si="66"/>
        <v/>
      </c>
      <c r="Y1055" t="str">
        <f t="shared" si="67"/>
        <v/>
      </c>
    </row>
    <row r="1056" spans="1:25" x14ac:dyDescent="0.35">
      <c r="A1056">
        <v>1065</v>
      </c>
      <c r="B1056" t="s">
        <v>1130</v>
      </c>
      <c r="C1056">
        <v>84600</v>
      </c>
      <c r="D1056">
        <v>343</v>
      </c>
      <c r="E1056" t="str">
        <f>IFERROR(IF(OR(HLOOKUP($A1056,#REF!,3,FALSE)&gt;2,HLOOKUP(A1056,#REF!,3,FALSE)&lt;-2),"",#REF!),"")</f>
        <v/>
      </c>
      <c r="F1056" t="str">
        <f>IFERROR(IF(OR(HLOOKUP($A1056,#REF!,4,FALSE)&gt;2,HLOOKUP($A1056,#REF!,4,FALSE)&lt;-2),"",#REF!),"")</f>
        <v/>
      </c>
      <c r="G1056" t="str">
        <f>IFERROR(IF(OR(HLOOKUP($A1056,#REF!,5,FALSE)&gt;2,HLOOKUP($A1056,#REF!,5,FALSE)&lt;-2),"",#REF!),"")</f>
        <v/>
      </c>
      <c r="H1056" t="str">
        <f>IFERROR(IF(OR(HLOOKUP($A1056,#REF!,6,FALSE)&gt;2,HLOOKUP($A1056,#REF!,6,FALSE)&lt;-2),"",#REF!),"")</f>
        <v/>
      </c>
      <c r="I1056" t="str">
        <f>IFERROR(IF(OR(HLOOKUP($A1056,#REF!,7,FALSE)&gt;2,HLOOKUP($A1056,#REF!,7,FALSE)&lt;-2),"",#REF!),"")</f>
        <v/>
      </c>
      <c r="J1056" t="str">
        <f>IFERROR(IF(OR(HLOOKUP($A1056,#REF!,8,FALSE)&gt;2,HLOOKUP($A1056,#REF!,8,FALSE)&lt;-2),"",#REF!),"")</f>
        <v/>
      </c>
      <c r="K1056" t="str">
        <f>IFERROR(IF(OR(HLOOKUP($A1056,#REF!,9,FALSE)&gt;2,HLOOKUP($A1056,#REF!,9,FALSE)&lt;-2),"",#REF!),"")</f>
        <v/>
      </c>
      <c r="L1056" t="str">
        <f>IFERROR(IF(OR(HLOOKUP($A1056,#REF!,10,FALSE)&gt;2,HLOOKUP($A1056,#REF!,10,FALSE)&lt;-2),"",#REF!),"")</f>
        <v/>
      </c>
      <c r="M1056" t="str">
        <f>IFERROR(IF(OR(HLOOKUP($A1056,#REF!,11,FALSE)&gt;2,HLOOKUP($A1056,#REF!,11,FALSE)&lt;-2),"",#REF!),"")</f>
        <v/>
      </c>
      <c r="N1056" t="str">
        <f>IFERROR(IF(OR(HLOOKUP($A1056,#REF!,12,FALSE)&gt;2,HLOOKUP($A1056,#REF!,12,FALSE)&lt;-2),"",#REF!),"")</f>
        <v/>
      </c>
      <c r="O1056" t="str">
        <f>IFERROR(IF(OR(HLOOKUP($A1056,#REF!,13,FALSE)&gt;2,HLOOKUP($A1056,#REF!,13,FALSE)&lt;-2),"",#REF!),"")</f>
        <v/>
      </c>
      <c r="P1056" t="str">
        <f>IFERROR(IF(OR(HLOOKUP($A1056,#REF!,14,FALSE)&gt;2,HLOOKUP($A1056,#REF!,14,FALSE)&lt;-2),"",#REF!),"")</f>
        <v/>
      </c>
      <c r="Q1056" t="str">
        <f>IFERROR(IF(OR(HLOOKUP($A1056,#REF!,15,FALSE)&gt;2,HLOOKUP($A1056,#REF!,15,FALSE)&lt;-2),"",#REF!),"")</f>
        <v/>
      </c>
      <c r="R1056" t="str">
        <f>IFERROR(IF(OR(HLOOKUP($A1056,#REF!,16,FALSE)&gt;2,HLOOKUP($A1056,#REF!,16,FALSE)&lt;-2),"",#REF!),"")</f>
        <v/>
      </c>
      <c r="S1056" t="str">
        <f>IFERROR(IF(OR(HLOOKUP($A1056,#REF!,17,FALSE)&gt;2,HLOOKUP($A1056,#REF!,17,FALSE)&lt;-2),"",#REF!),"")</f>
        <v/>
      </c>
      <c r="T1056" t="str">
        <f>IFERROR(IF(OR(HLOOKUP($A1056,#REF!,18,FALSE)&gt;2,HLOOKUP($A1056,#REF!,18,FALSE)&lt;-2),"",#REF!),"")</f>
        <v/>
      </c>
      <c r="U1056" t="str">
        <f>IFERROR(IF(OR(HLOOKUP($A1056,#REF!,19,FALSE)&gt;2,HLOOKUP($A1056,#REF!,19,FALSE)&lt;-2),"",#REF!),"")</f>
        <v/>
      </c>
      <c r="V1056">
        <f t="shared" si="64"/>
        <v>1</v>
      </c>
      <c r="W1056" t="str">
        <f t="shared" si="65"/>
        <v/>
      </c>
      <c r="X1056" t="str">
        <f t="shared" si="66"/>
        <v/>
      </c>
      <c r="Y1056" t="str">
        <f t="shared" si="67"/>
        <v/>
      </c>
    </row>
    <row r="1057" spans="1:25" x14ac:dyDescent="0.35">
      <c r="A1057">
        <v>1066</v>
      </c>
      <c r="B1057" t="s">
        <v>529</v>
      </c>
      <c r="C1057">
        <v>15000</v>
      </c>
      <c r="D1057">
        <v>394</v>
      </c>
      <c r="E1057" t="str">
        <f>IFERROR(IF(OR(HLOOKUP($A1057,#REF!,3,FALSE)&gt;2,HLOOKUP(A1057,#REF!,3,FALSE)&lt;-2),"",#REF!),"")</f>
        <v/>
      </c>
      <c r="F1057" t="str">
        <f>IFERROR(IF(OR(HLOOKUP($A1057,#REF!,4,FALSE)&gt;2,HLOOKUP($A1057,#REF!,4,FALSE)&lt;-2),"",#REF!),"")</f>
        <v/>
      </c>
      <c r="G1057" t="str">
        <f>IFERROR(IF(OR(HLOOKUP($A1057,#REF!,5,FALSE)&gt;2,HLOOKUP($A1057,#REF!,5,FALSE)&lt;-2),"",#REF!),"")</f>
        <v/>
      </c>
      <c r="H1057" t="str">
        <f>IFERROR(IF(OR(HLOOKUP($A1057,#REF!,6,FALSE)&gt;2,HLOOKUP($A1057,#REF!,6,FALSE)&lt;-2),"",#REF!),"")</f>
        <v/>
      </c>
      <c r="I1057" t="str">
        <f>IFERROR(IF(OR(HLOOKUP($A1057,#REF!,7,FALSE)&gt;2,HLOOKUP($A1057,#REF!,7,FALSE)&lt;-2),"",#REF!),"")</f>
        <v/>
      </c>
      <c r="J1057" t="str">
        <f>IFERROR(IF(OR(HLOOKUP($A1057,#REF!,8,FALSE)&gt;2,HLOOKUP($A1057,#REF!,8,FALSE)&lt;-2),"",#REF!),"")</f>
        <v/>
      </c>
      <c r="K1057" t="str">
        <f>IFERROR(IF(OR(HLOOKUP($A1057,#REF!,9,FALSE)&gt;2,HLOOKUP($A1057,#REF!,9,FALSE)&lt;-2),"",#REF!),"")</f>
        <v/>
      </c>
      <c r="L1057" t="str">
        <f>IFERROR(IF(OR(HLOOKUP($A1057,#REF!,10,FALSE)&gt;2,HLOOKUP($A1057,#REF!,10,FALSE)&lt;-2),"",#REF!),"")</f>
        <v/>
      </c>
      <c r="M1057" t="str">
        <f>IFERROR(IF(OR(HLOOKUP($A1057,#REF!,11,FALSE)&gt;2,HLOOKUP($A1057,#REF!,11,FALSE)&lt;-2),"",#REF!),"")</f>
        <v/>
      </c>
      <c r="N1057" t="str">
        <f>IFERROR(IF(OR(HLOOKUP($A1057,#REF!,12,FALSE)&gt;2,HLOOKUP($A1057,#REF!,12,FALSE)&lt;-2),"",#REF!),"")</f>
        <v/>
      </c>
      <c r="O1057" t="str">
        <f>IFERROR(IF(OR(HLOOKUP($A1057,#REF!,13,FALSE)&gt;2,HLOOKUP($A1057,#REF!,13,FALSE)&lt;-2),"",#REF!),"")</f>
        <v/>
      </c>
      <c r="P1057" t="str">
        <f>IFERROR(IF(OR(HLOOKUP($A1057,#REF!,14,FALSE)&gt;2,HLOOKUP($A1057,#REF!,14,FALSE)&lt;-2),"",#REF!),"")</f>
        <v/>
      </c>
      <c r="Q1057" t="str">
        <f>IFERROR(IF(OR(HLOOKUP($A1057,#REF!,15,FALSE)&gt;2,HLOOKUP($A1057,#REF!,15,FALSE)&lt;-2),"",#REF!),"")</f>
        <v/>
      </c>
      <c r="R1057" t="str">
        <f>IFERROR(IF(OR(HLOOKUP($A1057,#REF!,16,FALSE)&gt;2,HLOOKUP($A1057,#REF!,16,FALSE)&lt;-2),"",#REF!),"")</f>
        <v/>
      </c>
      <c r="S1057" t="str">
        <f>IFERROR(IF(OR(HLOOKUP($A1057,#REF!,17,FALSE)&gt;2,HLOOKUP($A1057,#REF!,17,FALSE)&lt;-2),"",#REF!),"")</f>
        <v/>
      </c>
      <c r="T1057" t="str">
        <f>IFERROR(IF(OR(HLOOKUP($A1057,#REF!,18,FALSE)&gt;2,HLOOKUP($A1057,#REF!,18,FALSE)&lt;-2),"",#REF!),"")</f>
        <v/>
      </c>
      <c r="U1057" t="str">
        <f>IFERROR(IF(OR(HLOOKUP($A1057,#REF!,19,FALSE)&gt;2,HLOOKUP($A1057,#REF!,19,FALSE)&lt;-2),"",#REF!),"")</f>
        <v/>
      </c>
      <c r="V1057">
        <f t="shared" si="64"/>
        <v>1</v>
      </c>
      <c r="W1057" t="str">
        <f t="shared" si="65"/>
        <v/>
      </c>
      <c r="X1057" t="str">
        <f t="shared" si="66"/>
        <v/>
      </c>
      <c r="Y1057" t="str">
        <f t="shared" si="67"/>
        <v/>
      </c>
    </row>
    <row r="1058" spans="1:25" x14ac:dyDescent="0.35">
      <c r="A1058">
        <v>1067</v>
      </c>
      <c r="B1058" t="s">
        <v>1131</v>
      </c>
      <c r="C1058">
        <v>32700</v>
      </c>
      <c r="D1058">
        <v>589</v>
      </c>
      <c r="E1058" t="str">
        <f>IFERROR(IF(OR(HLOOKUP($A1058,#REF!,3,FALSE)&gt;2,HLOOKUP(A1058,#REF!,3,FALSE)&lt;-2),"",#REF!),"")</f>
        <v/>
      </c>
      <c r="F1058" t="str">
        <f>IFERROR(IF(OR(HLOOKUP($A1058,#REF!,4,FALSE)&gt;2,HLOOKUP($A1058,#REF!,4,FALSE)&lt;-2),"",#REF!),"")</f>
        <v/>
      </c>
      <c r="G1058" t="str">
        <f>IFERROR(IF(OR(HLOOKUP($A1058,#REF!,5,FALSE)&gt;2,HLOOKUP($A1058,#REF!,5,FALSE)&lt;-2),"",#REF!),"")</f>
        <v/>
      </c>
      <c r="H1058" t="str">
        <f>IFERROR(IF(OR(HLOOKUP($A1058,#REF!,6,FALSE)&gt;2,HLOOKUP($A1058,#REF!,6,FALSE)&lt;-2),"",#REF!),"")</f>
        <v/>
      </c>
      <c r="I1058" t="str">
        <f>IFERROR(IF(OR(HLOOKUP($A1058,#REF!,7,FALSE)&gt;2,HLOOKUP($A1058,#REF!,7,FALSE)&lt;-2),"",#REF!),"")</f>
        <v/>
      </c>
      <c r="J1058" t="str">
        <f>IFERROR(IF(OR(HLOOKUP($A1058,#REF!,8,FALSE)&gt;2,HLOOKUP($A1058,#REF!,8,FALSE)&lt;-2),"",#REF!),"")</f>
        <v/>
      </c>
      <c r="K1058" t="str">
        <f>IFERROR(IF(OR(HLOOKUP($A1058,#REF!,9,FALSE)&gt;2,HLOOKUP($A1058,#REF!,9,FALSE)&lt;-2),"",#REF!),"")</f>
        <v/>
      </c>
      <c r="L1058" t="str">
        <f>IFERROR(IF(OR(HLOOKUP($A1058,#REF!,10,FALSE)&gt;2,HLOOKUP($A1058,#REF!,10,FALSE)&lt;-2),"",#REF!),"")</f>
        <v/>
      </c>
      <c r="M1058" t="str">
        <f>IFERROR(IF(OR(HLOOKUP($A1058,#REF!,11,FALSE)&gt;2,HLOOKUP($A1058,#REF!,11,FALSE)&lt;-2),"",#REF!),"")</f>
        <v/>
      </c>
      <c r="N1058" t="str">
        <f>IFERROR(IF(OR(HLOOKUP($A1058,#REF!,12,FALSE)&gt;2,HLOOKUP($A1058,#REF!,12,FALSE)&lt;-2),"",#REF!),"")</f>
        <v/>
      </c>
      <c r="O1058" t="str">
        <f>IFERROR(IF(OR(HLOOKUP($A1058,#REF!,13,FALSE)&gt;2,HLOOKUP($A1058,#REF!,13,FALSE)&lt;-2),"",#REF!),"")</f>
        <v/>
      </c>
      <c r="P1058" t="str">
        <f>IFERROR(IF(OR(HLOOKUP($A1058,#REF!,14,FALSE)&gt;2,HLOOKUP($A1058,#REF!,14,FALSE)&lt;-2),"",#REF!),"")</f>
        <v/>
      </c>
      <c r="Q1058" t="str">
        <f>IFERROR(IF(OR(HLOOKUP($A1058,#REF!,15,FALSE)&gt;2,HLOOKUP($A1058,#REF!,15,FALSE)&lt;-2),"",#REF!),"")</f>
        <v/>
      </c>
      <c r="R1058" t="str">
        <f>IFERROR(IF(OR(HLOOKUP($A1058,#REF!,16,FALSE)&gt;2,HLOOKUP($A1058,#REF!,16,FALSE)&lt;-2),"",#REF!),"")</f>
        <v/>
      </c>
      <c r="S1058" t="str">
        <f>IFERROR(IF(OR(HLOOKUP($A1058,#REF!,17,FALSE)&gt;2,HLOOKUP($A1058,#REF!,17,FALSE)&lt;-2),"",#REF!),"")</f>
        <v/>
      </c>
      <c r="T1058" t="str">
        <f>IFERROR(IF(OR(HLOOKUP($A1058,#REF!,18,FALSE)&gt;2,HLOOKUP($A1058,#REF!,18,FALSE)&lt;-2),"",#REF!),"")</f>
        <v/>
      </c>
      <c r="U1058" t="str">
        <f>IFERROR(IF(OR(HLOOKUP($A1058,#REF!,19,FALSE)&gt;2,HLOOKUP($A1058,#REF!,19,FALSE)&lt;-2),"",#REF!),"")</f>
        <v/>
      </c>
      <c r="V1058">
        <f t="shared" si="64"/>
        <v>1</v>
      </c>
      <c r="W1058" t="str">
        <f t="shared" si="65"/>
        <v/>
      </c>
      <c r="X1058" t="str">
        <f t="shared" si="66"/>
        <v/>
      </c>
      <c r="Y1058" t="str">
        <f t="shared" si="67"/>
        <v/>
      </c>
    </row>
    <row r="1059" spans="1:25" x14ac:dyDescent="0.35">
      <c r="A1059">
        <v>1068</v>
      </c>
      <c r="B1059" t="s">
        <v>1132</v>
      </c>
      <c r="C1059">
        <v>114800</v>
      </c>
      <c r="D1059">
        <v>824</v>
      </c>
      <c r="E1059" t="str">
        <f>IFERROR(IF(OR(HLOOKUP($A1059,#REF!,3,FALSE)&gt;2,HLOOKUP(A1059,#REF!,3,FALSE)&lt;-2),"",#REF!),"")</f>
        <v/>
      </c>
      <c r="F1059" t="str">
        <f>IFERROR(IF(OR(HLOOKUP($A1059,#REF!,4,FALSE)&gt;2,HLOOKUP($A1059,#REF!,4,FALSE)&lt;-2),"",#REF!),"")</f>
        <v/>
      </c>
      <c r="G1059" t="str">
        <f>IFERROR(IF(OR(HLOOKUP($A1059,#REF!,5,FALSE)&gt;2,HLOOKUP($A1059,#REF!,5,FALSE)&lt;-2),"",#REF!),"")</f>
        <v/>
      </c>
      <c r="H1059" t="str">
        <f>IFERROR(IF(OR(HLOOKUP($A1059,#REF!,6,FALSE)&gt;2,HLOOKUP($A1059,#REF!,6,FALSE)&lt;-2),"",#REF!),"")</f>
        <v/>
      </c>
      <c r="I1059" t="str">
        <f>IFERROR(IF(OR(HLOOKUP($A1059,#REF!,7,FALSE)&gt;2,HLOOKUP($A1059,#REF!,7,FALSE)&lt;-2),"",#REF!),"")</f>
        <v/>
      </c>
      <c r="J1059" t="str">
        <f>IFERROR(IF(OR(HLOOKUP($A1059,#REF!,8,FALSE)&gt;2,HLOOKUP($A1059,#REF!,8,FALSE)&lt;-2),"",#REF!),"")</f>
        <v/>
      </c>
      <c r="K1059" t="str">
        <f>IFERROR(IF(OR(HLOOKUP($A1059,#REF!,9,FALSE)&gt;2,HLOOKUP($A1059,#REF!,9,FALSE)&lt;-2),"",#REF!),"")</f>
        <v/>
      </c>
      <c r="L1059" t="str">
        <f>IFERROR(IF(OR(HLOOKUP($A1059,#REF!,10,FALSE)&gt;2,HLOOKUP($A1059,#REF!,10,FALSE)&lt;-2),"",#REF!),"")</f>
        <v/>
      </c>
      <c r="M1059" t="str">
        <f>IFERROR(IF(OR(HLOOKUP($A1059,#REF!,11,FALSE)&gt;2,HLOOKUP($A1059,#REF!,11,FALSE)&lt;-2),"",#REF!),"")</f>
        <v/>
      </c>
      <c r="N1059" t="str">
        <f>IFERROR(IF(OR(HLOOKUP($A1059,#REF!,12,FALSE)&gt;2,HLOOKUP($A1059,#REF!,12,FALSE)&lt;-2),"",#REF!),"")</f>
        <v/>
      </c>
      <c r="O1059" t="str">
        <f>IFERROR(IF(OR(HLOOKUP($A1059,#REF!,13,FALSE)&gt;2,HLOOKUP($A1059,#REF!,13,FALSE)&lt;-2),"",#REF!),"")</f>
        <v/>
      </c>
      <c r="P1059" t="str">
        <f>IFERROR(IF(OR(HLOOKUP($A1059,#REF!,14,FALSE)&gt;2,HLOOKUP($A1059,#REF!,14,FALSE)&lt;-2),"",#REF!),"")</f>
        <v/>
      </c>
      <c r="Q1059" t="str">
        <f>IFERROR(IF(OR(HLOOKUP($A1059,#REF!,15,FALSE)&gt;2,HLOOKUP($A1059,#REF!,15,FALSE)&lt;-2),"",#REF!),"")</f>
        <v/>
      </c>
      <c r="R1059" t="str">
        <f>IFERROR(IF(OR(HLOOKUP($A1059,#REF!,16,FALSE)&gt;2,HLOOKUP($A1059,#REF!,16,FALSE)&lt;-2),"",#REF!),"")</f>
        <v/>
      </c>
      <c r="S1059" t="str">
        <f>IFERROR(IF(OR(HLOOKUP($A1059,#REF!,17,FALSE)&gt;2,HLOOKUP($A1059,#REF!,17,FALSE)&lt;-2),"",#REF!),"")</f>
        <v/>
      </c>
      <c r="T1059" t="str">
        <f>IFERROR(IF(OR(HLOOKUP($A1059,#REF!,18,FALSE)&gt;2,HLOOKUP($A1059,#REF!,18,FALSE)&lt;-2),"",#REF!),"")</f>
        <v/>
      </c>
      <c r="U1059" t="str">
        <f>IFERROR(IF(OR(HLOOKUP($A1059,#REF!,19,FALSE)&gt;2,HLOOKUP($A1059,#REF!,19,FALSE)&lt;-2),"",#REF!),"")</f>
        <v/>
      </c>
      <c r="V1059">
        <f t="shared" si="64"/>
        <v>1</v>
      </c>
      <c r="W1059" t="str">
        <f t="shared" si="65"/>
        <v/>
      </c>
      <c r="X1059" t="str">
        <f t="shared" si="66"/>
        <v/>
      </c>
      <c r="Y1059" t="str">
        <f t="shared" si="67"/>
        <v/>
      </c>
    </row>
    <row r="1060" spans="1:25" x14ac:dyDescent="0.35">
      <c r="A1060">
        <v>1069</v>
      </c>
      <c r="B1060" t="s">
        <v>530</v>
      </c>
      <c r="C1060">
        <v>95600</v>
      </c>
      <c r="D1060">
        <v>370</v>
      </c>
      <c r="E1060" t="str">
        <f>IFERROR(IF(OR(HLOOKUP($A1060,#REF!,3,FALSE)&gt;2,HLOOKUP(A1060,#REF!,3,FALSE)&lt;-2),"",#REF!),"")</f>
        <v/>
      </c>
      <c r="F1060" t="str">
        <f>IFERROR(IF(OR(HLOOKUP($A1060,#REF!,4,FALSE)&gt;2,HLOOKUP($A1060,#REF!,4,FALSE)&lt;-2),"",#REF!),"")</f>
        <v/>
      </c>
      <c r="G1060" t="str">
        <f>IFERROR(IF(OR(HLOOKUP($A1060,#REF!,5,FALSE)&gt;2,HLOOKUP($A1060,#REF!,5,FALSE)&lt;-2),"",#REF!),"")</f>
        <v/>
      </c>
      <c r="H1060" t="str">
        <f>IFERROR(IF(OR(HLOOKUP($A1060,#REF!,6,FALSE)&gt;2,HLOOKUP($A1060,#REF!,6,FALSE)&lt;-2),"",#REF!),"")</f>
        <v/>
      </c>
      <c r="I1060" t="str">
        <f>IFERROR(IF(OR(HLOOKUP($A1060,#REF!,7,FALSE)&gt;2,HLOOKUP($A1060,#REF!,7,FALSE)&lt;-2),"",#REF!),"")</f>
        <v/>
      </c>
      <c r="J1060" t="str">
        <f>IFERROR(IF(OR(HLOOKUP($A1060,#REF!,8,FALSE)&gt;2,HLOOKUP($A1060,#REF!,8,FALSE)&lt;-2),"",#REF!),"")</f>
        <v/>
      </c>
      <c r="K1060" t="str">
        <f>IFERROR(IF(OR(HLOOKUP($A1060,#REF!,9,FALSE)&gt;2,HLOOKUP($A1060,#REF!,9,FALSE)&lt;-2),"",#REF!),"")</f>
        <v/>
      </c>
      <c r="L1060" t="str">
        <f>IFERROR(IF(OR(HLOOKUP($A1060,#REF!,10,FALSE)&gt;2,HLOOKUP($A1060,#REF!,10,FALSE)&lt;-2),"",#REF!),"")</f>
        <v/>
      </c>
      <c r="M1060" t="str">
        <f>IFERROR(IF(OR(HLOOKUP($A1060,#REF!,11,FALSE)&gt;2,HLOOKUP($A1060,#REF!,11,FALSE)&lt;-2),"",#REF!),"")</f>
        <v/>
      </c>
      <c r="N1060" t="str">
        <f>IFERROR(IF(OR(HLOOKUP($A1060,#REF!,12,FALSE)&gt;2,HLOOKUP($A1060,#REF!,12,FALSE)&lt;-2),"",#REF!),"")</f>
        <v/>
      </c>
      <c r="O1060" t="str">
        <f>IFERROR(IF(OR(HLOOKUP($A1060,#REF!,13,FALSE)&gt;2,HLOOKUP($A1060,#REF!,13,FALSE)&lt;-2),"",#REF!),"")</f>
        <v/>
      </c>
      <c r="P1060" t="str">
        <f>IFERROR(IF(OR(HLOOKUP($A1060,#REF!,14,FALSE)&gt;2,HLOOKUP($A1060,#REF!,14,FALSE)&lt;-2),"",#REF!),"")</f>
        <v/>
      </c>
      <c r="Q1060" t="str">
        <f>IFERROR(IF(OR(HLOOKUP($A1060,#REF!,15,FALSE)&gt;2,HLOOKUP($A1060,#REF!,15,FALSE)&lt;-2),"",#REF!),"")</f>
        <v/>
      </c>
      <c r="R1060" t="str">
        <f>IFERROR(IF(OR(HLOOKUP($A1060,#REF!,16,FALSE)&gt;2,HLOOKUP($A1060,#REF!,16,FALSE)&lt;-2),"",#REF!),"")</f>
        <v/>
      </c>
      <c r="S1060" t="str">
        <f>IFERROR(IF(OR(HLOOKUP($A1060,#REF!,17,FALSE)&gt;2,HLOOKUP($A1060,#REF!,17,FALSE)&lt;-2),"",#REF!),"")</f>
        <v/>
      </c>
      <c r="T1060" t="str">
        <f>IFERROR(IF(OR(HLOOKUP($A1060,#REF!,18,FALSE)&gt;2,HLOOKUP($A1060,#REF!,18,FALSE)&lt;-2),"",#REF!),"")</f>
        <v/>
      </c>
      <c r="U1060" t="str">
        <f>IFERROR(IF(OR(HLOOKUP($A1060,#REF!,19,FALSE)&gt;2,HLOOKUP($A1060,#REF!,19,FALSE)&lt;-2),"",#REF!),"")</f>
        <v/>
      </c>
      <c r="V1060">
        <f t="shared" si="64"/>
        <v>1</v>
      </c>
      <c r="W1060" t="str">
        <f t="shared" si="65"/>
        <v/>
      </c>
      <c r="X1060" t="str">
        <f t="shared" si="66"/>
        <v/>
      </c>
      <c r="Y1060" t="str">
        <f t="shared" si="67"/>
        <v/>
      </c>
    </row>
    <row r="1061" spans="1:25" x14ac:dyDescent="0.35">
      <c r="A1061">
        <v>1070</v>
      </c>
      <c r="B1061" t="s">
        <v>1133</v>
      </c>
      <c r="C1061">
        <v>4600</v>
      </c>
      <c r="D1061">
        <v>329</v>
      </c>
      <c r="E1061" t="str">
        <f>IFERROR(IF(OR(HLOOKUP($A1061,#REF!,3,FALSE)&gt;2,HLOOKUP(A1061,#REF!,3,FALSE)&lt;-2),"",#REF!),"")</f>
        <v/>
      </c>
      <c r="F1061" t="str">
        <f>IFERROR(IF(OR(HLOOKUP($A1061,#REF!,4,FALSE)&gt;2,HLOOKUP($A1061,#REF!,4,FALSE)&lt;-2),"",#REF!),"")</f>
        <v/>
      </c>
      <c r="G1061" t="str">
        <f>IFERROR(IF(OR(HLOOKUP($A1061,#REF!,5,FALSE)&gt;2,HLOOKUP($A1061,#REF!,5,FALSE)&lt;-2),"",#REF!),"")</f>
        <v/>
      </c>
      <c r="H1061" t="str">
        <f>IFERROR(IF(OR(HLOOKUP($A1061,#REF!,6,FALSE)&gt;2,HLOOKUP($A1061,#REF!,6,FALSE)&lt;-2),"",#REF!),"")</f>
        <v/>
      </c>
      <c r="I1061" t="str">
        <f>IFERROR(IF(OR(HLOOKUP($A1061,#REF!,7,FALSE)&gt;2,HLOOKUP($A1061,#REF!,7,FALSE)&lt;-2),"",#REF!),"")</f>
        <v/>
      </c>
      <c r="J1061" t="str">
        <f>IFERROR(IF(OR(HLOOKUP($A1061,#REF!,8,FALSE)&gt;2,HLOOKUP($A1061,#REF!,8,FALSE)&lt;-2),"",#REF!),"")</f>
        <v/>
      </c>
      <c r="K1061" t="str">
        <f>IFERROR(IF(OR(HLOOKUP($A1061,#REF!,9,FALSE)&gt;2,HLOOKUP($A1061,#REF!,9,FALSE)&lt;-2),"",#REF!),"")</f>
        <v/>
      </c>
      <c r="L1061" t="str">
        <f>IFERROR(IF(OR(HLOOKUP($A1061,#REF!,10,FALSE)&gt;2,HLOOKUP($A1061,#REF!,10,FALSE)&lt;-2),"",#REF!),"")</f>
        <v/>
      </c>
      <c r="M1061" t="str">
        <f>IFERROR(IF(OR(HLOOKUP($A1061,#REF!,11,FALSE)&gt;2,HLOOKUP($A1061,#REF!,11,FALSE)&lt;-2),"",#REF!),"")</f>
        <v/>
      </c>
      <c r="N1061" t="str">
        <f>IFERROR(IF(OR(HLOOKUP($A1061,#REF!,12,FALSE)&gt;2,HLOOKUP($A1061,#REF!,12,FALSE)&lt;-2),"",#REF!),"")</f>
        <v/>
      </c>
      <c r="O1061" t="str">
        <f>IFERROR(IF(OR(HLOOKUP($A1061,#REF!,13,FALSE)&gt;2,HLOOKUP($A1061,#REF!,13,FALSE)&lt;-2),"",#REF!),"")</f>
        <v/>
      </c>
      <c r="P1061" t="str">
        <f>IFERROR(IF(OR(HLOOKUP($A1061,#REF!,14,FALSE)&gt;2,HLOOKUP($A1061,#REF!,14,FALSE)&lt;-2),"",#REF!),"")</f>
        <v/>
      </c>
      <c r="Q1061" t="str">
        <f>IFERROR(IF(OR(HLOOKUP($A1061,#REF!,15,FALSE)&gt;2,HLOOKUP($A1061,#REF!,15,FALSE)&lt;-2),"",#REF!),"")</f>
        <v/>
      </c>
      <c r="R1061" t="str">
        <f>IFERROR(IF(OR(HLOOKUP($A1061,#REF!,16,FALSE)&gt;2,HLOOKUP($A1061,#REF!,16,FALSE)&lt;-2),"",#REF!),"")</f>
        <v/>
      </c>
      <c r="S1061" t="str">
        <f>IFERROR(IF(OR(HLOOKUP($A1061,#REF!,17,FALSE)&gt;2,HLOOKUP($A1061,#REF!,17,FALSE)&lt;-2),"",#REF!),"")</f>
        <v/>
      </c>
      <c r="T1061" t="str">
        <f>IFERROR(IF(OR(HLOOKUP($A1061,#REF!,18,FALSE)&gt;2,HLOOKUP($A1061,#REF!,18,FALSE)&lt;-2),"",#REF!),"")</f>
        <v/>
      </c>
      <c r="U1061" t="str">
        <f>IFERROR(IF(OR(HLOOKUP($A1061,#REF!,19,FALSE)&gt;2,HLOOKUP($A1061,#REF!,19,FALSE)&lt;-2),"",#REF!),"")</f>
        <v/>
      </c>
      <c r="V1061">
        <f t="shared" si="64"/>
        <v>1</v>
      </c>
      <c r="W1061" t="str">
        <f t="shared" si="65"/>
        <v/>
      </c>
      <c r="X1061" t="str">
        <f t="shared" si="66"/>
        <v/>
      </c>
      <c r="Y1061" t="str">
        <f t="shared" si="67"/>
        <v/>
      </c>
    </row>
    <row r="1062" spans="1:25" x14ac:dyDescent="0.35">
      <c r="A1062">
        <v>1071</v>
      </c>
      <c r="B1062" t="s">
        <v>1134</v>
      </c>
      <c r="C1062">
        <v>117400</v>
      </c>
      <c r="D1062">
        <v>1032</v>
      </c>
      <c r="E1062" t="str">
        <f>IFERROR(IF(OR(HLOOKUP($A1062,#REF!,3,FALSE)&gt;2,HLOOKUP(A1062,#REF!,3,FALSE)&lt;-2),"",#REF!),"")</f>
        <v/>
      </c>
      <c r="F1062" t="str">
        <f>IFERROR(IF(OR(HLOOKUP($A1062,#REF!,4,FALSE)&gt;2,HLOOKUP($A1062,#REF!,4,FALSE)&lt;-2),"",#REF!),"")</f>
        <v/>
      </c>
      <c r="G1062" t="str">
        <f>IFERROR(IF(OR(HLOOKUP($A1062,#REF!,5,FALSE)&gt;2,HLOOKUP($A1062,#REF!,5,FALSE)&lt;-2),"",#REF!),"")</f>
        <v/>
      </c>
      <c r="H1062" t="str">
        <f>IFERROR(IF(OR(HLOOKUP($A1062,#REF!,6,FALSE)&gt;2,HLOOKUP($A1062,#REF!,6,FALSE)&lt;-2),"",#REF!),"")</f>
        <v/>
      </c>
      <c r="I1062" t="str">
        <f>IFERROR(IF(OR(HLOOKUP($A1062,#REF!,7,FALSE)&gt;2,HLOOKUP($A1062,#REF!,7,FALSE)&lt;-2),"",#REF!),"")</f>
        <v/>
      </c>
      <c r="J1062" t="str">
        <f>IFERROR(IF(OR(HLOOKUP($A1062,#REF!,8,FALSE)&gt;2,HLOOKUP($A1062,#REF!,8,FALSE)&lt;-2),"",#REF!),"")</f>
        <v/>
      </c>
      <c r="K1062" t="str">
        <f>IFERROR(IF(OR(HLOOKUP($A1062,#REF!,9,FALSE)&gt;2,HLOOKUP($A1062,#REF!,9,FALSE)&lt;-2),"",#REF!),"")</f>
        <v/>
      </c>
      <c r="L1062" t="str">
        <f>IFERROR(IF(OR(HLOOKUP($A1062,#REF!,10,FALSE)&gt;2,HLOOKUP($A1062,#REF!,10,FALSE)&lt;-2),"",#REF!),"")</f>
        <v/>
      </c>
      <c r="M1062" t="str">
        <f>IFERROR(IF(OR(HLOOKUP($A1062,#REF!,11,FALSE)&gt;2,HLOOKUP($A1062,#REF!,11,FALSE)&lt;-2),"",#REF!),"")</f>
        <v/>
      </c>
      <c r="N1062" t="str">
        <f>IFERROR(IF(OR(HLOOKUP($A1062,#REF!,12,FALSE)&gt;2,HLOOKUP($A1062,#REF!,12,FALSE)&lt;-2),"",#REF!),"")</f>
        <v/>
      </c>
      <c r="O1062" t="str">
        <f>IFERROR(IF(OR(HLOOKUP($A1062,#REF!,13,FALSE)&gt;2,HLOOKUP($A1062,#REF!,13,FALSE)&lt;-2),"",#REF!),"")</f>
        <v/>
      </c>
      <c r="P1062" t="str">
        <f>IFERROR(IF(OR(HLOOKUP($A1062,#REF!,14,FALSE)&gt;2,HLOOKUP($A1062,#REF!,14,FALSE)&lt;-2),"",#REF!),"")</f>
        <v/>
      </c>
      <c r="Q1062" t="str">
        <f>IFERROR(IF(OR(HLOOKUP($A1062,#REF!,15,FALSE)&gt;2,HLOOKUP($A1062,#REF!,15,FALSE)&lt;-2),"",#REF!),"")</f>
        <v/>
      </c>
      <c r="R1062" t="str">
        <f>IFERROR(IF(OR(HLOOKUP($A1062,#REF!,16,FALSE)&gt;2,HLOOKUP($A1062,#REF!,16,FALSE)&lt;-2),"",#REF!),"")</f>
        <v/>
      </c>
      <c r="S1062" t="str">
        <f>IFERROR(IF(OR(HLOOKUP($A1062,#REF!,17,FALSE)&gt;2,HLOOKUP($A1062,#REF!,17,FALSE)&lt;-2),"",#REF!),"")</f>
        <v/>
      </c>
      <c r="T1062" t="str">
        <f>IFERROR(IF(OR(HLOOKUP($A1062,#REF!,18,FALSE)&gt;2,HLOOKUP($A1062,#REF!,18,FALSE)&lt;-2),"",#REF!),"")</f>
        <v/>
      </c>
      <c r="U1062" t="str">
        <f>IFERROR(IF(OR(HLOOKUP($A1062,#REF!,19,FALSE)&gt;2,HLOOKUP($A1062,#REF!,19,FALSE)&lt;-2),"",#REF!),"")</f>
        <v/>
      </c>
      <c r="V1062">
        <f t="shared" si="64"/>
        <v>1</v>
      </c>
      <c r="W1062" t="str">
        <f t="shared" si="65"/>
        <v/>
      </c>
      <c r="X1062" t="str">
        <f t="shared" si="66"/>
        <v/>
      </c>
      <c r="Y1062" t="str">
        <f t="shared" si="67"/>
        <v/>
      </c>
    </row>
    <row r="1063" spans="1:25" x14ac:dyDescent="0.35">
      <c r="A1063">
        <v>1072</v>
      </c>
      <c r="B1063" t="s">
        <v>1135</v>
      </c>
      <c r="C1063">
        <v>65200</v>
      </c>
      <c r="D1063">
        <v>475</v>
      </c>
      <c r="E1063" t="str">
        <f>IFERROR(IF(OR(HLOOKUP($A1063,#REF!,3,FALSE)&gt;2,HLOOKUP(A1063,#REF!,3,FALSE)&lt;-2),"",#REF!),"")</f>
        <v/>
      </c>
      <c r="F1063" t="str">
        <f>IFERROR(IF(OR(HLOOKUP($A1063,#REF!,4,FALSE)&gt;2,HLOOKUP($A1063,#REF!,4,FALSE)&lt;-2),"",#REF!),"")</f>
        <v/>
      </c>
      <c r="G1063" t="str">
        <f>IFERROR(IF(OR(HLOOKUP($A1063,#REF!,5,FALSE)&gt;2,HLOOKUP($A1063,#REF!,5,FALSE)&lt;-2),"",#REF!),"")</f>
        <v/>
      </c>
      <c r="H1063" t="str">
        <f>IFERROR(IF(OR(HLOOKUP($A1063,#REF!,6,FALSE)&gt;2,HLOOKUP($A1063,#REF!,6,FALSE)&lt;-2),"",#REF!),"")</f>
        <v/>
      </c>
      <c r="I1063" t="str">
        <f>IFERROR(IF(OR(HLOOKUP($A1063,#REF!,7,FALSE)&gt;2,HLOOKUP($A1063,#REF!,7,FALSE)&lt;-2),"",#REF!),"")</f>
        <v/>
      </c>
      <c r="J1063" t="str">
        <f>IFERROR(IF(OR(HLOOKUP($A1063,#REF!,8,FALSE)&gt;2,HLOOKUP($A1063,#REF!,8,FALSE)&lt;-2),"",#REF!),"")</f>
        <v/>
      </c>
      <c r="K1063" t="str">
        <f>IFERROR(IF(OR(HLOOKUP($A1063,#REF!,9,FALSE)&gt;2,HLOOKUP($A1063,#REF!,9,FALSE)&lt;-2),"",#REF!),"")</f>
        <v/>
      </c>
      <c r="L1063" t="str">
        <f>IFERROR(IF(OR(HLOOKUP($A1063,#REF!,10,FALSE)&gt;2,HLOOKUP($A1063,#REF!,10,FALSE)&lt;-2),"",#REF!),"")</f>
        <v/>
      </c>
      <c r="M1063" t="str">
        <f>IFERROR(IF(OR(HLOOKUP($A1063,#REF!,11,FALSE)&gt;2,HLOOKUP($A1063,#REF!,11,FALSE)&lt;-2),"",#REF!),"")</f>
        <v/>
      </c>
      <c r="N1063" t="str">
        <f>IFERROR(IF(OR(HLOOKUP($A1063,#REF!,12,FALSE)&gt;2,HLOOKUP($A1063,#REF!,12,FALSE)&lt;-2),"",#REF!),"")</f>
        <v/>
      </c>
      <c r="O1063" t="str">
        <f>IFERROR(IF(OR(HLOOKUP($A1063,#REF!,13,FALSE)&gt;2,HLOOKUP($A1063,#REF!,13,FALSE)&lt;-2),"",#REF!),"")</f>
        <v/>
      </c>
      <c r="P1063" t="str">
        <f>IFERROR(IF(OR(HLOOKUP($A1063,#REF!,14,FALSE)&gt;2,HLOOKUP($A1063,#REF!,14,FALSE)&lt;-2),"",#REF!),"")</f>
        <v/>
      </c>
      <c r="Q1063" t="str">
        <f>IFERROR(IF(OR(HLOOKUP($A1063,#REF!,15,FALSE)&gt;2,HLOOKUP($A1063,#REF!,15,FALSE)&lt;-2),"",#REF!),"")</f>
        <v/>
      </c>
      <c r="R1063" t="str">
        <f>IFERROR(IF(OR(HLOOKUP($A1063,#REF!,16,FALSE)&gt;2,HLOOKUP($A1063,#REF!,16,FALSE)&lt;-2),"",#REF!),"")</f>
        <v/>
      </c>
      <c r="S1063" t="str">
        <f>IFERROR(IF(OR(HLOOKUP($A1063,#REF!,17,FALSE)&gt;2,HLOOKUP($A1063,#REF!,17,FALSE)&lt;-2),"",#REF!),"")</f>
        <v/>
      </c>
      <c r="T1063" t="str">
        <f>IFERROR(IF(OR(HLOOKUP($A1063,#REF!,18,FALSE)&gt;2,HLOOKUP($A1063,#REF!,18,FALSE)&lt;-2),"",#REF!),"")</f>
        <v/>
      </c>
      <c r="U1063" t="str">
        <f>IFERROR(IF(OR(HLOOKUP($A1063,#REF!,19,FALSE)&gt;2,HLOOKUP($A1063,#REF!,19,FALSE)&lt;-2),"",#REF!),"")</f>
        <v/>
      </c>
      <c r="V1063">
        <f t="shared" si="64"/>
        <v>1</v>
      </c>
      <c r="W1063" t="str">
        <f t="shared" si="65"/>
        <v/>
      </c>
      <c r="X1063" t="str">
        <f t="shared" si="66"/>
        <v/>
      </c>
      <c r="Y1063" t="str">
        <f t="shared" si="67"/>
        <v/>
      </c>
    </row>
    <row r="1064" spans="1:25" x14ac:dyDescent="0.35">
      <c r="A1064">
        <v>1073</v>
      </c>
      <c r="B1064" t="s">
        <v>1136</v>
      </c>
      <c r="C1064">
        <v>59600</v>
      </c>
      <c r="D1064">
        <v>528</v>
      </c>
      <c r="E1064" t="str">
        <f>IFERROR(IF(OR(HLOOKUP($A1064,#REF!,3,FALSE)&gt;2,HLOOKUP(A1064,#REF!,3,FALSE)&lt;-2),"",#REF!),"")</f>
        <v/>
      </c>
      <c r="F1064" t="str">
        <f>IFERROR(IF(OR(HLOOKUP($A1064,#REF!,4,FALSE)&gt;2,HLOOKUP($A1064,#REF!,4,FALSE)&lt;-2),"",#REF!),"")</f>
        <v/>
      </c>
      <c r="G1064" t="str">
        <f>IFERROR(IF(OR(HLOOKUP($A1064,#REF!,5,FALSE)&gt;2,HLOOKUP($A1064,#REF!,5,FALSE)&lt;-2),"",#REF!),"")</f>
        <v/>
      </c>
      <c r="H1064" t="str">
        <f>IFERROR(IF(OR(HLOOKUP($A1064,#REF!,6,FALSE)&gt;2,HLOOKUP($A1064,#REF!,6,FALSE)&lt;-2),"",#REF!),"")</f>
        <v/>
      </c>
      <c r="I1064" t="str">
        <f>IFERROR(IF(OR(HLOOKUP($A1064,#REF!,7,FALSE)&gt;2,HLOOKUP($A1064,#REF!,7,FALSE)&lt;-2),"",#REF!),"")</f>
        <v/>
      </c>
      <c r="J1064" t="str">
        <f>IFERROR(IF(OR(HLOOKUP($A1064,#REF!,8,FALSE)&gt;2,HLOOKUP($A1064,#REF!,8,FALSE)&lt;-2),"",#REF!),"")</f>
        <v/>
      </c>
      <c r="K1064" t="str">
        <f>IFERROR(IF(OR(HLOOKUP($A1064,#REF!,9,FALSE)&gt;2,HLOOKUP($A1064,#REF!,9,FALSE)&lt;-2),"",#REF!),"")</f>
        <v/>
      </c>
      <c r="L1064" t="str">
        <f>IFERROR(IF(OR(HLOOKUP($A1064,#REF!,10,FALSE)&gt;2,HLOOKUP($A1064,#REF!,10,FALSE)&lt;-2),"",#REF!),"")</f>
        <v/>
      </c>
      <c r="M1064" t="str">
        <f>IFERROR(IF(OR(HLOOKUP($A1064,#REF!,11,FALSE)&gt;2,HLOOKUP($A1064,#REF!,11,FALSE)&lt;-2),"",#REF!),"")</f>
        <v/>
      </c>
      <c r="N1064" t="str">
        <f>IFERROR(IF(OR(HLOOKUP($A1064,#REF!,12,FALSE)&gt;2,HLOOKUP($A1064,#REF!,12,FALSE)&lt;-2),"",#REF!),"")</f>
        <v/>
      </c>
      <c r="O1064" t="str">
        <f>IFERROR(IF(OR(HLOOKUP($A1064,#REF!,13,FALSE)&gt;2,HLOOKUP($A1064,#REF!,13,FALSE)&lt;-2),"",#REF!),"")</f>
        <v/>
      </c>
      <c r="P1064" t="str">
        <f>IFERROR(IF(OR(HLOOKUP($A1064,#REF!,14,FALSE)&gt;2,HLOOKUP($A1064,#REF!,14,FALSE)&lt;-2),"",#REF!),"")</f>
        <v/>
      </c>
      <c r="Q1064" t="str">
        <f>IFERROR(IF(OR(HLOOKUP($A1064,#REF!,15,FALSE)&gt;2,HLOOKUP($A1064,#REF!,15,FALSE)&lt;-2),"",#REF!),"")</f>
        <v/>
      </c>
      <c r="R1064" t="str">
        <f>IFERROR(IF(OR(HLOOKUP($A1064,#REF!,16,FALSE)&gt;2,HLOOKUP($A1064,#REF!,16,FALSE)&lt;-2),"",#REF!),"")</f>
        <v/>
      </c>
      <c r="S1064" t="str">
        <f>IFERROR(IF(OR(HLOOKUP($A1064,#REF!,17,FALSE)&gt;2,HLOOKUP($A1064,#REF!,17,FALSE)&lt;-2),"",#REF!),"")</f>
        <v/>
      </c>
      <c r="T1064" t="str">
        <f>IFERROR(IF(OR(HLOOKUP($A1064,#REF!,18,FALSE)&gt;2,HLOOKUP($A1064,#REF!,18,FALSE)&lt;-2),"",#REF!),"")</f>
        <v/>
      </c>
      <c r="U1064" t="str">
        <f>IFERROR(IF(OR(HLOOKUP($A1064,#REF!,19,FALSE)&gt;2,HLOOKUP($A1064,#REF!,19,FALSE)&lt;-2),"",#REF!),"")</f>
        <v/>
      </c>
      <c r="V1064">
        <f t="shared" si="64"/>
        <v>1</v>
      </c>
      <c r="W1064" t="str">
        <f t="shared" si="65"/>
        <v/>
      </c>
      <c r="X1064" t="str">
        <f t="shared" si="66"/>
        <v/>
      </c>
      <c r="Y1064" t="str">
        <f t="shared" si="67"/>
        <v/>
      </c>
    </row>
    <row r="1065" spans="1:25" x14ac:dyDescent="0.35">
      <c r="A1065">
        <v>1074</v>
      </c>
      <c r="B1065" t="s">
        <v>531</v>
      </c>
      <c r="C1065">
        <v>14200</v>
      </c>
      <c r="D1065">
        <v>402</v>
      </c>
      <c r="E1065" t="str">
        <f>IFERROR(IF(OR(HLOOKUP($A1065,#REF!,3,FALSE)&gt;2,HLOOKUP(A1065,#REF!,3,FALSE)&lt;-2),"",#REF!),"")</f>
        <v/>
      </c>
      <c r="F1065" t="str">
        <f>IFERROR(IF(OR(HLOOKUP($A1065,#REF!,4,FALSE)&gt;2,HLOOKUP($A1065,#REF!,4,FALSE)&lt;-2),"",#REF!),"")</f>
        <v/>
      </c>
      <c r="G1065" t="str">
        <f>IFERROR(IF(OR(HLOOKUP($A1065,#REF!,5,FALSE)&gt;2,HLOOKUP($A1065,#REF!,5,FALSE)&lt;-2),"",#REF!),"")</f>
        <v/>
      </c>
      <c r="H1065" t="str">
        <f>IFERROR(IF(OR(HLOOKUP($A1065,#REF!,6,FALSE)&gt;2,HLOOKUP($A1065,#REF!,6,FALSE)&lt;-2),"",#REF!),"")</f>
        <v/>
      </c>
      <c r="I1065" t="str">
        <f>IFERROR(IF(OR(HLOOKUP($A1065,#REF!,7,FALSE)&gt;2,HLOOKUP($A1065,#REF!,7,FALSE)&lt;-2),"",#REF!),"")</f>
        <v/>
      </c>
      <c r="J1065" t="str">
        <f>IFERROR(IF(OR(HLOOKUP($A1065,#REF!,8,FALSE)&gt;2,HLOOKUP($A1065,#REF!,8,FALSE)&lt;-2),"",#REF!),"")</f>
        <v/>
      </c>
      <c r="K1065" t="str">
        <f>IFERROR(IF(OR(HLOOKUP($A1065,#REF!,9,FALSE)&gt;2,HLOOKUP($A1065,#REF!,9,FALSE)&lt;-2),"",#REF!),"")</f>
        <v/>
      </c>
      <c r="L1065" t="str">
        <f>IFERROR(IF(OR(HLOOKUP($A1065,#REF!,10,FALSE)&gt;2,HLOOKUP($A1065,#REF!,10,FALSE)&lt;-2),"",#REF!),"")</f>
        <v/>
      </c>
      <c r="M1065" t="str">
        <f>IFERROR(IF(OR(HLOOKUP($A1065,#REF!,11,FALSE)&gt;2,HLOOKUP($A1065,#REF!,11,FALSE)&lt;-2),"",#REF!),"")</f>
        <v/>
      </c>
      <c r="N1065" t="str">
        <f>IFERROR(IF(OR(HLOOKUP($A1065,#REF!,12,FALSE)&gt;2,HLOOKUP($A1065,#REF!,12,FALSE)&lt;-2),"",#REF!),"")</f>
        <v/>
      </c>
      <c r="O1065" t="str">
        <f>IFERROR(IF(OR(HLOOKUP($A1065,#REF!,13,FALSE)&gt;2,HLOOKUP($A1065,#REF!,13,FALSE)&lt;-2),"",#REF!),"")</f>
        <v/>
      </c>
      <c r="P1065" t="str">
        <f>IFERROR(IF(OR(HLOOKUP($A1065,#REF!,14,FALSE)&gt;2,HLOOKUP($A1065,#REF!,14,FALSE)&lt;-2),"",#REF!),"")</f>
        <v/>
      </c>
      <c r="Q1065" t="str">
        <f>IFERROR(IF(OR(HLOOKUP($A1065,#REF!,15,FALSE)&gt;2,HLOOKUP($A1065,#REF!,15,FALSE)&lt;-2),"",#REF!),"")</f>
        <v/>
      </c>
      <c r="R1065" t="str">
        <f>IFERROR(IF(OR(HLOOKUP($A1065,#REF!,16,FALSE)&gt;2,HLOOKUP($A1065,#REF!,16,FALSE)&lt;-2),"",#REF!),"")</f>
        <v/>
      </c>
      <c r="S1065" t="str">
        <f>IFERROR(IF(OR(HLOOKUP($A1065,#REF!,17,FALSE)&gt;2,HLOOKUP($A1065,#REF!,17,FALSE)&lt;-2),"",#REF!),"")</f>
        <v/>
      </c>
      <c r="T1065" t="str">
        <f>IFERROR(IF(OR(HLOOKUP($A1065,#REF!,18,FALSE)&gt;2,HLOOKUP($A1065,#REF!,18,FALSE)&lt;-2),"",#REF!),"")</f>
        <v/>
      </c>
      <c r="U1065" t="str">
        <f>IFERROR(IF(OR(HLOOKUP($A1065,#REF!,19,FALSE)&gt;2,HLOOKUP($A1065,#REF!,19,FALSE)&lt;-2),"",#REF!),"")</f>
        <v/>
      </c>
      <c r="V1065">
        <f t="shared" si="64"/>
        <v>1</v>
      </c>
      <c r="W1065" t="str">
        <f t="shared" si="65"/>
        <v/>
      </c>
      <c r="X1065" t="str">
        <f t="shared" si="66"/>
        <v/>
      </c>
      <c r="Y1065" t="str">
        <f t="shared" si="67"/>
        <v/>
      </c>
    </row>
    <row r="1066" spans="1:25" x14ac:dyDescent="0.35">
      <c r="A1066">
        <v>1075</v>
      </c>
      <c r="B1066" t="s">
        <v>1137</v>
      </c>
      <c r="C1066">
        <v>32800</v>
      </c>
      <c r="D1066">
        <v>589</v>
      </c>
      <c r="E1066" t="str">
        <f>IFERROR(IF(OR(HLOOKUP($A1066,#REF!,3,FALSE)&gt;2,HLOOKUP(A1066,#REF!,3,FALSE)&lt;-2),"",#REF!),"")</f>
        <v/>
      </c>
      <c r="F1066" t="str">
        <f>IFERROR(IF(OR(HLOOKUP($A1066,#REF!,4,FALSE)&gt;2,HLOOKUP($A1066,#REF!,4,FALSE)&lt;-2),"",#REF!),"")</f>
        <v/>
      </c>
      <c r="G1066" t="str">
        <f>IFERROR(IF(OR(HLOOKUP($A1066,#REF!,5,FALSE)&gt;2,HLOOKUP($A1066,#REF!,5,FALSE)&lt;-2),"",#REF!),"")</f>
        <v/>
      </c>
      <c r="H1066" t="str">
        <f>IFERROR(IF(OR(HLOOKUP($A1066,#REF!,6,FALSE)&gt;2,HLOOKUP($A1066,#REF!,6,FALSE)&lt;-2),"",#REF!),"")</f>
        <v/>
      </c>
      <c r="I1066" t="str">
        <f>IFERROR(IF(OR(HLOOKUP($A1066,#REF!,7,FALSE)&gt;2,HLOOKUP($A1066,#REF!,7,FALSE)&lt;-2),"",#REF!),"")</f>
        <v/>
      </c>
      <c r="J1066" t="str">
        <f>IFERROR(IF(OR(HLOOKUP($A1066,#REF!,8,FALSE)&gt;2,HLOOKUP($A1066,#REF!,8,FALSE)&lt;-2),"",#REF!),"")</f>
        <v/>
      </c>
      <c r="K1066" t="str">
        <f>IFERROR(IF(OR(HLOOKUP($A1066,#REF!,9,FALSE)&gt;2,HLOOKUP($A1066,#REF!,9,FALSE)&lt;-2),"",#REF!),"")</f>
        <v/>
      </c>
      <c r="L1066" t="str">
        <f>IFERROR(IF(OR(HLOOKUP($A1066,#REF!,10,FALSE)&gt;2,HLOOKUP($A1066,#REF!,10,FALSE)&lt;-2),"",#REF!),"")</f>
        <v/>
      </c>
      <c r="M1066" t="str">
        <f>IFERROR(IF(OR(HLOOKUP($A1066,#REF!,11,FALSE)&gt;2,HLOOKUP($A1066,#REF!,11,FALSE)&lt;-2),"",#REF!),"")</f>
        <v/>
      </c>
      <c r="N1066" t="str">
        <f>IFERROR(IF(OR(HLOOKUP($A1066,#REF!,12,FALSE)&gt;2,HLOOKUP($A1066,#REF!,12,FALSE)&lt;-2),"",#REF!),"")</f>
        <v/>
      </c>
      <c r="O1066" t="str">
        <f>IFERROR(IF(OR(HLOOKUP($A1066,#REF!,13,FALSE)&gt;2,HLOOKUP($A1066,#REF!,13,FALSE)&lt;-2),"",#REF!),"")</f>
        <v/>
      </c>
      <c r="P1066" t="str">
        <f>IFERROR(IF(OR(HLOOKUP($A1066,#REF!,14,FALSE)&gt;2,HLOOKUP($A1066,#REF!,14,FALSE)&lt;-2),"",#REF!),"")</f>
        <v/>
      </c>
      <c r="Q1066" t="str">
        <f>IFERROR(IF(OR(HLOOKUP($A1066,#REF!,15,FALSE)&gt;2,HLOOKUP($A1066,#REF!,15,FALSE)&lt;-2),"",#REF!),"")</f>
        <v/>
      </c>
      <c r="R1066" t="str">
        <f>IFERROR(IF(OR(HLOOKUP($A1066,#REF!,16,FALSE)&gt;2,HLOOKUP($A1066,#REF!,16,FALSE)&lt;-2),"",#REF!),"")</f>
        <v/>
      </c>
      <c r="S1066" t="str">
        <f>IFERROR(IF(OR(HLOOKUP($A1066,#REF!,17,FALSE)&gt;2,HLOOKUP($A1066,#REF!,17,FALSE)&lt;-2),"",#REF!),"")</f>
        <v/>
      </c>
      <c r="T1066" t="str">
        <f>IFERROR(IF(OR(HLOOKUP($A1066,#REF!,18,FALSE)&gt;2,HLOOKUP($A1066,#REF!,18,FALSE)&lt;-2),"",#REF!),"")</f>
        <v/>
      </c>
      <c r="U1066" t="str">
        <f>IFERROR(IF(OR(HLOOKUP($A1066,#REF!,19,FALSE)&gt;2,HLOOKUP($A1066,#REF!,19,FALSE)&lt;-2),"",#REF!),"")</f>
        <v/>
      </c>
      <c r="V1066">
        <f t="shared" si="64"/>
        <v>1</v>
      </c>
      <c r="W1066" t="str">
        <f t="shared" si="65"/>
        <v/>
      </c>
      <c r="X1066" t="str">
        <f t="shared" si="66"/>
        <v/>
      </c>
      <c r="Y1066" t="str">
        <f t="shared" si="67"/>
        <v/>
      </c>
    </row>
    <row r="1067" spans="1:25" x14ac:dyDescent="0.35">
      <c r="A1067">
        <v>1076</v>
      </c>
      <c r="B1067" t="s">
        <v>1138</v>
      </c>
      <c r="C1067">
        <v>100500</v>
      </c>
      <c r="D1067">
        <v>933</v>
      </c>
      <c r="E1067" t="str">
        <f>IFERROR(IF(OR(HLOOKUP($A1067,#REF!,3,FALSE)&gt;2,HLOOKUP(A1067,#REF!,3,FALSE)&lt;-2),"",#REF!),"")</f>
        <v/>
      </c>
      <c r="F1067" t="str">
        <f>IFERROR(IF(OR(HLOOKUP($A1067,#REF!,4,FALSE)&gt;2,HLOOKUP($A1067,#REF!,4,FALSE)&lt;-2),"",#REF!),"")</f>
        <v/>
      </c>
      <c r="G1067" t="str">
        <f>IFERROR(IF(OR(HLOOKUP($A1067,#REF!,5,FALSE)&gt;2,HLOOKUP($A1067,#REF!,5,FALSE)&lt;-2),"",#REF!),"")</f>
        <v/>
      </c>
      <c r="H1067" t="str">
        <f>IFERROR(IF(OR(HLOOKUP($A1067,#REF!,6,FALSE)&gt;2,HLOOKUP($A1067,#REF!,6,FALSE)&lt;-2),"",#REF!),"")</f>
        <v/>
      </c>
      <c r="I1067" t="str">
        <f>IFERROR(IF(OR(HLOOKUP($A1067,#REF!,7,FALSE)&gt;2,HLOOKUP($A1067,#REF!,7,FALSE)&lt;-2),"",#REF!),"")</f>
        <v/>
      </c>
      <c r="J1067" t="str">
        <f>IFERROR(IF(OR(HLOOKUP($A1067,#REF!,8,FALSE)&gt;2,HLOOKUP($A1067,#REF!,8,FALSE)&lt;-2),"",#REF!),"")</f>
        <v/>
      </c>
      <c r="K1067" t="str">
        <f>IFERROR(IF(OR(HLOOKUP($A1067,#REF!,9,FALSE)&gt;2,HLOOKUP($A1067,#REF!,9,FALSE)&lt;-2),"",#REF!),"")</f>
        <v/>
      </c>
      <c r="L1067" t="str">
        <f>IFERROR(IF(OR(HLOOKUP($A1067,#REF!,10,FALSE)&gt;2,HLOOKUP($A1067,#REF!,10,FALSE)&lt;-2),"",#REF!),"")</f>
        <v/>
      </c>
      <c r="M1067" t="str">
        <f>IFERROR(IF(OR(HLOOKUP($A1067,#REF!,11,FALSE)&gt;2,HLOOKUP($A1067,#REF!,11,FALSE)&lt;-2),"",#REF!),"")</f>
        <v/>
      </c>
      <c r="N1067" t="str">
        <f>IFERROR(IF(OR(HLOOKUP($A1067,#REF!,12,FALSE)&gt;2,HLOOKUP($A1067,#REF!,12,FALSE)&lt;-2),"",#REF!),"")</f>
        <v/>
      </c>
      <c r="O1067" t="str">
        <f>IFERROR(IF(OR(HLOOKUP($A1067,#REF!,13,FALSE)&gt;2,HLOOKUP($A1067,#REF!,13,FALSE)&lt;-2),"",#REF!),"")</f>
        <v/>
      </c>
      <c r="P1067" t="str">
        <f>IFERROR(IF(OR(HLOOKUP($A1067,#REF!,14,FALSE)&gt;2,HLOOKUP($A1067,#REF!,14,FALSE)&lt;-2),"",#REF!),"")</f>
        <v/>
      </c>
      <c r="Q1067" t="str">
        <f>IFERROR(IF(OR(HLOOKUP($A1067,#REF!,15,FALSE)&gt;2,HLOOKUP($A1067,#REF!,15,FALSE)&lt;-2),"",#REF!),"")</f>
        <v/>
      </c>
      <c r="R1067" t="str">
        <f>IFERROR(IF(OR(HLOOKUP($A1067,#REF!,16,FALSE)&gt;2,HLOOKUP($A1067,#REF!,16,FALSE)&lt;-2),"",#REF!),"")</f>
        <v/>
      </c>
      <c r="S1067" t="str">
        <f>IFERROR(IF(OR(HLOOKUP($A1067,#REF!,17,FALSE)&gt;2,HLOOKUP($A1067,#REF!,17,FALSE)&lt;-2),"",#REF!),"")</f>
        <v/>
      </c>
      <c r="T1067" t="str">
        <f>IFERROR(IF(OR(HLOOKUP($A1067,#REF!,18,FALSE)&gt;2,HLOOKUP($A1067,#REF!,18,FALSE)&lt;-2),"",#REF!),"")</f>
        <v/>
      </c>
      <c r="U1067" t="str">
        <f>IFERROR(IF(OR(HLOOKUP($A1067,#REF!,19,FALSE)&gt;2,HLOOKUP($A1067,#REF!,19,FALSE)&lt;-2),"",#REF!),"")</f>
        <v/>
      </c>
      <c r="V1067">
        <f t="shared" si="64"/>
        <v>1</v>
      </c>
      <c r="W1067" t="str">
        <f t="shared" si="65"/>
        <v/>
      </c>
      <c r="X1067" t="str">
        <f t="shared" si="66"/>
        <v/>
      </c>
      <c r="Y1067" t="str">
        <f t="shared" si="67"/>
        <v/>
      </c>
    </row>
    <row r="1068" spans="1:25" x14ac:dyDescent="0.35">
      <c r="A1068">
        <v>1077</v>
      </c>
      <c r="B1068" t="s">
        <v>532</v>
      </c>
      <c r="C1068">
        <v>67800</v>
      </c>
      <c r="D1068">
        <v>444</v>
      </c>
      <c r="E1068" t="str">
        <f>IFERROR(IF(OR(HLOOKUP($A1068,#REF!,3,FALSE)&gt;2,HLOOKUP(A1068,#REF!,3,FALSE)&lt;-2),"",#REF!),"")</f>
        <v/>
      </c>
      <c r="F1068" t="str">
        <f>IFERROR(IF(OR(HLOOKUP($A1068,#REF!,4,FALSE)&gt;2,HLOOKUP($A1068,#REF!,4,FALSE)&lt;-2),"",#REF!),"")</f>
        <v/>
      </c>
      <c r="G1068" t="str">
        <f>IFERROR(IF(OR(HLOOKUP($A1068,#REF!,5,FALSE)&gt;2,HLOOKUP($A1068,#REF!,5,FALSE)&lt;-2),"",#REF!),"")</f>
        <v/>
      </c>
      <c r="H1068" t="str">
        <f>IFERROR(IF(OR(HLOOKUP($A1068,#REF!,6,FALSE)&gt;2,HLOOKUP($A1068,#REF!,6,FALSE)&lt;-2),"",#REF!),"")</f>
        <v/>
      </c>
      <c r="I1068" t="str">
        <f>IFERROR(IF(OR(HLOOKUP($A1068,#REF!,7,FALSE)&gt;2,HLOOKUP($A1068,#REF!,7,FALSE)&lt;-2),"",#REF!),"")</f>
        <v/>
      </c>
      <c r="J1068" t="str">
        <f>IFERROR(IF(OR(HLOOKUP($A1068,#REF!,8,FALSE)&gt;2,HLOOKUP($A1068,#REF!,8,FALSE)&lt;-2),"",#REF!),"")</f>
        <v/>
      </c>
      <c r="K1068" t="str">
        <f>IFERROR(IF(OR(HLOOKUP($A1068,#REF!,9,FALSE)&gt;2,HLOOKUP($A1068,#REF!,9,FALSE)&lt;-2),"",#REF!),"")</f>
        <v/>
      </c>
      <c r="L1068" t="str">
        <f>IFERROR(IF(OR(HLOOKUP($A1068,#REF!,10,FALSE)&gt;2,HLOOKUP($A1068,#REF!,10,FALSE)&lt;-2),"",#REF!),"")</f>
        <v/>
      </c>
      <c r="M1068" t="str">
        <f>IFERROR(IF(OR(HLOOKUP($A1068,#REF!,11,FALSE)&gt;2,HLOOKUP($A1068,#REF!,11,FALSE)&lt;-2),"",#REF!),"")</f>
        <v/>
      </c>
      <c r="N1068" t="str">
        <f>IFERROR(IF(OR(HLOOKUP($A1068,#REF!,12,FALSE)&gt;2,HLOOKUP($A1068,#REF!,12,FALSE)&lt;-2),"",#REF!),"")</f>
        <v/>
      </c>
      <c r="O1068" t="str">
        <f>IFERROR(IF(OR(HLOOKUP($A1068,#REF!,13,FALSE)&gt;2,HLOOKUP($A1068,#REF!,13,FALSE)&lt;-2),"",#REF!),"")</f>
        <v/>
      </c>
      <c r="P1068" t="str">
        <f>IFERROR(IF(OR(HLOOKUP($A1068,#REF!,14,FALSE)&gt;2,HLOOKUP($A1068,#REF!,14,FALSE)&lt;-2),"",#REF!),"")</f>
        <v/>
      </c>
      <c r="Q1068" t="str">
        <f>IFERROR(IF(OR(HLOOKUP($A1068,#REF!,15,FALSE)&gt;2,HLOOKUP($A1068,#REF!,15,FALSE)&lt;-2),"",#REF!),"")</f>
        <v/>
      </c>
      <c r="R1068" t="str">
        <f>IFERROR(IF(OR(HLOOKUP($A1068,#REF!,16,FALSE)&gt;2,HLOOKUP($A1068,#REF!,16,FALSE)&lt;-2),"",#REF!),"")</f>
        <v/>
      </c>
      <c r="S1068" t="str">
        <f>IFERROR(IF(OR(HLOOKUP($A1068,#REF!,17,FALSE)&gt;2,HLOOKUP($A1068,#REF!,17,FALSE)&lt;-2),"",#REF!),"")</f>
        <v/>
      </c>
      <c r="T1068" t="str">
        <f>IFERROR(IF(OR(HLOOKUP($A1068,#REF!,18,FALSE)&gt;2,HLOOKUP($A1068,#REF!,18,FALSE)&lt;-2),"",#REF!),"")</f>
        <v/>
      </c>
      <c r="U1068" t="str">
        <f>IFERROR(IF(OR(HLOOKUP($A1068,#REF!,19,FALSE)&gt;2,HLOOKUP($A1068,#REF!,19,FALSE)&lt;-2),"",#REF!),"")</f>
        <v/>
      </c>
      <c r="V1068">
        <f t="shared" si="64"/>
        <v>1</v>
      </c>
      <c r="W1068" t="str">
        <f t="shared" si="65"/>
        <v/>
      </c>
      <c r="X1068" t="str">
        <f t="shared" si="66"/>
        <v/>
      </c>
      <c r="Y1068" t="str">
        <f t="shared" si="67"/>
        <v/>
      </c>
    </row>
    <row r="1069" spans="1:25" x14ac:dyDescent="0.35">
      <c r="A1069">
        <v>1078</v>
      </c>
      <c r="B1069" t="s">
        <v>1139</v>
      </c>
      <c r="C1069">
        <v>117500</v>
      </c>
      <c r="D1069">
        <v>1032</v>
      </c>
      <c r="E1069" t="str">
        <f>IFERROR(IF(OR(HLOOKUP($A1069,#REF!,3,FALSE)&gt;2,HLOOKUP(A1069,#REF!,3,FALSE)&lt;-2),"",#REF!),"")</f>
        <v/>
      </c>
      <c r="F1069" t="str">
        <f>IFERROR(IF(OR(HLOOKUP($A1069,#REF!,4,FALSE)&gt;2,HLOOKUP($A1069,#REF!,4,FALSE)&lt;-2),"",#REF!),"")</f>
        <v/>
      </c>
      <c r="G1069" t="str">
        <f>IFERROR(IF(OR(HLOOKUP($A1069,#REF!,5,FALSE)&gt;2,HLOOKUP($A1069,#REF!,5,FALSE)&lt;-2),"",#REF!),"")</f>
        <v/>
      </c>
      <c r="H1069" t="str">
        <f>IFERROR(IF(OR(HLOOKUP($A1069,#REF!,6,FALSE)&gt;2,HLOOKUP($A1069,#REF!,6,FALSE)&lt;-2),"",#REF!),"")</f>
        <v/>
      </c>
      <c r="I1069" t="str">
        <f>IFERROR(IF(OR(HLOOKUP($A1069,#REF!,7,FALSE)&gt;2,HLOOKUP($A1069,#REF!,7,FALSE)&lt;-2),"",#REF!),"")</f>
        <v/>
      </c>
      <c r="J1069" t="str">
        <f>IFERROR(IF(OR(HLOOKUP($A1069,#REF!,8,FALSE)&gt;2,HLOOKUP($A1069,#REF!,8,FALSE)&lt;-2),"",#REF!),"")</f>
        <v/>
      </c>
      <c r="K1069" t="str">
        <f>IFERROR(IF(OR(HLOOKUP($A1069,#REF!,9,FALSE)&gt;2,HLOOKUP($A1069,#REF!,9,FALSE)&lt;-2),"",#REF!),"")</f>
        <v/>
      </c>
      <c r="L1069" t="str">
        <f>IFERROR(IF(OR(HLOOKUP($A1069,#REF!,10,FALSE)&gt;2,HLOOKUP($A1069,#REF!,10,FALSE)&lt;-2),"",#REF!),"")</f>
        <v/>
      </c>
      <c r="M1069" t="str">
        <f>IFERROR(IF(OR(HLOOKUP($A1069,#REF!,11,FALSE)&gt;2,HLOOKUP($A1069,#REF!,11,FALSE)&lt;-2),"",#REF!),"")</f>
        <v/>
      </c>
      <c r="N1069" t="str">
        <f>IFERROR(IF(OR(HLOOKUP($A1069,#REF!,12,FALSE)&gt;2,HLOOKUP($A1069,#REF!,12,FALSE)&lt;-2),"",#REF!),"")</f>
        <v/>
      </c>
      <c r="O1069" t="str">
        <f>IFERROR(IF(OR(HLOOKUP($A1069,#REF!,13,FALSE)&gt;2,HLOOKUP($A1069,#REF!,13,FALSE)&lt;-2),"",#REF!),"")</f>
        <v/>
      </c>
      <c r="P1069" t="str">
        <f>IFERROR(IF(OR(HLOOKUP($A1069,#REF!,14,FALSE)&gt;2,HLOOKUP($A1069,#REF!,14,FALSE)&lt;-2),"",#REF!),"")</f>
        <v/>
      </c>
      <c r="Q1069" t="str">
        <f>IFERROR(IF(OR(HLOOKUP($A1069,#REF!,15,FALSE)&gt;2,HLOOKUP($A1069,#REF!,15,FALSE)&lt;-2),"",#REF!),"")</f>
        <v/>
      </c>
      <c r="R1069" t="str">
        <f>IFERROR(IF(OR(HLOOKUP($A1069,#REF!,16,FALSE)&gt;2,HLOOKUP($A1069,#REF!,16,FALSE)&lt;-2),"",#REF!),"")</f>
        <v/>
      </c>
      <c r="S1069" t="str">
        <f>IFERROR(IF(OR(HLOOKUP($A1069,#REF!,17,FALSE)&gt;2,HLOOKUP($A1069,#REF!,17,FALSE)&lt;-2),"",#REF!),"")</f>
        <v/>
      </c>
      <c r="T1069" t="str">
        <f>IFERROR(IF(OR(HLOOKUP($A1069,#REF!,18,FALSE)&gt;2,HLOOKUP($A1069,#REF!,18,FALSE)&lt;-2),"",#REF!),"")</f>
        <v/>
      </c>
      <c r="U1069" t="str">
        <f>IFERROR(IF(OR(HLOOKUP($A1069,#REF!,19,FALSE)&gt;2,HLOOKUP($A1069,#REF!,19,FALSE)&lt;-2),"",#REF!),"")</f>
        <v/>
      </c>
      <c r="V1069">
        <f t="shared" si="64"/>
        <v>1</v>
      </c>
      <c r="W1069" t="str">
        <f t="shared" si="65"/>
        <v/>
      </c>
      <c r="X1069" t="str">
        <f t="shared" si="66"/>
        <v/>
      </c>
      <c r="Y1069" t="str">
        <f t="shared" si="67"/>
        <v/>
      </c>
    </row>
    <row r="1070" spans="1:25" x14ac:dyDescent="0.35">
      <c r="A1070">
        <v>1079</v>
      </c>
      <c r="B1070" t="s">
        <v>1140</v>
      </c>
      <c r="C1070">
        <v>65300</v>
      </c>
      <c r="D1070">
        <v>475</v>
      </c>
      <c r="E1070" t="str">
        <f>IFERROR(IF(OR(HLOOKUP($A1070,#REF!,3,FALSE)&gt;2,HLOOKUP(A1070,#REF!,3,FALSE)&lt;-2),"",#REF!),"")</f>
        <v/>
      </c>
      <c r="F1070" t="str">
        <f>IFERROR(IF(OR(HLOOKUP($A1070,#REF!,4,FALSE)&gt;2,HLOOKUP($A1070,#REF!,4,FALSE)&lt;-2),"",#REF!),"")</f>
        <v/>
      </c>
      <c r="G1070" t="str">
        <f>IFERROR(IF(OR(HLOOKUP($A1070,#REF!,5,FALSE)&gt;2,HLOOKUP($A1070,#REF!,5,FALSE)&lt;-2),"",#REF!),"")</f>
        <v/>
      </c>
      <c r="H1070" t="str">
        <f>IFERROR(IF(OR(HLOOKUP($A1070,#REF!,6,FALSE)&gt;2,HLOOKUP($A1070,#REF!,6,FALSE)&lt;-2),"",#REF!),"")</f>
        <v/>
      </c>
      <c r="I1070" t="str">
        <f>IFERROR(IF(OR(HLOOKUP($A1070,#REF!,7,FALSE)&gt;2,HLOOKUP($A1070,#REF!,7,FALSE)&lt;-2),"",#REF!),"")</f>
        <v/>
      </c>
      <c r="J1070" t="str">
        <f>IFERROR(IF(OR(HLOOKUP($A1070,#REF!,8,FALSE)&gt;2,HLOOKUP($A1070,#REF!,8,FALSE)&lt;-2),"",#REF!),"")</f>
        <v/>
      </c>
      <c r="K1070" t="str">
        <f>IFERROR(IF(OR(HLOOKUP($A1070,#REF!,9,FALSE)&gt;2,HLOOKUP($A1070,#REF!,9,FALSE)&lt;-2),"",#REF!),"")</f>
        <v/>
      </c>
      <c r="L1070" t="str">
        <f>IFERROR(IF(OR(HLOOKUP($A1070,#REF!,10,FALSE)&gt;2,HLOOKUP($A1070,#REF!,10,FALSE)&lt;-2),"",#REF!),"")</f>
        <v/>
      </c>
      <c r="M1070" t="str">
        <f>IFERROR(IF(OR(HLOOKUP($A1070,#REF!,11,FALSE)&gt;2,HLOOKUP($A1070,#REF!,11,FALSE)&lt;-2),"",#REF!),"")</f>
        <v/>
      </c>
      <c r="N1070" t="str">
        <f>IFERROR(IF(OR(HLOOKUP($A1070,#REF!,12,FALSE)&gt;2,HLOOKUP($A1070,#REF!,12,FALSE)&lt;-2),"",#REF!),"")</f>
        <v/>
      </c>
      <c r="O1070" t="str">
        <f>IFERROR(IF(OR(HLOOKUP($A1070,#REF!,13,FALSE)&gt;2,HLOOKUP($A1070,#REF!,13,FALSE)&lt;-2),"",#REF!),"")</f>
        <v/>
      </c>
      <c r="P1070" t="str">
        <f>IFERROR(IF(OR(HLOOKUP($A1070,#REF!,14,FALSE)&gt;2,HLOOKUP($A1070,#REF!,14,FALSE)&lt;-2),"",#REF!),"")</f>
        <v/>
      </c>
      <c r="Q1070" t="str">
        <f>IFERROR(IF(OR(HLOOKUP($A1070,#REF!,15,FALSE)&gt;2,HLOOKUP($A1070,#REF!,15,FALSE)&lt;-2),"",#REF!),"")</f>
        <v/>
      </c>
      <c r="R1070" t="str">
        <f>IFERROR(IF(OR(HLOOKUP($A1070,#REF!,16,FALSE)&gt;2,HLOOKUP($A1070,#REF!,16,FALSE)&lt;-2),"",#REF!),"")</f>
        <v/>
      </c>
      <c r="S1070" t="str">
        <f>IFERROR(IF(OR(HLOOKUP($A1070,#REF!,17,FALSE)&gt;2,HLOOKUP($A1070,#REF!,17,FALSE)&lt;-2),"",#REF!),"")</f>
        <v/>
      </c>
      <c r="T1070" t="str">
        <f>IFERROR(IF(OR(HLOOKUP($A1070,#REF!,18,FALSE)&gt;2,HLOOKUP($A1070,#REF!,18,FALSE)&lt;-2),"",#REF!),"")</f>
        <v/>
      </c>
      <c r="U1070" t="str">
        <f>IFERROR(IF(OR(HLOOKUP($A1070,#REF!,19,FALSE)&gt;2,HLOOKUP($A1070,#REF!,19,FALSE)&lt;-2),"",#REF!),"")</f>
        <v/>
      </c>
      <c r="V1070">
        <f t="shared" si="64"/>
        <v>1</v>
      </c>
      <c r="W1070" t="str">
        <f t="shared" si="65"/>
        <v/>
      </c>
      <c r="X1070" t="str">
        <f t="shared" si="66"/>
        <v/>
      </c>
      <c r="Y1070" t="str">
        <f t="shared" si="67"/>
        <v/>
      </c>
    </row>
    <row r="1071" spans="1:25" x14ac:dyDescent="0.35">
      <c r="A1071">
        <v>1080</v>
      </c>
      <c r="B1071" t="s">
        <v>1141</v>
      </c>
      <c r="C1071">
        <v>37500</v>
      </c>
      <c r="D1071">
        <v>1089</v>
      </c>
      <c r="E1071" t="str">
        <f>IFERROR(IF(OR(HLOOKUP($A1071,#REF!,3,FALSE)&gt;2,HLOOKUP(A1071,#REF!,3,FALSE)&lt;-2),"",#REF!),"")</f>
        <v/>
      </c>
      <c r="F1071" t="str">
        <f>IFERROR(IF(OR(HLOOKUP($A1071,#REF!,4,FALSE)&gt;2,HLOOKUP($A1071,#REF!,4,FALSE)&lt;-2),"",#REF!),"")</f>
        <v/>
      </c>
      <c r="G1071" t="str">
        <f>IFERROR(IF(OR(HLOOKUP($A1071,#REF!,5,FALSE)&gt;2,HLOOKUP($A1071,#REF!,5,FALSE)&lt;-2),"",#REF!),"")</f>
        <v/>
      </c>
      <c r="H1071" t="str">
        <f>IFERROR(IF(OR(HLOOKUP($A1071,#REF!,6,FALSE)&gt;2,HLOOKUP($A1071,#REF!,6,FALSE)&lt;-2),"",#REF!),"")</f>
        <v/>
      </c>
      <c r="I1071" t="str">
        <f>IFERROR(IF(OR(HLOOKUP($A1071,#REF!,7,FALSE)&gt;2,HLOOKUP($A1071,#REF!,7,FALSE)&lt;-2),"",#REF!),"")</f>
        <v/>
      </c>
      <c r="J1071" t="str">
        <f>IFERROR(IF(OR(HLOOKUP($A1071,#REF!,8,FALSE)&gt;2,HLOOKUP($A1071,#REF!,8,FALSE)&lt;-2),"",#REF!),"")</f>
        <v/>
      </c>
      <c r="K1071" t="str">
        <f>IFERROR(IF(OR(HLOOKUP($A1071,#REF!,9,FALSE)&gt;2,HLOOKUP($A1071,#REF!,9,FALSE)&lt;-2),"",#REF!),"")</f>
        <v/>
      </c>
      <c r="L1071" t="str">
        <f>IFERROR(IF(OR(HLOOKUP($A1071,#REF!,10,FALSE)&gt;2,HLOOKUP($A1071,#REF!,10,FALSE)&lt;-2),"",#REF!),"")</f>
        <v/>
      </c>
      <c r="M1071" t="str">
        <f>IFERROR(IF(OR(HLOOKUP($A1071,#REF!,11,FALSE)&gt;2,HLOOKUP($A1071,#REF!,11,FALSE)&lt;-2),"",#REF!),"")</f>
        <v/>
      </c>
      <c r="N1071" t="str">
        <f>IFERROR(IF(OR(HLOOKUP($A1071,#REF!,12,FALSE)&gt;2,HLOOKUP($A1071,#REF!,12,FALSE)&lt;-2),"",#REF!),"")</f>
        <v/>
      </c>
      <c r="O1071" t="str">
        <f>IFERROR(IF(OR(HLOOKUP($A1071,#REF!,13,FALSE)&gt;2,HLOOKUP($A1071,#REF!,13,FALSE)&lt;-2),"",#REF!),"")</f>
        <v/>
      </c>
      <c r="P1071" t="str">
        <f>IFERROR(IF(OR(HLOOKUP($A1071,#REF!,14,FALSE)&gt;2,HLOOKUP($A1071,#REF!,14,FALSE)&lt;-2),"",#REF!),"")</f>
        <v/>
      </c>
      <c r="Q1071" t="str">
        <f>IFERROR(IF(OR(HLOOKUP($A1071,#REF!,15,FALSE)&gt;2,HLOOKUP($A1071,#REF!,15,FALSE)&lt;-2),"",#REF!),"")</f>
        <v/>
      </c>
      <c r="R1071" t="str">
        <f>IFERROR(IF(OR(HLOOKUP($A1071,#REF!,16,FALSE)&gt;2,HLOOKUP($A1071,#REF!,16,FALSE)&lt;-2),"",#REF!),"")</f>
        <v/>
      </c>
      <c r="S1071" t="str">
        <f>IFERROR(IF(OR(HLOOKUP($A1071,#REF!,17,FALSE)&gt;2,HLOOKUP($A1071,#REF!,17,FALSE)&lt;-2),"",#REF!),"")</f>
        <v/>
      </c>
      <c r="T1071" t="str">
        <f>IFERROR(IF(OR(HLOOKUP($A1071,#REF!,18,FALSE)&gt;2,HLOOKUP($A1071,#REF!,18,FALSE)&lt;-2),"",#REF!),"")</f>
        <v/>
      </c>
      <c r="U1071" t="str">
        <f>IFERROR(IF(OR(HLOOKUP($A1071,#REF!,19,FALSE)&gt;2,HLOOKUP($A1071,#REF!,19,FALSE)&lt;-2),"",#REF!),"")</f>
        <v/>
      </c>
      <c r="V1071">
        <f t="shared" si="64"/>
        <v>1</v>
      </c>
      <c r="W1071" t="str">
        <f t="shared" si="65"/>
        <v/>
      </c>
      <c r="X1071" t="str">
        <f t="shared" si="66"/>
        <v/>
      </c>
      <c r="Y1071" t="str">
        <f t="shared" si="67"/>
        <v/>
      </c>
    </row>
    <row r="1072" spans="1:25" x14ac:dyDescent="0.35">
      <c r="A1072">
        <v>1081</v>
      </c>
      <c r="B1072" t="s">
        <v>533</v>
      </c>
      <c r="C1072">
        <v>9000</v>
      </c>
      <c r="D1072">
        <v>44</v>
      </c>
      <c r="E1072" t="str">
        <f>IFERROR(IF(OR(HLOOKUP($A1072,#REF!,3,FALSE)&gt;2,HLOOKUP(A1072,#REF!,3,FALSE)&lt;-2),"",#REF!),"")</f>
        <v/>
      </c>
      <c r="F1072" t="str">
        <f>IFERROR(IF(OR(HLOOKUP($A1072,#REF!,4,FALSE)&gt;2,HLOOKUP($A1072,#REF!,4,FALSE)&lt;-2),"",#REF!),"")</f>
        <v/>
      </c>
      <c r="G1072" t="str">
        <f>IFERROR(IF(OR(HLOOKUP($A1072,#REF!,5,FALSE)&gt;2,HLOOKUP($A1072,#REF!,5,FALSE)&lt;-2),"",#REF!),"")</f>
        <v/>
      </c>
      <c r="H1072" t="str">
        <f>IFERROR(IF(OR(HLOOKUP($A1072,#REF!,6,FALSE)&gt;2,HLOOKUP($A1072,#REF!,6,FALSE)&lt;-2),"",#REF!),"")</f>
        <v/>
      </c>
      <c r="I1072" t="str">
        <f>IFERROR(IF(OR(HLOOKUP($A1072,#REF!,7,FALSE)&gt;2,HLOOKUP($A1072,#REF!,7,FALSE)&lt;-2),"",#REF!),"")</f>
        <v/>
      </c>
      <c r="J1072" t="str">
        <f>IFERROR(IF(OR(HLOOKUP($A1072,#REF!,8,FALSE)&gt;2,HLOOKUP($A1072,#REF!,8,FALSE)&lt;-2),"",#REF!),"")</f>
        <v/>
      </c>
      <c r="K1072" t="str">
        <f>IFERROR(IF(OR(HLOOKUP($A1072,#REF!,9,FALSE)&gt;2,HLOOKUP($A1072,#REF!,9,FALSE)&lt;-2),"",#REF!),"")</f>
        <v/>
      </c>
      <c r="L1072" t="str">
        <f>IFERROR(IF(OR(HLOOKUP($A1072,#REF!,10,FALSE)&gt;2,HLOOKUP($A1072,#REF!,10,FALSE)&lt;-2),"",#REF!),"")</f>
        <v/>
      </c>
      <c r="M1072" t="str">
        <f>IFERROR(IF(OR(HLOOKUP($A1072,#REF!,11,FALSE)&gt;2,HLOOKUP($A1072,#REF!,11,FALSE)&lt;-2),"",#REF!),"")</f>
        <v/>
      </c>
      <c r="N1072" t="str">
        <f>IFERROR(IF(OR(HLOOKUP($A1072,#REF!,12,FALSE)&gt;2,HLOOKUP($A1072,#REF!,12,FALSE)&lt;-2),"",#REF!),"")</f>
        <v/>
      </c>
      <c r="O1072" t="str">
        <f>IFERROR(IF(OR(HLOOKUP($A1072,#REF!,13,FALSE)&gt;2,HLOOKUP($A1072,#REF!,13,FALSE)&lt;-2),"",#REF!),"")</f>
        <v/>
      </c>
      <c r="P1072" t="str">
        <f>IFERROR(IF(OR(HLOOKUP($A1072,#REF!,14,FALSE)&gt;2,HLOOKUP($A1072,#REF!,14,FALSE)&lt;-2),"",#REF!),"")</f>
        <v/>
      </c>
      <c r="Q1072" t="str">
        <f>IFERROR(IF(OR(HLOOKUP($A1072,#REF!,15,FALSE)&gt;2,HLOOKUP($A1072,#REF!,15,FALSE)&lt;-2),"",#REF!),"")</f>
        <v/>
      </c>
      <c r="R1072" t="str">
        <f>IFERROR(IF(OR(HLOOKUP($A1072,#REF!,16,FALSE)&gt;2,HLOOKUP($A1072,#REF!,16,FALSE)&lt;-2),"",#REF!),"")</f>
        <v/>
      </c>
      <c r="S1072" t="str">
        <f>IFERROR(IF(OR(HLOOKUP($A1072,#REF!,17,FALSE)&gt;2,HLOOKUP($A1072,#REF!,17,FALSE)&lt;-2),"",#REF!),"")</f>
        <v/>
      </c>
      <c r="T1072" t="str">
        <f>IFERROR(IF(OR(HLOOKUP($A1072,#REF!,18,FALSE)&gt;2,HLOOKUP($A1072,#REF!,18,FALSE)&lt;-2),"",#REF!),"")</f>
        <v/>
      </c>
      <c r="U1072" t="str">
        <f>IFERROR(IF(OR(HLOOKUP($A1072,#REF!,19,FALSE)&gt;2,HLOOKUP($A1072,#REF!,19,FALSE)&lt;-2),"",#REF!),"")</f>
        <v/>
      </c>
      <c r="V1072">
        <f t="shared" si="64"/>
        <v>1</v>
      </c>
      <c r="W1072" t="str">
        <f t="shared" si="65"/>
        <v/>
      </c>
      <c r="X1072" t="str">
        <f t="shared" si="66"/>
        <v/>
      </c>
      <c r="Y1072" t="str">
        <f t="shared" si="67"/>
        <v/>
      </c>
    </row>
    <row r="1073" spans="1:25" x14ac:dyDescent="0.35">
      <c r="A1073">
        <v>1082</v>
      </c>
      <c r="B1073" t="s">
        <v>1142</v>
      </c>
      <c r="C1073">
        <v>32900</v>
      </c>
      <c r="D1073">
        <v>589</v>
      </c>
      <c r="E1073" t="str">
        <f>IFERROR(IF(OR(HLOOKUP($A1073,#REF!,3,FALSE)&gt;2,HLOOKUP(A1073,#REF!,3,FALSE)&lt;-2),"",#REF!),"")</f>
        <v/>
      </c>
      <c r="F1073" t="str">
        <f>IFERROR(IF(OR(HLOOKUP($A1073,#REF!,4,FALSE)&gt;2,HLOOKUP($A1073,#REF!,4,FALSE)&lt;-2),"",#REF!),"")</f>
        <v/>
      </c>
      <c r="G1073" t="str">
        <f>IFERROR(IF(OR(HLOOKUP($A1073,#REF!,5,FALSE)&gt;2,HLOOKUP($A1073,#REF!,5,FALSE)&lt;-2),"",#REF!),"")</f>
        <v/>
      </c>
      <c r="H1073" t="str">
        <f>IFERROR(IF(OR(HLOOKUP($A1073,#REF!,6,FALSE)&gt;2,HLOOKUP($A1073,#REF!,6,FALSE)&lt;-2),"",#REF!),"")</f>
        <v/>
      </c>
      <c r="I1073" t="str">
        <f>IFERROR(IF(OR(HLOOKUP($A1073,#REF!,7,FALSE)&gt;2,HLOOKUP($A1073,#REF!,7,FALSE)&lt;-2),"",#REF!),"")</f>
        <v/>
      </c>
      <c r="J1073" t="str">
        <f>IFERROR(IF(OR(HLOOKUP($A1073,#REF!,8,FALSE)&gt;2,HLOOKUP($A1073,#REF!,8,FALSE)&lt;-2),"",#REF!),"")</f>
        <v/>
      </c>
      <c r="K1073" t="str">
        <f>IFERROR(IF(OR(HLOOKUP($A1073,#REF!,9,FALSE)&gt;2,HLOOKUP($A1073,#REF!,9,FALSE)&lt;-2),"",#REF!),"")</f>
        <v/>
      </c>
      <c r="L1073" t="str">
        <f>IFERROR(IF(OR(HLOOKUP($A1073,#REF!,10,FALSE)&gt;2,HLOOKUP($A1073,#REF!,10,FALSE)&lt;-2),"",#REF!),"")</f>
        <v/>
      </c>
      <c r="M1073" t="str">
        <f>IFERROR(IF(OR(HLOOKUP($A1073,#REF!,11,FALSE)&gt;2,HLOOKUP($A1073,#REF!,11,FALSE)&lt;-2),"",#REF!),"")</f>
        <v/>
      </c>
      <c r="N1073" t="str">
        <f>IFERROR(IF(OR(HLOOKUP($A1073,#REF!,12,FALSE)&gt;2,HLOOKUP($A1073,#REF!,12,FALSE)&lt;-2),"",#REF!),"")</f>
        <v/>
      </c>
      <c r="O1073" t="str">
        <f>IFERROR(IF(OR(HLOOKUP($A1073,#REF!,13,FALSE)&gt;2,HLOOKUP($A1073,#REF!,13,FALSE)&lt;-2),"",#REF!),"")</f>
        <v/>
      </c>
      <c r="P1073" t="str">
        <f>IFERROR(IF(OR(HLOOKUP($A1073,#REF!,14,FALSE)&gt;2,HLOOKUP($A1073,#REF!,14,FALSE)&lt;-2),"",#REF!),"")</f>
        <v/>
      </c>
      <c r="Q1073" t="str">
        <f>IFERROR(IF(OR(HLOOKUP($A1073,#REF!,15,FALSE)&gt;2,HLOOKUP($A1073,#REF!,15,FALSE)&lt;-2),"",#REF!),"")</f>
        <v/>
      </c>
      <c r="R1073" t="str">
        <f>IFERROR(IF(OR(HLOOKUP($A1073,#REF!,16,FALSE)&gt;2,HLOOKUP($A1073,#REF!,16,FALSE)&lt;-2),"",#REF!),"")</f>
        <v/>
      </c>
      <c r="S1073" t="str">
        <f>IFERROR(IF(OR(HLOOKUP($A1073,#REF!,17,FALSE)&gt;2,HLOOKUP($A1073,#REF!,17,FALSE)&lt;-2),"",#REF!),"")</f>
        <v/>
      </c>
      <c r="T1073" t="str">
        <f>IFERROR(IF(OR(HLOOKUP($A1073,#REF!,18,FALSE)&gt;2,HLOOKUP($A1073,#REF!,18,FALSE)&lt;-2),"",#REF!),"")</f>
        <v/>
      </c>
      <c r="U1073" t="str">
        <f>IFERROR(IF(OR(HLOOKUP($A1073,#REF!,19,FALSE)&gt;2,HLOOKUP($A1073,#REF!,19,FALSE)&lt;-2),"",#REF!),"")</f>
        <v/>
      </c>
      <c r="V1073">
        <f t="shared" si="64"/>
        <v>1</v>
      </c>
      <c r="W1073" t="str">
        <f t="shared" si="65"/>
        <v/>
      </c>
      <c r="X1073" t="str">
        <f t="shared" si="66"/>
        <v/>
      </c>
      <c r="Y1073" t="str">
        <f t="shared" si="67"/>
        <v/>
      </c>
    </row>
    <row r="1074" spans="1:25" x14ac:dyDescent="0.35">
      <c r="A1074">
        <v>1083</v>
      </c>
      <c r="B1074" t="s">
        <v>1143</v>
      </c>
      <c r="C1074">
        <v>115000</v>
      </c>
      <c r="D1074">
        <v>824</v>
      </c>
      <c r="E1074" t="str">
        <f>IFERROR(IF(OR(HLOOKUP($A1074,#REF!,3,FALSE)&gt;2,HLOOKUP(A1074,#REF!,3,FALSE)&lt;-2),"",#REF!),"")</f>
        <v/>
      </c>
      <c r="F1074" t="str">
        <f>IFERROR(IF(OR(HLOOKUP($A1074,#REF!,4,FALSE)&gt;2,HLOOKUP($A1074,#REF!,4,FALSE)&lt;-2),"",#REF!),"")</f>
        <v/>
      </c>
      <c r="G1074" t="str">
        <f>IFERROR(IF(OR(HLOOKUP($A1074,#REF!,5,FALSE)&gt;2,HLOOKUP($A1074,#REF!,5,FALSE)&lt;-2),"",#REF!),"")</f>
        <v/>
      </c>
      <c r="H1074" t="str">
        <f>IFERROR(IF(OR(HLOOKUP($A1074,#REF!,6,FALSE)&gt;2,HLOOKUP($A1074,#REF!,6,FALSE)&lt;-2),"",#REF!),"")</f>
        <v/>
      </c>
      <c r="I1074" t="str">
        <f>IFERROR(IF(OR(HLOOKUP($A1074,#REF!,7,FALSE)&gt;2,HLOOKUP($A1074,#REF!,7,FALSE)&lt;-2),"",#REF!),"")</f>
        <v/>
      </c>
      <c r="J1074" t="str">
        <f>IFERROR(IF(OR(HLOOKUP($A1074,#REF!,8,FALSE)&gt;2,HLOOKUP($A1074,#REF!,8,FALSE)&lt;-2),"",#REF!),"")</f>
        <v/>
      </c>
      <c r="K1074" t="str">
        <f>IFERROR(IF(OR(HLOOKUP($A1074,#REF!,9,FALSE)&gt;2,HLOOKUP($A1074,#REF!,9,FALSE)&lt;-2),"",#REF!),"")</f>
        <v/>
      </c>
      <c r="L1074" t="str">
        <f>IFERROR(IF(OR(HLOOKUP($A1074,#REF!,10,FALSE)&gt;2,HLOOKUP($A1074,#REF!,10,FALSE)&lt;-2),"",#REF!),"")</f>
        <v/>
      </c>
      <c r="M1074" t="str">
        <f>IFERROR(IF(OR(HLOOKUP($A1074,#REF!,11,FALSE)&gt;2,HLOOKUP($A1074,#REF!,11,FALSE)&lt;-2),"",#REF!),"")</f>
        <v/>
      </c>
      <c r="N1074" t="str">
        <f>IFERROR(IF(OR(HLOOKUP($A1074,#REF!,12,FALSE)&gt;2,HLOOKUP($A1074,#REF!,12,FALSE)&lt;-2),"",#REF!),"")</f>
        <v/>
      </c>
      <c r="O1074" t="str">
        <f>IFERROR(IF(OR(HLOOKUP($A1074,#REF!,13,FALSE)&gt;2,HLOOKUP($A1074,#REF!,13,FALSE)&lt;-2),"",#REF!),"")</f>
        <v/>
      </c>
      <c r="P1074" t="str">
        <f>IFERROR(IF(OR(HLOOKUP($A1074,#REF!,14,FALSE)&gt;2,HLOOKUP($A1074,#REF!,14,FALSE)&lt;-2),"",#REF!),"")</f>
        <v/>
      </c>
      <c r="Q1074" t="str">
        <f>IFERROR(IF(OR(HLOOKUP($A1074,#REF!,15,FALSE)&gt;2,HLOOKUP($A1074,#REF!,15,FALSE)&lt;-2),"",#REF!),"")</f>
        <v/>
      </c>
      <c r="R1074" t="str">
        <f>IFERROR(IF(OR(HLOOKUP($A1074,#REF!,16,FALSE)&gt;2,HLOOKUP($A1074,#REF!,16,FALSE)&lt;-2),"",#REF!),"")</f>
        <v/>
      </c>
      <c r="S1074" t="str">
        <f>IFERROR(IF(OR(HLOOKUP($A1074,#REF!,17,FALSE)&gt;2,HLOOKUP($A1074,#REF!,17,FALSE)&lt;-2),"",#REF!),"")</f>
        <v/>
      </c>
      <c r="T1074" t="str">
        <f>IFERROR(IF(OR(HLOOKUP($A1074,#REF!,18,FALSE)&gt;2,HLOOKUP($A1074,#REF!,18,FALSE)&lt;-2),"",#REF!),"")</f>
        <v/>
      </c>
      <c r="U1074" t="str">
        <f>IFERROR(IF(OR(HLOOKUP($A1074,#REF!,19,FALSE)&gt;2,HLOOKUP($A1074,#REF!,19,FALSE)&lt;-2),"",#REF!),"")</f>
        <v/>
      </c>
      <c r="V1074">
        <f t="shared" si="64"/>
        <v>1</v>
      </c>
      <c r="W1074" t="str">
        <f t="shared" si="65"/>
        <v/>
      </c>
      <c r="X1074" t="str">
        <f t="shared" si="66"/>
        <v/>
      </c>
      <c r="Y1074" t="str">
        <f t="shared" si="67"/>
        <v/>
      </c>
    </row>
    <row r="1075" spans="1:25" x14ac:dyDescent="0.35">
      <c r="A1075">
        <v>1084</v>
      </c>
      <c r="B1075" t="s">
        <v>534</v>
      </c>
      <c r="C1075">
        <v>45100</v>
      </c>
      <c r="D1075">
        <v>822</v>
      </c>
      <c r="E1075" t="str">
        <f>IFERROR(IF(OR(HLOOKUP($A1075,#REF!,3,FALSE)&gt;2,HLOOKUP(A1075,#REF!,3,FALSE)&lt;-2),"",#REF!),"")</f>
        <v/>
      </c>
      <c r="F1075" t="str">
        <f>IFERROR(IF(OR(HLOOKUP($A1075,#REF!,4,FALSE)&gt;2,HLOOKUP($A1075,#REF!,4,FALSE)&lt;-2),"",#REF!),"")</f>
        <v/>
      </c>
      <c r="G1075" t="str">
        <f>IFERROR(IF(OR(HLOOKUP($A1075,#REF!,5,FALSE)&gt;2,HLOOKUP($A1075,#REF!,5,FALSE)&lt;-2),"",#REF!),"")</f>
        <v/>
      </c>
      <c r="H1075" t="str">
        <f>IFERROR(IF(OR(HLOOKUP($A1075,#REF!,6,FALSE)&gt;2,HLOOKUP($A1075,#REF!,6,FALSE)&lt;-2),"",#REF!),"")</f>
        <v/>
      </c>
      <c r="I1075" t="str">
        <f>IFERROR(IF(OR(HLOOKUP($A1075,#REF!,7,FALSE)&gt;2,HLOOKUP($A1075,#REF!,7,FALSE)&lt;-2),"",#REF!),"")</f>
        <v/>
      </c>
      <c r="J1075" t="str">
        <f>IFERROR(IF(OR(HLOOKUP($A1075,#REF!,8,FALSE)&gt;2,HLOOKUP($A1075,#REF!,8,FALSE)&lt;-2),"",#REF!),"")</f>
        <v/>
      </c>
      <c r="K1075" t="str">
        <f>IFERROR(IF(OR(HLOOKUP($A1075,#REF!,9,FALSE)&gt;2,HLOOKUP($A1075,#REF!,9,FALSE)&lt;-2),"",#REF!),"")</f>
        <v/>
      </c>
      <c r="L1075" t="str">
        <f>IFERROR(IF(OR(HLOOKUP($A1075,#REF!,10,FALSE)&gt;2,HLOOKUP($A1075,#REF!,10,FALSE)&lt;-2),"",#REF!),"")</f>
        <v/>
      </c>
      <c r="M1075" t="str">
        <f>IFERROR(IF(OR(HLOOKUP($A1075,#REF!,11,FALSE)&gt;2,HLOOKUP($A1075,#REF!,11,FALSE)&lt;-2),"",#REF!),"")</f>
        <v/>
      </c>
      <c r="N1075" t="str">
        <f>IFERROR(IF(OR(HLOOKUP($A1075,#REF!,12,FALSE)&gt;2,HLOOKUP($A1075,#REF!,12,FALSE)&lt;-2),"",#REF!),"")</f>
        <v/>
      </c>
      <c r="O1075" t="str">
        <f>IFERROR(IF(OR(HLOOKUP($A1075,#REF!,13,FALSE)&gt;2,HLOOKUP($A1075,#REF!,13,FALSE)&lt;-2),"",#REF!),"")</f>
        <v/>
      </c>
      <c r="P1075" t="str">
        <f>IFERROR(IF(OR(HLOOKUP($A1075,#REF!,14,FALSE)&gt;2,HLOOKUP($A1075,#REF!,14,FALSE)&lt;-2),"",#REF!),"")</f>
        <v/>
      </c>
      <c r="Q1075" t="str">
        <f>IFERROR(IF(OR(HLOOKUP($A1075,#REF!,15,FALSE)&gt;2,HLOOKUP($A1075,#REF!,15,FALSE)&lt;-2),"",#REF!),"")</f>
        <v/>
      </c>
      <c r="R1075" t="str">
        <f>IFERROR(IF(OR(HLOOKUP($A1075,#REF!,16,FALSE)&gt;2,HLOOKUP($A1075,#REF!,16,FALSE)&lt;-2),"",#REF!),"")</f>
        <v/>
      </c>
      <c r="S1075" t="str">
        <f>IFERROR(IF(OR(HLOOKUP($A1075,#REF!,17,FALSE)&gt;2,HLOOKUP($A1075,#REF!,17,FALSE)&lt;-2),"",#REF!),"")</f>
        <v/>
      </c>
      <c r="T1075" t="str">
        <f>IFERROR(IF(OR(HLOOKUP($A1075,#REF!,18,FALSE)&gt;2,HLOOKUP($A1075,#REF!,18,FALSE)&lt;-2),"",#REF!),"")</f>
        <v/>
      </c>
      <c r="U1075" t="str">
        <f>IFERROR(IF(OR(HLOOKUP($A1075,#REF!,19,FALSE)&gt;2,HLOOKUP($A1075,#REF!,19,FALSE)&lt;-2),"",#REF!),"")</f>
        <v/>
      </c>
      <c r="V1075">
        <f t="shared" si="64"/>
        <v>1</v>
      </c>
      <c r="W1075" t="str">
        <f t="shared" si="65"/>
        <v/>
      </c>
      <c r="X1075" t="str">
        <f t="shared" si="66"/>
        <v/>
      </c>
      <c r="Y1075" t="str">
        <f t="shared" si="67"/>
        <v/>
      </c>
    </row>
    <row r="1076" spans="1:25" x14ac:dyDescent="0.35">
      <c r="A1076">
        <v>1085</v>
      </c>
      <c r="B1076" t="s">
        <v>535</v>
      </c>
      <c r="C1076">
        <v>2600</v>
      </c>
      <c r="D1076">
        <v>993</v>
      </c>
      <c r="E1076" t="str">
        <f>IFERROR(IF(OR(HLOOKUP($A1076,#REF!,3,FALSE)&gt;2,HLOOKUP(A1076,#REF!,3,FALSE)&lt;-2),"",#REF!),"")</f>
        <v/>
      </c>
      <c r="F1076" t="str">
        <f>IFERROR(IF(OR(HLOOKUP($A1076,#REF!,4,FALSE)&gt;2,HLOOKUP($A1076,#REF!,4,FALSE)&lt;-2),"",#REF!),"")</f>
        <v/>
      </c>
      <c r="G1076" t="str">
        <f>IFERROR(IF(OR(HLOOKUP($A1076,#REF!,5,FALSE)&gt;2,HLOOKUP($A1076,#REF!,5,FALSE)&lt;-2),"",#REF!),"")</f>
        <v/>
      </c>
      <c r="H1076" t="str">
        <f>IFERROR(IF(OR(HLOOKUP($A1076,#REF!,6,FALSE)&gt;2,HLOOKUP($A1076,#REF!,6,FALSE)&lt;-2),"",#REF!),"")</f>
        <v/>
      </c>
      <c r="I1076" t="str">
        <f>IFERROR(IF(OR(HLOOKUP($A1076,#REF!,7,FALSE)&gt;2,HLOOKUP($A1076,#REF!,7,FALSE)&lt;-2),"",#REF!),"")</f>
        <v/>
      </c>
      <c r="J1076" t="str">
        <f>IFERROR(IF(OR(HLOOKUP($A1076,#REF!,8,FALSE)&gt;2,HLOOKUP($A1076,#REF!,8,FALSE)&lt;-2),"",#REF!),"")</f>
        <v/>
      </c>
      <c r="K1076" t="str">
        <f>IFERROR(IF(OR(HLOOKUP($A1076,#REF!,9,FALSE)&gt;2,HLOOKUP($A1076,#REF!,9,FALSE)&lt;-2),"",#REF!),"")</f>
        <v/>
      </c>
      <c r="L1076" t="str">
        <f>IFERROR(IF(OR(HLOOKUP($A1076,#REF!,10,FALSE)&gt;2,HLOOKUP($A1076,#REF!,10,FALSE)&lt;-2),"",#REF!),"")</f>
        <v/>
      </c>
      <c r="M1076" t="str">
        <f>IFERROR(IF(OR(HLOOKUP($A1076,#REF!,11,FALSE)&gt;2,HLOOKUP($A1076,#REF!,11,FALSE)&lt;-2),"",#REF!),"")</f>
        <v/>
      </c>
      <c r="N1076" t="str">
        <f>IFERROR(IF(OR(HLOOKUP($A1076,#REF!,12,FALSE)&gt;2,HLOOKUP($A1076,#REF!,12,FALSE)&lt;-2),"",#REF!),"")</f>
        <v/>
      </c>
      <c r="O1076" t="str">
        <f>IFERROR(IF(OR(HLOOKUP($A1076,#REF!,13,FALSE)&gt;2,HLOOKUP($A1076,#REF!,13,FALSE)&lt;-2),"",#REF!),"")</f>
        <v/>
      </c>
      <c r="P1076" t="str">
        <f>IFERROR(IF(OR(HLOOKUP($A1076,#REF!,14,FALSE)&gt;2,HLOOKUP($A1076,#REF!,14,FALSE)&lt;-2),"",#REF!),"")</f>
        <v/>
      </c>
      <c r="Q1076" t="str">
        <f>IFERROR(IF(OR(HLOOKUP($A1076,#REF!,15,FALSE)&gt;2,HLOOKUP($A1076,#REF!,15,FALSE)&lt;-2),"",#REF!),"")</f>
        <v/>
      </c>
      <c r="R1076" t="str">
        <f>IFERROR(IF(OR(HLOOKUP($A1076,#REF!,16,FALSE)&gt;2,HLOOKUP($A1076,#REF!,16,FALSE)&lt;-2),"",#REF!),"")</f>
        <v/>
      </c>
      <c r="S1076" t="str">
        <f>IFERROR(IF(OR(HLOOKUP($A1076,#REF!,17,FALSE)&gt;2,HLOOKUP($A1076,#REF!,17,FALSE)&lt;-2),"",#REF!),"")</f>
        <v/>
      </c>
      <c r="T1076" t="str">
        <f>IFERROR(IF(OR(HLOOKUP($A1076,#REF!,18,FALSE)&gt;2,HLOOKUP($A1076,#REF!,18,FALSE)&lt;-2),"",#REF!),"")</f>
        <v/>
      </c>
      <c r="U1076" t="str">
        <f>IFERROR(IF(OR(HLOOKUP($A1076,#REF!,19,FALSE)&gt;2,HLOOKUP($A1076,#REF!,19,FALSE)&lt;-2),"",#REF!),"")</f>
        <v/>
      </c>
      <c r="V1076">
        <f t="shared" si="64"/>
        <v>1</v>
      </c>
      <c r="W1076" t="str">
        <f t="shared" si="65"/>
        <v/>
      </c>
      <c r="X1076" t="str">
        <f t="shared" si="66"/>
        <v/>
      </c>
      <c r="Y1076" t="str">
        <f t="shared" si="67"/>
        <v/>
      </c>
    </row>
    <row r="1077" spans="1:25" x14ac:dyDescent="0.35">
      <c r="A1077">
        <v>1086</v>
      </c>
      <c r="B1077" t="s">
        <v>536</v>
      </c>
      <c r="C1077">
        <v>7300</v>
      </c>
      <c r="D1077">
        <v>361</v>
      </c>
      <c r="E1077" t="str">
        <f>IFERROR(IF(OR(HLOOKUP($A1077,#REF!,3,FALSE)&gt;2,HLOOKUP(A1077,#REF!,3,FALSE)&lt;-2),"",#REF!),"")</f>
        <v/>
      </c>
      <c r="F1077" t="str">
        <f>IFERROR(IF(OR(HLOOKUP($A1077,#REF!,4,FALSE)&gt;2,HLOOKUP($A1077,#REF!,4,FALSE)&lt;-2),"",#REF!),"")</f>
        <v/>
      </c>
      <c r="G1077" t="str">
        <f>IFERROR(IF(OR(HLOOKUP($A1077,#REF!,5,FALSE)&gt;2,HLOOKUP($A1077,#REF!,5,FALSE)&lt;-2),"",#REF!),"")</f>
        <v/>
      </c>
      <c r="H1077" t="str">
        <f>IFERROR(IF(OR(HLOOKUP($A1077,#REF!,6,FALSE)&gt;2,HLOOKUP($A1077,#REF!,6,FALSE)&lt;-2),"",#REF!),"")</f>
        <v/>
      </c>
      <c r="I1077" t="str">
        <f>IFERROR(IF(OR(HLOOKUP($A1077,#REF!,7,FALSE)&gt;2,HLOOKUP($A1077,#REF!,7,FALSE)&lt;-2),"",#REF!),"")</f>
        <v/>
      </c>
      <c r="J1077" t="str">
        <f>IFERROR(IF(OR(HLOOKUP($A1077,#REF!,8,FALSE)&gt;2,HLOOKUP($A1077,#REF!,8,FALSE)&lt;-2),"",#REF!),"")</f>
        <v/>
      </c>
      <c r="K1077" t="str">
        <f>IFERROR(IF(OR(HLOOKUP($A1077,#REF!,9,FALSE)&gt;2,HLOOKUP($A1077,#REF!,9,FALSE)&lt;-2),"",#REF!),"")</f>
        <v/>
      </c>
      <c r="L1077" t="str">
        <f>IFERROR(IF(OR(HLOOKUP($A1077,#REF!,10,FALSE)&gt;2,HLOOKUP($A1077,#REF!,10,FALSE)&lt;-2),"",#REF!),"")</f>
        <v/>
      </c>
      <c r="M1077" t="str">
        <f>IFERROR(IF(OR(HLOOKUP($A1077,#REF!,11,FALSE)&gt;2,HLOOKUP($A1077,#REF!,11,FALSE)&lt;-2),"",#REF!),"")</f>
        <v/>
      </c>
      <c r="N1077" t="str">
        <f>IFERROR(IF(OR(HLOOKUP($A1077,#REF!,12,FALSE)&gt;2,HLOOKUP($A1077,#REF!,12,FALSE)&lt;-2),"",#REF!),"")</f>
        <v/>
      </c>
      <c r="O1077" t="str">
        <f>IFERROR(IF(OR(HLOOKUP($A1077,#REF!,13,FALSE)&gt;2,HLOOKUP($A1077,#REF!,13,FALSE)&lt;-2),"",#REF!),"")</f>
        <v/>
      </c>
      <c r="P1077" t="str">
        <f>IFERROR(IF(OR(HLOOKUP($A1077,#REF!,14,FALSE)&gt;2,HLOOKUP($A1077,#REF!,14,FALSE)&lt;-2),"",#REF!),"")</f>
        <v/>
      </c>
      <c r="Q1077" t="str">
        <f>IFERROR(IF(OR(HLOOKUP($A1077,#REF!,15,FALSE)&gt;2,HLOOKUP($A1077,#REF!,15,FALSE)&lt;-2),"",#REF!),"")</f>
        <v/>
      </c>
      <c r="R1077" t="str">
        <f>IFERROR(IF(OR(HLOOKUP($A1077,#REF!,16,FALSE)&gt;2,HLOOKUP($A1077,#REF!,16,FALSE)&lt;-2),"",#REF!),"")</f>
        <v/>
      </c>
      <c r="S1077" t="str">
        <f>IFERROR(IF(OR(HLOOKUP($A1077,#REF!,17,FALSE)&gt;2,HLOOKUP($A1077,#REF!,17,FALSE)&lt;-2),"",#REF!),"")</f>
        <v/>
      </c>
      <c r="T1077" t="str">
        <f>IFERROR(IF(OR(HLOOKUP($A1077,#REF!,18,FALSE)&gt;2,HLOOKUP($A1077,#REF!,18,FALSE)&lt;-2),"",#REF!),"")</f>
        <v/>
      </c>
      <c r="U1077" t="str">
        <f>IFERROR(IF(OR(HLOOKUP($A1077,#REF!,19,FALSE)&gt;2,HLOOKUP($A1077,#REF!,19,FALSE)&lt;-2),"",#REF!),"")</f>
        <v/>
      </c>
      <c r="V1077">
        <f t="shared" si="64"/>
        <v>1</v>
      </c>
      <c r="W1077" t="str">
        <f t="shared" si="65"/>
        <v/>
      </c>
      <c r="X1077" t="str">
        <f t="shared" si="66"/>
        <v/>
      </c>
      <c r="Y1077" t="str">
        <f t="shared" si="67"/>
        <v/>
      </c>
    </row>
    <row r="1078" spans="1:25" x14ac:dyDescent="0.35">
      <c r="A1078">
        <v>1087</v>
      </c>
      <c r="B1078" t="s">
        <v>1144</v>
      </c>
      <c r="C1078">
        <v>117700</v>
      </c>
      <c r="D1078">
        <v>1040</v>
      </c>
      <c r="E1078" t="str">
        <f>IFERROR(IF(OR(HLOOKUP($A1078,#REF!,3,FALSE)&gt;2,HLOOKUP(A1078,#REF!,3,FALSE)&lt;-2),"",#REF!),"")</f>
        <v/>
      </c>
      <c r="F1078" t="str">
        <f>IFERROR(IF(OR(HLOOKUP($A1078,#REF!,4,FALSE)&gt;2,HLOOKUP($A1078,#REF!,4,FALSE)&lt;-2),"",#REF!),"")</f>
        <v/>
      </c>
      <c r="G1078" t="str">
        <f>IFERROR(IF(OR(HLOOKUP($A1078,#REF!,5,FALSE)&gt;2,HLOOKUP($A1078,#REF!,5,FALSE)&lt;-2),"",#REF!),"")</f>
        <v/>
      </c>
      <c r="H1078" t="str">
        <f>IFERROR(IF(OR(HLOOKUP($A1078,#REF!,6,FALSE)&gt;2,HLOOKUP($A1078,#REF!,6,FALSE)&lt;-2),"",#REF!),"")</f>
        <v/>
      </c>
      <c r="I1078" t="str">
        <f>IFERROR(IF(OR(HLOOKUP($A1078,#REF!,7,FALSE)&gt;2,HLOOKUP($A1078,#REF!,7,FALSE)&lt;-2),"",#REF!),"")</f>
        <v/>
      </c>
      <c r="J1078" t="str">
        <f>IFERROR(IF(OR(HLOOKUP($A1078,#REF!,8,FALSE)&gt;2,HLOOKUP($A1078,#REF!,8,FALSE)&lt;-2),"",#REF!),"")</f>
        <v/>
      </c>
      <c r="K1078" t="str">
        <f>IFERROR(IF(OR(HLOOKUP($A1078,#REF!,9,FALSE)&gt;2,HLOOKUP($A1078,#REF!,9,FALSE)&lt;-2),"",#REF!),"")</f>
        <v/>
      </c>
      <c r="L1078" t="str">
        <f>IFERROR(IF(OR(HLOOKUP($A1078,#REF!,10,FALSE)&gt;2,HLOOKUP($A1078,#REF!,10,FALSE)&lt;-2),"",#REF!),"")</f>
        <v/>
      </c>
      <c r="M1078" t="str">
        <f>IFERROR(IF(OR(HLOOKUP($A1078,#REF!,11,FALSE)&gt;2,HLOOKUP($A1078,#REF!,11,FALSE)&lt;-2),"",#REF!),"")</f>
        <v/>
      </c>
      <c r="N1078" t="str">
        <f>IFERROR(IF(OR(HLOOKUP($A1078,#REF!,12,FALSE)&gt;2,HLOOKUP($A1078,#REF!,12,FALSE)&lt;-2),"",#REF!),"")</f>
        <v/>
      </c>
      <c r="O1078" t="str">
        <f>IFERROR(IF(OR(HLOOKUP($A1078,#REF!,13,FALSE)&gt;2,HLOOKUP($A1078,#REF!,13,FALSE)&lt;-2),"",#REF!),"")</f>
        <v/>
      </c>
      <c r="P1078" t="str">
        <f>IFERROR(IF(OR(HLOOKUP($A1078,#REF!,14,FALSE)&gt;2,HLOOKUP($A1078,#REF!,14,FALSE)&lt;-2),"",#REF!),"")</f>
        <v/>
      </c>
      <c r="Q1078" t="str">
        <f>IFERROR(IF(OR(HLOOKUP($A1078,#REF!,15,FALSE)&gt;2,HLOOKUP($A1078,#REF!,15,FALSE)&lt;-2),"",#REF!),"")</f>
        <v/>
      </c>
      <c r="R1078" t="str">
        <f>IFERROR(IF(OR(HLOOKUP($A1078,#REF!,16,FALSE)&gt;2,HLOOKUP($A1078,#REF!,16,FALSE)&lt;-2),"",#REF!),"")</f>
        <v/>
      </c>
      <c r="S1078" t="str">
        <f>IFERROR(IF(OR(HLOOKUP($A1078,#REF!,17,FALSE)&gt;2,HLOOKUP($A1078,#REF!,17,FALSE)&lt;-2),"",#REF!),"")</f>
        <v/>
      </c>
      <c r="T1078" t="str">
        <f>IFERROR(IF(OR(HLOOKUP($A1078,#REF!,18,FALSE)&gt;2,HLOOKUP($A1078,#REF!,18,FALSE)&lt;-2),"",#REF!),"")</f>
        <v/>
      </c>
      <c r="U1078" t="str">
        <f>IFERROR(IF(OR(HLOOKUP($A1078,#REF!,19,FALSE)&gt;2,HLOOKUP($A1078,#REF!,19,FALSE)&lt;-2),"",#REF!),"")</f>
        <v/>
      </c>
      <c r="V1078">
        <f t="shared" si="64"/>
        <v>1</v>
      </c>
      <c r="W1078" t="str">
        <f t="shared" si="65"/>
        <v/>
      </c>
      <c r="X1078" t="str">
        <f t="shared" si="66"/>
        <v/>
      </c>
      <c r="Y1078" t="str">
        <f t="shared" si="67"/>
        <v/>
      </c>
    </row>
    <row r="1079" spans="1:25" x14ac:dyDescent="0.35">
      <c r="A1079">
        <v>1088</v>
      </c>
      <c r="B1079" t="s">
        <v>1145</v>
      </c>
      <c r="C1079">
        <v>65400</v>
      </c>
      <c r="D1079">
        <v>475</v>
      </c>
      <c r="E1079" t="str">
        <f>IFERROR(IF(OR(HLOOKUP($A1079,#REF!,3,FALSE)&gt;2,HLOOKUP(A1079,#REF!,3,FALSE)&lt;-2),"",#REF!),"")</f>
        <v/>
      </c>
      <c r="F1079" t="str">
        <f>IFERROR(IF(OR(HLOOKUP($A1079,#REF!,4,FALSE)&gt;2,HLOOKUP($A1079,#REF!,4,FALSE)&lt;-2),"",#REF!),"")</f>
        <v/>
      </c>
      <c r="G1079" t="str">
        <f>IFERROR(IF(OR(HLOOKUP($A1079,#REF!,5,FALSE)&gt;2,HLOOKUP($A1079,#REF!,5,FALSE)&lt;-2),"",#REF!),"")</f>
        <v/>
      </c>
      <c r="H1079" t="str">
        <f>IFERROR(IF(OR(HLOOKUP($A1079,#REF!,6,FALSE)&gt;2,HLOOKUP($A1079,#REF!,6,FALSE)&lt;-2),"",#REF!),"")</f>
        <v/>
      </c>
      <c r="I1079" t="str">
        <f>IFERROR(IF(OR(HLOOKUP($A1079,#REF!,7,FALSE)&gt;2,HLOOKUP($A1079,#REF!,7,FALSE)&lt;-2),"",#REF!),"")</f>
        <v/>
      </c>
      <c r="J1079" t="str">
        <f>IFERROR(IF(OR(HLOOKUP($A1079,#REF!,8,FALSE)&gt;2,HLOOKUP($A1079,#REF!,8,FALSE)&lt;-2),"",#REF!),"")</f>
        <v/>
      </c>
      <c r="K1079" t="str">
        <f>IFERROR(IF(OR(HLOOKUP($A1079,#REF!,9,FALSE)&gt;2,HLOOKUP($A1079,#REF!,9,FALSE)&lt;-2),"",#REF!),"")</f>
        <v/>
      </c>
      <c r="L1079" t="str">
        <f>IFERROR(IF(OR(HLOOKUP($A1079,#REF!,10,FALSE)&gt;2,HLOOKUP($A1079,#REF!,10,FALSE)&lt;-2),"",#REF!),"")</f>
        <v/>
      </c>
      <c r="M1079" t="str">
        <f>IFERROR(IF(OR(HLOOKUP($A1079,#REF!,11,FALSE)&gt;2,HLOOKUP($A1079,#REF!,11,FALSE)&lt;-2),"",#REF!),"")</f>
        <v/>
      </c>
      <c r="N1079" t="str">
        <f>IFERROR(IF(OR(HLOOKUP($A1079,#REF!,12,FALSE)&gt;2,HLOOKUP($A1079,#REF!,12,FALSE)&lt;-2),"",#REF!),"")</f>
        <v/>
      </c>
      <c r="O1079" t="str">
        <f>IFERROR(IF(OR(HLOOKUP($A1079,#REF!,13,FALSE)&gt;2,HLOOKUP($A1079,#REF!,13,FALSE)&lt;-2),"",#REF!),"")</f>
        <v/>
      </c>
      <c r="P1079" t="str">
        <f>IFERROR(IF(OR(HLOOKUP($A1079,#REF!,14,FALSE)&gt;2,HLOOKUP($A1079,#REF!,14,FALSE)&lt;-2),"",#REF!),"")</f>
        <v/>
      </c>
      <c r="Q1079" t="str">
        <f>IFERROR(IF(OR(HLOOKUP($A1079,#REF!,15,FALSE)&gt;2,HLOOKUP($A1079,#REF!,15,FALSE)&lt;-2),"",#REF!),"")</f>
        <v/>
      </c>
      <c r="R1079" t="str">
        <f>IFERROR(IF(OR(HLOOKUP($A1079,#REF!,16,FALSE)&gt;2,HLOOKUP($A1079,#REF!,16,FALSE)&lt;-2),"",#REF!),"")</f>
        <v/>
      </c>
      <c r="S1079" t="str">
        <f>IFERROR(IF(OR(HLOOKUP($A1079,#REF!,17,FALSE)&gt;2,HLOOKUP($A1079,#REF!,17,FALSE)&lt;-2),"",#REF!),"")</f>
        <v/>
      </c>
      <c r="T1079" t="str">
        <f>IFERROR(IF(OR(HLOOKUP($A1079,#REF!,18,FALSE)&gt;2,HLOOKUP($A1079,#REF!,18,FALSE)&lt;-2),"",#REF!),"")</f>
        <v/>
      </c>
      <c r="U1079" t="str">
        <f>IFERROR(IF(OR(HLOOKUP($A1079,#REF!,19,FALSE)&gt;2,HLOOKUP($A1079,#REF!,19,FALSE)&lt;-2),"",#REF!),"")</f>
        <v/>
      </c>
      <c r="V1079">
        <f t="shared" si="64"/>
        <v>1</v>
      </c>
      <c r="W1079" t="str">
        <f t="shared" si="65"/>
        <v/>
      </c>
      <c r="X1079" t="str">
        <f t="shared" si="66"/>
        <v/>
      </c>
      <c r="Y1079" t="str">
        <f t="shared" si="67"/>
        <v/>
      </c>
    </row>
    <row r="1080" spans="1:25" x14ac:dyDescent="0.35">
      <c r="A1080">
        <v>1089</v>
      </c>
      <c r="B1080" t="s">
        <v>537</v>
      </c>
      <c r="C1080">
        <v>37400</v>
      </c>
      <c r="D1080">
        <v>695</v>
      </c>
      <c r="E1080" t="str">
        <f>IFERROR(IF(OR(HLOOKUP($A1080,#REF!,3,FALSE)&gt;2,HLOOKUP(A1080,#REF!,3,FALSE)&lt;-2),"",#REF!),"")</f>
        <v/>
      </c>
      <c r="F1080" t="str">
        <f>IFERROR(IF(OR(HLOOKUP($A1080,#REF!,4,FALSE)&gt;2,HLOOKUP($A1080,#REF!,4,FALSE)&lt;-2),"",#REF!),"")</f>
        <v/>
      </c>
      <c r="G1080" t="str">
        <f>IFERROR(IF(OR(HLOOKUP($A1080,#REF!,5,FALSE)&gt;2,HLOOKUP($A1080,#REF!,5,FALSE)&lt;-2),"",#REF!),"")</f>
        <v/>
      </c>
      <c r="H1080" t="str">
        <f>IFERROR(IF(OR(HLOOKUP($A1080,#REF!,6,FALSE)&gt;2,HLOOKUP($A1080,#REF!,6,FALSE)&lt;-2),"",#REF!),"")</f>
        <v/>
      </c>
      <c r="I1080" t="str">
        <f>IFERROR(IF(OR(HLOOKUP($A1080,#REF!,7,FALSE)&gt;2,HLOOKUP($A1080,#REF!,7,FALSE)&lt;-2),"",#REF!),"")</f>
        <v/>
      </c>
      <c r="J1080" t="str">
        <f>IFERROR(IF(OR(HLOOKUP($A1080,#REF!,8,FALSE)&gt;2,HLOOKUP($A1080,#REF!,8,FALSE)&lt;-2),"",#REF!),"")</f>
        <v/>
      </c>
      <c r="K1080" t="str">
        <f>IFERROR(IF(OR(HLOOKUP($A1080,#REF!,9,FALSE)&gt;2,HLOOKUP($A1080,#REF!,9,FALSE)&lt;-2),"",#REF!),"")</f>
        <v/>
      </c>
      <c r="L1080" t="str">
        <f>IFERROR(IF(OR(HLOOKUP($A1080,#REF!,10,FALSE)&gt;2,HLOOKUP($A1080,#REF!,10,FALSE)&lt;-2),"",#REF!),"")</f>
        <v/>
      </c>
      <c r="M1080" t="str">
        <f>IFERROR(IF(OR(HLOOKUP($A1080,#REF!,11,FALSE)&gt;2,HLOOKUP($A1080,#REF!,11,FALSE)&lt;-2),"",#REF!),"")</f>
        <v/>
      </c>
      <c r="N1080" t="str">
        <f>IFERROR(IF(OR(HLOOKUP($A1080,#REF!,12,FALSE)&gt;2,HLOOKUP($A1080,#REF!,12,FALSE)&lt;-2),"",#REF!),"")</f>
        <v/>
      </c>
      <c r="O1080" t="str">
        <f>IFERROR(IF(OR(HLOOKUP($A1080,#REF!,13,FALSE)&gt;2,HLOOKUP($A1080,#REF!,13,FALSE)&lt;-2),"",#REF!),"")</f>
        <v/>
      </c>
      <c r="P1080" t="str">
        <f>IFERROR(IF(OR(HLOOKUP($A1080,#REF!,14,FALSE)&gt;2,HLOOKUP($A1080,#REF!,14,FALSE)&lt;-2),"",#REF!),"")</f>
        <v/>
      </c>
      <c r="Q1080" t="str">
        <f>IFERROR(IF(OR(HLOOKUP($A1080,#REF!,15,FALSE)&gt;2,HLOOKUP($A1080,#REF!,15,FALSE)&lt;-2),"",#REF!),"")</f>
        <v/>
      </c>
      <c r="R1080" t="str">
        <f>IFERROR(IF(OR(HLOOKUP($A1080,#REF!,16,FALSE)&gt;2,HLOOKUP($A1080,#REF!,16,FALSE)&lt;-2),"",#REF!),"")</f>
        <v/>
      </c>
      <c r="S1080" t="str">
        <f>IFERROR(IF(OR(HLOOKUP($A1080,#REF!,17,FALSE)&gt;2,HLOOKUP($A1080,#REF!,17,FALSE)&lt;-2),"",#REF!),"")</f>
        <v/>
      </c>
      <c r="T1080" t="str">
        <f>IFERROR(IF(OR(HLOOKUP($A1080,#REF!,18,FALSE)&gt;2,HLOOKUP($A1080,#REF!,18,FALSE)&lt;-2),"",#REF!),"")</f>
        <v/>
      </c>
      <c r="U1080" t="str">
        <f>IFERROR(IF(OR(HLOOKUP($A1080,#REF!,19,FALSE)&gt;2,HLOOKUP($A1080,#REF!,19,FALSE)&lt;-2),"",#REF!),"")</f>
        <v/>
      </c>
      <c r="V1080">
        <f t="shared" si="64"/>
        <v>1</v>
      </c>
      <c r="W1080" t="str">
        <f t="shared" si="65"/>
        <v/>
      </c>
      <c r="X1080" t="str">
        <f t="shared" si="66"/>
        <v/>
      </c>
      <c r="Y1080" t="str">
        <f t="shared" si="67"/>
        <v/>
      </c>
    </row>
    <row r="1081" spans="1:25" x14ac:dyDescent="0.35">
      <c r="A1081">
        <v>1090</v>
      </c>
      <c r="B1081" t="s">
        <v>538</v>
      </c>
      <c r="C1081">
        <v>8100</v>
      </c>
      <c r="D1081">
        <v>378</v>
      </c>
      <c r="E1081" t="str">
        <f>IFERROR(IF(OR(HLOOKUP($A1081,#REF!,3,FALSE)&gt;2,HLOOKUP(A1081,#REF!,3,FALSE)&lt;-2),"",#REF!),"")</f>
        <v/>
      </c>
      <c r="F1081" t="str">
        <f>IFERROR(IF(OR(HLOOKUP($A1081,#REF!,4,FALSE)&gt;2,HLOOKUP($A1081,#REF!,4,FALSE)&lt;-2),"",#REF!),"")</f>
        <v/>
      </c>
      <c r="G1081" t="str">
        <f>IFERROR(IF(OR(HLOOKUP($A1081,#REF!,5,FALSE)&gt;2,HLOOKUP($A1081,#REF!,5,FALSE)&lt;-2),"",#REF!),"")</f>
        <v/>
      </c>
      <c r="H1081" t="str">
        <f>IFERROR(IF(OR(HLOOKUP($A1081,#REF!,6,FALSE)&gt;2,HLOOKUP($A1081,#REF!,6,FALSE)&lt;-2),"",#REF!),"")</f>
        <v/>
      </c>
      <c r="I1081" t="str">
        <f>IFERROR(IF(OR(HLOOKUP($A1081,#REF!,7,FALSE)&gt;2,HLOOKUP($A1081,#REF!,7,FALSE)&lt;-2),"",#REF!),"")</f>
        <v/>
      </c>
      <c r="J1081" t="str">
        <f>IFERROR(IF(OR(HLOOKUP($A1081,#REF!,8,FALSE)&gt;2,HLOOKUP($A1081,#REF!,8,FALSE)&lt;-2),"",#REF!),"")</f>
        <v/>
      </c>
      <c r="K1081" t="str">
        <f>IFERROR(IF(OR(HLOOKUP($A1081,#REF!,9,FALSE)&gt;2,HLOOKUP($A1081,#REF!,9,FALSE)&lt;-2),"",#REF!),"")</f>
        <v/>
      </c>
      <c r="L1081" t="str">
        <f>IFERROR(IF(OR(HLOOKUP($A1081,#REF!,10,FALSE)&gt;2,HLOOKUP($A1081,#REF!,10,FALSE)&lt;-2),"",#REF!),"")</f>
        <v/>
      </c>
      <c r="M1081" t="str">
        <f>IFERROR(IF(OR(HLOOKUP($A1081,#REF!,11,FALSE)&gt;2,HLOOKUP($A1081,#REF!,11,FALSE)&lt;-2),"",#REF!),"")</f>
        <v/>
      </c>
      <c r="N1081" t="str">
        <f>IFERROR(IF(OR(HLOOKUP($A1081,#REF!,12,FALSE)&gt;2,HLOOKUP($A1081,#REF!,12,FALSE)&lt;-2),"",#REF!),"")</f>
        <v/>
      </c>
      <c r="O1081" t="str">
        <f>IFERROR(IF(OR(HLOOKUP($A1081,#REF!,13,FALSE)&gt;2,HLOOKUP($A1081,#REF!,13,FALSE)&lt;-2),"",#REF!),"")</f>
        <v/>
      </c>
      <c r="P1081" t="str">
        <f>IFERROR(IF(OR(HLOOKUP($A1081,#REF!,14,FALSE)&gt;2,HLOOKUP($A1081,#REF!,14,FALSE)&lt;-2),"",#REF!),"")</f>
        <v/>
      </c>
      <c r="Q1081" t="str">
        <f>IFERROR(IF(OR(HLOOKUP($A1081,#REF!,15,FALSE)&gt;2,HLOOKUP($A1081,#REF!,15,FALSE)&lt;-2),"",#REF!),"")</f>
        <v/>
      </c>
      <c r="R1081" t="str">
        <f>IFERROR(IF(OR(HLOOKUP($A1081,#REF!,16,FALSE)&gt;2,HLOOKUP($A1081,#REF!,16,FALSE)&lt;-2),"",#REF!),"")</f>
        <v/>
      </c>
      <c r="S1081" t="str">
        <f>IFERROR(IF(OR(HLOOKUP($A1081,#REF!,17,FALSE)&gt;2,HLOOKUP($A1081,#REF!,17,FALSE)&lt;-2),"",#REF!),"")</f>
        <v/>
      </c>
      <c r="T1081" t="str">
        <f>IFERROR(IF(OR(HLOOKUP($A1081,#REF!,18,FALSE)&gt;2,HLOOKUP($A1081,#REF!,18,FALSE)&lt;-2),"",#REF!),"")</f>
        <v/>
      </c>
      <c r="U1081" t="str">
        <f>IFERROR(IF(OR(HLOOKUP($A1081,#REF!,19,FALSE)&gt;2,HLOOKUP($A1081,#REF!,19,FALSE)&lt;-2),"",#REF!),"")</f>
        <v/>
      </c>
      <c r="V1081">
        <f t="shared" si="64"/>
        <v>1</v>
      </c>
      <c r="W1081" t="str">
        <f t="shared" si="65"/>
        <v/>
      </c>
      <c r="X1081" t="str">
        <f t="shared" si="66"/>
        <v/>
      </c>
      <c r="Y1081" t="str">
        <f t="shared" si="67"/>
        <v/>
      </c>
    </row>
    <row r="1082" spans="1:25" x14ac:dyDescent="0.35">
      <c r="A1082">
        <v>1091</v>
      </c>
      <c r="B1082" t="s">
        <v>1146</v>
      </c>
      <c r="C1082">
        <v>57200</v>
      </c>
      <c r="D1082">
        <v>928</v>
      </c>
      <c r="E1082" t="str">
        <f>IFERROR(IF(OR(HLOOKUP($A1082,#REF!,3,FALSE)&gt;2,HLOOKUP(A1082,#REF!,3,FALSE)&lt;-2),"",#REF!),"")</f>
        <v/>
      </c>
      <c r="F1082" t="str">
        <f>IFERROR(IF(OR(HLOOKUP($A1082,#REF!,4,FALSE)&gt;2,HLOOKUP($A1082,#REF!,4,FALSE)&lt;-2),"",#REF!),"")</f>
        <v/>
      </c>
      <c r="G1082" t="str">
        <f>IFERROR(IF(OR(HLOOKUP($A1082,#REF!,5,FALSE)&gt;2,HLOOKUP($A1082,#REF!,5,FALSE)&lt;-2),"",#REF!),"")</f>
        <v/>
      </c>
      <c r="H1082" t="str">
        <f>IFERROR(IF(OR(HLOOKUP($A1082,#REF!,6,FALSE)&gt;2,HLOOKUP($A1082,#REF!,6,FALSE)&lt;-2),"",#REF!),"")</f>
        <v/>
      </c>
      <c r="I1082" t="str">
        <f>IFERROR(IF(OR(HLOOKUP($A1082,#REF!,7,FALSE)&gt;2,HLOOKUP($A1082,#REF!,7,FALSE)&lt;-2),"",#REF!),"")</f>
        <v/>
      </c>
      <c r="J1082" t="str">
        <f>IFERROR(IF(OR(HLOOKUP($A1082,#REF!,8,FALSE)&gt;2,HLOOKUP($A1082,#REF!,8,FALSE)&lt;-2),"",#REF!),"")</f>
        <v/>
      </c>
      <c r="K1082" t="str">
        <f>IFERROR(IF(OR(HLOOKUP($A1082,#REF!,9,FALSE)&gt;2,HLOOKUP($A1082,#REF!,9,FALSE)&lt;-2),"",#REF!),"")</f>
        <v/>
      </c>
      <c r="L1082" t="str">
        <f>IFERROR(IF(OR(HLOOKUP($A1082,#REF!,10,FALSE)&gt;2,HLOOKUP($A1082,#REF!,10,FALSE)&lt;-2),"",#REF!),"")</f>
        <v/>
      </c>
      <c r="M1082" t="str">
        <f>IFERROR(IF(OR(HLOOKUP($A1082,#REF!,11,FALSE)&gt;2,HLOOKUP($A1082,#REF!,11,FALSE)&lt;-2),"",#REF!),"")</f>
        <v/>
      </c>
      <c r="N1082" t="str">
        <f>IFERROR(IF(OR(HLOOKUP($A1082,#REF!,12,FALSE)&gt;2,HLOOKUP($A1082,#REF!,12,FALSE)&lt;-2),"",#REF!),"")</f>
        <v/>
      </c>
      <c r="O1082" t="str">
        <f>IFERROR(IF(OR(HLOOKUP($A1082,#REF!,13,FALSE)&gt;2,HLOOKUP($A1082,#REF!,13,FALSE)&lt;-2),"",#REF!),"")</f>
        <v/>
      </c>
      <c r="P1082" t="str">
        <f>IFERROR(IF(OR(HLOOKUP($A1082,#REF!,14,FALSE)&gt;2,HLOOKUP($A1082,#REF!,14,FALSE)&lt;-2),"",#REF!),"")</f>
        <v/>
      </c>
      <c r="Q1082" t="str">
        <f>IFERROR(IF(OR(HLOOKUP($A1082,#REF!,15,FALSE)&gt;2,HLOOKUP($A1082,#REF!,15,FALSE)&lt;-2),"",#REF!),"")</f>
        <v/>
      </c>
      <c r="R1082" t="str">
        <f>IFERROR(IF(OR(HLOOKUP($A1082,#REF!,16,FALSE)&gt;2,HLOOKUP($A1082,#REF!,16,FALSE)&lt;-2),"",#REF!),"")</f>
        <v/>
      </c>
      <c r="S1082" t="str">
        <f>IFERROR(IF(OR(HLOOKUP($A1082,#REF!,17,FALSE)&gt;2,HLOOKUP($A1082,#REF!,17,FALSE)&lt;-2),"",#REF!),"")</f>
        <v/>
      </c>
      <c r="T1082" t="str">
        <f>IFERROR(IF(OR(HLOOKUP($A1082,#REF!,18,FALSE)&gt;2,HLOOKUP($A1082,#REF!,18,FALSE)&lt;-2),"",#REF!),"")</f>
        <v/>
      </c>
      <c r="U1082" t="str">
        <f>IFERROR(IF(OR(HLOOKUP($A1082,#REF!,19,FALSE)&gt;2,HLOOKUP($A1082,#REF!,19,FALSE)&lt;-2),"",#REF!),"")</f>
        <v/>
      </c>
      <c r="V1082">
        <f t="shared" si="64"/>
        <v>1</v>
      </c>
      <c r="W1082" t="str">
        <f t="shared" si="65"/>
        <v/>
      </c>
      <c r="X1082" t="str">
        <f t="shared" si="66"/>
        <v/>
      </c>
      <c r="Y1082" t="str">
        <f t="shared" si="67"/>
        <v/>
      </c>
    </row>
    <row r="1083" spans="1:25" x14ac:dyDescent="0.35">
      <c r="A1083">
        <v>1092</v>
      </c>
      <c r="B1083" t="s">
        <v>539</v>
      </c>
      <c r="C1083">
        <v>108100</v>
      </c>
      <c r="D1083">
        <v>896</v>
      </c>
      <c r="E1083" t="str">
        <f>IFERROR(IF(OR(HLOOKUP($A1083,#REF!,3,FALSE)&gt;2,HLOOKUP(A1083,#REF!,3,FALSE)&lt;-2),"",#REF!),"")</f>
        <v/>
      </c>
      <c r="F1083" t="str">
        <f>IFERROR(IF(OR(HLOOKUP($A1083,#REF!,4,FALSE)&gt;2,HLOOKUP($A1083,#REF!,4,FALSE)&lt;-2),"",#REF!),"")</f>
        <v/>
      </c>
      <c r="G1083" t="str">
        <f>IFERROR(IF(OR(HLOOKUP($A1083,#REF!,5,FALSE)&gt;2,HLOOKUP($A1083,#REF!,5,FALSE)&lt;-2),"",#REF!),"")</f>
        <v/>
      </c>
      <c r="H1083" t="str">
        <f>IFERROR(IF(OR(HLOOKUP($A1083,#REF!,6,FALSE)&gt;2,HLOOKUP($A1083,#REF!,6,FALSE)&lt;-2),"",#REF!),"")</f>
        <v/>
      </c>
      <c r="I1083" t="str">
        <f>IFERROR(IF(OR(HLOOKUP($A1083,#REF!,7,FALSE)&gt;2,HLOOKUP($A1083,#REF!,7,FALSE)&lt;-2),"",#REF!),"")</f>
        <v/>
      </c>
      <c r="J1083" t="str">
        <f>IFERROR(IF(OR(HLOOKUP($A1083,#REF!,8,FALSE)&gt;2,HLOOKUP($A1083,#REF!,8,FALSE)&lt;-2),"",#REF!),"")</f>
        <v/>
      </c>
      <c r="K1083" t="str">
        <f>IFERROR(IF(OR(HLOOKUP($A1083,#REF!,9,FALSE)&gt;2,HLOOKUP($A1083,#REF!,9,FALSE)&lt;-2),"",#REF!),"")</f>
        <v/>
      </c>
      <c r="L1083" t="str">
        <f>IFERROR(IF(OR(HLOOKUP($A1083,#REF!,10,FALSE)&gt;2,HLOOKUP($A1083,#REF!,10,FALSE)&lt;-2),"",#REF!),"")</f>
        <v/>
      </c>
      <c r="M1083" t="str">
        <f>IFERROR(IF(OR(HLOOKUP($A1083,#REF!,11,FALSE)&gt;2,HLOOKUP($A1083,#REF!,11,FALSE)&lt;-2),"",#REF!),"")</f>
        <v/>
      </c>
      <c r="N1083" t="str">
        <f>IFERROR(IF(OR(HLOOKUP($A1083,#REF!,12,FALSE)&gt;2,HLOOKUP($A1083,#REF!,12,FALSE)&lt;-2),"",#REF!),"")</f>
        <v/>
      </c>
      <c r="O1083" t="str">
        <f>IFERROR(IF(OR(HLOOKUP($A1083,#REF!,13,FALSE)&gt;2,HLOOKUP($A1083,#REF!,13,FALSE)&lt;-2),"",#REF!),"")</f>
        <v/>
      </c>
      <c r="P1083" t="str">
        <f>IFERROR(IF(OR(HLOOKUP($A1083,#REF!,14,FALSE)&gt;2,HLOOKUP($A1083,#REF!,14,FALSE)&lt;-2),"",#REF!),"")</f>
        <v/>
      </c>
      <c r="Q1083" t="str">
        <f>IFERROR(IF(OR(HLOOKUP($A1083,#REF!,15,FALSE)&gt;2,HLOOKUP($A1083,#REF!,15,FALSE)&lt;-2),"",#REF!),"")</f>
        <v/>
      </c>
      <c r="R1083" t="str">
        <f>IFERROR(IF(OR(HLOOKUP($A1083,#REF!,16,FALSE)&gt;2,HLOOKUP($A1083,#REF!,16,FALSE)&lt;-2),"",#REF!),"")</f>
        <v/>
      </c>
      <c r="S1083" t="str">
        <f>IFERROR(IF(OR(HLOOKUP($A1083,#REF!,17,FALSE)&gt;2,HLOOKUP($A1083,#REF!,17,FALSE)&lt;-2),"",#REF!),"")</f>
        <v/>
      </c>
      <c r="T1083" t="str">
        <f>IFERROR(IF(OR(HLOOKUP($A1083,#REF!,18,FALSE)&gt;2,HLOOKUP($A1083,#REF!,18,FALSE)&lt;-2),"",#REF!),"")</f>
        <v/>
      </c>
      <c r="U1083" t="str">
        <f>IFERROR(IF(OR(HLOOKUP($A1083,#REF!,19,FALSE)&gt;2,HLOOKUP($A1083,#REF!,19,FALSE)&lt;-2),"",#REF!),"")</f>
        <v/>
      </c>
      <c r="V1083">
        <f t="shared" si="64"/>
        <v>1</v>
      </c>
      <c r="W1083" t="str">
        <f t="shared" si="65"/>
        <v/>
      </c>
      <c r="X1083" t="str">
        <f t="shared" si="66"/>
        <v/>
      </c>
      <c r="Y1083" t="str">
        <f t="shared" si="67"/>
        <v/>
      </c>
    </row>
    <row r="1084" spans="1:25" x14ac:dyDescent="0.35">
      <c r="A1084">
        <v>1093</v>
      </c>
      <c r="B1084" t="s">
        <v>540</v>
      </c>
      <c r="C1084">
        <v>87600</v>
      </c>
      <c r="D1084">
        <v>987</v>
      </c>
      <c r="E1084" t="str">
        <f>IFERROR(IF(OR(HLOOKUP($A1084,#REF!,3,FALSE)&gt;2,HLOOKUP(A1084,#REF!,3,FALSE)&lt;-2),"",#REF!),"")</f>
        <v/>
      </c>
      <c r="F1084" t="str">
        <f>IFERROR(IF(OR(HLOOKUP($A1084,#REF!,4,FALSE)&gt;2,HLOOKUP($A1084,#REF!,4,FALSE)&lt;-2),"",#REF!),"")</f>
        <v/>
      </c>
      <c r="G1084" t="str">
        <f>IFERROR(IF(OR(HLOOKUP($A1084,#REF!,5,FALSE)&gt;2,HLOOKUP($A1084,#REF!,5,FALSE)&lt;-2),"",#REF!),"")</f>
        <v/>
      </c>
      <c r="H1084" t="str">
        <f>IFERROR(IF(OR(HLOOKUP($A1084,#REF!,6,FALSE)&gt;2,HLOOKUP($A1084,#REF!,6,FALSE)&lt;-2),"",#REF!),"")</f>
        <v/>
      </c>
      <c r="I1084" t="str">
        <f>IFERROR(IF(OR(HLOOKUP($A1084,#REF!,7,FALSE)&gt;2,HLOOKUP($A1084,#REF!,7,FALSE)&lt;-2),"",#REF!),"")</f>
        <v/>
      </c>
      <c r="J1084" t="str">
        <f>IFERROR(IF(OR(HLOOKUP($A1084,#REF!,8,FALSE)&gt;2,HLOOKUP($A1084,#REF!,8,FALSE)&lt;-2),"",#REF!),"")</f>
        <v/>
      </c>
      <c r="K1084" t="str">
        <f>IFERROR(IF(OR(HLOOKUP($A1084,#REF!,9,FALSE)&gt;2,HLOOKUP($A1084,#REF!,9,FALSE)&lt;-2),"",#REF!),"")</f>
        <v/>
      </c>
      <c r="L1084" t="str">
        <f>IFERROR(IF(OR(HLOOKUP($A1084,#REF!,10,FALSE)&gt;2,HLOOKUP($A1084,#REF!,10,FALSE)&lt;-2),"",#REF!),"")</f>
        <v/>
      </c>
      <c r="M1084" t="str">
        <f>IFERROR(IF(OR(HLOOKUP($A1084,#REF!,11,FALSE)&gt;2,HLOOKUP($A1084,#REF!,11,FALSE)&lt;-2),"",#REF!),"")</f>
        <v/>
      </c>
      <c r="N1084" t="str">
        <f>IFERROR(IF(OR(HLOOKUP($A1084,#REF!,12,FALSE)&gt;2,HLOOKUP($A1084,#REF!,12,FALSE)&lt;-2),"",#REF!),"")</f>
        <v/>
      </c>
      <c r="O1084" t="str">
        <f>IFERROR(IF(OR(HLOOKUP($A1084,#REF!,13,FALSE)&gt;2,HLOOKUP($A1084,#REF!,13,FALSE)&lt;-2),"",#REF!),"")</f>
        <v/>
      </c>
      <c r="P1084" t="str">
        <f>IFERROR(IF(OR(HLOOKUP($A1084,#REF!,14,FALSE)&gt;2,HLOOKUP($A1084,#REF!,14,FALSE)&lt;-2),"",#REF!),"")</f>
        <v/>
      </c>
      <c r="Q1084" t="str">
        <f>IFERROR(IF(OR(HLOOKUP($A1084,#REF!,15,FALSE)&gt;2,HLOOKUP($A1084,#REF!,15,FALSE)&lt;-2),"",#REF!),"")</f>
        <v/>
      </c>
      <c r="R1084" t="str">
        <f>IFERROR(IF(OR(HLOOKUP($A1084,#REF!,16,FALSE)&gt;2,HLOOKUP($A1084,#REF!,16,FALSE)&lt;-2),"",#REF!),"")</f>
        <v/>
      </c>
      <c r="S1084" t="str">
        <f>IFERROR(IF(OR(HLOOKUP($A1084,#REF!,17,FALSE)&gt;2,HLOOKUP($A1084,#REF!,17,FALSE)&lt;-2),"",#REF!),"")</f>
        <v/>
      </c>
      <c r="T1084" t="str">
        <f>IFERROR(IF(OR(HLOOKUP($A1084,#REF!,18,FALSE)&gt;2,HLOOKUP($A1084,#REF!,18,FALSE)&lt;-2),"",#REF!),"")</f>
        <v/>
      </c>
      <c r="U1084" t="str">
        <f>IFERROR(IF(OR(HLOOKUP($A1084,#REF!,19,FALSE)&gt;2,HLOOKUP($A1084,#REF!,19,FALSE)&lt;-2),"",#REF!),"")</f>
        <v/>
      </c>
      <c r="V1084">
        <f t="shared" si="64"/>
        <v>1</v>
      </c>
      <c r="W1084" t="str">
        <f t="shared" si="65"/>
        <v/>
      </c>
      <c r="X1084" t="str">
        <f t="shared" si="66"/>
        <v/>
      </c>
      <c r="Y1084" t="str">
        <f t="shared" si="67"/>
        <v/>
      </c>
    </row>
    <row r="1085" spans="1:25" x14ac:dyDescent="0.35">
      <c r="A1085">
        <v>1094</v>
      </c>
      <c r="B1085" t="s">
        <v>541</v>
      </c>
      <c r="C1085">
        <v>5200</v>
      </c>
      <c r="D1085">
        <v>337</v>
      </c>
      <c r="E1085" t="str">
        <f>IFERROR(IF(OR(HLOOKUP($A1085,#REF!,3,FALSE)&gt;2,HLOOKUP(A1085,#REF!,3,FALSE)&lt;-2),"",#REF!),"")</f>
        <v/>
      </c>
      <c r="F1085" t="str">
        <f>IFERROR(IF(OR(HLOOKUP($A1085,#REF!,4,FALSE)&gt;2,HLOOKUP($A1085,#REF!,4,FALSE)&lt;-2),"",#REF!),"")</f>
        <v/>
      </c>
      <c r="G1085" t="str">
        <f>IFERROR(IF(OR(HLOOKUP($A1085,#REF!,5,FALSE)&gt;2,HLOOKUP($A1085,#REF!,5,FALSE)&lt;-2),"",#REF!),"")</f>
        <v/>
      </c>
      <c r="H1085" t="str">
        <f>IFERROR(IF(OR(HLOOKUP($A1085,#REF!,6,FALSE)&gt;2,HLOOKUP($A1085,#REF!,6,FALSE)&lt;-2),"",#REF!),"")</f>
        <v/>
      </c>
      <c r="I1085" t="str">
        <f>IFERROR(IF(OR(HLOOKUP($A1085,#REF!,7,FALSE)&gt;2,HLOOKUP($A1085,#REF!,7,FALSE)&lt;-2),"",#REF!),"")</f>
        <v/>
      </c>
      <c r="J1085" t="str">
        <f>IFERROR(IF(OR(HLOOKUP($A1085,#REF!,8,FALSE)&gt;2,HLOOKUP($A1085,#REF!,8,FALSE)&lt;-2),"",#REF!),"")</f>
        <v/>
      </c>
      <c r="K1085" t="str">
        <f>IFERROR(IF(OR(HLOOKUP($A1085,#REF!,9,FALSE)&gt;2,HLOOKUP($A1085,#REF!,9,FALSE)&lt;-2),"",#REF!),"")</f>
        <v/>
      </c>
      <c r="L1085" t="str">
        <f>IFERROR(IF(OR(HLOOKUP($A1085,#REF!,10,FALSE)&gt;2,HLOOKUP($A1085,#REF!,10,FALSE)&lt;-2),"",#REF!),"")</f>
        <v/>
      </c>
      <c r="M1085" t="str">
        <f>IFERROR(IF(OR(HLOOKUP($A1085,#REF!,11,FALSE)&gt;2,HLOOKUP($A1085,#REF!,11,FALSE)&lt;-2),"",#REF!),"")</f>
        <v/>
      </c>
      <c r="N1085" t="str">
        <f>IFERROR(IF(OR(HLOOKUP($A1085,#REF!,12,FALSE)&gt;2,HLOOKUP($A1085,#REF!,12,FALSE)&lt;-2),"",#REF!),"")</f>
        <v/>
      </c>
      <c r="O1085" t="str">
        <f>IFERROR(IF(OR(HLOOKUP($A1085,#REF!,13,FALSE)&gt;2,HLOOKUP($A1085,#REF!,13,FALSE)&lt;-2),"",#REF!),"")</f>
        <v/>
      </c>
      <c r="P1085" t="str">
        <f>IFERROR(IF(OR(HLOOKUP($A1085,#REF!,14,FALSE)&gt;2,HLOOKUP($A1085,#REF!,14,FALSE)&lt;-2),"",#REF!),"")</f>
        <v/>
      </c>
      <c r="Q1085" t="str">
        <f>IFERROR(IF(OR(HLOOKUP($A1085,#REF!,15,FALSE)&gt;2,HLOOKUP($A1085,#REF!,15,FALSE)&lt;-2),"",#REF!),"")</f>
        <v/>
      </c>
      <c r="R1085" t="str">
        <f>IFERROR(IF(OR(HLOOKUP($A1085,#REF!,16,FALSE)&gt;2,HLOOKUP($A1085,#REF!,16,FALSE)&lt;-2),"",#REF!),"")</f>
        <v/>
      </c>
      <c r="S1085" t="str">
        <f>IFERROR(IF(OR(HLOOKUP($A1085,#REF!,17,FALSE)&gt;2,HLOOKUP($A1085,#REF!,17,FALSE)&lt;-2),"",#REF!),"")</f>
        <v/>
      </c>
      <c r="T1085" t="str">
        <f>IFERROR(IF(OR(HLOOKUP($A1085,#REF!,18,FALSE)&gt;2,HLOOKUP($A1085,#REF!,18,FALSE)&lt;-2),"",#REF!),"")</f>
        <v/>
      </c>
      <c r="U1085" t="str">
        <f>IFERROR(IF(OR(HLOOKUP($A1085,#REF!,19,FALSE)&gt;2,HLOOKUP($A1085,#REF!,19,FALSE)&lt;-2),"",#REF!),"")</f>
        <v/>
      </c>
      <c r="V1085">
        <f t="shared" si="64"/>
        <v>1</v>
      </c>
      <c r="W1085" t="str">
        <f t="shared" si="65"/>
        <v/>
      </c>
      <c r="X1085" t="str">
        <f t="shared" si="66"/>
        <v/>
      </c>
      <c r="Y1085" t="str">
        <f t="shared" si="67"/>
        <v/>
      </c>
    </row>
    <row r="1086" spans="1:25" x14ac:dyDescent="0.35">
      <c r="A1086">
        <v>1095</v>
      </c>
      <c r="B1086" t="s">
        <v>1147</v>
      </c>
      <c r="C1086">
        <v>117800</v>
      </c>
      <c r="D1086">
        <v>1040</v>
      </c>
      <c r="E1086" t="str">
        <f>IFERROR(IF(OR(HLOOKUP($A1086,#REF!,3,FALSE)&gt;2,HLOOKUP(A1086,#REF!,3,FALSE)&lt;-2),"",#REF!),"")</f>
        <v/>
      </c>
      <c r="F1086" t="str">
        <f>IFERROR(IF(OR(HLOOKUP($A1086,#REF!,4,FALSE)&gt;2,HLOOKUP($A1086,#REF!,4,FALSE)&lt;-2),"",#REF!),"")</f>
        <v/>
      </c>
      <c r="G1086" t="str">
        <f>IFERROR(IF(OR(HLOOKUP($A1086,#REF!,5,FALSE)&gt;2,HLOOKUP($A1086,#REF!,5,FALSE)&lt;-2),"",#REF!),"")</f>
        <v/>
      </c>
      <c r="H1086" t="str">
        <f>IFERROR(IF(OR(HLOOKUP($A1086,#REF!,6,FALSE)&gt;2,HLOOKUP($A1086,#REF!,6,FALSE)&lt;-2),"",#REF!),"")</f>
        <v/>
      </c>
      <c r="I1086" t="str">
        <f>IFERROR(IF(OR(HLOOKUP($A1086,#REF!,7,FALSE)&gt;2,HLOOKUP($A1086,#REF!,7,FALSE)&lt;-2),"",#REF!),"")</f>
        <v/>
      </c>
      <c r="J1086" t="str">
        <f>IFERROR(IF(OR(HLOOKUP($A1086,#REF!,8,FALSE)&gt;2,HLOOKUP($A1086,#REF!,8,FALSE)&lt;-2),"",#REF!),"")</f>
        <v/>
      </c>
      <c r="K1086" t="str">
        <f>IFERROR(IF(OR(HLOOKUP($A1086,#REF!,9,FALSE)&gt;2,HLOOKUP($A1086,#REF!,9,FALSE)&lt;-2),"",#REF!),"")</f>
        <v/>
      </c>
      <c r="L1086" t="str">
        <f>IFERROR(IF(OR(HLOOKUP($A1086,#REF!,10,FALSE)&gt;2,HLOOKUP($A1086,#REF!,10,FALSE)&lt;-2),"",#REF!),"")</f>
        <v/>
      </c>
      <c r="M1086" t="str">
        <f>IFERROR(IF(OR(HLOOKUP($A1086,#REF!,11,FALSE)&gt;2,HLOOKUP($A1086,#REF!,11,FALSE)&lt;-2),"",#REF!),"")</f>
        <v/>
      </c>
      <c r="N1086" t="str">
        <f>IFERROR(IF(OR(HLOOKUP($A1086,#REF!,12,FALSE)&gt;2,HLOOKUP($A1086,#REF!,12,FALSE)&lt;-2),"",#REF!),"")</f>
        <v/>
      </c>
      <c r="O1086" t="str">
        <f>IFERROR(IF(OR(HLOOKUP($A1086,#REF!,13,FALSE)&gt;2,HLOOKUP($A1086,#REF!,13,FALSE)&lt;-2),"",#REF!),"")</f>
        <v/>
      </c>
      <c r="P1086" t="str">
        <f>IFERROR(IF(OR(HLOOKUP($A1086,#REF!,14,FALSE)&gt;2,HLOOKUP($A1086,#REF!,14,FALSE)&lt;-2),"",#REF!),"")</f>
        <v/>
      </c>
      <c r="Q1086" t="str">
        <f>IFERROR(IF(OR(HLOOKUP($A1086,#REF!,15,FALSE)&gt;2,HLOOKUP($A1086,#REF!,15,FALSE)&lt;-2),"",#REF!),"")</f>
        <v/>
      </c>
      <c r="R1086" t="str">
        <f>IFERROR(IF(OR(HLOOKUP($A1086,#REF!,16,FALSE)&gt;2,HLOOKUP($A1086,#REF!,16,FALSE)&lt;-2),"",#REF!),"")</f>
        <v/>
      </c>
      <c r="S1086" t="str">
        <f>IFERROR(IF(OR(HLOOKUP($A1086,#REF!,17,FALSE)&gt;2,HLOOKUP($A1086,#REF!,17,FALSE)&lt;-2),"",#REF!),"")</f>
        <v/>
      </c>
      <c r="T1086" t="str">
        <f>IFERROR(IF(OR(HLOOKUP($A1086,#REF!,18,FALSE)&gt;2,HLOOKUP($A1086,#REF!,18,FALSE)&lt;-2),"",#REF!),"")</f>
        <v/>
      </c>
      <c r="U1086" t="str">
        <f>IFERROR(IF(OR(HLOOKUP($A1086,#REF!,19,FALSE)&gt;2,HLOOKUP($A1086,#REF!,19,FALSE)&lt;-2),"",#REF!),"")</f>
        <v/>
      </c>
      <c r="V1086">
        <f t="shared" si="64"/>
        <v>1</v>
      </c>
      <c r="W1086" t="str">
        <f t="shared" si="65"/>
        <v/>
      </c>
      <c r="X1086" t="str">
        <f t="shared" si="66"/>
        <v/>
      </c>
      <c r="Y1086" t="str">
        <f t="shared" si="67"/>
        <v/>
      </c>
    </row>
    <row r="1087" spans="1:25" x14ac:dyDescent="0.35">
      <c r="A1087">
        <v>1096</v>
      </c>
      <c r="B1087" t="s">
        <v>1148</v>
      </c>
      <c r="C1087">
        <v>66500</v>
      </c>
      <c r="D1087">
        <v>127</v>
      </c>
      <c r="E1087" t="str">
        <f>IFERROR(IF(OR(HLOOKUP($A1087,#REF!,3,FALSE)&gt;2,HLOOKUP(A1087,#REF!,3,FALSE)&lt;-2),"",#REF!),"")</f>
        <v/>
      </c>
      <c r="F1087" t="str">
        <f>IFERROR(IF(OR(HLOOKUP($A1087,#REF!,4,FALSE)&gt;2,HLOOKUP($A1087,#REF!,4,FALSE)&lt;-2),"",#REF!),"")</f>
        <v/>
      </c>
      <c r="G1087" t="str">
        <f>IFERROR(IF(OR(HLOOKUP($A1087,#REF!,5,FALSE)&gt;2,HLOOKUP($A1087,#REF!,5,FALSE)&lt;-2),"",#REF!),"")</f>
        <v/>
      </c>
      <c r="H1087" t="str">
        <f>IFERROR(IF(OR(HLOOKUP($A1087,#REF!,6,FALSE)&gt;2,HLOOKUP($A1087,#REF!,6,FALSE)&lt;-2),"",#REF!),"")</f>
        <v/>
      </c>
      <c r="I1087" t="str">
        <f>IFERROR(IF(OR(HLOOKUP($A1087,#REF!,7,FALSE)&gt;2,HLOOKUP($A1087,#REF!,7,FALSE)&lt;-2),"",#REF!),"")</f>
        <v/>
      </c>
      <c r="J1087" t="str">
        <f>IFERROR(IF(OR(HLOOKUP($A1087,#REF!,8,FALSE)&gt;2,HLOOKUP($A1087,#REF!,8,FALSE)&lt;-2),"",#REF!),"")</f>
        <v/>
      </c>
      <c r="K1087" t="str">
        <f>IFERROR(IF(OR(HLOOKUP($A1087,#REF!,9,FALSE)&gt;2,HLOOKUP($A1087,#REF!,9,FALSE)&lt;-2),"",#REF!),"")</f>
        <v/>
      </c>
      <c r="L1087" t="str">
        <f>IFERROR(IF(OR(HLOOKUP($A1087,#REF!,10,FALSE)&gt;2,HLOOKUP($A1087,#REF!,10,FALSE)&lt;-2),"",#REF!),"")</f>
        <v/>
      </c>
      <c r="M1087" t="str">
        <f>IFERROR(IF(OR(HLOOKUP($A1087,#REF!,11,FALSE)&gt;2,HLOOKUP($A1087,#REF!,11,FALSE)&lt;-2),"",#REF!),"")</f>
        <v/>
      </c>
      <c r="N1087" t="str">
        <f>IFERROR(IF(OR(HLOOKUP($A1087,#REF!,12,FALSE)&gt;2,HLOOKUP($A1087,#REF!,12,FALSE)&lt;-2),"",#REF!),"")</f>
        <v/>
      </c>
      <c r="O1087" t="str">
        <f>IFERROR(IF(OR(HLOOKUP($A1087,#REF!,13,FALSE)&gt;2,HLOOKUP($A1087,#REF!,13,FALSE)&lt;-2),"",#REF!),"")</f>
        <v/>
      </c>
      <c r="P1087" t="str">
        <f>IFERROR(IF(OR(HLOOKUP($A1087,#REF!,14,FALSE)&gt;2,HLOOKUP($A1087,#REF!,14,FALSE)&lt;-2),"",#REF!),"")</f>
        <v/>
      </c>
      <c r="Q1087" t="str">
        <f>IFERROR(IF(OR(HLOOKUP($A1087,#REF!,15,FALSE)&gt;2,HLOOKUP($A1087,#REF!,15,FALSE)&lt;-2),"",#REF!),"")</f>
        <v/>
      </c>
      <c r="R1087" t="str">
        <f>IFERROR(IF(OR(HLOOKUP($A1087,#REF!,16,FALSE)&gt;2,HLOOKUP($A1087,#REF!,16,FALSE)&lt;-2),"",#REF!),"")</f>
        <v/>
      </c>
      <c r="S1087" t="str">
        <f>IFERROR(IF(OR(HLOOKUP($A1087,#REF!,17,FALSE)&gt;2,HLOOKUP($A1087,#REF!,17,FALSE)&lt;-2),"",#REF!),"")</f>
        <v/>
      </c>
      <c r="T1087" t="str">
        <f>IFERROR(IF(OR(HLOOKUP($A1087,#REF!,18,FALSE)&gt;2,HLOOKUP($A1087,#REF!,18,FALSE)&lt;-2),"",#REF!),"")</f>
        <v/>
      </c>
      <c r="U1087" t="str">
        <f>IFERROR(IF(OR(HLOOKUP($A1087,#REF!,19,FALSE)&gt;2,HLOOKUP($A1087,#REF!,19,FALSE)&lt;-2),"",#REF!),"")</f>
        <v/>
      </c>
      <c r="V1087">
        <f t="shared" si="64"/>
        <v>1</v>
      </c>
      <c r="W1087" t="str">
        <f t="shared" si="65"/>
        <v/>
      </c>
      <c r="X1087" t="str">
        <f t="shared" si="66"/>
        <v/>
      </c>
      <c r="Y1087" t="str">
        <f t="shared" si="67"/>
        <v/>
      </c>
    </row>
    <row r="1088" spans="1:25" x14ac:dyDescent="0.35">
      <c r="A1088">
        <v>1097</v>
      </c>
      <c r="B1088" t="s">
        <v>542</v>
      </c>
      <c r="C1088">
        <v>70000</v>
      </c>
      <c r="D1088">
        <v>1129</v>
      </c>
      <c r="E1088" t="str">
        <f>IFERROR(IF(OR(HLOOKUP($A1088,#REF!,3,FALSE)&gt;2,HLOOKUP(A1088,#REF!,3,FALSE)&lt;-2),"",#REF!),"")</f>
        <v/>
      </c>
      <c r="F1088" t="str">
        <f>IFERROR(IF(OR(HLOOKUP($A1088,#REF!,4,FALSE)&gt;2,HLOOKUP($A1088,#REF!,4,FALSE)&lt;-2),"",#REF!),"")</f>
        <v/>
      </c>
      <c r="G1088" t="str">
        <f>IFERROR(IF(OR(HLOOKUP($A1088,#REF!,5,FALSE)&gt;2,HLOOKUP($A1088,#REF!,5,FALSE)&lt;-2),"",#REF!),"")</f>
        <v/>
      </c>
      <c r="H1088" t="str">
        <f>IFERROR(IF(OR(HLOOKUP($A1088,#REF!,6,FALSE)&gt;2,HLOOKUP($A1088,#REF!,6,FALSE)&lt;-2),"",#REF!),"")</f>
        <v/>
      </c>
      <c r="I1088" t="str">
        <f>IFERROR(IF(OR(HLOOKUP($A1088,#REF!,7,FALSE)&gt;2,HLOOKUP($A1088,#REF!,7,FALSE)&lt;-2),"",#REF!),"")</f>
        <v/>
      </c>
      <c r="J1088" t="str">
        <f>IFERROR(IF(OR(HLOOKUP($A1088,#REF!,8,FALSE)&gt;2,HLOOKUP($A1088,#REF!,8,FALSE)&lt;-2),"",#REF!),"")</f>
        <v/>
      </c>
      <c r="K1088" t="str">
        <f>IFERROR(IF(OR(HLOOKUP($A1088,#REF!,9,FALSE)&gt;2,HLOOKUP($A1088,#REF!,9,FALSE)&lt;-2),"",#REF!),"")</f>
        <v/>
      </c>
      <c r="L1088" t="str">
        <f>IFERROR(IF(OR(HLOOKUP($A1088,#REF!,10,FALSE)&gt;2,HLOOKUP($A1088,#REF!,10,FALSE)&lt;-2),"",#REF!),"")</f>
        <v/>
      </c>
      <c r="M1088" t="str">
        <f>IFERROR(IF(OR(HLOOKUP($A1088,#REF!,11,FALSE)&gt;2,HLOOKUP($A1088,#REF!,11,FALSE)&lt;-2),"",#REF!),"")</f>
        <v/>
      </c>
      <c r="N1088" t="str">
        <f>IFERROR(IF(OR(HLOOKUP($A1088,#REF!,12,FALSE)&gt;2,HLOOKUP($A1088,#REF!,12,FALSE)&lt;-2),"",#REF!),"")</f>
        <v/>
      </c>
      <c r="O1088" t="str">
        <f>IFERROR(IF(OR(HLOOKUP($A1088,#REF!,13,FALSE)&gt;2,HLOOKUP($A1088,#REF!,13,FALSE)&lt;-2),"",#REF!),"")</f>
        <v/>
      </c>
      <c r="P1088" t="str">
        <f>IFERROR(IF(OR(HLOOKUP($A1088,#REF!,14,FALSE)&gt;2,HLOOKUP($A1088,#REF!,14,FALSE)&lt;-2),"",#REF!),"")</f>
        <v/>
      </c>
      <c r="Q1088" t="str">
        <f>IFERROR(IF(OR(HLOOKUP($A1088,#REF!,15,FALSE)&gt;2,HLOOKUP($A1088,#REF!,15,FALSE)&lt;-2),"",#REF!),"")</f>
        <v/>
      </c>
      <c r="R1088" t="str">
        <f>IFERROR(IF(OR(HLOOKUP($A1088,#REF!,16,FALSE)&gt;2,HLOOKUP($A1088,#REF!,16,FALSE)&lt;-2),"",#REF!),"")</f>
        <v/>
      </c>
      <c r="S1088" t="str">
        <f>IFERROR(IF(OR(HLOOKUP($A1088,#REF!,17,FALSE)&gt;2,HLOOKUP($A1088,#REF!,17,FALSE)&lt;-2),"",#REF!),"")</f>
        <v/>
      </c>
      <c r="T1088" t="str">
        <f>IFERROR(IF(OR(HLOOKUP($A1088,#REF!,18,FALSE)&gt;2,HLOOKUP($A1088,#REF!,18,FALSE)&lt;-2),"",#REF!),"")</f>
        <v/>
      </c>
      <c r="U1088" t="str">
        <f>IFERROR(IF(OR(HLOOKUP($A1088,#REF!,19,FALSE)&gt;2,HLOOKUP($A1088,#REF!,19,FALSE)&lt;-2),"",#REF!),"")</f>
        <v/>
      </c>
      <c r="V1088">
        <f t="shared" si="64"/>
        <v>1</v>
      </c>
      <c r="W1088" t="str">
        <f t="shared" si="65"/>
        <v/>
      </c>
      <c r="X1088" t="str">
        <f t="shared" si="66"/>
        <v/>
      </c>
      <c r="Y1088" t="str">
        <f t="shared" si="67"/>
        <v/>
      </c>
    </row>
    <row r="1089" spans="1:25" x14ac:dyDescent="0.35">
      <c r="A1089">
        <v>1098</v>
      </c>
      <c r="B1089" t="s">
        <v>543</v>
      </c>
      <c r="C1089">
        <v>94400</v>
      </c>
      <c r="D1089">
        <v>395</v>
      </c>
      <c r="E1089" t="str">
        <f>IFERROR(IF(OR(HLOOKUP($A1089,#REF!,3,FALSE)&gt;2,HLOOKUP(A1089,#REF!,3,FALSE)&lt;-2),"",#REF!),"")</f>
        <v/>
      </c>
      <c r="F1089" t="str">
        <f>IFERROR(IF(OR(HLOOKUP($A1089,#REF!,4,FALSE)&gt;2,HLOOKUP($A1089,#REF!,4,FALSE)&lt;-2),"",#REF!),"")</f>
        <v/>
      </c>
      <c r="G1089" t="str">
        <f>IFERROR(IF(OR(HLOOKUP($A1089,#REF!,5,FALSE)&gt;2,HLOOKUP($A1089,#REF!,5,FALSE)&lt;-2),"",#REF!),"")</f>
        <v/>
      </c>
      <c r="H1089" t="str">
        <f>IFERROR(IF(OR(HLOOKUP($A1089,#REF!,6,FALSE)&gt;2,HLOOKUP($A1089,#REF!,6,FALSE)&lt;-2),"",#REF!),"")</f>
        <v/>
      </c>
      <c r="I1089" t="str">
        <f>IFERROR(IF(OR(HLOOKUP($A1089,#REF!,7,FALSE)&gt;2,HLOOKUP($A1089,#REF!,7,FALSE)&lt;-2),"",#REF!),"")</f>
        <v/>
      </c>
      <c r="J1089" t="str">
        <f>IFERROR(IF(OR(HLOOKUP($A1089,#REF!,8,FALSE)&gt;2,HLOOKUP($A1089,#REF!,8,FALSE)&lt;-2),"",#REF!),"")</f>
        <v/>
      </c>
      <c r="K1089" t="str">
        <f>IFERROR(IF(OR(HLOOKUP($A1089,#REF!,9,FALSE)&gt;2,HLOOKUP($A1089,#REF!,9,FALSE)&lt;-2),"",#REF!),"")</f>
        <v/>
      </c>
      <c r="L1089" t="str">
        <f>IFERROR(IF(OR(HLOOKUP($A1089,#REF!,10,FALSE)&gt;2,HLOOKUP($A1089,#REF!,10,FALSE)&lt;-2),"",#REF!),"")</f>
        <v/>
      </c>
      <c r="M1089" t="str">
        <f>IFERROR(IF(OR(HLOOKUP($A1089,#REF!,11,FALSE)&gt;2,HLOOKUP($A1089,#REF!,11,FALSE)&lt;-2),"",#REF!),"")</f>
        <v/>
      </c>
      <c r="N1089" t="str">
        <f>IFERROR(IF(OR(HLOOKUP($A1089,#REF!,12,FALSE)&gt;2,HLOOKUP($A1089,#REF!,12,FALSE)&lt;-2),"",#REF!),"")</f>
        <v/>
      </c>
      <c r="O1089" t="str">
        <f>IFERROR(IF(OR(HLOOKUP($A1089,#REF!,13,FALSE)&gt;2,HLOOKUP($A1089,#REF!,13,FALSE)&lt;-2),"",#REF!),"")</f>
        <v/>
      </c>
      <c r="P1089" t="str">
        <f>IFERROR(IF(OR(HLOOKUP($A1089,#REF!,14,FALSE)&gt;2,HLOOKUP($A1089,#REF!,14,FALSE)&lt;-2),"",#REF!),"")</f>
        <v/>
      </c>
      <c r="Q1089" t="str">
        <f>IFERROR(IF(OR(HLOOKUP($A1089,#REF!,15,FALSE)&gt;2,HLOOKUP($A1089,#REF!,15,FALSE)&lt;-2),"",#REF!),"")</f>
        <v/>
      </c>
      <c r="R1089" t="str">
        <f>IFERROR(IF(OR(HLOOKUP($A1089,#REF!,16,FALSE)&gt;2,HLOOKUP($A1089,#REF!,16,FALSE)&lt;-2),"",#REF!),"")</f>
        <v/>
      </c>
      <c r="S1089" t="str">
        <f>IFERROR(IF(OR(HLOOKUP($A1089,#REF!,17,FALSE)&gt;2,HLOOKUP($A1089,#REF!,17,FALSE)&lt;-2),"",#REF!),"")</f>
        <v/>
      </c>
      <c r="T1089" t="str">
        <f>IFERROR(IF(OR(HLOOKUP($A1089,#REF!,18,FALSE)&gt;2,HLOOKUP($A1089,#REF!,18,FALSE)&lt;-2),"",#REF!),"")</f>
        <v/>
      </c>
      <c r="U1089" t="str">
        <f>IFERROR(IF(OR(HLOOKUP($A1089,#REF!,19,FALSE)&gt;2,HLOOKUP($A1089,#REF!,19,FALSE)&lt;-2),"",#REF!),"")</f>
        <v/>
      </c>
      <c r="V1089">
        <f t="shared" si="64"/>
        <v>1</v>
      </c>
      <c r="W1089" t="str">
        <f t="shared" si="65"/>
        <v/>
      </c>
      <c r="X1089" t="str">
        <f t="shared" si="66"/>
        <v/>
      </c>
      <c r="Y1089" t="str">
        <f t="shared" si="67"/>
        <v/>
      </c>
    </row>
    <row r="1090" spans="1:25" x14ac:dyDescent="0.35">
      <c r="A1090">
        <v>1099</v>
      </c>
      <c r="B1090" t="s">
        <v>1149</v>
      </c>
      <c r="C1090">
        <v>111100</v>
      </c>
      <c r="D1090">
        <v>768</v>
      </c>
      <c r="E1090" t="str">
        <f>IFERROR(IF(OR(HLOOKUP($A1090,#REF!,3,FALSE)&gt;2,HLOOKUP(A1090,#REF!,3,FALSE)&lt;-2),"",#REF!),"")</f>
        <v/>
      </c>
      <c r="F1090" t="str">
        <f>IFERROR(IF(OR(HLOOKUP($A1090,#REF!,4,FALSE)&gt;2,HLOOKUP($A1090,#REF!,4,FALSE)&lt;-2),"",#REF!),"")</f>
        <v/>
      </c>
      <c r="G1090" t="str">
        <f>IFERROR(IF(OR(HLOOKUP($A1090,#REF!,5,FALSE)&gt;2,HLOOKUP($A1090,#REF!,5,FALSE)&lt;-2),"",#REF!),"")</f>
        <v/>
      </c>
      <c r="H1090" t="str">
        <f>IFERROR(IF(OR(HLOOKUP($A1090,#REF!,6,FALSE)&gt;2,HLOOKUP($A1090,#REF!,6,FALSE)&lt;-2),"",#REF!),"")</f>
        <v/>
      </c>
      <c r="I1090" t="str">
        <f>IFERROR(IF(OR(HLOOKUP($A1090,#REF!,7,FALSE)&gt;2,HLOOKUP($A1090,#REF!,7,FALSE)&lt;-2),"",#REF!),"")</f>
        <v/>
      </c>
      <c r="J1090" t="str">
        <f>IFERROR(IF(OR(HLOOKUP($A1090,#REF!,8,FALSE)&gt;2,HLOOKUP($A1090,#REF!,8,FALSE)&lt;-2),"",#REF!),"")</f>
        <v/>
      </c>
      <c r="K1090" t="str">
        <f>IFERROR(IF(OR(HLOOKUP($A1090,#REF!,9,FALSE)&gt;2,HLOOKUP($A1090,#REF!,9,FALSE)&lt;-2),"",#REF!),"")</f>
        <v/>
      </c>
      <c r="L1090" t="str">
        <f>IFERROR(IF(OR(HLOOKUP($A1090,#REF!,10,FALSE)&gt;2,HLOOKUP($A1090,#REF!,10,FALSE)&lt;-2),"",#REF!),"")</f>
        <v/>
      </c>
      <c r="M1090" t="str">
        <f>IFERROR(IF(OR(HLOOKUP($A1090,#REF!,11,FALSE)&gt;2,HLOOKUP($A1090,#REF!,11,FALSE)&lt;-2),"",#REF!),"")</f>
        <v/>
      </c>
      <c r="N1090" t="str">
        <f>IFERROR(IF(OR(HLOOKUP($A1090,#REF!,12,FALSE)&gt;2,HLOOKUP($A1090,#REF!,12,FALSE)&lt;-2),"",#REF!),"")</f>
        <v/>
      </c>
      <c r="O1090" t="str">
        <f>IFERROR(IF(OR(HLOOKUP($A1090,#REF!,13,FALSE)&gt;2,HLOOKUP($A1090,#REF!,13,FALSE)&lt;-2),"",#REF!),"")</f>
        <v/>
      </c>
      <c r="P1090" t="str">
        <f>IFERROR(IF(OR(HLOOKUP($A1090,#REF!,14,FALSE)&gt;2,HLOOKUP($A1090,#REF!,14,FALSE)&lt;-2),"",#REF!),"")</f>
        <v/>
      </c>
      <c r="Q1090" t="str">
        <f>IFERROR(IF(OR(HLOOKUP($A1090,#REF!,15,FALSE)&gt;2,HLOOKUP($A1090,#REF!,15,FALSE)&lt;-2),"",#REF!),"")</f>
        <v/>
      </c>
      <c r="R1090" t="str">
        <f>IFERROR(IF(OR(HLOOKUP($A1090,#REF!,16,FALSE)&gt;2,HLOOKUP($A1090,#REF!,16,FALSE)&lt;-2),"",#REF!),"")</f>
        <v/>
      </c>
      <c r="S1090" t="str">
        <f>IFERROR(IF(OR(HLOOKUP($A1090,#REF!,17,FALSE)&gt;2,HLOOKUP($A1090,#REF!,17,FALSE)&lt;-2),"",#REF!),"")</f>
        <v/>
      </c>
      <c r="T1090" t="str">
        <f>IFERROR(IF(OR(HLOOKUP($A1090,#REF!,18,FALSE)&gt;2,HLOOKUP($A1090,#REF!,18,FALSE)&lt;-2),"",#REF!),"")</f>
        <v/>
      </c>
      <c r="U1090" t="str">
        <f>IFERROR(IF(OR(HLOOKUP($A1090,#REF!,19,FALSE)&gt;2,HLOOKUP($A1090,#REF!,19,FALSE)&lt;-2),"",#REF!),"")</f>
        <v/>
      </c>
      <c r="V1090">
        <f t="shared" si="64"/>
        <v>1</v>
      </c>
      <c r="W1090" t="str">
        <f t="shared" si="65"/>
        <v/>
      </c>
      <c r="X1090" t="str">
        <f t="shared" si="66"/>
        <v/>
      </c>
      <c r="Y1090" t="str">
        <f t="shared" si="67"/>
        <v/>
      </c>
    </row>
    <row r="1091" spans="1:25" x14ac:dyDescent="0.35">
      <c r="A1091">
        <v>1100</v>
      </c>
      <c r="B1091" t="s">
        <v>1150</v>
      </c>
      <c r="C1091">
        <v>81900</v>
      </c>
      <c r="D1091">
        <v>323</v>
      </c>
      <c r="E1091" t="str">
        <f>IFERROR(IF(OR(HLOOKUP($A1091,#REF!,3,FALSE)&gt;2,HLOOKUP(A1091,#REF!,3,FALSE)&lt;-2),"",#REF!),"")</f>
        <v/>
      </c>
      <c r="F1091" t="str">
        <f>IFERROR(IF(OR(HLOOKUP($A1091,#REF!,4,FALSE)&gt;2,HLOOKUP($A1091,#REF!,4,FALSE)&lt;-2),"",#REF!),"")</f>
        <v/>
      </c>
      <c r="G1091" t="str">
        <f>IFERROR(IF(OR(HLOOKUP($A1091,#REF!,5,FALSE)&gt;2,HLOOKUP($A1091,#REF!,5,FALSE)&lt;-2),"",#REF!),"")</f>
        <v/>
      </c>
      <c r="H1091" t="str">
        <f>IFERROR(IF(OR(HLOOKUP($A1091,#REF!,6,FALSE)&gt;2,HLOOKUP($A1091,#REF!,6,FALSE)&lt;-2),"",#REF!),"")</f>
        <v/>
      </c>
      <c r="I1091" t="str">
        <f>IFERROR(IF(OR(HLOOKUP($A1091,#REF!,7,FALSE)&gt;2,HLOOKUP($A1091,#REF!,7,FALSE)&lt;-2),"",#REF!),"")</f>
        <v/>
      </c>
      <c r="J1091" t="str">
        <f>IFERROR(IF(OR(HLOOKUP($A1091,#REF!,8,FALSE)&gt;2,HLOOKUP($A1091,#REF!,8,FALSE)&lt;-2),"",#REF!),"")</f>
        <v/>
      </c>
      <c r="K1091" t="str">
        <f>IFERROR(IF(OR(HLOOKUP($A1091,#REF!,9,FALSE)&gt;2,HLOOKUP($A1091,#REF!,9,FALSE)&lt;-2),"",#REF!),"")</f>
        <v/>
      </c>
      <c r="L1091" t="str">
        <f>IFERROR(IF(OR(HLOOKUP($A1091,#REF!,10,FALSE)&gt;2,HLOOKUP($A1091,#REF!,10,FALSE)&lt;-2),"",#REF!),"")</f>
        <v/>
      </c>
      <c r="M1091" t="str">
        <f>IFERROR(IF(OR(HLOOKUP($A1091,#REF!,11,FALSE)&gt;2,HLOOKUP($A1091,#REF!,11,FALSE)&lt;-2),"",#REF!),"")</f>
        <v/>
      </c>
      <c r="N1091" t="str">
        <f>IFERROR(IF(OR(HLOOKUP($A1091,#REF!,12,FALSE)&gt;2,HLOOKUP($A1091,#REF!,12,FALSE)&lt;-2),"",#REF!),"")</f>
        <v/>
      </c>
      <c r="O1091" t="str">
        <f>IFERROR(IF(OR(HLOOKUP($A1091,#REF!,13,FALSE)&gt;2,HLOOKUP($A1091,#REF!,13,FALSE)&lt;-2),"",#REF!),"")</f>
        <v/>
      </c>
      <c r="P1091" t="str">
        <f>IFERROR(IF(OR(HLOOKUP($A1091,#REF!,14,FALSE)&gt;2,HLOOKUP($A1091,#REF!,14,FALSE)&lt;-2),"",#REF!),"")</f>
        <v/>
      </c>
      <c r="Q1091" t="str">
        <f>IFERROR(IF(OR(HLOOKUP($A1091,#REF!,15,FALSE)&gt;2,HLOOKUP($A1091,#REF!,15,FALSE)&lt;-2),"",#REF!),"")</f>
        <v/>
      </c>
      <c r="R1091" t="str">
        <f>IFERROR(IF(OR(HLOOKUP($A1091,#REF!,16,FALSE)&gt;2,HLOOKUP($A1091,#REF!,16,FALSE)&lt;-2),"",#REF!),"")</f>
        <v/>
      </c>
      <c r="S1091" t="str">
        <f>IFERROR(IF(OR(HLOOKUP($A1091,#REF!,17,FALSE)&gt;2,HLOOKUP($A1091,#REF!,17,FALSE)&lt;-2),"",#REF!),"")</f>
        <v/>
      </c>
      <c r="T1091" t="str">
        <f>IFERROR(IF(OR(HLOOKUP($A1091,#REF!,18,FALSE)&gt;2,HLOOKUP($A1091,#REF!,18,FALSE)&lt;-2),"",#REF!),"")</f>
        <v/>
      </c>
      <c r="U1091" t="str">
        <f>IFERROR(IF(OR(HLOOKUP($A1091,#REF!,19,FALSE)&gt;2,HLOOKUP($A1091,#REF!,19,FALSE)&lt;-2),"",#REF!),"")</f>
        <v/>
      </c>
      <c r="V1091">
        <f t="shared" si="64"/>
        <v>1</v>
      </c>
      <c r="W1091" t="str">
        <f t="shared" si="65"/>
        <v/>
      </c>
      <c r="X1091" t="str">
        <f t="shared" si="66"/>
        <v/>
      </c>
      <c r="Y1091" t="str">
        <f t="shared" si="67"/>
        <v/>
      </c>
    </row>
    <row r="1092" spans="1:25" x14ac:dyDescent="0.35">
      <c r="A1092">
        <v>1101</v>
      </c>
      <c r="B1092" t="s">
        <v>544</v>
      </c>
      <c r="C1092">
        <v>23700</v>
      </c>
      <c r="D1092">
        <v>104</v>
      </c>
      <c r="E1092" t="str">
        <f>IFERROR(IF(OR(HLOOKUP($A1092,#REF!,3,FALSE)&gt;2,HLOOKUP(A1092,#REF!,3,FALSE)&lt;-2),"",#REF!),"")</f>
        <v/>
      </c>
      <c r="F1092" t="str">
        <f>IFERROR(IF(OR(HLOOKUP($A1092,#REF!,4,FALSE)&gt;2,HLOOKUP($A1092,#REF!,4,FALSE)&lt;-2),"",#REF!),"")</f>
        <v/>
      </c>
      <c r="G1092" t="str">
        <f>IFERROR(IF(OR(HLOOKUP($A1092,#REF!,5,FALSE)&gt;2,HLOOKUP($A1092,#REF!,5,FALSE)&lt;-2),"",#REF!),"")</f>
        <v/>
      </c>
      <c r="H1092" t="str">
        <f>IFERROR(IF(OR(HLOOKUP($A1092,#REF!,6,FALSE)&gt;2,HLOOKUP($A1092,#REF!,6,FALSE)&lt;-2),"",#REF!),"")</f>
        <v/>
      </c>
      <c r="I1092" t="str">
        <f>IFERROR(IF(OR(HLOOKUP($A1092,#REF!,7,FALSE)&gt;2,HLOOKUP($A1092,#REF!,7,FALSE)&lt;-2),"",#REF!),"")</f>
        <v/>
      </c>
      <c r="J1092" t="str">
        <f>IFERROR(IF(OR(HLOOKUP($A1092,#REF!,8,FALSE)&gt;2,HLOOKUP($A1092,#REF!,8,FALSE)&lt;-2),"",#REF!),"")</f>
        <v/>
      </c>
      <c r="K1092" t="str">
        <f>IFERROR(IF(OR(HLOOKUP($A1092,#REF!,9,FALSE)&gt;2,HLOOKUP($A1092,#REF!,9,FALSE)&lt;-2),"",#REF!),"")</f>
        <v/>
      </c>
      <c r="L1092" t="str">
        <f>IFERROR(IF(OR(HLOOKUP($A1092,#REF!,10,FALSE)&gt;2,HLOOKUP($A1092,#REF!,10,FALSE)&lt;-2),"",#REF!),"")</f>
        <v/>
      </c>
      <c r="M1092" t="str">
        <f>IFERROR(IF(OR(HLOOKUP($A1092,#REF!,11,FALSE)&gt;2,HLOOKUP($A1092,#REF!,11,FALSE)&lt;-2),"",#REF!),"")</f>
        <v/>
      </c>
      <c r="N1092" t="str">
        <f>IFERROR(IF(OR(HLOOKUP($A1092,#REF!,12,FALSE)&gt;2,HLOOKUP($A1092,#REF!,12,FALSE)&lt;-2),"",#REF!),"")</f>
        <v/>
      </c>
      <c r="O1092" t="str">
        <f>IFERROR(IF(OR(HLOOKUP($A1092,#REF!,13,FALSE)&gt;2,HLOOKUP($A1092,#REF!,13,FALSE)&lt;-2),"",#REF!),"")</f>
        <v/>
      </c>
      <c r="P1092" t="str">
        <f>IFERROR(IF(OR(HLOOKUP($A1092,#REF!,14,FALSE)&gt;2,HLOOKUP($A1092,#REF!,14,FALSE)&lt;-2),"",#REF!),"")</f>
        <v/>
      </c>
      <c r="Q1092" t="str">
        <f>IFERROR(IF(OR(HLOOKUP($A1092,#REF!,15,FALSE)&gt;2,HLOOKUP($A1092,#REF!,15,FALSE)&lt;-2),"",#REF!),"")</f>
        <v/>
      </c>
      <c r="R1092" t="str">
        <f>IFERROR(IF(OR(HLOOKUP($A1092,#REF!,16,FALSE)&gt;2,HLOOKUP($A1092,#REF!,16,FALSE)&lt;-2),"",#REF!),"")</f>
        <v/>
      </c>
      <c r="S1092" t="str">
        <f>IFERROR(IF(OR(HLOOKUP($A1092,#REF!,17,FALSE)&gt;2,HLOOKUP($A1092,#REF!,17,FALSE)&lt;-2),"",#REF!),"")</f>
        <v/>
      </c>
      <c r="T1092" t="str">
        <f>IFERROR(IF(OR(HLOOKUP($A1092,#REF!,18,FALSE)&gt;2,HLOOKUP($A1092,#REF!,18,FALSE)&lt;-2),"",#REF!),"")</f>
        <v/>
      </c>
      <c r="U1092" t="str">
        <f>IFERROR(IF(OR(HLOOKUP($A1092,#REF!,19,FALSE)&gt;2,HLOOKUP($A1092,#REF!,19,FALSE)&lt;-2),"",#REF!),"")</f>
        <v/>
      </c>
      <c r="V1092">
        <f t="shared" ref="V1092:V1155" si="68">IFERROR(IF(AND(X1092=0,Y1092=0),0,1),0)</f>
        <v>1</v>
      </c>
      <c r="W1092" t="str">
        <f t="shared" ref="W1092:W1155" si="69">IFERROR(_xlfn.T.TEST(E1092:M1092,N1092:U1092,2,2),"")</f>
        <v/>
      </c>
      <c r="X1092" t="str">
        <f t="shared" ref="X1092:X1155" si="70">IFERROR(AVERAGE(E1092:M1092),"")</f>
        <v/>
      </c>
      <c r="Y1092" t="str">
        <f t="shared" ref="Y1092:Y1155" si="71">IFERROR(AVERAGE(N1092:U1092),"")</f>
        <v/>
      </c>
    </row>
    <row r="1093" spans="1:25" x14ac:dyDescent="0.35">
      <c r="A1093">
        <v>1102</v>
      </c>
      <c r="B1093" t="s">
        <v>545</v>
      </c>
      <c r="C1093">
        <v>6100</v>
      </c>
      <c r="D1093">
        <v>345</v>
      </c>
      <c r="E1093" t="str">
        <f>IFERROR(IF(OR(HLOOKUP($A1093,#REF!,3,FALSE)&gt;2,HLOOKUP(A1093,#REF!,3,FALSE)&lt;-2),"",#REF!),"")</f>
        <v/>
      </c>
      <c r="F1093" t="str">
        <f>IFERROR(IF(OR(HLOOKUP($A1093,#REF!,4,FALSE)&gt;2,HLOOKUP($A1093,#REF!,4,FALSE)&lt;-2),"",#REF!),"")</f>
        <v/>
      </c>
      <c r="G1093" t="str">
        <f>IFERROR(IF(OR(HLOOKUP($A1093,#REF!,5,FALSE)&gt;2,HLOOKUP($A1093,#REF!,5,FALSE)&lt;-2),"",#REF!),"")</f>
        <v/>
      </c>
      <c r="H1093" t="str">
        <f>IFERROR(IF(OR(HLOOKUP($A1093,#REF!,6,FALSE)&gt;2,HLOOKUP($A1093,#REF!,6,FALSE)&lt;-2),"",#REF!),"")</f>
        <v/>
      </c>
      <c r="I1093" t="str">
        <f>IFERROR(IF(OR(HLOOKUP($A1093,#REF!,7,FALSE)&gt;2,HLOOKUP($A1093,#REF!,7,FALSE)&lt;-2),"",#REF!),"")</f>
        <v/>
      </c>
      <c r="J1093" t="str">
        <f>IFERROR(IF(OR(HLOOKUP($A1093,#REF!,8,FALSE)&gt;2,HLOOKUP($A1093,#REF!,8,FALSE)&lt;-2),"",#REF!),"")</f>
        <v/>
      </c>
      <c r="K1093" t="str">
        <f>IFERROR(IF(OR(HLOOKUP($A1093,#REF!,9,FALSE)&gt;2,HLOOKUP($A1093,#REF!,9,FALSE)&lt;-2),"",#REF!),"")</f>
        <v/>
      </c>
      <c r="L1093" t="str">
        <f>IFERROR(IF(OR(HLOOKUP($A1093,#REF!,10,FALSE)&gt;2,HLOOKUP($A1093,#REF!,10,FALSE)&lt;-2),"",#REF!),"")</f>
        <v/>
      </c>
      <c r="M1093" t="str">
        <f>IFERROR(IF(OR(HLOOKUP($A1093,#REF!,11,FALSE)&gt;2,HLOOKUP($A1093,#REF!,11,FALSE)&lt;-2),"",#REF!),"")</f>
        <v/>
      </c>
      <c r="N1093" t="str">
        <f>IFERROR(IF(OR(HLOOKUP($A1093,#REF!,12,FALSE)&gt;2,HLOOKUP($A1093,#REF!,12,FALSE)&lt;-2),"",#REF!),"")</f>
        <v/>
      </c>
      <c r="O1093" t="str">
        <f>IFERROR(IF(OR(HLOOKUP($A1093,#REF!,13,FALSE)&gt;2,HLOOKUP($A1093,#REF!,13,FALSE)&lt;-2),"",#REF!),"")</f>
        <v/>
      </c>
      <c r="P1093" t="str">
        <f>IFERROR(IF(OR(HLOOKUP($A1093,#REF!,14,FALSE)&gt;2,HLOOKUP($A1093,#REF!,14,FALSE)&lt;-2),"",#REF!),"")</f>
        <v/>
      </c>
      <c r="Q1093" t="str">
        <f>IFERROR(IF(OR(HLOOKUP($A1093,#REF!,15,FALSE)&gt;2,HLOOKUP($A1093,#REF!,15,FALSE)&lt;-2),"",#REF!),"")</f>
        <v/>
      </c>
      <c r="R1093" t="str">
        <f>IFERROR(IF(OR(HLOOKUP($A1093,#REF!,16,FALSE)&gt;2,HLOOKUP($A1093,#REF!,16,FALSE)&lt;-2),"",#REF!),"")</f>
        <v/>
      </c>
      <c r="S1093" t="str">
        <f>IFERROR(IF(OR(HLOOKUP($A1093,#REF!,17,FALSE)&gt;2,HLOOKUP($A1093,#REF!,17,FALSE)&lt;-2),"",#REF!),"")</f>
        <v/>
      </c>
      <c r="T1093" t="str">
        <f>IFERROR(IF(OR(HLOOKUP($A1093,#REF!,18,FALSE)&gt;2,HLOOKUP($A1093,#REF!,18,FALSE)&lt;-2),"",#REF!),"")</f>
        <v/>
      </c>
      <c r="U1093" t="str">
        <f>IFERROR(IF(OR(HLOOKUP($A1093,#REF!,19,FALSE)&gt;2,HLOOKUP($A1093,#REF!,19,FALSE)&lt;-2),"",#REF!),"")</f>
        <v/>
      </c>
      <c r="V1093">
        <f t="shared" si="68"/>
        <v>1</v>
      </c>
      <c r="W1093" t="str">
        <f t="shared" si="69"/>
        <v/>
      </c>
      <c r="X1093" t="str">
        <f t="shared" si="70"/>
        <v/>
      </c>
      <c r="Y1093" t="str">
        <f t="shared" si="71"/>
        <v/>
      </c>
    </row>
    <row r="1094" spans="1:25" x14ac:dyDescent="0.35">
      <c r="A1094">
        <v>1103</v>
      </c>
      <c r="B1094" t="s">
        <v>1151</v>
      </c>
      <c r="C1094">
        <v>117900</v>
      </c>
      <c r="D1094">
        <v>1040</v>
      </c>
      <c r="E1094" t="str">
        <f>IFERROR(IF(OR(HLOOKUP($A1094,#REF!,3,FALSE)&gt;2,HLOOKUP(A1094,#REF!,3,FALSE)&lt;-2),"",#REF!),"")</f>
        <v/>
      </c>
      <c r="F1094" t="str">
        <f>IFERROR(IF(OR(HLOOKUP($A1094,#REF!,4,FALSE)&gt;2,HLOOKUP($A1094,#REF!,4,FALSE)&lt;-2),"",#REF!),"")</f>
        <v/>
      </c>
      <c r="G1094" t="str">
        <f>IFERROR(IF(OR(HLOOKUP($A1094,#REF!,5,FALSE)&gt;2,HLOOKUP($A1094,#REF!,5,FALSE)&lt;-2),"",#REF!),"")</f>
        <v/>
      </c>
      <c r="H1094" t="str">
        <f>IFERROR(IF(OR(HLOOKUP($A1094,#REF!,6,FALSE)&gt;2,HLOOKUP($A1094,#REF!,6,FALSE)&lt;-2),"",#REF!),"")</f>
        <v/>
      </c>
      <c r="I1094" t="str">
        <f>IFERROR(IF(OR(HLOOKUP($A1094,#REF!,7,FALSE)&gt;2,HLOOKUP($A1094,#REF!,7,FALSE)&lt;-2),"",#REF!),"")</f>
        <v/>
      </c>
      <c r="J1094" t="str">
        <f>IFERROR(IF(OR(HLOOKUP($A1094,#REF!,8,FALSE)&gt;2,HLOOKUP($A1094,#REF!,8,FALSE)&lt;-2),"",#REF!),"")</f>
        <v/>
      </c>
      <c r="K1094" t="str">
        <f>IFERROR(IF(OR(HLOOKUP($A1094,#REF!,9,FALSE)&gt;2,HLOOKUP($A1094,#REF!,9,FALSE)&lt;-2),"",#REF!),"")</f>
        <v/>
      </c>
      <c r="L1094" t="str">
        <f>IFERROR(IF(OR(HLOOKUP($A1094,#REF!,10,FALSE)&gt;2,HLOOKUP($A1094,#REF!,10,FALSE)&lt;-2),"",#REF!),"")</f>
        <v/>
      </c>
      <c r="M1094" t="str">
        <f>IFERROR(IF(OR(HLOOKUP($A1094,#REF!,11,FALSE)&gt;2,HLOOKUP($A1094,#REF!,11,FALSE)&lt;-2),"",#REF!),"")</f>
        <v/>
      </c>
      <c r="N1094" t="str">
        <f>IFERROR(IF(OR(HLOOKUP($A1094,#REF!,12,FALSE)&gt;2,HLOOKUP($A1094,#REF!,12,FALSE)&lt;-2),"",#REF!),"")</f>
        <v/>
      </c>
      <c r="O1094" t="str">
        <f>IFERROR(IF(OR(HLOOKUP($A1094,#REF!,13,FALSE)&gt;2,HLOOKUP($A1094,#REF!,13,FALSE)&lt;-2),"",#REF!),"")</f>
        <v/>
      </c>
      <c r="P1094" t="str">
        <f>IFERROR(IF(OR(HLOOKUP($A1094,#REF!,14,FALSE)&gt;2,HLOOKUP($A1094,#REF!,14,FALSE)&lt;-2),"",#REF!),"")</f>
        <v/>
      </c>
      <c r="Q1094" t="str">
        <f>IFERROR(IF(OR(HLOOKUP($A1094,#REF!,15,FALSE)&gt;2,HLOOKUP($A1094,#REF!,15,FALSE)&lt;-2),"",#REF!),"")</f>
        <v/>
      </c>
      <c r="R1094" t="str">
        <f>IFERROR(IF(OR(HLOOKUP($A1094,#REF!,16,FALSE)&gt;2,HLOOKUP($A1094,#REF!,16,FALSE)&lt;-2),"",#REF!),"")</f>
        <v/>
      </c>
      <c r="S1094" t="str">
        <f>IFERROR(IF(OR(HLOOKUP($A1094,#REF!,17,FALSE)&gt;2,HLOOKUP($A1094,#REF!,17,FALSE)&lt;-2),"",#REF!),"")</f>
        <v/>
      </c>
      <c r="T1094" t="str">
        <f>IFERROR(IF(OR(HLOOKUP($A1094,#REF!,18,FALSE)&gt;2,HLOOKUP($A1094,#REF!,18,FALSE)&lt;-2),"",#REF!),"")</f>
        <v/>
      </c>
      <c r="U1094" t="str">
        <f>IFERROR(IF(OR(HLOOKUP($A1094,#REF!,19,FALSE)&gt;2,HLOOKUP($A1094,#REF!,19,FALSE)&lt;-2),"",#REF!),"")</f>
        <v/>
      </c>
      <c r="V1094">
        <f t="shared" si="68"/>
        <v>1</v>
      </c>
      <c r="W1094" t="str">
        <f t="shared" si="69"/>
        <v/>
      </c>
      <c r="X1094" t="str">
        <f t="shared" si="70"/>
        <v/>
      </c>
      <c r="Y1094" t="str">
        <f t="shared" si="71"/>
        <v/>
      </c>
    </row>
    <row r="1095" spans="1:25" x14ac:dyDescent="0.35">
      <c r="A1095">
        <v>1104</v>
      </c>
      <c r="B1095" t="s">
        <v>1152</v>
      </c>
      <c r="C1095">
        <v>66600</v>
      </c>
      <c r="D1095">
        <v>127</v>
      </c>
      <c r="E1095" t="str">
        <f>IFERROR(IF(OR(HLOOKUP($A1095,#REF!,3,FALSE)&gt;2,HLOOKUP(A1095,#REF!,3,FALSE)&lt;-2),"",#REF!),"")</f>
        <v/>
      </c>
      <c r="F1095" t="str">
        <f>IFERROR(IF(OR(HLOOKUP($A1095,#REF!,4,FALSE)&gt;2,HLOOKUP($A1095,#REF!,4,FALSE)&lt;-2),"",#REF!),"")</f>
        <v/>
      </c>
      <c r="G1095" t="str">
        <f>IFERROR(IF(OR(HLOOKUP($A1095,#REF!,5,FALSE)&gt;2,HLOOKUP($A1095,#REF!,5,FALSE)&lt;-2),"",#REF!),"")</f>
        <v/>
      </c>
      <c r="H1095" t="str">
        <f>IFERROR(IF(OR(HLOOKUP($A1095,#REF!,6,FALSE)&gt;2,HLOOKUP($A1095,#REF!,6,FALSE)&lt;-2),"",#REF!),"")</f>
        <v/>
      </c>
      <c r="I1095" t="str">
        <f>IFERROR(IF(OR(HLOOKUP($A1095,#REF!,7,FALSE)&gt;2,HLOOKUP($A1095,#REF!,7,FALSE)&lt;-2),"",#REF!),"")</f>
        <v/>
      </c>
      <c r="J1095" t="str">
        <f>IFERROR(IF(OR(HLOOKUP($A1095,#REF!,8,FALSE)&gt;2,HLOOKUP($A1095,#REF!,8,FALSE)&lt;-2),"",#REF!),"")</f>
        <v/>
      </c>
      <c r="K1095" t="str">
        <f>IFERROR(IF(OR(HLOOKUP($A1095,#REF!,9,FALSE)&gt;2,HLOOKUP($A1095,#REF!,9,FALSE)&lt;-2),"",#REF!),"")</f>
        <v/>
      </c>
      <c r="L1095" t="str">
        <f>IFERROR(IF(OR(HLOOKUP($A1095,#REF!,10,FALSE)&gt;2,HLOOKUP($A1095,#REF!,10,FALSE)&lt;-2),"",#REF!),"")</f>
        <v/>
      </c>
      <c r="M1095" t="str">
        <f>IFERROR(IF(OR(HLOOKUP($A1095,#REF!,11,FALSE)&gt;2,HLOOKUP($A1095,#REF!,11,FALSE)&lt;-2),"",#REF!),"")</f>
        <v/>
      </c>
      <c r="N1095" t="str">
        <f>IFERROR(IF(OR(HLOOKUP($A1095,#REF!,12,FALSE)&gt;2,HLOOKUP($A1095,#REF!,12,FALSE)&lt;-2),"",#REF!),"")</f>
        <v/>
      </c>
      <c r="O1095" t="str">
        <f>IFERROR(IF(OR(HLOOKUP($A1095,#REF!,13,FALSE)&gt;2,HLOOKUP($A1095,#REF!,13,FALSE)&lt;-2),"",#REF!),"")</f>
        <v/>
      </c>
      <c r="P1095" t="str">
        <f>IFERROR(IF(OR(HLOOKUP($A1095,#REF!,14,FALSE)&gt;2,HLOOKUP($A1095,#REF!,14,FALSE)&lt;-2),"",#REF!),"")</f>
        <v/>
      </c>
      <c r="Q1095" t="str">
        <f>IFERROR(IF(OR(HLOOKUP($A1095,#REF!,15,FALSE)&gt;2,HLOOKUP($A1095,#REF!,15,FALSE)&lt;-2),"",#REF!),"")</f>
        <v/>
      </c>
      <c r="R1095" t="str">
        <f>IFERROR(IF(OR(HLOOKUP($A1095,#REF!,16,FALSE)&gt;2,HLOOKUP($A1095,#REF!,16,FALSE)&lt;-2),"",#REF!),"")</f>
        <v/>
      </c>
      <c r="S1095" t="str">
        <f>IFERROR(IF(OR(HLOOKUP($A1095,#REF!,17,FALSE)&gt;2,HLOOKUP($A1095,#REF!,17,FALSE)&lt;-2),"",#REF!),"")</f>
        <v/>
      </c>
      <c r="T1095" t="str">
        <f>IFERROR(IF(OR(HLOOKUP($A1095,#REF!,18,FALSE)&gt;2,HLOOKUP($A1095,#REF!,18,FALSE)&lt;-2),"",#REF!),"")</f>
        <v/>
      </c>
      <c r="U1095" t="str">
        <f>IFERROR(IF(OR(HLOOKUP($A1095,#REF!,19,FALSE)&gt;2,HLOOKUP($A1095,#REF!,19,FALSE)&lt;-2),"",#REF!),"")</f>
        <v/>
      </c>
      <c r="V1095">
        <f t="shared" si="68"/>
        <v>1</v>
      </c>
      <c r="W1095" t="str">
        <f t="shared" si="69"/>
        <v/>
      </c>
      <c r="X1095" t="str">
        <f t="shared" si="70"/>
        <v/>
      </c>
      <c r="Y1095" t="str">
        <f t="shared" si="71"/>
        <v/>
      </c>
    </row>
    <row r="1096" spans="1:25" x14ac:dyDescent="0.35">
      <c r="A1096">
        <v>1105</v>
      </c>
      <c r="B1096" t="s">
        <v>546</v>
      </c>
      <c r="C1096">
        <v>50700</v>
      </c>
      <c r="D1096">
        <v>278</v>
      </c>
      <c r="E1096" t="str">
        <f>IFERROR(IF(OR(HLOOKUP($A1096,#REF!,3,FALSE)&gt;2,HLOOKUP(A1096,#REF!,3,FALSE)&lt;-2),"",#REF!),"")</f>
        <v/>
      </c>
      <c r="F1096" t="str">
        <f>IFERROR(IF(OR(HLOOKUP($A1096,#REF!,4,FALSE)&gt;2,HLOOKUP($A1096,#REF!,4,FALSE)&lt;-2),"",#REF!),"")</f>
        <v/>
      </c>
      <c r="G1096" t="str">
        <f>IFERROR(IF(OR(HLOOKUP($A1096,#REF!,5,FALSE)&gt;2,HLOOKUP($A1096,#REF!,5,FALSE)&lt;-2),"",#REF!),"")</f>
        <v/>
      </c>
      <c r="H1096" t="str">
        <f>IFERROR(IF(OR(HLOOKUP($A1096,#REF!,6,FALSE)&gt;2,HLOOKUP($A1096,#REF!,6,FALSE)&lt;-2),"",#REF!),"")</f>
        <v/>
      </c>
      <c r="I1096" t="str">
        <f>IFERROR(IF(OR(HLOOKUP($A1096,#REF!,7,FALSE)&gt;2,HLOOKUP($A1096,#REF!,7,FALSE)&lt;-2),"",#REF!),"")</f>
        <v/>
      </c>
      <c r="J1096" t="str">
        <f>IFERROR(IF(OR(HLOOKUP($A1096,#REF!,8,FALSE)&gt;2,HLOOKUP($A1096,#REF!,8,FALSE)&lt;-2),"",#REF!),"")</f>
        <v/>
      </c>
      <c r="K1096" t="str">
        <f>IFERROR(IF(OR(HLOOKUP($A1096,#REF!,9,FALSE)&gt;2,HLOOKUP($A1096,#REF!,9,FALSE)&lt;-2),"",#REF!),"")</f>
        <v/>
      </c>
      <c r="L1096" t="str">
        <f>IFERROR(IF(OR(HLOOKUP($A1096,#REF!,10,FALSE)&gt;2,HLOOKUP($A1096,#REF!,10,FALSE)&lt;-2),"",#REF!),"")</f>
        <v/>
      </c>
      <c r="M1096" t="str">
        <f>IFERROR(IF(OR(HLOOKUP($A1096,#REF!,11,FALSE)&gt;2,HLOOKUP($A1096,#REF!,11,FALSE)&lt;-2),"",#REF!),"")</f>
        <v/>
      </c>
      <c r="N1096" t="str">
        <f>IFERROR(IF(OR(HLOOKUP($A1096,#REF!,12,FALSE)&gt;2,HLOOKUP($A1096,#REF!,12,FALSE)&lt;-2),"",#REF!),"")</f>
        <v/>
      </c>
      <c r="O1096" t="str">
        <f>IFERROR(IF(OR(HLOOKUP($A1096,#REF!,13,FALSE)&gt;2,HLOOKUP($A1096,#REF!,13,FALSE)&lt;-2),"",#REF!),"")</f>
        <v/>
      </c>
      <c r="P1096" t="str">
        <f>IFERROR(IF(OR(HLOOKUP($A1096,#REF!,14,FALSE)&gt;2,HLOOKUP($A1096,#REF!,14,FALSE)&lt;-2),"",#REF!),"")</f>
        <v/>
      </c>
      <c r="Q1096" t="str">
        <f>IFERROR(IF(OR(HLOOKUP($A1096,#REF!,15,FALSE)&gt;2,HLOOKUP($A1096,#REF!,15,FALSE)&lt;-2),"",#REF!),"")</f>
        <v/>
      </c>
      <c r="R1096" t="str">
        <f>IFERROR(IF(OR(HLOOKUP($A1096,#REF!,16,FALSE)&gt;2,HLOOKUP($A1096,#REF!,16,FALSE)&lt;-2),"",#REF!),"")</f>
        <v/>
      </c>
      <c r="S1096" t="str">
        <f>IFERROR(IF(OR(HLOOKUP($A1096,#REF!,17,FALSE)&gt;2,HLOOKUP($A1096,#REF!,17,FALSE)&lt;-2),"",#REF!),"")</f>
        <v/>
      </c>
      <c r="T1096" t="str">
        <f>IFERROR(IF(OR(HLOOKUP($A1096,#REF!,18,FALSE)&gt;2,HLOOKUP($A1096,#REF!,18,FALSE)&lt;-2),"",#REF!),"")</f>
        <v/>
      </c>
      <c r="U1096" t="str">
        <f>IFERROR(IF(OR(HLOOKUP($A1096,#REF!,19,FALSE)&gt;2,HLOOKUP($A1096,#REF!,19,FALSE)&lt;-2),"",#REF!),"")</f>
        <v/>
      </c>
      <c r="V1096">
        <f t="shared" si="68"/>
        <v>1</v>
      </c>
      <c r="W1096" t="str">
        <f t="shared" si="69"/>
        <v/>
      </c>
      <c r="X1096" t="str">
        <f t="shared" si="70"/>
        <v/>
      </c>
      <c r="Y1096" t="str">
        <f t="shared" si="71"/>
        <v/>
      </c>
    </row>
    <row r="1097" spans="1:25" x14ac:dyDescent="0.35">
      <c r="A1097">
        <v>1106</v>
      </c>
      <c r="B1097" t="s">
        <v>547</v>
      </c>
      <c r="C1097">
        <v>10000</v>
      </c>
      <c r="D1097">
        <v>677</v>
      </c>
      <c r="E1097" t="str">
        <f>IFERROR(IF(OR(HLOOKUP($A1097,#REF!,3,FALSE)&gt;2,HLOOKUP(A1097,#REF!,3,FALSE)&lt;-2),"",#REF!),"")</f>
        <v/>
      </c>
      <c r="F1097" t="str">
        <f>IFERROR(IF(OR(HLOOKUP($A1097,#REF!,4,FALSE)&gt;2,HLOOKUP($A1097,#REF!,4,FALSE)&lt;-2),"",#REF!),"")</f>
        <v/>
      </c>
      <c r="G1097" t="str">
        <f>IFERROR(IF(OR(HLOOKUP($A1097,#REF!,5,FALSE)&gt;2,HLOOKUP($A1097,#REF!,5,FALSE)&lt;-2),"",#REF!),"")</f>
        <v/>
      </c>
      <c r="H1097" t="str">
        <f>IFERROR(IF(OR(HLOOKUP($A1097,#REF!,6,FALSE)&gt;2,HLOOKUP($A1097,#REF!,6,FALSE)&lt;-2),"",#REF!),"")</f>
        <v/>
      </c>
      <c r="I1097" t="str">
        <f>IFERROR(IF(OR(HLOOKUP($A1097,#REF!,7,FALSE)&gt;2,HLOOKUP($A1097,#REF!,7,FALSE)&lt;-2),"",#REF!),"")</f>
        <v/>
      </c>
      <c r="J1097" t="str">
        <f>IFERROR(IF(OR(HLOOKUP($A1097,#REF!,8,FALSE)&gt;2,HLOOKUP($A1097,#REF!,8,FALSE)&lt;-2),"",#REF!),"")</f>
        <v/>
      </c>
      <c r="K1097" t="str">
        <f>IFERROR(IF(OR(HLOOKUP($A1097,#REF!,9,FALSE)&gt;2,HLOOKUP($A1097,#REF!,9,FALSE)&lt;-2),"",#REF!),"")</f>
        <v/>
      </c>
      <c r="L1097" t="str">
        <f>IFERROR(IF(OR(HLOOKUP($A1097,#REF!,10,FALSE)&gt;2,HLOOKUP($A1097,#REF!,10,FALSE)&lt;-2),"",#REF!),"")</f>
        <v/>
      </c>
      <c r="M1097" t="str">
        <f>IFERROR(IF(OR(HLOOKUP($A1097,#REF!,11,FALSE)&gt;2,HLOOKUP($A1097,#REF!,11,FALSE)&lt;-2),"",#REF!),"")</f>
        <v/>
      </c>
      <c r="N1097" t="str">
        <f>IFERROR(IF(OR(HLOOKUP($A1097,#REF!,12,FALSE)&gt;2,HLOOKUP($A1097,#REF!,12,FALSE)&lt;-2),"",#REF!),"")</f>
        <v/>
      </c>
      <c r="O1097" t="str">
        <f>IFERROR(IF(OR(HLOOKUP($A1097,#REF!,13,FALSE)&gt;2,HLOOKUP($A1097,#REF!,13,FALSE)&lt;-2),"",#REF!),"")</f>
        <v/>
      </c>
      <c r="P1097" t="str">
        <f>IFERROR(IF(OR(HLOOKUP($A1097,#REF!,14,FALSE)&gt;2,HLOOKUP($A1097,#REF!,14,FALSE)&lt;-2),"",#REF!),"")</f>
        <v/>
      </c>
      <c r="Q1097" t="str">
        <f>IFERROR(IF(OR(HLOOKUP($A1097,#REF!,15,FALSE)&gt;2,HLOOKUP($A1097,#REF!,15,FALSE)&lt;-2),"",#REF!),"")</f>
        <v/>
      </c>
      <c r="R1097" t="str">
        <f>IFERROR(IF(OR(HLOOKUP($A1097,#REF!,16,FALSE)&gt;2,HLOOKUP($A1097,#REF!,16,FALSE)&lt;-2),"",#REF!),"")</f>
        <v/>
      </c>
      <c r="S1097" t="str">
        <f>IFERROR(IF(OR(HLOOKUP($A1097,#REF!,17,FALSE)&gt;2,HLOOKUP($A1097,#REF!,17,FALSE)&lt;-2),"",#REF!),"")</f>
        <v/>
      </c>
      <c r="T1097" t="str">
        <f>IFERROR(IF(OR(HLOOKUP($A1097,#REF!,18,FALSE)&gt;2,HLOOKUP($A1097,#REF!,18,FALSE)&lt;-2),"",#REF!),"")</f>
        <v/>
      </c>
      <c r="U1097" t="str">
        <f>IFERROR(IF(OR(HLOOKUP($A1097,#REF!,19,FALSE)&gt;2,HLOOKUP($A1097,#REF!,19,FALSE)&lt;-2),"",#REF!),"")</f>
        <v/>
      </c>
      <c r="V1097">
        <f t="shared" si="68"/>
        <v>1</v>
      </c>
      <c r="W1097" t="str">
        <f t="shared" si="69"/>
        <v/>
      </c>
      <c r="X1097" t="str">
        <f t="shared" si="70"/>
        <v/>
      </c>
      <c r="Y1097" t="str">
        <f t="shared" si="71"/>
        <v/>
      </c>
    </row>
    <row r="1098" spans="1:25" x14ac:dyDescent="0.35">
      <c r="A1098">
        <v>1107</v>
      </c>
      <c r="B1098" t="s">
        <v>548</v>
      </c>
      <c r="C1098">
        <v>94500</v>
      </c>
      <c r="D1098">
        <v>395</v>
      </c>
      <c r="E1098" t="str">
        <f>IFERROR(IF(OR(HLOOKUP($A1098,#REF!,3,FALSE)&gt;2,HLOOKUP(A1098,#REF!,3,FALSE)&lt;-2),"",#REF!),"")</f>
        <v/>
      </c>
      <c r="F1098" t="str">
        <f>IFERROR(IF(OR(HLOOKUP($A1098,#REF!,4,FALSE)&gt;2,HLOOKUP($A1098,#REF!,4,FALSE)&lt;-2),"",#REF!),"")</f>
        <v/>
      </c>
      <c r="G1098" t="str">
        <f>IFERROR(IF(OR(HLOOKUP($A1098,#REF!,5,FALSE)&gt;2,HLOOKUP($A1098,#REF!,5,FALSE)&lt;-2),"",#REF!),"")</f>
        <v/>
      </c>
      <c r="H1098" t="str">
        <f>IFERROR(IF(OR(HLOOKUP($A1098,#REF!,6,FALSE)&gt;2,HLOOKUP($A1098,#REF!,6,FALSE)&lt;-2),"",#REF!),"")</f>
        <v/>
      </c>
      <c r="I1098" t="str">
        <f>IFERROR(IF(OR(HLOOKUP($A1098,#REF!,7,FALSE)&gt;2,HLOOKUP($A1098,#REF!,7,FALSE)&lt;-2),"",#REF!),"")</f>
        <v/>
      </c>
      <c r="J1098" t="str">
        <f>IFERROR(IF(OR(HLOOKUP($A1098,#REF!,8,FALSE)&gt;2,HLOOKUP($A1098,#REF!,8,FALSE)&lt;-2),"",#REF!),"")</f>
        <v/>
      </c>
      <c r="K1098" t="str">
        <f>IFERROR(IF(OR(HLOOKUP($A1098,#REF!,9,FALSE)&gt;2,HLOOKUP($A1098,#REF!,9,FALSE)&lt;-2),"",#REF!),"")</f>
        <v/>
      </c>
      <c r="L1098" t="str">
        <f>IFERROR(IF(OR(HLOOKUP($A1098,#REF!,10,FALSE)&gt;2,HLOOKUP($A1098,#REF!,10,FALSE)&lt;-2),"",#REF!),"")</f>
        <v/>
      </c>
      <c r="M1098" t="str">
        <f>IFERROR(IF(OR(HLOOKUP($A1098,#REF!,11,FALSE)&gt;2,HLOOKUP($A1098,#REF!,11,FALSE)&lt;-2),"",#REF!),"")</f>
        <v/>
      </c>
      <c r="N1098" t="str">
        <f>IFERROR(IF(OR(HLOOKUP($A1098,#REF!,12,FALSE)&gt;2,HLOOKUP($A1098,#REF!,12,FALSE)&lt;-2),"",#REF!),"")</f>
        <v/>
      </c>
      <c r="O1098" t="str">
        <f>IFERROR(IF(OR(HLOOKUP($A1098,#REF!,13,FALSE)&gt;2,HLOOKUP($A1098,#REF!,13,FALSE)&lt;-2),"",#REF!),"")</f>
        <v/>
      </c>
      <c r="P1098" t="str">
        <f>IFERROR(IF(OR(HLOOKUP($A1098,#REF!,14,FALSE)&gt;2,HLOOKUP($A1098,#REF!,14,FALSE)&lt;-2),"",#REF!),"")</f>
        <v/>
      </c>
      <c r="Q1098" t="str">
        <f>IFERROR(IF(OR(HLOOKUP($A1098,#REF!,15,FALSE)&gt;2,HLOOKUP($A1098,#REF!,15,FALSE)&lt;-2),"",#REF!),"")</f>
        <v/>
      </c>
      <c r="R1098" t="str">
        <f>IFERROR(IF(OR(HLOOKUP($A1098,#REF!,16,FALSE)&gt;2,HLOOKUP($A1098,#REF!,16,FALSE)&lt;-2),"",#REF!),"")</f>
        <v/>
      </c>
      <c r="S1098" t="str">
        <f>IFERROR(IF(OR(HLOOKUP($A1098,#REF!,17,FALSE)&gt;2,HLOOKUP($A1098,#REF!,17,FALSE)&lt;-2),"",#REF!),"")</f>
        <v/>
      </c>
      <c r="T1098" t="str">
        <f>IFERROR(IF(OR(HLOOKUP($A1098,#REF!,18,FALSE)&gt;2,HLOOKUP($A1098,#REF!,18,FALSE)&lt;-2),"",#REF!),"")</f>
        <v/>
      </c>
      <c r="U1098" t="str">
        <f>IFERROR(IF(OR(HLOOKUP($A1098,#REF!,19,FALSE)&gt;2,HLOOKUP($A1098,#REF!,19,FALSE)&lt;-2),"",#REF!),"")</f>
        <v/>
      </c>
      <c r="V1098">
        <f t="shared" si="68"/>
        <v>1</v>
      </c>
      <c r="W1098" t="str">
        <f t="shared" si="69"/>
        <v/>
      </c>
      <c r="X1098" t="str">
        <f t="shared" si="70"/>
        <v/>
      </c>
      <c r="Y1098" t="str">
        <f t="shared" si="71"/>
        <v/>
      </c>
    </row>
    <row r="1099" spans="1:25" x14ac:dyDescent="0.35">
      <c r="A1099">
        <v>1108</v>
      </c>
      <c r="B1099" t="s">
        <v>1153</v>
      </c>
      <c r="C1099">
        <v>106500</v>
      </c>
      <c r="D1099">
        <v>776</v>
      </c>
      <c r="E1099" t="str">
        <f>IFERROR(IF(OR(HLOOKUP($A1099,#REF!,3,FALSE)&gt;2,HLOOKUP(A1099,#REF!,3,FALSE)&lt;-2),"",#REF!),"")</f>
        <v/>
      </c>
      <c r="F1099" t="str">
        <f>IFERROR(IF(OR(HLOOKUP($A1099,#REF!,4,FALSE)&gt;2,HLOOKUP($A1099,#REF!,4,FALSE)&lt;-2),"",#REF!),"")</f>
        <v/>
      </c>
      <c r="G1099" t="str">
        <f>IFERROR(IF(OR(HLOOKUP($A1099,#REF!,5,FALSE)&gt;2,HLOOKUP($A1099,#REF!,5,FALSE)&lt;-2),"",#REF!),"")</f>
        <v/>
      </c>
      <c r="H1099" t="str">
        <f>IFERROR(IF(OR(HLOOKUP($A1099,#REF!,6,FALSE)&gt;2,HLOOKUP($A1099,#REF!,6,FALSE)&lt;-2),"",#REF!),"")</f>
        <v/>
      </c>
      <c r="I1099" t="str">
        <f>IFERROR(IF(OR(HLOOKUP($A1099,#REF!,7,FALSE)&gt;2,HLOOKUP($A1099,#REF!,7,FALSE)&lt;-2),"",#REF!),"")</f>
        <v/>
      </c>
      <c r="J1099" t="str">
        <f>IFERROR(IF(OR(HLOOKUP($A1099,#REF!,8,FALSE)&gt;2,HLOOKUP($A1099,#REF!,8,FALSE)&lt;-2),"",#REF!),"")</f>
        <v/>
      </c>
      <c r="K1099" t="str">
        <f>IFERROR(IF(OR(HLOOKUP($A1099,#REF!,9,FALSE)&gt;2,HLOOKUP($A1099,#REF!,9,FALSE)&lt;-2),"",#REF!),"")</f>
        <v/>
      </c>
      <c r="L1099" t="str">
        <f>IFERROR(IF(OR(HLOOKUP($A1099,#REF!,10,FALSE)&gt;2,HLOOKUP($A1099,#REF!,10,FALSE)&lt;-2),"",#REF!),"")</f>
        <v/>
      </c>
      <c r="M1099" t="str">
        <f>IFERROR(IF(OR(HLOOKUP($A1099,#REF!,11,FALSE)&gt;2,HLOOKUP($A1099,#REF!,11,FALSE)&lt;-2),"",#REF!),"")</f>
        <v/>
      </c>
      <c r="N1099" t="str">
        <f>IFERROR(IF(OR(HLOOKUP($A1099,#REF!,12,FALSE)&gt;2,HLOOKUP($A1099,#REF!,12,FALSE)&lt;-2),"",#REF!),"")</f>
        <v/>
      </c>
      <c r="O1099" t="str">
        <f>IFERROR(IF(OR(HLOOKUP($A1099,#REF!,13,FALSE)&gt;2,HLOOKUP($A1099,#REF!,13,FALSE)&lt;-2),"",#REF!),"")</f>
        <v/>
      </c>
      <c r="P1099" t="str">
        <f>IFERROR(IF(OR(HLOOKUP($A1099,#REF!,14,FALSE)&gt;2,HLOOKUP($A1099,#REF!,14,FALSE)&lt;-2),"",#REF!),"")</f>
        <v/>
      </c>
      <c r="Q1099" t="str">
        <f>IFERROR(IF(OR(HLOOKUP($A1099,#REF!,15,FALSE)&gt;2,HLOOKUP($A1099,#REF!,15,FALSE)&lt;-2),"",#REF!),"")</f>
        <v/>
      </c>
      <c r="R1099" t="str">
        <f>IFERROR(IF(OR(HLOOKUP($A1099,#REF!,16,FALSE)&gt;2,HLOOKUP($A1099,#REF!,16,FALSE)&lt;-2),"",#REF!),"")</f>
        <v/>
      </c>
      <c r="S1099" t="str">
        <f>IFERROR(IF(OR(HLOOKUP($A1099,#REF!,17,FALSE)&gt;2,HLOOKUP($A1099,#REF!,17,FALSE)&lt;-2),"",#REF!),"")</f>
        <v/>
      </c>
      <c r="T1099" t="str">
        <f>IFERROR(IF(OR(HLOOKUP($A1099,#REF!,18,FALSE)&gt;2,HLOOKUP($A1099,#REF!,18,FALSE)&lt;-2),"",#REF!),"")</f>
        <v/>
      </c>
      <c r="U1099" t="str">
        <f>IFERROR(IF(OR(HLOOKUP($A1099,#REF!,19,FALSE)&gt;2,HLOOKUP($A1099,#REF!,19,FALSE)&lt;-2),"",#REF!),"")</f>
        <v/>
      </c>
      <c r="V1099">
        <f t="shared" si="68"/>
        <v>1</v>
      </c>
      <c r="W1099" t="str">
        <f t="shared" si="69"/>
        <v/>
      </c>
      <c r="X1099" t="str">
        <f t="shared" si="70"/>
        <v/>
      </c>
      <c r="Y1099" t="str">
        <f t="shared" si="71"/>
        <v/>
      </c>
    </row>
    <row r="1100" spans="1:25" x14ac:dyDescent="0.35">
      <c r="A1100">
        <v>1109</v>
      </c>
      <c r="B1100" t="s">
        <v>549</v>
      </c>
      <c r="C1100">
        <v>73200</v>
      </c>
      <c r="D1100">
        <v>141</v>
      </c>
      <c r="E1100" t="str">
        <f>IFERROR(IF(OR(HLOOKUP($A1100,#REF!,3,FALSE)&gt;2,HLOOKUP(A1100,#REF!,3,FALSE)&lt;-2),"",#REF!),"")</f>
        <v/>
      </c>
      <c r="F1100" t="str">
        <f>IFERROR(IF(OR(HLOOKUP($A1100,#REF!,4,FALSE)&gt;2,HLOOKUP($A1100,#REF!,4,FALSE)&lt;-2),"",#REF!),"")</f>
        <v/>
      </c>
      <c r="G1100" t="str">
        <f>IFERROR(IF(OR(HLOOKUP($A1100,#REF!,5,FALSE)&gt;2,HLOOKUP($A1100,#REF!,5,FALSE)&lt;-2),"",#REF!),"")</f>
        <v/>
      </c>
      <c r="H1100" t="str">
        <f>IFERROR(IF(OR(HLOOKUP($A1100,#REF!,6,FALSE)&gt;2,HLOOKUP($A1100,#REF!,6,FALSE)&lt;-2),"",#REF!),"")</f>
        <v/>
      </c>
      <c r="I1100" t="str">
        <f>IFERROR(IF(OR(HLOOKUP($A1100,#REF!,7,FALSE)&gt;2,HLOOKUP($A1100,#REF!,7,FALSE)&lt;-2),"",#REF!),"")</f>
        <v/>
      </c>
      <c r="J1100" t="str">
        <f>IFERROR(IF(OR(HLOOKUP($A1100,#REF!,8,FALSE)&gt;2,HLOOKUP($A1100,#REF!,8,FALSE)&lt;-2),"",#REF!),"")</f>
        <v/>
      </c>
      <c r="K1100" t="str">
        <f>IFERROR(IF(OR(HLOOKUP($A1100,#REF!,9,FALSE)&gt;2,HLOOKUP($A1100,#REF!,9,FALSE)&lt;-2),"",#REF!),"")</f>
        <v/>
      </c>
      <c r="L1100" t="str">
        <f>IFERROR(IF(OR(HLOOKUP($A1100,#REF!,10,FALSE)&gt;2,HLOOKUP($A1100,#REF!,10,FALSE)&lt;-2),"",#REF!),"")</f>
        <v/>
      </c>
      <c r="M1100" t="str">
        <f>IFERROR(IF(OR(HLOOKUP($A1100,#REF!,11,FALSE)&gt;2,HLOOKUP($A1100,#REF!,11,FALSE)&lt;-2),"",#REF!),"")</f>
        <v/>
      </c>
      <c r="N1100" t="str">
        <f>IFERROR(IF(OR(HLOOKUP($A1100,#REF!,12,FALSE)&gt;2,HLOOKUP($A1100,#REF!,12,FALSE)&lt;-2),"",#REF!),"")</f>
        <v/>
      </c>
      <c r="O1100" t="str">
        <f>IFERROR(IF(OR(HLOOKUP($A1100,#REF!,13,FALSE)&gt;2,HLOOKUP($A1100,#REF!,13,FALSE)&lt;-2),"",#REF!),"")</f>
        <v/>
      </c>
      <c r="P1100" t="str">
        <f>IFERROR(IF(OR(HLOOKUP($A1100,#REF!,14,FALSE)&gt;2,HLOOKUP($A1100,#REF!,14,FALSE)&lt;-2),"",#REF!),"")</f>
        <v/>
      </c>
      <c r="Q1100" t="str">
        <f>IFERROR(IF(OR(HLOOKUP($A1100,#REF!,15,FALSE)&gt;2,HLOOKUP($A1100,#REF!,15,FALSE)&lt;-2),"",#REF!),"")</f>
        <v/>
      </c>
      <c r="R1100" t="str">
        <f>IFERROR(IF(OR(HLOOKUP($A1100,#REF!,16,FALSE)&gt;2,HLOOKUP($A1100,#REF!,16,FALSE)&lt;-2),"",#REF!),"")</f>
        <v/>
      </c>
      <c r="S1100" t="str">
        <f>IFERROR(IF(OR(HLOOKUP($A1100,#REF!,17,FALSE)&gt;2,HLOOKUP($A1100,#REF!,17,FALSE)&lt;-2),"",#REF!),"")</f>
        <v/>
      </c>
      <c r="T1100" t="str">
        <f>IFERROR(IF(OR(HLOOKUP($A1100,#REF!,18,FALSE)&gt;2,HLOOKUP($A1100,#REF!,18,FALSE)&lt;-2),"",#REF!),"")</f>
        <v/>
      </c>
      <c r="U1100" t="str">
        <f>IFERROR(IF(OR(HLOOKUP($A1100,#REF!,19,FALSE)&gt;2,HLOOKUP($A1100,#REF!,19,FALSE)&lt;-2),"",#REF!),"")</f>
        <v/>
      </c>
      <c r="V1100">
        <f t="shared" si="68"/>
        <v>1</v>
      </c>
      <c r="W1100" t="str">
        <f t="shared" si="69"/>
        <v/>
      </c>
      <c r="X1100" t="str">
        <f t="shared" si="70"/>
        <v/>
      </c>
      <c r="Y1100" t="str">
        <f t="shared" si="71"/>
        <v/>
      </c>
    </row>
    <row r="1101" spans="1:25" x14ac:dyDescent="0.35">
      <c r="A1101">
        <v>1110</v>
      </c>
      <c r="B1101" t="s">
        <v>1154</v>
      </c>
      <c r="C1101">
        <v>75100</v>
      </c>
      <c r="D1101">
        <v>525</v>
      </c>
      <c r="E1101" t="str">
        <f>IFERROR(IF(OR(HLOOKUP($A1101,#REF!,3,FALSE)&gt;2,HLOOKUP(A1101,#REF!,3,FALSE)&lt;-2),"",#REF!),"")</f>
        <v/>
      </c>
      <c r="F1101" t="str">
        <f>IFERROR(IF(OR(HLOOKUP($A1101,#REF!,4,FALSE)&gt;2,HLOOKUP($A1101,#REF!,4,FALSE)&lt;-2),"",#REF!),"")</f>
        <v/>
      </c>
      <c r="G1101" t="str">
        <f>IFERROR(IF(OR(HLOOKUP($A1101,#REF!,5,FALSE)&gt;2,HLOOKUP($A1101,#REF!,5,FALSE)&lt;-2),"",#REF!),"")</f>
        <v/>
      </c>
      <c r="H1101" t="str">
        <f>IFERROR(IF(OR(HLOOKUP($A1101,#REF!,6,FALSE)&gt;2,HLOOKUP($A1101,#REF!,6,FALSE)&lt;-2),"",#REF!),"")</f>
        <v/>
      </c>
      <c r="I1101" t="str">
        <f>IFERROR(IF(OR(HLOOKUP($A1101,#REF!,7,FALSE)&gt;2,HLOOKUP($A1101,#REF!,7,FALSE)&lt;-2),"",#REF!),"")</f>
        <v/>
      </c>
      <c r="J1101" t="str">
        <f>IFERROR(IF(OR(HLOOKUP($A1101,#REF!,8,FALSE)&gt;2,HLOOKUP($A1101,#REF!,8,FALSE)&lt;-2),"",#REF!),"")</f>
        <v/>
      </c>
      <c r="K1101" t="str">
        <f>IFERROR(IF(OR(HLOOKUP($A1101,#REF!,9,FALSE)&gt;2,HLOOKUP($A1101,#REF!,9,FALSE)&lt;-2),"",#REF!),"")</f>
        <v/>
      </c>
      <c r="L1101" t="str">
        <f>IFERROR(IF(OR(HLOOKUP($A1101,#REF!,10,FALSE)&gt;2,HLOOKUP($A1101,#REF!,10,FALSE)&lt;-2),"",#REF!),"")</f>
        <v/>
      </c>
      <c r="M1101" t="str">
        <f>IFERROR(IF(OR(HLOOKUP($A1101,#REF!,11,FALSE)&gt;2,HLOOKUP($A1101,#REF!,11,FALSE)&lt;-2),"",#REF!),"")</f>
        <v/>
      </c>
      <c r="N1101" t="str">
        <f>IFERROR(IF(OR(HLOOKUP($A1101,#REF!,12,FALSE)&gt;2,HLOOKUP($A1101,#REF!,12,FALSE)&lt;-2),"",#REF!),"")</f>
        <v/>
      </c>
      <c r="O1101" t="str">
        <f>IFERROR(IF(OR(HLOOKUP($A1101,#REF!,13,FALSE)&gt;2,HLOOKUP($A1101,#REF!,13,FALSE)&lt;-2),"",#REF!),"")</f>
        <v/>
      </c>
      <c r="P1101" t="str">
        <f>IFERROR(IF(OR(HLOOKUP($A1101,#REF!,14,FALSE)&gt;2,HLOOKUP($A1101,#REF!,14,FALSE)&lt;-2),"",#REF!),"")</f>
        <v/>
      </c>
      <c r="Q1101" t="str">
        <f>IFERROR(IF(OR(HLOOKUP($A1101,#REF!,15,FALSE)&gt;2,HLOOKUP($A1101,#REF!,15,FALSE)&lt;-2),"",#REF!),"")</f>
        <v/>
      </c>
      <c r="R1101" t="str">
        <f>IFERROR(IF(OR(HLOOKUP($A1101,#REF!,16,FALSE)&gt;2,HLOOKUP($A1101,#REF!,16,FALSE)&lt;-2),"",#REF!),"")</f>
        <v/>
      </c>
      <c r="S1101" t="str">
        <f>IFERROR(IF(OR(HLOOKUP($A1101,#REF!,17,FALSE)&gt;2,HLOOKUP($A1101,#REF!,17,FALSE)&lt;-2),"",#REF!),"")</f>
        <v/>
      </c>
      <c r="T1101" t="str">
        <f>IFERROR(IF(OR(HLOOKUP($A1101,#REF!,18,FALSE)&gt;2,HLOOKUP($A1101,#REF!,18,FALSE)&lt;-2),"",#REF!),"")</f>
        <v/>
      </c>
      <c r="U1101" t="str">
        <f>IFERROR(IF(OR(HLOOKUP($A1101,#REF!,19,FALSE)&gt;2,HLOOKUP($A1101,#REF!,19,FALSE)&lt;-2),"",#REF!),"")</f>
        <v/>
      </c>
      <c r="V1101">
        <f t="shared" si="68"/>
        <v>1</v>
      </c>
      <c r="W1101" t="str">
        <f t="shared" si="69"/>
        <v/>
      </c>
      <c r="X1101" t="str">
        <f t="shared" si="70"/>
        <v/>
      </c>
      <c r="Y1101" t="str">
        <f t="shared" si="71"/>
        <v/>
      </c>
    </row>
    <row r="1102" spans="1:25" x14ac:dyDescent="0.35">
      <c r="A1102">
        <v>1111</v>
      </c>
      <c r="B1102" t="s">
        <v>550</v>
      </c>
      <c r="C1102">
        <v>7400</v>
      </c>
      <c r="D1102">
        <v>361</v>
      </c>
      <c r="E1102" t="str">
        <f>IFERROR(IF(OR(HLOOKUP($A1102,#REF!,3,FALSE)&gt;2,HLOOKUP(A1102,#REF!,3,FALSE)&lt;-2),"",#REF!),"")</f>
        <v/>
      </c>
      <c r="F1102" t="str">
        <f>IFERROR(IF(OR(HLOOKUP($A1102,#REF!,4,FALSE)&gt;2,HLOOKUP($A1102,#REF!,4,FALSE)&lt;-2),"",#REF!),"")</f>
        <v/>
      </c>
      <c r="G1102" t="str">
        <f>IFERROR(IF(OR(HLOOKUP($A1102,#REF!,5,FALSE)&gt;2,HLOOKUP($A1102,#REF!,5,FALSE)&lt;-2),"",#REF!),"")</f>
        <v/>
      </c>
      <c r="H1102" t="str">
        <f>IFERROR(IF(OR(HLOOKUP($A1102,#REF!,6,FALSE)&gt;2,HLOOKUP($A1102,#REF!,6,FALSE)&lt;-2),"",#REF!),"")</f>
        <v/>
      </c>
      <c r="I1102" t="str">
        <f>IFERROR(IF(OR(HLOOKUP($A1102,#REF!,7,FALSE)&gt;2,HLOOKUP($A1102,#REF!,7,FALSE)&lt;-2),"",#REF!),"")</f>
        <v/>
      </c>
      <c r="J1102" t="str">
        <f>IFERROR(IF(OR(HLOOKUP($A1102,#REF!,8,FALSE)&gt;2,HLOOKUP($A1102,#REF!,8,FALSE)&lt;-2),"",#REF!),"")</f>
        <v/>
      </c>
      <c r="K1102" t="str">
        <f>IFERROR(IF(OR(HLOOKUP($A1102,#REF!,9,FALSE)&gt;2,HLOOKUP($A1102,#REF!,9,FALSE)&lt;-2),"",#REF!),"")</f>
        <v/>
      </c>
      <c r="L1102" t="str">
        <f>IFERROR(IF(OR(HLOOKUP($A1102,#REF!,10,FALSE)&gt;2,HLOOKUP($A1102,#REF!,10,FALSE)&lt;-2),"",#REF!),"")</f>
        <v/>
      </c>
      <c r="M1102" t="str">
        <f>IFERROR(IF(OR(HLOOKUP($A1102,#REF!,11,FALSE)&gt;2,HLOOKUP($A1102,#REF!,11,FALSE)&lt;-2),"",#REF!),"")</f>
        <v/>
      </c>
      <c r="N1102" t="str">
        <f>IFERROR(IF(OR(HLOOKUP($A1102,#REF!,12,FALSE)&gt;2,HLOOKUP($A1102,#REF!,12,FALSE)&lt;-2),"",#REF!),"")</f>
        <v/>
      </c>
      <c r="O1102" t="str">
        <f>IFERROR(IF(OR(HLOOKUP($A1102,#REF!,13,FALSE)&gt;2,HLOOKUP($A1102,#REF!,13,FALSE)&lt;-2),"",#REF!),"")</f>
        <v/>
      </c>
      <c r="P1102" t="str">
        <f>IFERROR(IF(OR(HLOOKUP($A1102,#REF!,14,FALSE)&gt;2,HLOOKUP($A1102,#REF!,14,FALSE)&lt;-2),"",#REF!),"")</f>
        <v/>
      </c>
      <c r="Q1102" t="str">
        <f>IFERROR(IF(OR(HLOOKUP($A1102,#REF!,15,FALSE)&gt;2,HLOOKUP($A1102,#REF!,15,FALSE)&lt;-2),"",#REF!),"")</f>
        <v/>
      </c>
      <c r="R1102" t="str">
        <f>IFERROR(IF(OR(HLOOKUP($A1102,#REF!,16,FALSE)&gt;2,HLOOKUP($A1102,#REF!,16,FALSE)&lt;-2),"",#REF!),"")</f>
        <v/>
      </c>
      <c r="S1102" t="str">
        <f>IFERROR(IF(OR(HLOOKUP($A1102,#REF!,17,FALSE)&gt;2,HLOOKUP($A1102,#REF!,17,FALSE)&lt;-2),"",#REF!),"")</f>
        <v/>
      </c>
      <c r="T1102" t="str">
        <f>IFERROR(IF(OR(HLOOKUP($A1102,#REF!,18,FALSE)&gt;2,HLOOKUP($A1102,#REF!,18,FALSE)&lt;-2),"",#REF!),"")</f>
        <v/>
      </c>
      <c r="U1102" t="str">
        <f>IFERROR(IF(OR(HLOOKUP($A1102,#REF!,19,FALSE)&gt;2,HLOOKUP($A1102,#REF!,19,FALSE)&lt;-2),"",#REF!),"")</f>
        <v/>
      </c>
      <c r="V1102">
        <f t="shared" si="68"/>
        <v>1</v>
      </c>
      <c r="W1102" t="str">
        <f t="shared" si="69"/>
        <v/>
      </c>
      <c r="X1102" t="str">
        <f t="shared" si="70"/>
        <v/>
      </c>
      <c r="Y1102" t="str">
        <f t="shared" si="71"/>
        <v/>
      </c>
    </row>
    <row r="1103" spans="1:25" x14ac:dyDescent="0.35">
      <c r="A1103">
        <v>1112</v>
      </c>
      <c r="B1103" t="s">
        <v>1155</v>
      </c>
      <c r="C1103">
        <v>118000</v>
      </c>
      <c r="D1103">
        <v>1040</v>
      </c>
      <c r="E1103" t="str">
        <f>IFERROR(IF(OR(HLOOKUP($A1103,#REF!,3,FALSE)&gt;2,HLOOKUP(A1103,#REF!,3,FALSE)&lt;-2),"",#REF!),"")</f>
        <v/>
      </c>
      <c r="F1103" t="str">
        <f>IFERROR(IF(OR(HLOOKUP($A1103,#REF!,4,FALSE)&gt;2,HLOOKUP($A1103,#REF!,4,FALSE)&lt;-2),"",#REF!),"")</f>
        <v/>
      </c>
      <c r="G1103" t="str">
        <f>IFERROR(IF(OR(HLOOKUP($A1103,#REF!,5,FALSE)&gt;2,HLOOKUP($A1103,#REF!,5,FALSE)&lt;-2),"",#REF!),"")</f>
        <v/>
      </c>
      <c r="H1103" t="str">
        <f>IFERROR(IF(OR(HLOOKUP($A1103,#REF!,6,FALSE)&gt;2,HLOOKUP($A1103,#REF!,6,FALSE)&lt;-2),"",#REF!),"")</f>
        <v/>
      </c>
      <c r="I1103" t="str">
        <f>IFERROR(IF(OR(HLOOKUP($A1103,#REF!,7,FALSE)&gt;2,HLOOKUP($A1103,#REF!,7,FALSE)&lt;-2),"",#REF!),"")</f>
        <v/>
      </c>
      <c r="J1103" t="str">
        <f>IFERROR(IF(OR(HLOOKUP($A1103,#REF!,8,FALSE)&gt;2,HLOOKUP($A1103,#REF!,8,FALSE)&lt;-2),"",#REF!),"")</f>
        <v/>
      </c>
      <c r="K1103" t="str">
        <f>IFERROR(IF(OR(HLOOKUP($A1103,#REF!,9,FALSE)&gt;2,HLOOKUP($A1103,#REF!,9,FALSE)&lt;-2),"",#REF!),"")</f>
        <v/>
      </c>
      <c r="L1103" t="str">
        <f>IFERROR(IF(OR(HLOOKUP($A1103,#REF!,10,FALSE)&gt;2,HLOOKUP($A1103,#REF!,10,FALSE)&lt;-2),"",#REF!),"")</f>
        <v/>
      </c>
      <c r="M1103" t="str">
        <f>IFERROR(IF(OR(HLOOKUP($A1103,#REF!,11,FALSE)&gt;2,HLOOKUP($A1103,#REF!,11,FALSE)&lt;-2),"",#REF!),"")</f>
        <v/>
      </c>
      <c r="N1103" t="str">
        <f>IFERROR(IF(OR(HLOOKUP($A1103,#REF!,12,FALSE)&gt;2,HLOOKUP($A1103,#REF!,12,FALSE)&lt;-2),"",#REF!),"")</f>
        <v/>
      </c>
      <c r="O1103" t="str">
        <f>IFERROR(IF(OR(HLOOKUP($A1103,#REF!,13,FALSE)&gt;2,HLOOKUP($A1103,#REF!,13,FALSE)&lt;-2),"",#REF!),"")</f>
        <v/>
      </c>
      <c r="P1103" t="str">
        <f>IFERROR(IF(OR(HLOOKUP($A1103,#REF!,14,FALSE)&gt;2,HLOOKUP($A1103,#REF!,14,FALSE)&lt;-2),"",#REF!),"")</f>
        <v/>
      </c>
      <c r="Q1103" t="str">
        <f>IFERROR(IF(OR(HLOOKUP($A1103,#REF!,15,FALSE)&gt;2,HLOOKUP($A1103,#REF!,15,FALSE)&lt;-2),"",#REF!),"")</f>
        <v/>
      </c>
      <c r="R1103" t="str">
        <f>IFERROR(IF(OR(HLOOKUP($A1103,#REF!,16,FALSE)&gt;2,HLOOKUP($A1103,#REF!,16,FALSE)&lt;-2),"",#REF!),"")</f>
        <v/>
      </c>
      <c r="S1103" t="str">
        <f>IFERROR(IF(OR(HLOOKUP($A1103,#REF!,17,FALSE)&gt;2,HLOOKUP($A1103,#REF!,17,FALSE)&lt;-2),"",#REF!),"")</f>
        <v/>
      </c>
      <c r="T1103" t="str">
        <f>IFERROR(IF(OR(HLOOKUP($A1103,#REF!,18,FALSE)&gt;2,HLOOKUP($A1103,#REF!,18,FALSE)&lt;-2),"",#REF!),"")</f>
        <v/>
      </c>
      <c r="U1103" t="str">
        <f>IFERROR(IF(OR(HLOOKUP($A1103,#REF!,19,FALSE)&gt;2,HLOOKUP($A1103,#REF!,19,FALSE)&lt;-2),"",#REF!),"")</f>
        <v/>
      </c>
      <c r="V1103">
        <f t="shared" si="68"/>
        <v>1</v>
      </c>
      <c r="W1103" t="str">
        <f t="shared" si="69"/>
        <v/>
      </c>
      <c r="X1103" t="str">
        <f t="shared" si="70"/>
        <v/>
      </c>
      <c r="Y1103" t="str">
        <f t="shared" si="71"/>
        <v/>
      </c>
    </row>
    <row r="1104" spans="1:25" x14ac:dyDescent="0.35">
      <c r="A1104">
        <v>1113</v>
      </c>
      <c r="B1104" t="s">
        <v>551</v>
      </c>
      <c r="C1104">
        <v>66900</v>
      </c>
      <c r="D1104">
        <v>239</v>
      </c>
      <c r="E1104" t="str">
        <f>IFERROR(IF(OR(HLOOKUP($A1104,#REF!,3,FALSE)&gt;2,HLOOKUP(A1104,#REF!,3,FALSE)&lt;-2),"",#REF!),"")</f>
        <v/>
      </c>
      <c r="F1104" t="str">
        <f>IFERROR(IF(OR(HLOOKUP($A1104,#REF!,4,FALSE)&gt;2,HLOOKUP($A1104,#REF!,4,FALSE)&lt;-2),"",#REF!),"")</f>
        <v/>
      </c>
      <c r="G1104" t="str">
        <f>IFERROR(IF(OR(HLOOKUP($A1104,#REF!,5,FALSE)&gt;2,HLOOKUP($A1104,#REF!,5,FALSE)&lt;-2),"",#REF!),"")</f>
        <v/>
      </c>
      <c r="H1104" t="str">
        <f>IFERROR(IF(OR(HLOOKUP($A1104,#REF!,6,FALSE)&gt;2,HLOOKUP($A1104,#REF!,6,FALSE)&lt;-2),"",#REF!),"")</f>
        <v/>
      </c>
      <c r="I1104" t="str">
        <f>IFERROR(IF(OR(HLOOKUP($A1104,#REF!,7,FALSE)&gt;2,HLOOKUP($A1104,#REF!,7,FALSE)&lt;-2),"",#REF!),"")</f>
        <v/>
      </c>
      <c r="J1104" t="str">
        <f>IFERROR(IF(OR(HLOOKUP($A1104,#REF!,8,FALSE)&gt;2,HLOOKUP($A1104,#REF!,8,FALSE)&lt;-2),"",#REF!),"")</f>
        <v/>
      </c>
      <c r="K1104" t="str">
        <f>IFERROR(IF(OR(HLOOKUP($A1104,#REF!,9,FALSE)&gt;2,HLOOKUP($A1104,#REF!,9,FALSE)&lt;-2),"",#REF!),"")</f>
        <v/>
      </c>
      <c r="L1104" t="str">
        <f>IFERROR(IF(OR(HLOOKUP($A1104,#REF!,10,FALSE)&gt;2,HLOOKUP($A1104,#REF!,10,FALSE)&lt;-2),"",#REF!),"")</f>
        <v/>
      </c>
      <c r="M1104" t="str">
        <f>IFERROR(IF(OR(HLOOKUP($A1104,#REF!,11,FALSE)&gt;2,HLOOKUP($A1104,#REF!,11,FALSE)&lt;-2),"",#REF!),"")</f>
        <v/>
      </c>
      <c r="N1104" t="str">
        <f>IFERROR(IF(OR(HLOOKUP($A1104,#REF!,12,FALSE)&gt;2,HLOOKUP($A1104,#REF!,12,FALSE)&lt;-2),"",#REF!),"")</f>
        <v/>
      </c>
      <c r="O1104" t="str">
        <f>IFERROR(IF(OR(HLOOKUP($A1104,#REF!,13,FALSE)&gt;2,HLOOKUP($A1104,#REF!,13,FALSE)&lt;-2),"",#REF!),"")</f>
        <v/>
      </c>
      <c r="P1104" t="str">
        <f>IFERROR(IF(OR(HLOOKUP($A1104,#REF!,14,FALSE)&gt;2,HLOOKUP($A1104,#REF!,14,FALSE)&lt;-2),"",#REF!),"")</f>
        <v/>
      </c>
      <c r="Q1104" t="str">
        <f>IFERROR(IF(OR(HLOOKUP($A1104,#REF!,15,FALSE)&gt;2,HLOOKUP($A1104,#REF!,15,FALSE)&lt;-2),"",#REF!),"")</f>
        <v/>
      </c>
      <c r="R1104" t="str">
        <f>IFERROR(IF(OR(HLOOKUP($A1104,#REF!,16,FALSE)&gt;2,HLOOKUP($A1104,#REF!,16,FALSE)&lt;-2),"",#REF!),"")</f>
        <v/>
      </c>
      <c r="S1104" t="str">
        <f>IFERROR(IF(OR(HLOOKUP($A1104,#REF!,17,FALSE)&gt;2,HLOOKUP($A1104,#REF!,17,FALSE)&lt;-2),"",#REF!),"")</f>
        <v/>
      </c>
      <c r="T1104" t="str">
        <f>IFERROR(IF(OR(HLOOKUP($A1104,#REF!,18,FALSE)&gt;2,HLOOKUP($A1104,#REF!,18,FALSE)&lt;-2),"",#REF!),"")</f>
        <v/>
      </c>
      <c r="U1104" t="str">
        <f>IFERROR(IF(OR(HLOOKUP($A1104,#REF!,19,FALSE)&gt;2,HLOOKUP($A1104,#REF!,19,FALSE)&lt;-2),"",#REF!),"")</f>
        <v/>
      </c>
      <c r="V1104">
        <f t="shared" si="68"/>
        <v>1</v>
      </c>
      <c r="W1104" t="str">
        <f t="shared" si="69"/>
        <v/>
      </c>
      <c r="X1104" t="str">
        <f t="shared" si="70"/>
        <v/>
      </c>
      <c r="Y1104" t="str">
        <f t="shared" si="71"/>
        <v/>
      </c>
    </row>
    <row r="1105" spans="1:25" x14ac:dyDescent="0.35">
      <c r="A1105">
        <v>1114</v>
      </c>
      <c r="B1105" t="s">
        <v>552</v>
      </c>
      <c r="C1105">
        <v>14400</v>
      </c>
      <c r="D1105">
        <v>402</v>
      </c>
      <c r="E1105" t="str">
        <f>IFERROR(IF(OR(HLOOKUP($A1105,#REF!,3,FALSE)&gt;2,HLOOKUP(A1105,#REF!,3,FALSE)&lt;-2),"",#REF!),"")</f>
        <v/>
      </c>
      <c r="F1105" t="str">
        <f>IFERROR(IF(OR(HLOOKUP($A1105,#REF!,4,FALSE)&gt;2,HLOOKUP($A1105,#REF!,4,FALSE)&lt;-2),"",#REF!),"")</f>
        <v/>
      </c>
      <c r="G1105" t="str">
        <f>IFERROR(IF(OR(HLOOKUP($A1105,#REF!,5,FALSE)&gt;2,HLOOKUP($A1105,#REF!,5,FALSE)&lt;-2),"",#REF!),"")</f>
        <v/>
      </c>
      <c r="H1105" t="str">
        <f>IFERROR(IF(OR(HLOOKUP($A1105,#REF!,6,FALSE)&gt;2,HLOOKUP($A1105,#REF!,6,FALSE)&lt;-2),"",#REF!),"")</f>
        <v/>
      </c>
      <c r="I1105" t="str">
        <f>IFERROR(IF(OR(HLOOKUP($A1105,#REF!,7,FALSE)&gt;2,HLOOKUP($A1105,#REF!,7,FALSE)&lt;-2),"",#REF!),"")</f>
        <v/>
      </c>
      <c r="J1105" t="str">
        <f>IFERROR(IF(OR(HLOOKUP($A1105,#REF!,8,FALSE)&gt;2,HLOOKUP($A1105,#REF!,8,FALSE)&lt;-2),"",#REF!),"")</f>
        <v/>
      </c>
      <c r="K1105" t="str">
        <f>IFERROR(IF(OR(HLOOKUP($A1105,#REF!,9,FALSE)&gt;2,HLOOKUP($A1105,#REF!,9,FALSE)&lt;-2),"",#REF!),"")</f>
        <v/>
      </c>
      <c r="L1105" t="str">
        <f>IFERROR(IF(OR(HLOOKUP($A1105,#REF!,10,FALSE)&gt;2,HLOOKUP($A1105,#REF!,10,FALSE)&lt;-2),"",#REF!),"")</f>
        <v/>
      </c>
      <c r="M1105" t="str">
        <f>IFERROR(IF(OR(HLOOKUP($A1105,#REF!,11,FALSE)&gt;2,HLOOKUP($A1105,#REF!,11,FALSE)&lt;-2),"",#REF!),"")</f>
        <v/>
      </c>
      <c r="N1105" t="str">
        <f>IFERROR(IF(OR(HLOOKUP($A1105,#REF!,12,FALSE)&gt;2,HLOOKUP($A1105,#REF!,12,FALSE)&lt;-2),"",#REF!),"")</f>
        <v/>
      </c>
      <c r="O1105" t="str">
        <f>IFERROR(IF(OR(HLOOKUP($A1105,#REF!,13,FALSE)&gt;2,HLOOKUP($A1105,#REF!,13,FALSE)&lt;-2),"",#REF!),"")</f>
        <v/>
      </c>
      <c r="P1105" t="str">
        <f>IFERROR(IF(OR(HLOOKUP($A1105,#REF!,14,FALSE)&gt;2,HLOOKUP($A1105,#REF!,14,FALSE)&lt;-2),"",#REF!),"")</f>
        <v/>
      </c>
      <c r="Q1105" t="str">
        <f>IFERROR(IF(OR(HLOOKUP($A1105,#REF!,15,FALSE)&gt;2,HLOOKUP($A1105,#REF!,15,FALSE)&lt;-2),"",#REF!),"")</f>
        <v/>
      </c>
      <c r="R1105" t="str">
        <f>IFERROR(IF(OR(HLOOKUP($A1105,#REF!,16,FALSE)&gt;2,HLOOKUP($A1105,#REF!,16,FALSE)&lt;-2),"",#REF!),"")</f>
        <v/>
      </c>
      <c r="S1105" t="str">
        <f>IFERROR(IF(OR(HLOOKUP($A1105,#REF!,17,FALSE)&gt;2,HLOOKUP($A1105,#REF!,17,FALSE)&lt;-2),"",#REF!),"")</f>
        <v/>
      </c>
      <c r="T1105" t="str">
        <f>IFERROR(IF(OR(HLOOKUP($A1105,#REF!,18,FALSE)&gt;2,HLOOKUP($A1105,#REF!,18,FALSE)&lt;-2),"",#REF!),"")</f>
        <v/>
      </c>
      <c r="U1105" t="str">
        <f>IFERROR(IF(OR(HLOOKUP($A1105,#REF!,19,FALSE)&gt;2,HLOOKUP($A1105,#REF!,19,FALSE)&lt;-2),"",#REF!),"")</f>
        <v/>
      </c>
      <c r="V1105">
        <f t="shared" si="68"/>
        <v>1</v>
      </c>
      <c r="W1105" t="str">
        <f t="shared" si="69"/>
        <v/>
      </c>
      <c r="X1105" t="str">
        <f t="shared" si="70"/>
        <v/>
      </c>
      <c r="Y1105" t="str">
        <f t="shared" si="71"/>
        <v/>
      </c>
    </row>
    <row r="1106" spans="1:25" x14ac:dyDescent="0.35">
      <c r="A1106">
        <v>1116</v>
      </c>
      <c r="B1106" t="s">
        <v>1156</v>
      </c>
      <c r="C1106">
        <v>100300</v>
      </c>
      <c r="D1106">
        <v>798</v>
      </c>
      <c r="E1106" t="str">
        <f>IFERROR(IF(OR(HLOOKUP($A1106,#REF!,3,FALSE)&gt;2,HLOOKUP(A1106,#REF!,3,FALSE)&lt;-2),"",#REF!),"")</f>
        <v/>
      </c>
      <c r="F1106" t="str">
        <f>IFERROR(IF(OR(HLOOKUP($A1106,#REF!,4,FALSE)&gt;2,HLOOKUP($A1106,#REF!,4,FALSE)&lt;-2),"",#REF!),"")</f>
        <v/>
      </c>
      <c r="G1106" t="str">
        <f>IFERROR(IF(OR(HLOOKUP($A1106,#REF!,5,FALSE)&gt;2,HLOOKUP($A1106,#REF!,5,FALSE)&lt;-2),"",#REF!),"")</f>
        <v/>
      </c>
      <c r="H1106" t="str">
        <f>IFERROR(IF(OR(HLOOKUP($A1106,#REF!,6,FALSE)&gt;2,HLOOKUP($A1106,#REF!,6,FALSE)&lt;-2),"",#REF!),"")</f>
        <v/>
      </c>
      <c r="I1106" t="str">
        <f>IFERROR(IF(OR(HLOOKUP($A1106,#REF!,7,FALSE)&gt;2,HLOOKUP($A1106,#REF!,7,FALSE)&lt;-2),"",#REF!),"")</f>
        <v/>
      </c>
      <c r="J1106" t="str">
        <f>IFERROR(IF(OR(HLOOKUP($A1106,#REF!,8,FALSE)&gt;2,HLOOKUP($A1106,#REF!,8,FALSE)&lt;-2),"",#REF!),"")</f>
        <v/>
      </c>
      <c r="K1106" t="str">
        <f>IFERROR(IF(OR(HLOOKUP($A1106,#REF!,9,FALSE)&gt;2,HLOOKUP($A1106,#REF!,9,FALSE)&lt;-2),"",#REF!),"")</f>
        <v/>
      </c>
      <c r="L1106" t="str">
        <f>IFERROR(IF(OR(HLOOKUP($A1106,#REF!,10,FALSE)&gt;2,HLOOKUP($A1106,#REF!,10,FALSE)&lt;-2),"",#REF!),"")</f>
        <v/>
      </c>
      <c r="M1106" t="str">
        <f>IFERROR(IF(OR(HLOOKUP($A1106,#REF!,11,FALSE)&gt;2,HLOOKUP($A1106,#REF!,11,FALSE)&lt;-2),"",#REF!),"")</f>
        <v/>
      </c>
      <c r="N1106" t="str">
        <f>IFERROR(IF(OR(HLOOKUP($A1106,#REF!,12,FALSE)&gt;2,HLOOKUP($A1106,#REF!,12,FALSE)&lt;-2),"",#REF!),"")</f>
        <v/>
      </c>
      <c r="O1106" t="str">
        <f>IFERROR(IF(OR(HLOOKUP($A1106,#REF!,13,FALSE)&gt;2,HLOOKUP($A1106,#REF!,13,FALSE)&lt;-2),"",#REF!),"")</f>
        <v/>
      </c>
      <c r="P1106" t="str">
        <f>IFERROR(IF(OR(HLOOKUP($A1106,#REF!,14,FALSE)&gt;2,HLOOKUP($A1106,#REF!,14,FALSE)&lt;-2),"",#REF!),"")</f>
        <v/>
      </c>
      <c r="Q1106" t="str">
        <f>IFERROR(IF(OR(HLOOKUP($A1106,#REF!,15,FALSE)&gt;2,HLOOKUP($A1106,#REF!,15,FALSE)&lt;-2),"",#REF!),"")</f>
        <v/>
      </c>
      <c r="R1106" t="str">
        <f>IFERROR(IF(OR(HLOOKUP($A1106,#REF!,16,FALSE)&gt;2,HLOOKUP($A1106,#REF!,16,FALSE)&lt;-2),"",#REF!),"")</f>
        <v/>
      </c>
      <c r="S1106" t="str">
        <f>IFERROR(IF(OR(HLOOKUP($A1106,#REF!,17,FALSE)&gt;2,HLOOKUP($A1106,#REF!,17,FALSE)&lt;-2),"",#REF!),"")</f>
        <v/>
      </c>
      <c r="T1106" t="str">
        <f>IFERROR(IF(OR(HLOOKUP($A1106,#REF!,18,FALSE)&gt;2,HLOOKUP($A1106,#REF!,18,FALSE)&lt;-2),"",#REF!),"")</f>
        <v/>
      </c>
      <c r="U1106" t="str">
        <f>IFERROR(IF(OR(HLOOKUP($A1106,#REF!,19,FALSE)&gt;2,HLOOKUP($A1106,#REF!,19,FALSE)&lt;-2),"",#REF!),"")</f>
        <v/>
      </c>
      <c r="V1106">
        <f t="shared" si="68"/>
        <v>1</v>
      </c>
      <c r="W1106" t="str">
        <f t="shared" si="69"/>
        <v/>
      </c>
      <c r="X1106" t="str">
        <f t="shared" si="70"/>
        <v/>
      </c>
      <c r="Y1106" t="str">
        <f t="shared" si="71"/>
        <v/>
      </c>
    </row>
    <row r="1107" spans="1:25" x14ac:dyDescent="0.35">
      <c r="A1107">
        <v>1117</v>
      </c>
      <c r="B1107" t="s">
        <v>1157</v>
      </c>
      <c r="C1107">
        <v>88300</v>
      </c>
      <c r="D1107">
        <v>771</v>
      </c>
      <c r="E1107" t="str">
        <f>IFERROR(IF(OR(HLOOKUP($A1107,#REF!,3,FALSE)&gt;2,HLOOKUP(A1107,#REF!,3,FALSE)&lt;-2),"",#REF!),"")</f>
        <v/>
      </c>
      <c r="F1107" t="str">
        <f>IFERROR(IF(OR(HLOOKUP($A1107,#REF!,4,FALSE)&gt;2,HLOOKUP($A1107,#REF!,4,FALSE)&lt;-2),"",#REF!),"")</f>
        <v/>
      </c>
      <c r="G1107" t="str">
        <f>IFERROR(IF(OR(HLOOKUP($A1107,#REF!,5,FALSE)&gt;2,HLOOKUP($A1107,#REF!,5,FALSE)&lt;-2),"",#REF!),"")</f>
        <v/>
      </c>
      <c r="H1107" t="str">
        <f>IFERROR(IF(OR(HLOOKUP($A1107,#REF!,6,FALSE)&gt;2,HLOOKUP($A1107,#REF!,6,FALSE)&lt;-2),"",#REF!),"")</f>
        <v/>
      </c>
      <c r="I1107" t="str">
        <f>IFERROR(IF(OR(HLOOKUP($A1107,#REF!,7,FALSE)&gt;2,HLOOKUP($A1107,#REF!,7,FALSE)&lt;-2),"",#REF!),"")</f>
        <v/>
      </c>
      <c r="J1107" t="str">
        <f>IFERROR(IF(OR(HLOOKUP($A1107,#REF!,8,FALSE)&gt;2,HLOOKUP($A1107,#REF!,8,FALSE)&lt;-2),"",#REF!),"")</f>
        <v/>
      </c>
      <c r="K1107" t="str">
        <f>IFERROR(IF(OR(HLOOKUP($A1107,#REF!,9,FALSE)&gt;2,HLOOKUP($A1107,#REF!,9,FALSE)&lt;-2),"",#REF!),"")</f>
        <v/>
      </c>
      <c r="L1107" t="str">
        <f>IFERROR(IF(OR(HLOOKUP($A1107,#REF!,10,FALSE)&gt;2,HLOOKUP($A1107,#REF!,10,FALSE)&lt;-2),"",#REF!),"")</f>
        <v/>
      </c>
      <c r="M1107" t="str">
        <f>IFERROR(IF(OR(HLOOKUP($A1107,#REF!,11,FALSE)&gt;2,HLOOKUP($A1107,#REF!,11,FALSE)&lt;-2),"",#REF!),"")</f>
        <v/>
      </c>
      <c r="N1107" t="str">
        <f>IFERROR(IF(OR(HLOOKUP($A1107,#REF!,12,FALSE)&gt;2,HLOOKUP($A1107,#REF!,12,FALSE)&lt;-2),"",#REF!),"")</f>
        <v/>
      </c>
      <c r="O1107" t="str">
        <f>IFERROR(IF(OR(HLOOKUP($A1107,#REF!,13,FALSE)&gt;2,HLOOKUP($A1107,#REF!,13,FALSE)&lt;-2),"",#REF!),"")</f>
        <v/>
      </c>
      <c r="P1107" t="str">
        <f>IFERROR(IF(OR(HLOOKUP($A1107,#REF!,14,FALSE)&gt;2,HLOOKUP($A1107,#REF!,14,FALSE)&lt;-2),"",#REF!),"")</f>
        <v/>
      </c>
      <c r="Q1107" t="str">
        <f>IFERROR(IF(OR(HLOOKUP($A1107,#REF!,15,FALSE)&gt;2,HLOOKUP($A1107,#REF!,15,FALSE)&lt;-2),"",#REF!),"")</f>
        <v/>
      </c>
      <c r="R1107" t="str">
        <f>IFERROR(IF(OR(HLOOKUP($A1107,#REF!,16,FALSE)&gt;2,HLOOKUP($A1107,#REF!,16,FALSE)&lt;-2),"",#REF!),"")</f>
        <v/>
      </c>
      <c r="S1107" t="str">
        <f>IFERROR(IF(OR(HLOOKUP($A1107,#REF!,17,FALSE)&gt;2,HLOOKUP($A1107,#REF!,17,FALSE)&lt;-2),"",#REF!),"")</f>
        <v/>
      </c>
      <c r="T1107" t="str">
        <f>IFERROR(IF(OR(HLOOKUP($A1107,#REF!,18,FALSE)&gt;2,HLOOKUP($A1107,#REF!,18,FALSE)&lt;-2),"",#REF!),"")</f>
        <v/>
      </c>
      <c r="U1107" t="str">
        <f>IFERROR(IF(OR(HLOOKUP($A1107,#REF!,19,FALSE)&gt;2,HLOOKUP($A1107,#REF!,19,FALSE)&lt;-2),"",#REF!),"")</f>
        <v/>
      </c>
      <c r="V1107">
        <f t="shared" si="68"/>
        <v>1</v>
      </c>
      <c r="W1107" t="str">
        <f t="shared" si="69"/>
        <v/>
      </c>
      <c r="X1107" t="str">
        <f t="shared" si="70"/>
        <v/>
      </c>
      <c r="Y1107" t="str">
        <f t="shared" si="71"/>
        <v/>
      </c>
    </row>
    <row r="1108" spans="1:25" x14ac:dyDescent="0.35">
      <c r="A1108">
        <v>1118</v>
      </c>
      <c r="B1108" t="s">
        <v>1158</v>
      </c>
      <c r="C1108">
        <v>75200</v>
      </c>
      <c r="D1108">
        <v>525</v>
      </c>
      <c r="E1108" t="str">
        <f>IFERROR(IF(OR(HLOOKUP($A1108,#REF!,3,FALSE)&gt;2,HLOOKUP(A1108,#REF!,3,FALSE)&lt;-2),"",#REF!),"")</f>
        <v/>
      </c>
      <c r="F1108" t="str">
        <f>IFERROR(IF(OR(HLOOKUP($A1108,#REF!,4,FALSE)&gt;2,HLOOKUP($A1108,#REF!,4,FALSE)&lt;-2),"",#REF!),"")</f>
        <v/>
      </c>
      <c r="G1108" t="str">
        <f>IFERROR(IF(OR(HLOOKUP($A1108,#REF!,5,FALSE)&gt;2,HLOOKUP($A1108,#REF!,5,FALSE)&lt;-2),"",#REF!),"")</f>
        <v/>
      </c>
      <c r="H1108" t="str">
        <f>IFERROR(IF(OR(HLOOKUP($A1108,#REF!,6,FALSE)&gt;2,HLOOKUP($A1108,#REF!,6,FALSE)&lt;-2),"",#REF!),"")</f>
        <v/>
      </c>
      <c r="I1108" t="str">
        <f>IFERROR(IF(OR(HLOOKUP($A1108,#REF!,7,FALSE)&gt;2,HLOOKUP($A1108,#REF!,7,FALSE)&lt;-2),"",#REF!),"")</f>
        <v/>
      </c>
      <c r="J1108" t="str">
        <f>IFERROR(IF(OR(HLOOKUP($A1108,#REF!,8,FALSE)&gt;2,HLOOKUP($A1108,#REF!,8,FALSE)&lt;-2),"",#REF!),"")</f>
        <v/>
      </c>
      <c r="K1108" t="str">
        <f>IFERROR(IF(OR(HLOOKUP($A1108,#REF!,9,FALSE)&gt;2,HLOOKUP($A1108,#REF!,9,FALSE)&lt;-2),"",#REF!),"")</f>
        <v/>
      </c>
      <c r="L1108" t="str">
        <f>IFERROR(IF(OR(HLOOKUP($A1108,#REF!,10,FALSE)&gt;2,HLOOKUP($A1108,#REF!,10,FALSE)&lt;-2),"",#REF!),"")</f>
        <v/>
      </c>
      <c r="M1108" t="str">
        <f>IFERROR(IF(OR(HLOOKUP($A1108,#REF!,11,FALSE)&gt;2,HLOOKUP($A1108,#REF!,11,FALSE)&lt;-2),"",#REF!),"")</f>
        <v/>
      </c>
      <c r="N1108" t="str">
        <f>IFERROR(IF(OR(HLOOKUP($A1108,#REF!,12,FALSE)&gt;2,HLOOKUP($A1108,#REF!,12,FALSE)&lt;-2),"",#REF!),"")</f>
        <v/>
      </c>
      <c r="O1108" t="str">
        <f>IFERROR(IF(OR(HLOOKUP($A1108,#REF!,13,FALSE)&gt;2,HLOOKUP($A1108,#REF!,13,FALSE)&lt;-2),"",#REF!),"")</f>
        <v/>
      </c>
      <c r="P1108" t="str">
        <f>IFERROR(IF(OR(HLOOKUP($A1108,#REF!,14,FALSE)&gt;2,HLOOKUP($A1108,#REF!,14,FALSE)&lt;-2),"",#REF!),"")</f>
        <v/>
      </c>
      <c r="Q1108" t="str">
        <f>IFERROR(IF(OR(HLOOKUP($A1108,#REF!,15,FALSE)&gt;2,HLOOKUP($A1108,#REF!,15,FALSE)&lt;-2),"",#REF!),"")</f>
        <v/>
      </c>
      <c r="R1108" t="str">
        <f>IFERROR(IF(OR(HLOOKUP($A1108,#REF!,16,FALSE)&gt;2,HLOOKUP($A1108,#REF!,16,FALSE)&lt;-2),"",#REF!),"")</f>
        <v/>
      </c>
      <c r="S1108" t="str">
        <f>IFERROR(IF(OR(HLOOKUP($A1108,#REF!,17,FALSE)&gt;2,HLOOKUP($A1108,#REF!,17,FALSE)&lt;-2),"",#REF!),"")</f>
        <v/>
      </c>
      <c r="T1108" t="str">
        <f>IFERROR(IF(OR(HLOOKUP($A1108,#REF!,18,FALSE)&gt;2,HLOOKUP($A1108,#REF!,18,FALSE)&lt;-2),"",#REF!),"")</f>
        <v/>
      </c>
      <c r="U1108" t="str">
        <f>IFERROR(IF(OR(HLOOKUP($A1108,#REF!,19,FALSE)&gt;2,HLOOKUP($A1108,#REF!,19,FALSE)&lt;-2),"",#REF!),"")</f>
        <v/>
      </c>
      <c r="V1108">
        <f t="shared" si="68"/>
        <v>1</v>
      </c>
      <c r="W1108" t="str">
        <f t="shared" si="69"/>
        <v/>
      </c>
      <c r="X1108" t="str">
        <f t="shared" si="70"/>
        <v/>
      </c>
      <c r="Y1108" t="str">
        <f t="shared" si="71"/>
        <v/>
      </c>
    </row>
    <row r="1109" spans="1:25" x14ac:dyDescent="0.35">
      <c r="A1109">
        <v>1119</v>
      </c>
      <c r="B1109" t="s">
        <v>1159</v>
      </c>
      <c r="C1109">
        <v>118100</v>
      </c>
      <c r="D1109">
        <v>1040</v>
      </c>
      <c r="E1109" t="str">
        <f>IFERROR(IF(OR(HLOOKUP($A1109,#REF!,3,FALSE)&gt;2,HLOOKUP(A1109,#REF!,3,FALSE)&lt;-2),"",#REF!),"")</f>
        <v/>
      </c>
      <c r="F1109" t="str">
        <f>IFERROR(IF(OR(HLOOKUP($A1109,#REF!,4,FALSE)&gt;2,HLOOKUP($A1109,#REF!,4,FALSE)&lt;-2),"",#REF!),"")</f>
        <v/>
      </c>
      <c r="G1109" t="str">
        <f>IFERROR(IF(OR(HLOOKUP($A1109,#REF!,5,FALSE)&gt;2,HLOOKUP($A1109,#REF!,5,FALSE)&lt;-2),"",#REF!),"")</f>
        <v/>
      </c>
      <c r="H1109" t="str">
        <f>IFERROR(IF(OR(HLOOKUP($A1109,#REF!,6,FALSE)&gt;2,HLOOKUP($A1109,#REF!,6,FALSE)&lt;-2),"",#REF!),"")</f>
        <v/>
      </c>
      <c r="I1109" t="str">
        <f>IFERROR(IF(OR(HLOOKUP($A1109,#REF!,7,FALSE)&gt;2,HLOOKUP($A1109,#REF!,7,FALSE)&lt;-2),"",#REF!),"")</f>
        <v/>
      </c>
      <c r="J1109" t="str">
        <f>IFERROR(IF(OR(HLOOKUP($A1109,#REF!,8,FALSE)&gt;2,HLOOKUP($A1109,#REF!,8,FALSE)&lt;-2),"",#REF!),"")</f>
        <v/>
      </c>
      <c r="K1109" t="str">
        <f>IFERROR(IF(OR(HLOOKUP($A1109,#REF!,9,FALSE)&gt;2,HLOOKUP($A1109,#REF!,9,FALSE)&lt;-2),"",#REF!),"")</f>
        <v/>
      </c>
      <c r="L1109" t="str">
        <f>IFERROR(IF(OR(HLOOKUP($A1109,#REF!,10,FALSE)&gt;2,HLOOKUP($A1109,#REF!,10,FALSE)&lt;-2),"",#REF!),"")</f>
        <v/>
      </c>
      <c r="M1109" t="str">
        <f>IFERROR(IF(OR(HLOOKUP($A1109,#REF!,11,FALSE)&gt;2,HLOOKUP($A1109,#REF!,11,FALSE)&lt;-2),"",#REF!),"")</f>
        <v/>
      </c>
      <c r="N1109" t="str">
        <f>IFERROR(IF(OR(HLOOKUP($A1109,#REF!,12,FALSE)&gt;2,HLOOKUP($A1109,#REF!,12,FALSE)&lt;-2),"",#REF!),"")</f>
        <v/>
      </c>
      <c r="O1109" t="str">
        <f>IFERROR(IF(OR(HLOOKUP($A1109,#REF!,13,FALSE)&gt;2,HLOOKUP($A1109,#REF!,13,FALSE)&lt;-2),"",#REF!),"")</f>
        <v/>
      </c>
      <c r="P1109" t="str">
        <f>IFERROR(IF(OR(HLOOKUP($A1109,#REF!,14,FALSE)&gt;2,HLOOKUP($A1109,#REF!,14,FALSE)&lt;-2),"",#REF!),"")</f>
        <v/>
      </c>
      <c r="Q1109" t="str">
        <f>IFERROR(IF(OR(HLOOKUP($A1109,#REF!,15,FALSE)&gt;2,HLOOKUP($A1109,#REF!,15,FALSE)&lt;-2),"",#REF!),"")</f>
        <v/>
      </c>
      <c r="R1109" t="str">
        <f>IFERROR(IF(OR(HLOOKUP($A1109,#REF!,16,FALSE)&gt;2,HLOOKUP($A1109,#REF!,16,FALSE)&lt;-2),"",#REF!),"")</f>
        <v/>
      </c>
      <c r="S1109" t="str">
        <f>IFERROR(IF(OR(HLOOKUP($A1109,#REF!,17,FALSE)&gt;2,HLOOKUP($A1109,#REF!,17,FALSE)&lt;-2),"",#REF!),"")</f>
        <v/>
      </c>
      <c r="T1109" t="str">
        <f>IFERROR(IF(OR(HLOOKUP($A1109,#REF!,18,FALSE)&gt;2,HLOOKUP($A1109,#REF!,18,FALSE)&lt;-2),"",#REF!),"")</f>
        <v/>
      </c>
      <c r="U1109" t="str">
        <f>IFERROR(IF(OR(HLOOKUP($A1109,#REF!,19,FALSE)&gt;2,HLOOKUP($A1109,#REF!,19,FALSE)&lt;-2),"",#REF!),"")</f>
        <v/>
      </c>
      <c r="V1109">
        <f t="shared" si="68"/>
        <v>1</v>
      </c>
      <c r="W1109" t="str">
        <f t="shared" si="69"/>
        <v/>
      </c>
      <c r="X1109" t="str">
        <f t="shared" si="70"/>
        <v/>
      </c>
      <c r="Y1109" t="str">
        <f t="shared" si="71"/>
        <v/>
      </c>
    </row>
    <row r="1110" spans="1:25" x14ac:dyDescent="0.35">
      <c r="A1110">
        <v>1120</v>
      </c>
      <c r="B1110" t="s">
        <v>553</v>
      </c>
      <c r="C1110">
        <v>66800</v>
      </c>
      <c r="D1110">
        <v>239</v>
      </c>
      <c r="E1110" t="str">
        <f>IFERROR(IF(OR(HLOOKUP($A1110,#REF!,3,FALSE)&gt;2,HLOOKUP(A1110,#REF!,3,FALSE)&lt;-2),"",#REF!),"")</f>
        <v/>
      </c>
      <c r="F1110" t="str">
        <f>IFERROR(IF(OR(HLOOKUP($A1110,#REF!,4,FALSE)&gt;2,HLOOKUP($A1110,#REF!,4,FALSE)&lt;-2),"",#REF!),"")</f>
        <v/>
      </c>
      <c r="G1110" t="str">
        <f>IFERROR(IF(OR(HLOOKUP($A1110,#REF!,5,FALSE)&gt;2,HLOOKUP($A1110,#REF!,5,FALSE)&lt;-2),"",#REF!),"")</f>
        <v/>
      </c>
      <c r="H1110" t="str">
        <f>IFERROR(IF(OR(HLOOKUP($A1110,#REF!,6,FALSE)&gt;2,HLOOKUP($A1110,#REF!,6,FALSE)&lt;-2),"",#REF!),"")</f>
        <v/>
      </c>
      <c r="I1110" t="str">
        <f>IFERROR(IF(OR(HLOOKUP($A1110,#REF!,7,FALSE)&gt;2,HLOOKUP($A1110,#REF!,7,FALSE)&lt;-2),"",#REF!),"")</f>
        <v/>
      </c>
      <c r="J1110" t="str">
        <f>IFERROR(IF(OR(HLOOKUP($A1110,#REF!,8,FALSE)&gt;2,HLOOKUP($A1110,#REF!,8,FALSE)&lt;-2),"",#REF!),"")</f>
        <v/>
      </c>
      <c r="K1110" t="str">
        <f>IFERROR(IF(OR(HLOOKUP($A1110,#REF!,9,FALSE)&gt;2,HLOOKUP($A1110,#REF!,9,FALSE)&lt;-2),"",#REF!),"")</f>
        <v/>
      </c>
      <c r="L1110" t="str">
        <f>IFERROR(IF(OR(HLOOKUP($A1110,#REF!,10,FALSE)&gt;2,HLOOKUP($A1110,#REF!,10,FALSE)&lt;-2),"",#REF!),"")</f>
        <v/>
      </c>
      <c r="M1110" t="str">
        <f>IFERROR(IF(OR(HLOOKUP($A1110,#REF!,11,FALSE)&gt;2,HLOOKUP($A1110,#REF!,11,FALSE)&lt;-2),"",#REF!),"")</f>
        <v/>
      </c>
      <c r="N1110" t="str">
        <f>IFERROR(IF(OR(HLOOKUP($A1110,#REF!,12,FALSE)&gt;2,HLOOKUP($A1110,#REF!,12,FALSE)&lt;-2),"",#REF!),"")</f>
        <v/>
      </c>
      <c r="O1110" t="str">
        <f>IFERROR(IF(OR(HLOOKUP($A1110,#REF!,13,FALSE)&gt;2,HLOOKUP($A1110,#REF!,13,FALSE)&lt;-2),"",#REF!),"")</f>
        <v/>
      </c>
      <c r="P1110" t="str">
        <f>IFERROR(IF(OR(HLOOKUP($A1110,#REF!,14,FALSE)&gt;2,HLOOKUP($A1110,#REF!,14,FALSE)&lt;-2),"",#REF!),"")</f>
        <v/>
      </c>
      <c r="Q1110" t="str">
        <f>IFERROR(IF(OR(HLOOKUP($A1110,#REF!,15,FALSE)&gt;2,HLOOKUP($A1110,#REF!,15,FALSE)&lt;-2),"",#REF!),"")</f>
        <v/>
      </c>
      <c r="R1110" t="str">
        <f>IFERROR(IF(OR(HLOOKUP($A1110,#REF!,16,FALSE)&gt;2,HLOOKUP($A1110,#REF!,16,FALSE)&lt;-2),"",#REF!),"")</f>
        <v/>
      </c>
      <c r="S1110" t="str">
        <f>IFERROR(IF(OR(HLOOKUP($A1110,#REF!,17,FALSE)&gt;2,HLOOKUP($A1110,#REF!,17,FALSE)&lt;-2),"",#REF!),"")</f>
        <v/>
      </c>
      <c r="T1110" t="str">
        <f>IFERROR(IF(OR(HLOOKUP($A1110,#REF!,18,FALSE)&gt;2,HLOOKUP($A1110,#REF!,18,FALSE)&lt;-2),"",#REF!),"")</f>
        <v/>
      </c>
      <c r="U1110" t="str">
        <f>IFERROR(IF(OR(HLOOKUP($A1110,#REF!,19,FALSE)&gt;2,HLOOKUP($A1110,#REF!,19,FALSE)&lt;-2),"",#REF!),"")</f>
        <v/>
      </c>
      <c r="V1110">
        <f t="shared" si="68"/>
        <v>1</v>
      </c>
      <c r="W1110" t="str">
        <f t="shared" si="69"/>
        <v/>
      </c>
      <c r="X1110" t="str">
        <f t="shared" si="70"/>
        <v/>
      </c>
      <c r="Y1110" t="str">
        <f t="shared" si="71"/>
        <v/>
      </c>
    </row>
    <row r="1111" spans="1:25" x14ac:dyDescent="0.35">
      <c r="A1111">
        <v>1121</v>
      </c>
      <c r="B1111" t="s">
        <v>1160</v>
      </c>
      <c r="C1111">
        <v>41400</v>
      </c>
      <c r="D1111">
        <v>918</v>
      </c>
      <c r="E1111" t="str">
        <f>IFERROR(IF(OR(HLOOKUP($A1111,#REF!,3,FALSE)&gt;2,HLOOKUP(A1111,#REF!,3,FALSE)&lt;-2),"",#REF!),"")</f>
        <v/>
      </c>
      <c r="F1111" t="str">
        <f>IFERROR(IF(OR(HLOOKUP($A1111,#REF!,4,FALSE)&gt;2,HLOOKUP($A1111,#REF!,4,FALSE)&lt;-2),"",#REF!),"")</f>
        <v/>
      </c>
      <c r="G1111" t="str">
        <f>IFERROR(IF(OR(HLOOKUP($A1111,#REF!,5,FALSE)&gt;2,HLOOKUP($A1111,#REF!,5,FALSE)&lt;-2),"",#REF!),"")</f>
        <v/>
      </c>
      <c r="H1111" t="str">
        <f>IFERROR(IF(OR(HLOOKUP($A1111,#REF!,6,FALSE)&gt;2,HLOOKUP($A1111,#REF!,6,FALSE)&lt;-2),"",#REF!),"")</f>
        <v/>
      </c>
      <c r="I1111" t="str">
        <f>IFERROR(IF(OR(HLOOKUP($A1111,#REF!,7,FALSE)&gt;2,HLOOKUP($A1111,#REF!,7,FALSE)&lt;-2),"",#REF!),"")</f>
        <v/>
      </c>
      <c r="J1111" t="str">
        <f>IFERROR(IF(OR(HLOOKUP($A1111,#REF!,8,FALSE)&gt;2,HLOOKUP($A1111,#REF!,8,FALSE)&lt;-2),"",#REF!),"")</f>
        <v/>
      </c>
      <c r="K1111" t="str">
        <f>IFERROR(IF(OR(HLOOKUP($A1111,#REF!,9,FALSE)&gt;2,HLOOKUP($A1111,#REF!,9,FALSE)&lt;-2),"",#REF!),"")</f>
        <v/>
      </c>
      <c r="L1111" t="str">
        <f>IFERROR(IF(OR(HLOOKUP($A1111,#REF!,10,FALSE)&gt;2,HLOOKUP($A1111,#REF!,10,FALSE)&lt;-2),"",#REF!),"")</f>
        <v/>
      </c>
      <c r="M1111" t="str">
        <f>IFERROR(IF(OR(HLOOKUP($A1111,#REF!,11,FALSE)&gt;2,HLOOKUP($A1111,#REF!,11,FALSE)&lt;-2),"",#REF!),"")</f>
        <v/>
      </c>
      <c r="N1111" t="str">
        <f>IFERROR(IF(OR(HLOOKUP($A1111,#REF!,12,FALSE)&gt;2,HLOOKUP($A1111,#REF!,12,FALSE)&lt;-2),"",#REF!),"")</f>
        <v/>
      </c>
      <c r="O1111" t="str">
        <f>IFERROR(IF(OR(HLOOKUP($A1111,#REF!,13,FALSE)&gt;2,HLOOKUP($A1111,#REF!,13,FALSE)&lt;-2),"",#REF!),"")</f>
        <v/>
      </c>
      <c r="P1111" t="str">
        <f>IFERROR(IF(OR(HLOOKUP($A1111,#REF!,14,FALSE)&gt;2,HLOOKUP($A1111,#REF!,14,FALSE)&lt;-2),"",#REF!),"")</f>
        <v/>
      </c>
      <c r="Q1111" t="str">
        <f>IFERROR(IF(OR(HLOOKUP($A1111,#REF!,15,FALSE)&gt;2,HLOOKUP($A1111,#REF!,15,FALSE)&lt;-2),"",#REF!),"")</f>
        <v/>
      </c>
      <c r="R1111" t="str">
        <f>IFERROR(IF(OR(HLOOKUP($A1111,#REF!,16,FALSE)&gt;2,HLOOKUP($A1111,#REF!,16,FALSE)&lt;-2),"",#REF!),"")</f>
        <v/>
      </c>
      <c r="S1111" t="str">
        <f>IFERROR(IF(OR(HLOOKUP($A1111,#REF!,17,FALSE)&gt;2,HLOOKUP($A1111,#REF!,17,FALSE)&lt;-2),"",#REF!),"")</f>
        <v/>
      </c>
      <c r="T1111" t="str">
        <f>IFERROR(IF(OR(HLOOKUP($A1111,#REF!,18,FALSE)&gt;2,HLOOKUP($A1111,#REF!,18,FALSE)&lt;-2),"",#REF!),"")</f>
        <v/>
      </c>
      <c r="U1111" t="str">
        <f>IFERROR(IF(OR(HLOOKUP($A1111,#REF!,19,FALSE)&gt;2,HLOOKUP($A1111,#REF!,19,FALSE)&lt;-2),"",#REF!),"")</f>
        <v/>
      </c>
      <c r="V1111">
        <f t="shared" si="68"/>
        <v>1</v>
      </c>
      <c r="W1111" t="str">
        <f t="shared" si="69"/>
        <v/>
      </c>
      <c r="X1111" t="str">
        <f t="shared" si="70"/>
        <v/>
      </c>
      <c r="Y1111" t="str">
        <f t="shared" si="71"/>
        <v/>
      </c>
    </row>
    <row r="1112" spans="1:25" x14ac:dyDescent="0.35">
      <c r="A1112">
        <v>1123</v>
      </c>
      <c r="B1112" t="s">
        <v>554</v>
      </c>
      <c r="C1112">
        <v>105100</v>
      </c>
      <c r="D1112">
        <v>752</v>
      </c>
      <c r="E1112" t="str">
        <f>IFERROR(IF(OR(HLOOKUP($A1112,#REF!,3,FALSE)&gt;2,HLOOKUP(A1112,#REF!,3,FALSE)&lt;-2),"",#REF!),"")</f>
        <v/>
      </c>
      <c r="F1112" t="str">
        <f>IFERROR(IF(OR(HLOOKUP($A1112,#REF!,4,FALSE)&gt;2,HLOOKUP($A1112,#REF!,4,FALSE)&lt;-2),"",#REF!),"")</f>
        <v/>
      </c>
      <c r="G1112" t="str">
        <f>IFERROR(IF(OR(HLOOKUP($A1112,#REF!,5,FALSE)&gt;2,HLOOKUP($A1112,#REF!,5,FALSE)&lt;-2),"",#REF!),"")</f>
        <v/>
      </c>
      <c r="H1112" t="str">
        <f>IFERROR(IF(OR(HLOOKUP($A1112,#REF!,6,FALSE)&gt;2,HLOOKUP($A1112,#REF!,6,FALSE)&lt;-2),"",#REF!),"")</f>
        <v/>
      </c>
      <c r="I1112" t="str">
        <f>IFERROR(IF(OR(HLOOKUP($A1112,#REF!,7,FALSE)&gt;2,HLOOKUP($A1112,#REF!,7,FALSE)&lt;-2),"",#REF!),"")</f>
        <v/>
      </c>
      <c r="J1112" t="str">
        <f>IFERROR(IF(OR(HLOOKUP($A1112,#REF!,8,FALSE)&gt;2,HLOOKUP($A1112,#REF!,8,FALSE)&lt;-2),"",#REF!),"")</f>
        <v/>
      </c>
      <c r="K1112" t="str">
        <f>IFERROR(IF(OR(HLOOKUP($A1112,#REF!,9,FALSE)&gt;2,HLOOKUP($A1112,#REF!,9,FALSE)&lt;-2),"",#REF!),"")</f>
        <v/>
      </c>
      <c r="L1112" t="str">
        <f>IFERROR(IF(OR(HLOOKUP($A1112,#REF!,10,FALSE)&gt;2,HLOOKUP($A1112,#REF!,10,FALSE)&lt;-2),"",#REF!),"")</f>
        <v/>
      </c>
      <c r="M1112" t="str">
        <f>IFERROR(IF(OR(HLOOKUP($A1112,#REF!,11,FALSE)&gt;2,HLOOKUP($A1112,#REF!,11,FALSE)&lt;-2),"",#REF!),"")</f>
        <v/>
      </c>
      <c r="N1112" t="str">
        <f>IFERROR(IF(OR(HLOOKUP($A1112,#REF!,12,FALSE)&gt;2,HLOOKUP($A1112,#REF!,12,FALSE)&lt;-2),"",#REF!),"")</f>
        <v/>
      </c>
      <c r="O1112" t="str">
        <f>IFERROR(IF(OR(HLOOKUP($A1112,#REF!,13,FALSE)&gt;2,HLOOKUP($A1112,#REF!,13,FALSE)&lt;-2),"",#REF!),"")</f>
        <v/>
      </c>
      <c r="P1112" t="str">
        <f>IFERROR(IF(OR(HLOOKUP($A1112,#REF!,14,FALSE)&gt;2,HLOOKUP($A1112,#REF!,14,FALSE)&lt;-2),"",#REF!),"")</f>
        <v/>
      </c>
      <c r="Q1112" t="str">
        <f>IFERROR(IF(OR(HLOOKUP($A1112,#REF!,15,FALSE)&gt;2,HLOOKUP($A1112,#REF!,15,FALSE)&lt;-2),"",#REF!),"")</f>
        <v/>
      </c>
      <c r="R1112" t="str">
        <f>IFERROR(IF(OR(HLOOKUP($A1112,#REF!,16,FALSE)&gt;2,HLOOKUP($A1112,#REF!,16,FALSE)&lt;-2),"",#REF!),"")</f>
        <v/>
      </c>
      <c r="S1112" t="str">
        <f>IFERROR(IF(OR(HLOOKUP($A1112,#REF!,17,FALSE)&gt;2,HLOOKUP($A1112,#REF!,17,FALSE)&lt;-2),"",#REF!),"")</f>
        <v/>
      </c>
      <c r="T1112" t="str">
        <f>IFERROR(IF(OR(HLOOKUP($A1112,#REF!,18,FALSE)&gt;2,HLOOKUP($A1112,#REF!,18,FALSE)&lt;-2),"",#REF!),"")</f>
        <v/>
      </c>
      <c r="U1112" t="str">
        <f>IFERROR(IF(OR(HLOOKUP($A1112,#REF!,19,FALSE)&gt;2,HLOOKUP($A1112,#REF!,19,FALSE)&lt;-2),"",#REF!),"")</f>
        <v/>
      </c>
      <c r="V1112">
        <f t="shared" si="68"/>
        <v>1</v>
      </c>
      <c r="W1112" t="str">
        <f t="shared" si="69"/>
        <v/>
      </c>
      <c r="X1112" t="str">
        <f t="shared" si="70"/>
        <v/>
      </c>
      <c r="Y1112" t="str">
        <f t="shared" si="71"/>
        <v/>
      </c>
    </row>
    <row r="1113" spans="1:25" x14ac:dyDescent="0.35">
      <c r="A1113">
        <v>1124</v>
      </c>
      <c r="B1113" t="s">
        <v>1161</v>
      </c>
      <c r="C1113">
        <v>73300</v>
      </c>
      <c r="D1113">
        <v>141</v>
      </c>
      <c r="E1113" t="str">
        <f>IFERROR(IF(OR(HLOOKUP($A1113,#REF!,3,FALSE)&gt;2,HLOOKUP(A1113,#REF!,3,FALSE)&lt;-2),"",#REF!),"")</f>
        <v/>
      </c>
      <c r="F1113" t="str">
        <f>IFERROR(IF(OR(HLOOKUP($A1113,#REF!,4,FALSE)&gt;2,HLOOKUP($A1113,#REF!,4,FALSE)&lt;-2),"",#REF!),"")</f>
        <v/>
      </c>
      <c r="G1113" t="str">
        <f>IFERROR(IF(OR(HLOOKUP($A1113,#REF!,5,FALSE)&gt;2,HLOOKUP($A1113,#REF!,5,FALSE)&lt;-2),"",#REF!),"")</f>
        <v/>
      </c>
      <c r="H1113" t="str">
        <f>IFERROR(IF(OR(HLOOKUP($A1113,#REF!,6,FALSE)&gt;2,HLOOKUP($A1113,#REF!,6,FALSE)&lt;-2),"",#REF!),"")</f>
        <v/>
      </c>
      <c r="I1113" t="str">
        <f>IFERROR(IF(OR(HLOOKUP($A1113,#REF!,7,FALSE)&gt;2,HLOOKUP($A1113,#REF!,7,FALSE)&lt;-2),"",#REF!),"")</f>
        <v/>
      </c>
      <c r="J1113" t="str">
        <f>IFERROR(IF(OR(HLOOKUP($A1113,#REF!,8,FALSE)&gt;2,HLOOKUP($A1113,#REF!,8,FALSE)&lt;-2),"",#REF!),"")</f>
        <v/>
      </c>
      <c r="K1113" t="str">
        <f>IFERROR(IF(OR(HLOOKUP($A1113,#REF!,9,FALSE)&gt;2,HLOOKUP($A1113,#REF!,9,FALSE)&lt;-2),"",#REF!),"")</f>
        <v/>
      </c>
      <c r="L1113" t="str">
        <f>IFERROR(IF(OR(HLOOKUP($A1113,#REF!,10,FALSE)&gt;2,HLOOKUP($A1113,#REF!,10,FALSE)&lt;-2),"",#REF!),"")</f>
        <v/>
      </c>
      <c r="M1113" t="str">
        <f>IFERROR(IF(OR(HLOOKUP($A1113,#REF!,11,FALSE)&gt;2,HLOOKUP($A1113,#REF!,11,FALSE)&lt;-2),"",#REF!),"")</f>
        <v/>
      </c>
      <c r="N1113" t="str">
        <f>IFERROR(IF(OR(HLOOKUP($A1113,#REF!,12,FALSE)&gt;2,HLOOKUP($A1113,#REF!,12,FALSE)&lt;-2),"",#REF!),"")</f>
        <v/>
      </c>
      <c r="O1113" t="str">
        <f>IFERROR(IF(OR(HLOOKUP($A1113,#REF!,13,FALSE)&gt;2,HLOOKUP($A1113,#REF!,13,FALSE)&lt;-2),"",#REF!),"")</f>
        <v/>
      </c>
      <c r="P1113" t="str">
        <f>IFERROR(IF(OR(HLOOKUP($A1113,#REF!,14,FALSE)&gt;2,HLOOKUP($A1113,#REF!,14,FALSE)&lt;-2),"",#REF!),"")</f>
        <v/>
      </c>
      <c r="Q1113" t="str">
        <f>IFERROR(IF(OR(HLOOKUP($A1113,#REF!,15,FALSE)&gt;2,HLOOKUP($A1113,#REF!,15,FALSE)&lt;-2),"",#REF!),"")</f>
        <v/>
      </c>
      <c r="R1113" t="str">
        <f>IFERROR(IF(OR(HLOOKUP($A1113,#REF!,16,FALSE)&gt;2,HLOOKUP($A1113,#REF!,16,FALSE)&lt;-2),"",#REF!),"")</f>
        <v/>
      </c>
      <c r="S1113" t="str">
        <f>IFERROR(IF(OR(HLOOKUP($A1113,#REF!,17,FALSE)&gt;2,HLOOKUP($A1113,#REF!,17,FALSE)&lt;-2),"",#REF!),"")</f>
        <v/>
      </c>
      <c r="T1113" t="str">
        <f>IFERROR(IF(OR(HLOOKUP($A1113,#REF!,18,FALSE)&gt;2,HLOOKUP($A1113,#REF!,18,FALSE)&lt;-2),"",#REF!),"")</f>
        <v/>
      </c>
      <c r="U1113" t="str">
        <f>IFERROR(IF(OR(HLOOKUP($A1113,#REF!,19,FALSE)&gt;2,HLOOKUP($A1113,#REF!,19,FALSE)&lt;-2),"",#REF!),"")</f>
        <v/>
      </c>
      <c r="V1113">
        <f t="shared" si="68"/>
        <v>1</v>
      </c>
      <c r="W1113" t="str">
        <f t="shared" si="69"/>
        <v/>
      </c>
      <c r="X1113" t="str">
        <f t="shared" si="70"/>
        <v/>
      </c>
      <c r="Y1113" t="str">
        <f t="shared" si="71"/>
        <v/>
      </c>
    </row>
    <row r="1114" spans="1:25" x14ac:dyDescent="0.35">
      <c r="A1114">
        <v>1125</v>
      </c>
      <c r="B1114" t="s">
        <v>555</v>
      </c>
      <c r="C1114">
        <v>23000</v>
      </c>
      <c r="D1114">
        <v>746</v>
      </c>
      <c r="E1114" t="str">
        <f>IFERROR(IF(OR(HLOOKUP($A1114,#REF!,3,FALSE)&gt;2,HLOOKUP(A1114,#REF!,3,FALSE)&lt;-2),"",#REF!),"")</f>
        <v/>
      </c>
      <c r="F1114" t="str">
        <f>IFERROR(IF(OR(HLOOKUP($A1114,#REF!,4,FALSE)&gt;2,HLOOKUP($A1114,#REF!,4,FALSE)&lt;-2),"",#REF!),"")</f>
        <v/>
      </c>
      <c r="G1114" t="str">
        <f>IFERROR(IF(OR(HLOOKUP($A1114,#REF!,5,FALSE)&gt;2,HLOOKUP($A1114,#REF!,5,FALSE)&lt;-2),"",#REF!),"")</f>
        <v/>
      </c>
      <c r="H1114" t="str">
        <f>IFERROR(IF(OR(HLOOKUP($A1114,#REF!,6,FALSE)&gt;2,HLOOKUP($A1114,#REF!,6,FALSE)&lt;-2),"",#REF!),"")</f>
        <v/>
      </c>
      <c r="I1114" t="str">
        <f>IFERROR(IF(OR(HLOOKUP($A1114,#REF!,7,FALSE)&gt;2,HLOOKUP($A1114,#REF!,7,FALSE)&lt;-2),"",#REF!),"")</f>
        <v/>
      </c>
      <c r="J1114" t="str">
        <f>IFERROR(IF(OR(HLOOKUP($A1114,#REF!,8,FALSE)&gt;2,HLOOKUP($A1114,#REF!,8,FALSE)&lt;-2),"",#REF!),"")</f>
        <v/>
      </c>
      <c r="K1114" t="str">
        <f>IFERROR(IF(OR(HLOOKUP($A1114,#REF!,9,FALSE)&gt;2,HLOOKUP($A1114,#REF!,9,FALSE)&lt;-2),"",#REF!),"")</f>
        <v/>
      </c>
      <c r="L1114" t="str">
        <f>IFERROR(IF(OR(HLOOKUP($A1114,#REF!,10,FALSE)&gt;2,HLOOKUP($A1114,#REF!,10,FALSE)&lt;-2),"",#REF!),"")</f>
        <v/>
      </c>
      <c r="M1114" t="str">
        <f>IFERROR(IF(OR(HLOOKUP($A1114,#REF!,11,FALSE)&gt;2,HLOOKUP($A1114,#REF!,11,FALSE)&lt;-2),"",#REF!),"")</f>
        <v/>
      </c>
      <c r="N1114" t="str">
        <f>IFERROR(IF(OR(HLOOKUP($A1114,#REF!,12,FALSE)&gt;2,HLOOKUP($A1114,#REF!,12,FALSE)&lt;-2),"",#REF!),"")</f>
        <v/>
      </c>
      <c r="O1114" t="str">
        <f>IFERROR(IF(OR(HLOOKUP($A1114,#REF!,13,FALSE)&gt;2,HLOOKUP($A1114,#REF!,13,FALSE)&lt;-2),"",#REF!),"")</f>
        <v/>
      </c>
      <c r="P1114" t="str">
        <f>IFERROR(IF(OR(HLOOKUP($A1114,#REF!,14,FALSE)&gt;2,HLOOKUP($A1114,#REF!,14,FALSE)&lt;-2),"",#REF!),"")</f>
        <v/>
      </c>
      <c r="Q1114" t="str">
        <f>IFERROR(IF(OR(HLOOKUP($A1114,#REF!,15,FALSE)&gt;2,HLOOKUP($A1114,#REF!,15,FALSE)&lt;-2),"",#REF!),"")</f>
        <v/>
      </c>
      <c r="R1114" t="str">
        <f>IFERROR(IF(OR(HLOOKUP($A1114,#REF!,16,FALSE)&gt;2,HLOOKUP($A1114,#REF!,16,FALSE)&lt;-2),"",#REF!),"")</f>
        <v/>
      </c>
      <c r="S1114" t="str">
        <f>IFERROR(IF(OR(HLOOKUP($A1114,#REF!,17,FALSE)&gt;2,HLOOKUP($A1114,#REF!,17,FALSE)&lt;-2),"",#REF!),"")</f>
        <v/>
      </c>
      <c r="T1114" t="str">
        <f>IFERROR(IF(OR(HLOOKUP($A1114,#REF!,18,FALSE)&gt;2,HLOOKUP($A1114,#REF!,18,FALSE)&lt;-2),"",#REF!),"")</f>
        <v/>
      </c>
      <c r="U1114" t="str">
        <f>IFERROR(IF(OR(HLOOKUP($A1114,#REF!,19,FALSE)&gt;2,HLOOKUP($A1114,#REF!,19,FALSE)&lt;-2),"",#REF!),"")</f>
        <v/>
      </c>
      <c r="V1114">
        <f t="shared" si="68"/>
        <v>1</v>
      </c>
      <c r="W1114" t="str">
        <f t="shared" si="69"/>
        <v/>
      </c>
      <c r="X1114" t="str">
        <f t="shared" si="70"/>
        <v/>
      </c>
      <c r="Y1114" t="str">
        <f t="shared" si="71"/>
        <v/>
      </c>
    </row>
    <row r="1115" spans="1:25" x14ac:dyDescent="0.35">
      <c r="A1115">
        <v>1126</v>
      </c>
      <c r="B1115" t="s">
        <v>556</v>
      </c>
      <c r="C1115">
        <v>75400</v>
      </c>
      <c r="D1115">
        <v>557</v>
      </c>
      <c r="E1115" t="str">
        <f>IFERROR(IF(OR(HLOOKUP($A1115,#REF!,3,FALSE)&gt;2,HLOOKUP(A1115,#REF!,3,FALSE)&lt;-2),"",#REF!),"")</f>
        <v/>
      </c>
      <c r="F1115" t="str">
        <f>IFERROR(IF(OR(HLOOKUP($A1115,#REF!,4,FALSE)&gt;2,HLOOKUP($A1115,#REF!,4,FALSE)&lt;-2),"",#REF!),"")</f>
        <v/>
      </c>
      <c r="G1115" t="str">
        <f>IFERROR(IF(OR(HLOOKUP($A1115,#REF!,5,FALSE)&gt;2,HLOOKUP($A1115,#REF!,5,FALSE)&lt;-2),"",#REF!),"")</f>
        <v/>
      </c>
      <c r="H1115" t="str">
        <f>IFERROR(IF(OR(HLOOKUP($A1115,#REF!,6,FALSE)&gt;2,HLOOKUP($A1115,#REF!,6,FALSE)&lt;-2),"",#REF!),"")</f>
        <v/>
      </c>
      <c r="I1115" t="str">
        <f>IFERROR(IF(OR(HLOOKUP($A1115,#REF!,7,FALSE)&gt;2,HLOOKUP($A1115,#REF!,7,FALSE)&lt;-2),"",#REF!),"")</f>
        <v/>
      </c>
      <c r="J1115" t="str">
        <f>IFERROR(IF(OR(HLOOKUP($A1115,#REF!,8,FALSE)&gt;2,HLOOKUP($A1115,#REF!,8,FALSE)&lt;-2),"",#REF!),"")</f>
        <v/>
      </c>
      <c r="K1115" t="str">
        <f>IFERROR(IF(OR(HLOOKUP($A1115,#REF!,9,FALSE)&gt;2,HLOOKUP($A1115,#REF!,9,FALSE)&lt;-2),"",#REF!),"")</f>
        <v/>
      </c>
      <c r="L1115" t="str">
        <f>IFERROR(IF(OR(HLOOKUP($A1115,#REF!,10,FALSE)&gt;2,HLOOKUP($A1115,#REF!,10,FALSE)&lt;-2),"",#REF!),"")</f>
        <v/>
      </c>
      <c r="M1115" t="str">
        <f>IFERROR(IF(OR(HLOOKUP($A1115,#REF!,11,FALSE)&gt;2,HLOOKUP($A1115,#REF!,11,FALSE)&lt;-2),"",#REF!),"")</f>
        <v/>
      </c>
      <c r="N1115" t="str">
        <f>IFERROR(IF(OR(HLOOKUP($A1115,#REF!,12,FALSE)&gt;2,HLOOKUP($A1115,#REF!,12,FALSE)&lt;-2),"",#REF!),"")</f>
        <v/>
      </c>
      <c r="O1115" t="str">
        <f>IFERROR(IF(OR(HLOOKUP($A1115,#REF!,13,FALSE)&gt;2,HLOOKUP($A1115,#REF!,13,FALSE)&lt;-2),"",#REF!),"")</f>
        <v/>
      </c>
      <c r="P1115" t="str">
        <f>IFERROR(IF(OR(HLOOKUP($A1115,#REF!,14,FALSE)&gt;2,HLOOKUP($A1115,#REF!,14,FALSE)&lt;-2),"",#REF!),"")</f>
        <v/>
      </c>
      <c r="Q1115" t="str">
        <f>IFERROR(IF(OR(HLOOKUP($A1115,#REF!,15,FALSE)&gt;2,HLOOKUP($A1115,#REF!,15,FALSE)&lt;-2),"",#REF!),"")</f>
        <v/>
      </c>
      <c r="R1115" t="str">
        <f>IFERROR(IF(OR(HLOOKUP($A1115,#REF!,16,FALSE)&gt;2,HLOOKUP($A1115,#REF!,16,FALSE)&lt;-2),"",#REF!),"")</f>
        <v/>
      </c>
      <c r="S1115" t="str">
        <f>IFERROR(IF(OR(HLOOKUP($A1115,#REF!,17,FALSE)&gt;2,HLOOKUP($A1115,#REF!,17,FALSE)&lt;-2),"",#REF!),"")</f>
        <v/>
      </c>
      <c r="T1115" t="str">
        <f>IFERROR(IF(OR(HLOOKUP($A1115,#REF!,18,FALSE)&gt;2,HLOOKUP($A1115,#REF!,18,FALSE)&lt;-2),"",#REF!),"")</f>
        <v/>
      </c>
      <c r="U1115" t="str">
        <f>IFERROR(IF(OR(HLOOKUP($A1115,#REF!,19,FALSE)&gt;2,HLOOKUP($A1115,#REF!,19,FALSE)&lt;-2),"",#REF!),"")</f>
        <v/>
      </c>
      <c r="V1115">
        <f t="shared" si="68"/>
        <v>1</v>
      </c>
      <c r="W1115" t="str">
        <f t="shared" si="69"/>
        <v/>
      </c>
      <c r="X1115" t="str">
        <f t="shared" si="70"/>
        <v/>
      </c>
      <c r="Y1115" t="str">
        <f t="shared" si="71"/>
        <v/>
      </c>
    </row>
    <row r="1116" spans="1:25" x14ac:dyDescent="0.35">
      <c r="A1116">
        <v>1127</v>
      </c>
      <c r="B1116" t="s">
        <v>557</v>
      </c>
      <c r="C1116">
        <v>28200</v>
      </c>
      <c r="D1116">
        <v>541</v>
      </c>
      <c r="E1116" t="str">
        <f>IFERROR(IF(OR(HLOOKUP($A1116,#REF!,3,FALSE)&gt;2,HLOOKUP(A1116,#REF!,3,FALSE)&lt;-2),"",#REF!),"")</f>
        <v/>
      </c>
      <c r="F1116" t="str">
        <f>IFERROR(IF(OR(HLOOKUP($A1116,#REF!,4,FALSE)&gt;2,HLOOKUP($A1116,#REF!,4,FALSE)&lt;-2),"",#REF!),"")</f>
        <v/>
      </c>
      <c r="G1116" t="str">
        <f>IFERROR(IF(OR(HLOOKUP($A1116,#REF!,5,FALSE)&gt;2,HLOOKUP($A1116,#REF!,5,FALSE)&lt;-2),"",#REF!),"")</f>
        <v/>
      </c>
      <c r="H1116" t="str">
        <f>IFERROR(IF(OR(HLOOKUP($A1116,#REF!,6,FALSE)&gt;2,HLOOKUP($A1116,#REF!,6,FALSE)&lt;-2),"",#REF!),"")</f>
        <v/>
      </c>
      <c r="I1116" t="str">
        <f>IFERROR(IF(OR(HLOOKUP($A1116,#REF!,7,FALSE)&gt;2,HLOOKUP($A1116,#REF!,7,FALSE)&lt;-2),"",#REF!),"")</f>
        <v/>
      </c>
      <c r="J1116" t="str">
        <f>IFERROR(IF(OR(HLOOKUP($A1116,#REF!,8,FALSE)&gt;2,HLOOKUP($A1116,#REF!,8,FALSE)&lt;-2),"",#REF!),"")</f>
        <v/>
      </c>
      <c r="K1116" t="str">
        <f>IFERROR(IF(OR(HLOOKUP($A1116,#REF!,9,FALSE)&gt;2,HLOOKUP($A1116,#REF!,9,FALSE)&lt;-2),"",#REF!),"")</f>
        <v/>
      </c>
      <c r="L1116" t="str">
        <f>IFERROR(IF(OR(HLOOKUP($A1116,#REF!,10,FALSE)&gt;2,HLOOKUP($A1116,#REF!,10,FALSE)&lt;-2),"",#REF!),"")</f>
        <v/>
      </c>
      <c r="M1116" t="str">
        <f>IFERROR(IF(OR(HLOOKUP($A1116,#REF!,11,FALSE)&gt;2,HLOOKUP($A1116,#REF!,11,FALSE)&lt;-2),"",#REF!),"")</f>
        <v/>
      </c>
      <c r="N1116" t="str">
        <f>IFERROR(IF(OR(HLOOKUP($A1116,#REF!,12,FALSE)&gt;2,HLOOKUP($A1116,#REF!,12,FALSE)&lt;-2),"",#REF!),"")</f>
        <v/>
      </c>
      <c r="O1116" t="str">
        <f>IFERROR(IF(OR(HLOOKUP($A1116,#REF!,13,FALSE)&gt;2,HLOOKUP($A1116,#REF!,13,FALSE)&lt;-2),"",#REF!),"")</f>
        <v/>
      </c>
      <c r="P1116" t="str">
        <f>IFERROR(IF(OR(HLOOKUP($A1116,#REF!,14,FALSE)&gt;2,HLOOKUP($A1116,#REF!,14,FALSE)&lt;-2),"",#REF!),"")</f>
        <v/>
      </c>
      <c r="Q1116" t="str">
        <f>IFERROR(IF(OR(HLOOKUP($A1116,#REF!,15,FALSE)&gt;2,HLOOKUP($A1116,#REF!,15,FALSE)&lt;-2),"",#REF!),"")</f>
        <v/>
      </c>
      <c r="R1116" t="str">
        <f>IFERROR(IF(OR(HLOOKUP($A1116,#REF!,16,FALSE)&gt;2,HLOOKUP($A1116,#REF!,16,FALSE)&lt;-2),"",#REF!),"")</f>
        <v/>
      </c>
      <c r="S1116" t="str">
        <f>IFERROR(IF(OR(HLOOKUP($A1116,#REF!,17,FALSE)&gt;2,HLOOKUP($A1116,#REF!,17,FALSE)&lt;-2),"",#REF!),"")</f>
        <v/>
      </c>
      <c r="T1116" t="str">
        <f>IFERROR(IF(OR(HLOOKUP($A1116,#REF!,18,FALSE)&gt;2,HLOOKUP($A1116,#REF!,18,FALSE)&lt;-2),"",#REF!),"")</f>
        <v/>
      </c>
      <c r="U1116" t="str">
        <f>IFERROR(IF(OR(HLOOKUP($A1116,#REF!,19,FALSE)&gt;2,HLOOKUP($A1116,#REF!,19,FALSE)&lt;-2),"",#REF!),"")</f>
        <v/>
      </c>
      <c r="V1116">
        <f t="shared" si="68"/>
        <v>1</v>
      </c>
      <c r="W1116" t="str">
        <f t="shared" si="69"/>
        <v/>
      </c>
      <c r="X1116" t="str">
        <f t="shared" si="70"/>
        <v/>
      </c>
      <c r="Y1116" t="str">
        <f t="shared" si="71"/>
        <v/>
      </c>
    </row>
    <row r="1117" spans="1:25" x14ac:dyDescent="0.35">
      <c r="A1117">
        <v>1128</v>
      </c>
      <c r="B1117" t="s">
        <v>558</v>
      </c>
      <c r="C1117">
        <v>5300</v>
      </c>
      <c r="D1117">
        <v>337</v>
      </c>
      <c r="E1117" t="str">
        <f>IFERROR(IF(OR(HLOOKUP($A1117,#REF!,3,FALSE)&gt;2,HLOOKUP(A1117,#REF!,3,FALSE)&lt;-2),"",#REF!),"")</f>
        <v/>
      </c>
      <c r="F1117" t="str">
        <f>IFERROR(IF(OR(HLOOKUP($A1117,#REF!,4,FALSE)&gt;2,HLOOKUP($A1117,#REF!,4,FALSE)&lt;-2),"",#REF!),"")</f>
        <v/>
      </c>
      <c r="G1117" t="str">
        <f>IFERROR(IF(OR(HLOOKUP($A1117,#REF!,5,FALSE)&gt;2,HLOOKUP($A1117,#REF!,5,FALSE)&lt;-2),"",#REF!),"")</f>
        <v/>
      </c>
      <c r="H1117" t="str">
        <f>IFERROR(IF(OR(HLOOKUP($A1117,#REF!,6,FALSE)&gt;2,HLOOKUP($A1117,#REF!,6,FALSE)&lt;-2),"",#REF!),"")</f>
        <v/>
      </c>
      <c r="I1117" t="str">
        <f>IFERROR(IF(OR(HLOOKUP($A1117,#REF!,7,FALSE)&gt;2,HLOOKUP($A1117,#REF!,7,FALSE)&lt;-2),"",#REF!),"")</f>
        <v/>
      </c>
      <c r="J1117" t="str">
        <f>IFERROR(IF(OR(HLOOKUP($A1117,#REF!,8,FALSE)&gt;2,HLOOKUP($A1117,#REF!,8,FALSE)&lt;-2),"",#REF!),"")</f>
        <v/>
      </c>
      <c r="K1117" t="str">
        <f>IFERROR(IF(OR(HLOOKUP($A1117,#REF!,9,FALSE)&gt;2,HLOOKUP($A1117,#REF!,9,FALSE)&lt;-2),"",#REF!),"")</f>
        <v/>
      </c>
      <c r="L1117" t="str">
        <f>IFERROR(IF(OR(HLOOKUP($A1117,#REF!,10,FALSE)&gt;2,HLOOKUP($A1117,#REF!,10,FALSE)&lt;-2),"",#REF!),"")</f>
        <v/>
      </c>
      <c r="M1117" t="str">
        <f>IFERROR(IF(OR(HLOOKUP($A1117,#REF!,11,FALSE)&gt;2,HLOOKUP($A1117,#REF!,11,FALSE)&lt;-2),"",#REF!),"")</f>
        <v/>
      </c>
      <c r="N1117" t="str">
        <f>IFERROR(IF(OR(HLOOKUP($A1117,#REF!,12,FALSE)&gt;2,HLOOKUP($A1117,#REF!,12,FALSE)&lt;-2),"",#REF!),"")</f>
        <v/>
      </c>
      <c r="O1117" t="str">
        <f>IFERROR(IF(OR(HLOOKUP($A1117,#REF!,13,FALSE)&gt;2,HLOOKUP($A1117,#REF!,13,FALSE)&lt;-2),"",#REF!),"")</f>
        <v/>
      </c>
      <c r="P1117" t="str">
        <f>IFERROR(IF(OR(HLOOKUP($A1117,#REF!,14,FALSE)&gt;2,HLOOKUP($A1117,#REF!,14,FALSE)&lt;-2),"",#REF!),"")</f>
        <v/>
      </c>
      <c r="Q1117" t="str">
        <f>IFERROR(IF(OR(HLOOKUP($A1117,#REF!,15,FALSE)&gt;2,HLOOKUP($A1117,#REF!,15,FALSE)&lt;-2),"",#REF!),"")</f>
        <v/>
      </c>
      <c r="R1117" t="str">
        <f>IFERROR(IF(OR(HLOOKUP($A1117,#REF!,16,FALSE)&gt;2,HLOOKUP($A1117,#REF!,16,FALSE)&lt;-2),"",#REF!),"")</f>
        <v/>
      </c>
      <c r="S1117" t="str">
        <f>IFERROR(IF(OR(HLOOKUP($A1117,#REF!,17,FALSE)&gt;2,HLOOKUP($A1117,#REF!,17,FALSE)&lt;-2),"",#REF!),"")</f>
        <v/>
      </c>
      <c r="T1117" t="str">
        <f>IFERROR(IF(OR(HLOOKUP($A1117,#REF!,18,FALSE)&gt;2,HLOOKUP($A1117,#REF!,18,FALSE)&lt;-2),"",#REF!),"")</f>
        <v/>
      </c>
      <c r="U1117" t="str">
        <f>IFERROR(IF(OR(HLOOKUP($A1117,#REF!,19,FALSE)&gt;2,HLOOKUP($A1117,#REF!,19,FALSE)&lt;-2),"",#REF!),"")</f>
        <v/>
      </c>
      <c r="V1117">
        <f t="shared" si="68"/>
        <v>1</v>
      </c>
      <c r="W1117" t="str">
        <f t="shared" si="69"/>
        <v/>
      </c>
      <c r="X1117" t="str">
        <f t="shared" si="70"/>
        <v/>
      </c>
      <c r="Y1117" t="str">
        <f t="shared" si="71"/>
        <v/>
      </c>
    </row>
    <row r="1118" spans="1:25" x14ac:dyDescent="0.35">
      <c r="A1118">
        <v>1129</v>
      </c>
      <c r="B1118" t="s">
        <v>1162</v>
      </c>
      <c r="C1118">
        <v>63400</v>
      </c>
      <c r="D1118">
        <v>343</v>
      </c>
      <c r="E1118" t="str">
        <f>IFERROR(IF(OR(HLOOKUP($A1118,#REF!,3,FALSE)&gt;2,HLOOKUP(A1118,#REF!,3,FALSE)&lt;-2),"",#REF!),"")</f>
        <v/>
      </c>
      <c r="F1118" t="str">
        <f>IFERROR(IF(OR(HLOOKUP($A1118,#REF!,4,FALSE)&gt;2,HLOOKUP($A1118,#REF!,4,FALSE)&lt;-2),"",#REF!),"")</f>
        <v/>
      </c>
      <c r="G1118" t="str">
        <f>IFERROR(IF(OR(HLOOKUP($A1118,#REF!,5,FALSE)&gt;2,HLOOKUP($A1118,#REF!,5,FALSE)&lt;-2),"",#REF!),"")</f>
        <v/>
      </c>
      <c r="H1118" t="str">
        <f>IFERROR(IF(OR(HLOOKUP($A1118,#REF!,6,FALSE)&gt;2,HLOOKUP($A1118,#REF!,6,FALSE)&lt;-2),"",#REF!),"")</f>
        <v/>
      </c>
      <c r="I1118" t="str">
        <f>IFERROR(IF(OR(HLOOKUP($A1118,#REF!,7,FALSE)&gt;2,HLOOKUP($A1118,#REF!,7,FALSE)&lt;-2),"",#REF!),"")</f>
        <v/>
      </c>
      <c r="J1118" t="str">
        <f>IFERROR(IF(OR(HLOOKUP($A1118,#REF!,8,FALSE)&gt;2,HLOOKUP($A1118,#REF!,8,FALSE)&lt;-2),"",#REF!),"")</f>
        <v/>
      </c>
      <c r="K1118" t="str">
        <f>IFERROR(IF(OR(HLOOKUP($A1118,#REF!,9,FALSE)&gt;2,HLOOKUP($A1118,#REF!,9,FALSE)&lt;-2),"",#REF!),"")</f>
        <v/>
      </c>
      <c r="L1118" t="str">
        <f>IFERROR(IF(OR(HLOOKUP($A1118,#REF!,10,FALSE)&gt;2,HLOOKUP($A1118,#REF!,10,FALSE)&lt;-2),"",#REF!),"")</f>
        <v/>
      </c>
      <c r="M1118" t="str">
        <f>IFERROR(IF(OR(HLOOKUP($A1118,#REF!,11,FALSE)&gt;2,HLOOKUP($A1118,#REF!,11,FALSE)&lt;-2),"",#REF!),"")</f>
        <v/>
      </c>
      <c r="N1118" t="str">
        <f>IFERROR(IF(OR(HLOOKUP($A1118,#REF!,12,FALSE)&gt;2,HLOOKUP($A1118,#REF!,12,FALSE)&lt;-2),"",#REF!),"")</f>
        <v/>
      </c>
      <c r="O1118" t="str">
        <f>IFERROR(IF(OR(HLOOKUP($A1118,#REF!,13,FALSE)&gt;2,HLOOKUP($A1118,#REF!,13,FALSE)&lt;-2),"",#REF!),"")</f>
        <v/>
      </c>
      <c r="P1118" t="str">
        <f>IFERROR(IF(OR(HLOOKUP($A1118,#REF!,14,FALSE)&gt;2,HLOOKUP($A1118,#REF!,14,FALSE)&lt;-2),"",#REF!),"")</f>
        <v/>
      </c>
      <c r="Q1118" t="str">
        <f>IFERROR(IF(OR(HLOOKUP($A1118,#REF!,15,FALSE)&gt;2,HLOOKUP($A1118,#REF!,15,FALSE)&lt;-2),"",#REF!),"")</f>
        <v/>
      </c>
      <c r="R1118" t="str">
        <f>IFERROR(IF(OR(HLOOKUP($A1118,#REF!,16,FALSE)&gt;2,HLOOKUP($A1118,#REF!,16,FALSE)&lt;-2),"",#REF!),"")</f>
        <v/>
      </c>
      <c r="S1118" t="str">
        <f>IFERROR(IF(OR(HLOOKUP($A1118,#REF!,17,FALSE)&gt;2,HLOOKUP($A1118,#REF!,17,FALSE)&lt;-2),"",#REF!),"")</f>
        <v/>
      </c>
      <c r="T1118" t="str">
        <f>IFERROR(IF(OR(HLOOKUP($A1118,#REF!,18,FALSE)&gt;2,HLOOKUP($A1118,#REF!,18,FALSE)&lt;-2),"",#REF!),"")</f>
        <v/>
      </c>
      <c r="U1118" t="str">
        <f>IFERROR(IF(OR(HLOOKUP($A1118,#REF!,19,FALSE)&gt;2,HLOOKUP($A1118,#REF!,19,FALSE)&lt;-2),"",#REF!),"")</f>
        <v/>
      </c>
      <c r="V1118">
        <f t="shared" si="68"/>
        <v>1</v>
      </c>
      <c r="W1118" t="str">
        <f t="shared" si="69"/>
        <v/>
      </c>
      <c r="X1118" t="str">
        <f t="shared" si="70"/>
        <v/>
      </c>
      <c r="Y1118" t="str">
        <f t="shared" si="71"/>
        <v/>
      </c>
    </row>
    <row r="1119" spans="1:25" x14ac:dyDescent="0.35">
      <c r="A1119">
        <v>1131</v>
      </c>
      <c r="B1119" t="s">
        <v>1163</v>
      </c>
      <c r="C1119">
        <v>100200</v>
      </c>
      <c r="D1119">
        <v>798</v>
      </c>
      <c r="E1119" t="str">
        <f>IFERROR(IF(OR(HLOOKUP($A1119,#REF!,3,FALSE)&gt;2,HLOOKUP(A1119,#REF!,3,FALSE)&lt;-2),"",#REF!),"")</f>
        <v/>
      </c>
      <c r="F1119" t="str">
        <f>IFERROR(IF(OR(HLOOKUP($A1119,#REF!,4,FALSE)&gt;2,HLOOKUP($A1119,#REF!,4,FALSE)&lt;-2),"",#REF!),"")</f>
        <v/>
      </c>
      <c r="G1119" t="str">
        <f>IFERROR(IF(OR(HLOOKUP($A1119,#REF!,5,FALSE)&gt;2,HLOOKUP($A1119,#REF!,5,FALSE)&lt;-2),"",#REF!),"")</f>
        <v/>
      </c>
      <c r="H1119" t="str">
        <f>IFERROR(IF(OR(HLOOKUP($A1119,#REF!,6,FALSE)&gt;2,HLOOKUP($A1119,#REF!,6,FALSE)&lt;-2),"",#REF!),"")</f>
        <v/>
      </c>
      <c r="I1119" t="str">
        <f>IFERROR(IF(OR(HLOOKUP($A1119,#REF!,7,FALSE)&gt;2,HLOOKUP($A1119,#REF!,7,FALSE)&lt;-2),"",#REF!),"")</f>
        <v/>
      </c>
      <c r="J1119" t="str">
        <f>IFERROR(IF(OR(HLOOKUP($A1119,#REF!,8,FALSE)&gt;2,HLOOKUP($A1119,#REF!,8,FALSE)&lt;-2),"",#REF!),"")</f>
        <v/>
      </c>
      <c r="K1119" t="str">
        <f>IFERROR(IF(OR(HLOOKUP($A1119,#REF!,9,FALSE)&gt;2,HLOOKUP($A1119,#REF!,9,FALSE)&lt;-2),"",#REF!),"")</f>
        <v/>
      </c>
      <c r="L1119" t="str">
        <f>IFERROR(IF(OR(HLOOKUP($A1119,#REF!,10,FALSE)&gt;2,HLOOKUP($A1119,#REF!,10,FALSE)&lt;-2),"",#REF!),"")</f>
        <v/>
      </c>
      <c r="M1119" t="str">
        <f>IFERROR(IF(OR(HLOOKUP($A1119,#REF!,11,FALSE)&gt;2,HLOOKUP($A1119,#REF!,11,FALSE)&lt;-2),"",#REF!),"")</f>
        <v/>
      </c>
      <c r="N1119" t="str">
        <f>IFERROR(IF(OR(HLOOKUP($A1119,#REF!,12,FALSE)&gt;2,HLOOKUP($A1119,#REF!,12,FALSE)&lt;-2),"",#REF!),"")</f>
        <v/>
      </c>
      <c r="O1119" t="str">
        <f>IFERROR(IF(OR(HLOOKUP($A1119,#REF!,13,FALSE)&gt;2,HLOOKUP($A1119,#REF!,13,FALSE)&lt;-2),"",#REF!),"")</f>
        <v/>
      </c>
      <c r="P1119" t="str">
        <f>IFERROR(IF(OR(HLOOKUP($A1119,#REF!,14,FALSE)&gt;2,HLOOKUP($A1119,#REF!,14,FALSE)&lt;-2),"",#REF!),"")</f>
        <v/>
      </c>
      <c r="Q1119" t="str">
        <f>IFERROR(IF(OR(HLOOKUP($A1119,#REF!,15,FALSE)&gt;2,HLOOKUP($A1119,#REF!,15,FALSE)&lt;-2),"",#REF!),"")</f>
        <v/>
      </c>
      <c r="R1119" t="str">
        <f>IFERROR(IF(OR(HLOOKUP($A1119,#REF!,16,FALSE)&gt;2,HLOOKUP($A1119,#REF!,16,FALSE)&lt;-2),"",#REF!),"")</f>
        <v/>
      </c>
      <c r="S1119" t="str">
        <f>IFERROR(IF(OR(HLOOKUP($A1119,#REF!,17,FALSE)&gt;2,HLOOKUP($A1119,#REF!,17,FALSE)&lt;-2),"",#REF!),"")</f>
        <v/>
      </c>
      <c r="T1119" t="str">
        <f>IFERROR(IF(OR(HLOOKUP($A1119,#REF!,18,FALSE)&gt;2,HLOOKUP($A1119,#REF!,18,FALSE)&lt;-2),"",#REF!),"")</f>
        <v/>
      </c>
      <c r="U1119" t="str">
        <f>IFERROR(IF(OR(HLOOKUP($A1119,#REF!,19,FALSE)&gt;2,HLOOKUP($A1119,#REF!,19,FALSE)&lt;-2),"",#REF!),"")</f>
        <v/>
      </c>
      <c r="V1119">
        <f t="shared" si="68"/>
        <v>1</v>
      </c>
      <c r="W1119" t="str">
        <f t="shared" si="69"/>
        <v/>
      </c>
      <c r="X1119" t="str">
        <f t="shared" si="70"/>
        <v/>
      </c>
      <c r="Y1119" t="str">
        <f t="shared" si="71"/>
        <v/>
      </c>
    </row>
    <row r="1120" spans="1:25" x14ac:dyDescent="0.35">
      <c r="A1120">
        <v>1132</v>
      </c>
      <c r="B1120" t="s">
        <v>1164</v>
      </c>
      <c r="C1120">
        <v>84800</v>
      </c>
      <c r="D1120">
        <v>771</v>
      </c>
      <c r="E1120" t="str">
        <f>IFERROR(IF(OR(HLOOKUP($A1120,#REF!,3,FALSE)&gt;2,HLOOKUP(A1120,#REF!,3,FALSE)&lt;-2),"",#REF!),"")</f>
        <v/>
      </c>
      <c r="F1120" t="str">
        <f>IFERROR(IF(OR(HLOOKUP($A1120,#REF!,4,FALSE)&gt;2,HLOOKUP($A1120,#REF!,4,FALSE)&lt;-2),"",#REF!),"")</f>
        <v/>
      </c>
      <c r="G1120" t="str">
        <f>IFERROR(IF(OR(HLOOKUP($A1120,#REF!,5,FALSE)&gt;2,HLOOKUP($A1120,#REF!,5,FALSE)&lt;-2),"",#REF!),"")</f>
        <v/>
      </c>
      <c r="H1120" t="str">
        <f>IFERROR(IF(OR(HLOOKUP($A1120,#REF!,6,FALSE)&gt;2,HLOOKUP($A1120,#REF!,6,FALSE)&lt;-2),"",#REF!),"")</f>
        <v/>
      </c>
      <c r="I1120" t="str">
        <f>IFERROR(IF(OR(HLOOKUP($A1120,#REF!,7,FALSE)&gt;2,HLOOKUP($A1120,#REF!,7,FALSE)&lt;-2),"",#REF!),"")</f>
        <v/>
      </c>
      <c r="J1120" t="str">
        <f>IFERROR(IF(OR(HLOOKUP($A1120,#REF!,8,FALSE)&gt;2,HLOOKUP($A1120,#REF!,8,FALSE)&lt;-2),"",#REF!),"")</f>
        <v/>
      </c>
      <c r="K1120" t="str">
        <f>IFERROR(IF(OR(HLOOKUP($A1120,#REF!,9,FALSE)&gt;2,HLOOKUP($A1120,#REF!,9,FALSE)&lt;-2),"",#REF!),"")</f>
        <v/>
      </c>
      <c r="L1120" t="str">
        <f>IFERROR(IF(OR(HLOOKUP($A1120,#REF!,10,FALSE)&gt;2,HLOOKUP($A1120,#REF!,10,FALSE)&lt;-2),"",#REF!),"")</f>
        <v/>
      </c>
      <c r="M1120" t="str">
        <f>IFERROR(IF(OR(HLOOKUP($A1120,#REF!,11,FALSE)&gt;2,HLOOKUP($A1120,#REF!,11,FALSE)&lt;-2),"",#REF!),"")</f>
        <v/>
      </c>
      <c r="N1120" t="str">
        <f>IFERROR(IF(OR(HLOOKUP($A1120,#REF!,12,FALSE)&gt;2,HLOOKUP($A1120,#REF!,12,FALSE)&lt;-2),"",#REF!),"")</f>
        <v/>
      </c>
      <c r="O1120" t="str">
        <f>IFERROR(IF(OR(HLOOKUP($A1120,#REF!,13,FALSE)&gt;2,HLOOKUP($A1120,#REF!,13,FALSE)&lt;-2),"",#REF!),"")</f>
        <v/>
      </c>
      <c r="P1120" t="str">
        <f>IFERROR(IF(OR(HLOOKUP($A1120,#REF!,14,FALSE)&gt;2,HLOOKUP($A1120,#REF!,14,FALSE)&lt;-2),"",#REF!),"")</f>
        <v/>
      </c>
      <c r="Q1120" t="str">
        <f>IFERROR(IF(OR(HLOOKUP($A1120,#REF!,15,FALSE)&gt;2,HLOOKUP($A1120,#REF!,15,FALSE)&lt;-2),"",#REF!),"")</f>
        <v/>
      </c>
      <c r="R1120" t="str">
        <f>IFERROR(IF(OR(HLOOKUP($A1120,#REF!,16,FALSE)&gt;2,HLOOKUP($A1120,#REF!,16,FALSE)&lt;-2),"",#REF!),"")</f>
        <v/>
      </c>
      <c r="S1120" t="str">
        <f>IFERROR(IF(OR(HLOOKUP($A1120,#REF!,17,FALSE)&gt;2,HLOOKUP($A1120,#REF!,17,FALSE)&lt;-2),"",#REF!),"")</f>
        <v/>
      </c>
      <c r="T1120" t="str">
        <f>IFERROR(IF(OR(HLOOKUP($A1120,#REF!,18,FALSE)&gt;2,HLOOKUP($A1120,#REF!,18,FALSE)&lt;-2),"",#REF!),"")</f>
        <v/>
      </c>
      <c r="U1120" t="str">
        <f>IFERROR(IF(OR(HLOOKUP($A1120,#REF!,19,FALSE)&gt;2,HLOOKUP($A1120,#REF!,19,FALSE)&lt;-2),"",#REF!),"")</f>
        <v/>
      </c>
      <c r="V1120">
        <f t="shared" si="68"/>
        <v>1</v>
      </c>
      <c r="W1120" t="str">
        <f t="shared" si="69"/>
        <v/>
      </c>
      <c r="X1120" t="str">
        <f t="shared" si="70"/>
        <v/>
      </c>
      <c r="Y1120" t="str">
        <f t="shared" si="71"/>
        <v/>
      </c>
    </row>
    <row r="1121" spans="1:25" x14ac:dyDescent="0.35">
      <c r="A1121">
        <v>1133</v>
      </c>
      <c r="B1121" t="s">
        <v>1165</v>
      </c>
      <c r="C1121">
        <v>44200</v>
      </c>
      <c r="D1121">
        <v>934</v>
      </c>
      <c r="E1121" t="str">
        <f>IFERROR(IF(OR(HLOOKUP($A1121,#REF!,3,FALSE)&gt;2,HLOOKUP(A1121,#REF!,3,FALSE)&lt;-2),"",#REF!),"")</f>
        <v/>
      </c>
      <c r="F1121" t="str">
        <f>IFERROR(IF(OR(HLOOKUP($A1121,#REF!,4,FALSE)&gt;2,HLOOKUP($A1121,#REF!,4,FALSE)&lt;-2),"",#REF!),"")</f>
        <v/>
      </c>
      <c r="G1121" t="str">
        <f>IFERROR(IF(OR(HLOOKUP($A1121,#REF!,5,FALSE)&gt;2,HLOOKUP($A1121,#REF!,5,FALSE)&lt;-2),"",#REF!),"")</f>
        <v/>
      </c>
      <c r="H1121" t="str">
        <f>IFERROR(IF(OR(HLOOKUP($A1121,#REF!,6,FALSE)&gt;2,HLOOKUP($A1121,#REF!,6,FALSE)&lt;-2),"",#REF!),"")</f>
        <v/>
      </c>
      <c r="I1121" t="str">
        <f>IFERROR(IF(OR(HLOOKUP($A1121,#REF!,7,FALSE)&gt;2,HLOOKUP($A1121,#REF!,7,FALSE)&lt;-2),"",#REF!),"")</f>
        <v/>
      </c>
      <c r="J1121" t="str">
        <f>IFERROR(IF(OR(HLOOKUP($A1121,#REF!,8,FALSE)&gt;2,HLOOKUP($A1121,#REF!,8,FALSE)&lt;-2),"",#REF!),"")</f>
        <v/>
      </c>
      <c r="K1121" t="str">
        <f>IFERROR(IF(OR(HLOOKUP($A1121,#REF!,9,FALSE)&gt;2,HLOOKUP($A1121,#REF!,9,FALSE)&lt;-2),"",#REF!),"")</f>
        <v/>
      </c>
      <c r="L1121" t="str">
        <f>IFERROR(IF(OR(HLOOKUP($A1121,#REF!,10,FALSE)&gt;2,HLOOKUP($A1121,#REF!,10,FALSE)&lt;-2),"",#REF!),"")</f>
        <v/>
      </c>
      <c r="M1121" t="str">
        <f>IFERROR(IF(OR(HLOOKUP($A1121,#REF!,11,FALSE)&gt;2,HLOOKUP($A1121,#REF!,11,FALSE)&lt;-2),"",#REF!),"")</f>
        <v/>
      </c>
      <c r="N1121" t="str">
        <f>IFERROR(IF(OR(HLOOKUP($A1121,#REF!,12,FALSE)&gt;2,HLOOKUP($A1121,#REF!,12,FALSE)&lt;-2),"",#REF!),"")</f>
        <v/>
      </c>
      <c r="O1121" t="str">
        <f>IFERROR(IF(OR(HLOOKUP($A1121,#REF!,13,FALSE)&gt;2,HLOOKUP($A1121,#REF!,13,FALSE)&lt;-2),"",#REF!),"")</f>
        <v/>
      </c>
      <c r="P1121" t="str">
        <f>IFERROR(IF(OR(HLOOKUP($A1121,#REF!,14,FALSE)&gt;2,HLOOKUP($A1121,#REF!,14,FALSE)&lt;-2),"",#REF!),"")</f>
        <v/>
      </c>
      <c r="Q1121" t="str">
        <f>IFERROR(IF(OR(HLOOKUP($A1121,#REF!,15,FALSE)&gt;2,HLOOKUP($A1121,#REF!,15,FALSE)&lt;-2),"",#REF!),"")</f>
        <v/>
      </c>
      <c r="R1121" t="str">
        <f>IFERROR(IF(OR(HLOOKUP($A1121,#REF!,16,FALSE)&gt;2,HLOOKUP($A1121,#REF!,16,FALSE)&lt;-2),"",#REF!),"")</f>
        <v/>
      </c>
      <c r="S1121" t="str">
        <f>IFERROR(IF(OR(HLOOKUP($A1121,#REF!,17,FALSE)&gt;2,HLOOKUP($A1121,#REF!,17,FALSE)&lt;-2),"",#REF!),"")</f>
        <v/>
      </c>
      <c r="T1121" t="str">
        <f>IFERROR(IF(OR(HLOOKUP($A1121,#REF!,18,FALSE)&gt;2,HLOOKUP($A1121,#REF!,18,FALSE)&lt;-2),"",#REF!),"")</f>
        <v/>
      </c>
      <c r="U1121" t="str">
        <f>IFERROR(IF(OR(HLOOKUP($A1121,#REF!,19,FALSE)&gt;2,HLOOKUP($A1121,#REF!,19,FALSE)&lt;-2),"",#REF!),"")</f>
        <v/>
      </c>
      <c r="V1121">
        <f t="shared" si="68"/>
        <v>1</v>
      </c>
      <c r="W1121" t="str">
        <f t="shared" si="69"/>
        <v/>
      </c>
      <c r="X1121" t="str">
        <f t="shared" si="70"/>
        <v/>
      </c>
      <c r="Y1121" t="str">
        <f t="shared" si="71"/>
        <v/>
      </c>
    </row>
    <row r="1122" spans="1:25" x14ac:dyDescent="0.35">
      <c r="A1122">
        <v>1139</v>
      </c>
      <c r="B1122" t="s">
        <v>559</v>
      </c>
      <c r="C1122">
        <v>34500</v>
      </c>
      <c r="D1122">
        <v>619</v>
      </c>
      <c r="E1122" t="str">
        <f>IFERROR(IF(OR(HLOOKUP($A1122,#REF!,3,FALSE)&gt;2,HLOOKUP(A1122,#REF!,3,FALSE)&lt;-2),"",#REF!),"")</f>
        <v/>
      </c>
      <c r="F1122" t="str">
        <f>IFERROR(IF(OR(HLOOKUP($A1122,#REF!,4,FALSE)&gt;2,HLOOKUP($A1122,#REF!,4,FALSE)&lt;-2),"",#REF!),"")</f>
        <v/>
      </c>
      <c r="G1122" t="str">
        <f>IFERROR(IF(OR(HLOOKUP($A1122,#REF!,5,FALSE)&gt;2,HLOOKUP($A1122,#REF!,5,FALSE)&lt;-2),"",#REF!),"")</f>
        <v/>
      </c>
      <c r="H1122" t="str">
        <f>IFERROR(IF(OR(HLOOKUP($A1122,#REF!,6,FALSE)&gt;2,HLOOKUP($A1122,#REF!,6,FALSE)&lt;-2),"",#REF!),"")</f>
        <v/>
      </c>
      <c r="I1122" t="str">
        <f>IFERROR(IF(OR(HLOOKUP($A1122,#REF!,7,FALSE)&gt;2,HLOOKUP($A1122,#REF!,7,FALSE)&lt;-2),"",#REF!),"")</f>
        <v/>
      </c>
      <c r="J1122" t="str">
        <f>IFERROR(IF(OR(HLOOKUP($A1122,#REF!,8,FALSE)&gt;2,HLOOKUP($A1122,#REF!,8,FALSE)&lt;-2),"",#REF!),"")</f>
        <v/>
      </c>
      <c r="K1122" t="str">
        <f>IFERROR(IF(OR(HLOOKUP($A1122,#REF!,9,FALSE)&gt;2,HLOOKUP($A1122,#REF!,9,FALSE)&lt;-2),"",#REF!),"")</f>
        <v/>
      </c>
      <c r="L1122" t="str">
        <f>IFERROR(IF(OR(HLOOKUP($A1122,#REF!,10,FALSE)&gt;2,HLOOKUP($A1122,#REF!,10,FALSE)&lt;-2),"",#REF!),"")</f>
        <v/>
      </c>
      <c r="M1122" t="str">
        <f>IFERROR(IF(OR(HLOOKUP($A1122,#REF!,11,FALSE)&gt;2,HLOOKUP($A1122,#REF!,11,FALSE)&lt;-2),"",#REF!),"")</f>
        <v/>
      </c>
      <c r="N1122" t="str">
        <f>IFERROR(IF(OR(HLOOKUP($A1122,#REF!,12,FALSE)&gt;2,HLOOKUP($A1122,#REF!,12,FALSE)&lt;-2),"",#REF!),"")</f>
        <v/>
      </c>
      <c r="O1122" t="str">
        <f>IFERROR(IF(OR(HLOOKUP($A1122,#REF!,13,FALSE)&gt;2,HLOOKUP($A1122,#REF!,13,FALSE)&lt;-2),"",#REF!),"")</f>
        <v/>
      </c>
      <c r="P1122" t="str">
        <f>IFERROR(IF(OR(HLOOKUP($A1122,#REF!,14,FALSE)&gt;2,HLOOKUP($A1122,#REF!,14,FALSE)&lt;-2),"",#REF!),"")</f>
        <v/>
      </c>
      <c r="Q1122" t="str">
        <f>IFERROR(IF(OR(HLOOKUP($A1122,#REF!,15,FALSE)&gt;2,HLOOKUP($A1122,#REF!,15,FALSE)&lt;-2),"",#REF!),"")</f>
        <v/>
      </c>
      <c r="R1122" t="str">
        <f>IFERROR(IF(OR(HLOOKUP($A1122,#REF!,16,FALSE)&gt;2,HLOOKUP($A1122,#REF!,16,FALSE)&lt;-2),"",#REF!),"")</f>
        <v/>
      </c>
      <c r="S1122" t="str">
        <f>IFERROR(IF(OR(HLOOKUP($A1122,#REF!,17,FALSE)&gt;2,HLOOKUP($A1122,#REF!,17,FALSE)&lt;-2),"",#REF!),"")</f>
        <v/>
      </c>
      <c r="T1122" t="str">
        <f>IFERROR(IF(OR(HLOOKUP($A1122,#REF!,18,FALSE)&gt;2,HLOOKUP($A1122,#REF!,18,FALSE)&lt;-2),"",#REF!),"")</f>
        <v/>
      </c>
      <c r="U1122" t="str">
        <f>IFERROR(IF(OR(HLOOKUP($A1122,#REF!,19,FALSE)&gt;2,HLOOKUP($A1122,#REF!,19,FALSE)&lt;-2),"",#REF!),"")</f>
        <v/>
      </c>
      <c r="V1122">
        <f t="shared" si="68"/>
        <v>1</v>
      </c>
      <c r="W1122" t="str">
        <f t="shared" si="69"/>
        <v/>
      </c>
      <c r="X1122" t="str">
        <f t="shared" si="70"/>
        <v/>
      </c>
      <c r="Y1122" t="str">
        <f t="shared" si="71"/>
        <v/>
      </c>
    </row>
    <row r="1123" spans="1:25" x14ac:dyDescent="0.35">
      <c r="A1123">
        <v>1140</v>
      </c>
      <c r="B1123" t="s">
        <v>1166</v>
      </c>
      <c r="C1123">
        <v>37100</v>
      </c>
      <c r="D1123">
        <v>566</v>
      </c>
      <c r="E1123" t="str">
        <f>IFERROR(IF(OR(HLOOKUP($A1123,#REF!,3,FALSE)&gt;2,HLOOKUP(A1123,#REF!,3,FALSE)&lt;-2),"",#REF!),"")</f>
        <v/>
      </c>
      <c r="F1123" t="str">
        <f>IFERROR(IF(OR(HLOOKUP($A1123,#REF!,4,FALSE)&gt;2,HLOOKUP($A1123,#REF!,4,FALSE)&lt;-2),"",#REF!),"")</f>
        <v/>
      </c>
      <c r="G1123" t="str">
        <f>IFERROR(IF(OR(HLOOKUP($A1123,#REF!,5,FALSE)&gt;2,HLOOKUP($A1123,#REF!,5,FALSE)&lt;-2),"",#REF!),"")</f>
        <v/>
      </c>
      <c r="H1123" t="str">
        <f>IFERROR(IF(OR(HLOOKUP($A1123,#REF!,6,FALSE)&gt;2,HLOOKUP($A1123,#REF!,6,FALSE)&lt;-2),"",#REF!),"")</f>
        <v/>
      </c>
      <c r="I1123" t="str">
        <f>IFERROR(IF(OR(HLOOKUP($A1123,#REF!,7,FALSE)&gt;2,HLOOKUP($A1123,#REF!,7,FALSE)&lt;-2),"",#REF!),"")</f>
        <v/>
      </c>
      <c r="J1123" t="str">
        <f>IFERROR(IF(OR(HLOOKUP($A1123,#REF!,8,FALSE)&gt;2,HLOOKUP($A1123,#REF!,8,FALSE)&lt;-2),"",#REF!),"")</f>
        <v/>
      </c>
      <c r="K1123" t="str">
        <f>IFERROR(IF(OR(HLOOKUP($A1123,#REF!,9,FALSE)&gt;2,HLOOKUP($A1123,#REF!,9,FALSE)&lt;-2),"",#REF!),"")</f>
        <v/>
      </c>
      <c r="L1123" t="str">
        <f>IFERROR(IF(OR(HLOOKUP($A1123,#REF!,10,FALSE)&gt;2,HLOOKUP($A1123,#REF!,10,FALSE)&lt;-2),"",#REF!),"")</f>
        <v/>
      </c>
      <c r="M1123" t="str">
        <f>IFERROR(IF(OR(HLOOKUP($A1123,#REF!,11,FALSE)&gt;2,HLOOKUP($A1123,#REF!,11,FALSE)&lt;-2),"",#REF!),"")</f>
        <v/>
      </c>
      <c r="N1123" t="str">
        <f>IFERROR(IF(OR(HLOOKUP($A1123,#REF!,12,FALSE)&gt;2,HLOOKUP($A1123,#REF!,12,FALSE)&lt;-2),"",#REF!),"")</f>
        <v/>
      </c>
      <c r="O1123" t="str">
        <f>IFERROR(IF(OR(HLOOKUP($A1123,#REF!,13,FALSE)&gt;2,HLOOKUP($A1123,#REF!,13,FALSE)&lt;-2),"",#REF!),"")</f>
        <v/>
      </c>
      <c r="P1123" t="str">
        <f>IFERROR(IF(OR(HLOOKUP($A1123,#REF!,14,FALSE)&gt;2,HLOOKUP($A1123,#REF!,14,FALSE)&lt;-2),"",#REF!),"")</f>
        <v/>
      </c>
      <c r="Q1123" t="str">
        <f>IFERROR(IF(OR(HLOOKUP($A1123,#REF!,15,FALSE)&gt;2,HLOOKUP($A1123,#REF!,15,FALSE)&lt;-2),"",#REF!),"")</f>
        <v/>
      </c>
      <c r="R1123" t="str">
        <f>IFERROR(IF(OR(HLOOKUP($A1123,#REF!,16,FALSE)&gt;2,HLOOKUP($A1123,#REF!,16,FALSE)&lt;-2),"",#REF!),"")</f>
        <v/>
      </c>
      <c r="S1123" t="str">
        <f>IFERROR(IF(OR(HLOOKUP($A1123,#REF!,17,FALSE)&gt;2,HLOOKUP($A1123,#REF!,17,FALSE)&lt;-2),"",#REF!),"")</f>
        <v/>
      </c>
      <c r="T1123" t="str">
        <f>IFERROR(IF(OR(HLOOKUP($A1123,#REF!,18,FALSE)&gt;2,HLOOKUP($A1123,#REF!,18,FALSE)&lt;-2),"",#REF!),"")</f>
        <v/>
      </c>
      <c r="U1123" t="str">
        <f>IFERROR(IF(OR(HLOOKUP($A1123,#REF!,19,FALSE)&gt;2,HLOOKUP($A1123,#REF!,19,FALSE)&lt;-2),"",#REF!),"")</f>
        <v/>
      </c>
      <c r="V1123">
        <f t="shared" si="68"/>
        <v>1</v>
      </c>
      <c r="W1123" t="str">
        <f t="shared" si="69"/>
        <v/>
      </c>
      <c r="X1123" t="str">
        <f t="shared" si="70"/>
        <v/>
      </c>
      <c r="Y1123" t="str">
        <f t="shared" si="71"/>
        <v/>
      </c>
    </row>
    <row r="1124" spans="1:25" x14ac:dyDescent="0.35">
      <c r="A1124">
        <v>1141</v>
      </c>
      <c r="B1124" t="s">
        <v>1167</v>
      </c>
      <c r="C1124">
        <v>37200</v>
      </c>
      <c r="D1124">
        <v>566</v>
      </c>
      <c r="E1124" t="str">
        <f>IFERROR(IF(OR(HLOOKUP($A1124,#REF!,3,FALSE)&gt;2,HLOOKUP(A1124,#REF!,3,FALSE)&lt;-2),"",#REF!),"")</f>
        <v/>
      </c>
      <c r="F1124" t="str">
        <f>IFERROR(IF(OR(HLOOKUP($A1124,#REF!,4,FALSE)&gt;2,HLOOKUP($A1124,#REF!,4,FALSE)&lt;-2),"",#REF!),"")</f>
        <v/>
      </c>
      <c r="G1124" t="str">
        <f>IFERROR(IF(OR(HLOOKUP($A1124,#REF!,5,FALSE)&gt;2,HLOOKUP($A1124,#REF!,5,FALSE)&lt;-2),"",#REF!),"")</f>
        <v/>
      </c>
      <c r="H1124" t="str">
        <f>IFERROR(IF(OR(HLOOKUP($A1124,#REF!,6,FALSE)&gt;2,HLOOKUP($A1124,#REF!,6,FALSE)&lt;-2),"",#REF!),"")</f>
        <v/>
      </c>
      <c r="I1124" t="str">
        <f>IFERROR(IF(OR(HLOOKUP($A1124,#REF!,7,FALSE)&gt;2,HLOOKUP($A1124,#REF!,7,FALSE)&lt;-2),"",#REF!),"")</f>
        <v/>
      </c>
      <c r="J1124" t="str">
        <f>IFERROR(IF(OR(HLOOKUP($A1124,#REF!,8,FALSE)&gt;2,HLOOKUP($A1124,#REF!,8,FALSE)&lt;-2),"",#REF!),"")</f>
        <v/>
      </c>
      <c r="K1124" t="str">
        <f>IFERROR(IF(OR(HLOOKUP($A1124,#REF!,9,FALSE)&gt;2,HLOOKUP($A1124,#REF!,9,FALSE)&lt;-2),"",#REF!),"")</f>
        <v/>
      </c>
      <c r="L1124" t="str">
        <f>IFERROR(IF(OR(HLOOKUP($A1124,#REF!,10,FALSE)&gt;2,HLOOKUP($A1124,#REF!,10,FALSE)&lt;-2),"",#REF!),"")</f>
        <v/>
      </c>
      <c r="M1124" t="str">
        <f>IFERROR(IF(OR(HLOOKUP($A1124,#REF!,11,FALSE)&gt;2,HLOOKUP($A1124,#REF!,11,FALSE)&lt;-2),"",#REF!),"")</f>
        <v/>
      </c>
      <c r="N1124" t="str">
        <f>IFERROR(IF(OR(HLOOKUP($A1124,#REF!,12,FALSE)&gt;2,HLOOKUP($A1124,#REF!,12,FALSE)&lt;-2),"",#REF!),"")</f>
        <v/>
      </c>
      <c r="O1124" t="str">
        <f>IFERROR(IF(OR(HLOOKUP($A1124,#REF!,13,FALSE)&gt;2,HLOOKUP($A1124,#REF!,13,FALSE)&lt;-2),"",#REF!),"")</f>
        <v/>
      </c>
      <c r="P1124" t="str">
        <f>IFERROR(IF(OR(HLOOKUP($A1124,#REF!,14,FALSE)&gt;2,HLOOKUP($A1124,#REF!,14,FALSE)&lt;-2),"",#REF!),"")</f>
        <v/>
      </c>
      <c r="Q1124" t="str">
        <f>IFERROR(IF(OR(HLOOKUP($A1124,#REF!,15,FALSE)&gt;2,HLOOKUP($A1124,#REF!,15,FALSE)&lt;-2),"",#REF!),"")</f>
        <v/>
      </c>
      <c r="R1124" t="str">
        <f>IFERROR(IF(OR(HLOOKUP($A1124,#REF!,16,FALSE)&gt;2,HLOOKUP($A1124,#REF!,16,FALSE)&lt;-2),"",#REF!),"")</f>
        <v/>
      </c>
      <c r="S1124" t="str">
        <f>IFERROR(IF(OR(HLOOKUP($A1124,#REF!,17,FALSE)&gt;2,HLOOKUP($A1124,#REF!,17,FALSE)&lt;-2),"",#REF!),"")</f>
        <v/>
      </c>
      <c r="T1124" t="str">
        <f>IFERROR(IF(OR(HLOOKUP($A1124,#REF!,18,FALSE)&gt;2,HLOOKUP($A1124,#REF!,18,FALSE)&lt;-2),"",#REF!),"")</f>
        <v/>
      </c>
      <c r="U1124" t="str">
        <f>IFERROR(IF(OR(HLOOKUP($A1124,#REF!,19,FALSE)&gt;2,HLOOKUP($A1124,#REF!,19,FALSE)&lt;-2),"",#REF!),"")</f>
        <v/>
      </c>
      <c r="V1124">
        <f t="shared" si="68"/>
        <v>1</v>
      </c>
      <c r="W1124" t="str">
        <f t="shared" si="69"/>
        <v/>
      </c>
      <c r="X1124" t="str">
        <f t="shared" si="70"/>
        <v/>
      </c>
      <c r="Y1124" t="str">
        <f t="shared" si="71"/>
        <v/>
      </c>
    </row>
    <row r="1125" spans="1:25" x14ac:dyDescent="0.35">
      <c r="A1125">
        <v>1142</v>
      </c>
      <c r="B1125" t="s">
        <v>1168</v>
      </c>
      <c r="C1125">
        <v>37300</v>
      </c>
      <c r="D1125">
        <v>566</v>
      </c>
      <c r="E1125" t="str">
        <f>IFERROR(IF(OR(HLOOKUP($A1125,#REF!,3,FALSE)&gt;2,HLOOKUP(A1125,#REF!,3,FALSE)&lt;-2),"",#REF!),"")</f>
        <v/>
      </c>
      <c r="F1125" t="str">
        <f>IFERROR(IF(OR(HLOOKUP($A1125,#REF!,4,FALSE)&gt;2,HLOOKUP($A1125,#REF!,4,FALSE)&lt;-2),"",#REF!),"")</f>
        <v/>
      </c>
      <c r="G1125" t="str">
        <f>IFERROR(IF(OR(HLOOKUP($A1125,#REF!,5,FALSE)&gt;2,HLOOKUP($A1125,#REF!,5,FALSE)&lt;-2),"",#REF!),"")</f>
        <v/>
      </c>
      <c r="H1125" t="str">
        <f>IFERROR(IF(OR(HLOOKUP($A1125,#REF!,6,FALSE)&gt;2,HLOOKUP($A1125,#REF!,6,FALSE)&lt;-2),"",#REF!),"")</f>
        <v/>
      </c>
      <c r="I1125" t="str">
        <f>IFERROR(IF(OR(HLOOKUP($A1125,#REF!,7,FALSE)&gt;2,HLOOKUP($A1125,#REF!,7,FALSE)&lt;-2),"",#REF!),"")</f>
        <v/>
      </c>
      <c r="J1125" t="str">
        <f>IFERROR(IF(OR(HLOOKUP($A1125,#REF!,8,FALSE)&gt;2,HLOOKUP($A1125,#REF!,8,FALSE)&lt;-2),"",#REF!),"")</f>
        <v/>
      </c>
      <c r="K1125" t="str">
        <f>IFERROR(IF(OR(HLOOKUP($A1125,#REF!,9,FALSE)&gt;2,HLOOKUP($A1125,#REF!,9,FALSE)&lt;-2),"",#REF!),"")</f>
        <v/>
      </c>
      <c r="L1125" t="str">
        <f>IFERROR(IF(OR(HLOOKUP($A1125,#REF!,10,FALSE)&gt;2,HLOOKUP($A1125,#REF!,10,FALSE)&lt;-2),"",#REF!),"")</f>
        <v/>
      </c>
      <c r="M1125" t="str">
        <f>IFERROR(IF(OR(HLOOKUP($A1125,#REF!,11,FALSE)&gt;2,HLOOKUP($A1125,#REF!,11,FALSE)&lt;-2),"",#REF!),"")</f>
        <v/>
      </c>
      <c r="N1125" t="str">
        <f>IFERROR(IF(OR(HLOOKUP($A1125,#REF!,12,FALSE)&gt;2,HLOOKUP($A1125,#REF!,12,FALSE)&lt;-2),"",#REF!),"")</f>
        <v/>
      </c>
      <c r="O1125" t="str">
        <f>IFERROR(IF(OR(HLOOKUP($A1125,#REF!,13,FALSE)&gt;2,HLOOKUP($A1125,#REF!,13,FALSE)&lt;-2),"",#REF!),"")</f>
        <v/>
      </c>
      <c r="P1125" t="str">
        <f>IFERROR(IF(OR(HLOOKUP($A1125,#REF!,14,FALSE)&gt;2,HLOOKUP($A1125,#REF!,14,FALSE)&lt;-2),"",#REF!),"")</f>
        <v/>
      </c>
      <c r="Q1125" t="str">
        <f>IFERROR(IF(OR(HLOOKUP($A1125,#REF!,15,FALSE)&gt;2,HLOOKUP($A1125,#REF!,15,FALSE)&lt;-2),"",#REF!),"")</f>
        <v/>
      </c>
      <c r="R1125" t="str">
        <f>IFERROR(IF(OR(HLOOKUP($A1125,#REF!,16,FALSE)&gt;2,HLOOKUP($A1125,#REF!,16,FALSE)&lt;-2),"",#REF!),"")</f>
        <v/>
      </c>
      <c r="S1125" t="str">
        <f>IFERROR(IF(OR(HLOOKUP($A1125,#REF!,17,FALSE)&gt;2,HLOOKUP($A1125,#REF!,17,FALSE)&lt;-2),"",#REF!),"")</f>
        <v/>
      </c>
      <c r="T1125" t="str">
        <f>IFERROR(IF(OR(HLOOKUP($A1125,#REF!,18,FALSE)&gt;2,HLOOKUP($A1125,#REF!,18,FALSE)&lt;-2),"",#REF!),"")</f>
        <v/>
      </c>
      <c r="U1125" t="str">
        <f>IFERROR(IF(OR(HLOOKUP($A1125,#REF!,19,FALSE)&gt;2,HLOOKUP($A1125,#REF!,19,FALSE)&lt;-2),"",#REF!),"")</f>
        <v/>
      </c>
      <c r="V1125">
        <f t="shared" si="68"/>
        <v>1</v>
      </c>
      <c r="W1125" t="str">
        <f t="shared" si="69"/>
        <v/>
      </c>
      <c r="X1125" t="str">
        <f t="shared" si="70"/>
        <v/>
      </c>
      <c r="Y1125" t="str">
        <f t="shared" si="71"/>
        <v/>
      </c>
    </row>
    <row r="1126" spans="1:25" x14ac:dyDescent="0.35">
      <c r="A1126">
        <v>1143</v>
      </c>
      <c r="B1126" t="s">
        <v>1169</v>
      </c>
      <c r="C1126">
        <v>62800</v>
      </c>
      <c r="D1126">
        <v>528</v>
      </c>
      <c r="E1126" t="str">
        <f>IFERROR(IF(OR(HLOOKUP($A1126,#REF!,3,FALSE)&gt;2,HLOOKUP(A1126,#REF!,3,FALSE)&lt;-2),"",#REF!),"")</f>
        <v/>
      </c>
      <c r="F1126" t="str">
        <f>IFERROR(IF(OR(HLOOKUP($A1126,#REF!,4,FALSE)&gt;2,HLOOKUP($A1126,#REF!,4,FALSE)&lt;-2),"",#REF!),"")</f>
        <v/>
      </c>
      <c r="G1126" t="str">
        <f>IFERROR(IF(OR(HLOOKUP($A1126,#REF!,5,FALSE)&gt;2,HLOOKUP($A1126,#REF!,5,FALSE)&lt;-2),"",#REF!),"")</f>
        <v/>
      </c>
      <c r="H1126" t="str">
        <f>IFERROR(IF(OR(HLOOKUP($A1126,#REF!,6,FALSE)&gt;2,HLOOKUP($A1126,#REF!,6,FALSE)&lt;-2),"",#REF!),"")</f>
        <v/>
      </c>
      <c r="I1126" t="str">
        <f>IFERROR(IF(OR(HLOOKUP($A1126,#REF!,7,FALSE)&gt;2,HLOOKUP($A1126,#REF!,7,FALSE)&lt;-2),"",#REF!),"")</f>
        <v/>
      </c>
      <c r="J1126" t="str">
        <f>IFERROR(IF(OR(HLOOKUP($A1126,#REF!,8,FALSE)&gt;2,HLOOKUP($A1126,#REF!,8,FALSE)&lt;-2),"",#REF!),"")</f>
        <v/>
      </c>
      <c r="K1126" t="str">
        <f>IFERROR(IF(OR(HLOOKUP($A1126,#REF!,9,FALSE)&gt;2,HLOOKUP($A1126,#REF!,9,FALSE)&lt;-2),"",#REF!),"")</f>
        <v/>
      </c>
      <c r="L1126" t="str">
        <f>IFERROR(IF(OR(HLOOKUP($A1126,#REF!,10,FALSE)&gt;2,HLOOKUP($A1126,#REF!,10,FALSE)&lt;-2),"",#REF!),"")</f>
        <v/>
      </c>
      <c r="M1126" t="str">
        <f>IFERROR(IF(OR(HLOOKUP($A1126,#REF!,11,FALSE)&gt;2,HLOOKUP($A1126,#REF!,11,FALSE)&lt;-2),"",#REF!),"")</f>
        <v/>
      </c>
      <c r="N1126" t="str">
        <f>IFERROR(IF(OR(HLOOKUP($A1126,#REF!,12,FALSE)&gt;2,HLOOKUP($A1126,#REF!,12,FALSE)&lt;-2),"",#REF!),"")</f>
        <v/>
      </c>
      <c r="O1126" t="str">
        <f>IFERROR(IF(OR(HLOOKUP($A1126,#REF!,13,FALSE)&gt;2,HLOOKUP($A1126,#REF!,13,FALSE)&lt;-2),"",#REF!),"")</f>
        <v/>
      </c>
      <c r="P1126" t="str">
        <f>IFERROR(IF(OR(HLOOKUP($A1126,#REF!,14,FALSE)&gt;2,HLOOKUP($A1126,#REF!,14,FALSE)&lt;-2),"",#REF!),"")</f>
        <v/>
      </c>
      <c r="Q1126" t="str">
        <f>IFERROR(IF(OR(HLOOKUP($A1126,#REF!,15,FALSE)&gt;2,HLOOKUP($A1126,#REF!,15,FALSE)&lt;-2),"",#REF!),"")</f>
        <v/>
      </c>
      <c r="R1126" t="str">
        <f>IFERROR(IF(OR(HLOOKUP($A1126,#REF!,16,FALSE)&gt;2,HLOOKUP($A1126,#REF!,16,FALSE)&lt;-2),"",#REF!),"")</f>
        <v/>
      </c>
      <c r="S1126" t="str">
        <f>IFERROR(IF(OR(HLOOKUP($A1126,#REF!,17,FALSE)&gt;2,HLOOKUP($A1126,#REF!,17,FALSE)&lt;-2),"",#REF!),"")</f>
        <v/>
      </c>
      <c r="T1126" t="str">
        <f>IFERROR(IF(OR(HLOOKUP($A1126,#REF!,18,FALSE)&gt;2,HLOOKUP($A1126,#REF!,18,FALSE)&lt;-2),"",#REF!),"")</f>
        <v/>
      </c>
      <c r="U1126" t="str">
        <f>IFERROR(IF(OR(HLOOKUP($A1126,#REF!,19,FALSE)&gt;2,HLOOKUP($A1126,#REF!,19,FALSE)&lt;-2),"",#REF!),"")</f>
        <v/>
      </c>
      <c r="V1126">
        <f t="shared" si="68"/>
        <v>1</v>
      </c>
      <c r="W1126" t="str">
        <f t="shared" si="69"/>
        <v/>
      </c>
      <c r="X1126" t="str">
        <f t="shared" si="70"/>
        <v/>
      </c>
      <c r="Y1126" t="str">
        <f t="shared" si="71"/>
        <v/>
      </c>
    </row>
    <row r="1127" spans="1:25" x14ac:dyDescent="0.35">
      <c r="A1127">
        <v>1144</v>
      </c>
      <c r="B1127" t="s">
        <v>1170</v>
      </c>
      <c r="C1127">
        <v>62600</v>
      </c>
      <c r="D1127">
        <v>528</v>
      </c>
      <c r="E1127" t="str">
        <f>IFERROR(IF(OR(HLOOKUP($A1127,#REF!,3,FALSE)&gt;2,HLOOKUP(A1127,#REF!,3,FALSE)&lt;-2),"",#REF!),"")</f>
        <v/>
      </c>
      <c r="F1127" t="str">
        <f>IFERROR(IF(OR(HLOOKUP($A1127,#REF!,4,FALSE)&gt;2,HLOOKUP($A1127,#REF!,4,FALSE)&lt;-2),"",#REF!),"")</f>
        <v/>
      </c>
      <c r="G1127" t="str">
        <f>IFERROR(IF(OR(HLOOKUP($A1127,#REF!,5,FALSE)&gt;2,HLOOKUP($A1127,#REF!,5,FALSE)&lt;-2),"",#REF!),"")</f>
        <v/>
      </c>
      <c r="H1127" t="str">
        <f>IFERROR(IF(OR(HLOOKUP($A1127,#REF!,6,FALSE)&gt;2,HLOOKUP($A1127,#REF!,6,FALSE)&lt;-2),"",#REF!),"")</f>
        <v/>
      </c>
      <c r="I1127" t="str">
        <f>IFERROR(IF(OR(HLOOKUP($A1127,#REF!,7,FALSE)&gt;2,HLOOKUP($A1127,#REF!,7,FALSE)&lt;-2),"",#REF!),"")</f>
        <v/>
      </c>
      <c r="J1127" t="str">
        <f>IFERROR(IF(OR(HLOOKUP($A1127,#REF!,8,FALSE)&gt;2,HLOOKUP($A1127,#REF!,8,FALSE)&lt;-2),"",#REF!),"")</f>
        <v/>
      </c>
      <c r="K1127" t="str">
        <f>IFERROR(IF(OR(HLOOKUP($A1127,#REF!,9,FALSE)&gt;2,HLOOKUP($A1127,#REF!,9,FALSE)&lt;-2),"",#REF!),"")</f>
        <v/>
      </c>
      <c r="L1127" t="str">
        <f>IFERROR(IF(OR(HLOOKUP($A1127,#REF!,10,FALSE)&gt;2,HLOOKUP($A1127,#REF!,10,FALSE)&lt;-2),"",#REF!),"")</f>
        <v/>
      </c>
      <c r="M1127" t="str">
        <f>IFERROR(IF(OR(HLOOKUP($A1127,#REF!,11,FALSE)&gt;2,HLOOKUP($A1127,#REF!,11,FALSE)&lt;-2),"",#REF!),"")</f>
        <v/>
      </c>
      <c r="N1127" t="str">
        <f>IFERROR(IF(OR(HLOOKUP($A1127,#REF!,12,FALSE)&gt;2,HLOOKUP($A1127,#REF!,12,FALSE)&lt;-2),"",#REF!),"")</f>
        <v/>
      </c>
      <c r="O1127" t="str">
        <f>IFERROR(IF(OR(HLOOKUP($A1127,#REF!,13,FALSE)&gt;2,HLOOKUP($A1127,#REF!,13,FALSE)&lt;-2),"",#REF!),"")</f>
        <v/>
      </c>
      <c r="P1127" t="str">
        <f>IFERROR(IF(OR(HLOOKUP($A1127,#REF!,14,FALSE)&gt;2,HLOOKUP($A1127,#REF!,14,FALSE)&lt;-2),"",#REF!),"")</f>
        <v/>
      </c>
      <c r="Q1127" t="str">
        <f>IFERROR(IF(OR(HLOOKUP($A1127,#REF!,15,FALSE)&gt;2,HLOOKUP($A1127,#REF!,15,FALSE)&lt;-2),"",#REF!),"")</f>
        <v/>
      </c>
      <c r="R1127" t="str">
        <f>IFERROR(IF(OR(HLOOKUP($A1127,#REF!,16,FALSE)&gt;2,HLOOKUP($A1127,#REF!,16,FALSE)&lt;-2),"",#REF!),"")</f>
        <v/>
      </c>
      <c r="S1127" t="str">
        <f>IFERROR(IF(OR(HLOOKUP($A1127,#REF!,17,FALSE)&gt;2,HLOOKUP($A1127,#REF!,17,FALSE)&lt;-2),"",#REF!),"")</f>
        <v/>
      </c>
      <c r="T1127" t="str">
        <f>IFERROR(IF(OR(HLOOKUP($A1127,#REF!,18,FALSE)&gt;2,HLOOKUP($A1127,#REF!,18,FALSE)&lt;-2),"",#REF!),"")</f>
        <v/>
      </c>
      <c r="U1127" t="str">
        <f>IFERROR(IF(OR(HLOOKUP($A1127,#REF!,19,FALSE)&gt;2,HLOOKUP($A1127,#REF!,19,FALSE)&lt;-2),"",#REF!),"")</f>
        <v/>
      </c>
      <c r="V1127">
        <f t="shared" si="68"/>
        <v>1</v>
      </c>
      <c r="W1127" t="str">
        <f t="shared" si="69"/>
        <v/>
      </c>
      <c r="X1127" t="str">
        <f t="shared" si="70"/>
        <v/>
      </c>
      <c r="Y1127" t="str">
        <f t="shared" si="71"/>
        <v/>
      </c>
    </row>
    <row r="1128" spans="1:25" x14ac:dyDescent="0.35">
      <c r="A1128">
        <v>1145</v>
      </c>
      <c r="B1128" t="s">
        <v>1171</v>
      </c>
      <c r="C1128">
        <v>62700</v>
      </c>
      <c r="D1128">
        <v>528</v>
      </c>
      <c r="E1128" t="str">
        <f>IFERROR(IF(OR(HLOOKUP($A1128,#REF!,3,FALSE)&gt;2,HLOOKUP(A1128,#REF!,3,FALSE)&lt;-2),"",#REF!),"")</f>
        <v/>
      </c>
      <c r="F1128" t="str">
        <f>IFERROR(IF(OR(HLOOKUP($A1128,#REF!,4,FALSE)&gt;2,HLOOKUP($A1128,#REF!,4,FALSE)&lt;-2),"",#REF!),"")</f>
        <v/>
      </c>
      <c r="G1128" t="str">
        <f>IFERROR(IF(OR(HLOOKUP($A1128,#REF!,5,FALSE)&gt;2,HLOOKUP($A1128,#REF!,5,FALSE)&lt;-2),"",#REF!),"")</f>
        <v/>
      </c>
      <c r="H1128" t="str">
        <f>IFERROR(IF(OR(HLOOKUP($A1128,#REF!,6,FALSE)&gt;2,HLOOKUP($A1128,#REF!,6,FALSE)&lt;-2),"",#REF!),"")</f>
        <v/>
      </c>
      <c r="I1128" t="str">
        <f>IFERROR(IF(OR(HLOOKUP($A1128,#REF!,7,FALSE)&gt;2,HLOOKUP($A1128,#REF!,7,FALSE)&lt;-2),"",#REF!),"")</f>
        <v/>
      </c>
      <c r="J1128" t="str">
        <f>IFERROR(IF(OR(HLOOKUP($A1128,#REF!,8,FALSE)&gt;2,HLOOKUP($A1128,#REF!,8,FALSE)&lt;-2),"",#REF!),"")</f>
        <v/>
      </c>
      <c r="K1128" t="str">
        <f>IFERROR(IF(OR(HLOOKUP($A1128,#REF!,9,FALSE)&gt;2,HLOOKUP($A1128,#REF!,9,FALSE)&lt;-2),"",#REF!),"")</f>
        <v/>
      </c>
      <c r="L1128" t="str">
        <f>IFERROR(IF(OR(HLOOKUP($A1128,#REF!,10,FALSE)&gt;2,HLOOKUP($A1128,#REF!,10,FALSE)&lt;-2),"",#REF!),"")</f>
        <v/>
      </c>
      <c r="M1128" t="str">
        <f>IFERROR(IF(OR(HLOOKUP($A1128,#REF!,11,FALSE)&gt;2,HLOOKUP($A1128,#REF!,11,FALSE)&lt;-2),"",#REF!),"")</f>
        <v/>
      </c>
      <c r="N1128" t="str">
        <f>IFERROR(IF(OR(HLOOKUP($A1128,#REF!,12,FALSE)&gt;2,HLOOKUP($A1128,#REF!,12,FALSE)&lt;-2),"",#REF!),"")</f>
        <v/>
      </c>
      <c r="O1128" t="str">
        <f>IFERROR(IF(OR(HLOOKUP($A1128,#REF!,13,FALSE)&gt;2,HLOOKUP($A1128,#REF!,13,FALSE)&lt;-2),"",#REF!),"")</f>
        <v/>
      </c>
      <c r="P1128" t="str">
        <f>IFERROR(IF(OR(HLOOKUP($A1128,#REF!,14,FALSE)&gt;2,HLOOKUP($A1128,#REF!,14,FALSE)&lt;-2),"",#REF!),"")</f>
        <v/>
      </c>
      <c r="Q1128" t="str">
        <f>IFERROR(IF(OR(HLOOKUP($A1128,#REF!,15,FALSE)&gt;2,HLOOKUP($A1128,#REF!,15,FALSE)&lt;-2),"",#REF!),"")</f>
        <v/>
      </c>
      <c r="R1128" t="str">
        <f>IFERROR(IF(OR(HLOOKUP($A1128,#REF!,16,FALSE)&gt;2,HLOOKUP($A1128,#REF!,16,FALSE)&lt;-2),"",#REF!),"")</f>
        <v/>
      </c>
      <c r="S1128" t="str">
        <f>IFERROR(IF(OR(HLOOKUP($A1128,#REF!,17,FALSE)&gt;2,HLOOKUP($A1128,#REF!,17,FALSE)&lt;-2),"",#REF!),"")</f>
        <v/>
      </c>
      <c r="T1128" t="str">
        <f>IFERROR(IF(OR(HLOOKUP($A1128,#REF!,18,FALSE)&gt;2,HLOOKUP($A1128,#REF!,18,FALSE)&lt;-2),"",#REF!),"")</f>
        <v/>
      </c>
      <c r="U1128" t="str">
        <f>IFERROR(IF(OR(HLOOKUP($A1128,#REF!,19,FALSE)&gt;2,HLOOKUP($A1128,#REF!,19,FALSE)&lt;-2),"",#REF!),"")</f>
        <v/>
      </c>
      <c r="V1128">
        <f t="shared" si="68"/>
        <v>1</v>
      </c>
      <c r="W1128" t="str">
        <f t="shared" si="69"/>
        <v/>
      </c>
      <c r="X1128" t="str">
        <f t="shared" si="70"/>
        <v/>
      </c>
      <c r="Y1128" t="str">
        <f t="shared" si="71"/>
        <v/>
      </c>
    </row>
    <row r="1129" spans="1:25" x14ac:dyDescent="0.35">
      <c r="A1129">
        <v>10671</v>
      </c>
      <c r="B1129" t="s">
        <v>1172</v>
      </c>
      <c r="C1129">
        <v>78400</v>
      </c>
      <c r="D1129">
        <v>1097</v>
      </c>
      <c r="E1129" t="str">
        <f>IFERROR(IF(OR(HLOOKUP($A1129,#REF!,3,FALSE)&gt;2,HLOOKUP(A1129,#REF!,3,FALSE)&lt;-2),"",#REF!),"")</f>
        <v/>
      </c>
      <c r="F1129" t="str">
        <f>IFERROR(IF(OR(HLOOKUP($A1129,#REF!,4,FALSE)&gt;2,HLOOKUP($A1129,#REF!,4,FALSE)&lt;-2),"",#REF!),"")</f>
        <v/>
      </c>
      <c r="G1129" t="str">
        <f>IFERROR(IF(OR(HLOOKUP($A1129,#REF!,5,FALSE)&gt;2,HLOOKUP($A1129,#REF!,5,FALSE)&lt;-2),"",#REF!),"")</f>
        <v/>
      </c>
      <c r="H1129" t="str">
        <f>IFERROR(IF(OR(HLOOKUP($A1129,#REF!,6,FALSE)&gt;2,HLOOKUP($A1129,#REF!,6,FALSE)&lt;-2),"",#REF!),"")</f>
        <v/>
      </c>
      <c r="I1129" t="str">
        <f>IFERROR(IF(OR(HLOOKUP($A1129,#REF!,7,FALSE)&gt;2,HLOOKUP($A1129,#REF!,7,FALSE)&lt;-2),"",#REF!),"")</f>
        <v/>
      </c>
      <c r="J1129" t="str">
        <f>IFERROR(IF(OR(HLOOKUP($A1129,#REF!,8,FALSE)&gt;2,HLOOKUP($A1129,#REF!,8,FALSE)&lt;-2),"",#REF!),"")</f>
        <v/>
      </c>
      <c r="K1129" t="str">
        <f>IFERROR(IF(OR(HLOOKUP($A1129,#REF!,9,FALSE)&gt;2,HLOOKUP($A1129,#REF!,9,FALSE)&lt;-2),"",#REF!),"")</f>
        <v/>
      </c>
      <c r="L1129" t="str">
        <f>IFERROR(IF(OR(HLOOKUP($A1129,#REF!,10,FALSE)&gt;2,HLOOKUP($A1129,#REF!,10,FALSE)&lt;-2),"",#REF!),"")</f>
        <v/>
      </c>
      <c r="M1129" t="str">
        <f>IFERROR(IF(OR(HLOOKUP($A1129,#REF!,11,FALSE)&gt;2,HLOOKUP($A1129,#REF!,11,FALSE)&lt;-2),"",#REF!),"")</f>
        <v/>
      </c>
      <c r="N1129" t="str">
        <f>IFERROR(IF(OR(HLOOKUP($A1129,#REF!,12,FALSE)&gt;2,HLOOKUP($A1129,#REF!,12,FALSE)&lt;-2),"",#REF!),"")</f>
        <v/>
      </c>
      <c r="O1129" t="str">
        <f>IFERROR(IF(OR(HLOOKUP($A1129,#REF!,13,FALSE)&gt;2,HLOOKUP($A1129,#REF!,13,FALSE)&lt;-2),"",#REF!),"")</f>
        <v/>
      </c>
      <c r="P1129" t="str">
        <f>IFERROR(IF(OR(HLOOKUP($A1129,#REF!,14,FALSE)&gt;2,HLOOKUP($A1129,#REF!,14,FALSE)&lt;-2),"",#REF!),"")</f>
        <v/>
      </c>
      <c r="Q1129" t="str">
        <f>IFERROR(IF(OR(HLOOKUP($A1129,#REF!,15,FALSE)&gt;2,HLOOKUP($A1129,#REF!,15,FALSE)&lt;-2),"",#REF!),"")</f>
        <v/>
      </c>
      <c r="R1129" t="str">
        <f>IFERROR(IF(OR(HLOOKUP($A1129,#REF!,16,FALSE)&gt;2,HLOOKUP($A1129,#REF!,16,FALSE)&lt;-2),"",#REF!),"")</f>
        <v/>
      </c>
      <c r="S1129" t="str">
        <f>IFERROR(IF(OR(HLOOKUP($A1129,#REF!,17,FALSE)&gt;2,HLOOKUP($A1129,#REF!,17,FALSE)&lt;-2),"",#REF!),"")</f>
        <v/>
      </c>
      <c r="T1129" t="str">
        <f>IFERROR(IF(OR(HLOOKUP($A1129,#REF!,18,FALSE)&gt;2,HLOOKUP($A1129,#REF!,18,FALSE)&lt;-2),"",#REF!),"")</f>
        <v/>
      </c>
      <c r="U1129" t="str">
        <f>IFERROR(IF(OR(HLOOKUP($A1129,#REF!,19,FALSE)&gt;2,HLOOKUP($A1129,#REF!,19,FALSE)&lt;-2),"",#REF!),"")</f>
        <v/>
      </c>
      <c r="V1129">
        <f t="shared" si="68"/>
        <v>1</v>
      </c>
      <c r="W1129" t="str">
        <f t="shared" si="69"/>
        <v/>
      </c>
      <c r="X1129" t="str">
        <f t="shared" si="70"/>
        <v/>
      </c>
      <c r="Y1129" t="str">
        <f t="shared" si="71"/>
        <v/>
      </c>
    </row>
    <row r="1130" spans="1:25" x14ac:dyDescent="0.35">
      <c r="A1130">
        <v>10672</v>
      </c>
      <c r="B1130" t="s">
        <v>1173</v>
      </c>
      <c r="C1130">
        <v>60000</v>
      </c>
      <c r="D1130">
        <v>1007</v>
      </c>
      <c r="E1130" t="str">
        <f>IFERROR(IF(OR(HLOOKUP($A1130,#REF!,3,FALSE)&gt;2,HLOOKUP(A1130,#REF!,3,FALSE)&lt;-2),"",#REF!),"")</f>
        <v/>
      </c>
      <c r="F1130" t="str">
        <f>IFERROR(IF(OR(HLOOKUP($A1130,#REF!,4,FALSE)&gt;2,HLOOKUP($A1130,#REF!,4,FALSE)&lt;-2),"",#REF!),"")</f>
        <v/>
      </c>
      <c r="G1130" t="str">
        <f>IFERROR(IF(OR(HLOOKUP($A1130,#REF!,5,FALSE)&gt;2,HLOOKUP($A1130,#REF!,5,FALSE)&lt;-2),"",#REF!),"")</f>
        <v/>
      </c>
      <c r="H1130" t="str">
        <f>IFERROR(IF(OR(HLOOKUP($A1130,#REF!,6,FALSE)&gt;2,HLOOKUP($A1130,#REF!,6,FALSE)&lt;-2),"",#REF!),"")</f>
        <v/>
      </c>
      <c r="I1130" t="str">
        <f>IFERROR(IF(OR(HLOOKUP($A1130,#REF!,7,FALSE)&gt;2,HLOOKUP($A1130,#REF!,7,FALSE)&lt;-2),"",#REF!),"")</f>
        <v/>
      </c>
      <c r="J1130" t="str">
        <f>IFERROR(IF(OR(HLOOKUP($A1130,#REF!,8,FALSE)&gt;2,HLOOKUP($A1130,#REF!,8,FALSE)&lt;-2),"",#REF!),"")</f>
        <v/>
      </c>
      <c r="K1130" t="str">
        <f>IFERROR(IF(OR(HLOOKUP($A1130,#REF!,9,FALSE)&gt;2,HLOOKUP($A1130,#REF!,9,FALSE)&lt;-2),"",#REF!),"")</f>
        <v/>
      </c>
      <c r="L1130" t="str">
        <f>IFERROR(IF(OR(HLOOKUP($A1130,#REF!,10,FALSE)&gt;2,HLOOKUP($A1130,#REF!,10,FALSE)&lt;-2),"",#REF!),"")</f>
        <v/>
      </c>
      <c r="M1130" t="str">
        <f>IFERROR(IF(OR(HLOOKUP($A1130,#REF!,11,FALSE)&gt;2,HLOOKUP($A1130,#REF!,11,FALSE)&lt;-2),"",#REF!),"")</f>
        <v/>
      </c>
      <c r="N1130" t="str">
        <f>IFERROR(IF(OR(HLOOKUP($A1130,#REF!,12,FALSE)&gt;2,HLOOKUP($A1130,#REF!,12,FALSE)&lt;-2),"",#REF!),"")</f>
        <v/>
      </c>
      <c r="O1130" t="str">
        <f>IFERROR(IF(OR(HLOOKUP($A1130,#REF!,13,FALSE)&gt;2,HLOOKUP($A1130,#REF!,13,FALSE)&lt;-2),"",#REF!),"")</f>
        <v/>
      </c>
      <c r="P1130" t="str">
        <f>IFERROR(IF(OR(HLOOKUP($A1130,#REF!,14,FALSE)&gt;2,HLOOKUP($A1130,#REF!,14,FALSE)&lt;-2),"",#REF!),"")</f>
        <v/>
      </c>
      <c r="Q1130" t="str">
        <f>IFERROR(IF(OR(HLOOKUP($A1130,#REF!,15,FALSE)&gt;2,HLOOKUP($A1130,#REF!,15,FALSE)&lt;-2),"",#REF!),"")</f>
        <v/>
      </c>
      <c r="R1130" t="str">
        <f>IFERROR(IF(OR(HLOOKUP($A1130,#REF!,16,FALSE)&gt;2,HLOOKUP($A1130,#REF!,16,FALSE)&lt;-2),"",#REF!),"")</f>
        <v/>
      </c>
      <c r="S1130" t="str">
        <f>IFERROR(IF(OR(HLOOKUP($A1130,#REF!,17,FALSE)&gt;2,HLOOKUP($A1130,#REF!,17,FALSE)&lt;-2),"",#REF!),"")</f>
        <v/>
      </c>
      <c r="T1130" t="str">
        <f>IFERROR(IF(OR(HLOOKUP($A1130,#REF!,18,FALSE)&gt;2,HLOOKUP($A1130,#REF!,18,FALSE)&lt;-2),"",#REF!),"")</f>
        <v/>
      </c>
      <c r="U1130" t="str">
        <f>IFERROR(IF(OR(HLOOKUP($A1130,#REF!,19,FALSE)&gt;2,HLOOKUP($A1130,#REF!,19,FALSE)&lt;-2),"",#REF!),"")</f>
        <v/>
      </c>
      <c r="V1130">
        <f t="shared" si="68"/>
        <v>1</v>
      </c>
      <c r="W1130" t="str">
        <f t="shared" si="69"/>
        <v/>
      </c>
      <c r="X1130" t="str">
        <f t="shared" si="70"/>
        <v/>
      </c>
      <c r="Y1130" t="str">
        <f t="shared" si="71"/>
        <v/>
      </c>
    </row>
    <row r="1131" spans="1:25" x14ac:dyDescent="0.35">
      <c r="A1131">
        <v>10673</v>
      </c>
      <c r="B1131" t="s">
        <v>1174</v>
      </c>
      <c r="C1131">
        <v>59900</v>
      </c>
      <c r="D1131">
        <v>1007</v>
      </c>
      <c r="E1131" t="str">
        <f>IFERROR(IF(OR(HLOOKUP($A1131,#REF!,3,FALSE)&gt;2,HLOOKUP(A1131,#REF!,3,FALSE)&lt;-2),"",#REF!),"")</f>
        <v/>
      </c>
      <c r="F1131" t="str">
        <f>IFERROR(IF(OR(HLOOKUP($A1131,#REF!,4,FALSE)&gt;2,HLOOKUP($A1131,#REF!,4,FALSE)&lt;-2),"",#REF!),"")</f>
        <v/>
      </c>
      <c r="G1131" t="str">
        <f>IFERROR(IF(OR(HLOOKUP($A1131,#REF!,5,FALSE)&gt;2,HLOOKUP($A1131,#REF!,5,FALSE)&lt;-2),"",#REF!),"")</f>
        <v/>
      </c>
      <c r="H1131" t="str">
        <f>IFERROR(IF(OR(HLOOKUP($A1131,#REF!,6,FALSE)&gt;2,HLOOKUP($A1131,#REF!,6,FALSE)&lt;-2),"",#REF!),"")</f>
        <v/>
      </c>
      <c r="I1131" t="str">
        <f>IFERROR(IF(OR(HLOOKUP($A1131,#REF!,7,FALSE)&gt;2,HLOOKUP($A1131,#REF!,7,FALSE)&lt;-2),"",#REF!),"")</f>
        <v/>
      </c>
      <c r="J1131" t="str">
        <f>IFERROR(IF(OR(HLOOKUP($A1131,#REF!,8,FALSE)&gt;2,HLOOKUP($A1131,#REF!,8,FALSE)&lt;-2),"",#REF!),"")</f>
        <v/>
      </c>
      <c r="K1131" t="str">
        <f>IFERROR(IF(OR(HLOOKUP($A1131,#REF!,9,FALSE)&gt;2,HLOOKUP($A1131,#REF!,9,FALSE)&lt;-2),"",#REF!),"")</f>
        <v/>
      </c>
      <c r="L1131" t="str">
        <f>IFERROR(IF(OR(HLOOKUP($A1131,#REF!,10,FALSE)&gt;2,HLOOKUP($A1131,#REF!,10,FALSE)&lt;-2),"",#REF!),"")</f>
        <v/>
      </c>
      <c r="M1131" t="str">
        <f>IFERROR(IF(OR(HLOOKUP($A1131,#REF!,11,FALSE)&gt;2,HLOOKUP($A1131,#REF!,11,FALSE)&lt;-2),"",#REF!),"")</f>
        <v/>
      </c>
      <c r="N1131" t="str">
        <f>IFERROR(IF(OR(HLOOKUP($A1131,#REF!,12,FALSE)&gt;2,HLOOKUP($A1131,#REF!,12,FALSE)&lt;-2),"",#REF!),"")</f>
        <v/>
      </c>
      <c r="O1131" t="str">
        <f>IFERROR(IF(OR(HLOOKUP($A1131,#REF!,13,FALSE)&gt;2,HLOOKUP($A1131,#REF!,13,FALSE)&lt;-2),"",#REF!),"")</f>
        <v/>
      </c>
      <c r="P1131" t="str">
        <f>IFERROR(IF(OR(HLOOKUP($A1131,#REF!,14,FALSE)&gt;2,HLOOKUP($A1131,#REF!,14,FALSE)&lt;-2),"",#REF!),"")</f>
        <v/>
      </c>
      <c r="Q1131" t="str">
        <f>IFERROR(IF(OR(HLOOKUP($A1131,#REF!,15,FALSE)&gt;2,HLOOKUP($A1131,#REF!,15,FALSE)&lt;-2),"",#REF!),"")</f>
        <v/>
      </c>
      <c r="R1131" t="str">
        <f>IFERROR(IF(OR(HLOOKUP($A1131,#REF!,16,FALSE)&gt;2,HLOOKUP($A1131,#REF!,16,FALSE)&lt;-2),"",#REF!),"")</f>
        <v/>
      </c>
      <c r="S1131" t="str">
        <f>IFERROR(IF(OR(HLOOKUP($A1131,#REF!,17,FALSE)&gt;2,HLOOKUP($A1131,#REF!,17,FALSE)&lt;-2),"",#REF!),"")</f>
        <v/>
      </c>
      <c r="T1131" t="str">
        <f>IFERROR(IF(OR(HLOOKUP($A1131,#REF!,18,FALSE)&gt;2,HLOOKUP($A1131,#REF!,18,FALSE)&lt;-2),"",#REF!),"")</f>
        <v/>
      </c>
      <c r="U1131" t="str">
        <f>IFERROR(IF(OR(HLOOKUP($A1131,#REF!,19,FALSE)&gt;2,HLOOKUP($A1131,#REF!,19,FALSE)&lt;-2),"",#REF!),"")</f>
        <v/>
      </c>
      <c r="V1131">
        <f t="shared" si="68"/>
        <v>1</v>
      </c>
      <c r="W1131" t="str">
        <f t="shared" si="69"/>
        <v/>
      </c>
      <c r="X1131" t="str">
        <f t="shared" si="70"/>
        <v/>
      </c>
      <c r="Y1131" t="str">
        <f t="shared" si="71"/>
        <v/>
      </c>
    </row>
    <row r="1132" spans="1:25" x14ac:dyDescent="0.35">
      <c r="A1132">
        <v>10674</v>
      </c>
      <c r="B1132" t="s">
        <v>1175</v>
      </c>
      <c r="C1132">
        <v>59800</v>
      </c>
      <c r="D1132">
        <v>1007</v>
      </c>
      <c r="E1132" t="str">
        <f>IFERROR(IF(OR(HLOOKUP($A1132,#REF!,3,FALSE)&gt;2,HLOOKUP(A1132,#REF!,3,FALSE)&lt;-2),"",#REF!),"")</f>
        <v/>
      </c>
      <c r="F1132" t="str">
        <f>IFERROR(IF(OR(HLOOKUP($A1132,#REF!,4,FALSE)&gt;2,HLOOKUP($A1132,#REF!,4,FALSE)&lt;-2),"",#REF!),"")</f>
        <v/>
      </c>
      <c r="G1132" t="str">
        <f>IFERROR(IF(OR(HLOOKUP($A1132,#REF!,5,FALSE)&gt;2,HLOOKUP($A1132,#REF!,5,FALSE)&lt;-2),"",#REF!),"")</f>
        <v/>
      </c>
      <c r="H1132" t="str">
        <f>IFERROR(IF(OR(HLOOKUP($A1132,#REF!,6,FALSE)&gt;2,HLOOKUP($A1132,#REF!,6,FALSE)&lt;-2),"",#REF!),"")</f>
        <v/>
      </c>
      <c r="I1132" t="str">
        <f>IFERROR(IF(OR(HLOOKUP($A1132,#REF!,7,FALSE)&gt;2,HLOOKUP($A1132,#REF!,7,FALSE)&lt;-2),"",#REF!),"")</f>
        <v/>
      </c>
      <c r="J1132" t="str">
        <f>IFERROR(IF(OR(HLOOKUP($A1132,#REF!,8,FALSE)&gt;2,HLOOKUP($A1132,#REF!,8,FALSE)&lt;-2),"",#REF!),"")</f>
        <v/>
      </c>
      <c r="K1132" t="str">
        <f>IFERROR(IF(OR(HLOOKUP($A1132,#REF!,9,FALSE)&gt;2,HLOOKUP($A1132,#REF!,9,FALSE)&lt;-2),"",#REF!),"")</f>
        <v/>
      </c>
      <c r="L1132" t="str">
        <f>IFERROR(IF(OR(HLOOKUP($A1132,#REF!,10,FALSE)&gt;2,HLOOKUP($A1132,#REF!,10,FALSE)&lt;-2),"",#REF!),"")</f>
        <v/>
      </c>
      <c r="M1132" t="str">
        <f>IFERROR(IF(OR(HLOOKUP($A1132,#REF!,11,FALSE)&gt;2,HLOOKUP($A1132,#REF!,11,FALSE)&lt;-2),"",#REF!),"")</f>
        <v/>
      </c>
      <c r="N1132" t="str">
        <f>IFERROR(IF(OR(HLOOKUP($A1132,#REF!,12,FALSE)&gt;2,HLOOKUP($A1132,#REF!,12,FALSE)&lt;-2),"",#REF!),"")</f>
        <v/>
      </c>
      <c r="O1132" t="str">
        <f>IFERROR(IF(OR(HLOOKUP($A1132,#REF!,13,FALSE)&gt;2,HLOOKUP($A1132,#REF!,13,FALSE)&lt;-2),"",#REF!),"")</f>
        <v/>
      </c>
      <c r="P1132" t="str">
        <f>IFERROR(IF(OR(HLOOKUP($A1132,#REF!,14,FALSE)&gt;2,HLOOKUP($A1132,#REF!,14,FALSE)&lt;-2),"",#REF!),"")</f>
        <v/>
      </c>
      <c r="Q1132" t="str">
        <f>IFERROR(IF(OR(HLOOKUP($A1132,#REF!,15,FALSE)&gt;2,HLOOKUP($A1132,#REF!,15,FALSE)&lt;-2),"",#REF!),"")</f>
        <v/>
      </c>
      <c r="R1132" t="str">
        <f>IFERROR(IF(OR(HLOOKUP($A1132,#REF!,16,FALSE)&gt;2,HLOOKUP($A1132,#REF!,16,FALSE)&lt;-2),"",#REF!),"")</f>
        <v/>
      </c>
      <c r="S1132" t="str">
        <f>IFERROR(IF(OR(HLOOKUP($A1132,#REF!,17,FALSE)&gt;2,HLOOKUP($A1132,#REF!,17,FALSE)&lt;-2),"",#REF!),"")</f>
        <v/>
      </c>
      <c r="T1132" t="str">
        <f>IFERROR(IF(OR(HLOOKUP($A1132,#REF!,18,FALSE)&gt;2,HLOOKUP($A1132,#REF!,18,FALSE)&lt;-2),"",#REF!),"")</f>
        <v/>
      </c>
      <c r="U1132" t="str">
        <f>IFERROR(IF(OR(HLOOKUP($A1132,#REF!,19,FALSE)&gt;2,HLOOKUP($A1132,#REF!,19,FALSE)&lt;-2),"",#REF!),"")</f>
        <v/>
      </c>
      <c r="V1132">
        <f t="shared" si="68"/>
        <v>1</v>
      </c>
      <c r="W1132" t="str">
        <f t="shared" si="69"/>
        <v/>
      </c>
      <c r="X1132" t="str">
        <f t="shared" si="70"/>
        <v/>
      </c>
      <c r="Y1132" t="str">
        <f t="shared" si="71"/>
        <v/>
      </c>
    </row>
    <row r="1133" spans="1:25" x14ac:dyDescent="0.35">
      <c r="A1133">
        <v>10675</v>
      </c>
      <c r="B1133" t="s">
        <v>1176</v>
      </c>
      <c r="C1133">
        <v>60500</v>
      </c>
      <c r="D1133">
        <v>1056</v>
      </c>
      <c r="E1133" t="str">
        <f>IFERROR(IF(OR(HLOOKUP($A1133,#REF!,3,FALSE)&gt;2,HLOOKUP(A1133,#REF!,3,FALSE)&lt;-2),"",#REF!),"")</f>
        <v/>
      </c>
      <c r="F1133" t="str">
        <f>IFERROR(IF(OR(HLOOKUP($A1133,#REF!,4,FALSE)&gt;2,HLOOKUP($A1133,#REF!,4,FALSE)&lt;-2),"",#REF!),"")</f>
        <v/>
      </c>
      <c r="G1133" t="str">
        <f>IFERROR(IF(OR(HLOOKUP($A1133,#REF!,5,FALSE)&gt;2,HLOOKUP($A1133,#REF!,5,FALSE)&lt;-2),"",#REF!),"")</f>
        <v/>
      </c>
      <c r="H1133" t="str">
        <f>IFERROR(IF(OR(HLOOKUP($A1133,#REF!,6,FALSE)&gt;2,HLOOKUP($A1133,#REF!,6,FALSE)&lt;-2),"",#REF!),"")</f>
        <v/>
      </c>
      <c r="I1133" t="str">
        <f>IFERROR(IF(OR(HLOOKUP($A1133,#REF!,7,FALSE)&gt;2,HLOOKUP($A1133,#REF!,7,FALSE)&lt;-2),"",#REF!),"")</f>
        <v/>
      </c>
      <c r="J1133" t="str">
        <f>IFERROR(IF(OR(HLOOKUP($A1133,#REF!,8,FALSE)&gt;2,HLOOKUP($A1133,#REF!,8,FALSE)&lt;-2),"",#REF!),"")</f>
        <v/>
      </c>
      <c r="K1133" t="str">
        <f>IFERROR(IF(OR(HLOOKUP($A1133,#REF!,9,FALSE)&gt;2,HLOOKUP($A1133,#REF!,9,FALSE)&lt;-2),"",#REF!),"")</f>
        <v/>
      </c>
      <c r="L1133" t="str">
        <f>IFERROR(IF(OR(HLOOKUP($A1133,#REF!,10,FALSE)&gt;2,HLOOKUP($A1133,#REF!,10,FALSE)&lt;-2),"",#REF!),"")</f>
        <v/>
      </c>
      <c r="M1133" t="str">
        <f>IFERROR(IF(OR(HLOOKUP($A1133,#REF!,11,FALSE)&gt;2,HLOOKUP($A1133,#REF!,11,FALSE)&lt;-2),"",#REF!),"")</f>
        <v/>
      </c>
      <c r="N1133" t="str">
        <f>IFERROR(IF(OR(HLOOKUP($A1133,#REF!,12,FALSE)&gt;2,HLOOKUP($A1133,#REF!,12,FALSE)&lt;-2),"",#REF!),"")</f>
        <v/>
      </c>
      <c r="O1133" t="str">
        <f>IFERROR(IF(OR(HLOOKUP($A1133,#REF!,13,FALSE)&gt;2,HLOOKUP($A1133,#REF!,13,FALSE)&lt;-2),"",#REF!),"")</f>
        <v/>
      </c>
      <c r="P1133" t="str">
        <f>IFERROR(IF(OR(HLOOKUP($A1133,#REF!,14,FALSE)&gt;2,HLOOKUP($A1133,#REF!,14,FALSE)&lt;-2),"",#REF!),"")</f>
        <v/>
      </c>
      <c r="Q1133" t="str">
        <f>IFERROR(IF(OR(HLOOKUP($A1133,#REF!,15,FALSE)&gt;2,HLOOKUP($A1133,#REF!,15,FALSE)&lt;-2),"",#REF!),"")</f>
        <v/>
      </c>
      <c r="R1133" t="str">
        <f>IFERROR(IF(OR(HLOOKUP($A1133,#REF!,16,FALSE)&gt;2,HLOOKUP($A1133,#REF!,16,FALSE)&lt;-2),"",#REF!),"")</f>
        <v/>
      </c>
      <c r="S1133" t="str">
        <f>IFERROR(IF(OR(HLOOKUP($A1133,#REF!,17,FALSE)&gt;2,HLOOKUP($A1133,#REF!,17,FALSE)&lt;-2),"",#REF!),"")</f>
        <v/>
      </c>
      <c r="T1133" t="str">
        <f>IFERROR(IF(OR(HLOOKUP($A1133,#REF!,18,FALSE)&gt;2,HLOOKUP($A1133,#REF!,18,FALSE)&lt;-2),"",#REF!),"")</f>
        <v/>
      </c>
      <c r="U1133" t="str">
        <f>IFERROR(IF(OR(HLOOKUP($A1133,#REF!,19,FALSE)&gt;2,HLOOKUP($A1133,#REF!,19,FALSE)&lt;-2),"",#REF!),"")</f>
        <v/>
      </c>
      <c r="V1133">
        <f t="shared" si="68"/>
        <v>1</v>
      </c>
      <c r="W1133" t="str">
        <f t="shared" si="69"/>
        <v/>
      </c>
      <c r="X1133" t="str">
        <f t="shared" si="70"/>
        <v/>
      </c>
      <c r="Y1133" t="str">
        <f t="shared" si="71"/>
        <v/>
      </c>
    </row>
    <row r="1134" spans="1:25" x14ac:dyDescent="0.35">
      <c r="A1134">
        <v>10676</v>
      </c>
      <c r="B1134" t="s">
        <v>1177</v>
      </c>
      <c r="C1134">
        <v>60400</v>
      </c>
      <c r="D1134">
        <v>1056</v>
      </c>
      <c r="E1134" t="str">
        <f>IFERROR(IF(OR(HLOOKUP($A1134,#REF!,3,FALSE)&gt;2,HLOOKUP(A1134,#REF!,3,FALSE)&lt;-2),"",#REF!),"")</f>
        <v/>
      </c>
      <c r="F1134" t="str">
        <f>IFERROR(IF(OR(HLOOKUP($A1134,#REF!,4,FALSE)&gt;2,HLOOKUP($A1134,#REF!,4,FALSE)&lt;-2),"",#REF!),"")</f>
        <v/>
      </c>
      <c r="G1134" t="str">
        <f>IFERROR(IF(OR(HLOOKUP($A1134,#REF!,5,FALSE)&gt;2,HLOOKUP($A1134,#REF!,5,FALSE)&lt;-2),"",#REF!),"")</f>
        <v/>
      </c>
      <c r="H1134" t="str">
        <f>IFERROR(IF(OR(HLOOKUP($A1134,#REF!,6,FALSE)&gt;2,HLOOKUP($A1134,#REF!,6,FALSE)&lt;-2),"",#REF!),"")</f>
        <v/>
      </c>
      <c r="I1134" t="str">
        <f>IFERROR(IF(OR(HLOOKUP($A1134,#REF!,7,FALSE)&gt;2,HLOOKUP($A1134,#REF!,7,FALSE)&lt;-2),"",#REF!),"")</f>
        <v/>
      </c>
      <c r="J1134" t="str">
        <f>IFERROR(IF(OR(HLOOKUP($A1134,#REF!,8,FALSE)&gt;2,HLOOKUP($A1134,#REF!,8,FALSE)&lt;-2),"",#REF!),"")</f>
        <v/>
      </c>
      <c r="K1134" t="str">
        <f>IFERROR(IF(OR(HLOOKUP($A1134,#REF!,9,FALSE)&gt;2,HLOOKUP($A1134,#REF!,9,FALSE)&lt;-2),"",#REF!),"")</f>
        <v/>
      </c>
      <c r="L1134" t="str">
        <f>IFERROR(IF(OR(HLOOKUP($A1134,#REF!,10,FALSE)&gt;2,HLOOKUP($A1134,#REF!,10,FALSE)&lt;-2),"",#REF!),"")</f>
        <v/>
      </c>
      <c r="M1134" t="str">
        <f>IFERROR(IF(OR(HLOOKUP($A1134,#REF!,11,FALSE)&gt;2,HLOOKUP($A1134,#REF!,11,FALSE)&lt;-2),"",#REF!),"")</f>
        <v/>
      </c>
      <c r="N1134" t="str">
        <f>IFERROR(IF(OR(HLOOKUP($A1134,#REF!,12,FALSE)&gt;2,HLOOKUP($A1134,#REF!,12,FALSE)&lt;-2),"",#REF!),"")</f>
        <v/>
      </c>
      <c r="O1134" t="str">
        <f>IFERROR(IF(OR(HLOOKUP($A1134,#REF!,13,FALSE)&gt;2,HLOOKUP($A1134,#REF!,13,FALSE)&lt;-2),"",#REF!),"")</f>
        <v/>
      </c>
      <c r="P1134" t="str">
        <f>IFERROR(IF(OR(HLOOKUP($A1134,#REF!,14,FALSE)&gt;2,HLOOKUP($A1134,#REF!,14,FALSE)&lt;-2),"",#REF!),"")</f>
        <v/>
      </c>
      <c r="Q1134" t="str">
        <f>IFERROR(IF(OR(HLOOKUP($A1134,#REF!,15,FALSE)&gt;2,HLOOKUP($A1134,#REF!,15,FALSE)&lt;-2),"",#REF!),"")</f>
        <v/>
      </c>
      <c r="R1134" t="str">
        <f>IFERROR(IF(OR(HLOOKUP($A1134,#REF!,16,FALSE)&gt;2,HLOOKUP($A1134,#REF!,16,FALSE)&lt;-2),"",#REF!),"")</f>
        <v/>
      </c>
      <c r="S1134" t="str">
        <f>IFERROR(IF(OR(HLOOKUP($A1134,#REF!,17,FALSE)&gt;2,HLOOKUP($A1134,#REF!,17,FALSE)&lt;-2),"",#REF!),"")</f>
        <v/>
      </c>
      <c r="T1134" t="str">
        <f>IFERROR(IF(OR(HLOOKUP($A1134,#REF!,18,FALSE)&gt;2,HLOOKUP($A1134,#REF!,18,FALSE)&lt;-2),"",#REF!),"")</f>
        <v/>
      </c>
      <c r="U1134" t="str">
        <f>IFERROR(IF(OR(HLOOKUP($A1134,#REF!,19,FALSE)&gt;2,HLOOKUP($A1134,#REF!,19,FALSE)&lt;-2),"",#REF!),"")</f>
        <v/>
      </c>
      <c r="V1134">
        <f t="shared" si="68"/>
        <v>1</v>
      </c>
      <c r="W1134" t="str">
        <f t="shared" si="69"/>
        <v/>
      </c>
      <c r="X1134" t="str">
        <f t="shared" si="70"/>
        <v/>
      </c>
      <c r="Y1134" t="str">
        <f t="shared" si="71"/>
        <v/>
      </c>
    </row>
    <row r="1135" spans="1:25" x14ac:dyDescent="0.35">
      <c r="A1135">
        <v>10677</v>
      </c>
      <c r="B1135" t="s">
        <v>1178</v>
      </c>
      <c r="C1135">
        <v>60300</v>
      </c>
      <c r="D1135">
        <v>1056</v>
      </c>
      <c r="E1135" t="str">
        <f>IFERROR(IF(OR(HLOOKUP($A1135,#REF!,3,FALSE)&gt;2,HLOOKUP(A1135,#REF!,3,FALSE)&lt;-2),"",#REF!),"")</f>
        <v/>
      </c>
      <c r="F1135" t="str">
        <f>IFERROR(IF(OR(HLOOKUP($A1135,#REF!,4,FALSE)&gt;2,HLOOKUP($A1135,#REF!,4,FALSE)&lt;-2),"",#REF!),"")</f>
        <v/>
      </c>
      <c r="G1135" t="str">
        <f>IFERROR(IF(OR(HLOOKUP($A1135,#REF!,5,FALSE)&gt;2,HLOOKUP($A1135,#REF!,5,FALSE)&lt;-2),"",#REF!),"")</f>
        <v/>
      </c>
      <c r="H1135" t="str">
        <f>IFERROR(IF(OR(HLOOKUP($A1135,#REF!,6,FALSE)&gt;2,HLOOKUP($A1135,#REF!,6,FALSE)&lt;-2),"",#REF!),"")</f>
        <v/>
      </c>
      <c r="I1135" t="str">
        <f>IFERROR(IF(OR(HLOOKUP($A1135,#REF!,7,FALSE)&gt;2,HLOOKUP($A1135,#REF!,7,FALSE)&lt;-2),"",#REF!),"")</f>
        <v/>
      </c>
      <c r="J1135" t="str">
        <f>IFERROR(IF(OR(HLOOKUP($A1135,#REF!,8,FALSE)&gt;2,HLOOKUP($A1135,#REF!,8,FALSE)&lt;-2),"",#REF!),"")</f>
        <v/>
      </c>
      <c r="K1135" t="str">
        <f>IFERROR(IF(OR(HLOOKUP($A1135,#REF!,9,FALSE)&gt;2,HLOOKUP($A1135,#REF!,9,FALSE)&lt;-2),"",#REF!),"")</f>
        <v/>
      </c>
      <c r="L1135" t="str">
        <f>IFERROR(IF(OR(HLOOKUP($A1135,#REF!,10,FALSE)&gt;2,HLOOKUP($A1135,#REF!,10,FALSE)&lt;-2),"",#REF!),"")</f>
        <v/>
      </c>
      <c r="M1135" t="str">
        <f>IFERROR(IF(OR(HLOOKUP($A1135,#REF!,11,FALSE)&gt;2,HLOOKUP($A1135,#REF!,11,FALSE)&lt;-2),"",#REF!),"")</f>
        <v/>
      </c>
      <c r="N1135" t="str">
        <f>IFERROR(IF(OR(HLOOKUP($A1135,#REF!,12,FALSE)&gt;2,HLOOKUP($A1135,#REF!,12,FALSE)&lt;-2),"",#REF!),"")</f>
        <v/>
      </c>
      <c r="O1135" t="str">
        <f>IFERROR(IF(OR(HLOOKUP($A1135,#REF!,13,FALSE)&gt;2,HLOOKUP($A1135,#REF!,13,FALSE)&lt;-2),"",#REF!),"")</f>
        <v/>
      </c>
      <c r="P1135" t="str">
        <f>IFERROR(IF(OR(HLOOKUP($A1135,#REF!,14,FALSE)&gt;2,HLOOKUP($A1135,#REF!,14,FALSE)&lt;-2),"",#REF!),"")</f>
        <v/>
      </c>
      <c r="Q1135" t="str">
        <f>IFERROR(IF(OR(HLOOKUP($A1135,#REF!,15,FALSE)&gt;2,HLOOKUP($A1135,#REF!,15,FALSE)&lt;-2),"",#REF!),"")</f>
        <v/>
      </c>
      <c r="R1135" t="str">
        <f>IFERROR(IF(OR(HLOOKUP($A1135,#REF!,16,FALSE)&gt;2,HLOOKUP($A1135,#REF!,16,FALSE)&lt;-2),"",#REF!),"")</f>
        <v/>
      </c>
      <c r="S1135" t="str">
        <f>IFERROR(IF(OR(HLOOKUP($A1135,#REF!,17,FALSE)&gt;2,HLOOKUP($A1135,#REF!,17,FALSE)&lt;-2),"",#REF!),"")</f>
        <v/>
      </c>
      <c r="T1135" t="str">
        <f>IFERROR(IF(OR(HLOOKUP($A1135,#REF!,18,FALSE)&gt;2,HLOOKUP($A1135,#REF!,18,FALSE)&lt;-2),"",#REF!),"")</f>
        <v/>
      </c>
      <c r="U1135" t="str">
        <f>IFERROR(IF(OR(HLOOKUP($A1135,#REF!,19,FALSE)&gt;2,HLOOKUP($A1135,#REF!,19,FALSE)&lt;-2),"",#REF!),"")</f>
        <v/>
      </c>
      <c r="V1135">
        <f t="shared" si="68"/>
        <v>1</v>
      </c>
      <c r="W1135" t="str">
        <f t="shared" si="69"/>
        <v/>
      </c>
      <c r="X1135" t="str">
        <f t="shared" si="70"/>
        <v/>
      </c>
      <c r="Y1135" t="str">
        <f t="shared" si="71"/>
        <v/>
      </c>
    </row>
    <row r="1136" spans="1:25" x14ac:dyDescent="0.35">
      <c r="A1136">
        <v>10678</v>
      </c>
      <c r="B1136" t="s">
        <v>1179</v>
      </c>
      <c r="C1136">
        <v>60900</v>
      </c>
      <c r="D1136">
        <v>1064</v>
      </c>
      <c r="E1136" t="str">
        <f>IFERROR(IF(OR(HLOOKUP($A1136,#REF!,3,FALSE)&gt;2,HLOOKUP(A1136,#REF!,3,FALSE)&lt;-2),"",#REF!),"")</f>
        <v/>
      </c>
      <c r="F1136" t="str">
        <f>IFERROR(IF(OR(HLOOKUP($A1136,#REF!,4,FALSE)&gt;2,HLOOKUP($A1136,#REF!,4,FALSE)&lt;-2),"",#REF!),"")</f>
        <v/>
      </c>
      <c r="G1136" t="str">
        <f>IFERROR(IF(OR(HLOOKUP($A1136,#REF!,5,FALSE)&gt;2,HLOOKUP($A1136,#REF!,5,FALSE)&lt;-2),"",#REF!),"")</f>
        <v/>
      </c>
      <c r="H1136" t="str">
        <f>IFERROR(IF(OR(HLOOKUP($A1136,#REF!,6,FALSE)&gt;2,HLOOKUP($A1136,#REF!,6,FALSE)&lt;-2),"",#REF!),"")</f>
        <v/>
      </c>
      <c r="I1136" t="str">
        <f>IFERROR(IF(OR(HLOOKUP($A1136,#REF!,7,FALSE)&gt;2,HLOOKUP($A1136,#REF!,7,FALSE)&lt;-2),"",#REF!),"")</f>
        <v/>
      </c>
      <c r="J1136" t="str">
        <f>IFERROR(IF(OR(HLOOKUP($A1136,#REF!,8,FALSE)&gt;2,HLOOKUP($A1136,#REF!,8,FALSE)&lt;-2),"",#REF!),"")</f>
        <v/>
      </c>
      <c r="K1136" t="str">
        <f>IFERROR(IF(OR(HLOOKUP($A1136,#REF!,9,FALSE)&gt;2,HLOOKUP($A1136,#REF!,9,FALSE)&lt;-2),"",#REF!),"")</f>
        <v/>
      </c>
      <c r="L1136" t="str">
        <f>IFERROR(IF(OR(HLOOKUP($A1136,#REF!,10,FALSE)&gt;2,HLOOKUP($A1136,#REF!,10,FALSE)&lt;-2),"",#REF!),"")</f>
        <v/>
      </c>
      <c r="M1136" t="str">
        <f>IFERROR(IF(OR(HLOOKUP($A1136,#REF!,11,FALSE)&gt;2,HLOOKUP($A1136,#REF!,11,FALSE)&lt;-2),"",#REF!),"")</f>
        <v/>
      </c>
      <c r="N1136" t="str">
        <f>IFERROR(IF(OR(HLOOKUP($A1136,#REF!,12,FALSE)&gt;2,HLOOKUP($A1136,#REF!,12,FALSE)&lt;-2),"",#REF!),"")</f>
        <v/>
      </c>
      <c r="O1136" t="str">
        <f>IFERROR(IF(OR(HLOOKUP($A1136,#REF!,13,FALSE)&gt;2,HLOOKUP($A1136,#REF!,13,FALSE)&lt;-2),"",#REF!),"")</f>
        <v/>
      </c>
      <c r="P1136" t="str">
        <f>IFERROR(IF(OR(HLOOKUP($A1136,#REF!,14,FALSE)&gt;2,HLOOKUP($A1136,#REF!,14,FALSE)&lt;-2),"",#REF!),"")</f>
        <v/>
      </c>
      <c r="Q1136" t="str">
        <f>IFERROR(IF(OR(HLOOKUP($A1136,#REF!,15,FALSE)&gt;2,HLOOKUP($A1136,#REF!,15,FALSE)&lt;-2),"",#REF!),"")</f>
        <v/>
      </c>
      <c r="R1136" t="str">
        <f>IFERROR(IF(OR(HLOOKUP($A1136,#REF!,16,FALSE)&gt;2,HLOOKUP($A1136,#REF!,16,FALSE)&lt;-2),"",#REF!),"")</f>
        <v/>
      </c>
      <c r="S1136" t="str">
        <f>IFERROR(IF(OR(HLOOKUP($A1136,#REF!,17,FALSE)&gt;2,HLOOKUP($A1136,#REF!,17,FALSE)&lt;-2),"",#REF!),"")</f>
        <v/>
      </c>
      <c r="T1136" t="str">
        <f>IFERROR(IF(OR(HLOOKUP($A1136,#REF!,18,FALSE)&gt;2,HLOOKUP($A1136,#REF!,18,FALSE)&lt;-2),"",#REF!),"")</f>
        <v/>
      </c>
      <c r="U1136" t="str">
        <f>IFERROR(IF(OR(HLOOKUP($A1136,#REF!,19,FALSE)&gt;2,HLOOKUP($A1136,#REF!,19,FALSE)&lt;-2),"",#REF!),"")</f>
        <v/>
      </c>
      <c r="V1136">
        <f t="shared" si="68"/>
        <v>1</v>
      </c>
      <c r="W1136" t="str">
        <f t="shared" si="69"/>
        <v/>
      </c>
      <c r="X1136" t="str">
        <f t="shared" si="70"/>
        <v/>
      </c>
      <c r="Y1136" t="str">
        <f t="shared" si="71"/>
        <v/>
      </c>
    </row>
    <row r="1137" spans="1:25" x14ac:dyDescent="0.35">
      <c r="A1137">
        <v>10679</v>
      </c>
      <c r="B1137" t="s">
        <v>1180</v>
      </c>
      <c r="C1137">
        <v>60800</v>
      </c>
      <c r="D1137">
        <v>1064</v>
      </c>
      <c r="E1137" t="str">
        <f>IFERROR(IF(OR(HLOOKUP($A1137,#REF!,3,FALSE)&gt;2,HLOOKUP(A1137,#REF!,3,FALSE)&lt;-2),"",#REF!),"")</f>
        <v/>
      </c>
      <c r="F1137" t="str">
        <f>IFERROR(IF(OR(HLOOKUP($A1137,#REF!,4,FALSE)&gt;2,HLOOKUP($A1137,#REF!,4,FALSE)&lt;-2),"",#REF!),"")</f>
        <v/>
      </c>
      <c r="G1137" t="str">
        <f>IFERROR(IF(OR(HLOOKUP($A1137,#REF!,5,FALSE)&gt;2,HLOOKUP($A1137,#REF!,5,FALSE)&lt;-2),"",#REF!),"")</f>
        <v/>
      </c>
      <c r="H1137" t="str">
        <f>IFERROR(IF(OR(HLOOKUP($A1137,#REF!,6,FALSE)&gt;2,HLOOKUP($A1137,#REF!,6,FALSE)&lt;-2),"",#REF!),"")</f>
        <v/>
      </c>
      <c r="I1137" t="str">
        <f>IFERROR(IF(OR(HLOOKUP($A1137,#REF!,7,FALSE)&gt;2,HLOOKUP($A1137,#REF!,7,FALSE)&lt;-2),"",#REF!),"")</f>
        <v/>
      </c>
      <c r="J1137" t="str">
        <f>IFERROR(IF(OR(HLOOKUP($A1137,#REF!,8,FALSE)&gt;2,HLOOKUP($A1137,#REF!,8,FALSE)&lt;-2),"",#REF!),"")</f>
        <v/>
      </c>
      <c r="K1137" t="str">
        <f>IFERROR(IF(OR(HLOOKUP($A1137,#REF!,9,FALSE)&gt;2,HLOOKUP($A1137,#REF!,9,FALSE)&lt;-2),"",#REF!),"")</f>
        <v/>
      </c>
      <c r="L1137" t="str">
        <f>IFERROR(IF(OR(HLOOKUP($A1137,#REF!,10,FALSE)&gt;2,HLOOKUP($A1137,#REF!,10,FALSE)&lt;-2),"",#REF!),"")</f>
        <v/>
      </c>
      <c r="M1137" t="str">
        <f>IFERROR(IF(OR(HLOOKUP($A1137,#REF!,11,FALSE)&gt;2,HLOOKUP($A1137,#REF!,11,FALSE)&lt;-2),"",#REF!),"")</f>
        <v/>
      </c>
      <c r="N1137" t="str">
        <f>IFERROR(IF(OR(HLOOKUP($A1137,#REF!,12,FALSE)&gt;2,HLOOKUP($A1137,#REF!,12,FALSE)&lt;-2),"",#REF!),"")</f>
        <v/>
      </c>
      <c r="O1137" t="str">
        <f>IFERROR(IF(OR(HLOOKUP($A1137,#REF!,13,FALSE)&gt;2,HLOOKUP($A1137,#REF!,13,FALSE)&lt;-2),"",#REF!),"")</f>
        <v/>
      </c>
      <c r="P1137" t="str">
        <f>IFERROR(IF(OR(HLOOKUP($A1137,#REF!,14,FALSE)&gt;2,HLOOKUP($A1137,#REF!,14,FALSE)&lt;-2),"",#REF!),"")</f>
        <v/>
      </c>
      <c r="Q1137" t="str">
        <f>IFERROR(IF(OR(HLOOKUP($A1137,#REF!,15,FALSE)&gt;2,HLOOKUP($A1137,#REF!,15,FALSE)&lt;-2),"",#REF!),"")</f>
        <v/>
      </c>
      <c r="R1137" t="str">
        <f>IFERROR(IF(OR(HLOOKUP($A1137,#REF!,16,FALSE)&gt;2,HLOOKUP($A1137,#REF!,16,FALSE)&lt;-2),"",#REF!),"")</f>
        <v/>
      </c>
      <c r="S1137" t="str">
        <f>IFERROR(IF(OR(HLOOKUP($A1137,#REF!,17,FALSE)&gt;2,HLOOKUP($A1137,#REF!,17,FALSE)&lt;-2),"",#REF!),"")</f>
        <v/>
      </c>
      <c r="T1137" t="str">
        <f>IFERROR(IF(OR(HLOOKUP($A1137,#REF!,18,FALSE)&gt;2,HLOOKUP($A1137,#REF!,18,FALSE)&lt;-2),"",#REF!),"")</f>
        <v/>
      </c>
      <c r="U1137" t="str">
        <f>IFERROR(IF(OR(HLOOKUP($A1137,#REF!,19,FALSE)&gt;2,HLOOKUP($A1137,#REF!,19,FALSE)&lt;-2),"",#REF!),"")</f>
        <v/>
      </c>
      <c r="V1137">
        <f t="shared" si="68"/>
        <v>1</v>
      </c>
      <c r="W1137" t="str">
        <f t="shared" si="69"/>
        <v/>
      </c>
      <c r="X1137" t="str">
        <f t="shared" si="70"/>
        <v/>
      </c>
      <c r="Y1137" t="str">
        <f t="shared" si="71"/>
        <v/>
      </c>
    </row>
    <row r="1138" spans="1:25" x14ac:dyDescent="0.35">
      <c r="A1138">
        <v>10680</v>
      </c>
      <c r="B1138" t="s">
        <v>1181</v>
      </c>
      <c r="C1138">
        <v>60700</v>
      </c>
      <c r="D1138">
        <v>1064</v>
      </c>
      <c r="E1138" t="str">
        <f>IFERROR(IF(OR(HLOOKUP($A1138,#REF!,3,FALSE)&gt;2,HLOOKUP(A1138,#REF!,3,FALSE)&lt;-2),"",#REF!),"")</f>
        <v/>
      </c>
      <c r="F1138" t="str">
        <f>IFERROR(IF(OR(HLOOKUP($A1138,#REF!,4,FALSE)&gt;2,HLOOKUP($A1138,#REF!,4,FALSE)&lt;-2),"",#REF!),"")</f>
        <v/>
      </c>
      <c r="G1138" t="str">
        <f>IFERROR(IF(OR(HLOOKUP($A1138,#REF!,5,FALSE)&gt;2,HLOOKUP($A1138,#REF!,5,FALSE)&lt;-2),"",#REF!),"")</f>
        <v/>
      </c>
      <c r="H1138" t="str">
        <f>IFERROR(IF(OR(HLOOKUP($A1138,#REF!,6,FALSE)&gt;2,HLOOKUP($A1138,#REF!,6,FALSE)&lt;-2),"",#REF!),"")</f>
        <v/>
      </c>
      <c r="I1138" t="str">
        <f>IFERROR(IF(OR(HLOOKUP($A1138,#REF!,7,FALSE)&gt;2,HLOOKUP($A1138,#REF!,7,FALSE)&lt;-2),"",#REF!),"")</f>
        <v/>
      </c>
      <c r="J1138" t="str">
        <f>IFERROR(IF(OR(HLOOKUP($A1138,#REF!,8,FALSE)&gt;2,HLOOKUP($A1138,#REF!,8,FALSE)&lt;-2),"",#REF!),"")</f>
        <v/>
      </c>
      <c r="K1138" t="str">
        <f>IFERROR(IF(OR(HLOOKUP($A1138,#REF!,9,FALSE)&gt;2,HLOOKUP($A1138,#REF!,9,FALSE)&lt;-2),"",#REF!),"")</f>
        <v/>
      </c>
      <c r="L1138" t="str">
        <f>IFERROR(IF(OR(HLOOKUP($A1138,#REF!,10,FALSE)&gt;2,HLOOKUP($A1138,#REF!,10,FALSE)&lt;-2),"",#REF!),"")</f>
        <v/>
      </c>
      <c r="M1138" t="str">
        <f>IFERROR(IF(OR(HLOOKUP($A1138,#REF!,11,FALSE)&gt;2,HLOOKUP($A1138,#REF!,11,FALSE)&lt;-2),"",#REF!),"")</f>
        <v/>
      </c>
      <c r="N1138" t="str">
        <f>IFERROR(IF(OR(HLOOKUP($A1138,#REF!,12,FALSE)&gt;2,HLOOKUP($A1138,#REF!,12,FALSE)&lt;-2),"",#REF!),"")</f>
        <v/>
      </c>
      <c r="O1138" t="str">
        <f>IFERROR(IF(OR(HLOOKUP($A1138,#REF!,13,FALSE)&gt;2,HLOOKUP($A1138,#REF!,13,FALSE)&lt;-2),"",#REF!),"")</f>
        <v/>
      </c>
      <c r="P1138" t="str">
        <f>IFERROR(IF(OR(HLOOKUP($A1138,#REF!,14,FALSE)&gt;2,HLOOKUP($A1138,#REF!,14,FALSE)&lt;-2),"",#REF!),"")</f>
        <v/>
      </c>
      <c r="Q1138" t="str">
        <f>IFERROR(IF(OR(HLOOKUP($A1138,#REF!,15,FALSE)&gt;2,HLOOKUP($A1138,#REF!,15,FALSE)&lt;-2),"",#REF!),"")</f>
        <v/>
      </c>
      <c r="R1138" t="str">
        <f>IFERROR(IF(OR(HLOOKUP($A1138,#REF!,16,FALSE)&gt;2,HLOOKUP($A1138,#REF!,16,FALSE)&lt;-2),"",#REF!),"")</f>
        <v/>
      </c>
      <c r="S1138" t="str">
        <f>IFERROR(IF(OR(HLOOKUP($A1138,#REF!,17,FALSE)&gt;2,HLOOKUP($A1138,#REF!,17,FALSE)&lt;-2),"",#REF!),"")</f>
        <v/>
      </c>
      <c r="T1138" t="str">
        <f>IFERROR(IF(OR(HLOOKUP($A1138,#REF!,18,FALSE)&gt;2,HLOOKUP($A1138,#REF!,18,FALSE)&lt;-2),"",#REF!),"")</f>
        <v/>
      </c>
      <c r="U1138" t="str">
        <f>IFERROR(IF(OR(HLOOKUP($A1138,#REF!,19,FALSE)&gt;2,HLOOKUP($A1138,#REF!,19,FALSE)&lt;-2),"",#REF!),"")</f>
        <v/>
      </c>
      <c r="V1138">
        <f t="shared" si="68"/>
        <v>1</v>
      </c>
      <c r="W1138" t="str">
        <f t="shared" si="69"/>
        <v/>
      </c>
      <c r="X1138" t="str">
        <f t="shared" si="70"/>
        <v/>
      </c>
      <c r="Y1138" t="str">
        <f t="shared" si="71"/>
        <v/>
      </c>
    </row>
    <row r="1139" spans="1:25" x14ac:dyDescent="0.35">
      <c r="A1139">
        <v>10681</v>
      </c>
      <c r="B1139" t="s">
        <v>1182</v>
      </c>
      <c r="C1139">
        <v>61300</v>
      </c>
      <c r="D1139">
        <v>1025</v>
      </c>
      <c r="E1139" t="str">
        <f>IFERROR(IF(OR(HLOOKUP($A1139,#REF!,3,FALSE)&gt;2,HLOOKUP(A1139,#REF!,3,FALSE)&lt;-2),"",#REF!),"")</f>
        <v/>
      </c>
      <c r="F1139" t="str">
        <f>IFERROR(IF(OR(HLOOKUP($A1139,#REF!,4,FALSE)&gt;2,HLOOKUP($A1139,#REF!,4,FALSE)&lt;-2),"",#REF!),"")</f>
        <v/>
      </c>
      <c r="G1139" t="str">
        <f>IFERROR(IF(OR(HLOOKUP($A1139,#REF!,5,FALSE)&gt;2,HLOOKUP($A1139,#REF!,5,FALSE)&lt;-2),"",#REF!),"")</f>
        <v/>
      </c>
      <c r="H1139" t="str">
        <f>IFERROR(IF(OR(HLOOKUP($A1139,#REF!,6,FALSE)&gt;2,HLOOKUP($A1139,#REF!,6,FALSE)&lt;-2),"",#REF!),"")</f>
        <v/>
      </c>
      <c r="I1139" t="str">
        <f>IFERROR(IF(OR(HLOOKUP($A1139,#REF!,7,FALSE)&gt;2,HLOOKUP($A1139,#REF!,7,FALSE)&lt;-2),"",#REF!),"")</f>
        <v/>
      </c>
      <c r="J1139" t="str">
        <f>IFERROR(IF(OR(HLOOKUP($A1139,#REF!,8,FALSE)&gt;2,HLOOKUP($A1139,#REF!,8,FALSE)&lt;-2),"",#REF!),"")</f>
        <v/>
      </c>
      <c r="K1139" t="str">
        <f>IFERROR(IF(OR(HLOOKUP($A1139,#REF!,9,FALSE)&gt;2,HLOOKUP($A1139,#REF!,9,FALSE)&lt;-2),"",#REF!),"")</f>
        <v/>
      </c>
      <c r="L1139" t="str">
        <f>IFERROR(IF(OR(HLOOKUP($A1139,#REF!,10,FALSE)&gt;2,HLOOKUP($A1139,#REF!,10,FALSE)&lt;-2),"",#REF!),"")</f>
        <v/>
      </c>
      <c r="M1139" t="str">
        <f>IFERROR(IF(OR(HLOOKUP($A1139,#REF!,11,FALSE)&gt;2,HLOOKUP($A1139,#REF!,11,FALSE)&lt;-2),"",#REF!),"")</f>
        <v/>
      </c>
      <c r="N1139" t="str">
        <f>IFERROR(IF(OR(HLOOKUP($A1139,#REF!,12,FALSE)&gt;2,HLOOKUP($A1139,#REF!,12,FALSE)&lt;-2),"",#REF!),"")</f>
        <v/>
      </c>
      <c r="O1139" t="str">
        <f>IFERROR(IF(OR(HLOOKUP($A1139,#REF!,13,FALSE)&gt;2,HLOOKUP($A1139,#REF!,13,FALSE)&lt;-2),"",#REF!),"")</f>
        <v/>
      </c>
      <c r="P1139" t="str">
        <f>IFERROR(IF(OR(HLOOKUP($A1139,#REF!,14,FALSE)&gt;2,HLOOKUP($A1139,#REF!,14,FALSE)&lt;-2),"",#REF!),"")</f>
        <v/>
      </c>
      <c r="Q1139" t="str">
        <f>IFERROR(IF(OR(HLOOKUP($A1139,#REF!,15,FALSE)&gt;2,HLOOKUP($A1139,#REF!,15,FALSE)&lt;-2),"",#REF!),"")</f>
        <v/>
      </c>
      <c r="R1139" t="str">
        <f>IFERROR(IF(OR(HLOOKUP($A1139,#REF!,16,FALSE)&gt;2,HLOOKUP($A1139,#REF!,16,FALSE)&lt;-2),"",#REF!),"")</f>
        <v/>
      </c>
      <c r="S1139" t="str">
        <f>IFERROR(IF(OR(HLOOKUP($A1139,#REF!,17,FALSE)&gt;2,HLOOKUP($A1139,#REF!,17,FALSE)&lt;-2),"",#REF!),"")</f>
        <v/>
      </c>
      <c r="T1139" t="str">
        <f>IFERROR(IF(OR(HLOOKUP($A1139,#REF!,18,FALSE)&gt;2,HLOOKUP($A1139,#REF!,18,FALSE)&lt;-2),"",#REF!),"")</f>
        <v/>
      </c>
      <c r="U1139" t="str">
        <f>IFERROR(IF(OR(HLOOKUP($A1139,#REF!,19,FALSE)&gt;2,HLOOKUP($A1139,#REF!,19,FALSE)&lt;-2),"",#REF!),"")</f>
        <v/>
      </c>
      <c r="V1139">
        <f t="shared" si="68"/>
        <v>1</v>
      </c>
      <c r="W1139" t="str">
        <f t="shared" si="69"/>
        <v/>
      </c>
      <c r="X1139" t="str">
        <f t="shared" si="70"/>
        <v/>
      </c>
      <c r="Y1139" t="str">
        <f t="shared" si="71"/>
        <v/>
      </c>
    </row>
    <row r="1140" spans="1:25" x14ac:dyDescent="0.35">
      <c r="A1140">
        <v>10682</v>
      </c>
      <c r="B1140" t="s">
        <v>1183</v>
      </c>
      <c r="C1140">
        <v>61200</v>
      </c>
      <c r="D1140">
        <v>1025</v>
      </c>
      <c r="E1140" t="str">
        <f>IFERROR(IF(OR(HLOOKUP($A1140,#REF!,3,FALSE)&gt;2,HLOOKUP(A1140,#REF!,3,FALSE)&lt;-2),"",#REF!),"")</f>
        <v/>
      </c>
      <c r="F1140" t="str">
        <f>IFERROR(IF(OR(HLOOKUP($A1140,#REF!,4,FALSE)&gt;2,HLOOKUP($A1140,#REF!,4,FALSE)&lt;-2),"",#REF!),"")</f>
        <v/>
      </c>
      <c r="G1140" t="str">
        <f>IFERROR(IF(OR(HLOOKUP($A1140,#REF!,5,FALSE)&gt;2,HLOOKUP($A1140,#REF!,5,FALSE)&lt;-2),"",#REF!),"")</f>
        <v/>
      </c>
      <c r="H1140" t="str">
        <f>IFERROR(IF(OR(HLOOKUP($A1140,#REF!,6,FALSE)&gt;2,HLOOKUP($A1140,#REF!,6,FALSE)&lt;-2),"",#REF!),"")</f>
        <v/>
      </c>
      <c r="I1140" t="str">
        <f>IFERROR(IF(OR(HLOOKUP($A1140,#REF!,7,FALSE)&gt;2,HLOOKUP($A1140,#REF!,7,FALSE)&lt;-2),"",#REF!),"")</f>
        <v/>
      </c>
      <c r="J1140" t="str">
        <f>IFERROR(IF(OR(HLOOKUP($A1140,#REF!,8,FALSE)&gt;2,HLOOKUP($A1140,#REF!,8,FALSE)&lt;-2),"",#REF!),"")</f>
        <v/>
      </c>
      <c r="K1140" t="str">
        <f>IFERROR(IF(OR(HLOOKUP($A1140,#REF!,9,FALSE)&gt;2,HLOOKUP($A1140,#REF!,9,FALSE)&lt;-2),"",#REF!),"")</f>
        <v/>
      </c>
      <c r="L1140" t="str">
        <f>IFERROR(IF(OR(HLOOKUP($A1140,#REF!,10,FALSE)&gt;2,HLOOKUP($A1140,#REF!,10,FALSE)&lt;-2),"",#REF!),"")</f>
        <v/>
      </c>
      <c r="M1140" t="str">
        <f>IFERROR(IF(OR(HLOOKUP($A1140,#REF!,11,FALSE)&gt;2,HLOOKUP($A1140,#REF!,11,FALSE)&lt;-2),"",#REF!),"")</f>
        <v/>
      </c>
      <c r="N1140" t="str">
        <f>IFERROR(IF(OR(HLOOKUP($A1140,#REF!,12,FALSE)&gt;2,HLOOKUP($A1140,#REF!,12,FALSE)&lt;-2),"",#REF!),"")</f>
        <v/>
      </c>
      <c r="O1140" t="str">
        <f>IFERROR(IF(OR(HLOOKUP($A1140,#REF!,13,FALSE)&gt;2,HLOOKUP($A1140,#REF!,13,FALSE)&lt;-2),"",#REF!),"")</f>
        <v/>
      </c>
      <c r="P1140" t="str">
        <f>IFERROR(IF(OR(HLOOKUP($A1140,#REF!,14,FALSE)&gt;2,HLOOKUP($A1140,#REF!,14,FALSE)&lt;-2),"",#REF!),"")</f>
        <v/>
      </c>
      <c r="Q1140" t="str">
        <f>IFERROR(IF(OR(HLOOKUP($A1140,#REF!,15,FALSE)&gt;2,HLOOKUP($A1140,#REF!,15,FALSE)&lt;-2),"",#REF!),"")</f>
        <v/>
      </c>
      <c r="R1140" t="str">
        <f>IFERROR(IF(OR(HLOOKUP($A1140,#REF!,16,FALSE)&gt;2,HLOOKUP($A1140,#REF!,16,FALSE)&lt;-2),"",#REF!),"")</f>
        <v/>
      </c>
      <c r="S1140" t="str">
        <f>IFERROR(IF(OR(HLOOKUP($A1140,#REF!,17,FALSE)&gt;2,HLOOKUP($A1140,#REF!,17,FALSE)&lt;-2),"",#REF!),"")</f>
        <v/>
      </c>
      <c r="T1140" t="str">
        <f>IFERROR(IF(OR(HLOOKUP($A1140,#REF!,18,FALSE)&gt;2,HLOOKUP($A1140,#REF!,18,FALSE)&lt;-2),"",#REF!),"")</f>
        <v/>
      </c>
      <c r="U1140" t="str">
        <f>IFERROR(IF(OR(HLOOKUP($A1140,#REF!,19,FALSE)&gt;2,HLOOKUP($A1140,#REF!,19,FALSE)&lt;-2),"",#REF!),"")</f>
        <v/>
      </c>
      <c r="V1140">
        <f t="shared" si="68"/>
        <v>1</v>
      </c>
      <c r="W1140" t="str">
        <f t="shared" si="69"/>
        <v/>
      </c>
      <c r="X1140" t="str">
        <f t="shared" si="70"/>
        <v/>
      </c>
      <c r="Y1140" t="str">
        <f t="shared" si="71"/>
        <v/>
      </c>
    </row>
    <row r="1141" spans="1:25" x14ac:dyDescent="0.35">
      <c r="A1141">
        <v>10683</v>
      </c>
      <c r="B1141" t="s">
        <v>1184</v>
      </c>
      <c r="C1141">
        <v>61100</v>
      </c>
      <c r="D1141">
        <v>1025</v>
      </c>
      <c r="E1141" t="str">
        <f>IFERROR(IF(OR(HLOOKUP($A1141,#REF!,3,FALSE)&gt;2,HLOOKUP(A1141,#REF!,3,FALSE)&lt;-2),"",#REF!),"")</f>
        <v/>
      </c>
      <c r="F1141" t="str">
        <f>IFERROR(IF(OR(HLOOKUP($A1141,#REF!,4,FALSE)&gt;2,HLOOKUP($A1141,#REF!,4,FALSE)&lt;-2),"",#REF!),"")</f>
        <v/>
      </c>
      <c r="G1141" t="str">
        <f>IFERROR(IF(OR(HLOOKUP($A1141,#REF!,5,FALSE)&gt;2,HLOOKUP($A1141,#REF!,5,FALSE)&lt;-2),"",#REF!),"")</f>
        <v/>
      </c>
      <c r="H1141" t="str">
        <f>IFERROR(IF(OR(HLOOKUP($A1141,#REF!,6,FALSE)&gt;2,HLOOKUP($A1141,#REF!,6,FALSE)&lt;-2),"",#REF!),"")</f>
        <v/>
      </c>
      <c r="I1141" t="str">
        <f>IFERROR(IF(OR(HLOOKUP($A1141,#REF!,7,FALSE)&gt;2,HLOOKUP($A1141,#REF!,7,FALSE)&lt;-2),"",#REF!),"")</f>
        <v/>
      </c>
      <c r="J1141" t="str">
        <f>IFERROR(IF(OR(HLOOKUP($A1141,#REF!,8,FALSE)&gt;2,HLOOKUP($A1141,#REF!,8,FALSE)&lt;-2),"",#REF!),"")</f>
        <v/>
      </c>
      <c r="K1141" t="str">
        <f>IFERROR(IF(OR(HLOOKUP($A1141,#REF!,9,FALSE)&gt;2,HLOOKUP($A1141,#REF!,9,FALSE)&lt;-2),"",#REF!),"")</f>
        <v/>
      </c>
      <c r="L1141" t="str">
        <f>IFERROR(IF(OR(HLOOKUP($A1141,#REF!,10,FALSE)&gt;2,HLOOKUP($A1141,#REF!,10,FALSE)&lt;-2),"",#REF!),"")</f>
        <v/>
      </c>
      <c r="M1141" t="str">
        <f>IFERROR(IF(OR(HLOOKUP($A1141,#REF!,11,FALSE)&gt;2,HLOOKUP($A1141,#REF!,11,FALSE)&lt;-2),"",#REF!),"")</f>
        <v/>
      </c>
      <c r="N1141" t="str">
        <f>IFERROR(IF(OR(HLOOKUP($A1141,#REF!,12,FALSE)&gt;2,HLOOKUP($A1141,#REF!,12,FALSE)&lt;-2),"",#REF!),"")</f>
        <v/>
      </c>
      <c r="O1141" t="str">
        <f>IFERROR(IF(OR(HLOOKUP($A1141,#REF!,13,FALSE)&gt;2,HLOOKUP($A1141,#REF!,13,FALSE)&lt;-2),"",#REF!),"")</f>
        <v/>
      </c>
      <c r="P1141" t="str">
        <f>IFERROR(IF(OR(HLOOKUP($A1141,#REF!,14,FALSE)&gt;2,HLOOKUP($A1141,#REF!,14,FALSE)&lt;-2),"",#REF!),"")</f>
        <v/>
      </c>
      <c r="Q1141" t="str">
        <f>IFERROR(IF(OR(HLOOKUP($A1141,#REF!,15,FALSE)&gt;2,HLOOKUP($A1141,#REF!,15,FALSE)&lt;-2),"",#REF!),"")</f>
        <v/>
      </c>
      <c r="R1141" t="str">
        <f>IFERROR(IF(OR(HLOOKUP($A1141,#REF!,16,FALSE)&gt;2,HLOOKUP($A1141,#REF!,16,FALSE)&lt;-2),"",#REF!),"")</f>
        <v/>
      </c>
      <c r="S1141" t="str">
        <f>IFERROR(IF(OR(HLOOKUP($A1141,#REF!,17,FALSE)&gt;2,HLOOKUP($A1141,#REF!,17,FALSE)&lt;-2),"",#REF!),"")</f>
        <v/>
      </c>
      <c r="T1141" t="str">
        <f>IFERROR(IF(OR(HLOOKUP($A1141,#REF!,18,FALSE)&gt;2,HLOOKUP($A1141,#REF!,18,FALSE)&lt;-2),"",#REF!),"")</f>
        <v/>
      </c>
      <c r="U1141" t="str">
        <f>IFERROR(IF(OR(HLOOKUP($A1141,#REF!,19,FALSE)&gt;2,HLOOKUP($A1141,#REF!,19,FALSE)&lt;-2),"",#REF!),"")</f>
        <v/>
      </c>
      <c r="V1141">
        <f t="shared" si="68"/>
        <v>1</v>
      </c>
      <c r="W1141" t="str">
        <f t="shared" si="69"/>
        <v/>
      </c>
      <c r="X1141" t="str">
        <f t="shared" si="70"/>
        <v/>
      </c>
      <c r="Y1141" t="str">
        <f t="shared" si="71"/>
        <v/>
      </c>
    </row>
    <row r="1142" spans="1:25" x14ac:dyDescent="0.35">
      <c r="A1142">
        <v>10684</v>
      </c>
      <c r="B1142" t="s">
        <v>1185</v>
      </c>
      <c r="C1142">
        <v>61700</v>
      </c>
      <c r="D1142">
        <v>1033</v>
      </c>
      <c r="E1142" t="str">
        <f>IFERROR(IF(OR(HLOOKUP($A1142,#REF!,3,FALSE)&gt;2,HLOOKUP(A1142,#REF!,3,FALSE)&lt;-2),"",#REF!),"")</f>
        <v/>
      </c>
      <c r="F1142" t="str">
        <f>IFERROR(IF(OR(HLOOKUP($A1142,#REF!,4,FALSE)&gt;2,HLOOKUP($A1142,#REF!,4,FALSE)&lt;-2),"",#REF!),"")</f>
        <v/>
      </c>
      <c r="G1142" t="str">
        <f>IFERROR(IF(OR(HLOOKUP($A1142,#REF!,5,FALSE)&gt;2,HLOOKUP($A1142,#REF!,5,FALSE)&lt;-2),"",#REF!),"")</f>
        <v/>
      </c>
      <c r="H1142" t="str">
        <f>IFERROR(IF(OR(HLOOKUP($A1142,#REF!,6,FALSE)&gt;2,HLOOKUP($A1142,#REF!,6,FALSE)&lt;-2),"",#REF!),"")</f>
        <v/>
      </c>
      <c r="I1142" t="str">
        <f>IFERROR(IF(OR(HLOOKUP($A1142,#REF!,7,FALSE)&gt;2,HLOOKUP($A1142,#REF!,7,FALSE)&lt;-2),"",#REF!),"")</f>
        <v/>
      </c>
      <c r="J1142" t="str">
        <f>IFERROR(IF(OR(HLOOKUP($A1142,#REF!,8,FALSE)&gt;2,HLOOKUP($A1142,#REF!,8,FALSE)&lt;-2),"",#REF!),"")</f>
        <v/>
      </c>
      <c r="K1142" t="str">
        <f>IFERROR(IF(OR(HLOOKUP($A1142,#REF!,9,FALSE)&gt;2,HLOOKUP($A1142,#REF!,9,FALSE)&lt;-2),"",#REF!),"")</f>
        <v/>
      </c>
      <c r="L1142" t="str">
        <f>IFERROR(IF(OR(HLOOKUP($A1142,#REF!,10,FALSE)&gt;2,HLOOKUP($A1142,#REF!,10,FALSE)&lt;-2),"",#REF!),"")</f>
        <v/>
      </c>
      <c r="M1142" t="str">
        <f>IFERROR(IF(OR(HLOOKUP($A1142,#REF!,11,FALSE)&gt;2,HLOOKUP($A1142,#REF!,11,FALSE)&lt;-2),"",#REF!),"")</f>
        <v/>
      </c>
      <c r="N1142" t="str">
        <f>IFERROR(IF(OR(HLOOKUP($A1142,#REF!,12,FALSE)&gt;2,HLOOKUP($A1142,#REF!,12,FALSE)&lt;-2),"",#REF!),"")</f>
        <v/>
      </c>
      <c r="O1142" t="str">
        <f>IFERROR(IF(OR(HLOOKUP($A1142,#REF!,13,FALSE)&gt;2,HLOOKUP($A1142,#REF!,13,FALSE)&lt;-2),"",#REF!),"")</f>
        <v/>
      </c>
      <c r="P1142" t="str">
        <f>IFERROR(IF(OR(HLOOKUP($A1142,#REF!,14,FALSE)&gt;2,HLOOKUP($A1142,#REF!,14,FALSE)&lt;-2),"",#REF!),"")</f>
        <v/>
      </c>
      <c r="Q1142" t="str">
        <f>IFERROR(IF(OR(HLOOKUP($A1142,#REF!,15,FALSE)&gt;2,HLOOKUP($A1142,#REF!,15,FALSE)&lt;-2),"",#REF!),"")</f>
        <v/>
      </c>
      <c r="R1142" t="str">
        <f>IFERROR(IF(OR(HLOOKUP($A1142,#REF!,16,FALSE)&gt;2,HLOOKUP($A1142,#REF!,16,FALSE)&lt;-2),"",#REF!),"")</f>
        <v/>
      </c>
      <c r="S1142" t="str">
        <f>IFERROR(IF(OR(HLOOKUP($A1142,#REF!,17,FALSE)&gt;2,HLOOKUP($A1142,#REF!,17,FALSE)&lt;-2),"",#REF!),"")</f>
        <v/>
      </c>
      <c r="T1142" t="str">
        <f>IFERROR(IF(OR(HLOOKUP($A1142,#REF!,18,FALSE)&gt;2,HLOOKUP($A1142,#REF!,18,FALSE)&lt;-2),"",#REF!),"")</f>
        <v/>
      </c>
      <c r="U1142" t="str">
        <f>IFERROR(IF(OR(HLOOKUP($A1142,#REF!,19,FALSE)&gt;2,HLOOKUP($A1142,#REF!,19,FALSE)&lt;-2),"",#REF!),"")</f>
        <v/>
      </c>
      <c r="V1142">
        <f t="shared" si="68"/>
        <v>1</v>
      </c>
      <c r="W1142" t="str">
        <f t="shared" si="69"/>
        <v/>
      </c>
      <c r="X1142" t="str">
        <f t="shared" si="70"/>
        <v/>
      </c>
      <c r="Y1142" t="str">
        <f t="shared" si="71"/>
        <v/>
      </c>
    </row>
    <row r="1143" spans="1:25" x14ac:dyDescent="0.35">
      <c r="A1143">
        <v>10685</v>
      </c>
      <c r="B1143" t="s">
        <v>1186</v>
      </c>
      <c r="C1143">
        <v>61600</v>
      </c>
      <c r="D1143">
        <v>1033</v>
      </c>
      <c r="E1143" t="str">
        <f>IFERROR(IF(OR(HLOOKUP($A1143,#REF!,3,FALSE)&gt;2,HLOOKUP(A1143,#REF!,3,FALSE)&lt;-2),"",#REF!),"")</f>
        <v/>
      </c>
      <c r="F1143" t="str">
        <f>IFERROR(IF(OR(HLOOKUP($A1143,#REF!,4,FALSE)&gt;2,HLOOKUP($A1143,#REF!,4,FALSE)&lt;-2),"",#REF!),"")</f>
        <v/>
      </c>
      <c r="G1143" t="str">
        <f>IFERROR(IF(OR(HLOOKUP($A1143,#REF!,5,FALSE)&gt;2,HLOOKUP($A1143,#REF!,5,FALSE)&lt;-2),"",#REF!),"")</f>
        <v/>
      </c>
      <c r="H1143" t="str">
        <f>IFERROR(IF(OR(HLOOKUP($A1143,#REF!,6,FALSE)&gt;2,HLOOKUP($A1143,#REF!,6,FALSE)&lt;-2),"",#REF!),"")</f>
        <v/>
      </c>
      <c r="I1143" t="str">
        <f>IFERROR(IF(OR(HLOOKUP($A1143,#REF!,7,FALSE)&gt;2,HLOOKUP($A1143,#REF!,7,FALSE)&lt;-2),"",#REF!),"")</f>
        <v/>
      </c>
      <c r="J1143" t="str">
        <f>IFERROR(IF(OR(HLOOKUP($A1143,#REF!,8,FALSE)&gt;2,HLOOKUP($A1143,#REF!,8,FALSE)&lt;-2),"",#REF!),"")</f>
        <v/>
      </c>
      <c r="K1143" t="str">
        <f>IFERROR(IF(OR(HLOOKUP($A1143,#REF!,9,FALSE)&gt;2,HLOOKUP($A1143,#REF!,9,FALSE)&lt;-2),"",#REF!),"")</f>
        <v/>
      </c>
      <c r="L1143" t="str">
        <f>IFERROR(IF(OR(HLOOKUP($A1143,#REF!,10,FALSE)&gt;2,HLOOKUP($A1143,#REF!,10,FALSE)&lt;-2),"",#REF!),"")</f>
        <v/>
      </c>
      <c r="M1143" t="str">
        <f>IFERROR(IF(OR(HLOOKUP($A1143,#REF!,11,FALSE)&gt;2,HLOOKUP($A1143,#REF!,11,FALSE)&lt;-2),"",#REF!),"")</f>
        <v/>
      </c>
      <c r="N1143" t="str">
        <f>IFERROR(IF(OR(HLOOKUP($A1143,#REF!,12,FALSE)&gt;2,HLOOKUP($A1143,#REF!,12,FALSE)&lt;-2),"",#REF!),"")</f>
        <v/>
      </c>
      <c r="O1143" t="str">
        <f>IFERROR(IF(OR(HLOOKUP($A1143,#REF!,13,FALSE)&gt;2,HLOOKUP($A1143,#REF!,13,FALSE)&lt;-2),"",#REF!),"")</f>
        <v/>
      </c>
      <c r="P1143" t="str">
        <f>IFERROR(IF(OR(HLOOKUP($A1143,#REF!,14,FALSE)&gt;2,HLOOKUP($A1143,#REF!,14,FALSE)&lt;-2),"",#REF!),"")</f>
        <v/>
      </c>
      <c r="Q1143" t="str">
        <f>IFERROR(IF(OR(HLOOKUP($A1143,#REF!,15,FALSE)&gt;2,HLOOKUP($A1143,#REF!,15,FALSE)&lt;-2),"",#REF!),"")</f>
        <v/>
      </c>
      <c r="R1143" t="str">
        <f>IFERROR(IF(OR(HLOOKUP($A1143,#REF!,16,FALSE)&gt;2,HLOOKUP($A1143,#REF!,16,FALSE)&lt;-2),"",#REF!),"")</f>
        <v/>
      </c>
      <c r="S1143" t="str">
        <f>IFERROR(IF(OR(HLOOKUP($A1143,#REF!,17,FALSE)&gt;2,HLOOKUP($A1143,#REF!,17,FALSE)&lt;-2),"",#REF!),"")</f>
        <v/>
      </c>
      <c r="T1143" t="str">
        <f>IFERROR(IF(OR(HLOOKUP($A1143,#REF!,18,FALSE)&gt;2,HLOOKUP($A1143,#REF!,18,FALSE)&lt;-2),"",#REF!),"")</f>
        <v/>
      </c>
      <c r="U1143" t="str">
        <f>IFERROR(IF(OR(HLOOKUP($A1143,#REF!,19,FALSE)&gt;2,HLOOKUP($A1143,#REF!,19,FALSE)&lt;-2),"",#REF!),"")</f>
        <v/>
      </c>
      <c r="V1143">
        <f t="shared" si="68"/>
        <v>1</v>
      </c>
      <c r="W1143" t="str">
        <f t="shared" si="69"/>
        <v/>
      </c>
      <c r="X1143" t="str">
        <f t="shared" si="70"/>
        <v/>
      </c>
      <c r="Y1143" t="str">
        <f t="shared" si="71"/>
        <v/>
      </c>
    </row>
    <row r="1144" spans="1:25" x14ac:dyDescent="0.35">
      <c r="A1144">
        <v>10686</v>
      </c>
      <c r="B1144" t="s">
        <v>1187</v>
      </c>
      <c r="C1144">
        <v>61500</v>
      </c>
      <c r="D1144">
        <v>1033</v>
      </c>
      <c r="E1144" t="str">
        <f>IFERROR(IF(OR(HLOOKUP($A1144,#REF!,3,FALSE)&gt;2,HLOOKUP(A1144,#REF!,3,FALSE)&lt;-2),"",#REF!),"")</f>
        <v/>
      </c>
      <c r="F1144" t="str">
        <f>IFERROR(IF(OR(HLOOKUP($A1144,#REF!,4,FALSE)&gt;2,HLOOKUP($A1144,#REF!,4,FALSE)&lt;-2),"",#REF!),"")</f>
        <v/>
      </c>
      <c r="G1144" t="str">
        <f>IFERROR(IF(OR(HLOOKUP($A1144,#REF!,5,FALSE)&gt;2,HLOOKUP($A1144,#REF!,5,FALSE)&lt;-2),"",#REF!),"")</f>
        <v/>
      </c>
      <c r="H1144" t="str">
        <f>IFERROR(IF(OR(HLOOKUP($A1144,#REF!,6,FALSE)&gt;2,HLOOKUP($A1144,#REF!,6,FALSE)&lt;-2),"",#REF!),"")</f>
        <v/>
      </c>
      <c r="I1144" t="str">
        <f>IFERROR(IF(OR(HLOOKUP($A1144,#REF!,7,FALSE)&gt;2,HLOOKUP($A1144,#REF!,7,FALSE)&lt;-2),"",#REF!),"")</f>
        <v/>
      </c>
      <c r="J1144" t="str">
        <f>IFERROR(IF(OR(HLOOKUP($A1144,#REF!,8,FALSE)&gt;2,HLOOKUP($A1144,#REF!,8,FALSE)&lt;-2),"",#REF!),"")</f>
        <v/>
      </c>
      <c r="K1144" t="str">
        <f>IFERROR(IF(OR(HLOOKUP($A1144,#REF!,9,FALSE)&gt;2,HLOOKUP($A1144,#REF!,9,FALSE)&lt;-2),"",#REF!),"")</f>
        <v/>
      </c>
      <c r="L1144" t="str">
        <f>IFERROR(IF(OR(HLOOKUP($A1144,#REF!,10,FALSE)&gt;2,HLOOKUP($A1144,#REF!,10,FALSE)&lt;-2),"",#REF!),"")</f>
        <v/>
      </c>
      <c r="M1144" t="str">
        <f>IFERROR(IF(OR(HLOOKUP($A1144,#REF!,11,FALSE)&gt;2,HLOOKUP($A1144,#REF!,11,FALSE)&lt;-2),"",#REF!),"")</f>
        <v/>
      </c>
      <c r="N1144" t="str">
        <f>IFERROR(IF(OR(HLOOKUP($A1144,#REF!,12,FALSE)&gt;2,HLOOKUP($A1144,#REF!,12,FALSE)&lt;-2),"",#REF!),"")</f>
        <v/>
      </c>
      <c r="O1144" t="str">
        <f>IFERROR(IF(OR(HLOOKUP($A1144,#REF!,13,FALSE)&gt;2,HLOOKUP($A1144,#REF!,13,FALSE)&lt;-2),"",#REF!),"")</f>
        <v/>
      </c>
      <c r="P1144" t="str">
        <f>IFERROR(IF(OR(HLOOKUP($A1144,#REF!,14,FALSE)&gt;2,HLOOKUP($A1144,#REF!,14,FALSE)&lt;-2),"",#REF!),"")</f>
        <v/>
      </c>
      <c r="Q1144" t="str">
        <f>IFERROR(IF(OR(HLOOKUP($A1144,#REF!,15,FALSE)&gt;2,HLOOKUP($A1144,#REF!,15,FALSE)&lt;-2),"",#REF!),"")</f>
        <v/>
      </c>
      <c r="R1144" t="str">
        <f>IFERROR(IF(OR(HLOOKUP($A1144,#REF!,16,FALSE)&gt;2,HLOOKUP($A1144,#REF!,16,FALSE)&lt;-2),"",#REF!),"")</f>
        <v/>
      </c>
      <c r="S1144" t="str">
        <f>IFERROR(IF(OR(HLOOKUP($A1144,#REF!,17,FALSE)&gt;2,HLOOKUP($A1144,#REF!,17,FALSE)&lt;-2),"",#REF!),"")</f>
        <v/>
      </c>
      <c r="T1144" t="str">
        <f>IFERROR(IF(OR(HLOOKUP($A1144,#REF!,18,FALSE)&gt;2,HLOOKUP($A1144,#REF!,18,FALSE)&lt;-2),"",#REF!),"")</f>
        <v/>
      </c>
      <c r="U1144" t="str">
        <f>IFERROR(IF(OR(HLOOKUP($A1144,#REF!,19,FALSE)&gt;2,HLOOKUP($A1144,#REF!,19,FALSE)&lt;-2),"",#REF!),"")</f>
        <v/>
      </c>
      <c r="V1144">
        <f t="shared" si="68"/>
        <v>1</v>
      </c>
      <c r="W1144" t="str">
        <f t="shared" si="69"/>
        <v/>
      </c>
      <c r="X1144" t="str">
        <f t="shared" si="70"/>
        <v/>
      </c>
      <c r="Y1144" t="str">
        <f t="shared" si="71"/>
        <v/>
      </c>
    </row>
    <row r="1145" spans="1:25" x14ac:dyDescent="0.35">
      <c r="A1145">
        <v>10687</v>
      </c>
      <c r="B1145" t="s">
        <v>1188</v>
      </c>
      <c r="C1145">
        <v>62100</v>
      </c>
      <c r="D1145">
        <v>1041</v>
      </c>
      <c r="E1145" t="str">
        <f>IFERROR(IF(OR(HLOOKUP($A1145,#REF!,3,FALSE)&gt;2,HLOOKUP(A1145,#REF!,3,FALSE)&lt;-2),"",#REF!),"")</f>
        <v/>
      </c>
      <c r="F1145" t="str">
        <f>IFERROR(IF(OR(HLOOKUP($A1145,#REF!,4,FALSE)&gt;2,HLOOKUP($A1145,#REF!,4,FALSE)&lt;-2),"",#REF!),"")</f>
        <v/>
      </c>
      <c r="G1145" t="str">
        <f>IFERROR(IF(OR(HLOOKUP($A1145,#REF!,5,FALSE)&gt;2,HLOOKUP($A1145,#REF!,5,FALSE)&lt;-2),"",#REF!),"")</f>
        <v/>
      </c>
      <c r="H1145" t="str">
        <f>IFERROR(IF(OR(HLOOKUP($A1145,#REF!,6,FALSE)&gt;2,HLOOKUP($A1145,#REF!,6,FALSE)&lt;-2),"",#REF!),"")</f>
        <v/>
      </c>
      <c r="I1145" t="str">
        <f>IFERROR(IF(OR(HLOOKUP($A1145,#REF!,7,FALSE)&gt;2,HLOOKUP($A1145,#REF!,7,FALSE)&lt;-2),"",#REF!),"")</f>
        <v/>
      </c>
      <c r="J1145" t="str">
        <f>IFERROR(IF(OR(HLOOKUP($A1145,#REF!,8,FALSE)&gt;2,HLOOKUP($A1145,#REF!,8,FALSE)&lt;-2),"",#REF!),"")</f>
        <v/>
      </c>
      <c r="K1145" t="str">
        <f>IFERROR(IF(OR(HLOOKUP($A1145,#REF!,9,FALSE)&gt;2,HLOOKUP($A1145,#REF!,9,FALSE)&lt;-2),"",#REF!),"")</f>
        <v/>
      </c>
      <c r="L1145" t="str">
        <f>IFERROR(IF(OR(HLOOKUP($A1145,#REF!,10,FALSE)&gt;2,HLOOKUP($A1145,#REF!,10,FALSE)&lt;-2),"",#REF!),"")</f>
        <v/>
      </c>
      <c r="M1145" t="str">
        <f>IFERROR(IF(OR(HLOOKUP($A1145,#REF!,11,FALSE)&gt;2,HLOOKUP($A1145,#REF!,11,FALSE)&lt;-2),"",#REF!),"")</f>
        <v/>
      </c>
      <c r="N1145" t="str">
        <f>IFERROR(IF(OR(HLOOKUP($A1145,#REF!,12,FALSE)&gt;2,HLOOKUP($A1145,#REF!,12,FALSE)&lt;-2),"",#REF!),"")</f>
        <v/>
      </c>
      <c r="O1145" t="str">
        <f>IFERROR(IF(OR(HLOOKUP($A1145,#REF!,13,FALSE)&gt;2,HLOOKUP($A1145,#REF!,13,FALSE)&lt;-2),"",#REF!),"")</f>
        <v/>
      </c>
      <c r="P1145" t="str">
        <f>IFERROR(IF(OR(HLOOKUP($A1145,#REF!,14,FALSE)&gt;2,HLOOKUP($A1145,#REF!,14,FALSE)&lt;-2),"",#REF!),"")</f>
        <v/>
      </c>
      <c r="Q1145" t="str">
        <f>IFERROR(IF(OR(HLOOKUP($A1145,#REF!,15,FALSE)&gt;2,HLOOKUP($A1145,#REF!,15,FALSE)&lt;-2),"",#REF!),"")</f>
        <v/>
      </c>
      <c r="R1145" t="str">
        <f>IFERROR(IF(OR(HLOOKUP($A1145,#REF!,16,FALSE)&gt;2,HLOOKUP($A1145,#REF!,16,FALSE)&lt;-2),"",#REF!),"")</f>
        <v/>
      </c>
      <c r="S1145" t="str">
        <f>IFERROR(IF(OR(HLOOKUP($A1145,#REF!,17,FALSE)&gt;2,HLOOKUP($A1145,#REF!,17,FALSE)&lt;-2),"",#REF!),"")</f>
        <v/>
      </c>
      <c r="T1145" t="str">
        <f>IFERROR(IF(OR(HLOOKUP($A1145,#REF!,18,FALSE)&gt;2,HLOOKUP($A1145,#REF!,18,FALSE)&lt;-2),"",#REF!),"")</f>
        <v/>
      </c>
      <c r="U1145" t="str">
        <f>IFERROR(IF(OR(HLOOKUP($A1145,#REF!,19,FALSE)&gt;2,HLOOKUP($A1145,#REF!,19,FALSE)&lt;-2),"",#REF!),"")</f>
        <v/>
      </c>
      <c r="V1145">
        <f t="shared" si="68"/>
        <v>1</v>
      </c>
      <c r="W1145" t="str">
        <f t="shared" si="69"/>
        <v/>
      </c>
      <c r="X1145" t="str">
        <f t="shared" si="70"/>
        <v/>
      </c>
      <c r="Y1145" t="str">
        <f t="shared" si="71"/>
        <v/>
      </c>
    </row>
    <row r="1146" spans="1:25" x14ac:dyDescent="0.35">
      <c r="A1146">
        <v>10688</v>
      </c>
      <c r="B1146" t="s">
        <v>1189</v>
      </c>
      <c r="C1146">
        <v>62000</v>
      </c>
      <c r="D1146">
        <v>1041</v>
      </c>
      <c r="E1146" t="str">
        <f>IFERROR(IF(OR(HLOOKUP($A1146,#REF!,3,FALSE)&gt;2,HLOOKUP(A1146,#REF!,3,FALSE)&lt;-2),"",#REF!),"")</f>
        <v/>
      </c>
      <c r="F1146" t="str">
        <f>IFERROR(IF(OR(HLOOKUP($A1146,#REF!,4,FALSE)&gt;2,HLOOKUP($A1146,#REF!,4,FALSE)&lt;-2),"",#REF!),"")</f>
        <v/>
      </c>
      <c r="G1146" t="str">
        <f>IFERROR(IF(OR(HLOOKUP($A1146,#REF!,5,FALSE)&gt;2,HLOOKUP($A1146,#REF!,5,FALSE)&lt;-2),"",#REF!),"")</f>
        <v/>
      </c>
      <c r="H1146" t="str">
        <f>IFERROR(IF(OR(HLOOKUP($A1146,#REF!,6,FALSE)&gt;2,HLOOKUP($A1146,#REF!,6,FALSE)&lt;-2),"",#REF!),"")</f>
        <v/>
      </c>
      <c r="I1146" t="str">
        <f>IFERROR(IF(OR(HLOOKUP($A1146,#REF!,7,FALSE)&gt;2,HLOOKUP($A1146,#REF!,7,FALSE)&lt;-2),"",#REF!),"")</f>
        <v/>
      </c>
      <c r="J1146" t="str">
        <f>IFERROR(IF(OR(HLOOKUP($A1146,#REF!,8,FALSE)&gt;2,HLOOKUP($A1146,#REF!,8,FALSE)&lt;-2),"",#REF!),"")</f>
        <v/>
      </c>
      <c r="K1146" t="str">
        <f>IFERROR(IF(OR(HLOOKUP($A1146,#REF!,9,FALSE)&gt;2,HLOOKUP($A1146,#REF!,9,FALSE)&lt;-2),"",#REF!),"")</f>
        <v/>
      </c>
      <c r="L1146" t="str">
        <f>IFERROR(IF(OR(HLOOKUP($A1146,#REF!,10,FALSE)&gt;2,HLOOKUP($A1146,#REF!,10,FALSE)&lt;-2),"",#REF!),"")</f>
        <v/>
      </c>
      <c r="M1146" t="str">
        <f>IFERROR(IF(OR(HLOOKUP($A1146,#REF!,11,FALSE)&gt;2,HLOOKUP($A1146,#REF!,11,FALSE)&lt;-2),"",#REF!),"")</f>
        <v/>
      </c>
      <c r="N1146" t="str">
        <f>IFERROR(IF(OR(HLOOKUP($A1146,#REF!,12,FALSE)&gt;2,HLOOKUP($A1146,#REF!,12,FALSE)&lt;-2),"",#REF!),"")</f>
        <v/>
      </c>
      <c r="O1146" t="str">
        <f>IFERROR(IF(OR(HLOOKUP($A1146,#REF!,13,FALSE)&gt;2,HLOOKUP($A1146,#REF!,13,FALSE)&lt;-2),"",#REF!),"")</f>
        <v/>
      </c>
      <c r="P1146" t="str">
        <f>IFERROR(IF(OR(HLOOKUP($A1146,#REF!,14,FALSE)&gt;2,HLOOKUP($A1146,#REF!,14,FALSE)&lt;-2),"",#REF!),"")</f>
        <v/>
      </c>
      <c r="Q1146" t="str">
        <f>IFERROR(IF(OR(HLOOKUP($A1146,#REF!,15,FALSE)&gt;2,HLOOKUP($A1146,#REF!,15,FALSE)&lt;-2),"",#REF!),"")</f>
        <v/>
      </c>
      <c r="R1146" t="str">
        <f>IFERROR(IF(OR(HLOOKUP($A1146,#REF!,16,FALSE)&gt;2,HLOOKUP($A1146,#REF!,16,FALSE)&lt;-2),"",#REF!),"")</f>
        <v/>
      </c>
      <c r="S1146" t="str">
        <f>IFERROR(IF(OR(HLOOKUP($A1146,#REF!,17,FALSE)&gt;2,HLOOKUP($A1146,#REF!,17,FALSE)&lt;-2),"",#REF!),"")</f>
        <v/>
      </c>
      <c r="T1146" t="str">
        <f>IFERROR(IF(OR(HLOOKUP($A1146,#REF!,18,FALSE)&gt;2,HLOOKUP($A1146,#REF!,18,FALSE)&lt;-2),"",#REF!),"")</f>
        <v/>
      </c>
      <c r="U1146" t="str">
        <f>IFERROR(IF(OR(HLOOKUP($A1146,#REF!,19,FALSE)&gt;2,HLOOKUP($A1146,#REF!,19,FALSE)&lt;-2),"",#REF!),"")</f>
        <v/>
      </c>
      <c r="V1146">
        <f t="shared" si="68"/>
        <v>1</v>
      </c>
      <c r="W1146" t="str">
        <f t="shared" si="69"/>
        <v/>
      </c>
      <c r="X1146" t="str">
        <f t="shared" si="70"/>
        <v/>
      </c>
      <c r="Y1146" t="str">
        <f t="shared" si="71"/>
        <v/>
      </c>
    </row>
    <row r="1147" spans="1:25" x14ac:dyDescent="0.35">
      <c r="A1147">
        <v>10689</v>
      </c>
      <c r="B1147" t="s">
        <v>1190</v>
      </c>
      <c r="C1147">
        <v>61900</v>
      </c>
      <c r="D1147">
        <v>1041</v>
      </c>
      <c r="E1147" t="str">
        <f>IFERROR(IF(OR(HLOOKUP($A1147,#REF!,3,FALSE)&gt;2,HLOOKUP(A1147,#REF!,3,FALSE)&lt;-2),"",#REF!),"")</f>
        <v/>
      </c>
      <c r="F1147" t="str">
        <f>IFERROR(IF(OR(HLOOKUP($A1147,#REF!,4,FALSE)&gt;2,HLOOKUP($A1147,#REF!,4,FALSE)&lt;-2),"",#REF!),"")</f>
        <v/>
      </c>
      <c r="G1147" t="str">
        <f>IFERROR(IF(OR(HLOOKUP($A1147,#REF!,5,FALSE)&gt;2,HLOOKUP($A1147,#REF!,5,FALSE)&lt;-2),"",#REF!),"")</f>
        <v/>
      </c>
      <c r="H1147" t="str">
        <f>IFERROR(IF(OR(HLOOKUP($A1147,#REF!,6,FALSE)&gt;2,HLOOKUP($A1147,#REF!,6,FALSE)&lt;-2),"",#REF!),"")</f>
        <v/>
      </c>
      <c r="I1147" t="str">
        <f>IFERROR(IF(OR(HLOOKUP($A1147,#REF!,7,FALSE)&gt;2,HLOOKUP($A1147,#REF!,7,FALSE)&lt;-2),"",#REF!),"")</f>
        <v/>
      </c>
      <c r="J1147" t="str">
        <f>IFERROR(IF(OR(HLOOKUP($A1147,#REF!,8,FALSE)&gt;2,HLOOKUP($A1147,#REF!,8,FALSE)&lt;-2),"",#REF!),"")</f>
        <v/>
      </c>
      <c r="K1147" t="str">
        <f>IFERROR(IF(OR(HLOOKUP($A1147,#REF!,9,FALSE)&gt;2,HLOOKUP($A1147,#REF!,9,FALSE)&lt;-2),"",#REF!),"")</f>
        <v/>
      </c>
      <c r="L1147" t="str">
        <f>IFERROR(IF(OR(HLOOKUP($A1147,#REF!,10,FALSE)&gt;2,HLOOKUP($A1147,#REF!,10,FALSE)&lt;-2),"",#REF!),"")</f>
        <v/>
      </c>
      <c r="M1147" t="str">
        <f>IFERROR(IF(OR(HLOOKUP($A1147,#REF!,11,FALSE)&gt;2,HLOOKUP($A1147,#REF!,11,FALSE)&lt;-2),"",#REF!),"")</f>
        <v/>
      </c>
      <c r="N1147" t="str">
        <f>IFERROR(IF(OR(HLOOKUP($A1147,#REF!,12,FALSE)&gt;2,HLOOKUP($A1147,#REF!,12,FALSE)&lt;-2),"",#REF!),"")</f>
        <v/>
      </c>
      <c r="O1147" t="str">
        <f>IFERROR(IF(OR(HLOOKUP($A1147,#REF!,13,FALSE)&gt;2,HLOOKUP($A1147,#REF!,13,FALSE)&lt;-2),"",#REF!),"")</f>
        <v/>
      </c>
      <c r="P1147" t="str">
        <f>IFERROR(IF(OR(HLOOKUP($A1147,#REF!,14,FALSE)&gt;2,HLOOKUP($A1147,#REF!,14,FALSE)&lt;-2),"",#REF!),"")</f>
        <v/>
      </c>
      <c r="Q1147" t="str">
        <f>IFERROR(IF(OR(HLOOKUP($A1147,#REF!,15,FALSE)&gt;2,HLOOKUP($A1147,#REF!,15,FALSE)&lt;-2),"",#REF!),"")</f>
        <v/>
      </c>
      <c r="R1147" t="str">
        <f>IFERROR(IF(OR(HLOOKUP($A1147,#REF!,16,FALSE)&gt;2,HLOOKUP($A1147,#REF!,16,FALSE)&lt;-2),"",#REF!),"")</f>
        <v/>
      </c>
      <c r="S1147" t="str">
        <f>IFERROR(IF(OR(HLOOKUP($A1147,#REF!,17,FALSE)&gt;2,HLOOKUP($A1147,#REF!,17,FALSE)&lt;-2),"",#REF!),"")</f>
        <v/>
      </c>
      <c r="T1147" t="str">
        <f>IFERROR(IF(OR(HLOOKUP($A1147,#REF!,18,FALSE)&gt;2,HLOOKUP($A1147,#REF!,18,FALSE)&lt;-2),"",#REF!),"")</f>
        <v/>
      </c>
      <c r="U1147" t="str">
        <f>IFERROR(IF(OR(HLOOKUP($A1147,#REF!,19,FALSE)&gt;2,HLOOKUP($A1147,#REF!,19,FALSE)&lt;-2),"",#REF!),"")</f>
        <v/>
      </c>
      <c r="V1147">
        <f t="shared" si="68"/>
        <v>1</v>
      </c>
      <c r="W1147" t="str">
        <f t="shared" si="69"/>
        <v/>
      </c>
      <c r="X1147" t="str">
        <f t="shared" si="70"/>
        <v/>
      </c>
      <c r="Y1147" t="str">
        <f t="shared" si="71"/>
        <v/>
      </c>
    </row>
    <row r="1148" spans="1:25" x14ac:dyDescent="0.35">
      <c r="A1148">
        <v>10690</v>
      </c>
      <c r="B1148" t="s">
        <v>1191</v>
      </c>
      <c r="C1148">
        <v>62500</v>
      </c>
      <c r="D1148">
        <v>1049</v>
      </c>
      <c r="E1148" t="str">
        <f>IFERROR(IF(OR(HLOOKUP($A1148,#REF!,3,FALSE)&gt;2,HLOOKUP(A1148,#REF!,3,FALSE)&lt;-2),"",#REF!),"")</f>
        <v/>
      </c>
      <c r="F1148" t="str">
        <f>IFERROR(IF(OR(HLOOKUP($A1148,#REF!,4,FALSE)&gt;2,HLOOKUP($A1148,#REF!,4,FALSE)&lt;-2),"",#REF!),"")</f>
        <v/>
      </c>
      <c r="G1148" t="str">
        <f>IFERROR(IF(OR(HLOOKUP($A1148,#REF!,5,FALSE)&gt;2,HLOOKUP($A1148,#REF!,5,FALSE)&lt;-2),"",#REF!),"")</f>
        <v/>
      </c>
      <c r="H1148" t="str">
        <f>IFERROR(IF(OR(HLOOKUP($A1148,#REF!,6,FALSE)&gt;2,HLOOKUP($A1148,#REF!,6,FALSE)&lt;-2),"",#REF!),"")</f>
        <v/>
      </c>
      <c r="I1148" t="str">
        <f>IFERROR(IF(OR(HLOOKUP($A1148,#REF!,7,FALSE)&gt;2,HLOOKUP($A1148,#REF!,7,FALSE)&lt;-2),"",#REF!),"")</f>
        <v/>
      </c>
      <c r="J1148" t="str">
        <f>IFERROR(IF(OR(HLOOKUP($A1148,#REF!,8,FALSE)&gt;2,HLOOKUP($A1148,#REF!,8,FALSE)&lt;-2),"",#REF!),"")</f>
        <v/>
      </c>
      <c r="K1148" t="str">
        <f>IFERROR(IF(OR(HLOOKUP($A1148,#REF!,9,FALSE)&gt;2,HLOOKUP($A1148,#REF!,9,FALSE)&lt;-2),"",#REF!),"")</f>
        <v/>
      </c>
      <c r="L1148" t="str">
        <f>IFERROR(IF(OR(HLOOKUP($A1148,#REF!,10,FALSE)&gt;2,HLOOKUP($A1148,#REF!,10,FALSE)&lt;-2),"",#REF!),"")</f>
        <v/>
      </c>
      <c r="M1148" t="str">
        <f>IFERROR(IF(OR(HLOOKUP($A1148,#REF!,11,FALSE)&gt;2,HLOOKUP($A1148,#REF!,11,FALSE)&lt;-2),"",#REF!),"")</f>
        <v/>
      </c>
      <c r="N1148" t="str">
        <f>IFERROR(IF(OR(HLOOKUP($A1148,#REF!,12,FALSE)&gt;2,HLOOKUP($A1148,#REF!,12,FALSE)&lt;-2),"",#REF!),"")</f>
        <v/>
      </c>
      <c r="O1148" t="str">
        <f>IFERROR(IF(OR(HLOOKUP($A1148,#REF!,13,FALSE)&gt;2,HLOOKUP($A1148,#REF!,13,FALSE)&lt;-2),"",#REF!),"")</f>
        <v/>
      </c>
      <c r="P1148" t="str">
        <f>IFERROR(IF(OR(HLOOKUP($A1148,#REF!,14,FALSE)&gt;2,HLOOKUP($A1148,#REF!,14,FALSE)&lt;-2),"",#REF!),"")</f>
        <v/>
      </c>
      <c r="Q1148" t="str">
        <f>IFERROR(IF(OR(HLOOKUP($A1148,#REF!,15,FALSE)&gt;2,HLOOKUP($A1148,#REF!,15,FALSE)&lt;-2),"",#REF!),"")</f>
        <v/>
      </c>
      <c r="R1148" t="str">
        <f>IFERROR(IF(OR(HLOOKUP($A1148,#REF!,16,FALSE)&gt;2,HLOOKUP($A1148,#REF!,16,FALSE)&lt;-2),"",#REF!),"")</f>
        <v/>
      </c>
      <c r="S1148" t="str">
        <f>IFERROR(IF(OR(HLOOKUP($A1148,#REF!,17,FALSE)&gt;2,HLOOKUP($A1148,#REF!,17,FALSE)&lt;-2),"",#REF!),"")</f>
        <v/>
      </c>
      <c r="T1148" t="str">
        <f>IFERROR(IF(OR(HLOOKUP($A1148,#REF!,18,FALSE)&gt;2,HLOOKUP($A1148,#REF!,18,FALSE)&lt;-2),"",#REF!),"")</f>
        <v/>
      </c>
      <c r="U1148" t="str">
        <f>IFERROR(IF(OR(HLOOKUP($A1148,#REF!,19,FALSE)&gt;2,HLOOKUP($A1148,#REF!,19,FALSE)&lt;-2),"",#REF!),"")</f>
        <v/>
      </c>
      <c r="V1148">
        <f t="shared" si="68"/>
        <v>1</v>
      </c>
      <c r="W1148" t="str">
        <f t="shared" si="69"/>
        <v/>
      </c>
      <c r="X1148" t="str">
        <f t="shared" si="70"/>
        <v/>
      </c>
      <c r="Y1148" t="str">
        <f t="shared" si="71"/>
        <v/>
      </c>
    </row>
    <row r="1149" spans="1:25" x14ac:dyDescent="0.35">
      <c r="A1149">
        <v>10691</v>
      </c>
      <c r="B1149" t="s">
        <v>1192</v>
      </c>
      <c r="C1149">
        <v>62400</v>
      </c>
      <c r="D1149">
        <v>1049</v>
      </c>
      <c r="E1149" t="str">
        <f>IFERROR(IF(OR(HLOOKUP($A1149,#REF!,3,FALSE)&gt;2,HLOOKUP(A1149,#REF!,3,FALSE)&lt;-2),"",#REF!),"")</f>
        <v/>
      </c>
      <c r="F1149" t="str">
        <f>IFERROR(IF(OR(HLOOKUP($A1149,#REF!,4,FALSE)&gt;2,HLOOKUP($A1149,#REF!,4,FALSE)&lt;-2),"",#REF!),"")</f>
        <v/>
      </c>
      <c r="G1149" t="str">
        <f>IFERROR(IF(OR(HLOOKUP($A1149,#REF!,5,FALSE)&gt;2,HLOOKUP($A1149,#REF!,5,FALSE)&lt;-2),"",#REF!),"")</f>
        <v/>
      </c>
      <c r="H1149" t="str">
        <f>IFERROR(IF(OR(HLOOKUP($A1149,#REF!,6,FALSE)&gt;2,HLOOKUP($A1149,#REF!,6,FALSE)&lt;-2),"",#REF!),"")</f>
        <v/>
      </c>
      <c r="I1149" t="str">
        <f>IFERROR(IF(OR(HLOOKUP($A1149,#REF!,7,FALSE)&gt;2,HLOOKUP($A1149,#REF!,7,FALSE)&lt;-2),"",#REF!),"")</f>
        <v/>
      </c>
      <c r="J1149" t="str">
        <f>IFERROR(IF(OR(HLOOKUP($A1149,#REF!,8,FALSE)&gt;2,HLOOKUP($A1149,#REF!,8,FALSE)&lt;-2),"",#REF!),"")</f>
        <v/>
      </c>
      <c r="K1149" t="str">
        <f>IFERROR(IF(OR(HLOOKUP($A1149,#REF!,9,FALSE)&gt;2,HLOOKUP($A1149,#REF!,9,FALSE)&lt;-2),"",#REF!),"")</f>
        <v/>
      </c>
      <c r="L1149" t="str">
        <f>IFERROR(IF(OR(HLOOKUP($A1149,#REF!,10,FALSE)&gt;2,HLOOKUP($A1149,#REF!,10,FALSE)&lt;-2),"",#REF!),"")</f>
        <v/>
      </c>
      <c r="M1149" t="str">
        <f>IFERROR(IF(OR(HLOOKUP($A1149,#REF!,11,FALSE)&gt;2,HLOOKUP($A1149,#REF!,11,FALSE)&lt;-2),"",#REF!),"")</f>
        <v/>
      </c>
      <c r="N1149" t="str">
        <f>IFERROR(IF(OR(HLOOKUP($A1149,#REF!,12,FALSE)&gt;2,HLOOKUP($A1149,#REF!,12,FALSE)&lt;-2),"",#REF!),"")</f>
        <v/>
      </c>
      <c r="O1149" t="str">
        <f>IFERROR(IF(OR(HLOOKUP($A1149,#REF!,13,FALSE)&gt;2,HLOOKUP($A1149,#REF!,13,FALSE)&lt;-2),"",#REF!),"")</f>
        <v/>
      </c>
      <c r="P1149" t="str">
        <f>IFERROR(IF(OR(HLOOKUP($A1149,#REF!,14,FALSE)&gt;2,HLOOKUP($A1149,#REF!,14,FALSE)&lt;-2),"",#REF!),"")</f>
        <v/>
      </c>
      <c r="Q1149" t="str">
        <f>IFERROR(IF(OR(HLOOKUP($A1149,#REF!,15,FALSE)&gt;2,HLOOKUP($A1149,#REF!,15,FALSE)&lt;-2),"",#REF!),"")</f>
        <v/>
      </c>
      <c r="R1149" t="str">
        <f>IFERROR(IF(OR(HLOOKUP($A1149,#REF!,16,FALSE)&gt;2,HLOOKUP($A1149,#REF!,16,FALSE)&lt;-2),"",#REF!),"")</f>
        <v/>
      </c>
      <c r="S1149" t="str">
        <f>IFERROR(IF(OR(HLOOKUP($A1149,#REF!,17,FALSE)&gt;2,HLOOKUP($A1149,#REF!,17,FALSE)&lt;-2),"",#REF!),"")</f>
        <v/>
      </c>
      <c r="T1149" t="str">
        <f>IFERROR(IF(OR(HLOOKUP($A1149,#REF!,18,FALSE)&gt;2,HLOOKUP($A1149,#REF!,18,FALSE)&lt;-2),"",#REF!),"")</f>
        <v/>
      </c>
      <c r="U1149" t="str">
        <f>IFERROR(IF(OR(HLOOKUP($A1149,#REF!,19,FALSE)&gt;2,HLOOKUP($A1149,#REF!,19,FALSE)&lt;-2),"",#REF!),"")</f>
        <v/>
      </c>
      <c r="V1149">
        <f t="shared" si="68"/>
        <v>1</v>
      </c>
      <c r="W1149" t="str">
        <f t="shared" si="69"/>
        <v/>
      </c>
      <c r="X1149" t="str">
        <f t="shared" si="70"/>
        <v/>
      </c>
      <c r="Y1149" t="str">
        <f t="shared" si="71"/>
        <v/>
      </c>
    </row>
    <row r="1150" spans="1:25" x14ac:dyDescent="0.35">
      <c r="A1150">
        <v>10692</v>
      </c>
      <c r="B1150" t="s">
        <v>1193</v>
      </c>
      <c r="C1150">
        <v>62300</v>
      </c>
      <c r="D1150">
        <v>1049</v>
      </c>
      <c r="E1150" t="str">
        <f>IFERROR(IF(OR(HLOOKUP($A1150,#REF!,3,FALSE)&gt;2,HLOOKUP(A1150,#REF!,3,FALSE)&lt;-2),"",#REF!),"")</f>
        <v/>
      </c>
      <c r="F1150" t="str">
        <f>IFERROR(IF(OR(HLOOKUP($A1150,#REF!,4,FALSE)&gt;2,HLOOKUP($A1150,#REF!,4,FALSE)&lt;-2),"",#REF!),"")</f>
        <v/>
      </c>
      <c r="G1150" t="str">
        <f>IFERROR(IF(OR(HLOOKUP($A1150,#REF!,5,FALSE)&gt;2,HLOOKUP($A1150,#REF!,5,FALSE)&lt;-2),"",#REF!),"")</f>
        <v/>
      </c>
      <c r="H1150" t="str">
        <f>IFERROR(IF(OR(HLOOKUP($A1150,#REF!,6,FALSE)&gt;2,HLOOKUP($A1150,#REF!,6,FALSE)&lt;-2),"",#REF!),"")</f>
        <v/>
      </c>
      <c r="I1150" t="str">
        <f>IFERROR(IF(OR(HLOOKUP($A1150,#REF!,7,FALSE)&gt;2,HLOOKUP($A1150,#REF!,7,FALSE)&lt;-2),"",#REF!),"")</f>
        <v/>
      </c>
      <c r="J1150" t="str">
        <f>IFERROR(IF(OR(HLOOKUP($A1150,#REF!,8,FALSE)&gt;2,HLOOKUP($A1150,#REF!,8,FALSE)&lt;-2),"",#REF!),"")</f>
        <v/>
      </c>
      <c r="K1150" t="str">
        <f>IFERROR(IF(OR(HLOOKUP($A1150,#REF!,9,FALSE)&gt;2,HLOOKUP($A1150,#REF!,9,FALSE)&lt;-2),"",#REF!),"")</f>
        <v/>
      </c>
      <c r="L1150" t="str">
        <f>IFERROR(IF(OR(HLOOKUP($A1150,#REF!,10,FALSE)&gt;2,HLOOKUP($A1150,#REF!,10,FALSE)&lt;-2),"",#REF!),"")</f>
        <v/>
      </c>
      <c r="M1150" t="str">
        <f>IFERROR(IF(OR(HLOOKUP($A1150,#REF!,11,FALSE)&gt;2,HLOOKUP($A1150,#REF!,11,FALSE)&lt;-2),"",#REF!),"")</f>
        <v/>
      </c>
      <c r="N1150" t="str">
        <f>IFERROR(IF(OR(HLOOKUP($A1150,#REF!,12,FALSE)&gt;2,HLOOKUP($A1150,#REF!,12,FALSE)&lt;-2),"",#REF!),"")</f>
        <v/>
      </c>
      <c r="O1150" t="str">
        <f>IFERROR(IF(OR(HLOOKUP($A1150,#REF!,13,FALSE)&gt;2,HLOOKUP($A1150,#REF!,13,FALSE)&lt;-2),"",#REF!),"")</f>
        <v/>
      </c>
      <c r="P1150" t="str">
        <f>IFERROR(IF(OR(HLOOKUP($A1150,#REF!,14,FALSE)&gt;2,HLOOKUP($A1150,#REF!,14,FALSE)&lt;-2),"",#REF!),"")</f>
        <v/>
      </c>
      <c r="Q1150" t="str">
        <f>IFERROR(IF(OR(HLOOKUP($A1150,#REF!,15,FALSE)&gt;2,HLOOKUP($A1150,#REF!,15,FALSE)&lt;-2),"",#REF!),"")</f>
        <v/>
      </c>
      <c r="R1150" t="str">
        <f>IFERROR(IF(OR(HLOOKUP($A1150,#REF!,16,FALSE)&gt;2,HLOOKUP($A1150,#REF!,16,FALSE)&lt;-2),"",#REF!),"")</f>
        <v/>
      </c>
      <c r="S1150" t="str">
        <f>IFERROR(IF(OR(HLOOKUP($A1150,#REF!,17,FALSE)&gt;2,HLOOKUP($A1150,#REF!,17,FALSE)&lt;-2),"",#REF!),"")</f>
        <v/>
      </c>
      <c r="T1150" t="str">
        <f>IFERROR(IF(OR(HLOOKUP($A1150,#REF!,18,FALSE)&gt;2,HLOOKUP($A1150,#REF!,18,FALSE)&lt;-2),"",#REF!),"")</f>
        <v/>
      </c>
      <c r="U1150" t="str">
        <f>IFERROR(IF(OR(HLOOKUP($A1150,#REF!,19,FALSE)&gt;2,HLOOKUP($A1150,#REF!,19,FALSE)&lt;-2),"",#REF!),"")</f>
        <v/>
      </c>
      <c r="V1150">
        <f t="shared" si="68"/>
        <v>1</v>
      </c>
      <c r="W1150" t="str">
        <f t="shared" si="69"/>
        <v/>
      </c>
      <c r="X1150" t="str">
        <f t="shared" si="70"/>
        <v/>
      </c>
      <c r="Y1150" t="str">
        <f t="shared" si="71"/>
        <v/>
      </c>
    </row>
    <row r="1151" spans="1:25" x14ac:dyDescent="0.35">
      <c r="A1151">
        <v>10693</v>
      </c>
      <c r="B1151" t="s">
        <v>1194</v>
      </c>
      <c r="C1151">
        <v>44400</v>
      </c>
      <c r="D1151">
        <v>843</v>
      </c>
      <c r="E1151" t="str">
        <f>IFERROR(IF(OR(HLOOKUP($A1151,#REF!,3,FALSE)&gt;2,HLOOKUP(A1151,#REF!,3,FALSE)&lt;-2),"",#REF!),"")</f>
        <v/>
      </c>
      <c r="F1151" t="str">
        <f>IFERROR(IF(OR(HLOOKUP($A1151,#REF!,4,FALSE)&gt;2,HLOOKUP($A1151,#REF!,4,FALSE)&lt;-2),"",#REF!),"")</f>
        <v/>
      </c>
      <c r="G1151" t="str">
        <f>IFERROR(IF(OR(HLOOKUP($A1151,#REF!,5,FALSE)&gt;2,HLOOKUP($A1151,#REF!,5,FALSE)&lt;-2),"",#REF!),"")</f>
        <v/>
      </c>
      <c r="H1151" t="str">
        <f>IFERROR(IF(OR(HLOOKUP($A1151,#REF!,6,FALSE)&gt;2,HLOOKUP($A1151,#REF!,6,FALSE)&lt;-2),"",#REF!),"")</f>
        <v/>
      </c>
      <c r="I1151" t="str">
        <f>IFERROR(IF(OR(HLOOKUP($A1151,#REF!,7,FALSE)&gt;2,HLOOKUP($A1151,#REF!,7,FALSE)&lt;-2),"",#REF!),"")</f>
        <v/>
      </c>
      <c r="J1151" t="str">
        <f>IFERROR(IF(OR(HLOOKUP($A1151,#REF!,8,FALSE)&gt;2,HLOOKUP($A1151,#REF!,8,FALSE)&lt;-2),"",#REF!),"")</f>
        <v/>
      </c>
      <c r="K1151" t="str">
        <f>IFERROR(IF(OR(HLOOKUP($A1151,#REF!,9,FALSE)&gt;2,HLOOKUP($A1151,#REF!,9,FALSE)&lt;-2),"",#REF!),"")</f>
        <v/>
      </c>
      <c r="L1151" t="str">
        <f>IFERROR(IF(OR(HLOOKUP($A1151,#REF!,10,FALSE)&gt;2,HLOOKUP($A1151,#REF!,10,FALSE)&lt;-2),"",#REF!),"")</f>
        <v/>
      </c>
      <c r="M1151" t="str">
        <f>IFERROR(IF(OR(HLOOKUP($A1151,#REF!,11,FALSE)&gt;2,HLOOKUP($A1151,#REF!,11,FALSE)&lt;-2),"",#REF!),"")</f>
        <v/>
      </c>
      <c r="N1151" t="str">
        <f>IFERROR(IF(OR(HLOOKUP($A1151,#REF!,12,FALSE)&gt;2,HLOOKUP($A1151,#REF!,12,FALSE)&lt;-2),"",#REF!),"")</f>
        <v/>
      </c>
      <c r="O1151" t="str">
        <f>IFERROR(IF(OR(HLOOKUP($A1151,#REF!,13,FALSE)&gt;2,HLOOKUP($A1151,#REF!,13,FALSE)&lt;-2),"",#REF!),"")</f>
        <v/>
      </c>
      <c r="P1151" t="str">
        <f>IFERROR(IF(OR(HLOOKUP($A1151,#REF!,14,FALSE)&gt;2,HLOOKUP($A1151,#REF!,14,FALSE)&lt;-2),"",#REF!),"")</f>
        <v/>
      </c>
      <c r="Q1151" t="str">
        <f>IFERROR(IF(OR(HLOOKUP($A1151,#REF!,15,FALSE)&gt;2,HLOOKUP($A1151,#REF!,15,FALSE)&lt;-2),"",#REF!),"")</f>
        <v/>
      </c>
      <c r="R1151" t="str">
        <f>IFERROR(IF(OR(HLOOKUP($A1151,#REF!,16,FALSE)&gt;2,HLOOKUP($A1151,#REF!,16,FALSE)&lt;-2),"",#REF!),"")</f>
        <v/>
      </c>
      <c r="S1151" t="str">
        <f>IFERROR(IF(OR(HLOOKUP($A1151,#REF!,17,FALSE)&gt;2,HLOOKUP($A1151,#REF!,17,FALSE)&lt;-2),"",#REF!),"")</f>
        <v/>
      </c>
      <c r="T1151" t="str">
        <f>IFERROR(IF(OR(HLOOKUP($A1151,#REF!,18,FALSE)&gt;2,HLOOKUP($A1151,#REF!,18,FALSE)&lt;-2),"",#REF!),"")</f>
        <v/>
      </c>
      <c r="U1151" t="str">
        <f>IFERROR(IF(OR(HLOOKUP($A1151,#REF!,19,FALSE)&gt;2,HLOOKUP($A1151,#REF!,19,FALSE)&lt;-2),"",#REF!),"")</f>
        <v/>
      </c>
      <c r="V1151">
        <f t="shared" si="68"/>
        <v>1</v>
      </c>
      <c r="W1151" t="str">
        <f t="shared" si="69"/>
        <v/>
      </c>
      <c r="X1151" t="str">
        <f t="shared" si="70"/>
        <v/>
      </c>
      <c r="Y1151" t="str">
        <f t="shared" si="71"/>
        <v/>
      </c>
    </row>
    <row r="1152" spans="1:25" x14ac:dyDescent="0.35">
      <c r="A1152">
        <v>10694</v>
      </c>
      <c r="B1152" t="s">
        <v>1195</v>
      </c>
      <c r="C1152">
        <v>44500</v>
      </c>
      <c r="D1152">
        <v>843</v>
      </c>
      <c r="E1152" t="str">
        <f>IFERROR(IF(OR(HLOOKUP($A1152,#REF!,3,FALSE)&gt;2,HLOOKUP(A1152,#REF!,3,FALSE)&lt;-2),"",#REF!),"")</f>
        <v/>
      </c>
      <c r="F1152" t="str">
        <f>IFERROR(IF(OR(HLOOKUP($A1152,#REF!,4,FALSE)&gt;2,HLOOKUP($A1152,#REF!,4,FALSE)&lt;-2),"",#REF!),"")</f>
        <v/>
      </c>
      <c r="G1152" t="str">
        <f>IFERROR(IF(OR(HLOOKUP($A1152,#REF!,5,FALSE)&gt;2,HLOOKUP($A1152,#REF!,5,FALSE)&lt;-2),"",#REF!),"")</f>
        <v/>
      </c>
      <c r="H1152" t="str">
        <f>IFERROR(IF(OR(HLOOKUP($A1152,#REF!,6,FALSE)&gt;2,HLOOKUP($A1152,#REF!,6,FALSE)&lt;-2),"",#REF!),"")</f>
        <v/>
      </c>
      <c r="I1152" t="str">
        <f>IFERROR(IF(OR(HLOOKUP($A1152,#REF!,7,FALSE)&gt;2,HLOOKUP($A1152,#REF!,7,FALSE)&lt;-2),"",#REF!),"")</f>
        <v/>
      </c>
      <c r="J1152" t="str">
        <f>IFERROR(IF(OR(HLOOKUP($A1152,#REF!,8,FALSE)&gt;2,HLOOKUP($A1152,#REF!,8,FALSE)&lt;-2),"",#REF!),"")</f>
        <v/>
      </c>
      <c r="K1152" t="str">
        <f>IFERROR(IF(OR(HLOOKUP($A1152,#REF!,9,FALSE)&gt;2,HLOOKUP($A1152,#REF!,9,FALSE)&lt;-2),"",#REF!),"")</f>
        <v/>
      </c>
      <c r="L1152" t="str">
        <f>IFERROR(IF(OR(HLOOKUP($A1152,#REF!,10,FALSE)&gt;2,HLOOKUP($A1152,#REF!,10,FALSE)&lt;-2),"",#REF!),"")</f>
        <v/>
      </c>
      <c r="M1152" t="str">
        <f>IFERROR(IF(OR(HLOOKUP($A1152,#REF!,11,FALSE)&gt;2,HLOOKUP($A1152,#REF!,11,FALSE)&lt;-2),"",#REF!),"")</f>
        <v/>
      </c>
      <c r="N1152" t="str">
        <f>IFERROR(IF(OR(HLOOKUP($A1152,#REF!,12,FALSE)&gt;2,HLOOKUP($A1152,#REF!,12,FALSE)&lt;-2),"",#REF!),"")</f>
        <v/>
      </c>
      <c r="O1152" t="str">
        <f>IFERROR(IF(OR(HLOOKUP($A1152,#REF!,13,FALSE)&gt;2,HLOOKUP($A1152,#REF!,13,FALSE)&lt;-2),"",#REF!),"")</f>
        <v/>
      </c>
      <c r="P1152" t="str">
        <f>IFERROR(IF(OR(HLOOKUP($A1152,#REF!,14,FALSE)&gt;2,HLOOKUP($A1152,#REF!,14,FALSE)&lt;-2),"",#REF!),"")</f>
        <v/>
      </c>
      <c r="Q1152" t="str">
        <f>IFERROR(IF(OR(HLOOKUP($A1152,#REF!,15,FALSE)&gt;2,HLOOKUP($A1152,#REF!,15,FALSE)&lt;-2),"",#REF!),"")</f>
        <v/>
      </c>
      <c r="R1152" t="str">
        <f>IFERROR(IF(OR(HLOOKUP($A1152,#REF!,16,FALSE)&gt;2,HLOOKUP($A1152,#REF!,16,FALSE)&lt;-2),"",#REF!),"")</f>
        <v/>
      </c>
      <c r="S1152" t="str">
        <f>IFERROR(IF(OR(HLOOKUP($A1152,#REF!,17,FALSE)&gt;2,HLOOKUP($A1152,#REF!,17,FALSE)&lt;-2),"",#REF!),"")</f>
        <v/>
      </c>
      <c r="T1152" t="str">
        <f>IFERROR(IF(OR(HLOOKUP($A1152,#REF!,18,FALSE)&gt;2,HLOOKUP($A1152,#REF!,18,FALSE)&lt;-2),"",#REF!),"")</f>
        <v/>
      </c>
      <c r="U1152" t="str">
        <f>IFERROR(IF(OR(HLOOKUP($A1152,#REF!,19,FALSE)&gt;2,HLOOKUP($A1152,#REF!,19,FALSE)&lt;-2),"",#REF!),"")</f>
        <v/>
      </c>
      <c r="V1152">
        <f t="shared" si="68"/>
        <v>1</v>
      </c>
      <c r="W1152" t="str">
        <f t="shared" si="69"/>
        <v/>
      </c>
      <c r="X1152" t="str">
        <f t="shared" si="70"/>
        <v/>
      </c>
      <c r="Y1152" t="str">
        <f t="shared" si="71"/>
        <v/>
      </c>
    </row>
    <row r="1153" spans="1:25" x14ac:dyDescent="0.35">
      <c r="A1153">
        <v>10695</v>
      </c>
      <c r="B1153" t="s">
        <v>1196</v>
      </c>
      <c r="C1153">
        <v>44600</v>
      </c>
      <c r="D1153">
        <v>843</v>
      </c>
      <c r="E1153" t="str">
        <f>IFERROR(IF(OR(HLOOKUP($A1153,#REF!,3,FALSE)&gt;2,HLOOKUP(A1153,#REF!,3,FALSE)&lt;-2),"",#REF!),"")</f>
        <v/>
      </c>
      <c r="F1153" t="str">
        <f>IFERROR(IF(OR(HLOOKUP($A1153,#REF!,4,FALSE)&gt;2,HLOOKUP($A1153,#REF!,4,FALSE)&lt;-2),"",#REF!),"")</f>
        <v/>
      </c>
      <c r="G1153" t="str">
        <f>IFERROR(IF(OR(HLOOKUP($A1153,#REF!,5,FALSE)&gt;2,HLOOKUP($A1153,#REF!,5,FALSE)&lt;-2),"",#REF!),"")</f>
        <v/>
      </c>
      <c r="H1153" t="str">
        <f>IFERROR(IF(OR(HLOOKUP($A1153,#REF!,6,FALSE)&gt;2,HLOOKUP($A1153,#REF!,6,FALSE)&lt;-2),"",#REF!),"")</f>
        <v/>
      </c>
      <c r="I1153" t="str">
        <f>IFERROR(IF(OR(HLOOKUP($A1153,#REF!,7,FALSE)&gt;2,HLOOKUP($A1153,#REF!,7,FALSE)&lt;-2),"",#REF!),"")</f>
        <v/>
      </c>
      <c r="J1153" t="str">
        <f>IFERROR(IF(OR(HLOOKUP($A1153,#REF!,8,FALSE)&gt;2,HLOOKUP($A1153,#REF!,8,FALSE)&lt;-2),"",#REF!),"")</f>
        <v/>
      </c>
      <c r="K1153" t="str">
        <f>IFERROR(IF(OR(HLOOKUP($A1153,#REF!,9,FALSE)&gt;2,HLOOKUP($A1153,#REF!,9,FALSE)&lt;-2),"",#REF!),"")</f>
        <v/>
      </c>
      <c r="L1153" t="str">
        <f>IFERROR(IF(OR(HLOOKUP($A1153,#REF!,10,FALSE)&gt;2,HLOOKUP($A1153,#REF!,10,FALSE)&lt;-2),"",#REF!),"")</f>
        <v/>
      </c>
      <c r="M1153" t="str">
        <f>IFERROR(IF(OR(HLOOKUP($A1153,#REF!,11,FALSE)&gt;2,HLOOKUP($A1153,#REF!,11,FALSE)&lt;-2),"",#REF!),"")</f>
        <v/>
      </c>
      <c r="N1153" t="str">
        <f>IFERROR(IF(OR(HLOOKUP($A1153,#REF!,12,FALSE)&gt;2,HLOOKUP($A1153,#REF!,12,FALSE)&lt;-2),"",#REF!),"")</f>
        <v/>
      </c>
      <c r="O1153" t="str">
        <f>IFERROR(IF(OR(HLOOKUP($A1153,#REF!,13,FALSE)&gt;2,HLOOKUP($A1153,#REF!,13,FALSE)&lt;-2),"",#REF!),"")</f>
        <v/>
      </c>
      <c r="P1153" t="str">
        <f>IFERROR(IF(OR(HLOOKUP($A1153,#REF!,14,FALSE)&gt;2,HLOOKUP($A1153,#REF!,14,FALSE)&lt;-2),"",#REF!),"")</f>
        <v/>
      </c>
      <c r="Q1153" t="str">
        <f>IFERROR(IF(OR(HLOOKUP($A1153,#REF!,15,FALSE)&gt;2,HLOOKUP($A1153,#REF!,15,FALSE)&lt;-2),"",#REF!),"")</f>
        <v/>
      </c>
      <c r="R1153" t="str">
        <f>IFERROR(IF(OR(HLOOKUP($A1153,#REF!,16,FALSE)&gt;2,HLOOKUP($A1153,#REF!,16,FALSE)&lt;-2),"",#REF!),"")</f>
        <v/>
      </c>
      <c r="S1153" t="str">
        <f>IFERROR(IF(OR(HLOOKUP($A1153,#REF!,17,FALSE)&gt;2,HLOOKUP($A1153,#REF!,17,FALSE)&lt;-2),"",#REF!),"")</f>
        <v/>
      </c>
      <c r="T1153" t="str">
        <f>IFERROR(IF(OR(HLOOKUP($A1153,#REF!,18,FALSE)&gt;2,HLOOKUP($A1153,#REF!,18,FALSE)&lt;-2),"",#REF!),"")</f>
        <v/>
      </c>
      <c r="U1153" t="str">
        <f>IFERROR(IF(OR(HLOOKUP($A1153,#REF!,19,FALSE)&gt;2,HLOOKUP($A1153,#REF!,19,FALSE)&lt;-2),"",#REF!),"")</f>
        <v/>
      </c>
      <c r="V1153">
        <f t="shared" si="68"/>
        <v>1</v>
      </c>
      <c r="W1153" t="str">
        <f t="shared" si="69"/>
        <v/>
      </c>
      <c r="X1153" t="str">
        <f t="shared" si="70"/>
        <v/>
      </c>
      <c r="Y1153" t="str">
        <f t="shared" si="71"/>
        <v/>
      </c>
    </row>
    <row r="1154" spans="1:25" x14ac:dyDescent="0.35">
      <c r="A1154">
        <v>10696</v>
      </c>
      <c r="B1154" t="s">
        <v>1197</v>
      </c>
      <c r="C1154">
        <v>44800</v>
      </c>
      <c r="D1154">
        <v>1037</v>
      </c>
      <c r="E1154" t="str">
        <f>IFERROR(IF(OR(HLOOKUP($A1154,#REF!,3,FALSE)&gt;2,HLOOKUP(A1154,#REF!,3,FALSE)&lt;-2),"",#REF!),"")</f>
        <v/>
      </c>
      <c r="F1154" t="str">
        <f>IFERROR(IF(OR(HLOOKUP($A1154,#REF!,4,FALSE)&gt;2,HLOOKUP($A1154,#REF!,4,FALSE)&lt;-2),"",#REF!),"")</f>
        <v/>
      </c>
      <c r="G1154" t="str">
        <f>IFERROR(IF(OR(HLOOKUP($A1154,#REF!,5,FALSE)&gt;2,HLOOKUP($A1154,#REF!,5,FALSE)&lt;-2),"",#REF!),"")</f>
        <v/>
      </c>
      <c r="H1154" t="str">
        <f>IFERROR(IF(OR(HLOOKUP($A1154,#REF!,6,FALSE)&gt;2,HLOOKUP($A1154,#REF!,6,FALSE)&lt;-2),"",#REF!),"")</f>
        <v/>
      </c>
      <c r="I1154" t="str">
        <f>IFERROR(IF(OR(HLOOKUP($A1154,#REF!,7,FALSE)&gt;2,HLOOKUP($A1154,#REF!,7,FALSE)&lt;-2),"",#REF!),"")</f>
        <v/>
      </c>
      <c r="J1154" t="str">
        <f>IFERROR(IF(OR(HLOOKUP($A1154,#REF!,8,FALSE)&gt;2,HLOOKUP($A1154,#REF!,8,FALSE)&lt;-2),"",#REF!),"")</f>
        <v/>
      </c>
      <c r="K1154" t="str">
        <f>IFERROR(IF(OR(HLOOKUP($A1154,#REF!,9,FALSE)&gt;2,HLOOKUP($A1154,#REF!,9,FALSE)&lt;-2),"",#REF!),"")</f>
        <v/>
      </c>
      <c r="L1154" t="str">
        <f>IFERROR(IF(OR(HLOOKUP($A1154,#REF!,10,FALSE)&gt;2,HLOOKUP($A1154,#REF!,10,FALSE)&lt;-2),"",#REF!),"")</f>
        <v/>
      </c>
      <c r="M1154" t="str">
        <f>IFERROR(IF(OR(HLOOKUP($A1154,#REF!,11,FALSE)&gt;2,HLOOKUP($A1154,#REF!,11,FALSE)&lt;-2),"",#REF!),"")</f>
        <v/>
      </c>
      <c r="N1154" t="str">
        <f>IFERROR(IF(OR(HLOOKUP($A1154,#REF!,12,FALSE)&gt;2,HLOOKUP($A1154,#REF!,12,FALSE)&lt;-2),"",#REF!),"")</f>
        <v/>
      </c>
      <c r="O1154" t="str">
        <f>IFERROR(IF(OR(HLOOKUP($A1154,#REF!,13,FALSE)&gt;2,HLOOKUP($A1154,#REF!,13,FALSE)&lt;-2),"",#REF!),"")</f>
        <v/>
      </c>
      <c r="P1154" t="str">
        <f>IFERROR(IF(OR(HLOOKUP($A1154,#REF!,14,FALSE)&gt;2,HLOOKUP($A1154,#REF!,14,FALSE)&lt;-2),"",#REF!),"")</f>
        <v/>
      </c>
      <c r="Q1154" t="str">
        <f>IFERROR(IF(OR(HLOOKUP($A1154,#REF!,15,FALSE)&gt;2,HLOOKUP($A1154,#REF!,15,FALSE)&lt;-2),"",#REF!),"")</f>
        <v/>
      </c>
      <c r="R1154" t="str">
        <f>IFERROR(IF(OR(HLOOKUP($A1154,#REF!,16,FALSE)&gt;2,HLOOKUP($A1154,#REF!,16,FALSE)&lt;-2),"",#REF!),"")</f>
        <v/>
      </c>
      <c r="S1154" t="str">
        <f>IFERROR(IF(OR(HLOOKUP($A1154,#REF!,17,FALSE)&gt;2,HLOOKUP($A1154,#REF!,17,FALSE)&lt;-2),"",#REF!),"")</f>
        <v/>
      </c>
      <c r="T1154" t="str">
        <f>IFERROR(IF(OR(HLOOKUP($A1154,#REF!,18,FALSE)&gt;2,HLOOKUP($A1154,#REF!,18,FALSE)&lt;-2),"",#REF!),"")</f>
        <v/>
      </c>
      <c r="U1154" t="str">
        <f>IFERROR(IF(OR(HLOOKUP($A1154,#REF!,19,FALSE)&gt;2,HLOOKUP($A1154,#REF!,19,FALSE)&lt;-2),"",#REF!),"")</f>
        <v/>
      </c>
      <c r="V1154">
        <f t="shared" si="68"/>
        <v>1</v>
      </c>
      <c r="W1154" t="str">
        <f t="shared" si="69"/>
        <v/>
      </c>
      <c r="X1154" t="str">
        <f t="shared" si="70"/>
        <v/>
      </c>
      <c r="Y1154" t="str">
        <f t="shared" si="71"/>
        <v/>
      </c>
    </row>
    <row r="1155" spans="1:25" x14ac:dyDescent="0.35">
      <c r="A1155">
        <v>10697</v>
      </c>
      <c r="B1155" t="s">
        <v>1198</v>
      </c>
      <c r="C1155">
        <v>44900</v>
      </c>
      <c r="D1155">
        <v>1037</v>
      </c>
      <c r="E1155" t="str">
        <f>IFERROR(IF(OR(HLOOKUP($A1155,#REF!,3,FALSE)&gt;2,HLOOKUP(A1155,#REF!,3,FALSE)&lt;-2),"",#REF!),"")</f>
        <v/>
      </c>
      <c r="F1155" t="str">
        <f>IFERROR(IF(OR(HLOOKUP($A1155,#REF!,4,FALSE)&gt;2,HLOOKUP($A1155,#REF!,4,FALSE)&lt;-2),"",#REF!),"")</f>
        <v/>
      </c>
      <c r="G1155" t="str">
        <f>IFERROR(IF(OR(HLOOKUP($A1155,#REF!,5,FALSE)&gt;2,HLOOKUP($A1155,#REF!,5,FALSE)&lt;-2),"",#REF!),"")</f>
        <v/>
      </c>
      <c r="H1155" t="str">
        <f>IFERROR(IF(OR(HLOOKUP($A1155,#REF!,6,FALSE)&gt;2,HLOOKUP($A1155,#REF!,6,FALSE)&lt;-2),"",#REF!),"")</f>
        <v/>
      </c>
      <c r="I1155" t="str">
        <f>IFERROR(IF(OR(HLOOKUP($A1155,#REF!,7,FALSE)&gt;2,HLOOKUP($A1155,#REF!,7,FALSE)&lt;-2),"",#REF!),"")</f>
        <v/>
      </c>
      <c r="J1155" t="str">
        <f>IFERROR(IF(OR(HLOOKUP($A1155,#REF!,8,FALSE)&gt;2,HLOOKUP($A1155,#REF!,8,FALSE)&lt;-2),"",#REF!),"")</f>
        <v/>
      </c>
      <c r="K1155" t="str">
        <f>IFERROR(IF(OR(HLOOKUP($A1155,#REF!,9,FALSE)&gt;2,HLOOKUP($A1155,#REF!,9,FALSE)&lt;-2),"",#REF!),"")</f>
        <v/>
      </c>
      <c r="L1155" t="str">
        <f>IFERROR(IF(OR(HLOOKUP($A1155,#REF!,10,FALSE)&gt;2,HLOOKUP($A1155,#REF!,10,FALSE)&lt;-2),"",#REF!),"")</f>
        <v/>
      </c>
      <c r="M1155" t="str">
        <f>IFERROR(IF(OR(HLOOKUP($A1155,#REF!,11,FALSE)&gt;2,HLOOKUP($A1155,#REF!,11,FALSE)&lt;-2),"",#REF!),"")</f>
        <v/>
      </c>
      <c r="N1155" t="str">
        <f>IFERROR(IF(OR(HLOOKUP($A1155,#REF!,12,FALSE)&gt;2,HLOOKUP($A1155,#REF!,12,FALSE)&lt;-2),"",#REF!),"")</f>
        <v/>
      </c>
      <c r="O1155" t="str">
        <f>IFERROR(IF(OR(HLOOKUP($A1155,#REF!,13,FALSE)&gt;2,HLOOKUP($A1155,#REF!,13,FALSE)&lt;-2),"",#REF!),"")</f>
        <v/>
      </c>
      <c r="P1155" t="str">
        <f>IFERROR(IF(OR(HLOOKUP($A1155,#REF!,14,FALSE)&gt;2,HLOOKUP($A1155,#REF!,14,FALSE)&lt;-2),"",#REF!),"")</f>
        <v/>
      </c>
      <c r="Q1155" t="str">
        <f>IFERROR(IF(OR(HLOOKUP($A1155,#REF!,15,FALSE)&gt;2,HLOOKUP($A1155,#REF!,15,FALSE)&lt;-2),"",#REF!),"")</f>
        <v/>
      </c>
      <c r="R1155" t="str">
        <f>IFERROR(IF(OR(HLOOKUP($A1155,#REF!,16,FALSE)&gt;2,HLOOKUP($A1155,#REF!,16,FALSE)&lt;-2),"",#REF!),"")</f>
        <v/>
      </c>
      <c r="S1155" t="str">
        <f>IFERROR(IF(OR(HLOOKUP($A1155,#REF!,17,FALSE)&gt;2,HLOOKUP($A1155,#REF!,17,FALSE)&lt;-2),"",#REF!),"")</f>
        <v/>
      </c>
      <c r="T1155" t="str">
        <f>IFERROR(IF(OR(HLOOKUP($A1155,#REF!,18,FALSE)&gt;2,HLOOKUP($A1155,#REF!,18,FALSE)&lt;-2),"",#REF!),"")</f>
        <v/>
      </c>
      <c r="U1155" t="str">
        <f>IFERROR(IF(OR(HLOOKUP($A1155,#REF!,19,FALSE)&gt;2,HLOOKUP($A1155,#REF!,19,FALSE)&lt;-2),"",#REF!),"")</f>
        <v/>
      </c>
      <c r="V1155">
        <f t="shared" si="68"/>
        <v>1</v>
      </c>
      <c r="W1155" t="str">
        <f t="shared" si="69"/>
        <v/>
      </c>
      <c r="X1155" t="str">
        <f t="shared" si="70"/>
        <v/>
      </c>
      <c r="Y1155" t="str">
        <f t="shared" si="71"/>
        <v/>
      </c>
    </row>
    <row r="1156" spans="1:25" x14ac:dyDescent="0.35">
      <c r="A1156">
        <v>10698</v>
      </c>
      <c r="B1156" t="s">
        <v>1199</v>
      </c>
      <c r="C1156">
        <v>45000</v>
      </c>
      <c r="D1156">
        <v>1037</v>
      </c>
      <c r="E1156" t="str">
        <f>IFERROR(IF(OR(HLOOKUP($A1156,#REF!,3,FALSE)&gt;2,HLOOKUP(A1156,#REF!,3,FALSE)&lt;-2),"",#REF!),"")</f>
        <v/>
      </c>
      <c r="F1156" t="str">
        <f>IFERROR(IF(OR(HLOOKUP($A1156,#REF!,4,FALSE)&gt;2,HLOOKUP($A1156,#REF!,4,FALSE)&lt;-2),"",#REF!),"")</f>
        <v/>
      </c>
      <c r="G1156" t="str">
        <f>IFERROR(IF(OR(HLOOKUP($A1156,#REF!,5,FALSE)&gt;2,HLOOKUP($A1156,#REF!,5,FALSE)&lt;-2),"",#REF!),"")</f>
        <v/>
      </c>
      <c r="H1156" t="str">
        <f>IFERROR(IF(OR(HLOOKUP($A1156,#REF!,6,FALSE)&gt;2,HLOOKUP($A1156,#REF!,6,FALSE)&lt;-2),"",#REF!),"")</f>
        <v/>
      </c>
      <c r="I1156" t="str">
        <f>IFERROR(IF(OR(HLOOKUP($A1156,#REF!,7,FALSE)&gt;2,HLOOKUP($A1156,#REF!,7,FALSE)&lt;-2),"",#REF!),"")</f>
        <v/>
      </c>
      <c r="J1156" t="str">
        <f>IFERROR(IF(OR(HLOOKUP($A1156,#REF!,8,FALSE)&gt;2,HLOOKUP($A1156,#REF!,8,FALSE)&lt;-2),"",#REF!),"")</f>
        <v/>
      </c>
      <c r="K1156" t="str">
        <f>IFERROR(IF(OR(HLOOKUP($A1156,#REF!,9,FALSE)&gt;2,HLOOKUP($A1156,#REF!,9,FALSE)&lt;-2),"",#REF!),"")</f>
        <v/>
      </c>
      <c r="L1156" t="str">
        <f>IFERROR(IF(OR(HLOOKUP($A1156,#REF!,10,FALSE)&gt;2,HLOOKUP($A1156,#REF!,10,FALSE)&lt;-2),"",#REF!),"")</f>
        <v/>
      </c>
      <c r="M1156" t="str">
        <f>IFERROR(IF(OR(HLOOKUP($A1156,#REF!,11,FALSE)&gt;2,HLOOKUP($A1156,#REF!,11,FALSE)&lt;-2),"",#REF!),"")</f>
        <v/>
      </c>
      <c r="N1156" t="str">
        <f>IFERROR(IF(OR(HLOOKUP($A1156,#REF!,12,FALSE)&gt;2,HLOOKUP($A1156,#REF!,12,FALSE)&lt;-2),"",#REF!),"")</f>
        <v/>
      </c>
      <c r="O1156" t="str">
        <f>IFERROR(IF(OR(HLOOKUP($A1156,#REF!,13,FALSE)&gt;2,HLOOKUP($A1156,#REF!,13,FALSE)&lt;-2),"",#REF!),"")</f>
        <v/>
      </c>
      <c r="P1156" t="str">
        <f>IFERROR(IF(OR(HLOOKUP($A1156,#REF!,14,FALSE)&gt;2,HLOOKUP($A1156,#REF!,14,FALSE)&lt;-2),"",#REF!),"")</f>
        <v/>
      </c>
      <c r="Q1156" t="str">
        <f>IFERROR(IF(OR(HLOOKUP($A1156,#REF!,15,FALSE)&gt;2,HLOOKUP($A1156,#REF!,15,FALSE)&lt;-2),"",#REF!),"")</f>
        <v/>
      </c>
      <c r="R1156" t="str">
        <f>IFERROR(IF(OR(HLOOKUP($A1156,#REF!,16,FALSE)&gt;2,HLOOKUP($A1156,#REF!,16,FALSE)&lt;-2),"",#REF!),"")</f>
        <v/>
      </c>
      <c r="S1156" t="str">
        <f>IFERROR(IF(OR(HLOOKUP($A1156,#REF!,17,FALSE)&gt;2,HLOOKUP($A1156,#REF!,17,FALSE)&lt;-2),"",#REF!),"")</f>
        <v/>
      </c>
      <c r="T1156" t="str">
        <f>IFERROR(IF(OR(HLOOKUP($A1156,#REF!,18,FALSE)&gt;2,HLOOKUP($A1156,#REF!,18,FALSE)&lt;-2),"",#REF!),"")</f>
        <v/>
      </c>
      <c r="U1156" t="str">
        <f>IFERROR(IF(OR(HLOOKUP($A1156,#REF!,19,FALSE)&gt;2,HLOOKUP($A1156,#REF!,19,FALSE)&lt;-2),"",#REF!),"")</f>
        <v/>
      </c>
      <c r="V1156">
        <f t="shared" ref="V1156:V1219" si="72">IFERROR(IF(AND(X1156=0,Y1156=0),0,1),0)</f>
        <v>1</v>
      </c>
      <c r="W1156" t="str">
        <f t="shared" ref="W1156:W1244" si="73">IFERROR(_xlfn.T.TEST(E1156:M1156,N1156:U1156,2,2),"")</f>
        <v/>
      </c>
      <c r="X1156" t="str">
        <f t="shared" ref="X1156:X1219" si="74">IFERROR(AVERAGE(E1156:M1156),"")</f>
        <v/>
      </c>
      <c r="Y1156" t="str">
        <f t="shared" ref="Y1156:Y1219" si="75">IFERROR(AVERAGE(N1156:U1156),"")</f>
        <v/>
      </c>
    </row>
    <row r="1157" spans="1:25" x14ac:dyDescent="0.35">
      <c r="A1157">
        <v>10699</v>
      </c>
      <c r="B1157" t="s">
        <v>1200</v>
      </c>
      <c r="C1157">
        <v>45200</v>
      </c>
      <c r="D1157">
        <v>1084</v>
      </c>
      <c r="E1157" t="str">
        <f>IFERROR(IF(OR(HLOOKUP($A1157,#REF!,3,FALSE)&gt;2,HLOOKUP(A1157,#REF!,3,FALSE)&lt;-2),"",#REF!),"")</f>
        <v/>
      </c>
      <c r="F1157" t="str">
        <f>IFERROR(IF(OR(HLOOKUP($A1157,#REF!,4,FALSE)&gt;2,HLOOKUP($A1157,#REF!,4,FALSE)&lt;-2),"",#REF!),"")</f>
        <v/>
      </c>
      <c r="G1157" t="str">
        <f>IFERROR(IF(OR(HLOOKUP($A1157,#REF!,5,FALSE)&gt;2,HLOOKUP($A1157,#REF!,5,FALSE)&lt;-2),"",#REF!),"")</f>
        <v/>
      </c>
      <c r="H1157" t="str">
        <f>IFERROR(IF(OR(HLOOKUP($A1157,#REF!,6,FALSE)&gt;2,HLOOKUP($A1157,#REF!,6,FALSE)&lt;-2),"",#REF!),"")</f>
        <v/>
      </c>
      <c r="I1157" t="str">
        <f>IFERROR(IF(OR(HLOOKUP($A1157,#REF!,7,FALSE)&gt;2,HLOOKUP($A1157,#REF!,7,FALSE)&lt;-2),"",#REF!),"")</f>
        <v/>
      </c>
      <c r="J1157" t="str">
        <f>IFERROR(IF(OR(HLOOKUP($A1157,#REF!,8,FALSE)&gt;2,HLOOKUP($A1157,#REF!,8,FALSE)&lt;-2),"",#REF!),"")</f>
        <v/>
      </c>
      <c r="K1157" t="str">
        <f>IFERROR(IF(OR(HLOOKUP($A1157,#REF!,9,FALSE)&gt;2,HLOOKUP($A1157,#REF!,9,FALSE)&lt;-2),"",#REF!),"")</f>
        <v/>
      </c>
      <c r="L1157" t="str">
        <f>IFERROR(IF(OR(HLOOKUP($A1157,#REF!,10,FALSE)&gt;2,HLOOKUP($A1157,#REF!,10,FALSE)&lt;-2),"",#REF!),"")</f>
        <v/>
      </c>
      <c r="M1157" t="str">
        <f>IFERROR(IF(OR(HLOOKUP($A1157,#REF!,11,FALSE)&gt;2,HLOOKUP($A1157,#REF!,11,FALSE)&lt;-2),"",#REF!),"")</f>
        <v/>
      </c>
      <c r="N1157" t="str">
        <f>IFERROR(IF(OR(HLOOKUP($A1157,#REF!,12,FALSE)&gt;2,HLOOKUP($A1157,#REF!,12,FALSE)&lt;-2),"",#REF!),"")</f>
        <v/>
      </c>
      <c r="O1157" t="str">
        <f>IFERROR(IF(OR(HLOOKUP($A1157,#REF!,13,FALSE)&gt;2,HLOOKUP($A1157,#REF!,13,FALSE)&lt;-2),"",#REF!),"")</f>
        <v/>
      </c>
      <c r="P1157" t="str">
        <f>IFERROR(IF(OR(HLOOKUP($A1157,#REF!,14,FALSE)&gt;2,HLOOKUP($A1157,#REF!,14,FALSE)&lt;-2),"",#REF!),"")</f>
        <v/>
      </c>
      <c r="Q1157" t="str">
        <f>IFERROR(IF(OR(HLOOKUP($A1157,#REF!,15,FALSE)&gt;2,HLOOKUP($A1157,#REF!,15,FALSE)&lt;-2),"",#REF!),"")</f>
        <v/>
      </c>
      <c r="R1157" t="str">
        <f>IFERROR(IF(OR(HLOOKUP($A1157,#REF!,16,FALSE)&gt;2,HLOOKUP($A1157,#REF!,16,FALSE)&lt;-2),"",#REF!),"")</f>
        <v/>
      </c>
      <c r="S1157" t="str">
        <f>IFERROR(IF(OR(HLOOKUP($A1157,#REF!,17,FALSE)&gt;2,HLOOKUP($A1157,#REF!,17,FALSE)&lt;-2),"",#REF!),"")</f>
        <v/>
      </c>
      <c r="T1157" t="str">
        <f>IFERROR(IF(OR(HLOOKUP($A1157,#REF!,18,FALSE)&gt;2,HLOOKUP($A1157,#REF!,18,FALSE)&lt;-2),"",#REF!),"")</f>
        <v/>
      </c>
      <c r="U1157" t="str">
        <f>IFERROR(IF(OR(HLOOKUP($A1157,#REF!,19,FALSE)&gt;2,HLOOKUP($A1157,#REF!,19,FALSE)&lt;-2),"",#REF!),"")</f>
        <v/>
      </c>
      <c r="V1157">
        <f t="shared" si="72"/>
        <v>1</v>
      </c>
      <c r="W1157" t="str">
        <f t="shared" si="73"/>
        <v/>
      </c>
      <c r="X1157" t="str">
        <f t="shared" si="74"/>
        <v/>
      </c>
      <c r="Y1157" t="str">
        <f t="shared" si="75"/>
        <v/>
      </c>
    </row>
    <row r="1158" spans="1:25" x14ac:dyDescent="0.35">
      <c r="A1158">
        <v>10700</v>
      </c>
      <c r="B1158" t="s">
        <v>1201</v>
      </c>
      <c r="C1158">
        <v>45300</v>
      </c>
      <c r="D1158">
        <v>1084</v>
      </c>
      <c r="E1158" t="str">
        <f>IFERROR(IF(OR(HLOOKUP($A1158,#REF!,3,FALSE)&gt;2,HLOOKUP(A1158,#REF!,3,FALSE)&lt;-2),"",#REF!),"")</f>
        <v/>
      </c>
      <c r="F1158" t="str">
        <f>IFERROR(IF(OR(HLOOKUP($A1158,#REF!,4,FALSE)&gt;2,HLOOKUP($A1158,#REF!,4,FALSE)&lt;-2),"",#REF!),"")</f>
        <v/>
      </c>
      <c r="G1158" t="str">
        <f>IFERROR(IF(OR(HLOOKUP($A1158,#REF!,5,FALSE)&gt;2,HLOOKUP($A1158,#REF!,5,FALSE)&lt;-2),"",#REF!),"")</f>
        <v/>
      </c>
      <c r="H1158" t="str">
        <f>IFERROR(IF(OR(HLOOKUP($A1158,#REF!,6,FALSE)&gt;2,HLOOKUP($A1158,#REF!,6,FALSE)&lt;-2),"",#REF!),"")</f>
        <v/>
      </c>
      <c r="I1158" t="str">
        <f>IFERROR(IF(OR(HLOOKUP($A1158,#REF!,7,FALSE)&gt;2,HLOOKUP($A1158,#REF!,7,FALSE)&lt;-2),"",#REF!),"")</f>
        <v/>
      </c>
      <c r="J1158" t="str">
        <f>IFERROR(IF(OR(HLOOKUP($A1158,#REF!,8,FALSE)&gt;2,HLOOKUP($A1158,#REF!,8,FALSE)&lt;-2),"",#REF!),"")</f>
        <v/>
      </c>
      <c r="K1158" t="str">
        <f>IFERROR(IF(OR(HLOOKUP($A1158,#REF!,9,FALSE)&gt;2,HLOOKUP($A1158,#REF!,9,FALSE)&lt;-2),"",#REF!),"")</f>
        <v/>
      </c>
      <c r="L1158" t="str">
        <f>IFERROR(IF(OR(HLOOKUP($A1158,#REF!,10,FALSE)&gt;2,HLOOKUP($A1158,#REF!,10,FALSE)&lt;-2),"",#REF!),"")</f>
        <v/>
      </c>
      <c r="M1158" t="str">
        <f>IFERROR(IF(OR(HLOOKUP($A1158,#REF!,11,FALSE)&gt;2,HLOOKUP($A1158,#REF!,11,FALSE)&lt;-2),"",#REF!),"")</f>
        <v/>
      </c>
      <c r="N1158" t="str">
        <f>IFERROR(IF(OR(HLOOKUP($A1158,#REF!,12,FALSE)&gt;2,HLOOKUP($A1158,#REF!,12,FALSE)&lt;-2),"",#REF!),"")</f>
        <v/>
      </c>
      <c r="O1158" t="str">
        <f>IFERROR(IF(OR(HLOOKUP($A1158,#REF!,13,FALSE)&gt;2,HLOOKUP($A1158,#REF!,13,FALSE)&lt;-2),"",#REF!),"")</f>
        <v/>
      </c>
      <c r="P1158" t="str">
        <f>IFERROR(IF(OR(HLOOKUP($A1158,#REF!,14,FALSE)&gt;2,HLOOKUP($A1158,#REF!,14,FALSE)&lt;-2),"",#REF!),"")</f>
        <v/>
      </c>
      <c r="Q1158" t="str">
        <f>IFERROR(IF(OR(HLOOKUP($A1158,#REF!,15,FALSE)&gt;2,HLOOKUP($A1158,#REF!,15,FALSE)&lt;-2),"",#REF!),"")</f>
        <v/>
      </c>
      <c r="R1158" t="str">
        <f>IFERROR(IF(OR(HLOOKUP($A1158,#REF!,16,FALSE)&gt;2,HLOOKUP($A1158,#REF!,16,FALSE)&lt;-2),"",#REF!),"")</f>
        <v/>
      </c>
      <c r="S1158" t="str">
        <f>IFERROR(IF(OR(HLOOKUP($A1158,#REF!,17,FALSE)&gt;2,HLOOKUP($A1158,#REF!,17,FALSE)&lt;-2),"",#REF!),"")</f>
        <v/>
      </c>
      <c r="T1158" t="str">
        <f>IFERROR(IF(OR(HLOOKUP($A1158,#REF!,18,FALSE)&gt;2,HLOOKUP($A1158,#REF!,18,FALSE)&lt;-2),"",#REF!),"")</f>
        <v/>
      </c>
      <c r="U1158" t="str">
        <f>IFERROR(IF(OR(HLOOKUP($A1158,#REF!,19,FALSE)&gt;2,HLOOKUP($A1158,#REF!,19,FALSE)&lt;-2),"",#REF!),"")</f>
        <v/>
      </c>
      <c r="V1158">
        <f t="shared" si="72"/>
        <v>1</v>
      </c>
      <c r="W1158" t="str">
        <f t="shared" si="73"/>
        <v/>
      </c>
      <c r="X1158" t="str">
        <f t="shared" si="74"/>
        <v/>
      </c>
      <c r="Y1158" t="str">
        <f t="shared" si="75"/>
        <v/>
      </c>
    </row>
    <row r="1159" spans="1:25" x14ac:dyDescent="0.35">
      <c r="A1159">
        <v>10701</v>
      </c>
      <c r="B1159" t="s">
        <v>1202</v>
      </c>
      <c r="C1159">
        <v>45400</v>
      </c>
      <c r="D1159">
        <v>1084</v>
      </c>
      <c r="E1159" t="str">
        <f>IFERROR(IF(OR(HLOOKUP($A1159,#REF!,3,FALSE)&gt;2,HLOOKUP(A1159,#REF!,3,FALSE)&lt;-2),"",#REF!),"")</f>
        <v/>
      </c>
      <c r="F1159" t="str">
        <f>IFERROR(IF(OR(HLOOKUP($A1159,#REF!,4,FALSE)&gt;2,HLOOKUP($A1159,#REF!,4,FALSE)&lt;-2),"",#REF!),"")</f>
        <v/>
      </c>
      <c r="G1159" t="str">
        <f>IFERROR(IF(OR(HLOOKUP($A1159,#REF!,5,FALSE)&gt;2,HLOOKUP($A1159,#REF!,5,FALSE)&lt;-2),"",#REF!),"")</f>
        <v/>
      </c>
      <c r="H1159" t="str">
        <f>IFERROR(IF(OR(HLOOKUP($A1159,#REF!,6,FALSE)&gt;2,HLOOKUP($A1159,#REF!,6,FALSE)&lt;-2),"",#REF!),"")</f>
        <v/>
      </c>
      <c r="I1159" t="str">
        <f>IFERROR(IF(OR(HLOOKUP($A1159,#REF!,7,FALSE)&gt;2,HLOOKUP($A1159,#REF!,7,FALSE)&lt;-2),"",#REF!),"")</f>
        <v/>
      </c>
      <c r="J1159" t="str">
        <f>IFERROR(IF(OR(HLOOKUP($A1159,#REF!,8,FALSE)&gt;2,HLOOKUP($A1159,#REF!,8,FALSE)&lt;-2),"",#REF!),"")</f>
        <v/>
      </c>
      <c r="K1159" t="str">
        <f>IFERROR(IF(OR(HLOOKUP($A1159,#REF!,9,FALSE)&gt;2,HLOOKUP($A1159,#REF!,9,FALSE)&lt;-2),"",#REF!),"")</f>
        <v/>
      </c>
      <c r="L1159" t="str">
        <f>IFERROR(IF(OR(HLOOKUP($A1159,#REF!,10,FALSE)&gt;2,HLOOKUP($A1159,#REF!,10,FALSE)&lt;-2),"",#REF!),"")</f>
        <v/>
      </c>
      <c r="M1159" t="str">
        <f>IFERROR(IF(OR(HLOOKUP($A1159,#REF!,11,FALSE)&gt;2,HLOOKUP($A1159,#REF!,11,FALSE)&lt;-2),"",#REF!),"")</f>
        <v/>
      </c>
      <c r="N1159" t="str">
        <f>IFERROR(IF(OR(HLOOKUP($A1159,#REF!,12,FALSE)&gt;2,HLOOKUP($A1159,#REF!,12,FALSE)&lt;-2),"",#REF!),"")</f>
        <v/>
      </c>
      <c r="O1159" t="str">
        <f>IFERROR(IF(OR(HLOOKUP($A1159,#REF!,13,FALSE)&gt;2,HLOOKUP($A1159,#REF!,13,FALSE)&lt;-2),"",#REF!),"")</f>
        <v/>
      </c>
      <c r="P1159" t="str">
        <f>IFERROR(IF(OR(HLOOKUP($A1159,#REF!,14,FALSE)&gt;2,HLOOKUP($A1159,#REF!,14,FALSE)&lt;-2),"",#REF!),"")</f>
        <v/>
      </c>
      <c r="Q1159" t="str">
        <f>IFERROR(IF(OR(HLOOKUP($A1159,#REF!,15,FALSE)&gt;2,HLOOKUP($A1159,#REF!,15,FALSE)&lt;-2),"",#REF!),"")</f>
        <v/>
      </c>
      <c r="R1159" t="str">
        <f>IFERROR(IF(OR(HLOOKUP($A1159,#REF!,16,FALSE)&gt;2,HLOOKUP($A1159,#REF!,16,FALSE)&lt;-2),"",#REF!),"")</f>
        <v/>
      </c>
      <c r="S1159" t="str">
        <f>IFERROR(IF(OR(HLOOKUP($A1159,#REF!,17,FALSE)&gt;2,HLOOKUP($A1159,#REF!,17,FALSE)&lt;-2),"",#REF!),"")</f>
        <v/>
      </c>
      <c r="T1159" t="str">
        <f>IFERROR(IF(OR(HLOOKUP($A1159,#REF!,18,FALSE)&gt;2,HLOOKUP($A1159,#REF!,18,FALSE)&lt;-2),"",#REF!),"")</f>
        <v/>
      </c>
      <c r="U1159" t="str">
        <f>IFERROR(IF(OR(HLOOKUP($A1159,#REF!,19,FALSE)&gt;2,HLOOKUP($A1159,#REF!,19,FALSE)&lt;-2),"",#REF!),"")</f>
        <v/>
      </c>
      <c r="V1159">
        <f t="shared" si="72"/>
        <v>1</v>
      </c>
      <c r="W1159" t="str">
        <f t="shared" si="73"/>
        <v/>
      </c>
      <c r="X1159" t="str">
        <f t="shared" si="74"/>
        <v/>
      </c>
      <c r="Y1159" t="str">
        <f t="shared" si="75"/>
        <v/>
      </c>
    </row>
    <row r="1160" spans="1:25" x14ac:dyDescent="0.35">
      <c r="A1160">
        <v>10702</v>
      </c>
      <c r="B1160" t="s">
        <v>1203</v>
      </c>
      <c r="C1160">
        <v>39700</v>
      </c>
      <c r="D1160">
        <v>726</v>
      </c>
      <c r="E1160" t="str">
        <f>IFERROR(IF(OR(HLOOKUP($A1160,#REF!,3,FALSE)&gt;2,HLOOKUP(A1160,#REF!,3,FALSE)&lt;-2),"",#REF!),"")</f>
        <v/>
      </c>
      <c r="F1160" t="str">
        <f>IFERROR(IF(OR(HLOOKUP($A1160,#REF!,4,FALSE)&gt;2,HLOOKUP($A1160,#REF!,4,FALSE)&lt;-2),"",#REF!),"")</f>
        <v/>
      </c>
      <c r="G1160" t="str">
        <f>IFERROR(IF(OR(HLOOKUP($A1160,#REF!,5,FALSE)&gt;2,HLOOKUP($A1160,#REF!,5,FALSE)&lt;-2),"",#REF!),"")</f>
        <v/>
      </c>
      <c r="H1160" t="str">
        <f>IFERROR(IF(OR(HLOOKUP($A1160,#REF!,6,FALSE)&gt;2,HLOOKUP($A1160,#REF!,6,FALSE)&lt;-2),"",#REF!),"")</f>
        <v/>
      </c>
      <c r="I1160" t="str">
        <f>IFERROR(IF(OR(HLOOKUP($A1160,#REF!,7,FALSE)&gt;2,HLOOKUP($A1160,#REF!,7,FALSE)&lt;-2),"",#REF!),"")</f>
        <v/>
      </c>
      <c r="J1160" t="str">
        <f>IFERROR(IF(OR(HLOOKUP($A1160,#REF!,8,FALSE)&gt;2,HLOOKUP($A1160,#REF!,8,FALSE)&lt;-2),"",#REF!),"")</f>
        <v/>
      </c>
      <c r="K1160" t="str">
        <f>IFERROR(IF(OR(HLOOKUP($A1160,#REF!,9,FALSE)&gt;2,HLOOKUP($A1160,#REF!,9,FALSE)&lt;-2),"",#REF!),"")</f>
        <v/>
      </c>
      <c r="L1160" t="str">
        <f>IFERROR(IF(OR(HLOOKUP($A1160,#REF!,10,FALSE)&gt;2,HLOOKUP($A1160,#REF!,10,FALSE)&lt;-2),"",#REF!),"")</f>
        <v/>
      </c>
      <c r="M1160" t="str">
        <f>IFERROR(IF(OR(HLOOKUP($A1160,#REF!,11,FALSE)&gt;2,HLOOKUP($A1160,#REF!,11,FALSE)&lt;-2),"",#REF!),"")</f>
        <v/>
      </c>
      <c r="N1160" t="str">
        <f>IFERROR(IF(OR(HLOOKUP($A1160,#REF!,12,FALSE)&gt;2,HLOOKUP($A1160,#REF!,12,FALSE)&lt;-2),"",#REF!),"")</f>
        <v/>
      </c>
      <c r="O1160" t="str">
        <f>IFERROR(IF(OR(HLOOKUP($A1160,#REF!,13,FALSE)&gt;2,HLOOKUP($A1160,#REF!,13,FALSE)&lt;-2),"",#REF!),"")</f>
        <v/>
      </c>
      <c r="P1160" t="str">
        <f>IFERROR(IF(OR(HLOOKUP($A1160,#REF!,14,FALSE)&gt;2,HLOOKUP($A1160,#REF!,14,FALSE)&lt;-2),"",#REF!),"")</f>
        <v/>
      </c>
      <c r="Q1160" t="str">
        <f>IFERROR(IF(OR(HLOOKUP($A1160,#REF!,15,FALSE)&gt;2,HLOOKUP($A1160,#REF!,15,FALSE)&lt;-2),"",#REF!),"")</f>
        <v/>
      </c>
      <c r="R1160" t="str">
        <f>IFERROR(IF(OR(HLOOKUP($A1160,#REF!,16,FALSE)&gt;2,HLOOKUP($A1160,#REF!,16,FALSE)&lt;-2),"",#REF!),"")</f>
        <v/>
      </c>
      <c r="S1160" t="str">
        <f>IFERROR(IF(OR(HLOOKUP($A1160,#REF!,17,FALSE)&gt;2,HLOOKUP($A1160,#REF!,17,FALSE)&lt;-2),"",#REF!),"")</f>
        <v/>
      </c>
      <c r="T1160" t="str">
        <f>IFERROR(IF(OR(HLOOKUP($A1160,#REF!,18,FALSE)&gt;2,HLOOKUP($A1160,#REF!,18,FALSE)&lt;-2),"",#REF!),"")</f>
        <v/>
      </c>
      <c r="U1160" t="str">
        <f>IFERROR(IF(OR(HLOOKUP($A1160,#REF!,19,FALSE)&gt;2,HLOOKUP($A1160,#REF!,19,FALSE)&lt;-2),"",#REF!),"")</f>
        <v/>
      </c>
      <c r="V1160">
        <f t="shared" si="72"/>
        <v>1</v>
      </c>
      <c r="W1160" t="str">
        <f t="shared" si="73"/>
        <v/>
      </c>
      <c r="X1160" t="str">
        <f t="shared" si="74"/>
        <v/>
      </c>
      <c r="Y1160" t="str">
        <f t="shared" si="75"/>
        <v/>
      </c>
    </row>
    <row r="1161" spans="1:25" x14ac:dyDescent="0.35">
      <c r="A1161">
        <v>10703</v>
      </c>
      <c r="B1161" t="s">
        <v>560</v>
      </c>
      <c r="C1161">
        <v>39400</v>
      </c>
      <c r="D1161">
        <v>726</v>
      </c>
      <c r="E1161" t="str">
        <f>IFERROR(IF(OR(HLOOKUP($A1161,#REF!,3,FALSE)&gt;2,HLOOKUP(A1161,#REF!,3,FALSE)&lt;-2),"",#REF!),"")</f>
        <v/>
      </c>
      <c r="F1161" t="str">
        <f>IFERROR(IF(OR(HLOOKUP($A1161,#REF!,4,FALSE)&gt;2,HLOOKUP($A1161,#REF!,4,FALSE)&lt;-2),"",#REF!),"")</f>
        <v/>
      </c>
      <c r="G1161" t="str">
        <f>IFERROR(IF(OR(HLOOKUP($A1161,#REF!,5,FALSE)&gt;2,HLOOKUP($A1161,#REF!,5,FALSE)&lt;-2),"",#REF!),"")</f>
        <v/>
      </c>
      <c r="H1161" t="str">
        <f>IFERROR(IF(OR(HLOOKUP($A1161,#REF!,6,FALSE)&gt;2,HLOOKUP($A1161,#REF!,6,FALSE)&lt;-2),"",#REF!),"")</f>
        <v/>
      </c>
      <c r="I1161" t="str">
        <f>IFERROR(IF(OR(HLOOKUP($A1161,#REF!,7,FALSE)&gt;2,HLOOKUP($A1161,#REF!,7,FALSE)&lt;-2),"",#REF!),"")</f>
        <v/>
      </c>
      <c r="J1161" t="str">
        <f>IFERROR(IF(OR(HLOOKUP($A1161,#REF!,8,FALSE)&gt;2,HLOOKUP($A1161,#REF!,8,FALSE)&lt;-2),"",#REF!),"")</f>
        <v/>
      </c>
      <c r="K1161" t="str">
        <f>IFERROR(IF(OR(HLOOKUP($A1161,#REF!,9,FALSE)&gt;2,HLOOKUP($A1161,#REF!,9,FALSE)&lt;-2),"",#REF!),"")</f>
        <v/>
      </c>
      <c r="L1161" t="str">
        <f>IFERROR(IF(OR(HLOOKUP($A1161,#REF!,10,FALSE)&gt;2,HLOOKUP($A1161,#REF!,10,FALSE)&lt;-2),"",#REF!),"")</f>
        <v/>
      </c>
      <c r="M1161" t="str">
        <f>IFERROR(IF(OR(HLOOKUP($A1161,#REF!,11,FALSE)&gt;2,HLOOKUP($A1161,#REF!,11,FALSE)&lt;-2),"",#REF!),"")</f>
        <v/>
      </c>
      <c r="N1161" t="str">
        <f>IFERROR(IF(OR(HLOOKUP($A1161,#REF!,12,FALSE)&gt;2,HLOOKUP($A1161,#REF!,12,FALSE)&lt;-2),"",#REF!),"")</f>
        <v/>
      </c>
      <c r="O1161" t="str">
        <f>IFERROR(IF(OR(HLOOKUP($A1161,#REF!,13,FALSE)&gt;2,HLOOKUP($A1161,#REF!,13,FALSE)&lt;-2),"",#REF!),"")</f>
        <v/>
      </c>
      <c r="P1161" t="str">
        <f>IFERROR(IF(OR(HLOOKUP($A1161,#REF!,14,FALSE)&gt;2,HLOOKUP($A1161,#REF!,14,FALSE)&lt;-2),"",#REF!),"")</f>
        <v/>
      </c>
      <c r="Q1161" t="str">
        <f>IFERROR(IF(OR(HLOOKUP($A1161,#REF!,15,FALSE)&gt;2,HLOOKUP($A1161,#REF!,15,FALSE)&lt;-2),"",#REF!),"")</f>
        <v/>
      </c>
      <c r="R1161" t="str">
        <f>IFERROR(IF(OR(HLOOKUP($A1161,#REF!,16,FALSE)&gt;2,HLOOKUP($A1161,#REF!,16,FALSE)&lt;-2),"",#REF!),"")</f>
        <v/>
      </c>
      <c r="S1161" t="str">
        <f>IFERROR(IF(OR(HLOOKUP($A1161,#REF!,17,FALSE)&gt;2,HLOOKUP($A1161,#REF!,17,FALSE)&lt;-2),"",#REF!),"")</f>
        <v/>
      </c>
      <c r="T1161" t="str">
        <f>IFERROR(IF(OR(HLOOKUP($A1161,#REF!,18,FALSE)&gt;2,HLOOKUP($A1161,#REF!,18,FALSE)&lt;-2),"",#REF!),"")</f>
        <v/>
      </c>
      <c r="U1161" t="str">
        <f>IFERROR(IF(OR(HLOOKUP($A1161,#REF!,19,FALSE)&gt;2,HLOOKUP($A1161,#REF!,19,FALSE)&lt;-2),"",#REF!),"")</f>
        <v/>
      </c>
      <c r="V1161">
        <f t="shared" si="72"/>
        <v>1</v>
      </c>
      <c r="W1161" t="str">
        <f t="shared" si="73"/>
        <v/>
      </c>
      <c r="X1161" t="str">
        <f t="shared" si="74"/>
        <v/>
      </c>
      <c r="Y1161" t="str">
        <f t="shared" si="75"/>
        <v/>
      </c>
    </row>
    <row r="1162" spans="1:25" x14ac:dyDescent="0.35">
      <c r="A1162">
        <v>10704</v>
      </c>
      <c r="B1162" t="s">
        <v>561</v>
      </c>
      <c r="C1162">
        <v>39500</v>
      </c>
      <c r="D1162">
        <v>726</v>
      </c>
      <c r="E1162" t="str">
        <f>IFERROR(IF(OR(HLOOKUP($A1162,#REF!,3,FALSE)&gt;2,HLOOKUP(A1162,#REF!,3,FALSE)&lt;-2),"",#REF!),"")</f>
        <v/>
      </c>
      <c r="F1162" t="str">
        <f>IFERROR(IF(OR(HLOOKUP($A1162,#REF!,4,FALSE)&gt;2,HLOOKUP($A1162,#REF!,4,FALSE)&lt;-2),"",#REF!),"")</f>
        <v/>
      </c>
      <c r="G1162" t="str">
        <f>IFERROR(IF(OR(HLOOKUP($A1162,#REF!,5,FALSE)&gt;2,HLOOKUP($A1162,#REF!,5,FALSE)&lt;-2),"",#REF!),"")</f>
        <v/>
      </c>
      <c r="H1162" t="str">
        <f>IFERROR(IF(OR(HLOOKUP($A1162,#REF!,6,FALSE)&gt;2,HLOOKUP($A1162,#REF!,6,FALSE)&lt;-2),"",#REF!),"")</f>
        <v/>
      </c>
      <c r="I1162" t="str">
        <f>IFERROR(IF(OR(HLOOKUP($A1162,#REF!,7,FALSE)&gt;2,HLOOKUP($A1162,#REF!,7,FALSE)&lt;-2),"",#REF!),"")</f>
        <v/>
      </c>
      <c r="J1162" t="str">
        <f>IFERROR(IF(OR(HLOOKUP($A1162,#REF!,8,FALSE)&gt;2,HLOOKUP($A1162,#REF!,8,FALSE)&lt;-2),"",#REF!),"")</f>
        <v/>
      </c>
      <c r="K1162" t="str">
        <f>IFERROR(IF(OR(HLOOKUP($A1162,#REF!,9,FALSE)&gt;2,HLOOKUP($A1162,#REF!,9,FALSE)&lt;-2),"",#REF!),"")</f>
        <v/>
      </c>
      <c r="L1162" t="str">
        <f>IFERROR(IF(OR(HLOOKUP($A1162,#REF!,10,FALSE)&gt;2,HLOOKUP($A1162,#REF!,10,FALSE)&lt;-2),"",#REF!),"")</f>
        <v/>
      </c>
      <c r="M1162" t="str">
        <f>IFERROR(IF(OR(HLOOKUP($A1162,#REF!,11,FALSE)&gt;2,HLOOKUP($A1162,#REF!,11,FALSE)&lt;-2),"",#REF!),"")</f>
        <v/>
      </c>
      <c r="N1162" t="str">
        <f>IFERROR(IF(OR(HLOOKUP($A1162,#REF!,12,FALSE)&gt;2,HLOOKUP($A1162,#REF!,12,FALSE)&lt;-2),"",#REF!),"")</f>
        <v/>
      </c>
      <c r="O1162" t="str">
        <f>IFERROR(IF(OR(HLOOKUP($A1162,#REF!,13,FALSE)&gt;2,HLOOKUP($A1162,#REF!,13,FALSE)&lt;-2),"",#REF!),"")</f>
        <v/>
      </c>
      <c r="P1162" t="str">
        <f>IFERROR(IF(OR(HLOOKUP($A1162,#REF!,14,FALSE)&gt;2,HLOOKUP($A1162,#REF!,14,FALSE)&lt;-2),"",#REF!),"")</f>
        <v/>
      </c>
      <c r="Q1162" t="str">
        <f>IFERROR(IF(OR(HLOOKUP($A1162,#REF!,15,FALSE)&gt;2,HLOOKUP($A1162,#REF!,15,FALSE)&lt;-2),"",#REF!),"")</f>
        <v/>
      </c>
      <c r="R1162" t="str">
        <f>IFERROR(IF(OR(HLOOKUP($A1162,#REF!,16,FALSE)&gt;2,HLOOKUP($A1162,#REF!,16,FALSE)&lt;-2),"",#REF!),"")</f>
        <v/>
      </c>
      <c r="S1162" t="str">
        <f>IFERROR(IF(OR(HLOOKUP($A1162,#REF!,17,FALSE)&gt;2,HLOOKUP($A1162,#REF!,17,FALSE)&lt;-2),"",#REF!),"")</f>
        <v/>
      </c>
      <c r="T1162" t="str">
        <f>IFERROR(IF(OR(HLOOKUP($A1162,#REF!,18,FALSE)&gt;2,HLOOKUP($A1162,#REF!,18,FALSE)&lt;-2),"",#REF!),"")</f>
        <v/>
      </c>
      <c r="U1162" t="str">
        <f>IFERROR(IF(OR(HLOOKUP($A1162,#REF!,19,FALSE)&gt;2,HLOOKUP($A1162,#REF!,19,FALSE)&lt;-2),"",#REF!),"")</f>
        <v/>
      </c>
      <c r="V1162">
        <f t="shared" si="72"/>
        <v>1</v>
      </c>
      <c r="W1162" t="str">
        <f t="shared" si="73"/>
        <v/>
      </c>
      <c r="X1162" t="str">
        <f t="shared" si="74"/>
        <v/>
      </c>
      <c r="Y1162" t="str">
        <f t="shared" si="75"/>
        <v/>
      </c>
    </row>
    <row r="1163" spans="1:25" x14ac:dyDescent="0.35">
      <c r="A1163">
        <v>10705</v>
      </c>
      <c r="B1163" t="s">
        <v>1204</v>
      </c>
      <c r="C1163">
        <v>55300</v>
      </c>
      <c r="D1163">
        <v>912</v>
      </c>
      <c r="E1163" t="str">
        <f>IFERROR(IF(OR(HLOOKUP($A1163,#REF!,3,FALSE)&gt;2,HLOOKUP(A1163,#REF!,3,FALSE)&lt;-2),"",#REF!),"")</f>
        <v/>
      </c>
      <c r="F1163" t="str">
        <f>IFERROR(IF(OR(HLOOKUP($A1163,#REF!,4,FALSE)&gt;2,HLOOKUP($A1163,#REF!,4,FALSE)&lt;-2),"",#REF!),"")</f>
        <v/>
      </c>
      <c r="G1163" t="str">
        <f>IFERROR(IF(OR(HLOOKUP($A1163,#REF!,5,FALSE)&gt;2,HLOOKUP($A1163,#REF!,5,FALSE)&lt;-2),"",#REF!),"")</f>
        <v/>
      </c>
      <c r="H1163" t="str">
        <f>IFERROR(IF(OR(HLOOKUP($A1163,#REF!,6,FALSE)&gt;2,HLOOKUP($A1163,#REF!,6,FALSE)&lt;-2),"",#REF!),"")</f>
        <v/>
      </c>
      <c r="I1163" t="str">
        <f>IFERROR(IF(OR(HLOOKUP($A1163,#REF!,7,FALSE)&gt;2,HLOOKUP($A1163,#REF!,7,FALSE)&lt;-2),"",#REF!),"")</f>
        <v/>
      </c>
      <c r="J1163" t="str">
        <f>IFERROR(IF(OR(HLOOKUP($A1163,#REF!,8,FALSE)&gt;2,HLOOKUP($A1163,#REF!,8,FALSE)&lt;-2),"",#REF!),"")</f>
        <v/>
      </c>
      <c r="K1163" t="str">
        <f>IFERROR(IF(OR(HLOOKUP($A1163,#REF!,9,FALSE)&gt;2,HLOOKUP($A1163,#REF!,9,FALSE)&lt;-2),"",#REF!),"")</f>
        <v/>
      </c>
      <c r="L1163" t="str">
        <f>IFERROR(IF(OR(HLOOKUP($A1163,#REF!,10,FALSE)&gt;2,HLOOKUP($A1163,#REF!,10,FALSE)&lt;-2),"",#REF!),"")</f>
        <v/>
      </c>
      <c r="M1163" t="str">
        <f>IFERROR(IF(OR(HLOOKUP($A1163,#REF!,11,FALSE)&gt;2,HLOOKUP($A1163,#REF!,11,FALSE)&lt;-2),"",#REF!),"")</f>
        <v/>
      </c>
      <c r="N1163" t="str">
        <f>IFERROR(IF(OR(HLOOKUP($A1163,#REF!,12,FALSE)&gt;2,HLOOKUP($A1163,#REF!,12,FALSE)&lt;-2),"",#REF!),"")</f>
        <v/>
      </c>
      <c r="O1163" t="str">
        <f>IFERROR(IF(OR(HLOOKUP($A1163,#REF!,13,FALSE)&gt;2,HLOOKUP($A1163,#REF!,13,FALSE)&lt;-2),"",#REF!),"")</f>
        <v/>
      </c>
      <c r="P1163" t="str">
        <f>IFERROR(IF(OR(HLOOKUP($A1163,#REF!,14,FALSE)&gt;2,HLOOKUP($A1163,#REF!,14,FALSE)&lt;-2),"",#REF!),"")</f>
        <v/>
      </c>
      <c r="Q1163" t="str">
        <f>IFERROR(IF(OR(HLOOKUP($A1163,#REF!,15,FALSE)&gt;2,HLOOKUP($A1163,#REF!,15,FALSE)&lt;-2),"",#REF!),"")</f>
        <v/>
      </c>
      <c r="R1163" t="str">
        <f>IFERROR(IF(OR(HLOOKUP($A1163,#REF!,16,FALSE)&gt;2,HLOOKUP($A1163,#REF!,16,FALSE)&lt;-2),"",#REF!),"")</f>
        <v/>
      </c>
      <c r="S1163" t="str">
        <f>IFERROR(IF(OR(HLOOKUP($A1163,#REF!,17,FALSE)&gt;2,HLOOKUP($A1163,#REF!,17,FALSE)&lt;-2),"",#REF!),"")</f>
        <v/>
      </c>
      <c r="T1163" t="str">
        <f>IFERROR(IF(OR(HLOOKUP($A1163,#REF!,18,FALSE)&gt;2,HLOOKUP($A1163,#REF!,18,FALSE)&lt;-2),"",#REF!),"")</f>
        <v/>
      </c>
      <c r="U1163" t="str">
        <f>IFERROR(IF(OR(HLOOKUP($A1163,#REF!,19,FALSE)&gt;2,HLOOKUP($A1163,#REF!,19,FALSE)&lt;-2),"",#REF!),"")</f>
        <v/>
      </c>
      <c r="V1163">
        <f t="shared" si="72"/>
        <v>1</v>
      </c>
      <c r="W1163" t="str">
        <f t="shared" si="73"/>
        <v/>
      </c>
      <c r="X1163" t="str">
        <f t="shared" si="74"/>
        <v/>
      </c>
      <c r="Y1163" t="str">
        <f t="shared" si="75"/>
        <v/>
      </c>
    </row>
    <row r="1164" spans="1:25" x14ac:dyDescent="0.35">
      <c r="A1164">
        <v>10706</v>
      </c>
      <c r="B1164" t="s">
        <v>1205</v>
      </c>
      <c r="C1164">
        <v>55200</v>
      </c>
      <c r="D1164">
        <v>912</v>
      </c>
      <c r="E1164" t="str">
        <f>IFERROR(IF(OR(HLOOKUP($A1164,#REF!,3,FALSE)&gt;2,HLOOKUP(A1164,#REF!,3,FALSE)&lt;-2),"",#REF!),"")</f>
        <v/>
      </c>
      <c r="F1164" t="str">
        <f>IFERROR(IF(OR(HLOOKUP($A1164,#REF!,4,FALSE)&gt;2,HLOOKUP($A1164,#REF!,4,FALSE)&lt;-2),"",#REF!),"")</f>
        <v/>
      </c>
      <c r="G1164" t="str">
        <f>IFERROR(IF(OR(HLOOKUP($A1164,#REF!,5,FALSE)&gt;2,HLOOKUP($A1164,#REF!,5,FALSE)&lt;-2),"",#REF!),"")</f>
        <v/>
      </c>
      <c r="H1164" t="str">
        <f>IFERROR(IF(OR(HLOOKUP($A1164,#REF!,6,FALSE)&gt;2,HLOOKUP($A1164,#REF!,6,FALSE)&lt;-2),"",#REF!),"")</f>
        <v/>
      </c>
      <c r="I1164" t="str">
        <f>IFERROR(IF(OR(HLOOKUP($A1164,#REF!,7,FALSE)&gt;2,HLOOKUP($A1164,#REF!,7,FALSE)&lt;-2),"",#REF!),"")</f>
        <v/>
      </c>
      <c r="J1164" t="str">
        <f>IFERROR(IF(OR(HLOOKUP($A1164,#REF!,8,FALSE)&gt;2,HLOOKUP($A1164,#REF!,8,FALSE)&lt;-2),"",#REF!),"")</f>
        <v/>
      </c>
      <c r="K1164" t="str">
        <f>IFERROR(IF(OR(HLOOKUP($A1164,#REF!,9,FALSE)&gt;2,HLOOKUP($A1164,#REF!,9,FALSE)&lt;-2),"",#REF!),"")</f>
        <v/>
      </c>
      <c r="L1164" t="str">
        <f>IFERROR(IF(OR(HLOOKUP($A1164,#REF!,10,FALSE)&gt;2,HLOOKUP($A1164,#REF!,10,FALSE)&lt;-2),"",#REF!),"")</f>
        <v/>
      </c>
      <c r="M1164" t="str">
        <f>IFERROR(IF(OR(HLOOKUP($A1164,#REF!,11,FALSE)&gt;2,HLOOKUP($A1164,#REF!,11,FALSE)&lt;-2),"",#REF!),"")</f>
        <v/>
      </c>
      <c r="N1164" t="str">
        <f>IFERROR(IF(OR(HLOOKUP($A1164,#REF!,12,FALSE)&gt;2,HLOOKUP($A1164,#REF!,12,FALSE)&lt;-2),"",#REF!),"")</f>
        <v/>
      </c>
      <c r="O1164" t="str">
        <f>IFERROR(IF(OR(HLOOKUP($A1164,#REF!,13,FALSE)&gt;2,HLOOKUP($A1164,#REF!,13,FALSE)&lt;-2),"",#REF!),"")</f>
        <v/>
      </c>
      <c r="P1164" t="str">
        <f>IFERROR(IF(OR(HLOOKUP($A1164,#REF!,14,FALSE)&gt;2,HLOOKUP($A1164,#REF!,14,FALSE)&lt;-2),"",#REF!),"")</f>
        <v/>
      </c>
      <c r="Q1164" t="str">
        <f>IFERROR(IF(OR(HLOOKUP($A1164,#REF!,15,FALSE)&gt;2,HLOOKUP($A1164,#REF!,15,FALSE)&lt;-2),"",#REF!),"")</f>
        <v/>
      </c>
      <c r="R1164" t="str">
        <f>IFERROR(IF(OR(HLOOKUP($A1164,#REF!,16,FALSE)&gt;2,HLOOKUP($A1164,#REF!,16,FALSE)&lt;-2),"",#REF!),"")</f>
        <v/>
      </c>
      <c r="S1164" t="str">
        <f>IFERROR(IF(OR(HLOOKUP($A1164,#REF!,17,FALSE)&gt;2,HLOOKUP($A1164,#REF!,17,FALSE)&lt;-2),"",#REF!),"")</f>
        <v/>
      </c>
      <c r="T1164" t="str">
        <f>IFERROR(IF(OR(HLOOKUP($A1164,#REF!,18,FALSE)&gt;2,HLOOKUP($A1164,#REF!,18,FALSE)&lt;-2),"",#REF!),"")</f>
        <v/>
      </c>
      <c r="U1164" t="str">
        <f>IFERROR(IF(OR(HLOOKUP($A1164,#REF!,19,FALSE)&gt;2,HLOOKUP($A1164,#REF!,19,FALSE)&lt;-2),"",#REF!),"")</f>
        <v/>
      </c>
      <c r="V1164">
        <f t="shared" si="72"/>
        <v>1</v>
      </c>
      <c r="W1164" t="str">
        <f t="shared" si="73"/>
        <v/>
      </c>
      <c r="X1164" t="str">
        <f t="shared" si="74"/>
        <v/>
      </c>
      <c r="Y1164" t="str">
        <f t="shared" si="75"/>
        <v/>
      </c>
    </row>
    <row r="1165" spans="1:25" x14ac:dyDescent="0.35">
      <c r="A1165">
        <v>10707</v>
      </c>
      <c r="B1165" t="s">
        <v>1206</v>
      </c>
      <c r="C1165">
        <v>55100</v>
      </c>
      <c r="D1165">
        <v>912</v>
      </c>
      <c r="E1165" t="str">
        <f>IFERROR(IF(OR(HLOOKUP($A1165,#REF!,3,FALSE)&gt;2,HLOOKUP(A1165,#REF!,3,FALSE)&lt;-2),"",#REF!),"")</f>
        <v/>
      </c>
      <c r="F1165" t="str">
        <f>IFERROR(IF(OR(HLOOKUP($A1165,#REF!,4,FALSE)&gt;2,HLOOKUP($A1165,#REF!,4,FALSE)&lt;-2),"",#REF!),"")</f>
        <v/>
      </c>
      <c r="G1165" t="str">
        <f>IFERROR(IF(OR(HLOOKUP($A1165,#REF!,5,FALSE)&gt;2,HLOOKUP($A1165,#REF!,5,FALSE)&lt;-2),"",#REF!),"")</f>
        <v/>
      </c>
      <c r="H1165" t="str">
        <f>IFERROR(IF(OR(HLOOKUP($A1165,#REF!,6,FALSE)&gt;2,HLOOKUP($A1165,#REF!,6,FALSE)&lt;-2),"",#REF!),"")</f>
        <v/>
      </c>
      <c r="I1165" t="str">
        <f>IFERROR(IF(OR(HLOOKUP($A1165,#REF!,7,FALSE)&gt;2,HLOOKUP($A1165,#REF!,7,FALSE)&lt;-2),"",#REF!),"")</f>
        <v/>
      </c>
      <c r="J1165" t="str">
        <f>IFERROR(IF(OR(HLOOKUP($A1165,#REF!,8,FALSE)&gt;2,HLOOKUP($A1165,#REF!,8,FALSE)&lt;-2),"",#REF!),"")</f>
        <v/>
      </c>
      <c r="K1165" t="str">
        <f>IFERROR(IF(OR(HLOOKUP($A1165,#REF!,9,FALSE)&gt;2,HLOOKUP($A1165,#REF!,9,FALSE)&lt;-2),"",#REF!),"")</f>
        <v/>
      </c>
      <c r="L1165" t="str">
        <f>IFERROR(IF(OR(HLOOKUP($A1165,#REF!,10,FALSE)&gt;2,HLOOKUP($A1165,#REF!,10,FALSE)&lt;-2),"",#REF!),"")</f>
        <v/>
      </c>
      <c r="M1165" t="str">
        <f>IFERROR(IF(OR(HLOOKUP($A1165,#REF!,11,FALSE)&gt;2,HLOOKUP($A1165,#REF!,11,FALSE)&lt;-2),"",#REF!),"")</f>
        <v/>
      </c>
      <c r="N1165" t="str">
        <f>IFERROR(IF(OR(HLOOKUP($A1165,#REF!,12,FALSE)&gt;2,HLOOKUP($A1165,#REF!,12,FALSE)&lt;-2),"",#REF!),"")</f>
        <v/>
      </c>
      <c r="O1165" t="str">
        <f>IFERROR(IF(OR(HLOOKUP($A1165,#REF!,13,FALSE)&gt;2,HLOOKUP($A1165,#REF!,13,FALSE)&lt;-2),"",#REF!),"")</f>
        <v/>
      </c>
      <c r="P1165" t="str">
        <f>IFERROR(IF(OR(HLOOKUP($A1165,#REF!,14,FALSE)&gt;2,HLOOKUP($A1165,#REF!,14,FALSE)&lt;-2),"",#REF!),"")</f>
        <v/>
      </c>
      <c r="Q1165" t="str">
        <f>IFERROR(IF(OR(HLOOKUP($A1165,#REF!,15,FALSE)&gt;2,HLOOKUP($A1165,#REF!,15,FALSE)&lt;-2),"",#REF!),"")</f>
        <v/>
      </c>
      <c r="R1165" t="str">
        <f>IFERROR(IF(OR(HLOOKUP($A1165,#REF!,16,FALSE)&gt;2,HLOOKUP($A1165,#REF!,16,FALSE)&lt;-2),"",#REF!),"")</f>
        <v/>
      </c>
      <c r="S1165" t="str">
        <f>IFERROR(IF(OR(HLOOKUP($A1165,#REF!,17,FALSE)&gt;2,HLOOKUP($A1165,#REF!,17,FALSE)&lt;-2),"",#REF!),"")</f>
        <v/>
      </c>
      <c r="T1165" t="str">
        <f>IFERROR(IF(OR(HLOOKUP($A1165,#REF!,18,FALSE)&gt;2,HLOOKUP($A1165,#REF!,18,FALSE)&lt;-2),"",#REF!),"")</f>
        <v/>
      </c>
      <c r="U1165" t="str">
        <f>IFERROR(IF(OR(HLOOKUP($A1165,#REF!,19,FALSE)&gt;2,HLOOKUP($A1165,#REF!,19,FALSE)&lt;-2),"",#REF!),"")</f>
        <v/>
      </c>
      <c r="V1165">
        <f t="shared" si="72"/>
        <v>1</v>
      </c>
      <c r="W1165" t="str">
        <f t="shared" si="73"/>
        <v/>
      </c>
      <c r="X1165" t="str">
        <f t="shared" si="74"/>
        <v/>
      </c>
      <c r="Y1165" t="str">
        <f t="shared" si="75"/>
        <v/>
      </c>
    </row>
    <row r="1166" spans="1:25" x14ac:dyDescent="0.35">
      <c r="A1166">
        <v>10708</v>
      </c>
      <c r="B1166" t="s">
        <v>1207</v>
      </c>
      <c r="C1166">
        <v>55800</v>
      </c>
      <c r="D1166">
        <v>976</v>
      </c>
      <c r="E1166" t="str">
        <f>IFERROR(IF(OR(HLOOKUP($A1166,#REF!,3,FALSE)&gt;2,HLOOKUP(A1166,#REF!,3,FALSE)&lt;-2),"",#REF!),"")</f>
        <v/>
      </c>
      <c r="F1166" t="str">
        <f>IFERROR(IF(OR(HLOOKUP($A1166,#REF!,4,FALSE)&gt;2,HLOOKUP($A1166,#REF!,4,FALSE)&lt;-2),"",#REF!),"")</f>
        <v/>
      </c>
      <c r="G1166" t="str">
        <f>IFERROR(IF(OR(HLOOKUP($A1166,#REF!,5,FALSE)&gt;2,HLOOKUP($A1166,#REF!,5,FALSE)&lt;-2),"",#REF!),"")</f>
        <v/>
      </c>
      <c r="H1166" t="str">
        <f>IFERROR(IF(OR(HLOOKUP($A1166,#REF!,6,FALSE)&gt;2,HLOOKUP($A1166,#REF!,6,FALSE)&lt;-2),"",#REF!),"")</f>
        <v/>
      </c>
      <c r="I1166" t="str">
        <f>IFERROR(IF(OR(HLOOKUP($A1166,#REF!,7,FALSE)&gt;2,HLOOKUP($A1166,#REF!,7,FALSE)&lt;-2),"",#REF!),"")</f>
        <v/>
      </c>
      <c r="J1166" t="str">
        <f>IFERROR(IF(OR(HLOOKUP($A1166,#REF!,8,FALSE)&gt;2,HLOOKUP($A1166,#REF!,8,FALSE)&lt;-2),"",#REF!),"")</f>
        <v/>
      </c>
      <c r="K1166" t="str">
        <f>IFERROR(IF(OR(HLOOKUP($A1166,#REF!,9,FALSE)&gt;2,HLOOKUP($A1166,#REF!,9,FALSE)&lt;-2),"",#REF!),"")</f>
        <v/>
      </c>
      <c r="L1166" t="str">
        <f>IFERROR(IF(OR(HLOOKUP($A1166,#REF!,10,FALSE)&gt;2,HLOOKUP($A1166,#REF!,10,FALSE)&lt;-2),"",#REF!),"")</f>
        <v/>
      </c>
      <c r="M1166" t="str">
        <f>IFERROR(IF(OR(HLOOKUP($A1166,#REF!,11,FALSE)&gt;2,HLOOKUP($A1166,#REF!,11,FALSE)&lt;-2),"",#REF!),"")</f>
        <v/>
      </c>
      <c r="N1166" t="str">
        <f>IFERROR(IF(OR(HLOOKUP($A1166,#REF!,12,FALSE)&gt;2,HLOOKUP($A1166,#REF!,12,FALSE)&lt;-2),"",#REF!),"")</f>
        <v/>
      </c>
      <c r="O1166" t="str">
        <f>IFERROR(IF(OR(HLOOKUP($A1166,#REF!,13,FALSE)&gt;2,HLOOKUP($A1166,#REF!,13,FALSE)&lt;-2),"",#REF!),"")</f>
        <v/>
      </c>
      <c r="P1166" t="str">
        <f>IFERROR(IF(OR(HLOOKUP($A1166,#REF!,14,FALSE)&gt;2,HLOOKUP($A1166,#REF!,14,FALSE)&lt;-2),"",#REF!),"")</f>
        <v/>
      </c>
      <c r="Q1166" t="str">
        <f>IFERROR(IF(OR(HLOOKUP($A1166,#REF!,15,FALSE)&gt;2,HLOOKUP($A1166,#REF!,15,FALSE)&lt;-2),"",#REF!),"")</f>
        <v/>
      </c>
      <c r="R1166" t="str">
        <f>IFERROR(IF(OR(HLOOKUP($A1166,#REF!,16,FALSE)&gt;2,HLOOKUP($A1166,#REF!,16,FALSE)&lt;-2),"",#REF!),"")</f>
        <v/>
      </c>
      <c r="S1166" t="str">
        <f>IFERROR(IF(OR(HLOOKUP($A1166,#REF!,17,FALSE)&gt;2,HLOOKUP($A1166,#REF!,17,FALSE)&lt;-2),"",#REF!),"")</f>
        <v/>
      </c>
      <c r="T1166" t="str">
        <f>IFERROR(IF(OR(HLOOKUP($A1166,#REF!,18,FALSE)&gt;2,HLOOKUP($A1166,#REF!,18,FALSE)&lt;-2),"",#REF!),"")</f>
        <v/>
      </c>
      <c r="U1166" t="str">
        <f>IFERROR(IF(OR(HLOOKUP($A1166,#REF!,19,FALSE)&gt;2,HLOOKUP($A1166,#REF!,19,FALSE)&lt;-2),"",#REF!),"")</f>
        <v/>
      </c>
      <c r="V1166">
        <f t="shared" si="72"/>
        <v>1</v>
      </c>
      <c r="W1166" t="str">
        <f t="shared" si="73"/>
        <v/>
      </c>
      <c r="X1166" t="str">
        <f t="shared" si="74"/>
        <v/>
      </c>
      <c r="Y1166" t="str">
        <f t="shared" si="75"/>
        <v/>
      </c>
    </row>
    <row r="1167" spans="1:25" x14ac:dyDescent="0.35">
      <c r="A1167">
        <v>10709</v>
      </c>
      <c r="B1167" t="s">
        <v>1208</v>
      </c>
      <c r="C1167">
        <v>55700</v>
      </c>
      <c r="D1167">
        <v>976</v>
      </c>
      <c r="E1167" t="str">
        <f>IFERROR(IF(OR(HLOOKUP($A1167,#REF!,3,FALSE)&gt;2,HLOOKUP(A1167,#REF!,3,FALSE)&lt;-2),"",#REF!),"")</f>
        <v/>
      </c>
      <c r="F1167" t="str">
        <f>IFERROR(IF(OR(HLOOKUP($A1167,#REF!,4,FALSE)&gt;2,HLOOKUP($A1167,#REF!,4,FALSE)&lt;-2),"",#REF!),"")</f>
        <v/>
      </c>
      <c r="G1167" t="str">
        <f>IFERROR(IF(OR(HLOOKUP($A1167,#REF!,5,FALSE)&gt;2,HLOOKUP($A1167,#REF!,5,FALSE)&lt;-2),"",#REF!),"")</f>
        <v/>
      </c>
      <c r="H1167" t="str">
        <f>IFERROR(IF(OR(HLOOKUP($A1167,#REF!,6,FALSE)&gt;2,HLOOKUP($A1167,#REF!,6,FALSE)&lt;-2),"",#REF!),"")</f>
        <v/>
      </c>
      <c r="I1167" t="str">
        <f>IFERROR(IF(OR(HLOOKUP($A1167,#REF!,7,FALSE)&gt;2,HLOOKUP($A1167,#REF!,7,FALSE)&lt;-2),"",#REF!),"")</f>
        <v/>
      </c>
      <c r="J1167" t="str">
        <f>IFERROR(IF(OR(HLOOKUP($A1167,#REF!,8,FALSE)&gt;2,HLOOKUP($A1167,#REF!,8,FALSE)&lt;-2),"",#REF!),"")</f>
        <v/>
      </c>
      <c r="K1167" t="str">
        <f>IFERROR(IF(OR(HLOOKUP($A1167,#REF!,9,FALSE)&gt;2,HLOOKUP($A1167,#REF!,9,FALSE)&lt;-2),"",#REF!),"")</f>
        <v/>
      </c>
      <c r="L1167" t="str">
        <f>IFERROR(IF(OR(HLOOKUP($A1167,#REF!,10,FALSE)&gt;2,HLOOKUP($A1167,#REF!,10,FALSE)&lt;-2),"",#REF!),"")</f>
        <v/>
      </c>
      <c r="M1167" t="str">
        <f>IFERROR(IF(OR(HLOOKUP($A1167,#REF!,11,FALSE)&gt;2,HLOOKUP($A1167,#REF!,11,FALSE)&lt;-2),"",#REF!),"")</f>
        <v/>
      </c>
      <c r="N1167" t="str">
        <f>IFERROR(IF(OR(HLOOKUP($A1167,#REF!,12,FALSE)&gt;2,HLOOKUP($A1167,#REF!,12,FALSE)&lt;-2),"",#REF!),"")</f>
        <v/>
      </c>
      <c r="O1167" t="str">
        <f>IFERROR(IF(OR(HLOOKUP($A1167,#REF!,13,FALSE)&gt;2,HLOOKUP($A1167,#REF!,13,FALSE)&lt;-2),"",#REF!),"")</f>
        <v/>
      </c>
      <c r="P1167" t="str">
        <f>IFERROR(IF(OR(HLOOKUP($A1167,#REF!,14,FALSE)&gt;2,HLOOKUP($A1167,#REF!,14,FALSE)&lt;-2),"",#REF!),"")</f>
        <v/>
      </c>
      <c r="Q1167" t="str">
        <f>IFERROR(IF(OR(HLOOKUP($A1167,#REF!,15,FALSE)&gt;2,HLOOKUP($A1167,#REF!,15,FALSE)&lt;-2),"",#REF!),"")</f>
        <v/>
      </c>
      <c r="R1167" t="str">
        <f>IFERROR(IF(OR(HLOOKUP($A1167,#REF!,16,FALSE)&gt;2,HLOOKUP($A1167,#REF!,16,FALSE)&lt;-2),"",#REF!),"")</f>
        <v/>
      </c>
      <c r="S1167" t="str">
        <f>IFERROR(IF(OR(HLOOKUP($A1167,#REF!,17,FALSE)&gt;2,HLOOKUP($A1167,#REF!,17,FALSE)&lt;-2),"",#REF!),"")</f>
        <v/>
      </c>
      <c r="T1167" t="str">
        <f>IFERROR(IF(OR(HLOOKUP($A1167,#REF!,18,FALSE)&gt;2,HLOOKUP($A1167,#REF!,18,FALSE)&lt;-2),"",#REF!),"")</f>
        <v/>
      </c>
      <c r="U1167" t="str">
        <f>IFERROR(IF(OR(HLOOKUP($A1167,#REF!,19,FALSE)&gt;2,HLOOKUP($A1167,#REF!,19,FALSE)&lt;-2),"",#REF!),"")</f>
        <v/>
      </c>
      <c r="V1167">
        <f t="shared" si="72"/>
        <v>1</v>
      </c>
      <c r="W1167" t="str">
        <f t="shared" si="73"/>
        <v/>
      </c>
      <c r="X1167" t="str">
        <f t="shared" si="74"/>
        <v/>
      </c>
      <c r="Y1167" t="str">
        <f t="shared" si="75"/>
        <v/>
      </c>
    </row>
    <row r="1168" spans="1:25" x14ac:dyDescent="0.35">
      <c r="A1168">
        <v>10710</v>
      </c>
      <c r="B1168" t="s">
        <v>1209</v>
      </c>
      <c r="C1168">
        <v>55600</v>
      </c>
      <c r="D1168">
        <v>976</v>
      </c>
      <c r="E1168" t="str">
        <f>IFERROR(IF(OR(HLOOKUP($A1168,#REF!,3,FALSE)&gt;2,HLOOKUP(A1168,#REF!,3,FALSE)&lt;-2),"",#REF!),"")</f>
        <v/>
      </c>
      <c r="F1168" t="str">
        <f>IFERROR(IF(OR(HLOOKUP($A1168,#REF!,4,FALSE)&gt;2,HLOOKUP($A1168,#REF!,4,FALSE)&lt;-2),"",#REF!),"")</f>
        <v/>
      </c>
      <c r="G1168" t="str">
        <f>IFERROR(IF(OR(HLOOKUP($A1168,#REF!,5,FALSE)&gt;2,HLOOKUP($A1168,#REF!,5,FALSE)&lt;-2),"",#REF!),"")</f>
        <v/>
      </c>
      <c r="H1168" t="str">
        <f>IFERROR(IF(OR(HLOOKUP($A1168,#REF!,6,FALSE)&gt;2,HLOOKUP($A1168,#REF!,6,FALSE)&lt;-2),"",#REF!),"")</f>
        <v/>
      </c>
      <c r="I1168" t="str">
        <f>IFERROR(IF(OR(HLOOKUP($A1168,#REF!,7,FALSE)&gt;2,HLOOKUP($A1168,#REF!,7,FALSE)&lt;-2),"",#REF!),"")</f>
        <v/>
      </c>
      <c r="J1168" t="str">
        <f>IFERROR(IF(OR(HLOOKUP($A1168,#REF!,8,FALSE)&gt;2,HLOOKUP($A1168,#REF!,8,FALSE)&lt;-2),"",#REF!),"")</f>
        <v/>
      </c>
      <c r="K1168" t="str">
        <f>IFERROR(IF(OR(HLOOKUP($A1168,#REF!,9,FALSE)&gt;2,HLOOKUP($A1168,#REF!,9,FALSE)&lt;-2),"",#REF!),"")</f>
        <v/>
      </c>
      <c r="L1168" t="str">
        <f>IFERROR(IF(OR(HLOOKUP($A1168,#REF!,10,FALSE)&gt;2,HLOOKUP($A1168,#REF!,10,FALSE)&lt;-2),"",#REF!),"")</f>
        <v/>
      </c>
      <c r="M1168" t="str">
        <f>IFERROR(IF(OR(HLOOKUP($A1168,#REF!,11,FALSE)&gt;2,HLOOKUP($A1168,#REF!,11,FALSE)&lt;-2),"",#REF!),"")</f>
        <v/>
      </c>
      <c r="N1168" t="str">
        <f>IFERROR(IF(OR(HLOOKUP($A1168,#REF!,12,FALSE)&gt;2,HLOOKUP($A1168,#REF!,12,FALSE)&lt;-2),"",#REF!),"")</f>
        <v/>
      </c>
      <c r="O1168" t="str">
        <f>IFERROR(IF(OR(HLOOKUP($A1168,#REF!,13,FALSE)&gt;2,HLOOKUP($A1168,#REF!,13,FALSE)&lt;-2),"",#REF!),"")</f>
        <v/>
      </c>
      <c r="P1168" t="str">
        <f>IFERROR(IF(OR(HLOOKUP($A1168,#REF!,14,FALSE)&gt;2,HLOOKUP($A1168,#REF!,14,FALSE)&lt;-2),"",#REF!),"")</f>
        <v/>
      </c>
      <c r="Q1168" t="str">
        <f>IFERROR(IF(OR(HLOOKUP($A1168,#REF!,15,FALSE)&gt;2,HLOOKUP($A1168,#REF!,15,FALSE)&lt;-2),"",#REF!),"")</f>
        <v/>
      </c>
      <c r="R1168" t="str">
        <f>IFERROR(IF(OR(HLOOKUP($A1168,#REF!,16,FALSE)&gt;2,HLOOKUP($A1168,#REF!,16,FALSE)&lt;-2),"",#REF!),"")</f>
        <v/>
      </c>
      <c r="S1168" t="str">
        <f>IFERROR(IF(OR(HLOOKUP($A1168,#REF!,17,FALSE)&gt;2,HLOOKUP($A1168,#REF!,17,FALSE)&lt;-2),"",#REF!),"")</f>
        <v/>
      </c>
      <c r="T1168" t="str">
        <f>IFERROR(IF(OR(HLOOKUP($A1168,#REF!,18,FALSE)&gt;2,HLOOKUP($A1168,#REF!,18,FALSE)&lt;-2),"",#REF!),"")</f>
        <v/>
      </c>
      <c r="U1168" t="str">
        <f>IFERROR(IF(OR(HLOOKUP($A1168,#REF!,19,FALSE)&gt;2,HLOOKUP($A1168,#REF!,19,FALSE)&lt;-2),"",#REF!),"")</f>
        <v/>
      </c>
      <c r="V1168">
        <f t="shared" si="72"/>
        <v>1</v>
      </c>
      <c r="W1168" t="str">
        <f t="shared" si="73"/>
        <v/>
      </c>
      <c r="X1168" t="str">
        <f t="shared" si="74"/>
        <v/>
      </c>
      <c r="Y1168" t="str">
        <f t="shared" si="75"/>
        <v/>
      </c>
    </row>
    <row r="1169" spans="1:25" x14ac:dyDescent="0.35">
      <c r="A1169">
        <v>10711</v>
      </c>
      <c r="B1169" t="s">
        <v>1210</v>
      </c>
      <c r="C1169">
        <v>56200</v>
      </c>
      <c r="D1169">
        <v>984</v>
      </c>
      <c r="E1169" t="str">
        <f>IFERROR(IF(OR(HLOOKUP($A1169,#REF!,3,FALSE)&gt;2,HLOOKUP(A1169,#REF!,3,FALSE)&lt;-2),"",#REF!),"")</f>
        <v/>
      </c>
      <c r="F1169" t="str">
        <f>IFERROR(IF(OR(HLOOKUP($A1169,#REF!,4,FALSE)&gt;2,HLOOKUP($A1169,#REF!,4,FALSE)&lt;-2),"",#REF!),"")</f>
        <v/>
      </c>
      <c r="G1169" t="str">
        <f>IFERROR(IF(OR(HLOOKUP($A1169,#REF!,5,FALSE)&gt;2,HLOOKUP($A1169,#REF!,5,FALSE)&lt;-2),"",#REF!),"")</f>
        <v/>
      </c>
      <c r="H1169" t="str">
        <f>IFERROR(IF(OR(HLOOKUP($A1169,#REF!,6,FALSE)&gt;2,HLOOKUP($A1169,#REF!,6,FALSE)&lt;-2),"",#REF!),"")</f>
        <v/>
      </c>
      <c r="I1169" t="str">
        <f>IFERROR(IF(OR(HLOOKUP($A1169,#REF!,7,FALSE)&gt;2,HLOOKUP($A1169,#REF!,7,FALSE)&lt;-2),"",#REF!),"")</f>
        <v/>
      </c>
      <c r="J1169" t="str">
        <f>IFERROR(IF(OR(HLOOKUP($A1169,#REF!,8,FALSE)&gt;2,HLOOKUP($A1169,#REF!,8,FALSE)&lt;-2),"",#REF!),"")</f>
        <v/>
      </c>
      <c r="K1169" t="str">
        <f>IFERROR(IF(OR(HLOOKUP($A1169,#REF!,9,FALSE)&gt;2,HLOOKUP($A1169,#REF!,9,FALSE)&lt;-2),"",#REF!),"")</f>
        <v/>
      </c>
      <c r="L1169" t="str">
        <f>IFERROR(IF(OR(HLOOKUP($A1169,#REF!,10,FALSE)&gt;2,HLOOKUP($A1169,#REF!,10,FALSE)&lt;-2),"",#REF!),"")</f>
        <v/>
      </c>
      <c r="M1169" t="str">
        <f>IFERROR(IF(OR(HLOOKUP($A1169,#REF!,11,FALSE)&gt;2,HLOOKUP($A1169,#REF!,11,FALSE)&lt;-2),"",#REF!),"")</f>
        <v/>
      </c>
      <c r="N1169" t="str">
        <f>IFERROR(IF(OR(HLOOKUP($A1169,#REF!,12,FALSE)&gt;2,HLOOKUP($A1169,#REF!,12,FALSE)&lt;-2),"",#REF!),"")</f>
        <v/>
      </c>
      <c r="O1169" t="str">
        <f>IFERROR(IF(OR(HLOOKUP($A1169,#REF!,13,FALSE)&gt;2,HLOOKUP($A1169,#REF!,13,FALSE)&lt;-2),"",#REF!),"")</f>
        <v/>
      </c>
      <c r="P1169" t="str">
        <f>IFERROR(IF(OR(HLOOKUP($A1169,#REF!,14,FALSE)&gt;2,HLOOKUP($A1169,#REF!,14,FALSE)&lt;-2),"",#REF!),"")</f>
        <v/>
      </c>
      <c r="Q1169" t="str">
        <f>IFERROR(IF(OR(HLOOKUP($A1169,#REF!,15,FALSE)&gt;2,HLOOKUP($A1169,#REF!,15,FALSE)&lt;-2),"",#REF!),"")</f>
        <v/>
      </c>
      <c r="R1169" t="str">
        <f>IFERROR(IF(OR(HLOOKUP($A1169,#REF!,16,FALSE)&gt;2,HLOOKUP($A1169,#REF!,16,FALSE)&lt;-2),"",#REF!),"")</f>
        <v/>
      </c>
      <c r="S1169" t="str">
        <f>IFERROR(IF(OR(HLOOKUP($A1169,#REF!,17,FALSE)&gt;2,HLOOKUP($A1169,#REF!,17,FALSE)&lt;-2),"",#REF!),"")</f>
        <v/>
      </c>
      <c r="T1169" t="str">
        <f>IFERROR(IF(OR(HLOOKUP($A1169,#REF!,18,FALSE)&gt;2,HLOOKUP($A1169,#REF!,18,FALSE)&lt;-2),"",#REF!),"")</f>
        <v/>
      </c>
      <c r="U1169" t="str">
        <f>IFERROR(IF(OR(HLOOKUP($A1169,#REF!,19,FALSE)&gt;2,HLOOKUP($A1169,#REF!,19,FALSE)&lt;-2),"",#REF!),"")</f>
        <v/>
      </c>
      <c r="V1169">
        <f t="shared" si="72"/>
        <v>1</v>
      </c>
      <c r="W1169" t="str">
        <f t="shared" si="73"/>
        <v/>
      </c>
      <c r="X1169" t="str">
        <f t="shared" si="74"/>
        <v/>
      </c>
      <c r="Y1169" t="str">
        <f t="shared" si="75"/>
        <v/>
      </c>
    </row>
    <row r="1170" spans="1:25" x14ac:dyDescent="0.35">
      <c r="A1170">
        <v>10712</v>
      </c>
      <c r="B1170" t="s">
        <v>1211</v>
      </c>
      <c r="C1170">
        <v>56100</v>
      </c>
      <c r="D1170">
        <v>984</v>
      </c>
      <c r="E1170" t="str">
        <f>IFERROR(IF(OR(HLOOKUP($A1170,#REF!,3,FALSE)&gt;2,HLOOKUP(A1170,#REF!,3,FALSE)&lt;-2),"",#REF!),"")</f>
        <v/>
      </c>
      <c r="F1170" t="str">
        <f>IFERROR(IF(OR(HLOOKUP($A1170,#REF!,4,FALSE)&gt;2,HLOOKUP($A1170,#REF!,4,FALSE)&lt;-2),"",#REF!),"")</f>
        <v/>
      </c>
      <c r="G1170" t="str">
        <f>IFERROR(IF(OR(HLOOKUP($A1170,#REF!,5,FALSE)&gt;2,HLOOKUP($A1170,#REF!,5,FALSE)&lt;-2),"",#REF!),"")</f>
        <v/>
      </c>
      <c r="H1170" t="str">
        <f>IFERROR(IF(OR(HLOOKUP($A1170,#REF!,6,FALSE)&gt;2,HLOOKUP($A1170,#REF!,6,FALSE)&lt;-2),"",#REF!),"")</f>
        <v/>
      </c>
      <c r="I1170" t="str">
        <f>IFERROR(IF(OR(HLOOKUP($A1170,#REF!,7,FALSE)&gt;2,HLOOKUP($A1170,#REF!,7,FALSE)&lt;-2),"",#REF!),"")</f>
        <v/>
      </c>
      <c r="J1170" t="str">
        <f>IFERROR(IF(OR(HLOOKUP($A1170,#REF!,8,FALSE)&gt;2,HLOOKUP($A1170,#REF!,8,FALSE)&lt;-2),"",#REF!),"")</f>
        <v/>
      </c>
      <c r="K1170" t="str">
        <f>IFERROR(IF(OR(HLOOKUP($A1170,#REF!,9,FALSE)&gt;2,HLOOKUP($A1170,#REF!,9,FALSE)&lt;-2),"",#REF!),"")</f>
        <v/>
      </c>
      <c r="L1170" t="str">
        <f>IFERROR(IF(OR(HLOOKUP($A1170,#REF!,10,FALSE)&gt;2,HLOOKUP($A1170,#REF!,10,FALSE)&lt;-2),"",#REF!),"")</f>
        <v/>
      </c>
      <c r="M1170" t="str">
        <f>IFERROR(IF(OR(HLOOKUP($A1170,#REF!,11,FALSE)&gt;2,HLOOKUP($A1170,#REF!,11,FALSE)&lt;-2),"",#REF!),"")</f>
        <v/>
      </c>
      <c r="N1170" t="str">
        <f>IFERROR(IF(OR(HLOOKUP($A1170,#REF!,12,FALSE)&gt;2,HLOOKUP($A1170,#REF!,12,FALSE)&lt;-2),"",#REF!),"")</f>
        <v/>
      </c>
      <c r="O1170" t="str">
        <f>IFERROR(IF(OR(HLOOKUP($A1170,#REF!,13,FALSE)&gt;2,HLOOKUP($A1170,#REF!,13,FALSE)&lt;-2),"",#REF!),"")</f>
        <v/>
      </c>
      <c r="P1170" t="str">
        <f>IFERROR(IF(OR(HLOOKUP($A1170,#REF!,14,FALSE)&gt;2,HLOOKUP($A1170,#REF!,14,FALSE)&lt;-2),"",#REF!),"")</f>
        <v/>
      </c>
      <c r="Q1170" t="str">
        <f>IFERROR(IF(OR(HLOOKUP($A1170,#REF!,15,FALSE)&gt;2,HLOOKUP($A1170,#REF!,15,FALSE)&lt;-2),"",#REF!),"")</f>
        <v/>
      </c>
      <c r="R1170" t="str">
        <f>IFERROR(IF(OR(HLOOKUP($A1170,#REF!,16,FALSE)&gt;2,HLOOKUP($A1170,#REF!,16,FALSE)&lt;-2),"",#REF!),"")</f>
        <v/>
      </c>
      <c r="S1170" t="str">
        <f>IFERROR(IF(OR(HLOOKUP($A1170,#REF!,17,FALSE)&gt;2,HLOOKUP($A1170,#REF!,17,FALSE)&lt;-2),"",#REF!),"")</f>
        <v/>
      </c>
      <c r="T1170" t="str">
        <f>IFERROR(IF(OR(HLOOKUP($A1170,#REF!,18,FALSE)&gt;2,HLOOKUP($A1170,#REF!,18,FALSE)&lt;-2),"",#REF!),"")</f>
        <v/>
      </c>
      <c r="U1170" t="str">
        <f>IFERROR(IF(OR(HLOOKUP($A1170,#REF!,19,FALSE)&gt;2,HLOOKUP($A1170,#REF!,19,FALSE)&lt;-2),"",#REF!),"")</f>
        <v/>
      </c>
      <c r="V1170">
        <f t="shared" si="72"/>
        <v>1</v>
      </c>
      <c r="W1170" t="str">
        <f t="shared" si="73"/>
        <v/>
      </c>
      <c r="X1170" t="str">
        <f t="shared" si="74"/>
        <v/>
      </c>
      <c r="Y1170" t="str">
        <f t="shared" si="75"/>
        <v/>
      </c>
    </row>
    <row r="1171" spans="1:25" x14ac:dyDescent="0.35">
      <c r="A1171">
        <v>10713</v>
      </c>
      <c r="B1171" t="s">
        <v>1212</v>
      </c>
      <c r="C1171">
        <v>56000</v>
      </c>
      <c r="D1171">
        <v>984</v>
      </c>
      <c r="E1171" t="str">
        <f>IFERROR(IF(OR(HLOOKUP($A1171,#REF!,3,FALSE)&gt;2,HLOOKUP(A1171,#REF!,3,FALSE)&lt;-2),"",#REF!),"")</f>
        <v/>
      </c>
      <c r="F1171" t="str">
        <f>IFERROR(IF(OR(HLOOKUP($A1171,#REF!,4,FALSE)&gt;2,HLOOKUP($A1171,#REF!,4,FALSE)&lt;-2),"",#REF!),"")</f>
        <v/>
      </c>
      <c r="G1171" t="str">
        <f>IFERROR(IF(OR(HLOOKUP($A1171,#REF!,5,FALSE)&gt;2,HLOOKUP($A1171,#REF!,5,FALSE)&lt;-2),"",#REF!),"")</f>
        <v/>
      </c>
      <c r="H1171" t="str">
        <f>IFERROR(IF(OR(HLOOKUP($A1171,#REF!,6,FALSE)&gt;2,HLOOKUP($A1171,#REF!,6,FALSE)&lt;-2),"",#REF!),"")</f>
        <v/>
      </c>
      <c r="I1171" t="str">
        <f>IFERROR(IF(OR(HLOOKUP($A1171,#REF!,7,FALSE)&gt;2,HLOOKUP($A1171,#REF!,7,FALSE)&lt;-2),"",#REF!),"")</f>
        <v/>
      </c>
      <c r="J1171" t="str">
        <f>IFERROR(IF(OR(HLOOKUP($A1171,#REF!,8,FALSE)&gt;2,HLOOKUP($A1171,#REF!,8,FALSE)&lt;-2),"",#REF!),"")</f>
        <v/>
      </c>
      <c r="K1171" t="str">
        <f>IFERROR(IF(OR(HLOOKUP($A1171,#REF!,9,FALSE)&gt;2,HLOOKUP($A1171,#REF!,9,FALSE)&lt;-2),"",#REF!),"")</f>
        <v/>
      </c>
      <c r="L1171" t="str">
        <f>IFERROR(IF(OR(HLOOKUP($A1171,#REF!,10,FALSE)&gt;2,HLOOKUP($A1171,#REF!,10,FALSE)&lt;-2),"",#REF!),"")</f>
        <v/>
      </c>
      <c r="M1171" t="str">
        <f>IFERROR(IF(OR(HLOOKUP($A1171,#REF!,11,FALSE)&gt;2,HLOOKUP($A1171,#REF!,11,FALSE)&lt;-2),"",#REF!),"")</f>
        <v/>
      </c>
      <c r="N1171" t="str">
        <f>IFERROR(IF(OR(HLOOKUP($A1171,#REF!,12,FALSE)&gt;2,HLOOKUP($A1171,#REF!,12,FALSE)&lt;-2),"",#REF!),"")</f>
        <v/>
      </c>
      <c r="O1171" t="str">
        <f>IFERROR(IF(OR(HLOOKUP($A1171,#REF!,13,FALSE)&gt;2,HLOOKUP($A1171,#REF!,13,FALSE)&lt;-2),"",#REF!),"")</f>
        <v/>
      </c>
      <c r="P1171" t="str">
        <f>IFERROR(IF(OR(HLOOKUP($A1171,#REF!,14,FALSE)&gt;2,HLOOKUP($A1171,#REF!,14,FALSE)&lt;-2),"",#REF!),"")</f>
        <v/>
      </c>
      <c r="Q1171" t="str">
        <f>IFERROR(IF(OR(HLOOKUP($A1171,#REF!,15,FALSE)&gt;2,HLOOKUP($A1171,#REF!,15,FALSE)&lt;-2),"",#REF!),"")</f>
        <v/>
      </c>
      <c r="R1171" t="str">
        <f>IFERROR(IF(OR(HLOOKUP($A1171,#REF!,16,FALSE)&gt;2,HLOOKUP($A1171,#REF!,16,FALSE)&lt;-2),"",#REF!),"")</f>
        <v/>
      </c>
      <c r="S1171" t="str">
        <f>IFERROR(IF(OR(HLOOKUP($A1171,#REF!,17,FALSE)&gt;2,HLOOKUP($A1171,#REF!,17,FALSE)&lt;-2),"",#REF!),"")</f>
        <v/>
      </c>
      <c r="T1171" t="str">
        <f>IFERROR(IF(OR(HLOOKUP($A1171,#REF!,18,FALSE)&gt;2,HLOOKUP($A1171,#REF!,18,FALSE)&lt;-2),"",#REF!),"")</f>
        <v/>
      </c>
      <c r="U1171" t="str">
        <f>IFERROR(IF(OR(HLOOKUP($A1171,#REF!,19,FALSE)&gt;2,HLOOKUP($A1171,#REF!,19,FALSE)&lt;-2),"",#REF!),"")</f>
        <v/>
      </c>
      <c r="V1171">
        <f t="shared" si="72"/>
        <v>1</v>
      </c>
      <c r="W1171" t="str">
        <f t="shared" si="73"/>
        <v/>
      </c>
      <c r="X1171" t="str">
        <f t="shared" si="74"/>
        <v/>
      </c>
      <c r="Y1171" t="str">
        <f t="shared" si="75"/>
        <v/>
      </c>
    </row>
    <row r="1172" spans="1:25" x14ac:dyDescent="0.35">
      <c r="A1172">
        <v>10714</v>
      </c>
      <c r="B1172" t="s">
        <v>1213</v>
      </c>
      <c r="C1172">
        <v>56700</v>
      </c>
      <c r="D1172">
        <v>992</v>
      </c>
      <c r="E1172" t="str">
        <f>IFERROR(IF(OR(HLOOKUP($A1172,#REF!,3,FALSE)&gt;2,HLOOKUP(A1172,#REF!,3,FALSE)&lt;-2),"",#REF!),"")</f>
        <v/>
      </c>
      <c r="F1172" t="str">
        <f>IFERROR(IF(OR(HLOOKUP($A1172,#REF!,4,FALSE)&gt;2,HLOOKUP($A1172,#REF!,4,FALSE)&lt;-2),"",#REF!),"")</f>
        <v/>
      </c>
      <c r="G1172" t="str">
        <f>IFERROR(IF(OR(HLOOKUP($A1172,#REF!,5,FALSE)&gt;2,HLOOKUP($A1172,#REF!,5,FALSE)&lt;-2),"",#REF!),"")</f>
        <v/>
      </c>
      <c r="H1172" t="str">
        <f>IFERROR(IF(OR(HLOOKUP($A1172,#REF!,6,FALSE)&gt;2,HLOOKUP($A1172,#REF!,6,FALSE)&lt;-2),"",#REF!),"")</f>
        <v/>
      </c>
      <c r="I1172" t="str">
        <f>IFERROR(IF(OR(HLOOKUP($A1172,#REF!,7,FALSE)&gt;2,HLOOKUP($A1172,#REF!,7,FALSE)&lt;-2),"",#REF!),"")</f>
        <v/>
      </c>
      <c r="J1172" t="str">
        <f>IFERROR(IF(OR(HLOOKUP($A1172,#REF!,8,FALSE)&gt;2,HLOOKUP($A1172,#REF!,8,FALSE)&lt;-2),"",#REF!),"")</f>
        <v/>
      </c>
      <c r="K1172" t="str">
        <f>IFERROR(IF(OR(HLOOKUP($A1172,#REF!,9,FALSE)&gt;2,HLOOKUP($A1172,#REF!,9,FALSE)&lt;-2),"",#REF!),"")</f>
        <v/>
      </c>
      <c r="L1172" t="str">
        <f>IFERROR(IF(OR(HLOOKUP($A1172,#REF!,10,FALSE)&gt;2,HLOOKUP($A1172,#REF!,10,FALSE)&lt;-2),"",#REF!),"")</f>
        <v/>
      </c>
      <c r="M1172" t="str">
        <f>IFERROR(IF(OR(HLOOKUP($A1172,#REF!,11,FALSE)&gt;2,HLOOKUP($A1172,#REF!,11,FALSE)&lt;-2),"",#REF!),"")</f>
        <v/>
      </c>
      <c r="N1172" t="str">
        <f>IFERROR(IF(OR(HLOOKUP($A1172,#REF!,12,FALSE)&gt;2,HLOOKUP($A1172,#REF!,12,FALSE)&lt;-2),"",#REF!),"")</f>
        <v/>
      </c>
      <c r="O1172" t="str">
        <f>IFERROR(IF(OR(HLOOKUP($A1172,#REF!,13,FALSE)&gt;2,HLOOKUP($A1172,#REF!,13,FALSE)&lt;-2),"",#REF!),"")</f>
        <v/>
      </c>
      <c r="P1172" t="str">
        <f>IFERROR(IF(OR(HLOOKUP($A1172,#REF!,14,FALSE)&gt;2,HLOOKUP($A1172,#REF!,14,FALSE)&lt;-2),"",#REF!),"")</f>
        <v/>
      </c>
      <c r="Q1172" t="str">
        <f>IFERROR(IF(OR(HLOOKUP($A1172,#REF!,15,FALSE)&gt;2,HLOOKUP($A1172,#REF!,15,FALSE)&lt;-2),"",#REF!),"")</f>
        <v/>
      </c>
      <c r="R1172" t="str">
        <f>IFERROR(IF(OR(HLOOKUP($A1172,#REF!,16,FALSE)&gt;2,HLOOKUP($A1172,#REF!,16,FALSE)&lt;-2),"",#REF!),"")</f>
        <v/>
      </c>
      <c r="S1172" t="str">
        <f>IFERROR(IF(OR(HLOOKUP($A1172,#REF!,17,FALSE)&gt;2,HLOOKUP($A1172,#REF!,17,FALSE)&lt;-2),"",#REF!),"")</f>
        <v/>
      </c>
      <c r="T1172" t="str">
        <f>IFERROR(IF(OR(HLOOKUP($A1172,#REF!,18,FALSE)&gt;2,HLOOKUP($A1172,#REF!,18,FALSE)&lt;-2),"",#REF!),"")</f>
        <v/>
      </c>
      <c r="U1172" t="str">
        <f>IFERROR(IF(OR(HLOOKUP($A1172,#REF!,19,FALSE)&gt;2,HLOOKUP($A1172,#REF!,19,FALSE)&lt;-2),"",#REF!),"")</f>
        <v/>
      </c>
      <c r="V1172">
        <f t="shared" si="72"/>
        <v>1</v>
      </c>
      <c r="W1172" t="str">
        <f t="shared" si="73"/>
        <v/>
      </c>
      <c r="X1172" t="str">
        <f t="shared" si="74"/>
        <v/>
      </c>
      <c r="Y1172" t="str">
        <f t="shared" si="75"/>
        <v/>
      </c>
    </row>
    <row r="1173" spans="1:25" x14ac:dyDescent="0.35">
      <c r="A1173">
        <v>10715</v>
      </c>
      <c r="B1173" t="s">
        <v>1214</v>
      </c>
      <c r="C1173">
        <v>56600</v>
      </c>
      <c r="D1173">
        <v>992</v>
      </c>
      <c r="E1173" t="str">
        <f>IFERROR(IF(OR(HLOOKUP($A1173,#REF!,3,FALSE)&gt;2,HLOOKUP(A1173,#REF!,3,FALSE)&lt;-2),"",#REF!),"")</f>
        <v/>
      </c>
      <c r="F1173" t="str">
        <f>IFERROR(IF(OR(HLOOKUP($A1173,#REF!,4,FALSE)&gt;2,HLOOKUP($A1173,#REF!,4,FALSE)&lt;-2),"",#REF!),"")</f>
        <v/>
      </c>
      <c r="G1173" t="str">
        <f>IFERROR(IF(OR(HLOOKUP($A1173,#REF!,5,FALSE)&gt;2,HLOOKUP($A1173,#REF!,5,FALSE)&lt;-2),"",#REF!),"")</f>
        <v/>
      </c>
      <c r="H1173" t="str">
        <f>IFERROR(IF(OR(HLOOKUP($A1173,#REF!,6,FALSE)&gt;2,HLOOKUP($A1173,#REF!,6,FALSE)&lt;-2),"",#REF!),"")</f>
        <v/>
      </c>
      <c r="I1173" t="str">
        <f>IFERROR(IF(OR(HLOOKUP($A1173,#REF!,7,FALSE)&gt;2,HLOOKUP($A1173,#REF!,7,FALSE)&lt;-2),"",#REF!),"")</f>
        <v/>
      </c>
      <c r="J1173" t="str">
        <f>IFERROR(IF(OR(HLOOKUP($A1173,#REF!,8,FALSE)&gt;2,HLOOKUP($A1173,#REF!,8,FALSE)&lt;-2),"",#REF!),"")</f>
        <v/>
      </c>
      <c r="K1173" t="str">
        <f>IFERROR(IF(OR(HLOOKUP($A1173,#REF!,9,FALSE)&gt;2,HLOOKUP($A1173,#REF!,9,FALSE)&lt;-2),"",#REF!),"")</f>
        <v/>
      </c>
      <c r="L1173" t="str">
        <f>IFERROR(IF(OR(HLOOKUP($A1173,#REF!,10,FALSE)&gt;2,HLOOKUP($A1173,#REF!,10,FALSE)&lt;-2),"",#REF!),"")</f>
        <v/>
      </c>
      <c r="M1173" t="str">
        <f>IFERROR(IF(OR(HLOOKUP($A1173,#REF!,11,FALSE)&gt;2,HLOOKUP($A1173,#REF!,11,FALSE)&lt;-2),"",#REF!),"")</f>
        <v/>
      </c>
      <c r="N1173" t="str">
        <f>IFERROR(IF(OR(HLOOKUP($A1173,#REF!,12,FALSE)&gt;2,HLOOKUP($A1173,#REF!,12,FALSE)&lt;-2),"",#REF!),"")</f>
        <v/>
      </c>
      <c r="O1173" t="str">
        <f>IFERROR(IF(OR(HLOOKUP($A1173,#REF!,13,FALSE)&gt;2,HLOOKUP($A1173,#REF!,13,FALSE)&lt;-2),"",#REF!),"")</f>
        <v/>
      </c>
      <c r="P1173" t="str">
        <f>IFERROR(IF(OR(HLOOKUP($A1173,#REF!,14,FALSE)&gt;2,HLOOKUP($A1173,#REF!,14,FALSE)&lt;-2),"",#REF!),"")</f>
        <v/>
      </c>
      <c r="Q1173" t="str">
        <f>IFERROR(IF(OR(HLOOKUP($A1173,#REF!,15,FALSE)&gt;2,HLOOKUP($A1173,#REF!,15,FALSE)&lt;-2),"",#REF!),"")</f>
        <v/>
      </c>
      <c r="R1173" t="str">
        <f>IFERROR(IF(OR(HLOOKUP($A1173,#REF!,16,FALSE)&gt;2,HLOOKUP($A1173,#REF!,16,FALSE)&lt;-2),"",#REF!),"")</f>
        <v/>
      </c>
      <c r="S1173" t="str">
        <f>IFERROR(IF(OR(HLOOKUP($A1173,#REF!,17,FALSE)&gt;2,HLOOKUP($A1173,#REF!,17,FALSE)&lt;-2),"",#REF!),"")</f>
        <v/>
      </c>
      <c r="T1173" t="str">
        <f>IFERROR(IF(OR(HLOOKUP($A1173,#REF!,18,FALSE)&gt;2,HLOOKUP($A1173,#REF!,18,FALSE)&lt;-2),"",#REF!),"")</f>
        <v/>
      </c>
      <c r="U1173" t="str">
        <f>IFERROR(IF(OR(HLOOKUP($A1173,#REF!,19,FALSE)&gt;2,HLOOKUP($A1173,#REF!,19,FALSE)&lt;-2),"",#REF!),"")</f>
        <v/>
      </c>
      <c r="V1173">
        <f t="shared" si="72"/>
        <v>1</v>
      </c>
      <c r="W1173" t="str">
        <f t="shared" si="73"/>
        <v/>
      </c>
      <c r="X1173" t="str">
        <f t="shared" si="74"/>
        <v/>
      </c>
      <c r="Y1173" t="str">
        <f t="shared" si="75"/>
        <v/>
      </c>
    </row>
    <row r="1174" spans="1:25" x14ac:dyDescent="0.35">
      <c r="A1174">
        <v>10716</v>
      </c>
      <c r="B1174" t="s">
        <v>1215</v>
      </c>
      <c r="C1174">
        <v>56500</v>
      </c>
      <c r="D1174">
        <v>992</v>
      </c>
      <c r="E1174" t="str">
        <f>IFERROR(IF(OR(HLOOKUP($A1174,#REF!,3,FALSE)&gt;2,HLOOKUP(A1174,#REF!,3,FALSE)&lt;-2),"",#REF!),"")</f>
        <v/>
      </c>
      <c r="F1174" t="str">
        <f>IFERROR(IF(OR(HLOOKUP($A1174,#REF!,4,FALSE)&gt;2,HLOOKUP($A1174,#REF!,4,FALSE)&lt;-2),"",#REF!),"")</f>
        <v/>
      </c>
      <c r="G1174" t="str">
        <f>IFERROR(IF(OR(HLOOKUP($A1174,#REF!,5,FALSE)&gt;2,HLOOKUP($A1174,#REF!,5,FALSE)&lt;-2),"",#REF!),"")</f>
        <v/>
      </c>
      <c r="H1174" t="str">
        <f>IFERROR(IF(OR(HLOOKUP($A1174,#REF!,6,FALSE)&gt;2,HLOOKUP($A1174,#REF!,6,FALSE)&lt;-2),"",#REF!),"")</f>
        <v/>
      </c>
      <c r="I1174" t="str">
        <f>IFERROR(IF(OR(HLOOKUP($A1174,#REF!,7,FALSE)&gt;2,HLOOKUP($A1174,#REF!,7,FALSE)&lt;-2),"",#REF!),"")</f>
        <v/>
      </c>
      <c r="J1174" t="str">
        <f>IFERROR(IF(OR(HLOOKUP($A1174,#REF!,8,FALSE)&gt;2,HLOOKUP($A1174,#REF!,8,FALSE)&lt;-2),"",#REF!),"")</f>
        <v/>
      </c>
      <c r="K1174" t="str">
        <f>IFERROR(IF(OR(HLOOKUP($A1174,#REF!,9,FALSE)&gt;2,HLOOKUP($A1174,#REF!,9,FALSE)&lt;-2),"",#REF!),"")</f>
        <v/>
      </c>
      <c r="L1174" t="str">
        <f>IFERROR(IF(OR(HLOOKUP($A1174,#REF!,10,FALSE)&gt;2,HLOOKUP($A1174,#REF!,10,FALSE)&lt;-2),"",#REF!),"")</f>
        <v/>
      </c>
      <c r="M1174" t="str">
        <f>IFERROR(IF(OR(HLOOKUP($A1174,#REF!,11,FALSE)&gt;2,HLOOKUP($A1174,#REF!,11,FALSE)&lt;-2),"",#REF!),"")</f>
        <v/>
      </c>
      <c r="N1174" t="str">
        <f>IFERROR(IF(OR(HLOOKUP($A1174,#REF!,12,FALSE)&gt;2,HLOOKUP($A1174,#REF!,12,FALSE)&lt;-2),"",#REF!),"")</f>
        <v/>
      </c>
      <c r="O1174" t="str">
        <f>IFERROR(IF(OR(HLOOKUP($A1174,#REF!,13,FALSE)&gt;2,HLOOKUP($A1174,#REF!,13,FALSE)&lt;-2),"",#REF!),"")</f>
        <v/>
      </c>
      <c r="P1174" t="str">
        <f>IFERROR(IF(OR(HLOOKUP($A1174,#REF!,14,FALSE)&gt;2,HLOOKUP($A1174,#REF!,14,FALSE)&lt;-2),"",#REF!),"")</f>
        <v/>
      </c>
      <c r="Q1174" t="str">
        <f>IFERROR(IF(OR(HLOOKUP($A1174,#REF!,15,FALSE)&gt;2,HLOOKUP($A1174,#REF!,15,FALSE)&lt;-2),"",#REF!),"")</f>
        <v/>
      </c>
      <c r="R1174" t="str">
        <f>IFERROR(IF(OR(HLOOKUP($A1174,#REF!,16,FALSE)&gt;2,HLOOKUP($A1174,#REF!,16,FALSE)&lt;-2),"",#REF!),"")</f>
        <v/>
      </c>
      <c r="S1174" t="str">
        <f>IFERROR(IF(OR(HLOOKUP($A1174,#REF!,17,FALSE)&gt;2,HLOOKUP($A1174,#REF!,17,FALSE)&lt;-2),"",#REF!),"")</f>
        <v/>
      </c>
      <c r="T1174" t="str">
        <f>IFERROR(IF(OR(HLOOKUP($A1174,#REF!,18,FALSE)&gt;2,HLOOKUP($A1174,#REF!,18,FALSE)&lt;-2),"",#REF!),"")</f>
        <v/>
      </c>
      <c r="U1174" t="str">
        <f>IFERROR(IF(OR(HLOOKUP($A1174,#REF!,19,FALSE)&gt;2,HLOOKUP($A1174,#REF!,19,FALSE)&lt;-2),"",#REF!),"")</f>
        <v/>
      </c>
      <c r="V1174">
        <f t="shared" si="72"/>
        <v>1</v>
      </c>
      <c r="W1174" t="str">
        <f t="shared" si="73"/>
        <v/>
      </c>
      <c r="X1174" t="str">
        <f t="shared" si="74"/>
        <v/>
      </c>
      <c r="Y1174" t="str">
        <f t="shared" si="75"/>
        <v/>
      </c>
    </row>
    <row r="1175" spans="1:25" x14ac:dyDescent="0.35">
      <c r="A1175">
        <v>10717</v>
      </c>
      <c r="B1175" t="s">
        <v>1216</v>
      </c>
      <c r="C1175">
        <v>57100</v>
      </c>
      <c r="D1175">
        <v>1001</v>
      </c>
      <c r="E1175" t="str">
        <f>IFERROR(IF(OR(HLOOKUP($A1175,#REF!,3,FALSE)&gt;2,HLOOKUP(A1175,#REF!,3,FALSE)&lt;-2),"",#REF!),"")</f>
        <v/>
      </c>
      <c r="F1175" t="str">
        <f>IFERROR(IF(OR(HLOOKUP($A1175,#REF!,4,FALSE)&gt;2,HLOOKUP($A1175,#REF!,4,FALSE)&lt;-2),"",#REF!),"")</f>
        <v/>
      </c>
      <c r="G1175" t="str">
        <f>IFERROR(IF(OR(HLOOKUP($A1175,#REF!,5,FALSE)&gt;2,HLOOKUP($A1175,#REF!,5,FALSE)&lt;-2),"",#REF!),"")</f>
        <v/>
      </c>
      <c r="H1175" t="str">
        <f>IFERROR(IF(OR(HLOOKUP($A1175,#REF!,6,FALSE)&gt;2,HLOOKUP($A1175,#REF!,6,FALSE)&lt;-2),"",#REF!),"")</f>
        <v/>
      </c>
      <c r="I1175" t="str">
        <f>IFERROR(IF(OR(HLOOKUP($A1175,#REF!,7,FALSE)&gt;2,HLOOKUP($A1175,#REF!,7,FALSE)&lt;-2),"",#REF!),"")</f>
        <v/>
      </c>
      <c r="J1175" t="str">
        <f>IFERROR(IF(OR(HLOOKUP($A1175,#REF!,8,FALSE)&gt;2,HLOOKUP($A1175,#REF!,8,FALSE)&lt;-2),"",#REF!),"")</f>
        <v/>
      </c>
      <c r="K1175" t="str">
        <f>IFERROR(IF(OR(HLOOKUP($A1175,#REF!,9,FALSE)&gt;2,HLOOKUP($A1175,#REF!,9,FALSE)&lt;-2),"",#REF!),"")</f>
        <v/>
      </c>
      <c r="L1175" t="str">
        <f>IFERROR(IF(OR(HLOOKUP($A1175,#REF!,10,FALSE)&gt;2,HLOOKUP($A1175,#REF!,10,FALSE)&lt;-2),"",#REF!),"")</f>
        <v/>
      </c>
      <c r="M1175" t="str">
        <f>IFERROR(IF(OR(HLOOKUP($A1175,#REF!,11,FALSE)&gt;2,HLOOKUP($A1175,#REF!,11,FALSE)&lt;-2),"",#REF!),"")</f>
        <v/>
      </c>
      <c r="N1175" t="str">
        <f>IFERROR(IF(OR(HLOOKUP($A1175,#REF!,12,FALSE)&gt;2,HLOOKUP($A1175,#REF!,12,FALSE)&lt;-2),"",#REF!),"")</f>
        <v/>
      </c>
      <c r="O1175" t="str">
        <f>IFERROR(IF(OR(HLOOKUP($A1175,#REF!,13,FALSE)&gt;2,HLOOKUP($A1175,#REF!,13,FALSE)&lt;-2),"",#REF!),"")</f>
        <v/>
      </c>
      <c r="P1175" t="str">
        <f>IFERROR(IF(OR(HLOOKUP($A1175,#REF!,14,FALSE)&gt;2,HLOOKUP($A1175,#REF!,14,FALSE)&lt;-2),"",#REF!),"")</f>
        <v/>
      </c>
      <c r="Q1175" t="str">
        <f>IFERROR(IF(OR(HLOOKUP($A1175,#REF!,15,FALSE)&gt;2,HLOOKUP($A1175,#REF!,15,FALSE)&lt;-2),"",#REF!),"")</f>
        <v/>
      </c>
      <c r="R1175" t="str">
        <f>IFERROR(IF(OR(HLOOKUP($A1175,#REF!,16,FALSE)&gt;2,HLOOKUP($A1175,#REF!,16,FALSE)&lt;-2),"",#REF!),"")</f>
        <v/>
      </c>
      <c r="S1175" t="str">
        <f>IFERROR(IF(OR(HLOOKUP($A1175,#REF!,17,FALSE)&gt;2,HLOOKUP($A1175,#REF!,17,FALSE)&lt;-2),"",#REF!),"")</f>
        <v/>
      </c>
      <c r="T1175" t="str">
        <f>IFERROR(IF(OR(HLOOKUP($A1175,#REF!,18,FALSE)&gt;2,HLOOKUP($A1175,#REF!,18,FALSE)&lt;-2),"",#REF!),"")</f>
        <v/>
      </c>
      <c r="U1175" t="str">
        <f>IFERROR(IF(OR(HLOOKUP($A1175,#REF!,19,FALSE)&gt;2,HLOOKUP($A1175,#REF!,19,FALSE)&lt;-2),"",#REF!),"")</f>
        <v/>
      </c>
      <c r="V1175">
        <f t="shared" si="72"/>
        <v>1</v>
      </c>
      <c r="W1175" t="str">
        <f t="shared" si="73"/>
        <v/>
      </c>
      <c r="X1175" t="str">
        <f t="shared" si="74"/>
        <v/>
      </c>
      <c r="Y1175" t="str">
        <f t="shared" si="75"/>
        <v/>
      </c>
    </row>
    <row r="1176" spans="1:25" x14ac:dyDescent="0.35">
      <c r="A1176">
        <v>10718</v>
      </c>
      <c r="B1176" t="s">
        <v>1217</v>
      </c>
      <c r="C1176">
        <v>57000</v>
      </c>
      <c r="D1176">
        <v>1001</v>
      </c>
      <c r="E1176" t="str">
        <f>IFERROR(IF(OR(HLOOKUP($A1176,#REF!,3,FALSE)&gt;2,HLOOKUP(A1176,#REF!,3,FALSE)&lt;-2),"",#REF!),"")</f>
        <v/>
      </c>
      <c r="F1176" t="str">
        <f>IFERROR(IF(OR(HLOOKUP($A1176,#REF!,4,FALSE)&gt;2,HLOOKUP($A1176,#REF!,4,FALSE)&lt;-2),"",#REF!),"")</f>
        <v/>
      </c>
      <c r="G1176" t="str">
        <f>IFERROR(IF(OR(HLOOKUP($A1176,#REF!,5,FALSE)&gt;2,HLOOKUP($A1176,#REF!,5,FALSE)&lt;-2),"",#REF!),"")</f>
        <v/>
      </c>
      <c r="H1176" t="str">
        <f>IFERROR(IF(OR(HLOOKUP($A1176,#REF!,6,FALSE)&gt;2,HLOOKUP($A1176,#REF!,6,FALSE)&lt;-2),"",#REF!),"")</f>
        <v/>
      </c>
      <c r="I1176" t="str">
        <f>IFERROR(IF(OR(HLOOKUP($A1176,#REF!,7,FALSE)&gt;2,HLOOKUP($A1176,#REF!,7,FALSE)&lt;-2),"",#REF!),"")</f>
        <v/>
      </c>
      <c r="J1176" t="str">
        <f>IFERROR(IF(OR(HLOOKUP($A1176,#REF!,8,FALSE)&gt;2,HLOOKUP($A1176,#REF!,8,FALSE)&lt;-2),"",#REF!),"")</f>
        <v/>
      </c>
      <c r="K1176" t="str">
        <f>IFERROR(IF(OR(HLOOKUP($A1176,#REF!,9,FALSE)&gt;2,HLOOKUP($A1176,#REF!,9,FALSE)&lt;-2),"",#REF!),"")</f>
        <v/>
      </c>
      <c r="L1176" t="str">
        <f>IFERROR(IF(OR(HLOOKUP($A1176,#REF!,10,FALSE)&gt;2,HLOOKUP($A1176,#REF!,10,FALSE)&lt;-2),"",#REF!),"")</f>
        <v/>
      </c>
      <c r="M1176" t="str">
        <f>IFERROR(IF(OR(HLOOKUP($A1176,#REF!,11,FALSE)&gt;2,HLOOKUP($A1176,#REF!,11,FALSE)&lt;-2),"",#REF!),"")</f>
        <v/>
      </c>
      <c r="N1176" t="str">
        <f>IFERROR(IF(OR(HLOOKUP($A1176,#REF!,12,FALSE)&gt;2,HLOOKUP($A1176,#REF!,12,FALSE)&lt;-2),"",#REF!),"")</f>
        <v/>
      </c>
      <c r="O1176" t="str">
        <f>IFERROR(IF(OR(HLOOKUP($A1176,#REF!,13,FALSE)&gt;2,HLOOKUP($A1176,#REF!,13,FALSE)&lt;-2),"",#REF!),"")</f>
        <v/>
      </c>
      <c r="P1176" t="str">
        <f>IFERROR(IF(OR(HLOOKUP($A1176,#REF!,14,FALSE)&gt;2,HLOOKUP($A1176,#REF!,14,FALSE)&lt;-2),"",#REF!),"")</f>
        <v/>
      </c>
      <c r="Q1176" t="str">
        <f>IFERROR(IF(OR(HLOOKUP($A1176,#REF!,15,FALSE)&gt;2,HLOOKUP($A1176,#REF!,15,FALSE)&lt;-2),"",#REF!),"")</f>
        <v/>
      </c>
      <c r="R1176" t="str">
        <f>IFERROR(IF(OR(HLOOKUP($A1176,#REF!,16,FALSE)&gt;2,HLOOKUP($A1176,#REF!,16,FALSE)&lt;-2),"",#REF!),"")</f>
        <v/>
      </c>
      <c r="S1176" t="str">
        <f>IFERROR(IF(OR(HLOOKUP($A1176,#REF!,17,FALSE)&gt;2,HLOOKUP($A1176,#REF!,17,FALSE)&lt;-2),"",#REF!),"")</f>
        <v/>
      </c>
      <c r="T1176" t="str">
        <f>IFERROR(IF(OR(HLOOKUP($A1176,#REF!,18,FALSE)&gt;2,HLOOKUP($A1176,#REF!,18,FALSE)&lt;-2),"",#REF!),"")</f>
        <v/>
      </c>
      <c r="U1176" t="str">
        <f>IFERROR(IF(OR(HLOOKUP($A1176,#REF!,19,FALSE)&gt;2,HLOOKUP($A1176,#REF!,19,FALSE)&lt;-2),"",#REF!),"")</f>
        <v/>
      </c>
      <c r="V1176">
        <f t="shared" si="72"/>
        <v>1</v>
      </c>
      <c r="W1176" t="str">
        <f t="shared" si="73"/>
        <v/>
      </c>
      <c r="X1176" t="str">
        <f t="shared" si="74"/>
        <v/>
      </c>
      <c r="Y1176" t="str">
        <f t="shared" si="75"/>
        <v/>
      </c>
    </row>
    <row r="1177" spans="1:25" x14ac:dyDescent="0.35">
      <c r="A1177">
        <v>10719</v>
      </c>
      <c r="B1177" t="s">
        <v>1218</v>
      </c>
      <c r="C1177">
        <v>56900</v>
      </c>
      <c r="D1177">
        <v>1001</v>
      </c>
      <c r="E1177" t="str">
        <f>IFERROR(IF(OR(HLOOKUP($A1177,#REF!,3,FALSE)&gt;2,HLOOKUP(A1177,#REF!,3,FALSE)&lt;-2),"",#REF!),"")</f>
        <v/>
      </c>
      <c r="F1177" t="str">
        <f>IFERROR(IF(OR(HLOOKUP($A1177,#REF!,4,FALSE)&gt;2,HLOOKUP($A1177,#REF!,4,FALSE)&lt;-2),"",#REF!),"")</f>
        <v/>
      </c>
      <c r="G1177" t="str">
        <f>IFERROR(IF(OR(HLOOKUP($A1177,#REF!,5,FALSE)&gt;2,HLOOKUP($A1177,#REF!,5,FALSE)&lt;-2),"",#REF!),"")</f>
        <v/>
      </c>
      <c r="H1177" t="str">
        <f>IFERROR(IF(OR(HLOOKUP($A1177,#REF!,6,FALSE)&gt;2,HLOOKUP($A1177,#REF!,6,FALSE)&lt;-2),"",#REF!),"")</f>
        <v/>
      </c>
      <c r="I1177" t="str">
        <f>IFERROR(IF(OR(HLOOKUP($A1177,#REF!,7,FALSE)&gt;2,HLOOKUP($A1177,#REF!,7,FALSE)&lt;-2),"",#REF!),"")</f>
        <v/>
      </c>
      <c r="J1177" t="str">
        <f>IFERROR(IF(OR(HLOOKUP($A1177,#REF!,8,FALSE)&gt;2,HLOOKUP($A1177,#REF!,8,FALSE)&lt;-2),"",#REF!),"")</f>
        <v/>
      </c>
      <c r="K1177" t="str">
        <f>IFERROR(IF(OR(HLOOKUP($A1177,#REF!,9,FALSE)&gt;2,HLOOKUP($A1177,#REF!,9,FALSE)&lt;-2),"",#REF!),"")</f>
        <v/>
      </c>
      <c r="L1177" t="str">
        <f>IFERROR(IF(OR(HLOOKUP($A1177,#REF!,10,FALSE)&gt;2,HLOOKUP($A1177,#REF!,10,FALSE)&lt;-2),"",#REF!),"")</f>
        <v/>
      </c>
      <c r="M1177" t="str">
        <f>IFERROR(IF(OR(HLOOKUP($A1177,#REF!,11,FALSE)&gt;2,HLOOKUP($A1177,#REF!,11,FALSE)&lt;-2),"",#REF!),"")</f>
        <v/>
      </c>
      <c r="N1177" t="str">
        <f>IFERROR(IF(OR(HLOOKUP($A1177,#REF!,12,FALSE)&gt;2,HLOOKUP($A1177,#REF!,12,FALSE)&lt;-2),"",#REF!),"")</f>
        <v/>
      </c>
      <c r="O1177" t="str">
        <f>IFERROR(IF(OR(HLOOKUP($A1177,#REF!,13,FALSE)&gt;2,HLOOKUP($A1177,#REF!,13,FALSE)&lt;-2),"",#REF!),"")</f>
        <v/>
      </c>
      <c r="P1177" t="str">
        <f>IFERROR(IF(OR(HLOOKUP($A1177,#REF!,14,FALSE)&gt;2,HLOOKUP($A1177,#REF!,14,FALSE)&lt;-2),"",#REF!),"")</f>
        <v/>
      </c>
      <c r="Q1177" t="str">
        <f>IFERROR(IF(OR(HLOOKUP($A1177,#REF!,15,FALSE)&gt;2,HLOOKUP($A1177,#REF!,15,FALSE)&lt;-2),"",#REF!),"")</f>
        <v/>
      </c>
      <c r="R1177" t="str">
        <f>IFERROR(IF(OR(HLOOKUP($A1177,#REF!,16,FALSE)&gt;2,HLOOKUP($A1177,#REF!,16,FALSE)&lt;-2),"",#REF!),"")</f>
        <v/>
      </c>
      <c r="S1177" t="str">
        <f>IFERROR(IF(OR(HLOOKUP($A1177,#REF!,17,FALSE)&gt;2,HLOOKUP($A1177,#REF!,17,FALSE)&lt;-2),"",#REF!),"")</f>
        <v/>
      </c>
      <c r="T1177" t="str">
        <f>IFERROR(IF(OR(HLOOKUP($A1177,#REF!,18,FALSE)&gt;2,HLOOKUP($A1177,#REF!,18,FALSE)&lt;-2),"",#REF!),"")</f>
        <v/>
      </c>
      <c r="U1177" t="str">
        <f>IFERROR(IF(OR(HLOOKUP($A1177,#REF!,19,FALSE)&gt;2,HLOOKUP($A1177,#REF!,19,FALSE)&lt;-2),"",#REF!),"")</f>
        <v/>
      </c>
      <c r="V1177">
        <f t="shared" si="72"/>
        <v>1</v>
      </c>
      <c r="W1177" t="str">
        <f t="shared" si="73"/>
        <v/>
      </c>
      <c r="X1177" t="str">
        <f t="shared" si="74"/>
        <v/>
      </c>
      <c r="Y1177" t="str">
        <f t="shared" si="75"/>
        <v/>
      </c>
    </row>
    <row r="1178" spans="1:25" x14ac:dyDescent="0.35">
      <c r="A1178">
        <v>10720</v>
      </c>
      <c r="B1178" t="s">
        <v>1219</v>
      </c>
      <c r="C1178">
        <v>57500</v>
      </c>
      <c r="D1178">
        <v>1091</v>
      </c>
      <c r="E1178" t="str">
        <f>IFERROR(IF(OR(HLOOKUP($A1178,#REF!,3,FALSE)&gt;2,HLOOKUP(A1178,#REF!,3,FALSE)&lt;-2),"",#REF!),"")</f>
        <v/>
      </c>
      <c r="F1178" t="str">
        <f>IFERROR(IF(OR(HLOOKUP($A1178,#REF!,4,FALSE)&gt;2,HLOOKUP($A1178,#REF!,4,FALSE)&lt;-2),"",#REF!),"")</f>
        <v/>
      </c>
      <c r="G1178" t="str">
        <f>IFERROR(IF(OR(HLOOKUP($A1178,#REF!,5,FALSE)&gt;2,HLOOKUP($A1178,#REF!,5,FALSE)&lt;-2),"",#REF!),"")</f>
        <v/>
      </c>
      <c r="H1178" t="str">
        <f>IFERROR(IF(OR(HLOOKUP($A1178,#REF!,6,FALSE)&gt;2,HLOOKUP($A1178,#REF!,6,FALSE)&lt;-2),"",#REF!),"")</f>
        <v/>
      </c>
      <c r="I1178" t="str">
        <f>IFERROR(IF(OR(HLOOKUP($A1178,#REF!,7,FALSE)&gt;2,HLOOKUP($A1178,#REF!,7,FALSE)&lt;-2),"",#REF!),"")</f>
        <v/>
      </c>
      <c r="J1178" t="str">
        <f>IFERROR(IF(OR(HLOOKUP($A1178,#REF!,8,FALSE)&gt;2,HLOOKUP($A1178,#REF!,8,FALSE)&lt;-2),"",#REF!),"")</f>
        <v/>
      </c>
      <c r="K1178" t="str">
        <f>IFERROR(IF(OR(HLOOKUP($A1178,#REF!,9,FALSE)&gt;2,HLOOKUP($A1178,#REF!,9,FALSE)&lt;-2),"",#REF!),"")</f>
        <v/>
      </c>
      <c r="L1178" t="str">
        <f>IFERROR(IF(OR(HLOOKUP($A1178,#REF!,10,FALSE)&gt;2,HLOOKUP($A1178,#REF!,10,FALSE)&lt;-2),"",#REF!),"")</f>
        <v/>
      </c>
      <c r="M1178" t="str">
        <f>IFERROR(IF(OR(HLOOKUP($A1178,#REF!,11,FALSE)&gt;2,HLOOKUP($A1178,#REF!,11,FALSE)&lt;-2),"",#REF!),"")</f>
        <v/>
      </c>
      <c r="N1178" t="str">
        <f>IFERROR(IF(OR(HLOOKUP($A1178,#REF!,12,FALSE)&gt;2,HLOOKUP($A1178,#REF!,12,FALSE)&lt;-2),"",#REF!),"")</f>
        <v/>
      </c>
      <c r="O1178" t="str">
        <f>IFERROR(IF(OR(HLOOKUP($A1178,#REF!,13,FALSE)&gt;2,HLOOKUP($A1178,#REF!,13,FALSE)&lt;-2),"",#REF!),"")</f>
        <v/>
      </c>
      <c r="P1178" t="str">
        <f>IFERROR(IF(OR(HLOOKUP($A1178,#REF!,14,FALSE)&gt;2,HLOOKUP($A1178,#REF!,14,FALSE)&lt;-2),"",#REF!),"")</f>
        <v/>
      </c>
      <c r="Q1178" t="str">
        <f>IFERROR(IF(OR(HLOOKUP($A1178,#REF!,15,FALSE)&gt;2,HLOOKUP($A1178,#REF!,15,FALSE)&lt;-2),"",#REF!),"")</f>
        <v/>
      </c>
      <c r="R1178" t="str">
        <f>IFERROR(IF(OR(HLOOKUP($A1178,#REF!,16,FALSE)&gt;2,HLOOKUP($A1178,#REF!,16,FALSE)&lt;-2),"",#REF!),"")</f>
        <v/>
      </c>
      <c r="S1178" t="str">
        <f>IFERROR(IF(OR(HLOOKUP($A1178,#REF!,17,FALSE)&gt;2,HLOOKUP($A1178,#REF!,17,FALSE)&lt;-2),"",#REF!),"")</f>
        <v/>
      </c>
      <c r="T1178" t="str">
        <f>IFERROR(IF(OR(HLOOKUP($A1178,#REF!,18,FALSE)&gt;2,HLOOKUP($A1178,#REF!,18,FALSE)&lt;-2),"",#REF!),"")</f>
        <v/>
      </c>
      <c r="U1178" t="str">
        <f>IFERROR(IF(OR(HLOOKUP($A1178,#REF!,19,FALSE)&gt;2,HLOOKUP($A1178,#REF!,19,FALSE)&lt;-2),"",#REF!),"")</f>
        <v/>
      </c>
      <c r="V1178">
        <f t="shared" si="72"/>
        <v>1</v>
      </c>
      <c r="W1178" t="str">
        <f t="shared" si="73"/>
        <v/>
      </c>
      <c r="X1178" t="str">
        <f t="shared" si="74"/>
        <v/>
      </c>
      <c r="Y1178" t="str">
        <f t="shared" si="75"/>
        <v/>
      </c>
    </row>
    <row r="1179" spans="1:25" x14ac:dyDescent="0.35">
      <c r="A1179">
        <v>10721</v>
      </c>
      <c r="B1179" t="s">
        <v>1220</v>
      </c>
      <c r="C1179">
        <v>57400</v>
      </c>
      <c r="D1179">
        <v>1091</v>
      </c>
      <c r="E1179" t="str">
        <f>IFERROR(IF(OR(HLOOKUP($A1179,#REF!,3,FALSE)&gt;2,HLOOKUP(A1179,#REF!,3,FALSE)&lt;-2),"",#REF!),"")</f>
        <v/>
      </c>
      <c r="F1179" t="str">
        <f>IFERROR(IF(OR(HLOOKUP($A1179,#REF!,4,FALSE)&gt;2,HLOOKUP($A1179,#REF!,4,FALSE)&lt;-2),"",#REF!),"")</f>
        <v/>
      </c>
      <c r="G1179" t="str">
        <f>IFERROR(IF(OR(HLOOKUP($A1179,#REF!,5,FALSE)&gt;2,HLOOKUP($A1179,#REF!,5,FALSE)&lt;-2),"",#REF!),"")</f>
        <v/>
      </c>
      <c r="H1179" t="str">
        <f>IFERROR(IF(OR(HLOOKUP($A1179,#REF!,6,FALSE)&gt;2,HLOOKUP($A1179,#REF!,6,FALSE)&lt;-2),"",#REF!),"")</f>
        <v/>
      </c>
      <c r="I1179" t="str">
        <f>IFERROR(IF(OR(HLOOKUP($A1179,#REF!,7,FALSE)&gt;2,HLOOKUP($A1179,#REF!,7,FALSE)&lt;-2),"",#REF!),"")</f>
        <v/>
      </c>
      <c r="J1179" t="str">
        <f>IFERROR(IF(OR(HLOOKUP($A1179,#REF!,8,FALSE)&gt;2,HLOOKUP($A1179,#REF!,8,FALSE)&lt;-2),"",#REF!),"")</f>
        <v/>
      </c>
      <c r="K1179" t="str">
        <f>IFERROR(IF(OR(HLOOKUP($A1179,#REF!,9,FALSE)&gt;2,HLOOKUP($A1179,#REF!,9,FALSE)&lt;-2),"",#REF!),"")</f>
        <v/>
      </c>
      <c r="L1179" t="str">
        <f>IFERROR(IF(OR(HLOOKUP($A1179,#REF!,10,FALSE)&gt;2,HLOOKUP($A1179,#REF!,10,FALSE)&lt;-2),"",#REF!),"")</f>
        <v/>
      </c>
      <c r="M1179" t="str">
        <f>IFERROR(IF(OR(HLOOKUP($A1179,#REF!,11,FALSE)&gt;2,HLOOKUP($A1179,#REF!,11,FALSE)&lt;-2),"",#REF!),"")</f>
        <v/>
      </c>
      <c r="N1179" t="str">
        <f>IFERROR(IF(OR(HLOOKUP($A1179,#REF!,12,FALSE)&gt;2,HLOOKUP($A1179,#REF!,12,FALSE)&lt;-2),"",#REF!),"")</f>
        <v/>
      </c>
      <c r="O1179" t="str">
        <f>IFERROR(IF(OR(HLOOKUP($A1179,#REF!,13,FALSE)&gt;2,HLOOKUP($A1179,#REF!,13,FALSE)&lt;-2),"",#REF!),"")</f>
        <v/>
      </c>
      <c r="P1179" t="str">
        <f>IFERROR(IF(OR(HLOOKUP($A1179,#REF!,14,FALSE)&gt;2,HLOOKUP($A1179,#REF!,14,FALSE)&lt;-2),"",#REF!),"")</f>
        <v/>
      </c>
      <c r="Q1179" t="str">
        <f>IFERROR(IF(OR(HLOOKUP($A1179,#REF!,15,FALSE)&gt;2,HLOOKUP($A1179,#REF!,15,FALSE)&lt;-2),"",#REF!),"")</f>
        <v/>
      </c>
      <c r="R1179" t="str">
        <f>IFERROR(IF(OR(HLOOKUP($A1179,#REF!,16,FALSE)&gt;2,HLOOKUP($A1179,#REF!,16,FALSE)&lt;-2),"",#REF!),"")</f>
        <v/>
      </c>
      <c r="S1179" t="str">
        <f>IFERROR(IF(OR(HLOOKUP($A1179,#REF!,17,FALSE)&gt;2,HLOOKUP($A1179,#REF!,17,FALSE)&lt;-2),"",#REF!),"")</f>
        <v/>
      </c>
      <c r="T1179" t="str">
        <f>IFERROR(IF(OR(HLOOKUP($A1179,#REF!,18,FALSE)&gt;2,HLOOKUP($A1179,#REF!,18,FALSE)&lt;-2),"",#REF!),"")</f>
        <v/>
      </c>
      <c r="U1179" t="str">
        <f>IFERROR(IF(OR(HLOOKUP($A1179,#REF!,19,FALSE)&gt;2,HLOOKUP($A1179,#REF!,19,FALSE)&lt;-2),"",#REF!),"")</f>
        <v/>
      </c>
      <c r="V1179">
        <f t="shared" si="72"/>
        <v>1</v>
      </c>
      <c r="W1179" t="str">
        <f t="shared" si="73"/>
        <v/>
      </c>
      <c r="X1179" t="str">
        <f t="shared" si="74"/>
        <v/>
      </c>
      <c r="Y1179" t="str">
        <f t="shared" si="75"/>
        <v/>
      </c>
    </row>
    <row r="1180" spans="1:25" x14ac:dyDescent="0.35">
      <c r="A1180">
        <v>10722</v>
      </c>
      <c r="B1180" t="s">
        <v>1221</v>
      </c>
      <c r="C1180">
        <v>57300</v>
      </c>
      <c r="D1180">
        <v>1091</v>
      </c>
      <c r="E1180" t="str">
        <f>IFERROR(IF(OR(HLOOKUP($A1180,#REF!,3,FALSE)&gt;2,HLOOKUP(A1180,#REF!,3,FALSE)&lt;-2),"",#REF!),"")</f>
        <v/>
      </c>
      <c r="F1180" t="str">
        <f>IFERROR(IF(OR(HLOOKUP($A1180,#REF!,4,FALSE)&gt;2,HLOOKUP($A1180,#REF!,4,FALSE)&lt;-2),"",#REF!),"")</f>
        <v/>
      </c>
      <c r="G1180" t="str">
        <f>IFERROR(IF(OR(HLOOKUP($A1180,#REF!,5,FALSE)&gt;2,HLOOKUP($A1180,#REF!,5,FALSE)&lt;-2),"",#REF!),"")</f>
        <v/>
      </c>
      <c r="H1180" t="str">
        <f>IFERROR(IF(OR(HLOOKUP($A1180,#REF!,6,FALSE)&gt;2,HLOOKUP($A1180,#REF!,6,FALSE)&lt;-2),"",#REF!),"")</f>
        <v/>
      </c>
      <c r="I1180" t="str">
        <f>IFERROR(IF(OR(HLOOKUP($A1180,#REF!,7,FALSE)&gt;2,HLOOKUP($A1180,#REF!,7,FALSE)&lt;-2),"",#REF!),"")</f>
        <v/>
      </c>
      <c r="J1180" t="str">
        <f>IFERROR(IF(OR(HLOOKUP($A1180,#REF!,8,FALSE)&gt;2,HLOOKUP($A1180,#REF!,8,FALSE)&lt;-2),"",#REF!),"")</f>
        <v/>
      </c>
      <c r="K1180" t="str">
        <f>IFERROR(IF(OR(HLOOKUP($A1180,#REF!,9,FALSE)&gt;2,HLOOKUP($A1180,#REF!,9,FALSE)&lt;-2),"",#REF!),"")</f>
        <v/>
      </c>
      <c r="L1180" t="str">
        <f>IFERROR(IF(OR(HLOOKUP($A1180,#REF!,10,FALSE)&gt;2,HLOOKUP($A1180,#REF!,10,FALSE)&lt;-2),"",#REF!),"")</f>
        <v/>
      </c>
      <c r="M1180" t="str">
        <f>IFERROR(IF(OR(HLOOKUP($A1180,#REF!,11,FALSE)&gt;2,HLOOKUP($A1180,#REF!,11,FALSE)&lt;-2),"",#REF!),"")</f>
        <v/>
      </c>
      <c r="N1180" t="str">
        <f>IFERROR(IF(OR(HLOOKUP($A1180,#REF!,12,FALSE)&gt;2,HLOOKUP($A1180,#REF!,12,FALSE)&lt;-2),"",#REF!),"")</f>
        <v/>
      </c>
      <c r="O1180" t="str">
        <f>IFERROR(IF(OR(HLOOKUP($A1180,#REF!,13,FALSE)&gt;2,HLOOKUP($A1180,#REF!,13,FALSE)&lt;-2),"",#REF!),"")</f>
        <v/>
      </c>
      <c r="P1180" t="str">
        <f>IFERROR(IF(OR(HLOOKUP($A1180,#REF!,14,FALSE)&gt;2,HLOOKUP($A1180,#REF!,14,FALSE)&lt;-2),"",#REF!),"")</f>
        <v/>
      </c>
      <c r="Q1180" t="str">
        <f>IFERROR(IF(OR(HLOOKUP($A1180,#REF!,15,FALSE)&gt;2,HLOOKUP($A1180,#REF!,15,FALSE)&lt;-2),"",#REF!),"")</f>
        <v/>
      </c>
      <c r="R1180" t="str">
        <f>IFERROR(IF(OR(HLOOKUP($A1180,#REF!,16,FALSE)&gt;2,HLOOKUP($A1180,#REF!,16,FALSE)&lt;-2),"",#REF!),"")</f>
        <v/>
      </c>
      <c r="S1180" t="str">
        <f>IFERROR(IF(OR(HLOOKUP($A1180,#REF!,17,FALSE)&gt;2,HLOOKUP($A1180,#REF!,17,FALSE)&lt;-2),"",#REF!),"")</f>
        <v/>
      </c>
      <c r="T1180" t="str">
        <f>IFERROR(IF(OR(HLOOKUP($A1180,#REF!,18,FALSE)&gt;2,HLOOKUP($A1180,#REF!,18,FALSE)&lt;-2),"",#REF!),"")</f>
        <v/>
      </c>
      <c r="U1180" t="str">
        <f>IFERROR(IF(OR(HLOOKUP($A1180,#REF!,19,FALSE)&gt;2,HLOOKUP($A1180,#REF!,19,FALSE)&lt;-2),"",#REF!),"")</f>
        <v/>
      </c>
      <c r="V1180">
        <f t="shared" si="72"/>
        <v>1</v>
      </c>
      <c r="W1180" t="str">
        <f t="shared" si="73"/>
        <v/>
      </c>
      <c r="X1180" t="str">
        <f t="shared" si="74"/>
        <v/>
      </c>
      <c r="Y1180" t="str">
        <f t="shared" si="75"/>
        <v/>
      </c>
    </row>
    <row r="1181" spans="1:25" x14ac:dyDescent="0.35">
      <c r="A1181">
        <v>10723</v>
      </c>
      <c r="B1181" t="s">
        <v>1222</v>
      </c>
      <c r="C1181">
        <v>57900</v>
      </c>
      <c r="D1181">
        <v>936</v>
      </c>
      <c r="E1181" t="str">
        <f>IFERROR(IF(OR(HLOOKUP($A1181,#REF!,3,FALSE)&gt;2,HLOOKUP(A1181,#REF!,3,FALSE)&lt;-2),"",#REF!),"")</f>
        <v/>
      </c>
      <c r="F1181" t="str">
        <f>IFERROR(IF(OR(HLOOKUP($A1181,#REF!,4,FALSE)&gt;2,HLOOKUP($A1181,#REF!,4,FALSE)&lt;-2),"",#REF!),"")</f>
        <v/>
      </c>
      <c r="G1181" t="str">
        <f>IFERROR(IF(OR(HLOOKUP($A1181,#REF!,5,FALSE)&gt;2,HLOOKUP($A1181,#REF!,5,FALSE)&lt;-2),"",#REF!),"")</f>
        <v/>
      </c>
      <c r="H1181" t="str">
        <f>IFERROR(IF(OR(HLOOKUP($A1181,#REF!,6,FALSE)&gt;2,HLOOKUP($A1181,#REF!,6,FALSE)&lt;-2),"",#REF!),"")</f>
        <v/>
      </c>
      <c r="I1181" t="str">
        <f>IFERROR(IF(OR(HLOOKUP($A1181,#REF!,7,FALSE)&gt;2,HLOOKUP($A1181,#REF!,7,FALSE)&lt;-2),"",#REF!),"")</f>
        <v/>
      </c>
      <c r="J1181" t="str">
        <f>IFERROR(IF(OR(HLOOKUP($A1181,#REF!,8,FALSE)&gt;2,HLOOKUP($A1181,#REF!,8,FALSE)&lt;-2),"",#REF!),"")</f>
        <v/>
      </c>
      <c r="K1181" t="str">
        <f>IFERROR(IF(OR(HLOOKUP($A1181,#REF!,9,FALSE)&gt;2,HLOOKUP($A1181,#REF!,9,FALSE)&lt;-2),"",#REF!),"")</f>
        <v/>
      </c>
      <c r="L1181" t="str">
        <f>IFERROR(IF(OR(HLOOKUP($A1181,#REF!,10,FALSE)&gt;2,HLOOKUP($A1181,#REF!,10,FALSE)&lt;-2),"",#REF!),"")</f>
        <v/>
      </c>
      <c r="M1181" t="str">
        <f>IFERROR(IF(OR(HLOOKUP($A1181,#REF!,11,FALSE)&gt;2,HLOOKUP($A1181,#REF!,11,FALSE)&lt;-2),"",#REF!),"")</f>
        <v/>
      </c>
      <c r="N1181" t="str">
        <f>IFERROR(IF(OR(HLOOKUP($A1181,#REF!,12,FALSE)&gt;2,HLOOKUP($A1181,#REF!,12,FALSE)&lt;-2),"",#REF!),"")</f>
        <v/>
      </c>
      <c r="O1181" t="str">
        <f>IFERROR(IF(OR(HLOOKUP($A1181,#REF!,13,FALSE)&gt;2,HLOOKUP($A1181,#REF!,13,FALSE)&lt;-2),"",#REF!),"")</f>
        <v/>
      </c>
      <c r="P1181" t="str">
        <f>IFERROR(IF(OR(HLOOKUP($A1181,#REF!,14,FALSE)&gt;2,HLOOKUP($A1181,#REF!,14,FALSE)&lt;-2),"",#REF!),"")</f>
        <v/>
      </c>
      <c r="Q1181" t="str">
        <f>IFERROR(IF(OR(HLOOKUP($A1181,#REF!,15,FALSE)&gt;2,HLOOKUP($A1181,#REF!,15,FALSE)&lt;-2),"",#REF!),"")</f>
        <v/>
      </c>
      <c r="R1181" t="str">
        <f>IFERROR(IF(OR(HLOOKUP($A1181,#REF!,16,FALSE)&gt;2,HLOOKUP($A1181,#REF!,16,FALSE)&lt;-2),"",#REF!),"")</f>
        <v/>
      </c>
      <c r="S1181" t="str">
        <f>IFERROR(IF(OR(HLOOKUP($A1181,#REF!,17,FALSE)&gt;2,HLOOKUP($A1181,#REF!,17,FALSE)&lt;-2),"",#REF!),"")</f>
        <v/>
      </c>
      <c r="T1181" t="str">
        <f>IFERROR(IF(OR(HLOOKUP($A1181,#REF!,18,FALSE)&gt;2,HLOOKUP($A1181,#REF!,18,FALSE)&lt;-2),"",#REF!),"")</f>
        <v/>
      </c>
      <c r="U1181" t="str">
        <f>IFERROR(IF(OR(HLOOKUP($A1181,#REF!,19,FALSE)&gt;2,HLOOKUP($A1181,#REF!,19,FALSE)&lt;-2),"",#REF!),"")</f>
        <v/>
      </c>
      <c r="V1181">
        <f t="shared" si="72"/>
        <v>1</v>
      </c>
      <c r="W1181" t="str">
        <f t="shared" si="73"/>
        <v/>
      </c>
      <c r="X1181" t="str">
        <f t="shared" si="74"/>
        <v/>
      </c>
      <c r="Y1181" t="str">
        <f t="shared" si="75"/>
        <v/>
      </c>
    </row>
    <row r="1182" spans="1:25" x14ac:dyDescent="0.35">
      <c r="A1182">
        <v>10724</v>
      </c>
      <c r="B1182" t="s">
        <v>1223</v>
      </c>
      <c r="C1182">
        <v>57800</v>
      </c>
      <c r="D1182">
        <v>936</v>
      </c>
      <c r="E1182" t="str">
        <f>IFERROR(IF(OR(HLOOKUP($A1182,#REF!,3,FALSE)&gt;2,HLOOKUP(A1182,#REF!,3,FALSE)&lt;-2),"",#REF!),"")</f>
        <v/>
      </c>
      <c r="F1182" t="str">
        <f>IFERROR(IF(OR(HLOOKUP($A1182,#REF!,4,FALSE)&gt;2,HLOOKUP($A1182,#REF!,4,FALSE)&lt;-2),"",#REF!),"")</f>
        <v/>
      </c>
      <c r="G1182" t="str">
        <f>IFERROR(IF(OR(HLOOKUP($A1182,#REF!,5,FALSE)&gt;2,HLOOKUP($A1182,#REF!,5,FALSE)&lt;-2),"",#REF!),"")</f>
        <v/>
      </c>
      <c r="H1182" t="str">
        <f>IFERROR(IF(OR(HLOOKUP($A1182,#REF!,6,FALSE)&gt;2,HLOOKUP($A1182,#REF!,6,FALSE)&lt;-2),"",#REF!),"")</f>
        <v/>
      </c>
      <c r="I1182" t="str">
        <f>IFERROR(IF(OR(HLOOKUP($A1182,#REF!,7,FALSE)&gt;2,HLOOKUP($A1182,#REF!,7,FALSE)&lt;-2),"",#REF!),"")</f>
        <v/>
      </c>
      <c r="J1182" t="str">
        <f>IFERROR(IF(OR(HLOOKUP($A1182,#REF!,8,FALSE)&gt;2,HLOOKUP($A1182,#REF!,8,FALSE)&lt;-2),"",#REF!),"")</f>
        <v/>
      </c>
      <c r="K1182" t="str">
        <f>IFERROR(IF(OR(HLOOKUP($A1182,#REF!,9,FALSE)&gt;2,HLOOKUP($A1182,#REF!,9,FALSE)&lt;-2),"",#REF!),"")</f>
        <v/>
      </c>
      <c r="L1182" t="str">
        <f>IFERROR(IF(OR(HLOOKUP($A1182,#REF!,10,FALSE)&gt;2,HLOOKUP($A1182,#REF!,10,FALSE)&lt;-2),"",#REF!),"")</f>
        <v/>
      </c>
      <c r="M1182" t="str">
        <f>IFERROR(IF(OR(HLOOKUP($A1182,#REF!,11,FALSE)&gt;2,HLOOKUP($A1182,#REF!,11,FALSE)&lt;-2),"",#REF!),"")</f>
        <v/>
      </c>
      <c r="N1182" t="str">
        <f>IFERROR(IF(OR(HLOOKUP($A1182,#REF!,12,FALSE)&gt;2,HLOOKUP($A1182,#REF!,12,FALSE)&lt;-2),"",#REF!),"")</f>
        <v/>
      </c>
      <c r="O1182" t="str">
        <f>IFERROR(IF(OR(HLOOKUP($A1182,#REF!,13,FALSE)&gt;2,HLOOKUP($A1182,#REF!,13,FALSE)&lt;-2),"",#REF!),"")</f>
        <v/>
      </c>
      <c r="P1182" t="str">
        <f>IFERROR(IF(OR(HLOOKUP($A1182,#REF!,14,FALSE)&gt;2,HLOOKUP($A1182,#REF!,14,FALSE)&lt;-2),"",#REF!),"")</f>
        <v/>
      </c>
      <c r="Q1182" t="str">
        <f>IFERROR(IF(OR(HLOOKUP($A1182,#REF!,15,FALSE)&gt;2,HLOOKUP($A1182,#REF!,15,FALSE)&lt;-2),"",#REF!),"")</f>
        <v/>
      </c>
      <c r="R1182" t="str">
        <f>IFERROR(IF(OR(HLOOKUP($A1182,#REF!,16,FALSE)&gt;2,HLOOKUP($A1182,#REF!,16,FALSE)&lt;-2),"",#REF!),"")</f>
        <v/>
      </c>
      <c r="S1182" t="str">
        <f>IFERROR(IF(OR(HLOOKUP($A1182,#REF!,17,FALSE)&gt;2,HLOOKUP($A1182,#REF!,17,FALSE)&lt;-2),"",#REF!),"")</f>
        <v/>
      </c>
      <c r="T1182" t="str">
        <f>IFERROR(IF(OR(HLOOKUP($A1182,#REF!,18,FALSE)&gt;2,HLOOKUP($A1182,#REF!,18,FALSE)&lt;-2),"",#REF!),"")</f>
        <v/>
      </c>
      <c r="U1182" t="str">
        <f>IFERROR(IF(OR(HLOOKUP($A1182,#REF!,19,FALSE)&gt;2,HLOOKUP($A1182,#REF!,19,FALSE)&lt;-2),"",#REF!),"")</f>
        <v/>
      </c>
      <c r="V1182">
        <f t="shared" si="72"/>
        <v>1</v>
      </c>
      <c r="W1182" t="str">
        <f t="shared" si="73"/>
        <v/>
      </c>
      <c r="X1182" t="str">
        <f t="shared" si="74"/>
        <v/>
      </c>
      <c r="Y1182" t="str">
        <f t="shared" si="75"/>
        <v/>
      </c>
    </row>
    <row r="1183" spans="1:25" x14ac:dyDescent="0.35">
      <c r="A1183">
        <v>10725</v>
      </c>
      <c r="B1183" t="s">
        <v>1224</v>
      </c>
      <c r="C1183">
        <v>57700</v>
      </c>
      <c r="D1183">
        <v>936</v>
      </c>
      <c r="E1183" t="str">
        <f>IFERROR(IF(OR(HLOOKUP($A1183,#REF!,3,FALSE)&gt;2,HLOOKUP(A1183,#REF!,3,FALSE)&lt;-2),"",#REF!),"")</f>
        <v/>
      </c>
      <c r="F1183" t="str">
        <f>IFERROR(IF(OR(HLOOKUP($A1183,#REF!,4,FALSE)&gt;2,HLOOKUP($A1183,#REF!,4,FALSE)&lt;-2),"",#REF!),"")</f>
        <v/>
      </c>
      <c r="G1183" t="str">
        <f>IFERROR(IF(OR(HLOOKUP($A1183,#REF!,5,FALSE)&gt;2,HLOOKUP($A1183,#REF!,5,FALSE)&lt;-2),"",#REF!),"")</f>
        <v/>
      </c>
      <c r="H1183" t="str">
        <f>IFERROR(IF(OR(HLOOKUP($A1183,#REF!,6,FALSE)&gt;2,HLOOKUP($A1183,#REF!,6,FALSE)&lt;-2),"",#REF!),"")</f>
        <v/>
      </c>
      <c r="I1183" t="str">
        <f>IFERROR(IF(OR(HLOOKUP($A1183,#REF!,7,FALSE)&gt;2,HLOOKUP($A1183,#REF!,7,FALSE)&lt;-2),"",#REF!),"")</f>
        <v/>
      </c>
      <c r="J1183" t="str">
        <f>IFERROR(IF(OR(HLOOKUP($A1183,#REF!,8,FALSE)&gt;2,HLOOKUP($A1183,#REF!,8,FALSE)&lt;-2),"",#REF!),"")</f>
        <v/>
      </c>
      <c r="K1183" t="str">
        <f>IFERROR(IF(OR(HLOOKUP($A1183,#REF!,9,FALSE)&gt;2,HLOOKUP($A1183,#REF!,9,FALSE)&lt;-2),"",#REF!),"")</f>
        <v/>
      </c>
      <c r="L1183" t="str">
        <f>IFERROR(IF(OR(HLOOKUP($A1183,#REF!,10,FALSE)&gt;2,HLOOKUP($A1183,#REF!,10,FALSE)&lt;-2),"",#REF!),"")</f>
        <v/>
      </c>
      <c r="M1183" t="str">
        <f>IFERROR(IF(OR(HLOOKUP($A1183,#REF!,11,FALSE)&gt;2,HLOOKUP($A1183,#REF!,11,FALSE)&lt;-2),"",#REF!),"")</f>
        <v/>
      </c>
      <c r="N1183" t="str">
        <f>IFERROR(IF(OR(HLOOKUP($A1183,#REF!,12,FALSE)&gt;2,HLOOKUP($A1183,#REF!,12,FALSE)&lt;-2),"",#REF!),"")</f>
        <v/>
      </c>
      <c r="O1183" t="str">
        <f>IFERROR(IF(OR(HLOOKUP($A1183,#REF!,13,FALSE)&gt;2,HLOOKUP($A1183,#REF!,13,FALSE)&lt;-2),"",#REF!),"")</f>
        <v/>
      </c>
      <c r="P1183" t="str">
        <f>IFERROR(IF(OR(HLOOKUP($A1183,#REF!,14,FALSE)&gt;2,HLOOKUP($A1183,#REF!,14,FALSE)&lt;-2),"",#REF!),"")</f>
        <v/>
      </c>
      <c r="Q1183" t="str">
        <f>IFERROR(IF(OR(HLOOKUP($A1183,#REF!,15,FALSE)&gt;2,HLOOKUP($A1183,#REF!,15,FALSE)&lt;-2),"",#REF!),"")</f>
        <v/>
      </c>
      <c r="R1183" t="str">
        <f>IFERROR(IF(OR(HLOOKUP($A1183,#REF!,16,FALSE)&gt;2,HLOOKUP($A1183,#REF!,16,FALSE)&lt;-2),"",#REF!),"")</f>
        <v/>
      </c>
      <c r="S1183" t="str">
        <f>IFERROR(IF(OR(HLOOKUP($A1183,#REF!,17,FALSE)&gt;2,HLOOKUP($A1183,#REF!,17,FALSE)&lt;-2),"",#REF!),"")</f>
        <v/>
      </c>
      <c r="T1183" t="str">
        <f>IFERROR(IF(OR(HLOOKUP($A1183,#REF!,18,FALSE)&gt;2,HLOOKUP($A1183,#REF!,18,FALSE)&lt;-2),"",#REF!),"")</f>
        <v/>
      </c>
      <c r="U1183" t="str">
        <f>IFERROR(IF(OR(HLOOKUP($A1183,#REF!,19,FALSE)&gt;2,HLOOKUP($A1183,#REF!,19,FALSE)&lt;-2),"",#REF!),"")</f>
        <v/>
      </c>
      <c r="V1183">
        <f t="shared" si="72"/>
        <v>1</v>
      </c>
      <c r="W1183" t="str">
        <f t="shared" si="73"/>
        <v/>
      </c>
      <c r="X1183" t="str">
        <f t="shared" si="74"/>
        <v/>
      </c>
      <c r="Y1183" t="str">
        <f t="shared" si="75"/>
        <v/>
      </c>
    </row>
    <row r="1184" spans="1:25" x14ac:dyDescent="0.35">
      <c r="A1184">
        <v>10726</v>
      </c>
      <c r="B1184" t="s">
        <v>1225</v>
      </c>
      <c r="C1184">
        <v>58300</v>
      </c>
      <c r="D1184">
        <v>944</v>
      </c>
      <c r="E1184" t="str">
        <f>IFERROR(IF(OR(HLOOKUP($A1184,#REF!,3,FALSE)&gt;2,HLOOKUP(A1184,#REF!,3,FALSE)&lt;-2),"",#REF!),"")</f>
        <v/>
      </c>
      <c r="F1184" t="str">
        <f>IFERROR(IF(OR(HLOOKUP($A1184,#REF!,4,FALSE)&gt;2,HLOOKUP($A1184,#REF!,4,FALSE)&lt;-2),"",#REF!),"")</f>
        <v/>
      </c>
      <c r="G1184" t="str">
        <f>IFERROR(IF(OR(HLOOKUP($A1184,#REF!,5,FALSE)&gt;2,HLOOKUP($A1184,#REF!,5,FALSE)&lt;-2),"",#REF!),"")</f>
        <v/>
      </c>
      <c r="H1184" t="str">
        <f>IFERROR(IF(OR(HLOOKUP($A1184,#REF!,6,FALSE)&gt;2,HLOOKUP($A1184,#REF!,6,FALSE)&lt;-2),"",#REF!),"")</f>
        <v/>
      </c>
      <c r="I1184" t="str">
        <f>IFERROR(IF(OR(HLOOKUP($A1184,#REF!,7,FALSE)&gt;2,HLOOKUP($A1184,#REF!,7,FALSE)&lt;-2),"",#REF!),"")</f>
        <v/>
      </c>
      <c r="J1184" t="str">
        <f>IFERROR(IF(OR(HLOOKUP($A1184,#REF!,8,FALSE)&gt;2,HLOOKUP($A1184,#REF!,8,FALSE)&lt;-2),"",#REF!),"")</f>
        <v/>
      </c>
      <c r="K1184" t="str">
        <f>IFERROR(IF(OR(HLOOKUP($A1184,#REF!,9,FALSE)&gt;2,HLOOKUP($A1184,#REF!,9,FALSE)&lt;-2),"",#REF!),"")</f>
        <v/>
      </c>
      <c r="L1184" t="str">
        <f>IFERROR(IF(OR(HLOOKUP($A1184,#REF!,10,FALSE)&gt;2,HLOOKUP($A1184,#REF!,10,FALSE)&lt;-2),"",#REF!),"")</f>
        <v/>
      </c>
      <c r="M1184" t="str">
        <f>IFERROR(IF(OR(HLOOKUP($A1184,#REF!,11,FALSE)&gt;2,HLOOKUP($A1184,#REF!,11,FALSE)&lt;-2),"",#REF!),"")</f>
        <v/>
      </c>
      <c r="N1184" t="str">
        <f>IFERROR(IF(OR(HLOOKUP($A1184,#REF!,12,FALSE)&gt;2,HLOOKUP($A1184,#REF!,12,FALSE)&lt;-2),"",#REF!),"")</f>
        <v/>
      </c>
      <c r="O1184" t="str">
        <f>IFERROR(IF(OR(HLOOKUP($A1184,#REF!,13,FALSE)&gt;2,HLOOKUP($A1184,#REF!,13,FALSE)&lt;-2),"",#REF!),"")</f>
        <v/>
      </c>
      <c r="P1184" t="str">
        <f>IFERROR(IF(OR(HLOOKUP($A1184,#REF!,14,FALSE)&gt;2,HLOOKUP($A1184,#REF!,14,FALSE)&lt;-2),"",#REF!),"")</f>
        <v/>
      </c>
      <c r="Q1184" t="str">
        <f>IFERROR(IF(OR(HLOOKUP($A1184,#REF!,15,FALSE)&gt;2,HLOOKUP($A1184,#REF!,15,FALSE)&lt;-2),"",#REF!),"")</f>
        <v/>
      </c>
      <c r="R1184" t="str">
        <f>IFERROR(IF(OR(HLOOKUP($A1184,#REF!,16,FALSE)&gt;2,HLOOKUP($A1184,#REF!,16,FALSE)&lt;-2),"",#REF!),"")</f>
        <v/>
      </c>
      <c r="S1184" t="str">
        <f>IFERROR(IF(OR(HLOOKUP($A1184,#REF!,17,FALSE)&gt;2,HLOOKUP($A1184,#REF!,17,FALSE)&lt;-2),"",#REF!),"")</f>
        <v/>
      </c>
      <c r="T1184" t="str">
        <f>IFERROR(IF(OR(HLOOKUP($A1184,#REF!,18,FALSE)&gt;2,HLOOKUP($A1184,#REF!,18,FALSE)&lt;-2),"",#REF!),"")</f>
        <v/>
      </c>
      <c r="U1184" t="str">
        <f>IFERROR(IF(OR(HLOOKUP($A1184,#REF!,19,FALSE)&gt;2,HLOOKUP($A1184,#REF!,19,FALSE)&lt;-2),"",#REF!),"")</f>
        <v/>
      </c>
      <c r="V1184">
        <f t="shared" si="72"/>
        <v>1</v>
      </c>
      <c r="W1184" t="str">
        <f t="shared" si="73"/>
        <v/>
      </c>
      <c r="X1184" t="str">
        <f t="shared" si="74"/>
        <v/>
      </c>
      <c r="Y1184" t="str">
        <f t="shared" si="75"/>
        <v/>
      </c>
    </row>
    <row r="1185" spans="1:25" x14ac:dyDescent="0.35">
      <c r="A1185">
        <v>10727</v>
      </c>
      <c r="B1185" t="s">
        <v>1226</v>
      </c>
      <c r="C1185">
        <v>58200</v>
      </c>
      <c r="D1185">
        <v>944</v>
      </c>
      <c r="E1185" t="str">
        <f>IFERROR(IF(OR(HLOOKUP($A1185,#REF!,3,FALSE)&gt;2,HLOOKUP(A1185,#REF!,3,FALSE)&lt;-2),"",#REF!),"")</f>
        <v/>
      </c>
      <c r="F1185" t="str">
        <f>IFERROR(IF(OR(HLOOKUP($A1185,#REF!,4,FALSE)&gt;2,HLOOKUP($A1185,#REF!,4,FALSE)&lt;-2),"",#REF!),"")</f>
        <v/>
      </c>
      <c r="G1185" t="str">
        <f>IFERROR(IF(OR(HLOOKUP($A1185,#REF!,5,FALSE)&gt;2,HLOOKUP($A1185,#REF!,5,FALSE)&lt;-2),"",#REF!),"")</f>
        <v/>
      </c>
      <c r="H1185" t="str">
        <f>IFERROR(IF(OR(HLOOKUP($A1185,#REF!,6,FALSE)&gt;2,HLOOKUP($A1185,#REF!,6,FALSE)&lt;-2),"",#REF!),"")</f>
        <v/>
      </c>
      <c r="I1185" t="str">
        <f>IFERROR(IF(OR(HLOOKUP($A1185,#REF!,7,FALSE)&gt;2,HLOOKUP($A1185,#REF!,7,FALSE)&lt;-2),"",#REF!),"")</f>
        <v/>
      </c>
      <c r="J1185" t="str">
        <f>IFERROR(IF(OR(HLOOKUP($A1185,#REF!,8,FALSE)&gt;2,HLOOKUP($A1185,#REF!,8,FALSE)&lt;-2),"",#REF!),"")</f>
        <v/>
      </c>
      <c r="K1185" t="str">
        <f>IFERROR(IF(OR(HLOOKUP($A1185,#REF!,9,FALSE)&gt;2,HLOOKUP($A1185,#REF!,9,FALSE)&lt;-2),"",#REF!),"")</f>
        <v/>
      </c>
      <c r="L1185" t="str">
        <f>IFERROR(IF(OR(HLOOKUP($A1185,#REF!,10,FALSE)&gt;2,HLOOKUP($A1185,#REF!,10,FALSE)&lt;-2),"",#REF!),"")</f>
        <v/>
      </c>
      <c r="M1185" t="str">
        <f>IFERROR(IF(OR(HLOOKUP($A1185,#REF!,11,FALSE)&gt;2,HLOOKUP($A1185,#REF!,11,FALSE)&lt;-2),"",#REF!),"")</f>
        <v/>
      </c>
      <c r="N1185" t="str">
        <f>IFERROR(IF(OR(HLOOKUP($A1185,#REF!,12,FALSE)&gt;2,HLOOKUP($A1185,#REF!,12,FALSE)&lt;-2),"",#REF!),"")</f>
        <v/>
      </c>
      <c r="O1185" t="str">
        <f>IFERROR(IF(OR(HLOOKUP($A1185,#REF!,13,FALSE)&gt;2,HLOOKUP($A1185,#REF!,13,FALSE)&lt;-2),"",#REF!),"")</f>
        <v/>
      </c>
      <c r="P1185" t="str">
        <f>IFERROR(IF(OR(HLOOKUP($A1185,#REF!,14,FALSE)&gt;2,HLOOKUP($A1185,#REF!,14,FALSE)&lt;-2),"",#REF!),"")</f>
        <v/>
      </c>
      <c r="Q1185" t="str">
        <f>IFERROR(IF(OR(HLOOKUP($A1185,#REF!,15,FALSE)&gt;2,HLOOKUP($A1185,#REF!,15,FALSE)&lt;-2),"",#REF!),"")</f>
        <v/>
      </c>
      <c r="R1185" t="str">
        <f>IFERROR(IF(OR(HLOOKUP($A1185,#REF!,16,FALSE)&gt;2,HLOOKUP($A1185,#REF!,16,FALSE)&lt;-2),"",#REF!),"")</f>
        <v/>
      </c>
      <c r="S1185" t="str">
        <f>IFERROR(IF(OR(HLOOKUP($A1185,#REF!,17,FALSE)&gt;2,HLOOKUP($A1185,#REF!,17,FALSE)&lt;-2),"",#REF!),"")</f>
        <v/>
      </c>
      <c r="T1185" t="str">
        <f>IFERROR(IF(OR(HLOOKUP($A1185,#REF!,18,FALSE)&gt;2,HLOOKUP($A1185,#REF!,18,FALSE)&lt;-2),"",#REF!),"")</f>
        <v/>
      </c>
      <c r="U1185" t="str">
        <f>IFERROR(IF(OR(HLOOKUP($A1185,#REF!,19,FALSE)&gt;2,HLOOKUP($A1185,#REF!,19,FALSE)&lt;-2),"",#REF!),"")</f>
        <v/>
      </c>
      <c r="V1185">
        <f t="shared" si="72"/>
        <v>1</v>
      </c>
      <c r="W1185" t="str">
        <f t="shared" si="73"/>
        <v/>
      </c>
      <c r="X1185" t="str">
        <f t="shared" si="74"/>
        <v/>
      </c>
      <c r="Y1185" t="str">
        <f t="shared" si="75"/>
        <v/>
      </c>
    </row>
    <row r="1186" spans="1:25" x14ac:dyDescent="0.35">
      <c r="A1186">
        <v>10728</v>
      </c>
      <c r="B1186" t="s">
        <v>1227</v>
      </c>
      <c r="C1186">
        <v>58100</v>
      </c>
      <c r="D1186">
        <v>944</v>
      </c>
      <c r="E1186" t="str">
        <f>IFERROR(IF(OR(HLOOKUP($A1186,#REF!,3,FALSE)&gt;2,HLOOKUP(A1186,#REF!,3,FALSE)&lt;-2),"",#REF!),"")</f>
        <v/>
      </c>
      <c r="F1186" t="str">
        <f>IFERROR(IF(OR(HLOOKUP($A1186,#REF!,4,FALSE)&gt;2,HLOOKUP($A1186,#REF!,4,FALSE)&lt;-2),"",#REF!),"")</f>
        <v/>
      </c>
      <c r="G1186" t="str">
        <f>IFERROR(IF(OR(HLOOKUP($A1186,#REF!,5,FALSE)&gt;2,HLOOKUP($A1186,#REF!,5,FALSE)&lt;-2),"",#REF!),"")</f>
        <v/>
      </c>
      <c r="H1186" t="str">
        <f>IFERROR(IF(OR(HLOOKUP($A1186,#REF!,6,FALSE)&gt;2,HLOOKUP($A1186,#REF!,6,FALSE)&lt;-2),"",#REF!),"")</f>
        <v/>
      </c>
      <c r="I1186" t="str">
        <f>IFERROR(IF(OR(HLOOKUP($A1186,#REF!,7,FALSE)&gt;2,HLOOKUP($A1186,#REF!,7,FALSE)&lt;-2),"",#REF!),"")</f>
        <v/>
      </c>
      <c r="J1186" t="str">
        <f>IFERROR(IF(OR(HLOOKUP($A1186,#REF!,8,FALSE)&gt;2,HLOOKUP($A1186,#REF!,8,FALSE)&lt;-2),"",#REF!),"")</f>
        <v/>
      </c>
      <c r="K1186" t="str">
        <f>IFERROR(IF(OR(HLOOKUP($A1186,#REF!,9,FALSE)&gt;2,HLOOKUP($A1186,#REF!,9,FALSE)&lt;-2),"",#REF!),"")</f>
        <v/>
      </c>
      <c r="L1186" t="str">
        <f>IFERROR(IF(OR(HLOOKUP($A1186,#REF!,10,FALSE)&gt;2,HLOOKUP($A1186,#REF!,10,FALSE)&lt;-2),"",#REF!),"")</f>
        <v/>
      </c>
      <c r="M1186" t="str">
        <f>IFERROR(IF(OR(HLOOKUP($A1186,#REF!,11,FALSE)&gt;2,HLOOKUP($A1186,#REF!,11,FALSE)&lt;-2),"",#REF!),"")</f>
        <v/>
      </c>
      <c r="N1186" t="str">
        <f>IFERROR(IF(OR(HLOOKUP($A1186,#REF!,12,FALSE)&gt;2,HLOOKUP($A1186,#REF!,12,FALSE)&lt;-2),"",#REF!),"")</f>
        <v/>
      </c>
      <c r="O1186" t="str">
        <f>IFERROR(IF(OR(HLOOKUP($A1186,#REF!,13,FALSE)&gt;2,HLOOKUP($A1186,#REF!,13,FALSE)&lt;-2),"",#REF!),"")</f>
        <v/>
      </c>
      <c r="P1186" t="str">
        <f>IFERROR(IF(OR(HLOOKUP($A1186,#REF!,14,FALSE)&gt;2,HLOOKUP($A1186,#REF!,14,FALSE)&lt;-2),"",#REF!),"")</f>
        <v/>
      </c>
      <c r="Q1186" t="str">
        <f>IFERROR(IF(OR(HLOOKUP($A1186,#REF!,15,FALSE)&gt;2,HLOOKUP($A1186,#REF!,15,FALSE)&lt;-2),"",#REF!),"")</f>
        <v/>
      </c>
      <c r="R1186" t="str">
        <f>IFERROR(IF(OR(HLOOKUP($A1186,#REF!,16,FALSE)&gt;2,HLOOKUP($A1186,#REF!,16,FALSE)&lt;-2),"",#REF!),"")</f>
        <v/>
      </c>
      <c r="S1186" t="str">
        <f>IFERROR(IF(OR(HLOOKUP($A1186,#REF!,17,FALSE)&gt;2,HLOOKUP($A1186,#REF!,17,FALSE)&lt;-2),"",#REF!),"")</f>
        <v/>
      </c>
      <c r="T1186" t="str">
        <f>IFERROR(IF(OR(HLOOKUP($A1186,#REF!,18,FALSE)&gt;2,HLOOKUP($A1186,#REF!,18,FALSE)&lt;-2),"",#REF!),"")</f>
        <v/>
      </c>
      <c r="U1186" t="str">
        <f>IFERROR(IF(OR(HLOOKUP($A1186,#REF!,19,FALSE)&gt;2,HLOOKUP($A1186,#REF!,19,FALSE)&lt;-2),"",#REF!),"")</f>
        <v/>
      </c>
      <c r="V1186">
        <f t="shared" si="72"/>
        <v>1</v>
      </c>
      <c r="W1186" t="str">
        <f t="shared" si="73"/>
        <v/>
      </c>
      <c r="X1186" t="str">
        <f t="shared" si="74"/>
        <v/>
      </c>
      <c r="Y1186" t="str">
        <f t="shared" si="75"/>
        <v/>
      </c>
    </row>
    <row r="1187" spans="1:25" x14ac:dyDescent="0.35">
      <c r="A1187">
        <v>10729</v>
      </c>
      <c r="B1187" t="s">
        <v>1228</v>
      </c>
      <c r="C1187">
        <v>58700</v>
      </c>
      <c r="D1187">
        <v>951</v>
      </c>
      <c r="E1187" t="str">
        <f>IFERROR(IF(OR(HLOOKUP($A1187,#REF!,3,FALSE)&gt;2,HLOOKUP(A1187,#REF!,3,FALSE)&lt;-2),"",#REF!),"")</f>
        <v/>
      </c>
      <c r="F1187" t="str">
        <f>IFERROR(IF(OR(HLOOKUP($A1187,#REF!,4,FALSE)&gt;2,HLOOKUP($A1187,#REF!,4,FALSE)&lt;-2),"",#REF!),"")</f>
        <v/>
      </c>
      <c r="G1187" t="str">
        <f>IFERROR(IF(OR(HLOOKUP($A1187,#REF!,5,FALSE)&gt;2,HLOOKUP($A1187,#REF!,5,FALSE)&lt;-2),"",#REF!),"")</f>
        <v/>
      </c>
      <c r="H1187" t="str">
        <f>IFERROR(IF(OR(HLOOKUP($A1187,#REF!,6,FALSE)&gt;2,HLOOKUP($A1187,#REF!,6,FALSE)&lt;-2),"",#REF!),"")</f>
        <v/>
      </c>
      <c r="I1187" t="str">
        <f>IFERROR(IF(OR(HLOOKUP($A1187,#REF!,7,FALSE)&gt;2,HLOOKUP($A1187,#REF!,7,FALSE)&lt;-2),"",#REF!),"")</f>
        <v/>
      </c>
      <c r="J1187" t="str">
        <f>IFERROR(IF(OR(HLOOKUP($A1187,#REF!,8,FALSE)&gt;2,HLOOKUP($A1187,#REF!,8,FALSE)&lt;-2),"",#REF!),"")</f>
        <v/>
      </c>
      <c r="K1187" t="str">
        <f>IFERROR(IF(OR(HLOOKUP($A1187,#REF!,9,FALSE)&gt;2,HLOOKUP($A1187,#REF!,9,FALSE)&lt;-2),"",#REF!),"")</f>
        <v/>
      </c>
      <c r="L1187" t="str">
        <f>IFERROR(IF(OR(HLOOKUP($A1187,#REF!,10,FALSE)&gt;2,HLOOKUP($A1187,#REF!,10,FALSE)&lt;-2),"",#REF!),"")</f>
        <v/>
      </c>
      <c r="M1187" t="str">
        <f>IFERROR(IF(OR(HLOOKUP($A1187,#REF!,11,FALSE)&gt;2,HLOOKUP($A1187,#REF!,11,FALSE)&lt;-2),"",#REF!),"")</f>
        <v/>
      </c>
      <c r="N1187" t="str">
        <f>IFERROR(IF(OR(HLOOKUP($A1187,#REF!,12,FALSE)&gt;2,HLOOKUP($A1187,#REF!,12,FALSE)&lt;-2),"",#REF!),"")</f>
        <v/>
      </c>
      <c r="O1187" t="str">
        <f>IFERROR(IF(OR(HLOOKUP($A1187,#REF!,13,FALSE)&gt;2,HLOOKUP($A1187,#REF!,13,FALSE)&lt;-2),"",#REF!),"")</f>
        <v/>
      </c>
      <c r="P1187" t="str">
        <f>IFERROR(IF(OR(HLOOKUP($A1187,#REF!,14,FALSE)&gt;2,HLOOKUP($A1187,#REF!,14,FALSE)&lt;-2),"",#REF!),"")</f>
        <v/>
      </c>
      <c r="Q1187" t="str">
        <f>IFERROR(IF(OR(HLOOKUP($A1187,#REF!,15,FALSE)&gt;2,HLOOKUP($A1187,#REF!,15,FALSE)&lt;-2),"",#REF!),"")</f>
        <v/>
      </c>
      <c r="R1187" t="str">
        <f>IFERROR(IF(OR(HLOOKUP($A1187,#REF!,16,FALSE)&gt;2,HLOOKUP($A1187,#REF!,16,FALSE)&lt;-2),"",#REF!),"")</f>
        <v/>
      </c>
      <c r="S1187" t="str">
        <f>IFERROR(IF(OR(HLOOKUP($A1187,#REF!,17,FALSE)&gt;2,HLOOKUP($A1187,#REF!,17,FALSE)&lt;-2),"",#REF!),"")</f>
        <v/>
      </c>
      <c r="T1187" t="str">
        <f>IFERROR(IF(OR(HLOOKUP($A1187,#REF!,18,FALSE)&gt;2,HLOOKUP($A1187,#REF!,18,FALSE)&lt;-2),"",#REF!),"")</f>
        <v/>
      </c>
      <c r="U1187" t="str">
        <f>IFERROR(IF(OR(HLOOKUP($A1187,#REF!,19,FALSE)&gt;2,HLOOKUP($A1187,#REF!,19,FALSE)&lt;-2),"",#REF!),"")</f>
        <v/>
      </c>
      <c r="V1187">
        <f t="shared" si="72"/>
        <v>1</v>
      </c>
      <c r="W1187" t="str">
        <f t="shared" si="73"/>
        <v/>
      </c>
      <c r="X1187" t="str">
        <f t="shared" si="74"/>
        <v/>
      </c>
      <c r="Y1187" t="str">
        <f t="shared" si="75"/>
        <v/>
      </c>
    </row>
    <row r="1188" spans="1:25" x14ac:dyDescent="0.35">
      <c r="A1188">
        <v>10730</v>
      </c>
      <c r="B1188" t="s">
        <v>1229</v>
      </c>
      <c r="C1188">
        <v>58600</v>
      </c>
      <c r="D1188">
        <v>951</v>
      </c>
      <c r="E1188" t="str">
        <f>IFERROR(IF(OR(HLOOKUP($A1188,#REF!,3,FALSE)&gt;2,HLOOKUP(A1188,#REF!,3,FALSE)&lt;-2),"",#REF!),"")</f>
        <v/>
      </c>
      <c r="F1188" t="str">
        <f>IFERROR(IF(OR(HLOOKUP($A1188,#REF!,4,FALSE)&gt;2,HLOOKUP($A1188,#REF!,4,FALSE)&lt;-2),"",#REF!),"")</f>
        <v/>
      </c>
      <c r="G1188" t="str">
        <f>IFERROR(IF(OR(HLOOKUP($A1188,#REF!,5,FALSE)&gt;2,HLOOKUP($A1188,#REF!,5,FALSE)&lt;-2),"",#REF!),"")</f>
        <v/>
      </c>
      <c r="H1188" t="str">
        <f>IFERROR(IF(OR(HLOOKUP($A1188,#REF!,6,FALSE)&gt;2,HLOOKUP($A1188,#REF!,6,FALSE)&lt;-2),"",#REF!),"")</f>
        <v/>
      </c>
      <c r="I1188" t="str">
        <f>IFERROR(IF(OR(HLOOKUP($A1188,#REF!,7,FALSE)&gt;2,HLOOKUP($A1188,#REF!,7,FALSE)&lt;-2),"",#REF!),"")</f>
        <v/>
      </c>
      <c r="J1188" t="str">
        <f>IFERROR(IF(OR(HLOOKUP($A1188,#REF!,8,FALSE)&gt;2,HLOOKUP($A1188,#REF!,8,FALSE)&lt;-2),"",#REF!),"")</f>
        <v/>
      </c>
      <c r="K1188" t="str">
        <f>IFERROR(IF(OR(HLOOKUP($A1188,#REF!,9,FALSE)&gt;2,HLOOKUP($A1188,#REF!,9,FALSE)&lt;-2),"",#REF!),"")</f>
        <v/>
      </c>
      <c r="L1188" t="str">
        <f>IFERROR(IF(OR(HLOOKUP($A1188,#REF!,10,FALSE)&gt;2,HLOOKUP($A1188,#REF!,10,FALSE)&lt;-2),"",#REF!),"")</f>
        <v/>
      </c>
      <c r="M1188" t="str">
        <f>IFERROR(IF(OR(HLOOKUP($A1188,#REF!,11,FALSE)&gt;2,HLOOKUP($A1188,#REF!,11,FALSE)&lt;-2),"",#REF!),"")</f>
        <v/>
      </c>
      <c r="N1188" t="str">
        <f>IFERROR(IF(OR(HLOOKUP($A1188,#REF!,12,FALSE)&gt;2,HLOOKUP($A1188,#REF!,12,FALSE)&lt;-2),"",#REF!),"")</f>
        <v/>
      </c>
      <c r="O1188" t="str">
        <f>IFERROR(IF(OR(HLOOKUP($A1188,#REF!,13,FALSE)&gt;2,HLOOKUP($A1188,#REF!,13,FALSE)&lt;-2),"",#REF!),"")</f>
        <v/>
      </c>
      <c r="P1188" t="str">
        <f>IFERROR(IF(OR(HLOOKUP($A1188,#REF!,14,FALSE)&gt;2,HLOOKUP($A1188,#REF!,14,FALSE)&lt;-2),"",#REF!),"")</f>
        <v/>
      </c>
      <c r="Q1188" t="str">
        <f>IFERROR(IF(OR(HLOOKUP($A1188,#REF!,15,FALSE)&gt;2,HLOOKUP($A1188,#REF!,15,FALSE)&lt;-2),"",#REF!),"")</f>
        <v/>
      </c>
      <c r="R1188" t="str">
        <f>IFERROR(IF(OR(HLOOKUP($A1188,#REF!,16,FALSE)&gt;2,HLOOKUP($A1188,#REF!,16,FALSE)&lt;-2),"",#REF!),"")</f>
        <v/>
      </c>
      <c r="S1188" t="str">
        <f>IFERROR(IF(OR(HLOOKUP($A1188,#REF!,17,FALSE)&gt;2,HLOOKUP($A1188,#REF!,17,FALSE)&lt;-2),"",#REF!),"")</f>
        <v/>
      </c>
      <c r="T1188" t="str">
        <f>IFERROR(IF(OR(HLOOKUP($A1188,#REF!,18,FALSE)&gt;2,HLOOKUP($A1188,#REF!,18,FALSE)&lt;-2),"",#REF!),"")</f>
        <v/>
      </c>
      <c r="U1188" t="str">
        <f>IFERROR(IF(OR(HLOOKUP($A1188,#REF!,19,FALSE)&gt;2,HLOOKUP($A1188,#REF!,19,FALSE)&lt;-2),"",#REF!),"")</f>
        <v/>
      </c>
      <c r="V1188">
        <f t="shared" si="72"/>
        <v>1</v>
      </c>
      <c r="W1188" t="str">
        <f t="shared" si="73"/>
        <v/>
      </c>
      <c r="X1188" t="str">
        <f t="shared" si="74"/>
        <v/>
      </c>
      <c r="Y1188" t="str">
        <f t="shared" si="75"/>
        <v/>
      </c>
    </row>
    <row r="1189" spans="1:25" x14ac:dyDescent="0.35">
      <c r="A1189">
        <v>10731</v>
      </c>
      <c r="B1189" t="s">
        <v>1230</v>
      </c>
      <c r="C1189">
        <v>58500</v>
      </c>
      <c r="D1189">
        <v>951</v>
      </c>
      <c r="E1189" t="str">
        <f>IFERROR(IF(OR(HLOOKUP($A1189,#REF!,3,FALSE)&gt;2,HLOOKUP(A1189,#REF!,3,FALSE)&lt;-2),"",#REF!),"")</f>
        <v/>
      </c>
      <c r="F1189" t="str">
        <f>IFERROR(IF(OR(HLOOKUP($A1189,#REF!,4,FALSE)&gt;2,HLOOKUP($A1189,#REF!,4,FALSE)&lt;-2),"",#REF!),"")</f>
        <v/>
      </c>
      <c r="G1189" t="str">
        <f>IFERROR(IF(OR(HLOOKUP($A1189,#REF!,5,FALSE)&gt;2,HLOOKUP($A1189,#REF!,5,FALSE)&lt;-2),"",#REF!),"")</f>
        <v/>
      </c>
      <c r="H1189" t="str">
        <f>IFERROR(IF(OR(HLOOKUP($A1189,#REF!,6,FALSE)&gt;2,HLOOKUP($A1189,#REF!,6,FALSE)&lt;-2),"",#REF!),"")</f>
        <v/>
      </c>
      <c r="I1189" t="str">
        <f>IFERROR(IF(OR(HLOOKUP($A1189,#REF!,7,FALSE)&gt;2,HLOOKUP($A1189,#REF!,7,FALSE)&lt;-2),"",#REF!),"")</f>
        <v/>
      </c>
      <c r="J1189" t="str">
        <f>IFERROR(IF(OR(HLOOKUP($A1189,#REF!,8,FALSE)&gt;2,HLOOKUP($A1189,#REF!,8,FALSE)&lt;-2),"",#REF!),"")</f>
        <v/>
      </c>
      <c r="K1189" t="str">
        <f>IFERROR(IF(OR(HLOOKUP($A1189,#REF!,9,FALSE)&gt;2,HLOOKUP($A1189,#REF!,9,FALSE)&lt;-2),"",#REF!),"")</f>
        <v/>
      </c>
      <c r="L1189" t="str">
        <f>IFERROR(IF(OR(HLOOKUP($A1189,#REF!,10,FALSE)&gt;2,HLOOKUP($A1189,#REF!,10,FALSE)&lt;-2),"",#REF!),"")</f>
        <v/>
      </c>
      <c r="M1189" t="str">
        <f>IFERROR(IF(OR(HLOOKUP($A1189,#REF!,11,FALSE)&gt;2,HLOOKUP($A1189,#REF!,11,FALSE)&lt;-2),"",#REF!),"")</f>
        <v/>
      </c>
      <c r="N1189" t="str">
        <f>IFERROR(IF(OR(HLOOKUP($A1189,#REF!,12,FALSE)&gt;2,HLOOKUP($A1189,#REF!,12,FALSE)&lt;-2),"",#REF!),"")</f>
        <v/>
      </c>
      <c r="O1189" t="str">
        <f>IFERROR(IF(OR(HLOOKUP($A1189,#REF!,13,FALSE)&gt;2,HLOOKUP($A1189,#REF!,13,FALSE)&lt;-2),"",#REF!),"")</f>
        <v/>
      </c>
      <c r="P1189" t="str">
        <f>IFERROR(IF(OR(HLOOKUP($A1189,#REF!,14,FALSE)&gt;2,HLOOKUP($A1189,#REF!,14,FALSE)&lt;-2),"",#REF!),"")</f>
        <v/>
      </c>
      <c r="Q1189" t="str">
        <f>IFERROR(IF(OR(HLOOKUP($A1189,#REF!,15,FALSE)&gt;2,HLOOKUP($A1189,#REF!,15,FALSE)&lt;-2),"",#REF!),"")</f>
        <v/>
      </c>
      <c r="R1189" t="str">
        <f>IFERROR(IF(OR(HLOOKUP($A1189,#REF!,16,FALSE)&gt;2,HLOOKUP($A1189,#REF!,16,FALSE)&lt;-2),"",#REF!),"")</f>
        <v/>
      </c>
      <c r="S1189" t="str">
        <f>IFERROR(IF(OR(HLOOKUP($A1189,#REF!,17,FALSE)&gt;2,HLOOKUP($A1189,#REF!,17,FALSE)&lt;-2),"",#REF!),"")</f>
        <v/>
      </c>
      <c r="T1189" t="str">
        <f>IFERROR(IF(OR(HLOOKUP($A1189,#REF!,18,FALSE)&gt;2,HLOOKUP($A1189,#REF!,18,FALSE)&lt;-2),"",#REF!),"")</f>
        <v/>
      </c>
      <c r="U1189" t="str">
        <f>IFERROR(IF(OR(HLOOKUP($A1189,#REF!,19,FALSE)&gt;2,HLOOKUP($A1189,#REF!,19,FALSE)&lt;-2),"",#REF!),"")</f>
        <v/>
      </c>
      <c r="V1189">
        <f t="shared" si="72"/>
        <v>1</v>
      </c>
      <c r="W1189" t="str">
        <f t="shared" si="73"/>
        <v/>
      </c>
      <c r="X1189" t="str">
        <f t="shared" si="74"/>
        <v/>
      </c>
      <c r="Y1189" t="str">
        <f t="shared" si="75"/>
        <v/>
      </c>
    </row>
    <row r="1190" spans="1:25" x14ac:dyDescent="0.35">
      <c r="A1190">
        <v>10732</v>
      </c>
      <c r="B1190" t="s">
        <v>1231</v>
      </c>
      <c r="C1190">
        <v>59100</v>
      </c>
      <c r="D1190">
        <v>957</v>
      </c>
      <c r="E1190" t="str">
        <f>IFERROR(IF(OR(HLOOKUP($A1190,#REF!,3,FALSE)&gt;2,HLOOKUP(A1190,#REF!,3,FALSE)&lt;-2),"",#REF!),"")</f>
        <v/>
      </c>
      <c r="F1190" t="str">
        <f>IFERROR(IF(OR(HLOOKUP($A1190,#REF!,4,FALSE)&gt;2,HLOOKUP($A1190,#REF!,4,FALSE)&lt;-2),"",#REF!),"")</f>
        <v/>
      </c>
      <c r="G1190" t="str">
        <f>IFERROR(IF(OR(HLOOKUP($A1190,#REF!,5,FALSE)&gt;2,HLOOKUP($A1190,#REF!,5,FALSE)&lt;-2),"",#REF!),"")</f>
        <v/>
      </c>
      <c r="H1190" t="str">
        <f>IFERROR(IF(OR(HLOOKUP($A1190,#REF!,6,FALSE)&gt;2,HLOOKUP($A1190,#REF!,6,FALSE)&lt;-2),"",#REF!),"")</f>
        <v/>
      </c>
      <c r="I1190" t="str">
        <f>IFERROR(IF(OR(HLOOKUP($A1190,#REF!,7,FALSE)&gt;2,HLOOKUP($A1190,#REF!,7,FALSE)&lt;-2),"",#REF!),"")</f>
        <v/>
      </c>
      <c r="J1190" t="str">
        <f>IFERROR(IF(OR(HLOOKUP($A1190,#REF!,8,FALSE)&gt;2,HLOOKUP($A1190,#REF!,8,FALSE)&lt;-2),"",#REF!),"")</f>
        <v/>
      </c>
      <c r="K1190" t="str">
        <f>IFERROR(IF(OR(HLOOKUP($A1190,#REF!,9,FALSE)&gt;2,HLOOKUP($A1190,#REF!,9,FALSE)&lt;-2),"",#REF!),"")</f>
        <v/>
      </c>
      <c r="L1190" t="str">
        <f>IFERROR(IF(OR(HLOOKUP($A1190,#REF!,10,FALSE)&gt;2,HLOOKUP($A1190,#REF!,10,FALSE)&lt;-2),"",#REF!),"")</f>
        <v/>
      </c>
      <c r="M1190" t="str">
        <f>IFERROR(IF(OR(HLOOKUP($A1190,#REF!,11,FALSE)&gt;2,HLOOKUP($A1190,#REF!,11,FALSE)&lt;-2),"",#REF!),"")</f>
        <v/>
      </c>
      <c r="N1190" t="str">
        <f>IFERROR(IF(OR(HLOOKUP($A1190,#REF!,12,FALSE)&gt;2,HLOOKUP($A1190,#REF!,12,FALSE)&lt;-2),"",#REF!),"")</f>
        <v/>
      </c>
      <c r="O1190" t="str">
        <f>IFERROR(IF(OR(HLOOKUP($A1190,#REF!,13,FALSE)&gt;2,HLOOKUP($A1190,#REF!,13,FALSE)&lt;-2),"",#REF!),"")</f>
        <v/>
      </c>
      <c r="P1190" t="str">
        <f>IFERROR(IF(OR(HLOOKUP($A1190,#REF!,14,FALSE)&gt;2,HLOOKUP($A1190,#REF!,14,FALSE)&lt;-2),"",#REF!),"")</f>
        <v/>
      </c>
      <c r="Q1190" t="str">
        <f>IFERROR(IF(OR(HLOOKUP($A1190,#REF!,15,FALSE)&gt;2,HLOOKUP($A1190,#REF!,15,FALSE)&lt;-2),"",#REF!),"")</f>
        <v/>
      </c>
      <c r="R1190" t="str">
        <f>IFERROR(IF(OR(HLOOKUP($A1190,#REF!,16,FALSE)&gt;2,HLOOKUP($A1190,#REF!,16,FALSE)&lt;-2),"",#REF!),"")</f>
        <v/>
      </c>
      <c r="S1190" t="str">
        <f>IFERROR(IF(OR(HLOOKUP($A1190,#REF!,17,FALSE)&gt;2,HLOOKUP($A1190,#REF!,17,FALSE)&lt;-2),"",#REF!),"")</f>
        <v/>
      </c>
      <c r="T1190" t="str">
        <f>IFERROR(IF(OR(HLOOKUP($A1190,#REF!,18,FALSE)&gt;2,HLOOKUP($A1190,#REF!,18,FALSE)&lt;-2),"",#REF!),"")</f>
        <v/>
      </c>
      <c r="U1190" t="str">
        <f>IFERROR(IF(OR(HLOOKUP($A1190,#REF!,19,FALSE)&gt;2,HLOOKUP($A1190,#REF!,19,FALSE)&lt;-2),"",#REF!),"")</f>
        <v/>
      </c>
      <c r="V1190">
        <f t="shared" si="72"/>
        <v>1</v>
      </c>
      <c r="W1190" t="str">
        <f t="shared" si="73"/>
        <v/>
      </c>
      <c r="X1190" t="str">
        <f t="shared" si="74"/>
        <v/>
      </c>
      <c r="Y1190" t="str">
        <f t="shared" si="75"/>
        <v/>
      </c>
    </row>
    <row r="1191" spans="1:25" x14ac:dyDescent="0.35">
      <c r="A1191">
        <v>10733</v>
      </c>
      <c r="B1191" t="s">
        <v>1232</v>
      </c>
      <c r="C1191">
        <v>59000</v>
      </c>
      <c r="D1191">
        <v>957</v>
      </c>
      <c r="E1191" t="str">
        <f>IFERROR(IF(OR(HLOOKUP($A1191,#REF!,3,FALSE)&gt;2,HLOOKUP(A1191,#REF!,3,FALSE)&lt;-2),"",#REF!),"")</f>
        <v/>
      </c>
      <c r="F1191" t="str">
        <f>IFERROR(IF(OR(HLOOKUP($A1191,#REF!,4,FALSE)&gt;2,HLOOKUP($A1191,#REF!,4,FALSE)&lt;-2),"",#REF!),"")</f>
        <v/>
      </c>
      <c r="G1191" t="str">
        <f>IFERROR(IF(OR(HLOOKUP($A1191,#REF!,5,FALSE)&gt;2,HLOOKUP($A1191,#REF!,5,FALSE)&lt;-2),"",#REF!),"")</f>
        <v/>
      </c>
      <c r="H1191" t="str">
        <f>IFERROR(IF(OR(HLOOKUP($A1191,#REF!,6,FALSE)&gt;2,HLOOKUP($A1191,#REF!,6,FALSE)&lt;-2),"",#REF!),"")</f>
        <v/>
      </c>
      <c r="I1191" t="str">
        <f>IFERROR(IF(OR(HLOOKUP($A1191,#REF!,7,FALSE)&gt;2,HLOOKUP($A1191,#REF!,7,FALSE)&lt;-2),"",#REF!),"")</f>
        <v/>
      </c>
      <c r="J1191" t="str">
        <f>IFERROR(IF(OR(HLOOKUP($A1191,#REF!,8,FALSE)&gt;2,HLOOKUP($A1191,#REF!,8,FALSE)&lt;-2),"",#REF!),"")</f>
        <v/>
      </c>
      <c r="K1191" t="str">
        <f>IFERROR(IF(OR(HLOOKUP($A1191,#REF!,9,FALSE)&gt;2,HLOOKUP($A1191,#REF!,9,FALSE)&lt;-2),"",#REF!),"")</f>
        <v/>
      </c>
      <c r="L1191" t="str">
        <f>IFERROR(IF(OR(HLOOKUP($A1191,#REF!,10,FALSE)&gt;2,HLOOKUP($A1191,#REF!,10,FALSE)&lt;-2),"",#REF!),"")</f>
        <v/>
      </c>
      <c r="M1191" t="str">
        <f>IFERROR(IF(OR(HLOOKUP($A1191,#REF!,11,FALSE)&gt;2,HLOOKUP($A1191,#REF!,11,FALSE)&lt;-2),"",#REF!),"")</f>
        <v/>
      </c>
      <c r="N1191" t="str">
        <f>IFERROR(IF(OR(HLOOKUP($A1191,#REF!,12,FALSE)&gt;2,HLOOKUP($A1191,#REF!,12,FALSE)&lt;-2),"",#REF!),"")</f>
        <v/>
      </c>
      <c r="O1191" t="str">
        <f>IFERROR(IF(OR(HLOOKUP($A1191,#REF!,13,FALSE)&gt;2,HLOOKUP($A1191,#REF!,13,FALSE)&lt;-2),"",#REF!),"")</f>
        <v/>
      </c>
      <c r="P1191" t="str">
        <f>IFERROR(IF(OR(HLOOKUP($A1191,#REF!,14,FALSE)&gt;2,HLOOKUP($A1191,#REF!,14,FALSE)&lt;-2),"",#REF!),"")</f>
        <v/>
      </c>
      <c r="Q1191" t="str">
        <f>IFERROR(IF(OR(HLOOKUP($A1191,#REF!,15,FALSE)&gt;2,HLOOKUP($A1191,#REF!,15,FALSE)&lt;-2),"",#REF!),"")</f>
        <v/>
      </c>
      <c r="R1191" t="str">
        <f>IFERROR(IF(OR(HLOOKUP($A1191,#REF!,16,FALSE)&gt;2,HLOOKUP($A1191,#REF!,16,FALSE)&lt;-2),"",#REF!),"")</f>
        <v/>
      </c>
      <c r="S1191" t="str">
        <f>IFERROR(IF(OR(HLOOKUP($A1191,#REF!,17,FALSE)&gt;2,HLOOKUP($A1191,#REF!,17,FALSE)&lt;-2),"",#REF!),"")</f>
        <v/>
      </c>
      <c r="T1191" t="str">
        <f>IFERROR(IF(OR(HLOOKUP($A1191,#REF!,18,FALSE)&gt;2,HLOOKUP($A1191,#REF!,18,FALSE)&lt;-2),"",#REF!),"")</f>
        <v/>
      </c>
      <c r="U1191" t="str">
        <f>IFERROR(IF(OR(HLOOKUP($A1191,#REF!,19,FALSE)&gt;2,HLOOKUP($A1191,#REF!,19,FALSE)&lt;-2),"",#REF!),"")</f>
        <v/>
      </c>
      <c r="V1191">
        <f t="shared" si="72"/>
        <v>1</v>
      </c>
      <c r="W1191" t="str">
        <f t="shared" si="73"/>
        <v/>
      </c>
      <c r="X1191" t="str">
        <f t="shared" si="74"/>
        <v/>
      </c>
      <c r="Y1191" t="str">
        <f t="shared" si="75"/>
        <v/>
      </c>
    </row>
    <row r="1192" spans="1:25" x14ac:dyDescent="0.35">
      <c r="A1192">
        <v>10734</v>
      </c>
      <c r="B1192" t="s">
        <v>1233</v>
      </c>
      <c r="C1192">
        <v>58900</v>
      </c>
      <c r="D1192">
        <v>957</v>
      </c>
      <c r="E1192" t="str">
        <f>IFERROR(IF(OR(HLOOKUP($A1192,#REF!,3,FALSE)&gt;2,HLOOKUP(A1192,#REF!,3,FALSE)&lt;-2),"",#REF!),"")</f>
        <v/>
      </c>
      <c r="F1192" t="str">
        <f>IFERROR(IF(OR(HLOOKUP($A1192,#REF!,4,FALSE)&gt;2,HLOOKUP($A1192,#REF!,4,FALSE)&lt;-2),"",#REF!),"")</f>
        <v/>
      </c>
      <c r="G1192" t="str">
        <f>IFERROR(IF(OR(HLOOKUP($A1192,#REF!,5,FALSE)&gt;2,HLOOKUP($A1192,#REF!,5,FALSE)&lt;-2),"",#REF!),"")</f>
        <v/>
      </c>
      <c r="H1192" t="str">
        <f>IFERROR(IF(OR(HLOOKUP($A1192,#REF!,6,FALSE)&gt;2,HLOOKUP($A1192,#REF!,6,FALSE)&lt;-2),"",#REF!),"")</f>
        <v/>
      </c>
      <c r="I1192" t="str">
        <f>IFERROR(IF(OR(HLOOKUP($A1192,#REF!,7,FALSE)&gt;2,HLOOKUP($A1192,#REF!,7,FALSE)&lt;-2),"",#REF!),"")</f>
        <v/>
      </c>
      <c r="J1192" t="str">
        <f>IFERROR(IF(OR(HLOOKUP($A1192,#REF!,8,FALSE)&gt;2,HLOOKUP($A1192,#REF!,8,FALSE)&lt;-2),"",#REF!),"")</f>
        <v/>
      </c>
      <c r="K1192" t="str">
        <f>IFERROR(IF(OR(HLOOKUP($A1192,#REF!,9,FALSE)&gt;2,HLOOKUP($A1192,#REF!,9,FALSE)&lt;-2),"",#REF!),"")</f>
        <v/>
      </c>
      <c r="L1192" t="str">
        <f>IFERROR(IF(OR(HLOOKUP($A1192,#REF!,10,FALSE)&gt;2,HLOOKUP($A1192,#REF!,10,FALSE)&lt;-2),"",#REF!),"")</f>
        <v/>
      </c>
      <c r="M1192" t="str">
        <f>IFERROR(IF(OR(HLOOKUP($A1192,#REF!,11,FALSE)&gt;2,HLOOKUP($A1192,#REF!,11,FALSE)&lt;-2),"",#REF!),"")</f>
        <v/>
      </c>
      <c r="N1192" t="str">
        <f>IFERROR(IF(OR(HLOOKUP($A1192,#REF!,12,FALSE)&gt;2,HLOOKUP($A1192,#REF!,12,FALSE)&lt;-2),"",#REF!),"")</f>
        <v/>
      </c>
      <c r="O1192" t="str">
        <f>IFERROR(IF(OR(HLOOKUP($A1192,#REF!,13,FALSE)&gt;2,HLOOKUP($A1192,#REF!,13,FALSE)&lt;-2),"",#REF!),"")</f>
        <v/>
      </c>
      <c r="P1192" t="str">
        <f>IFERROR(IF(OR(HLOOKUP($A1192,#REF!,14,FALSE)&gt;2,HLOOKUP($A1192,#REF!,14,FALSE)&lt;-2),"",#REF!),"")</f>
        <v/>
      </c>
      <c r="Q1192" t="str">
        <f>IFERROR(IF(OR(HLOOKUP($A1192,#REF!,15,FALSE)&gt;2,HLOOKUP($A1192,#REF!,15,FALSE)&lt;-2),"",#REF!),"")</f>
        <v/>
      </c>
      <c r="R1192" t="str">
        <f>IFERROR(IF(OR(HLOOKUP($A1192,#REF!,16,FALSE)&gt;2,HLOOKUP($A1192,#REF!,16,FALSE)&lt;-2),"",#REF!),"")</f>
        <v/>
      </c>
      <c r="S1192" t="str">
        <f>IFERROR(IF(OR(HLOOKUP($A1192,#REF!,17,FALSE)&gt;2,HLOOKUP($A1192,#REF!,17,FALSE)&lt;-2),"",#REF!),"")</f>
        <v/>
      </c>
      <c r="T1192" t="str">
        <f>IFERROR(IF(OR(HLOOKUP($A1192,#REF!,18,FALSE)&gt;2,HLOOKUP($A1192,#REF!,18,FALSE)&lt;-2),"",#REF!),"")</f>
        <v/>
      </c>
      <c r="U1192" t="str">
        <f>IFERROR(IF(OR(HLOOKUP($A1192,#REF!,19,FALSE)&gt;2,HLOOKUP($A1192,#REF!,19,FALSE)&lt;-2),"",#REF!),"")</f>
        <v/>
      </c>
      <c r="V1192">
        <f t="shared" si="72"/>
        <v>1</v>
      </c>
      <c r="W1192" t="str">
        <f t="shared" si="73"/>
        <v/>
      </c>
      <c r="X1192" t="str">
        <f t="shared" si="74"/>
        <v/>
      </c>
      <c r="Y1192" t="str">
        <f t="shared" si="75"/>
        <v/>
      </c>
    </row>
    <row r="1193" spans="1:25" x14ac:dyDescent="0.35">
      <c r="A1193">
        <v>10735</v>
      </c>
      <c r="B1193" t="s">
        <v>1234</v>
      </c>
      <c r="C1193">
        <v>59500</v>
      </c>
      <c r="D1193">
        <v>968</v>
      </c>
      <c r="E1193" t="str">
        <f>IFERROR(IF(OR(HLOOKUP($A1193,#REF!,3,FALSE)&gt;2,HLOOKUP(A1193,#REF!,3,FALSE)&lt;-2),"",#REF!),"")</f>
        <v/>
      </c>
      <c r="F1193" t="str">
        <f>IFERROR(IF(OR(HLOOKUP($A1193,#REF!,4,FALSE)&gt;2,HLOOKUP($A1193,#REF!,4,FALSE)&lt;-2),"",#REF!),"")</f>
        <v/>
      </c>
      <c r="G1193" t="str">
        <f>IFERROR(IF(OR(HLOOKUP($A1193,#REF!,5,FALSE)&gt;2,HLOOKUP($A1193,#REF!,5,FALSE)&lt;-2),"",#REF!),"")</f>
        <v/>
      </c>
      <c r="H1193" t="str">
        <f>IFERROR(IF(OR(HLOOKUP($A1193,#REF!,6,FALSE)&gt;2,HLOOKUP($A1193,#REF!,6,FALSE)&lt;-2),"",#REF!),"")</f>
        <v/>
      </c>
      <c r="I1193" t="str">
        <f>IFERROR(IF(OR(HLOOKUP($A1193,#REF!,7,FALSE)&gt;2,HLOOKUP($A1193,#REF!,7,FALSE)&lt;-2),"",#REF!),"")</f>
        <v/>
      </c>
      <c r="J1193" t="str">
        <f>IFERROR(IF(OR(HLOOKUP($A1193,#REF!,8,FALSE)&gt;2,HLOOKUP($A1193,#REF!,8,FALSE)&lt;-2),"",#REF!),"")</f>
        <v/>
      </c>
      <c r="K1193" t="str">
        <f>IFERROR(IF(OR(HLOOKUP($A1193,#REF!,9,FALSE)&gt;2,HLOOKUP($A1193,#REF!,9,FALSE)&lt;-2),"",#REF!),"")</f>
        <v/>
      </c>
      <c r="L1193" t="str">
        <f>IFERROR(IF(OR(HLOOKUP($A1193,#REF!,10,FALSE)&gt;2,HLOOKUP($A1193,#REF!,10,FALSE)&lt;-2),"",#REF!),"")</f>
        <v/>
      </c>
      <c r="M1193" t="str">
        <f>IFERROR(IF(OR(HLOOKUP($A1193,#REF!,11,FALSE)&gt;2,HLOOKUP($A1193,#REF!,11,FALSE)&lt;-2),"",#REF!),"")</f>
        <v/>
      </c>
      <c r="N1193" t="str">
        <f>IFERROR(IF(OR(HLOOKUP($A1193,#REF!,12,FALSE)&gt;2,HLOOKUP($A1193,#REF!,12,FALSE)&lt;-2),"",#REF!),"")</f>
        <v/>
      </c>
      <c r="O1193" t="str">
        <f>IFERROR(IF(OR(HLOOKUP($A1193,#REF!,13,FALSE)&gt;2,HLOOKUP($A1193,#REF!,13,FALSE)&lt;-2),"",#REF!),"")</f>
        <v/>
      </c>
      <c r="P1193" t="str">
        <f>IFERROR(IF(OR(HLOOKUP($A1193,#REF!,14,FALSE)&gt;2,HLOOKUP($A1193,#REF!,14,FALSE)&lt;-2),"",#REF!),"")</f>
        <v/>
      </c>
      <c r="Q1193" t="str">
        <f>IFERROR(IF(OR(HLOOKUP($A1193,#REF!,15,FALSE)&gt;2,HLOOKUP($A1193,#REF!,15,FALSE)&lt;-2),"",#REF!),"")</f>
        <v/>
      </c>
      <c r="R1193" t="str">
        <f>IFERROR(IF(OR(HLOOKUP($A1193,#REF!,16,FALSE)&gt;2,HLOOKUP($A1193,#REF!,16,FALSE)&lt;-2),"",#REF!),"")</f>
        <v/>
      </c>
      <c r="S1193" t="str">
        <f>IFERROR(IF(OR(HLOOKUP($A1193,#REF!,17,FALSE)&gt;2,HLOOKUP($A1193,#REF!,17,FALSE)&lt;-2),"",#REF!),"")</f>
        <v/>
      </c>
      <c r="T1193" t="str">
        <f>IFERROR(IF(OR(HLOOKUP($A1193,#REF!,18,FALSE)&gt;2,HLOOKUP($A1193,#REF!,18,FALSE)&lt;-2),"",#REF!),"")</f>
        <v/>
      </c>
      <c r="U1193" t="str">
        <f>IFERROR(IF(OR(HLOOKUP($A1193,#REF!,19,FALSE)&gt;2,HLOOKUP($A1193,#REF!,19,FALSE)&lt;-2),"",#REF!),"")</f>
        <v/>
      </c>
      <c r="V1193">
        <f t="shared" si="72"/>
        <v>1</v>
      </c>
      <c r="W1193" t="str">
        <f t="shared" si="73"/>
        <v/>
      </c>
      <c r="X1193" t="str">
        <f t="shared" si="74"/>
        <v/>
      </c>
      <c r="Y1193" t="str">
        <f t="shared" si="75"/>
        <v/>
      </c>
    </row>
    <row r="1194" spans="1:25" x14ac:dyDescent="0.35">
      <c r="A1194">
        <v>10736</v>
      </c>
      <c r="B1194" t="s">
        <v>1235</v>
      </c>
      <c r="C1194">
        <v>59400</v>
      </c>
      <c r="D1194">
        <v>968</v>
      </c>
      <c r="E1194" t="str">
        <f>IFERROR(IF(OR(HLOOKUP($A1194,#REF!,3,FALSE)&gt;2,HLOOKUP(A1194,#REF!,3,FALSE)&lt;-2),"",#REF!),"")</f>
        <v/>
      </c>
      <c r="F1194" t="str">
        <f>IFERROR(IF(OR(HLOOKUP($A1194,#REF!,4,FALSE)&gt;2,HLOOKUP($A1194,#REF!,4,FALSE)&lt;-2),"",#REF!),"")</f>
        <v/>
      </c>
      <c r="G1194" t="str">
        <f>IFERROR(IF(OR(HLOOKUP($A1194,#REF!,5,FALSE)&gt;2,HLOOKUP($A1194,#REF!,5,FALSE)&lt;-2),"",#REF!),"")</f>
        <v/>
      </c>
      <c r="H1194" t="str">
        <f>IFERROR(IF(OR(HLOOKUP($A1194,#REF!,6,FALSE)&gt;2,HLOOKUP($A1194,#REF!,6,FALSE)&lt;-2),"",#REF!),"")</f>
        <v/>
      </c>
      <c r="I1194" t="str">
        <f>IFERROR(IF(OR(HLOOKUP($A1194,#REF!,7,FALSE)&gt;2,HLOOKUP($A1194,#REF!,7,FALSE)&lt;-2),"",#REF!),"")</f>
        <v/>
      </c>
      <c r="J1194" t="str">
        <f>IFERROR(IF(OR(HLOOKUP($A1194,#REF!,8,FALSE)&gt;2,HLOOKUP($A1194,#REF!,8,FALSE)&lt;-2),"",#REF!),"")</f>
        <v/>
      </c>
      <c r="K1194" t="str">
        <f>IFERROR(IF(OR(HLOOKUP($A1194,#REF!,9,FALSE)&gt;2,HLOOKUP($A1194,#REF!,9,FALSE)&lt;-2),"",#REF!),"")</f>
        <v/>
      </c>
      <c r="L1194" t="str">
        <f>IFERROR(IF(OR(HLOOKUP($A1194,#REF!,10,FALSE)&gt;2,HLOOKUP($A1194,#REF!,10,FALSE)&lt;-2),"",#REF!),"")</f>
        <v/>
      </c>
      <c r="M1194" t="str">
        <f>IFERROR(IF(OR(HLOOKUP($A1194,#REF!,11,FALSE)&gt;2,HLOOKUP($A1194,#REF!,11,FALSE)&lt;-2),"",#REF!),"")</f>
        <v/>
      </c>
      <c r="N1194" t="str">
        <f>IFERROR(IF(OR(HLOOKUP($A1194,#REF!,12,FALSE)&gt;2,HLOOKUP($A1194,#REF!,12,FALSE)&lt;-2),"",#REF!),"")</f>
        <v/>
      </c>
      <c r="O1194" t="str">
        <f>IFERROR(IF(OR(HLOOKUP($A1194,#REF!,13,FALSE)&gt;2,HLOOKUP($A1194,#REF!,13,FALSE)&lt;-2),"",#REF!),"")</f>
        <v/>
      </c>
      <c r="P1194" t="str">
        <f>IFERROR(IF(OR(HLOOKUP($A1194,#REF!,14,FALSE)&gt;2,HLOOKUP($A1194,#REF!,14,FALSE)&lt;-2),"",#REF!),"")</f>
        <v/>
      </c>
      <c r="Q1194" t="str">
        <f>IFERROR(IF(OR(HLOOKUP($A1194,#REF!,15,FALSE)&gt;2,HLOOKUP($A1194,#REF!,15,FALSE)&lt;-2),"",#REF!),"")</f>
        <v/>
      </c>
      <c r="R1194" t="str">
        <f>IFERROR(IF(OR(HLOOKUP($A1194,#REF!,16,FALSE)&gt;2,HLOOKUP($A1194,#REF!,16,FALSE)&lt;-2),"",#REF!),"")</f>
        <v/>
      </c>
      <c r="S1194" t="str">
        <f>IFERROR(IF(OR(HLOOKUP($A1194,#REF!,17,FALSE)&gt;2,HLOOKUP($A1194,#REF!,17,FALSE)&lt;-2),"",#REF!),"")</f>
        <v/>
      </c>
      <c r="T1194" t="str">
        <f>IFERROR(IF(OR(HLOOKUP($A1194,#REF!,18,FALSE)&gt;2,HLOOKUP($A1194,#REF!,18,FALSE)&lt;-2),"",#REF!),"")</f>
        <v/>
      </c>
      <c r="U1194" t="str">
        <f>IFERROR(IF(OR(HLOOKUP($A1194,#REF!,19,FALSE)&gt;2,HLOOKUP($A1194,#REF!,19,FALSE)&lt;-2),"",#REF!),"")</f>
        <v/>
      </c>
      <c r="V1194">
        <f t="shared" si="72"/>
        <v>1</v>
      </c>
      <c r="W1194" t="str">
        <f t="shared" si="73"/>
        <v/>
      </c>
      <c r="X1194" t="str">
        <f t="shared" si="74"/>
        <v/>
      </c>
      <c r="Y1194" t="str">
        <f t="shared" si="75"/>
        <v/>
      </c>
    </row>
    <row r="1195" spans="1:25" x14ac:dyDescent="0.35">
      <c r="A1195">
        <v>10737</v>
      </c>
      <c r="B1195" t="s">
        <v>1236</v>
      </c>
      <c r="C1195">
        <v>59300</v>
      </c>
      <c r="D1195">
        <v>968</v>
      </c>
      <c r="E1195" t="str">
        <f>IFERROR(IF(OR(HLOOKUP($A1195,#REF!,3,FALSE)&gt;2,HLOOKUP(A1195,#REF!,3,FALSE)&lt;-2),"",#REF!),"")</f>
        <v/>
      </c>
      <c r="F1195" t="str">
        <f>IFERROR(IF(OR(HLOOKUP($A1195,#REF!,4,FALSE)&gt;2,HLOOKUP($A1195,#REF!,4,FALSE)&lt;-2),"",#REF!),"")</f>
        <v/>
      </c>
      <c r="G1195" t="str">
        <f>IFERROR(IF(OR(HLOOKUP($A1195,#REF!,5,FALSE)&gt;2,HLOOKUP($A1195,#REF!,5,FALSE)&lt;-2),"",#REF!),"")</f>
        <v/>
      </c>
      <c r="H1195" t="str">
        <f>IFERROR(IF(OR(HLOOKUP($A1195,#REF!,6,FALSE)&gt;2,HLOOKUP($A1195,#REF!,6,FALSE)&lt;-2),"",#REF!),"")</f>
        <v/>
      </c>
      <c r="I1195" t="str">
        <f>IFERROR(IF(OR(HLOOKUP($A1195,#REF!,7,FALSE)&gt;2,HLOOKUP($A1195,#REF!,7,FALSE)&lt;-2),"",#REF!),"")</f>
        <v/>
      </c>
      <c r="J1195" t="str">
        <f>IFERROR(IF(OR(HLOOKUP($A1195,#REF!,8,FALSE)&gt;2,HLOOKUP($A1195,#REF!,8,FALSE)&lt;-2),"",#REF!),"")</f>
        <v/>
      </c>
      <c r="K1195" t="str">
        <f>IFERROR(IF(OR(HLOOKUP($A1195,#REF!,9,FALSE)&gt;2,HLOOKUP($A1195,#REF!,9,FALSE)&lt;-2),"",#REF!),"")</f>
        <v/>
      </c>
      <c r="L1195" t="str">
        <f>IFERROR(IF(OR(HLOOKUP($A1195,#REF!,10,FALSE)&gt;2,HLOOKUP($A1195,#REF!,10,FALSE)&lt;-2),"",#REF!),"")</f>
        <v/>
      </c>
      <c r="M1195" t="str">
        <f>IFERROR(IF(OR(HLOOKUP($A1195,#REF!,11,FALSE)&gt;2,HLOOKUP($A1195,#REF!,11,FALSE)&lt;-2),"",#REF!),"")</f>
        <v/>
      </c>
      <c r="N1195" t="str">
        <f>IFERROR(IF(OR(HLOOKUP($A1195,#REF!,12,FALSE)&gt;2,HLOOKUP($A1195,#REF!,12,FALSE)&lt;-2),"",#REF!),"")</f>
        <v/>
      </c>
      <c r="O1195" t="str">
        <f>IFERROR(IF(OR(HLOOKUP($A1195,#REF!,13,FALSE)&gt;2,HLOOKUP($A1195,#REF!,13,FALSE)&lt;-2),"",#REF!),"")</f>
        <v/>
      </c>
      <c r="P1195" t="str">
        <f>IFERROR(IF(OR(HLOOKUP($A1195,#REF!,14,FALSE)&gt;2,HLOOKUP($A1195,#REF!,14,FALSE)&lt;-2),"",#REF!),"")</f>
        <v/>
      </c>
      <c r="Q1195" t="str">
        <f>IFERROR(IF(OR(HLOOKUP($A1195,#REF!,15,FALSE)&gt;2,HLOOKUP($A1195,#REF!,15,FALSE)&lt;-2),"",#REF!),"")</f>
        <v/>
      </c>
      <c r="R1195" t="str">
        <f>IFERROR(IF(OR(HLOOKUP($A1195,#REF!,16,FALSE)&gt;2,HLOOKUP($A1195,#REF!,16,FALSE)&lt;-2),"",#REF!),"")</f>
        <v/>
      </c>
      <c r="S1195" t="str">
        <f>IFERROR(IF(OR(HLOOKUP($A1195,#REF!,17,FALSE)&gt;2,HLOOKUP($A1195,#REF!,17,FALSE)&lt;-2),"",#REF!),"")</f>
        <v/>
      </c>
      <c r="T1195" t="str">
        <f>IFERROR(IF(OR(HLOOKUP($A1195,#REF!,18,FALSE)&gt;2,HLOOKUP($A1195,#REF!,18,FALSE)&lt;-2),"",#REF!),"")</f>
        <v/>
      </c>
      <c r="U1195" t="str">
        <f>IFERROR(IF(OR(HLOOKUP($A1195,#REF!,19,FALSE)&gt;2,HLOOKUP($A1195,#REF!,19,FALSE)&lt;-2),"",#REF!),"")</f>
        <v/>
      </c>
      <c r="V1195">
        <f t="shared" si="72"/>
        <v>1</v>
      </c>
      <c r="W1195" t="str">
        <f t="shared" si="73"/>
        <v/>
      </c>
      <c r="X1195" t="str">
        <f t="shared" si="74"/>
        <v/>
      </c>
      <c r="Y1195" t="str">
        <f t="shared" si="75"/>
        <v/>
      </c>
    </row>
    <row r="1196" spans="1:25" x14ac:dyDescent="0.35">
      <c r="A1196">
        <v>12993</v>
      </c>
      <c r="B1196" t="s">
        <v>1237</v>
      </c>
      <c r="C1196">
        <v>2701</v>
      </c>
      <c r="D1196">
        <v>453</v>
      </c>
      <c r="E1196" t="str">
        <f>IFERROR(IF(OR(HLOOKUP($A1196,#REF!,3,FALSE)&gt;2,HLOOKUP(A1196,#REF!,3,FALSE)&lt;-2),"",#REF!),"")</f>
        <v/>
      </c>
      <c r="F1196" t="str">
        <f>IFERROR(IF(OR(HLOOKUP($A1196,#REF!,4,FALSE)&gt;2,HLOOKUP($A1196,#REF!,4,FALSE)&lt;-2),"",#REF!),"")</f>
        <v/>
      </c>
      <c r="G1196" t="str">
        <f>IFERROR(IF(OR(HLOOKUP($A1196,#REF!,5,FALSE)&gt;2,HLOOKUP($A1196,#REF!,5,FALSE)&lt;-2),"",#REF!),"")</f>
        <v/>
      </c>
      <c r="H1196" t="str">
        <f>IFERROR(IF(OR(HLOOKUP($A1196,#REF!,6,FALSE)&gt;2,HLOOKUP($A1196,#REF!,6,FALSE)&lt;-2),"",#REF!),"")</f>
        <v/>
      </c>
      <c r="I1196" t="str">
        <f>IFERROR(IF(OR(HLOOKUP($A1196,#REF!,7,FALSE)&gt;2,HLOOKUP($A1196,#REF!,7,FALSE)&lt;-2),"",#REF!),"")</f>
        <v/>
      </c>
      <c r="J1196" t="str">
        <f>IFERROR(IF(OR(HLOOKUP($A1196,#REF!,8,FALSE)&gt;2,HLOOKUP($A1196,#REF!,8,FALSE)&lt;-2),"",#REF!),"")</f>
        <v/>
      </c>
      <c r="K1196" t="str">
        <f>IFERROR(IF(OR(HLOOKUP($A1196,#REF!,9,FALSE)&gt;2,HLOOKUP($A1196,#REF!,9,FALSE)&lt;-2),"",#REF!),"")</f>
        <v/>
      </c>
      <c r="L1196" t="str">
        <f>IFERROR(IF(OR(HLOOKUP($A1196,#REF!,10,FALSE)&gt;2,HLOOKUP($A1196,#REF!,10,FALSE)&lt;-2),"",#REF!),"")</f>
        <v/>
      </c>
      <c r="M1196" t="str">
        <f>IFERROR(IF(OR(HLOOKUP($A1196,#REF!,11,FALSE)&gt;2,HLOOKUP($A1196,#REF!,11,FALSE)&lt;-2),"",#REF!),"")</f>
        <v/>
      </c>
      <c r="N1196" t="str">
        <f>IFERROR(IF(OR(HLOOKUP($A1196,#REF!,12,FALSE)&gt;2,HLOOKUP($A1196,#REF!,12,FALSE)&lt;-2),"",#REF!),"")</f>
        <v/>
      </c>
      <c r="O1196" t="str">
        <f>IFERROR(IF(OR(HLOOKUP($A1196,#REF!,13,FALSE)&gt;2,HLOOKUP($A1196,#REF!,13,FALSE)&lt;-2),"",#REF!),"")</f>
        <v/>
      </c>
      <c r="P1196" t="str">
        <f>IFERROR(IF(OR(HLOOKUP($A1196,#REF!,14,FALSE)&gt;2,HLOOKUP($A1196,#REF!,14,FALSE)&lt;-2),"",#REF!),"")</f>
        <v/>
      </c>
      <c r="Q1196" t="str">
        <f>IFERROR(IF(OR(HLOOKUP($A1196,#REF!,15,FALSE)&gt;2,HLOOKUP($A1196,#REF!,15,FALSE)&lt;-2),"",#REF!),"")</f>
        <v/>
      </c>
      <c r="R1196" t="str">
        <f>IFERROR(IF(OR(HLOOKUP($A1196,#REF!,16,FALSE)&gt;2,HLOOKUP($A1196,#REF!,16,FALSE)&lt;-2),"",#REF!),"")</f>
        <v/>
      </c>
      <c r="S1196" t="str">
        <f>IFERROR(IF(OR(HLOOKUP($A1196,#REF!,17,FALSE)&gt;2,HLOOKUP($A1196,#REF!,17,FALSE)&lt;-2),"",#REF!),"")</f>
        <v/>
      </c>
      <c r="T1196" t="str">
        <f>IFERROR(IF(OR(HLOOKUP($A1196,#REF!,18,FALSE)&gt;2,HLOOKUP($A1196,#REF!,18,FALSE)&lt;-2),"",#REF!),"")</f>
        <v/>
      </c>
      <c r="U1196" t="str">
        <f>IFERROR(IF(OR(HLOOKUP($A1196,#REF!,19,FALSE)&gt;2,HLOOKUP($A1196,#REF!,19,FALSE)&lt;-2),"",#REF!),"")</f>
        <v/>
      </c>
      <c r="V1196">
        <f t="shared" si="72"/>
        <v>1</v>
      </c>
      <c r="W1196" t="str">
        <f t="shared" si="73"/>
        <v/>
      </c>
      <c r="X1196" t="str">
        <f t="shared" si="74"/>
        <v/>
      </c>
      <c r="Y1196" t="str">
        <f t="shared" si="75"/>
        <v/>
      </c>
    </row>
    <row r="1197" spans="1:25" x14ac:dyDescent="0.35">
      <c r="A1197">
        <v>12994</v>
      </c>
      <c r="B1197" t="s">
        <v>1238</v>
      </c>
      <c r="C1197">
        <v>2702</v>
      </c>
      <c r="D1197">
        <v>453</v>
      </c>
      <c r="E1197" t="str">
        <f>IFERROR(IF(OR(HLOOKUP($A1197,#REF!,3,FALSE)&gt;2,HLOOKUP(A1197,#REF!,3,FALSE)&lt;-2),"",#REF!),"")</f>
        <v/>
      </c>
      <c r="F1197" t="str">
        <f>IFERROR(IF(OR(HLOOKUP($A1197,#REF!,4,FALSE)&gt;2,HLOOKUP($A1197,#REF!,4,FALSE)&lt;-2),"",#REF!),"")</f>
        <v/>
      </c>
      <c r="G1197" t="str">
        <f>IFERROR(IF(OR(HLOOKUP($A1197,#REF!,5,FALSE)&gt;2,HLOOKUP($A1197,#REF!,5,FALSE)&lt;-2),"",#REF!),"")</f>
        <v/>
      </c>
      <c r="H1197" t="str">
        <f>IFERROR(IF(OR(HLOOKUP($A1197,#REF!,6,FALSE)&gt;2,HLOOKUP($A1197,#REF!,6,FALSE)&lt;-2),"",#REF!),"")</f>
        <v/>
      </c>
      <c r="I1197" t="str">
        <f>IFERROR(IF(OR(HLOOKUP($A1197,#REF!,7,FALSE)&gt;2,HLOOKUP($A1197,#REF!,7,FALSE)&lt;-2),"",#REF!),"")</f>
        <v/>
      </c>
      <c r="J1197" t="str">
        <f>IFERROR(IF(OR(HLOOKUP($A1197,#REF!,8,FALSE)&gt;2,HLOOKUP($A1197,#REF!,8,FALSE)&lt;-2),"",#REF!),"")</f>
        <v/>
      </c>
      <c r="K1197" t="str">
        <f>IFERROR(IF(OR(HLOOKUP($A1197,#REF!,9,FALSE)&gt;2,HLOOKUP($A1197,#REF!,9,FALSE)&lt;-2),"",#REF!),"")</f>
        <v/>
      </c>
      <c r="L1197" t="str">
        <f>IFERROR(IF(OR(HLOOKUP($A1197,#REF!,10,FALSE)&gt;2,HLOOKUP($A1197,#REF!,10,FALSE)&lt;-2),"",#REF!),"")</f>
        <v/>
      </c>
      <c r="M1197" t="str">
        <f>IFERROR(IF(OR(HLOOKUP($A1197,#REF!,11,FALSE)&gt;2,HLOOKUP($A1197,#REF!,11,FALSE)&lt;-2),"",#REF!),"")</f>
        <v/>
      </c>
      <c r="N1197" t="str">
        <f>IFERROR(IF(OR(HLOOKUP($A1197,#REF!,12,FALSE)&gt;2,HLOOKUP($A1197,#REF!,12,FALSE)&lt;-2),"",#REF!),"")</f>
        <v/>
      </c>
      <c r="O1197" t="str">
        <f>IFERROR(IF(OR(HLOOKUP($A1197,#REF!,13,FALSE)&gt;2,HLOOKUP($A1197,#REF!,13,FALSE)&lt;-2),"",#REF!),"")</f>
        <v/>
      </c>
      <c r="P1197" t="str">
        <f>IFERROR(IF(OR(HLOOKUP($A1197,#REF!,14,FALSE)&gt;2,HLOOKUP($A1197,#REF!,14,FALSE)&lt;-2),"",#REF!),"")</f>
        <v/>
      </c>
      <c r="Q1197" t="str">
        <f>IFERROR(IF(OR(HLOOKUP($A1197,#REF!,15,FALSE)&gt;2,HLOOKUP($A1197,#REF!,15,FALSE)&lt;-2),"",#REF!),"")</f>
        <v/>
      </c>
      <c r="R1197" t="str">
        <f>IFERROR(IF(OR(HLOOKUP($A1197,#REF!,16,FALSE)&gt;2,HLOOKUP($A1197,#REF!,16,FALSE)&lt;-2),"",#REF!),"")</f>
        <v/>
      </c>
      <c r="S1197" t="str">
        <f>IFERROR(IF(OR(HLOOKUP($A1197,#REF!,17,FALSE)&gt;2,HLOOKUP($A1197,#REF!,17,FALSE)&lt;-2),"",#REF!),"")</f>
        <v/>
      </c>
      <c r="T1197" t="str">
        <f>IFERROR(IF(OR(HLOOKUP($A1197,#REF!,18,FALSE)&gt;2,HLOOKUP($A1197,#REF!,18,FALSE)&lt;-2),"",#REF!),"")</f>
        <v/>
      </c>
      <c r="U1197" t="str">
        <f>IFERROR(IF(OR(HLOOKUP($A1197,#REF!,19,FALSE)&gt;2,HLOOKUP($A1197,#REF!,19,FALSE)&lt;-2),"",#REF!),"")</f>
        <v/>
      </c>
      <c r="V1197">
        <f t="shared" si="72"/>
        <v>1</v>
      </c>
      <c r="W1197" t="str">
        <f t="shared" si="73"/>
        <v/>
      </c>
      <c r="X1197" t="str">
        <f t="shared" si="74"/>
        <v/>
      </c>
      <c r="Y1197" t="str">
        <f t="shared" si="75"/>
        <v/>
      </c>
    </row>
    <row r="1198" spans="1:25" x14ac:dyDescent="0.35">
      <c r="A1198">
        <v>12995</v>
      </c>
      <c r="B1198" t="s">
        <v>1239</v>
      </c>
      <c r="C1198">
        <v>2703</v>
      </c>
      <c r="D1198">
        <v>453</v>
      </c>
      <c r="E1198" t="str">
        <f>IFERROR(IF(OR(HLOOKUP($A1198,#REF!,3,FALSE)&gt;2,HLOOKUP(A1198,#REF!,3,FALSE)&lt;-2),"",#REF!),"")</f>
        <v/>
      </c>
      <c r="F1198" t="str">
        <f>IFERROR(IF(OR(HLOOKUP($A1198,#REF!,4,FALSE)&gt;2,HLOOKUP($A1198,#REF!,4,FALSE)&lt;-2),"",#REF!),"")</f>
        <v/>
      </c>
      <c r="G1198" t="str">
        <f>IFERROR(IF(OR(HLOOKUP($A1198,#REF!,5,FALSE)&gt;2,HLOOKUP($A1198,#REF!,5,FALSE)&lt;-2),"",#REF!),"")</f>
        <v/>
      </c>
      <c r="H1198" t="str">
        <f>IFERROR(IF(OR(HLOOKUP($A1198,#REF!,6,FALSE)&gt;2,HLOOKUP($A1198,#REF!,6,FALSE)&lt;-2),"",#REF!),"")</f>
        <v/>
      </c>
      <c r="I1198" t="str">
        <f>IFERROR(IF(OR(HLOOKUP($A1198,#REF!,7,FALSE)&gt;2,HLOOKUP($A1198,#REF!,7,FALSE)&lt;-2),"",#REF!),"")</f>
        <v/>
      </c>
      <c r="J1198" t="str">
        <f>IFERROR(IF(OR(HLOOKUP($A1198,#REF!,8,FALSE)&gt;2,HLOOKUP($A1198,#REF!,8,FALSE)&lt;-2),"",#REF!),"")</f>
        <v/>
      </c>
      <c r="K1198" t="str">
        <f>IFERROR(IF(OR(HLOOKUP($A1198,#REF!,9,FALSE)&gt;2,HLOOKUP($A1198,#REF!,9,FALSE)&lt;-2),"",#REF!),"")</f>
        <v/>
      </c>
      <c r="L1198" t="str">
        <f>IFERROR(IF(OR(HLOOKUP($A1198,#REF!,10,FALSE)&gt;2,HLOOKUP($A1198,#REF!,10,FALSE)&lt;-2),"",#REF!),"")</f>
        <v/>
      </c>
      <c r="M1198" t="str">
        <f>IFERROR(IF(OR(HLOOKUP($A1198,#REF!,11,FALSE)&gt;2,HLOOKUP($A1198,#REF!,11,FALSE)&lt;-2),"",#REF!),"")</f>
        <v/>
      </c>
      <c r="N1198" t="str">
        <f>IFERROR(IF(OR(HLOOKUP($A1198,#REF!,12,FALSE)&gt;2,HLOOKUP($A1198,#REF!,12,FALSE)&lt;-2),"",#REF!),"")</f>
        <v/>
      </c>
      <c r="O1198" t="str">
        <f>IFERROR(IF(OR(HLOOKUP($A1198,#REF!,13,FALSE)&gt;2,HLOOKUP($A1198,#REF!,13,FALSE)&lt;-2),"",#REF!),"")</f>
        <v/>
      </c>
      <c r="P1198" t="str">
        <f>IFERROR(IF(OR(HLOOKUP($A1198,#REF!,14,FALSE)&gt;2,HLOOKUP($A1198,#REF!,14,FALSE)&lt;-2),"",#REF!),"")</f>
        <v/>
      </c>
      <c r="Q1198" t="str">
        <f>IFERROR(IF(OR(HLOOKUP($A1198,#REF!,15,FALSE)&gt;2,HLOOKUP($A1198,#REF!,15,FALSE)&lt;-2),"",#REF!),"")</f>
        <v/>
      </c>
      <c r="R1198" t="str">
        <f>IFERROR(IF(OR(HLOOKUP($A1198,#REF!,16,FALSE)&gt;2,HLOOKUP($A1198,#REF!,16,FALSE)&lt;-2),"",#REF!),"")</f>
        <v/>
      </c>
      <c r="S1198" t="str">
        <f>IFERROR(IF(OR(HLOOKUP($A1198,#REF!,17,FALSE)&gt;2,HLOOKUP($A1198,#REF!,17,FALSE)&lt;-2),"",#REF!),"")</f>
        <v/>
      </c>
      <c r="T1198" t="str">
        <f>IFERROR(IF(OR(HLOOKUP($A1198,#REF!,18,FALSE)&gt;2,HLOOKUP($A1198,#REF!,18,FALSE)&lt;-2),"",#REF!),"")</f>
        <v/>
      </c>
      <c r="U1198" t="str">
        <f>IFERROR(IF(OR(HLOOKUP($A1198,#REF!,19,FALSE)&gt;2,HLOOKUP($A1198,#REF!,19,FALSE)&lt;-2),"",#REF!),"")</f>
        <v/>
      </c>
      <c r="V1198">
        <f t="shared" si="72"/>
        <v>1</v>
      </c>
      <c r="W1198" t="str">
        <f t="shared" si="73"/>
        <v/>
      </c>
      <c r="X1198" t="str">
        <f t="shared" si="74"/>
        <v/>
      </c>
      <c r="Y1198" t="str">
        <f t="shared" si="75"/>
        <v/>
      </c>
    </row>
    <row r="1199" spans="1:25" x14ac:dyDescent="0.35">
      <c r="A1199">
        <v>12996</v>
      </c>
      <c r="B1199" t="s">
        <v>1240</v>
      </c>
      <c r="C1199">
        <v>2704</v>
      </c>
      <c r="D1199">
        <v>453</v>
      </c>
      <c r="E1199" t="str">
        <f>IFERROR(IF(OR(HLOOKUP($A1199,#REF!,3,FALSE)&gt;2,HLOOKUP(A1199,#REF!,3,FALSE)&lt;-2),"",#REF!),"")</f>
        <v/>
      </c>
      <c r="F1199" t="str">
        <f>IFERROR(IF(OR(HLOOKUP($A1199,#REF!,4,FALSE)&gt;2,HLOOKUP($A1199,#REF!,4,FALSE)&lt;-2),"",#REF!),"")</f>
        <v/>
      </c>
      <c r="G1199" t="str">
        <f>IFERROR(IF(OR(HLOOKUP($A1199,#REF!,5,FALSE)&gt;2,HLOOKUP($A1199,#REF!,5,FALSE)&lt;-2),"",#REF!),"")</f>
        <v/>
      </c>
      <c r="H1199" t="str">
        <f>IFERROR(IF(OR(HLOOKUP($A1199,#REF!,6,FALSE)&gt;2,HLOOKUP($A1199,#REF!,6,FALSE)&lt;-2),"",#REF!),"")</f>
        <v/>
      </c>
      <c r="I1199" t="str">
        <f>IFERROR(IF(OR(HLOOKUP($A1199,#REF!,7,FALSE)&gt;2,HLOOKUP($A1199,#REF!,7,FALSE)&lt;-2),"",#REF!),"")</f>
        <v/>
      </c>
      <c r="J1199" t="str">
        <f>IFERROR(IF(OR(HLOOKUP($A1199,#REF!,8,FALSE)&gt;2,HLOOKUP($A1199,#REF!,8,FALSE)&lt;-2),"",#REF!),"")</f>
        <v/>
      </c>
      <c r="K1199" t="str">
        <f>IFERROR(IF(OR(HLOOKUP($A1199,#REF!,9,FALSE)&gt;2,HLOOKUP($A1199,#REF!,9,FALSE)&lt;-2),"",#REF!),"")</f>
        <v/>
      </c>
      <c r="L1199" t="str">
        <f>IFERROR(IF(OR(HLOOKUP($A1199,#REF!,10,FALSE)&gt;2,HLOOKUP($A1199,#REF!,10,FALSE)&lt;-2),"",#REF!),"")</f>
        <v/>
      </c>
      <c r="M1199" t="str">
        <f>IFERROR(IF(OR(HLOOKUP($A1199,#REF!,11,FALSE)&gt;2,HLOOKUP($A1199,#REF!,11,FALSE)&lt;-2),"",#REF!),"")</f>
        <v/>
      </c>
      <c r="N1199" t="str">
        <f>IFERROR(IF(OR(HLOOKUP($A1199,#REF!,12,FALSE)&gt;2,HLOOKUP($A1199,#REF!,12,FALSE)&lt;-2),"",#REF!),"")</f>
        <v/>
      </c>
      <c r="O1199" t="str">
        <f>IFERROR(IF(OR(HLOOKUP($A1199,#REF!,13,FALSE)&gt;2,HLOOKUP($A1199,#REF!,13,FALSE)&lt;-2),"",#REF!),"")</f>
        <v/>
      </c>
      <c r="P1199" t="str">
        <f>IFERROR(IF(OR(HLOOKUP($A1199,#REF!,14,FALSE)&gt;2,HLOOKUP($A1199,#REF!,14,FALSE)&lt;-2),"",#REF!),"")</f>
        <v/>
      </c>
      <c r="Q1199" t="str">
        <f>IFERROR(IF(OR(HLOOKUP($A1199,#REF!,15,FALSE)&gt;2,HLOOKUP($A1199,#REF!,15,FALSE)&lt;-2),"",#REF!),"")</f>
        <v/>
      </c>
      <c r="R1199" t="str">
        <f>IFERROR(IF(OR(HLOOKUP($A1199,#REF!,16,FALSE)&gt;2,HLOOKUP($A1199,#REF!,16,FALSE)&lt;-2),"",#REF!),"")</f>
        <v/>
      </c>
      <c r="S1199" t="str">
        <f>IFERROR(IF(OR(HLOOKUP($A1199,#REF!,17,FALSE)&gt;2,HLOOKUP($A1199,#REF!,17,FALSE)&lt;-2),"",#REF!),"")</f>
        <v/>
      </c>
      <c r="T1199" t="str">
        <f>IFERROR(IF(OR(HLOOKUP($A1199,#REF!,18,FALSE)&gt;2,HLOOKUP($A1199,#REF!,18,FALSE)&lt;-2),"",#REF!),"")</f>
        <v/>
      </c>
      <c r="U1199" t="str">
        <f>IFERROR(IF(OR(HLOOKUP($A1199,#REF!,19,FALSE)&gt;2,HLOOKUP($A1199,#REF!,19,FALSE)&lt;-2),"",#REF!),"")</f>
        <v/>
      </c>
      <c r="V1199">
        <f t="shared" si="72"/>
        <v>1</v>
      </c>
      <c r="W1199" t="str">
        <f t="shared" si="73"/>
        <v/>
      </c>
      <c r="X1199" t="str">
        <f t="shared" si="74"/>
        <v/>
      </c>
      <c r="Y1199" t="str">
        <f t="shared" si="75"/>
        <v/>
      </c>
    </row>
    <row r="1200" spans="1:25" x14ac:dyDescent="0.35">
      <c r="A1200">
        <v>12997</v>
      </c>
      <c r="B1200" t="s">
        <v>1241</v>
      </c>
      <c r="C1200">
        <v>2705</v>
      </c>
      <c r="D1200">
        <v>453</v>
      </c>
      <c r="E1200" t="str">
        <f>IFERROR(IF(OR(HLOOKUP($A1200,#REF!,3,FALSE)&gt;2,HLOOKUP(A1200,#REF!,3,FALSE)&lt;-2),"",#REF!),"")</f>
        <v/>
      </c>
      <c r="F1200" t="str">
        <f>IFERROR(IF(OR(HLOOKUP($A1200,#REF!,4,FALSE)&gt;2,HLOOKUP($A1200,#REF!,4,FALSE)&lt;-2),"",#REF!),"")</f>
        <v/>
      </c>
      <c r="G1200" t="str">
        <f>IFERROR(IF(OR(HLOOKUP($A1200,#REF!,5,FALSE)&gt;2,HLOOKUP($A1200,#REF!,5,FALSE)&lt;-2),"",#REF!),"")</f>
        <v/>
      </c>
      <c r="H1200" t="str">
        <f>IFERROR(IF(OR(HLOOKUP($A1200,#REF!,6,FALSE)&gt;2,HLOOKUP($A1200,#REF!,6,FALSE)&lt;-2),"",#REF!),"")</f>
        <v/>
      </c>
      <c r="I1200" t="str">
        <f>IFERROR(IF(OR(HLOOKUP($A1200,#REF!,7,FALSE)&gt;2,HLOOKUP($A1200,#REF!,7,FALSE)&lt;-2),"",#REF!),"")</f>
        <v/>
      </c>
      <c r="J1200" t="str">
        <f>IFERROR(IF(OR(HLOOKUP($A1200,#REF!,8,FALSE)&gt;2,HLOOKUP($A1200,#REF!,8,FALSE)&lt;-2),"",#REF!),"")</f>
        <v/>
      </c>
      <c r="K1200" t="str">
        <f>IFERROR(IF(OR(HLOOKUP($A1200,#REF!,9,FALSE)&gt;2,HLOOKUP($A1200,#REF!,9,FALSE)&lt;-2),"",#REF!),"")</f>
        <v/>
      </c>
      <c r="L1200" t="str">
        <f>IFERROR(IF(OR(HLOOKUP($A1200,#REF!,10,FALSE)&gt;2,HLOOKUP($A1200,#REF!,10,FALSE)&lt;-2),"",#REF!),"")</f>
        <v/>
      </c>
      <c r="M1200" t="str">
        <f>IFERROR(IF(OR(HLOOKUP($A1200,#REF!,11,FALSE)&gt;2,HLOOKUP($A1200,#REF!,11,FALSE)&lt;-2),"",#REF!),"")</f>
        <v/>
      </c>
      <c r="N1200" t="str">
        <f>IFERROR(IF(OR(HLOOKUP($A1200,#REF!,12,FALSE)&gt;2,HLOOKUP($A1200,#REF!,12,FALSE)&lt;-2),"",#REF!),"")</f>
        <v/>
      </c>
      <c r="O1200" t="str">
        <f>IFERROR(IF(OR(HLOOKUP($A1200,#REF!,13,FALSE)&gt;2,HLOOKUP($A1200,#REF!,13,FALSE)&lt;-2),"",#REF!),"")</f>
        <v/>
      </c>
      <c r="P1200" t="str">
        <f>IFERROR(IF(OR(HLOOKUP($A1200,#REF!,14,FALSE)&gt;2,HLOOKUP($A1200,#REF!,14,FALSE)&lt;-2),"",#REF!),"")</f>
        <v/>
      </c>
      <c r="Q1200" t="str">
        <f>IFERROR(IF(OR(HLOOKUP($A1200,#REF!,15,FALSE)&gt;2,HLOOKUP($A1200,#REF!,15,FALSE)&lt;-2),"",#REF!),"")</f>
        <v/>
      </c>
      <c r="R1200" t="str">
        <f>IFERROR(IF(OR(HLOOKUP($A1200,#REF!,16,FALSE)&gt;2,HLOOKUP($A1200,#REF!,16,FALSE)&lt;-2),"",#REF!),"")</f>
        <v/>
      </c>
      <c r="S1200" t="str">
        <f>IFERROR(IF(OR(HLOOKUP($A1200,#REF!,17,FALSE)&gt;2,HLOOKUP($A1200,#REF!,17,FALSE)&lt;-2),"",#REF!),"")</f>
        <v/>
      </c>
      <c r="T1200" t="str">
        <f>IFERROR(IF(OR(HLOOKUP($A1200,#REF!,18,FALSE)&gt;2,HLOOKUP($A1200,#REF!,18,FALSE)&lt;-2),"",#REF!),"")</f>
        <v/>
      </c>
      <c r="U1200" t="str">
        <f>IFERROR(IF(OR(HLOOKUP($A1200,#REF!,19,FALSE)&gt;2,HLOOKUP($A1200,#REF!,19,FALSE)&lt;-2),"",#REF!),"")</f>
        <v/>
      </c>
      <c r="V1200">
        <f t="shared" si="72"/>
        <v>1</v>
      </c>
      <c r="W1200" t="str">
        <f t="shared" si="73"/>
        <v/>
      </c>
      <c r="X1200" t="str">
        <f t="shared" si="74"/>
        <v/>
      </c>
      <c r="Y1200" t="str">
        <f t="shared" si="75"/>
        <v/>
      </c>
    </row>
    <row r="1201" spans="1:25" x14ac:dyDescent="0.35">
      <c r="A1201">
        <v>12998</v>
      </c>
      <c r="B1201" t="s">
        <v>1242</v>
      </c>
      <c r="C1201">
        <v>2706</v>
      </c>
      <c r="D1201">
        <v>453</v>
      </c>
      <c r="E1201" t="str">
        <f>IFERROR(IF(OR(HLOOKUP($A1201,#REF!,3,FALSE)&gt;2,HLOOKUP(A1201,#REF!,3,FALSE)&lt;-2),"",#REF!),"")</f>
        <v/>
      </c>
      <c r="F1201" t="str">
        <f>IFERROR(IF(OR(HLOOKUP($A1201,#REF!,4,FALSE)&gt;2,HLOOKUP($A1201,#REF!,4,FALSE)&lt;-2),"",#REF!),"")</f>
        <v/>
      </c>
      <c r="G1201" t="str">
        <f>IFERROR(IF(OR(HLOOKUP($A1201,#REF!,5,FALSE)&gt;2,HLOOKUP($A1201,#REF!,5,FALSE)&lt;-2),"",#REF!),"")</f>
        <v/>
      </c>
      <c r="H1201" t="str">
        <f>IFERROR(IF(OR(HLOOKUP($A1201,#REF!,6,FALSE)&gt;2,HLOOKUP($A1201,#REF!,6,FALSE)&lt;-2),"",#REF!),"")</f>
        <v/>
      </c>
      <c r="I1201" t="str">
        <f>IFERROR(IF(OR(HLOOKUP($A1201,#REF!,7,FALSE)&gt;2,HLOOKUP($A1201,#REF!,7,FALSE)&lt;-2),"",#REF!),"")</f>
        <v/>
      </c>
      <c r="J1201" t="str">
        <f>IFERROR(IF(OR(HLOOKUP($A1201,#REF!,8,FALSE)&gt;2,HLOOKUP($A1201,#REF!,8,FALSE)&lt;-2),"",#REF!),"")</f>
        <v/>
      </c>
      <c r="K1201" t="str">
        <f>IFERROR(IF(OR(HLOOKUP($A1201,#REF!,9,FALSE)&gt;2,HLOOKUP($A1201,#REF!,9,FALSE)&lt;-2),"",#REF!),"")</f>
        <v/>
      </c>
      <c r="L1201" t="str">
        <f>IFERROR(IF(OR(HLOOKUP($A1201,#REF!,10,FALSE)&gt;2,HLOOKUP($A1201,#REF!,10,FALSE)&lt;-2),"",#REF!),"")</f>
        <v/>
      </c>
      <c r="M1201" t="str">
        <f>IFERROR(IF(OR(HLOOKUP($A1201,#REF!,11,FALSE)&gt;2,HLOOKUP($A1201,#REF!,11,FALSE)&lt;-2),"",#REF!),"")</f>
        <v/>
      </c>
      <c r="N1201" t="str">
        <f>IFERROR(IF(OR(HLOOKUP($A1201,#REF!,12,FALSE)&gt;2,HLOOKUP($A1201,#REF!,12,FALSE)&lt;-2),"",#REF!),"")</f>
        <v/>
      </c>
      <c r="O1201" t="str">
        <f>IFERROR(IF(OR(HLOOKUP($A1201,#REF!,13,FALSE)&gt;2,HLOOKUP($A1201,#REF!,13,FALSE)&lt;-2),"",#REF!),"")</f>
        <v/>
      </c>
      <c r="P1201" t="str">
        <f>IFERROR(IF(OR(HLOOKUP($A1201,#REF!,14,FALSE)&gt;2,HLOOKUP($A1201,#REF!,14,FALSE)&lt;-2),"",#REF!),"")</f>
        <v/>
      </c>
      <c r="Q1201" t="str">
        <f>IFERROR(IF(OR(HLOOKUP($A1201,#REF!,15,FALSE)&gt;2,HLOOKUP($A1201,#REF!,15,FALSE)&lt;-2),"",#REF!),"")</f>
        <v/>
      </c>
      <c r="R1201" t="str">
        <f>IFERROR(IF(OR(HLOOKUP($A1201,#REF!,16,FALSE)&gt;2,HLOOKUP($A1201,#REF!,16,FALSE)&lt;-2),"",#REF!),"")</f>
        <v/>
      </c>
      <c r="S1201" t="str">
        <f>IFERROR(IF(OR(HLOOKUP($A1201,#REF!,17,FALSE)&gt;2,HLOOKUP($A1201,#REF!,17,FALSE)&lt;-2),"",#REF!),"")</f>
        <v/>
      </c>
      <c r="T1201" t="str">
        <f>IFERROR(IF(OR(HLOOKUP($A1201,#REF!,18,FALSE)&gt;2,HLOOKUP($A1201,#REF!,18,FALSE)&lt;-2),"",#REF!),"")</f>
        <v/>
      </c>
      <c r="U1201" t="str">
        <f>IFERROR(IF(OR(HLOOKUP($A1201,#REF!,19,FALSE)&gt;2,HLOOKUP($A1201,#REF!,19,FALSE)&lt;-2),"",#REF!),"")</f>
        <v/>
      </c>
      <c r="V1201">
        <f t="shared" si="72"/>
        <v>1</v>
      </c>
      <c r="W1201" t="str">
        <f t="shared" si="73"/>
        <v/>
      </c>
      <c r="X1201" t="str">
        <f t="shared" si="74"/>
        <v/>
      </c>
      <c r="Y1201" t="str">
        <f t="shared" si="75"/>
        <v/>
      </c>
    </row>
    <row r="1202" spans="1:25" x14ac:dyDescent="0.35">
      <c r="A1202">
        <v>2375</v>
      </c>
      <c r="B1202" t="s">
        <v>1244</v>
      </c>
      <c r="C1202">
        <v>37600</v>
      </c>
      <c r="D1202">
        <v>1080</v>
      </c>
      <c r="E1202" t="str">
        <f>IFERROR(IF(OR(HLOOKUP($A1202,#REF!,3,FALSE)&gt;2,HLOOKUP(A1202,#REF!,3,FALSE)&lt;-2),"",#REF!),"")</f>
        <v/>
      </c>
      <c r="F1202" t="str">
        <f>IFERROR(IF(OR(HLOOKUP($A1202,#REF!,4,FALSE)&gt;2,HLOOKUP($A1202,#REF!,4,FALSE)&lt;-2),"",#REF!),"")</f>
        <v/>
      </c>
      <c r="G1202" t="str">
        <f>IFERROR(IF(OR(HLOOKUP($A1202,#REF!,5,FALSE)&gt;2,HLOOKUP($A1202,#REF!,5,FALSE)&lt;-2),"",#REF!),"")</f>
        <v/>
      </c>
      <c r="H1202" t="str">
        <f>IFERROR(IF(OR(HLOOKUP($A1202,#REF!,6,FALSE)&gt;2,HLOOKUP($A1202,#REF!,6,FALSE)&lt;-2),"",#REF!),"")</f>
        <v/>
      </c>
      <c r="I1202" t="str">
        <f>IFERROR(IF(OR(HLOOKUP($A1202,#REF!,7,FALSE)&gt;2,HLOOKUP($A1202,#REF!,7,FALSE)&lt;-2),"",#REF!),"")</f>
        <v/>
      </c>
      <c r="J1202" t="str">
        <f>IFERROR(IF(OR(HLOOKUP($A1202,#REF!,8,FALSE)&gt;2,HLOOKUP($A1202,#REF!,8,FALSE)&lt;-2),"",#REF!),"")</f>
        <v/>
      </c>
      <c r="K1202" t="str">
        <f>IFERROR(IF(OR(HLOOKUP($A1202,#REF!,9,FALSE)&gt;2,HLOOKUP($A1202,#REF!,9,FALSE)&lt;-2),"",#REF!),"")</f>
        <v/>
      </c>
      <c r="L1202" t="str">
        <f>IFERROR(IF(OR(HLOOKUP($A1202,#REF!,10,FALSE)&gt;2,HLOOKUP($A1202,#REF!,10,FALSE)&lt;-2),"",#REF!),"")</f>
        <v/>
      </c>
      <c r="M1202" t="str">
        <f>IFERROR(IF(OR(HLOOKUP($A1202,#REF!,11,FALSE)&gt;2,HLOOKUP($A1202,#REF!,11,FALSE)&lt;-2),"",#REF!),"")</f>
        <v/>
      </c>
      <c r="N1202" t="str">
        <f>IFERROR(IF(OR(HLOOKUP($A1202,#REF!,12,FALSE)&gt;2,HLOOKUP($A1202,#REF!,12,FALSE)&lt;-2),"",#REF!),"")</f>
        <v/>
      </c>
      <c r="O1202" t="str">
        <f>IFERROR(IF(OR(HLOOKUP($A1202,#REF!,13,FALSE)&gt;2,HLOOKUP($A1202,#REF!,13,FALSE)&lt;-2),"",#REF!),"")</f>
        <v/>
      </c>
      <c r="P1202" t="str">
        <f>IFERROR(IF(OR(HLOOKUP($A1202,#REF!,14,FALSE)&gt;2,HLOOKUP($A1202,#REF!,14,FALSE)&lt;-2),"",#REF!),"")</f>
        <v/>
      </c>
      <c r="Q1202" t="str">
        <f>IFERROR(IF(OR(HLOOKUP($A1202,#REF!,15,FALSE)&gt;2,HLOOKUP($A1202,#REF!,15,FALSE)&lt;-2),"",#REF!),"")</f>
        <v/>
      </c>
      <c r="R1202" t="str">
        <f>IFERROR(IF(OR(HLOOKUP($A1202,#REF!,16,FALSE)&gt;2,HLOOKUP($A1202,#REF!,16,FALSE)&lt;-2),"",#REF!),"")</f>
        <v/>
      </c>
      <c r="S1202" t="str">
        <f>IFERROR(IF(OR(HLOOKUP($A1202,#REF!,17,FALSE)&gt;2,HLOOKUP($A1202,#REF!,17,FALSE)&lt;-2),"",#REF!),"")</f>
        <v/>
      </c>
      <c r="T1202" t="str">
        <f>IFERROR(IF(OR(HLOOKUP($A1202,#REF!,18,FALSE)&gt;2,HLOOKUP($A1202,#REF!,18,FALSE)&lt;-2),"",#REF!),"")</f>
        <v/>
      </c>
      <c r="U1202" t="str">
        <f>IFERROR(IF(OR(HLOOKUP($A1202,#REF!,19,FALSE)&gt;2,HLOOKUP($A1202,#REF!,19,FALSE)&lt;-2),"",#REF!),"")</f>
        <v/>
      </c>
      <c r="V1202">
        <f t="shared" si="72"/>
        <v>1</v>
      </c>
      <c r="W1202" t="str">
        <f t="shared" si="73"/>
        <v/>
      </c>
      <c r="X1202" t="str">
        <f t="shared" si="74"/>
        <v/>
      </c>
      <c r="Y1202" t="str">
        <f t="shared" si="75"/>
        <v/>
      </c>
    </row>
    <row r="1203" spans="1:25" x14ac:dyDescent="0.35">
      <c r="A1203">
        <v>2382</v>
      </c>
      <c r="B1203" t="s">
        <v>563</v>
      </c>
      <c r="C1203">
        <v>37700</v>
      </c>
      <c r="D1203">
        <v>2375</v>
      </c>
      <c r="E1203" t="str">
        <f>IFERROR(IF(OR(HLOOKUP($A1203,#REF!,3,FALSE)&gt;2,HLOOKUP(A1203,#REF!,3,FALSE)&lt;-2),"",#REF!),"")</f>
        <v/>
      </c>
      <c r="F1203" t="str">
        <f>IFERROR(IF(OR(HLOOKUP($A1203,#REF!,4,FALSE)&gt;2,HLOOKUP($A1203,#REF!,4,FALSE)&lt;-2),"",#REF!),"")</f>
        <v/>
      </c>
      <c r="G1203" t="str">
        <f>IFERROR(IF(OR(HLOOKUP($A1203,#REF!,5,FALSE)&gt;2,HLOOKUP($A1203,#REF!,5,FALSE)&lt;-2),"",#REF!),"")</f>
        <v/>
      </c>
      <c r="H1203" t="str">
        <f>IFERROR(IF(OR(HLOOKUP($A1203,#REF!,6,FALSE)&gt;2,HLOOKUP($A1203,#REF!,6,FALSE)&lt;-2),"",#REF!),"")</f>
        <v/>
      </c>
      <c r="I1203" t="str">
        <f>IFERROR(IF(OR(HLOOKUP($A1203,#REF!,7,FALSE)&gt;2,HLOOKUP($A1203,#REF!,7,FALSE)&lt;-2),"",#REF!),"")</f>
        <v/>
      </c>
      <c r="J1203" t="str">
        <f>IFERROR(IF(OR(HLOOKUP($A1203,#REF!,8,FALSE)&gt;2,HLOOKUP($A1203,#REF!,8,FALSE)&lt;-2),"",#REF!),"")</f>
        <v/>
      </c>
      <c r="K1203" t="str">
        <f>IFERROR(IF(OR(HLOOKUP($A1203,#REF!,9,FALSE)&gt;2,HLOOKUP($A1203,#REF!,9,FALSE)&lt;-2),"",#REF!),"")</f>
        <v/>
      </c>
      <c r="L1203" t="str">
        <f>IFERROR(IF(OR(HLOOKUP($A1203,#REF!,10,FALSE)&gt;2,HLOOKUP($A1203,#REF!,10,FALSE)&lt;-2),"",#REF!),"")</f>
        <v/>
      </c>
      <c r="M1203" t="str">
        <f>IFERROR(IF(OR(HLOOKUP($A1203,#REF!,11,FALSE)&gt;2,HLOOKUP($A1203,#REF!,11,FALSE)&lt;-2),"",#REF!),"")</f>
        <v/>
      </c>
      <c r="N1203" t="str">
        <f>IFERROR(IF(OR(HLOOKUP($A1203,#REF!,12,FALSE)&gt;2,HLOOKUP($A1203,#REF!,12,FALSE)&lt;-2),"",#REF!),"")</f>
        <v/>
      </c>
      <c r="O1203" t="str">
        <f>IFERROR(IF(OR(HLOOKUP($A1203,#REF!,13,FALSE)&gt;2,HLOOKUP($A1203,#REF!,13,FALSE)&lt;-2),"",#REF!),"")</f>
        <v/>
      </c>
      <c r="P1203" t="str">
        <f>IFERROR(IF(OR(HLOOKUP($A1203,#REF!,14,FALSE)&gt;2,HLOOKUP($A1203,#REF!,14,FALSE)&lt;-2),"",#REF!),"")</f>
        <v/>
      </c>
      <c r="Q1203" t="str">
        <f>IFERROR(IF(OR(HLOOKUP($A1203,#REF!,15,FALSE)&gt;2,HLOOKUP($A1203,#REF!,15,FALSE)&lt;-2),"",#REF!),"")</f>
        <v/>
      </c>
      <c r="R1203" t="str">
        <f>IFERROR(IF(OR(HLOOKUP($A1203,#REF!,16,FALSE)&gt;2,HLOOKUP($A1203,#REF!,16,FALSE)&lt;-2),"",#REF!),"")</f>
        <v/>
      </c>
      <c r="S1203" t="str">
        <f>IFERROR(IF(OR(HLOOKUP($A1203,#REF!,17,FALSE)&gt;2,HLOOKUP($A1203,#REF!,17,FALSE)&lt;-2),"",#REF!),"")</f>
        <v/>
      </c>
      <c r="T1203" t="str">
        <f>IFERROR(IF(OR(HLOOKUP($A1203,#REF!,18,FALSE)&gt;2,HLOOKUP($A1203,#REF!,18,FALSE)&lt;-2),"",#REF!),"")</f>
        <v/>
      </c>
      <c r="U1203" t="str">
        <f>IFERROR(IF(OR(HLOOKUP($A1203,#REF!,19,FALSE)&gt;2,HLOOKUP($A1203,#REF!,19,FALSE)&lt;-2),"",#REF!),"")</f>
        <v/>
      </c>
      <c r="V1203">
        <f t="shared" si="72"/>
        <v>1</v>
      </c>
      <c r="W1203" t="str">
        <f t="shared" si="73"/>
        <v/>
      </c>
      <c r="X1203" t="str">
        <f t="shared" si="74"/>
        <v/>
      </c>
      <c r="Y1203" t="str">
        <f t="shared" si="75"/>
        <v/>
      </c>
    </row>
    <row r="1204" spans="1:25" x14ac:dyDescent="0.35">
      <c r="A1204">
        <v>2391</v>
      </c>
      <c r="B1204" t="s">
        <v>1245</v>
      </c>
      <c r="C1204">
        <v>37800</v>
      </c>
      <c r="D1204">
        <v>2382</v>
      </c>
      <c r="E1204" t="str">
        <f>IFERROR(IF(OR(HLOOKUP($A1204,#REF!,3,FALSE)&gt;2,HLOOKUP(A1204,#REF!,3,FALSE)&lt;-2),"",#REF!),"")</f>
        <v/>
      </c>
      <c r="F1204" t="str">
        <f>IFERROR(IF(OR(HLOOKUP($A1204,#REF!,4,FALSE)&gt;2,HLOOKUP($A1204,#REF!,4,FALSE)&lt;-2),"",#REF!),"")</f>
        <v/>
      </c>
      <c r="G1204" t="str">
        <f>IFERROR(IF(OR(HLOOKUP($A1204,#REF!,5,FALSE)&gt;2,HLOOKUP($A1204,#REF!,5,FALSE)&lt;-2),"",#REF!),"")</f>
        <v/>
      </c>
      <c r="H1204" t="str">
        <f>IFERROR(IF(OR(HLOOKUP($A1204,#REF!,6,FALSE)&gt;2,HLOOKUP($A1204,#REF!,6,FALSE)&lt;-2),"",#REF!),"")</f>
        <v/>
      </c>
      <c r="I1204" t="str">
        <f>IFERROR(IF(OR(HLOOKUP($A1204,#REF!,7,FALSE)&gt;2,HLOOKUP($A1204,#REF!,7,FALSE)&lt;-2),"",#REF!),"")</f>
        <v/>
      </c>
      <c r="J1204" t="str">
        <f>IFERROR(IF(OR(HLOOKUP($A1204,#REF!,8,FALSE)&gt;2,HLOOKUP($A1204,#REF!,8,FALSE)&lt;-2),"",#REF!),"")</f>
        <v/>
      </c>
      <c r="K1204" t="str">
        <f>IFERROR(IF(OR(HLOOKUP($A1204,#REF!,9,FALSE)&gt;2,HLOOKUP($A1204,#REF!,9,FALSE)&lt;-2),"",#REF!),"")</f>
        <v/>
      </c>
      <c r="L1204" t="str">
        <f>IFERROR(IF(OR(HLOOKUP($A1204,#REF!,10,FALSE)&gt;2,HLOOKUP($A1204,#REF!,10,FALSE)&lt;-2),"",#REF!),"")</f>
        <v/>
      </c>
      <c r="M1204" t="str">
        <f>IFERROR(IF(OR(HLOOKUP($A1204,#REF!,11,FALSE)&gt;2,HLOOKUP($A1204,#REF!,11,FALSE)&lt;-2),"",#REF!),"")</f>
        <v/>
      </c>
      <c r="N1204" t="str">
        <f>IFERROR(IF(OR(HLOOKUP($A1204,#REF!,12,FALSE)&gt;2,HLOOKUP($A1204,#REF!,12,FALSE)&lt;-2),"",#REF!),"")</f>
        <v/>
      </c>
      <c r="O1204" t="str">
        <f>IFERROR(IF(OR(HLOOKUP($A1204,#REF!,13,FALSE)&gt;2,HLOOKUP($A1204,#REF!,13,FALSE)&lt;-2),"",#REF!),"")</f>
        <v/>
      </c>
      <c r="P1204" t="str">
        <f>IFERROR(IF(OR(HLOOKUP($A1204,#REF!,14,FALSE)&gt;2,HLOOKUP($A1204,#REF!,14,FALSE)&lt;-2),"",#REF!),"")</f>
        <v/>
      </c>
      <c r="Q1204" t="str">
        <f>IFERROR(IF(OR(HLOOKUP($A1204,#REF!,15,FALSE)&gt;2,HLOOKUP($A1204,#REF!,15,FALSE)&lt;-2),"",#REF!),"")</f>
        <v/>
      </c>
      <c r="R1204" t="str">
        <f>IFERROR(IF(OR(HLOOKUP($A1204,#REF!,16,FALSE)&gt;2,HLOOKUP($A1204,#REF!,16,FALSE)&lt;-2),"",#REF!),"")</f>
        <v/>
      </c>
      <c r="S1204" t="str">
        <f>IFERROR(IF(OR(HLOOKUP($A1204,#REF!,17,FALSE)&gt;2,HLOOKUP($A1204,#REF!,17,FALSE)&lt;-2),"",#REF!),"")</f>
        <v/>
      </c>
      <c r="T1204" t="str">
        <f>IFERROR(IF(OR(HLOOKUP($A1204,#REF!,18,FALSE)&gt;2,HLOOKUP($A1204,#REF!,18,FALSE)&lt;-2),"",#REF!),"")</f>
        <v/>
      </c>
      <c r="U1204" t="str">
        <f>IFERROR(IF(OR(HLOOKUP($A1204,#REF!,19,FALSE)&gt;2,HLOOKUP($A1204,#REF!,19,FALSE)&lt;-2),"",#REF!),"")</f>
        <v/>
      </c>
      <c r="V1204">
        <f t="shared" si="72"/>
        <v>1</v>
      </c>
      <c r="W1204" t="str">
        <f t="shared" si="73"/>
        <v/>
      </c>
      <c r="X1204" t="str">
        <f t="shared" si="74"/>
        <v/>
      </c>
      <c r="Y1204" t="str">
        <f t="shared" si="75"/>
        <v/>
      </c>
    </row>
    <row r="1205" spans="1:25" x14ac:dyDescent="0.35">
      <c r="A1205">
        <v>2399</v>
      </c>
      <c r="B1205" t="s">
        <v>1246</v>
      </c>
      <c r="C1205">
        <v>37900</v>
      </c>
      <c r="D1205">
        <v>2382</v>
      </c>
      <c r="E1205" t="str">
        <f>IFERROR(IF(OR(HLOOKUP($A1205,#REF!,3,FALSE)&gt;2,HLOOKUP(A1205,#REF!,3,FALSE)&lt;-2),"",#REF!),"")</f>
        <v/>
      </c>
      <c r="F1205" t="str">
        <f>IFERROR(IF(OR(HLOOKUP($A1205,#REF!,4,FALSE)&gt;2,HLOOKUP($A1205,#REF!,4,FALSE)&lt;-2),"",#REF!),"")</f>
        <v/>
      </c>
      <c r="G1205" t="str">
        <f>IFERROR(IF(OR(HLOOKUP($A1205,#REF!,5,FALSE)&gt;2,HLOOKUP($A1205,#REF!,5,FALSE)&lt;-2),"",#REF!),"")</f>
        <v/>
      </c>
      <c r="H1205" t="str">
        <f>IFERROR(IF(OR(HLOOKUP($A1205,#REF!,6,FALSE)&gt;2,HLOOKUP($A1205,#REF!,6,FALSE)&lt;-2),"",#REF!),"")</f>
        <v/>
      </c>
      <c r="I1205" t="str">
        <f>IFERROR(IF(OR(HLOOKUP($A1205,#REF!,7,FALSE)&gt;2,HLOOKUP($A1205,#REF!,7,FALSE)&lt;-2),"",#REF!),"")</f>
        <v/>
      </c>
      <c r="J1205" t="str">
        <f>IFERROR(IF(OR(HLOOKUP($A1205,#REF!,8,FALSE)&gt;2,HLOOKUP($A1205,#REF!,8,FALSE)&lt;-2),"",#REF!),"")</f>
        <v/>
      </c>
      <c r="K1205" t="str">
        <f>IFERROR(IF(OR(HLOOKUP($A1205,#REF!,9,FALSE)&gt;2,HLOOKUP($A1205,#REF!,9,FALSE)&lt;-2),"",#REF!),"")</f>
        <v/>
      </c>
      <c r="L1205" t="str">
        <f>IFERROR(IF(OR(HLOOKUP($A1205,#REF!,10,FALSE)&gt;2,HLOOKUP($A1205,#REF!,10,FALSE)&lt;-2),"",#REF!),"")</f>
        <v/>
      </c>
      <c r="M1205" t="str">
        <f>IFERROR(IF(OR(HLOOKUP($A1205,#REF!,11,FALSE)&gt;2,HLOOKUP($A1205,#REF!,11,FALSE)&lt;-2),"",#REF!),"")</f>
        <v/>
      </c>
      <c r="N1205" t="str">
        <f>IFERROR(IF(OR(HLOOKUP($A1205,#REF!,12,FALSE)&gt;2,HLOOKUP($A1205,#REF!,12,FALSE)&lt;-2),"",#REF!),"")</f>
        <v/>
      </c>
      <c r="O1205" t="str">
        <f>IFERROR(IF(OR(HLOOKUP($A1205,#REF!,13,FALSE)&gt;2,HLOOKUP($A1205,#REF!,13,FALSE)&lt;-2),"",#REF!),"")</f>
        <v/>
      </c>
      <c r="P1205" t="str">
        <f>IFERROR(IF(OR(HLOOKUP($A1205,#REF!,14,FALSE)&gt;2,HLOOKUP($A1205,#REF!,14,FALSE)&lt;-2),"",#REF!),"")</f>
        <v/>
      </c>
      <c r="Q1205" t="str">
        <f>IFERROR(IF(OR(HLOOKUP($A1205,#REF!,15,FALSE)&gt;2,HLOOKUP($A1205,#REF!,15,FALSE)&lt;-2),"",#REF!),"")</f>
        <v/>
      </c>
      <c r="R1205" t="str">
        <f>IFERROR(IF(OR(HLOOKUP($A1205,#REF!,16,FALSE)&gt;2,HLOOKUP($A1205,#REF!,16,FALSE)&lt;-2),"",#REF!),"")</f>
        <v/>
      </c>
      <c r="S1205" t="str">
        <f>IFERROR(IF(OR(HLOOKUP($A1205,#REF!,17,FALSE)&gt;2,HLOOKUP($A1205,#REF!,17,FALSE)&lt;-2),"",#REF!),"")</f>
        <v/>
      </c>
      <c r="T1205" t="str">
        <f>IFERROR(IF(OR(HLOOKUP($A1205,#REF!,18,FALSE)&gt;2,HLOOKUP($A1205,#REF!,18,FALSE)&lt;-2),"",#REF!),"")</f>
        <v/>
      </c>
      <c r="U1205" t="str">
        <f>IFERROR(IF(OR(HLOOKUP($A1205,#REF!,19,FALSE)&gt;2,HLOOKUP($A1205,#REF!,19,FALSE)&lt;-2),"",#REF!),"")</f>
        <v/>
      </c>
      <c r="V1205">
        <f t="shared" si="72"/>
        <v>1</v>
      </c>
      <c r="W1205" t="str">
        <f t="shared" si="73"/>
        <v/>
      </c>
      <c r="X1205" t="str">
        <f t="shared" si="74"/>
        <v/>
      </c>
      <c r="Y1205" t="str">
        <f t="shared" si="75"/>
        <v/>
      </c>
    </row>
    <row r="1206" spans="1:25" x14ac:dyDescent="0.35">
      <c r="A1206">
        <v>2407</v>
      </c>
      <c r="B1206" t="s">
        <v>1247</v>
      </c>
      <c r="C1206">
        <v>38000</v>
      </c>
      <c r="D1206">
        <v>2382</v>
      </c>
      <c r="E1206" t="str">
        <f>IFERROR(IF(OR(HLOOKUP($A1206,#REF!,3,FALSE)&gt;2,HLOOKUP(A1206,#REF!,3,FALSE)&lt;-2),"",#REF!),"")</f>
        <v/>
      </c>
      <c r="F1206" t="str">
        <f>IFERROR(IF(OR(HLOOKUP($A1206,#REF!,4,FALSE)&gt;2,HLOOKUP($A1206,#REF!,4,FALSE)&lt;-2),"",#REF!),"")</f>
        <v/>
      </c>
      <c r="G1206" t="str">
        <f>IFERROR(IF(OR(HLOOKUP($A1206,#REF!,5,FALSE)&gt;2,HLOOKUP($A1206,#REF!,5,FALSE)&lt;-2),"",#REF!),"")</f>
        <v/>
      </c>
      <c r="H1206" t="str">
        <f>IFERROR(IF(OR(HLOOKUP($A1206,#REF!,6,FALSE)&gt;2,HLOOKUP($A1206,#REF!,6,FALSE)&lt;-2),"",#REF!),"")</f>
        <v/>
      </c>
      <c r="I1206" t="str">
        <f>IFERROR(IF(OR(HLOOKUP($A1206,#REF!,7,FALSE)&gt;2,HLOOKUP($A1206,#REF!,7,FALSE)&lt;-2),"",#REF!),"")</f>
        <v/>
      </c>
      <c r="J1206" t="str">
        <f>IFERROR(IF(OR(HLOOKUP($A1206,#REF!,8,FALSE)&gt;2,HLOOKUP($A1206,#REF!,8,FALSE)&lt;-2),"",#REF!),"")</f>
        <v/>
      </c>
      <c r="K1206" t="str">
        <f>IFERROR(IF(OR(HLOOKUP($A1206,#REF!,9,FALSE)&gt;2,HLOOKUP($A1206,#REF!,9,FALSE)&lt;-2),"",#REF!),"")</f>
        <v/>
      </c>
      <c r="L1206" t="str">
        <f>IFERROR(IF(OR(HLOOKUP($A1206,#REF!,10,FALSE)&gt;2,HLOOKUP($A1206,#REF!,10,FALSE)&lt;-2),"",#REF!),"")</f>
        <v/>
      </c>
      <c r="M1206" t="str">
        <f>IFERROR(IF(OR(HLOOKUP($A1206,#REF!,11,FALSE)&gt;2,HLOOKUP($A1206,#REF!,11,FALSE)&lt;-2),"",#REF!),"")</f>
        <v/>
      </c>
      <c r="N1206" t="str">
        <f>IFERROR(IF(OR(HLOOKUP($A1206,#REF!,12,FALSE)&gt;2,HLOOKUP($A1206,#REF!,12,FALSE)&lt;-2),"",#REF!),"")</f>
        <v/>
      </c>
      <c r="O1206" t="str">
        <f>IFERROR(IF(OR(HLOOKUP($A1206,#REF!,13,FALSE)&gt;2,HLOOKUP($A1206,#REF!,13,FALSE)&lt;-2),"",#REF!),"")</f>
        <v/>
      </c>
      <c r="P1206" t="str">
        <f>IFERROR(IF(OR(HLOOKUP($A1206,#REF!,14,FALSE)&gt;2,HLOOKUP($A1206,#REF!,14,FALSE)&lt;-2),"",#REF!),"")</f>
        <v/>
      </c>
      <c r="Q1206" t="str">
        <f>IFERROR(IF(OR(HLOOKUP($A1206,#REF!,15,FALSE)&gt;2,HLOOKUP($A1206,#REF!,15,FALSE)&lt;-2),"",#REF!),"")</f>
        <v/>
      </c>
      <c r="R1206" t="str">
        <f>IFERROR(IF(OR(HLOOKUP($A1206,#REF!,16,FALSE)&gt;2,HLOOKUP($A1206,#REF!,16,FALSE)&lt;-2),"",#REF!),"")</f>
        <v/>
      </c>
      <c r="S1206" t="str">
        <f>IFERROR(IF(OR(HLOOKUP($A1206,#REF!,17,FALSE)&gt;2,HLOOKUP($A1206,#REF!,17,FALSE)&lt;-2),"",#REF!),"")</f>
        <v/>
      </c>
      <c r="T1206" t="str">
        <f>IFERROR(IF(OR(HLOOKUP($A1206,#REF!,18,FALSE)&gt;2,HLOOKUP($A1206,#REF!,18,FALSE)&lt;-2),"",#REF!),"")</f>
        <v/>
      </c>
      <c r="U1206" t="str">
        <f>IFERROR(IF(OR(HLOOKUP($A1206,#REF!,19,FALSE)&gt;2,HLOOKUP($A1206,#REF!,19,FALSE)&lt;-2),"",#REF!),"")</f>
        <v/>
      </c>
      <c r="V1206">
        <f t="shared" si="72"/>
        <v>1</v>
      </c>
      <c r="W1206" t="str">
        <f t="shared" si="73"/>
        <v/>
      </c>
      <c r="X1206" t="str">
        <f t="shared" si="74"/>
        <v/>
      </c>
      <c r="Y1206" t="str">
        <f t="shared" si="75"/>
        <v/>
      </c>
    </row>
    <row r="1207" spans="1:25" x14ac:dyDescent="0.35">
      <c r="A1207">
        <v>2415</v>
      </c>
      <c r="B1207" t="s">
        <v>1248</v>
      </c>
      <c r="C1207">
        <v>38100</v>
      </c>
      <c r="D1207">
        <v>2382</v>
      </c>
      <c r="E1207" t="str">
        <f>IFERROR(IF(OR(HLOOKUP($A1207,#REF!,3,FALSE)&gt;2,HLOOKUP(A1207,#REF!,3,FALSE)&lt;-2),"",#REF!),"")</f>
        <v/>
      </c>
      <c r="F1207" t="str">
        <f>IFERROR(IF(OR(HLOOKUP($A1207,#REF!,4,FALSE)&gt;2,HLOOKUP($A1207,#REF!,4,FALSE)&lt;-2),"",#REF!),"")</f>
        <v/>
      </c>
      <c r="G1207" t="str">
        <f>IFERROR(IF(OR(HLOOKUP($A1207,#REF!,5,FALSE)&gt;2,HLOOKUP($A1207,#REF!,5,FALSE)&lt;-2),"",#REF!),"")</f>
        <v/>
      </c>
      <c r="H1207" t="str">
        <f>IFERROR(IF(OR(HLOOKUP($A1207,#REF!,6,FALSE)&gt;2,HLOOKUP($A1207,#REF!,6,FALSE)&lt;-2),"",#REF!),"")</f>
        <v/>
      </c>
      <c r="I1207" t="str">
        <f>IFERROR(IF(OR(HLOOKUP($A1207,#REF!,7,FALSE)&gt;2,HLOOKUP($A1207,#REF!,7,FALSE)&lt;-2),"",#REF!),"")</f>
        <v/>
      </c>
      <c r="J1207" t="str">
        <f>IFERROR(IF(OR(HLOOKUP($A1207,#REF!,8,FALSE)&gt;2,HLOOKUP($A1207,#REF!,8,FALSE)&lt;-2),"",#REF!),"")</f>
        <v/>
      </c>
      <c r="K1207" t="str">
        <f>IFERROR(IF(OR(HLOOKUP($A1207,#REF!,9,FALSE)&gt;2,HLOOKUP($A1207,#REF!,9,FALSE)&lt;-2),"",#REF!),"")</f>
        <v/>
      </c>
      <c r="L1207" t="str">
        <f>IFERROR(IF(OR(HLOOKUP($A1207,#REF!,10,FALSE)&gt;2,HLOOKUP($A1207,#REF!,10,FALSE)&lt;-2),"",#REF!),"")</f>
        <v/>
      </c>
      <c r="M1207" t="str">
        <f>IFERROR(IF(OR(HLOOKUP($A1207,#REF!,11,FALSE)&gt;2,HLOOKUP($A1207,#REF!,11,FALSE)&lt;-2),"",#REF!),"")</f>
        <v/>
      </c>
      <c r="N1207" t="str">
        <f>IFERROR(IF(OR(HLOOKUP($A1207,#REF!,12,FALSE)&gt;2,HLOOKUP($A1207,#REF!,12,FALSE)&lt;-2),"",#REF!),"")</f>
        <v/>
      </c>
      <c r="O1207" t="str">
        <f>IFERROR(IF(OR(HLOOKUP($A1207,#REF!,13,FALSE)&gt;2,HLOOKUP($A1207,#REF!,13,FALSE)&lt;-2),"",#REF!),"")</f>
        <v/>
      </c>
      <c r="P1207" t="str">
        <f>IFERROR(IF(OR(HLOOKUP($A1207,#REF!,14,FALSE)&gt;2,HLOOKUP($A1207,#REF!,14,FALSE)&lt;-2),"",#REF!),"")</f>
        <v/>
      </c>
      <c r="Q1207" t="str">
        <f>IFERROR(IF(OR(HLOOKUP($A1207,#REF!,15,FALSE)&gt;2,HLOOKUP($A1207,#REF!,15,FALSE)&lt;-2),"",#REF!),"")</f>
        <v/>
      </c>
      <c r="R1207" t="str">
        <f>IFERROR(IF(OR(HLOOKUP($A1207,#REF!,16,FALSE)&gt;2,HLOOKUP($A1207,#REF!,16,FALSE)&lt;-2),"",#REF!),"")</f>
        <v/>
      </c>
      <c r="S1207" t="str">
        <f>IFERROR(IF(OR(HLOOKUP($A1207,#REF!,17,FALSE)&gt;2,HLOOKUP($A1207,#REF!,17,FALSE)&lt;-2),"",#REF!),"")</f>
        <v/>
      </c>
      <c r="T1207" t="str">
        <f>IFERROR(IF(OR(HLOOKUP($A1207,#REF!,18,FALSE)&gt;2,HLOOKUP($A1207,#REF!,18,FALSE)&lt;-2),"",#REF!),"")</f>
        <v/>
      </c>
      <c r="U1207" t="str">
        <f>IFERROR(IF(OR(HLOOKUP($A1207,#REF!,19,FALSE)&gt;2,HLOOKUP($A1207,#REF!,19,FALSE)&lt;-2),"",#REF!),"")</f>
        <v/>
      </c>
      <c r="V1207">
        <f t="shared" si="72"/>
        <v>1</v>
      </c>
      <c r="W1207" t="str">
        <f t="shared" si="73"/>
        <v/>
      </c>
      <c r="X1207" t="str">
        <f t="shared" si="74"/>
        <v/>
      </c>
      <c r="Y1207" t="str">
        <f t="shared" si="75"/>
        <v/>
      </c>
    </row>
    <row r="1208" spans="1:25" x14ac:dyDescent="0.35">
      <c r="A1208">
        <v>2423</v>
      </c>
      <c r="B1208" t="s">
        <v>564</v>
      </c>
      <c r="C1208">
        <v>38200</v>
      </c>
      <c r="D1208">
        <v>2375</v>
      </c>
      <c r="E1208" t="str">
        <f>IFERROR(IF(OR(HLOOKUP($A1208,#REF!,3,FALSE)&gt;2,HLOOKUP(A1208,#REF!,3,FALSE)&lt;-2),"",#REF!),"")</f>
        <v/>
      </c>
      <c r="F1208" t="str">
        <f>IFERROR(IF(OR(HLOOKUP($A1208,#REF!,4,FALSE)&gt;2,HLOOKUP($A1208,#REF!,4,FALSE)&lt;-2),"",#REF!),"")</f>
        <v/>
      </c>
      <c r="G1208" t="str">
        <f>IFERROR(IF(OR(HLOOKUP($A1208,#REF!,5,FALSE)&gt;2,HLOOKUP($A1208,#REF!,5,FALSE)&lt;-2),"",#REF!),"")</f>
        <v/>
      </c>
      <c r="H1208" t="str">
        <f>IFERROR(IF(OR(HLOOKUP($A1208,#REF!,6,FALSE)&gt;2,HLOOKUP($A1208,#REF!,6,FALSE)&lt;-2),"",#REF!),"")</f>
        <v/>
      </c>
      <c r="I1208" t="str">
        <f>IFERROR(IF(OR(HLOOKUP($A1208,#REF!,7,FALSE)&gt;2,HLOOKUP($A1208,#REF!,7,FALSE)&lt;-2),"",#REF!),"")</f>
        <v/>
      </c>
      <c r="J1208" t="str">
        <f>IFERROR(IF(OR(HLOOKUP($A1208,#REF!,8,FALSE)&gt;2,HLOOKUP($A1208,#REF!,8,FALSE)&lt;-2),"",#REF!),"")</f>
        <v/>
      </c>
      <c r="K1208" t="str">
        <f>IFERROR(IF(OR(HLOOKUP($A1208,#REF!,9,FALSE)&gt;2,HLOOKUP($A1208,#REF!,9,FALSE)&lt;-2),"",#REF!),"")</f>
        <v/>
      </c>
      <c r="L1208" t="str">
        <f>IFERROR(IF(OR(HLOOKUP($A1208,#REF!,10,FALSE)&gt;2,HLOOKUP($A1208,#REF!,10,FALSE)&lt;-2),"",#REF!),"")</f>
        <v/>
      </c>
      <c r="M1208" t="str">
        <f>IFERROR(IF(OR(HLOOKUP($A1208,#REF!,11,FALSE)&gt;2,HLOOKUP($A1208,#REF!,11,FALSE)&lt;-2),"",#REF!),"")</f>
        <v/>
      </c>
      <c r="N1208" t="str">
        <f>IFERROR(IF(OR(HLOOKUP($A1208,#REF!,12,FALSE)&gt;2,HLOOKUP($A1208,#REF!,12,FALSE)&lt;-2),"",#REF!),"")</f>
        <v/>
      </c>
      <c r="O1208" t="str">
        <f>IFERROR(IF(OR(HLOOKUP($A1208,#REF!,13,FALSE)&gt;2,HLOOKUP($A1208,#REF!,13,FALSE)&lt;-2),"",#REF!),"")</f>
        <v/>
      </c>
      <c r="P1208" t="str">
        <f>IFERROR(IF(OR(HLOOKUP($A1208,#REF!,14,FALSE)&gt;2,HLOOKUP($A1208,#REF!,14,FALSE)&lt;-2),"",#REF!),"")</f>
        <v/>
      </c>
      <c r="Q1208" t="str">
        <f>IFERROR(IF(OR(HLOOKUP($A1208,#REF!,15,FALSE)&gt;2,HLOOKUP($A1208,#REF!,15,FALSE)&lt;-2),"",#REF!),"")</f>
        <v/>
      </c>
      <c r="R1208" t="str">
        <f>IFERROR(IF(OR(HLOOKUP($A1208,#REF!,16,FALSE)&gt;2,HLOOKUP($A1208,#REF!,16,FALSE)&lt;-2),"",#REF!),"")</f>
        <v/>
      </c>
      <c r="S1208" t="str">
        <f>IFERROR(IF(OR(HLOOKUP($A1208,#REF!,17,FALSE)&gt;2,HLOOKUP($A1208,#REF!,17,FALSE)&lt;-2),"",#REF!),"")</f>
        <v/>
      </c>
      <c r="T1208" t="str">
        <f>IFERROR(IF(OR(HLOOKUP($A1208,#REF!,18,FALSE)&gt;2,HLOOKUP($A1208,#REF!,18,FALSE)&lt;-2),"",#REF!),"")</f>
        <v/>
      </c>
      <c r="U1208" t="str">
        <f>IFERROR(IF(OR(HLOOKUP($A1208,#REF!,19,FALSE)&gt;2,HLOOKUP($A1208,#REF!,19,FALSE)&lt;-2),"",#REF!),"")</f>
        <v/>
      </c>
      <c r="V1208">
        <f t="shared" si="72"/>
        <v>1</v>
      </c>
      <c r="W1208" t="str">
        <f t="shared" si="73"/>
        <v/>
      </c>
      <c r="X1208" t="str">
        <f t="shared" si="74"/>
        <v/>
      </c>
      <c r="Y1208" t="str">
        <f t="shared" si="75"/>
        <v/>
      </c>
    </row>
    <row r="1209" spans="1:25" x14ac:dyDescent="0.35">
      <c r="A1209">
        <v>2431</v>
      </c>
      <c r="B1209" t="s">
        <v>1249</v>
      </c>
      <c r="C1209">
        <v>38300</v>
      </c>
      <c r="D1209">
        <v>2423</v>
      </c>
      <c r="E1209" t="str">
        <f>IFERROR(IF(OR(HLOOKUP($A1209,#REF!,3,FALSE)&gt;2,HLOOKUP(A1209,#REF!,3,FALSE)&lt;-2),"",#REF!),"")</f>
        <v/>
      </c>
      <c r="F1209" t="str">
        <f>IFERROR(IF(OR(HLOOKUP($A1209,#REF!,4,FALSE)&gt;2,HLOOKUP($A1209,#REF!,4,FALSE)&lt;-2),"",#REF!),"")</f>
        <v/>
      </c>
      <c r="G1209" t="str">
        <f>IFERROR(IF(OR(HLOOKUP($A1209,#REF!,5,FALSE)&gt;2,HLOOKUP($A1209,#REF!,5,FALSE)&lt;-2),"",#REF!),"")</f>
        <v/>
      </c>
      <c r="H1209" t="str">
        <f>IFERROR(IF(OR(HLOOKUP($A1209,#REF!,6,FALSE)&gt;2,HLOOKUP($A1209,#REF!,6,FALSE)&lt;-2),"",#REF!),"")</f>
        <v/>
      </c>
      <c r="I1209" t="str">
        <f>IFERROR(IF(OR(HLOOKUP($A1209,#REF!,7,FALSE)&gt;2,HLOOKUP($A1209,#REF!,7,FALSE)&lt;-2),"",#REF!),"")</f>
        <v/>
      </c>
      <c r="J1209" t="str">
        <f>IFERROR(IF(OR(HLOOKUP($A1209,#REF!,8,FALSE)&gt;2,HLOOKUP($A1209,#REF!,8,FALSE)&lt;-2),"",#REF!),"")</f>
        <v/>
      </c>
      <c r="K1209" t="str">
        <f>IFERROR(IF(OR(HLOOKUP($A1209,#REF!,9,FALSE)&gt;2,HLOOKUP($A1209,#REF!,9,FALSE)&lt;-2),"",#REF!),"")</f>
        <v/>
      </c>
      <c r="L1209" t="str">
        <f>IFERROR(IF(OR(HLOOKUP($A1209,#REF!,10,FALSE)&gt;2,HLOOKUP($A1209,#REF!,10,FALSE)&lt;-2),"",#REF!),"")</f>
        <v/>
      </c>
      <c r="M1209" t="str">
        <f>IFERROR(IF(OR(HLOOKUP($A1209,#REF!,11,FALSE)&gt;2,HLOOKUP($A1209,#REF!,11,FALSE)&lt;-2),"",#REF!),"")</f>
        <v/>
      </c>
      <c r="N1209" t="str">
        <f>IFERROR(IF(OR(HLOOKUP($A1209,#REF!,12,FALSE)&gt;2,HLOOKUP($A1209,#REF!,12,FALSE)&lt;-2),"",#REF!),"")</f>
        <v/>
      </c>
      <c r="O1209" t="str">
        <f>IFERROR(IF(OR(HLOOKUP($A1209,#REF!,13,FALSE)&gt;2,HLOOKUP($A1209,#REF!,13,FALSE)&lt;-2),"",#REF!),"")</f>
        <v/>
      </c>
      <c r="P1209" t="str">
        <f>IFERROR(IF(OR(HLOOKUP($A1209,#REF!,14,FALSE)&gt;2,HLOOKUP($A1209,#REF!,14,FALSE)&lt;-2),"",#REF!),"")</f>
        <v/>
      </c>
      <c r="Q1209" t="str">
        <f>IFERROR(IF(OR(HLOOKUP($A1209,#REF!,15,FALSE)&gt;2,HLOOKUP($A1209,#REF!,15,FALSE)&lt;-2),"",#REF!),"")</f>
        <v/>
      </c>
      <c r="R1209" t="str">
        <f>IFERROR(IF(OR(HLOOKUP($A1209,#REF!,16,FALSE)&gt;2,HLOOKUP($A1209,#REF!,16,FALSE)&lt;-2),"",#REF!),"")</f>
        <v/>
      </c>
      <c r="S1209" t="str">
        <f>IFERROR(IF(OR(HLOOKUP($A1209,#REF!,17,FALSE)&gt;2,HLOOKUP($A1209,#REF!,17,FALSE)&lt;-2),"",#REF!),"")</f>
        <v/>
      </c>
      <c r="T1209" t="str">
        <f>IFERROR(IF(OR(HLOOKUP($A1209,#REF!,18,FALSE)&gt;2,HLOOKUP($A1209,#REF!,18,FALSE)&lt;-2),"",#REF!),"")</f>
        <v/>
      </c>
      <c r="U1209" t="str">
        <f>IFERROR(IF(OR(HLOOKUP($A1209,#REF!,19,FALSE)&gt;2,HLOOKUP($A1209,#REF!,19,FALSE)&lt;-2),"",#REF!),"")</f>
        <v/>
      </c>
      <c r="V1209">
        <f t="shared" si="72"/>
        <v>1</v>
      </c>
      <c r="W1209" t="str">
        <f t="shared" si="73"/>
        <v/>
      </c>
      <c r="X1209" t="str">
        <f t="shared" si="74"/>
        <v/>
      </c>
      <c r="Y1209" t="str">
        <f t="shared" si="75"/>
        <v/>
      </c>
    </row>
    <row r="1210" spans="1:25" x14ac:dyDescent="0.35">
      <c r="A1210">
        <v>2438</v>
      </c>
      <c r="B1210" t="s">
        <v>1250</v>
      </c>
      <c r="C1210">
        <v>38400</v>
      </c>
      <c r="D1210">
        <v>2423</v>
      </c>
      <c r="E1210" t="str">
        <f>IFERROR(IF(OR(HLOOKUP($A1210,#REF!,3,FALSE)&gt;2,HLOOKUP(A1210,#REF!,3,FALSE)&lt;-2),"",#REF!),"")</f>
        <v/>
      </c>
      <c r="F1210" t="str">
        <f>IFERROR(IF(OR(HLOOKUP($A1210,#REF!,4,FALSE)&gt;2,HLOOKUP($A1210,#REF!,4,FALSE)&lt;-2),"",#REF!),"")</f>
        <v/>
      </c>
      <c r="G1210" t="str">
        <f>IFERROR(IF(OR(HLOOKUP($A1210,#REF!,5,FALSE)&gt;2,HLOOKUP($A1210,#REF!,5,FALSE)&lt;-2),"",#REF!),"")</f>
        <v/>
      </c>
      <c r="H1210" t="str">
        <f>IFERROR(IF(OR(HLOOKUP($A1210,#REF!,6,FALSE)&gt;2,HLOOKUP($A1210,#REF!,6,FALSE)&lt;-2),"",#REF!),"")</f>
        <v/>
      </c>
      <c r="I1210" t="str">
        <f>IFERROR(IF(OR(HLOOKUP($A1210,#REF!,7,FALSE)&gt;2,HLOOKUP($A1210,#REF!,7,FALSE)&lt;-2),"",#REF!),"")</f>
        <v/>
      </c>
      <c r="J1210" t="str">
        <f>IFERROR(IF(OR(HLOOKUP($A1210,#REF!,8,FALSE)&gt;2,HLOOKUP($A1210,#REF!,8,FALSE)&lt;-2),"",#REF!),"")</f>
        <v/>
      </c>
      <c r="K1210" t="str">
        <f>IFERROR(IF(OR(HLOOKUP($A1210,#REF!,9,FALSE)&gt;2,HLOOKUP($A1210,#REF!,9,FALSE)&lt;-2),"",#REF!),"")</f>
        <v/>
      </c>
      <c r="L1210" t="str">
        <f>IFERROR(IF(OR(HLOOKUP($A1210,#REF!,10,FALSE)&gt;2,HLOOKUP($A1210,#REF!,10,FALSE)&lt;-2),"",#REF!),"")</f>
        <v/>
      </c>
      <c r="M1210" t="str">
        <f>IFERROR(IF(OR(HLOOKUP($A1210,#REF!,11,FALSE)&gt;2,HLOOKUP($A1210,#REF!,11,FALSE)&lt;-2),"",#REF!),"")</f>
        <v/>
      </c>
      <c r="N1210" t="str">
        <f>IFERROR(IF(OR(HLOOKUP($A1210,#REF!,12,FALSE)&gt;2,HLOOKUP($A1210,#REF!,12,FALSE)&lt;-2),"",#REF!),"")</f>
        <v/>
      </c>
      <c r="O1210" t="str">
        <f>IFERROR(IF(OR(HLOOKUP($A1210,#REF!,13,FALSE)&gt;2,HLOOKUP($A1210,#REF!,13,FALSE)&lt;-2),"",#REF!),"")</f>
        <v/>
      </c>
      <c r="P1210" t="str">
        <f>IFERROR(IF(OR(HLOOKUP($A1210,#REF!,14,FALSE)&gt;2,HLOOKUP($A1210,#REF!,14,FALSE)&lt;-2),"",#REF!),"")</f>
        <v/>
      </c>
      <c r="Q1210" t="str">
        <f>IFERROR(IF(OR(HLOOKUP($A1210,#REF!,15,FALSE)&gt;2,HLOOKUP($A1210,#REF!,15,FALSE)&lt;-2),"",#REF!),"")</f>
        <v/>
      </c>
      <c r="R1210" t="str">
        <f>IFERROR(IF(OR(HLOOKUP($A1210,#REF!,16,FALSE)&gt;2,HLOOKUP($A1210,#REF!,16,FALSE)&lt;-2),"",#REF!),"")</f>
        <v/>
      </c>
      <c r="S1210" t="str">
        <f>IFERROR(IF(OR(HLOOKUP($A1210,#REF!,17,FALSE)&gt;2,HLOOKUP($A1210,#REF!,17,FALSE)&lt;-2),"",#REF!),"")</f>
        <v/>
      </c>
      <c r="T1210" t="str">
        <f>IFERROR(IF(OR(HLOOKUP($A1210,#REF!,18,FALSE)&gt;2,HLOOKUP($A1210,#REF!,18,FALSE)&lt;-2),"",#REF!),"")</f>
        <v/>
      </c>
      <c r="U1210" t="str">
        <f>IFERROR(IF(OR(HLOOKUP($A1210,#REF!,19,FALSE)&gt;2,HLOOKUP($A1210,#REF!,19,FALSE)&lt;-2),"",#REF!),"")</f>
        <v/>
      </c>
      <c r="V1210">
        <f t="shared" si="72"/>
        <v>1</v>
      </c>
      <c r="W1210" t="str">
        <f t="shared" si="73"/>
        <v/>
      </c>
      <c r="X1210" t="str">
        <f t="shared" si="74"/>
        <v/>
      </c>
      <c r="Y1210" t="str">
        <f t="shared" si="75"/>
        <v/>
      </c>
    </row>
    <row r="1211" spans="1:25" x14ac:dyDescent="0.35">
      <c r="A1211">
        <v>2446</v>
      </c>
      <c r="B1211" t="s">
        <v>1251</v>
      </c>
      <c r="C1211">
        <v>38500</v>
      </c>
      <c r="D1211">
        <v>2423</v>
      </c>
      <c r="E1211" t="str">
        <f>IFERROR(IF(OR(HLOOKUP($A1211,#REF!,3,FALSE)&gt;2,HLOOKUP(A1211,#REF!,3,FALSE)&lt;-2),"",#REF!),"")</f>
        <v/>
      </c>
      <c r="F1211" t="str">
        <f>IFERROR(IF(OR(HLOOKUP($A1211,#REF!,4,FALSE)&gt;2,HLOOKUP($A1211,#REF!,4,FALSE)&lt;-2),"",#REF!),"")</f>
        <v/>
      </c>
      <c r="G1211" t="str">
        <f>IFERROR(IF(OR(HLOOKUP($A1211,#REF!,5,FALSE)&gt;2,HLOOKUP($A1211,#REF!,5,FALSE)&lt;-2),"",#REF!),"")</f>
        <v/>
      </c>
      <c r="H1211" t="str">
        <f>IFERROR(IF(OR(HLOOKUP($A1211,#REF!,6,FALSE)&gt;2,HLOOKUP($A1211,#REF!,6,FALSE)&lt;-2),"",#REF!),"")</f>
        <v/>
      </c>
      <c r="I1211" t="str">
        <f>IFERROR(IF(OR(HLOOKUP($A1211,#REF!,7,FALSE)&gt;2,HLOOKUP($A1211,#REF!,7,FALSE)&lt;-2),"",#REF!),"")</f>
        <v/>
      </c>
      <c r="J1211" t="str">
        <f>IFERROR(IF(OR(HLOOKUP($A1211,#REF!,8,FALSE)&gt;2,HLOOKUP($A1211,#REF!,8,FALSE)&lt;-2),"",#REF!),"")</f>
        <v/>
      </c>
      <c r="K1211" t="str">
        <f>IFERROR(IF(OR(HLOOKUP($A1211,#REF!,9,FALSE)&gt;2,HLOOKUP($A1211,#REF!,9,FALSE)&lt;-2),"",#REF!),"")</f>
        <v/>
      </c>
      <c r="L1211" t="str">
        <f>IFERROR(IF(OR(HLOOKUP($A1211,#REF!,10,FALSE)&gt;2,HLOOKUP($A1211,#REF!,10,FALSE)&lt;-2),"",#REF!),"")</f>
        <v/>
      </c>
      <c r="M1211" t="str">
        <f>IFERROR(IF(OR(HLOOKUP($A1211,#REF!,11,FALSE)&gt;2,HLOOKUP($A1211,#REF!,11,FALSE)&lt;-2),"",#REF!),"")</f>
        <v/>
      </c>
      <c r="N1211" t="str">
        <f>IFERROR(IF(OR(HLOOKUP($A1211,#REF!,12,FALSE)&gt;2,HLOOKUP($A1211,#REF!,12,FALSE)&lt;-2),"",#REF!),"")</f>
        <v/>
      </c>
      <c r="O1211" t="str">
        <f>IFERROR(IF(OR(HLOOKUP($A1211,#REF!,13,FALSE)&gt;2,HLOOKUP($A1211,#REF!,13,FALSE)&lt;-2),"",#REF!),"")</f>
        <v/>
      </c>
      <c r="P1211" t="str">
        <f>IFERROR(IF(OR(HLOOKUP($A1211,#REF!,14,FALSE)&gt;2,HLOOKUP($A1211,#REF!,14,FALSE)&lt;-2),"",#REF!),"")</f>
        <v/>
      </c>
      <c r="Q1211" t="str">
        <f>IFERROR(IF(OR(HLOOKUP($A1211,#REF!,15,FALSE)&gt;2,HLOOKUP($A1211,#REF!,15,FALSE)&lt;-2),"",#REF!),"")</f>
        <v/>
      </c>
      <c r="R1211" t="str">
        <f>IFERROR(IF(OR(HLOOKUP($A1211,#REF!,16,FALSE)&gt;2,HLOOKUP($A1211,#REF!,16,FALSE)&lt;-2),"",#REF!),"")</f>
        <v/>
      </c>
      <c r="S1211" t="str">
        <f>IFERROR(IF(OR(HLOOKUP($A1211,#REF!,17,FALSE)&gt;2,HLOOKUP($A1211,#REF!,17,FALSE)&lt;-2),"",#REF!),"")</f>
        <v/>
      </c>
      <c r="T1211" t="str">
        <f>IFERROR(IF(OR(HLOOKUP($A1211,#REF!,18,FALSE)&gt;2,HLOOKUP($A1211,#REF!,18,FALSE)&lt;-2),"",#REF!),"")</f>
        <v/>
      </c>
      <c r="U1211" t="str">
        <f>IFERROR(IF(OR(HLOOKUP($A1211,#REF!,19,FALSE)&gt;2,HLOOKUP($A1211,#REF!,19,FALSE)&lt;-2),"",#REF!),"")</f>
        <v/>
      </c>
      <c r="V1211">
        <f t="shared" si="72"/>
        <v>1</v>
      </c>
      <c r="W1211" t="str">
        <f t="shared" si="73"/>
        <v/>
      </c>
      <c r="X1211" t="str">
        <f t="shared" si="74"/>
        <v/>
      </c>
      <c r="Y1211" t="str">
        <f t="shared" si="75"/>
        <v/>
      </c>
    </row>
    <row r="1212" spans="1:25" x14ac:dyDescent="0.35">
      <c r="A1212">
        <v>2454</v>
      </c>
      <c r="B1212" t="s">
        <v>1252</v>
      </c>
      <c r="C1212">
        <v>38600</v>
      </c>
      <c r="D1212">
        <v>2423</v>
      </c>
      <c r="E1212" t="str">
        <f>IFERROR(IF(OR(HLOOKUP($A1212,#REF!,3,FALSE)&gt;2,HLOOKUP(A1212,#REF!,3,FALSE)&lt;-2),"",#REF!),"")</f>
        <v/>
      </c>
      <c r="F1212" t="str">
        <f>IFERROR(IF(OR(HLOOKUP($A1212,#REF!,4,FALSE)&gt;2,HLOOKUP($A1212,#REF!,4,FALSE)&lt;-2),"",#REF!),"")</f>
        <v/>
      </c>
      <c r="G1212" t="str">
        <f>IFERROR(IF(OR(HLOOKUP($A1212,#REF!,5,FALSE)&gt;2,HLOOKUP($A1212,#REF!,5,FALSE)&lt;-2),"",#REF!),"")</f>
        <v/>
      </c>
      <c r="H1212" t="str">
        <f>IFERROR(IF(OR(HLOOKUP($A1212,#REF!,6,FALSE)&gt;2,HLOOKUP($A1212,#REF!,6,FALSE)&lt;-2),"",#REF!),"")</f>
        <v/>
      </c>
      <c r="I1212" t="str">
        <f>IFERROR(IF(OR(HLOOKUP($A1212,#REF!,7,FALSE)&gt;2,HLOOKUP($A1212,#REF!,7,FALSE)&lt;-2),"",#REF!),"")</f>
        <v/>
      </c>
      <c r="J1212" t="str">
        <f>IFERROR(IF(OR(HLOOKUP($A1212,#REF!,8,FALSE)&gt;2,HLOOKUP($A1212,#REF!,8,FALSE)&lt;-2),"",#REF!),"")</f>
        <v/>
      </c>
      <c r="K1212" t="str">
        <f>IFERROR(IF(OR(HLOOKUP($A1212,#REF!,9,FALSE)&gt;2,HLOOKUP($A1212,#REF!,9,FALSE)&lt;-2),"",#REF!),"")</f>
        <v/>
      </c>
      <c r="L1212" t="str">
        <f>IFERROR(IF(OR(HLOOKUP($A1212,#REF!,10,FALSE)&gt;2,HLOOKUP($A1212,#REF!,10,FALSE)&lt;-2),"",#REF!),"")</f>
        <v/>
      </c>
      <c r="M1212" t="str">
        <f>IFERROR(IF(OR(HLOOKUP($A1212,#REF!,11,FALSE)&gt;2,HLOOKUP($A1212,#REF!,11,FALSE)&lt;-2),"",#REF!),"")</f>
        <v/>
      </c>
      <c r="N1212" t="str">
        <f>IFERROR(IF(OR(HLOOKUP($A1212,#REF!,12,FALSE)&gt;2,HLOOKUP($A1212,#REF!,12,FALSE)&lt;-2),"",#REF!),"")</f>
        <v/>
      </c>
      <c r="O1212" t="str">
        <f>IFERROR(IF(OR(HLOOKUP($A1212,#REF!,13,FALSE)&gt;2,HLOOKUP($A1212,#REF!,13,FALSE)&lt;-2),"",#REF!),"")</f>
        <v/>
      </c>
      <c r="P1212" t="str">
        <f>IFERROR(IF(OR(HLOOKUP($A1212,#REF!,14,FALSE)&gt;2,HLOOKUP($A1212,#REF!,14,FALSE)&lt;-2),"",#REF!),"")</f>
        <v/>
      </c>
      <c r="Q1212" t="str">
        <f>IFERROR(IF(OR(HLOOKUP($A1212,#REF!,15,FALSE)&gt;2,HLOOKUP($A1212,#REF!,15,FALSE)&lt;-2),"",#REF!),"")</f>
        <v/>
      </c>
      <c r="R1212" t="str">
        <f>IFERROR(IF(OR(HLOOKUP($A1212,#REF!,16,FALSE)&gt;2,HLOOKUP($A1212,#REF!,16,FALSE)&lt;-2),"",#REF!),"")</f>
        <v/>
      </c>
      <c r="S1212" t="str">
        <f>IFERROR(IF(OR(HLOOKUP($A1212,#REF!,17,FALSE)&gt;2,HLOOKUP($A1212,#REF!,17,FALSE)&lt;-2),"",#REF!),"")</f>
        <v/>
      </c>
      <c r="T1212" t="str">
        <f>IFERROR(IF(OR(HLOOKUP($A1212,#REF!,18,FALSE)&gt;2,HLOOKUP($A1212,#REF!,18,FALSE)&lt;-2),"",#REF!),"")</f>
        <v/>
      </c>
      <c r="U1212" t="str">
        <f>IFERROR(IF(OR(HLOOKUP($A1212,#REF!,19,FALSE)&gt;2,HLOOKUP($A1212,#REF!,19,FALSE)&lt;-2),"",#REF!),"")</f>
        <v/>
      </c>
      <c r="V1212">
        <f t="shared" si="72"/>
        <v>1</v>
      </c>
      <c r="W1212" t="str">
        <f t="shared" si="73"/>
        <v/>
      </c>
      <c r="X1212" t="str">
        <f t="shared" si="74"/>
        <v/>
      </c>
      <c r="Y1212" t="str">
        <f t="shared" si="75"/>
        <v/>
      </c>
    </row>
    <row r="1213" spans="1:25" x14ac:dyDescent="0.35">
      <c r="A1213">
        <v>2463</v>
      </c>
      <c r="B1213" t="s">
        <v>565</v>
      </c>
      <c r="C1213">
        <v>38700</v>
      </c>
      <c r="D1213">
        <v>2375</v>
      </c>
      <c r="E1213" t="str">
        <f>IFERROR(IF(OR(HLOOKUP($A1213,#REF!,3,FALSE)&gt;2,HLOOKUP(A1213,#REF!,3,FALSE)&lt;-2),"",#REF!),"")</f>
        <v/>
      </c>
      <c r="F1213" t="str">
        <f>IFERROR(IF(OR(HLOOKUP($A1213,#REF!,4,FALSE)&gt;2,HLOOKUP($A1213,#REF!,4,FALSE)&lt;-2),"",#REF!),"")</f>
        <v/>
      </c>
      <c r="G1213" t="str">
        <f>IFERROR(IF(OR(HLOOKUP($A1213,#REF!,5,FALSE)&gt;2,HLOOKUP($A1213,#REF!,5,FALSE)&lt;-2),"",#REF!),"")</f>
        <v/>
      </c>
      <c r="H1213" t="str">
        <f>IFERROR(IF(OR(HLOOKUP($A1213,#REF!,6,FALSE)&gt;2,HLOOKUP($A1213,#REF!,6,FALSE)&lt;-2),"",#REF!),"")</f>
        <v/>
      </c>
      <c r="I1213" t="str">
        <f>IFERROR(IF(OR(HLOOKUP($A1213,#REF!,7,FALSE)&gt;2,HLOOKUP($A1213,#REF!,7,FALSE)&lt;-2),"",#REF!),"")</f>
        <v/>
      </c>
      <c r="J1213" t="str">
        <f>IFERROR(IF(OR(HLOOKUP($A1213,#REF!,8,FALSE)&gt;2,HLOOKUP($A1213,#REF!,8,FALSE)&lt;-2),"",#REF!),"")</f>
        <v/>
      </c>
      <c r="K1213" t="str">
        <f>IFERROR(IF(OR(HLOOKUP($A1213,#REF!,9,FALSE)&gt;2,HLOOKUP($A1213,#REF!,9,FALSE)&lt;-2),"",#REF!),"")</f>
        <v/>
      </c>
      <c r="L1213" t="str">
        <f>IFERROR(IF(OR(HLOOKUP($A1213,#REF!,10,FALSE)&gt;2,HLOOKUP($A1213,#REF!,10,FALSE)&lt;-2),"",#REF!),"")</f>
        <v/>
      </c>
      <c r="M1213" t="str">
        <f>IFERROR(IF(OR(HLOOKUP($A1213,#REF!,11,FALSE)&gt;2,HLOOKUP($A1213,#REF!,11,FALSE)&lt;-2),"",#REF!),"")</f>
        <v/>
      </c>
      <c r="N1213" t="str">
        <f>IFERROR(IF(OR(HLOOKUP($A1213,#REF!,12,FALSE)&gt;2,HLOOKUP($A1213,#REF!,12,FALSE)&lt;-2),"",#REF!),"")</f>
        <v/>
      </c>
      <c r="O1213" t="str">
        <f>IFERROR(IF(OR(HLOOKUP($A1213,#REF!,13,FALSE)&gt;2,HLOOKUP($A1213,#REF!,13,FALSE)&lt;-2),"",#REF!),"")</f>
        <v/>
      </c>
      <c r="P1213" t="str">
        <f>IFERROR(IF(OR(HLOOKUP($A1213,#REF!,14,FALSE)&gt;2,HLOOKUP($A1213,#REF!,14,FALSE)&lt;-2),"",#REF!),"")</f>
        <v/>
      </c>
      <c r="Q1213" t="str">
        <f>IFERROR(IF(OR(HLOOKUP($A1213,#REF!,15,FALSE)&gt;2,HLOOKUP($A1213,#REF!,15,FALSE)&lt;-2),"",#REF!),"")</f>
        <v/>
      </c>
      <c r="R1213" t="str">
        <f>IFERROR(IF(OR(HLOOKUP($A1213,#REF!,16,FALSE)&gt;2,HLOOKUP($A1213,#REF!,16,FALSE)&lt;-2),"",#REF!),"")</f>
        <v/>
      </c>
      <c r="S1213" t="str">
        <f>IFERROR(IF(OR(HLOOKUP($A1213,#REF!,17,FALSE)&gt;2,HLOOKUP($A1213,#REF!,17,FALSE)&lt;-2),"",#REF!),"")</f>
        <v/>
      </c>
      <c r="T1213" t="str">
        <f>IFERROR(IF(OR(HLOOKUP($A1213,#REF!,18,FALSE)&gt;2,HLOOKUP($A1213,#REF!,18,FALSE)&lt;-2),"",#REF!),"")</f>
        <v/>
      </c>
      <c r="U1213" t="str">
        <f>IFERROR(IF(OR(HLOOKUP($A1213,#REF!,19,FALSE)&gt;2,HLOOKUP($A1213,#REF!,19,FALSE)&lt;-2),"",#REF!),"")</f>
        <v/>
      </c>
      <c r="V1213">
        <f t="shared" si="72"/>
        <v>1</v>
      </c>
      <c r="W1213" t="str">
        <f t="shared" si="73"/>
        <v/>
      </c>
      <c r="X1213" t="str">
        <f t="shared" si="74"/>
        <v/>
      </c>
      <c r="Y1213" t="str">
        <f t="shared" si="75"/>
        <v/>
      </c>
    </row>
    <row r="1214" spans="1:25" x14ac:dyDescent="0.35">
      <c r="A1214">
        <v>2471</v>
      </c>
      <c r="B1214" t="s">
        <v>1253</v>
      </c>
      <c r="C1214">
        <v>38800</v>
      </c>
      <c r="D1214">
        <v>2463</v>
      </c>
      <c r="E1214" t="str">
        <f>IFERROR(IF(OR(HLOOKUP($A1214,#REF!,3,FALSE)&gt;2,HLOOKUP(A1214,#REF!,3,FALSE)&lt;-2),"",#REF!),"")</f>
        <v/>
      </c>
      <c r="F1214" t="str">
        <f>IFERROR(IF(OR(HLOOKUP($A1214,#REF!,4,FALSE)&gt;2,HLOOKUP($A1214,#REF!,4,FALSE)&lt;-2),"",#REF!),"")</f>
        <v/>
      </c>
      <c r="G1214" t="str">
        <f>IFERROR(IF(OR(HLOOKUP($A1214,#REF!,5,FALSE)&gt;2,HLOOKUP($A1214,#REF!,5,FALSE)&lt;-2),"",#REF!),"")</f>
        <v/>
      </c>
      <c r="H1214" t="str">
        <f>IFERROR(IF(OR(HLOOKUP($A1214,#REF!,6,FALSE)&gt;2,HLOOKUP($A1214,#REF!,6,FALSE)&lt;-2),"",#REF!),"")</f>
        <v/>
      </c>
      <c r="I1214" t="str">
        <f>IFERROR(IF(OR(HLOOKUP($A1214,#REF!,7,FALSE)&gt;2,HLOOKUP($A1214,#REF!,7,FALSE)&lt;-2),"",#REF!),"")</f>
        <v/>
      </c>
      <c r="J1214" t="str">
        <f>IFERROR(IF(OR(HLOOKUP($A1214,#REF!,8,FALSE)&gt;2,HLOOKUP($A1214,#REF!,8,FALSE)&lt;-2),"",#REF!),"")</f>
        <v/>
      </c>
      <c r="K1214" t="str">
        <f>IFERROR(IF(OR(HLOOKUP($A1214,#REF!,9,FALSE)&gt;2,HLOOKUP($A1214,#REF!,9,FALSE)&lt;-2),"",#REF!),"")</f>
        <v/>
      </c>
      <c r="L1214" t="str">
        <f>IFERROR(IF(OR(HLOOKUP($A1214,#REF!,10,FALSE)&gt;2,HLOOKUP($A1214,#REF!,10,FALSE)&lt;-2),"",#REF!),"")</f>
        <v/>
      </c>
      <c r="M1214" t="str">
        <f>IFERROR(IF(OR(HLOOKUP($A1214,#REF!,11,FALSE)&gt;2,HLOOKUP($A1214,#REF!,11,FALSE)&lt;-2),"",#REF!),"")</f>
        <v/>
      </c>
      <c r="N1214" t="str">
        <f>IFERROR(IF(OR(HLOOKUP($A1214,#REF!,12,FALSE)&gt;2,HLOOKUP($A1214,#REF!,12,FALSE)&lt;-2),"",#REF!),"")</f>
        <v/>
      </c>
      <c r="O1214" t="str">
        <f>IFERROR(IF(OR(HLOOKUP($A1214,#REF!,13,FALSE)&gt;2,HLOOKUP($A1214,#REF!,13,FALSE)&lt;-2),"",#REF!),"")</f>
        <v/>
      </c>
      <c r="P1214" t="str">
        <f>IFERROR(IF(OR(HLOOKUP($A1214,#REF!,14,FALSE)&gt;2,HLOOKUP($A1214,#REF!,14,FALSE)&lt;-2),"",#REF!),"")</f>
        <v/>
      </c>
      <c r="Q1214" t="str">
        <f>IFERROR(IF(OR(HLOOKUP($A1214,#REF!,15,FALSE)&gt;2,HLOOKUP($A1214,#REF!,15,FALSE)&lt;-2),"",#REF!),"")</f>
        <v/>
      </c>
      <c r="R1214" t="str">
        <f>IFERROR(IF(OR(HLOOKUP($A1214,#REF!,16,FALSE)&gt;2,HLOOKUP($A1214,#REF!,16,FALSE)&lt;-2),"",#REF!),"")</f>
        <v/>
      </c>
      <c r="S1214" t="str">
        <f>IFERROR(IF(OR(HLOOKUP($A1214,#REF!,17,FALSE)&gt;2,HLOOKUP($A1214,#REF!,17,FALSE)&lt;-2),"",#REF!),"")</f>
        <v/>
      </c>
      <c r="T1214" t="str">
        <f>IFERROR(IF(OR(HLOOKUP($A1214,#REF!,18,FALSE)&gt;2,HLOOKUP($A1214,#REF!,18,FALSE)&lt;-2),"",#REF!),"")</f>
        <v/>
      </c>
      <c r="U1214" t="str">
        <f>IFERROR(IF(OR(HLOOKUP($A1214,#REF!,19,FALSE)&gt;2,HLOOKUP($A1214,#REF!,19,FALSE)&lt;-2),"",#REF!),"")</f>
        <v/>
      </c>
      <c r="V1214">
        <f t="shared" si="72"/>
        <v>1</v>
      </c>
      <c r="W1214" t="str">
        <f t="shared" si="73"/>
        <v/>
      </c>
      <c r="X1214" t="str">
        <f t="shared" si="74"/>
        <v/>
      </c>
      <c r="Y1214" t="str">
        <f t="shared" si="75"/>
        <v/>
      </c>
    </row>
    <row r="1215" spans="1:25" x14ac:dyDescent="0.35">
      <c r="A1215">
        <v>2479</v>
      </c>
      <c r="B1215" t="s">
        <v>1254</v>
      </c>
      <c r="C1215">
        <v>38900</v>
      </c>
      <c r="D1215">
        <v>2463</v>
      </c>
      <c r="E1215" t="str">
        <f>IFERROR(IF(OR(HLOOKUP($A1215,#REF!,3,FALSE)&gt;2,HLOOKUP(A1215,#REF!,3,FALSE)&lt;-2),"",#REF!),"")</f>
        <v/>
      </c>
      <c r="F1215" t="str">
        <f>IFERROR(IF(OR(HLOOKUP($A1215,#REF!,4,FALSE)&gt;2,HLOOKUP($A1215,#REF!,4,FALSE)&lt;-2),"",#REF!),"")</f>
        <v/>
      </c>
      <c r="G1215" t="str">
        <f>IFERROR(IF(OR(HLOOKUP($A1215,#REF!,5,FALSE)&gt;2,HLOOKUP($A1215,#REF!,5,FALSE)&lt;-2),"",#REF!),"")</f>
        <v/>
      </c>
      <c r="H1215" t="str">
        <f>IFERROR(IF(OR(HLOOKUP($A1215,#REF!,6,FALSE)&gt;2,HLOOKUP($A1215,#REF!,6,FALSE)&lt;-2),"",#REF!),"")</f>
        <v/>
      </c>
      <c r="I1215" t="str">
        <f>IFERROR(IF(OR(HLOOKUP($A1215,#REF!,7,FALSE)&gt;2,HLOOKUP($A1215,#REF!,7,FALSE)&lt;-2),"",#REF!),"")</f>
        <v/>
      </c>
      <c r="J1215" t="str">
        <f>IFERROR(IF(OR(HLOOKUP($A1215,#REF!,8,FALSE)&gt;2,HLOOKUP($A1215,#REF!,8,FALSE)&lt;-2),"",#REF!),"")</f>
        <v/>
      </c>
      <c r="K1215" t="str">
        <f>IFERROR(IF(OR(HLOOKUP($A1215,#REF!,9,FALSE)&gt;2,HLOOKUP($A1215,#REF!,9,FALSE)&lt;-2),"",#REF!),"")</f>
        <v/>
      </c>
      <c r="L1215" t="str">
        <f>IFERROR(IF(OR(HLOOKUP($A1215,#REF!,10,FALSE)&gt;2,HLOOKUP($A1215,#REF!,10,FALSE)&lt;-2),"",#REF!),"")</f>
        <v/>
      </c>
      <c r="M1215" t="str">
        <f>IFERROR(IF(OR(HLOOKUP($A1215,#REF!,11,FALSE)&gt;2,HLOOKUP($A1215,#REF!,11,FALSE)&lt;-2),"",#REF!),"")</f>
        <v/>
      </c>
      <c r="N1215" t="str">
        <f>IFERROR(IF(OR(HLOOKUP($A1215,#REF!,12,FALSE)&gt;2,HLOOKUP($A1215,#REF!,12,FALSE)&lt;-2),"",#REF!),"")</f>
        <v/>
      </c>
      <c r="O1215" t="str">
        <f>IFERROR(IF(OR(HLOOKUP($A1215,#REF!,13,FALSE)&gt;2,HLOOKUP($A1215,#REF!,13,FALSE)&lt;-2),"",#REF!),"")</f>
        <v/>
      </c>
      <c r="P1215" t="str">
        <f>IFERROR(IF(OR(HLOOKUP($A1215,#REF!,14,FALSE)&gt;2,HLOOKUP($A1215,#REF!,14,FALSE)&lt;-2),"",#REF!),"")</f>
        <v/>
      </c>
      <c r="Q1215" t="str">
        <f>IFERROR(IF(OR(HLOOKUP($A1215,#REF!,15,FALSE)&gt;2,HLOOKUP($A1215,#REF!,15,FALSE)&lt;-2),"",#REF!),"")</f>
        <v/>
      </c>
      <c r="R1215" t="str">
        <f>IFERROR(IF(OR(HLOOKUP($A1215,#REF!,16,FALSE)&gt;2,HLOOKUP($A1215,#REF!,16,FALSE)&lt;-2),"",#REF!),"")</f>
        <v/>
      </c>
      <c r="S1215" t="str">
        <f>IFERROR(IF(OR(HLOOKUP($A1215,#REF!,17,FALSE)&gt;2,HLOOKUP($A1215,#REF!,17,FALSE)&lt;-2),"",#REF!),"")</f>
        <v/>
      </c>
      <c r="T1215" t="str">
        <f>IFERROR(IF(OR(HLOOKUP($A1215,#REF!,18,FALSE)&gt;2,HLOOKUP($A1215,#REF!,18,FALSE)&lt;-2),"",#REF!),"")</f>
        <v/>
      </c>
      <c r="U1215" t="str">
        <f>IFERROR(IF(OR(HLOOKUP($A1215,#REF!,19,FALSE)&gt;2,HLOOKUP($A1215,#REF!,19,FALSE)&lt;-2),"",#REF!),"")</f>
        <v/>
      </c>
      <c r="V1215">
        <f t="shared" si="72"/>
        <v>1</v>
      </c>
      <c r="W1215" t="str">
        <f t="shared" si="73"/>
        <v/>
      </c>
      <c r="X1215" t="str">
        <f t="shared" si="74"/>
        <v/>
      </c>
      <c r="Y1215" t="str">
        <f t="shared" si="75"/>
        <v/>
      </c>
    </row>
    <row r="1216" spans="1:25" x14ac:dyDescent="0.35">
      <c r="A1216">
        <v>2486</v>
      </c>
      <c r="B1216" t="s">
        <v>1255</v>
      </c>
      <c r="C1216">
        <v>39000</v>
      </c>
      <c r="D1216">
        <v>2463</v>
      </c>
      <c r="E1216" t="str">
        <f>IFERROR(IF(OR(HLOOKUP($A1216,#REF!,3,FALSE)&gt;2,HLOOKUP(A1216,#REF!,3,FALSE)&lt;-2),"",#REF!),"")</f>
        <v/>
      </c>
      <c r="F1216" t="str">
        <f>IFERROR(IF(OR(HLOOKUP($A1216,#REF!,4,FALSE)&gt;2,HLOOKUP($A1216,#REF!,4,FALSE)&lt;-2),"",#REF!),"")</f>
        <v/>
      </c>
      <c r="G1216" t="str">
        <f>IFERROR(IF(OR(HLOOKUP($A1216,#REF!,5,FALSE)&gt;2,HLOOKUP($A1216,#REF!,5,FALSE)&lt;-2),"",#REF!),"")</f>
        <v/>
      </c>
      <c r="H1216" t="str">
        <f>IFERROR(IF(OR(HLOOKUP($A1216,#REF!,6,FALSE)&gt;2,HLOOKUP($A1216,#REF!,6,FALSE)&lt;-2),"",#REF!),"")</f>
        <v/>
      </c>
      <c r="I1216" t="str">
        <f>IFERROR(IF(OR(HLOOKUP($A1216,#REF!,7,FALSE)&gt;2,HLOOKUP($A1216,#REF!,7,FALSE)&lt;-2),"",#REF!),"")</f>
        <v/>
      </c>
      <c r="J1216" t="str">
        <f>IFERROR(IF(OR(HLOOKUP($A1216,#REF!,8,FALSE)&gt;2,HLOOKUP($A1216,#REF!,8,FALSE)&lt;-2),"",#REF!),"")</f>
        <v/>
      </c>
      <c r="K1216" t="str">
        <f>IFERROR(IF(OR(HLOOKUP($A1216,#REF!,9,FALSE)&gt;2,HLOOKUP($A1216,#REF!,9,FALSE)&lt;-2),"",#REF!),"")</f>
        <v/>
      </c>
      <c r="L1216" t="str">
        <f>IFERROR(IF(OR(HLOOKUP($A1216,#REF!,10,FALSE)&gt;2,HLOOKUP($A1216,#REF!,10,FALSE)&lt;-2),"",#REF!),"")</f>
        <v/>
      </c>
      <c r="M1216" t="str">
        <f>IFERROR(IF(OR(HLOOKUP($A1216,#REF!,11,FALSE)&gt;2,HLOOKUP($A1216,#REF!,11,FALSE)&lt;-2),"",#REF!),"")</f>
        <v/>
      </c>
      <c r="N1216" t="str">
        <f>IFERROR(IF(OR(HLOOKUP($A1216,#REF!,12,FALSE)&gt;2,HLOOKUP($A1216,#REF!,12,FALSE)&lt;-2),"",#REF!),"")</f>
        <v/>
      </c>
      <c r="O1216" t="str">
        <f>IFERROR(IF(OR(HLOOKUP($A1216,#REF!,13,FALSE)&gt;2,HLOOKUP($A1216,#REF!,13,FALSE)&lt;-2),"",#REF!),"")</f>
        <v/>
      </c>
      <c r="P1216" t="str">
        <f>IFERROR(IF(OR(HLOOKUP($A1216,#REF!,14,FALSE)&gt;2,HLOOKUP($A1216,#REF!,14,FALSE)&lt;-2),"",#REF!),"")</f>
        <v/>
      </c>
      <c r="Q1216" t="str">
        <f>IFERROR(IF(OR(HLOOKUP($A1216,#REF!,15,FALSE)&gt;2,HLOOKUP($A1216,#REF!,15,FALSE)&lt;-2),"",#REF!),"")</f>
        <v/>
      </c>
      <c r="R1216" t="str">
        <f>IFERROR(IF(OR(HLOOKUP($A1216,#REF!,16,FALSE)&gt;2,HLOOKUP($A1216,#REF!,16,FALSE)&lt;-2),"",#REF!),"")</f>
        <v/>
      </c>
      <c r="S1216" t="str">
        <f>IFERROR(IF(OR(HLOOKUP($A1216,#REF!,17,FALSE)&gt;2,HLOOKUP($A1216,#REF!,17,FALSE)&lt;-2),"",#REF!),"")</f>
        <v/>
      </c>
      <c r="T1216" t="str">
        <f>IFERROR(IF(OR(HLOOKUP($A1216,#REF!,18,FALSE)&gt;2,HLOOKUP($A1216,#REF!,18,FALSE)&lt;-2),"",#REF!),"")</f>
        <v/>
      </c>
      <c r="U1216" t="str">
        <f>IFERROR(IF(OR(HLOOKUP($A1216,#REF!,19,FALSE)&gt;2,HLOOKUP($A1216,#REF!,19,FALSE)&lt;-2),"",#REF!),"")</f>
        <v/>
      </c>
      <c r="V1216">
        <f t="shared" si="72"/>
        <v>1</v>
      </c>
      <c r="W1216" t="str">
        <f t="shared" si="73"/>
        <v/>
      </c>
      <c r="X1216" t="str">
        <f t="shared" si="74"/>
        <v/>
      </c>
      <c r="Y1216" t="str">
        <f t="shared" si="75"/>
        <v/>
      </c>
    </row>
    <row r="1217" spans="1:25" x14ac:dyDescent="0.35">
      <c r="A1217">
        <v>2495</v>
      </c>
      <c r="B1217" t="s">
        <v>1256</v>
      </c>
      <c r="C1217">
        <v>39100</v>
      </c>
      <c r="D1217">
        <v>2463</v>
      </c>
      <c r="E1217" t="str">
        <f>IFERROR(IF(OR(HLOOKUP($A1217,#REF!,3,FALSE)&gt;2,HLOOKUP(A1217,#REF!,3,FALSE)&lt;-2),"",#REF!),"")</f>
        <v/>
      </c>
      <c r="F1217" t="str">
        <f>IFERROR(IF(OR(HLOOKUP($A1217,#REF!,4,FALSE)&gt;2,HLOOKUP($A1217,#REF!,4,FALSE)&lt;-2),"",#REF!),"")</f>
        <v/>
      </c>
      <c r="G1217" t="str">
        <f>IFERROR(IF(OR(HLOOKUP($A1217,#REF!,5,FALSE)&gt;2,HLOOKUP($A1217,#REF!,5,FALSE)&lt;-2),"",#REF!),"")</f>
        <v/>
      </c>
      <c r="H1217" t="str">
        <f>IFERROR(IF(OR(HLOOKUP($A1217,#REF!,6,FALSE)&gt;2,HLOOKUP($A1217,#REF!,6,FALSE)&lt;-2),"",#REF!),"")</f>
        <v/>
      </c>
      <c r="I1217" t="str">
        <f>IFERROR(IF(OR(HLOOKUP($A1217,#REF!,7,FALSE)&gt;2,HLOOKUP($A1217,#REF!,7,FALSE)&lt;-2),"",#REF!),"")</f>
        <v/>
      </c>
      <c r="J1217" t="str">
        <f>IFERROR(IF(OR(HLOOKUP($A1217,#REF!,8,FALSE)&gt;2,HLOOKUP($A1217,#REF!,8,FALSE)&lt;-2),"",#REF!),"")</f>
        <v/>
      </c>
      <c r="K1217" t="str">
        <f>IFERROR(IF(OR(HLOOKUP($A1217,#REF!,9,FALSE)&gt;2,HLOOKUP($A1217,#REF!,9,FALSE)&lt;-2),"",#REF!),"")</f>
        <v/>
      </c>
      <c r="L1217" t="str">
        <f>IFERROR(IF(OR(HLOOKUP($A1217,#REF!,10,FALSE)&gt;2,HLOOKUP($A1217,#REF!,10,FALSE)&lt;-2),"",#REF!),"")</f>
        <v/>
      </c>
      <c r="M1217" t="str">
        <f>IFERROR(IF(OR(HLOOKUP($A1217,#REF!,11,FALSE)&gt;2,HLOOKUP($A1217,#REF!,11,FALSE)&lt;-2),"",#REF!),"")</f>
        <v/>
      </c>
      <c r="N1217" t="str">
        <f>IFERROR(IF(OR(HLOOKUP($A1217,#REF!,12,FALSE)&gt;2,HLOOKUP($A1217,#REF!,12,FALSE)&lt;-2),"",#REF!),"")</f>
        <v/>
      </c>
      <c r="O1217" t="str">
        <f>IFERROR(IF(OR(HLOOKUP($A1217,#REF!,13,FALSE)&gt;2,HLOOKUP($A1217,#REF!,13,FALSE)&lt;-2),"",#REF!),"")</f>
        <v/>
      </c>
      <c r="P1217" t="str">
        <f>IFERROR(IF(OR(HLOOKUP($A1217,#REF!,14,FALSE)&gt;2,HLOOKUP($A1217,#REF!,14,FALSE)&lt;-2),"",#REF!),"")</f>
        <v/>
      </c>
      <c r="Q1217" t="str">
        <f>IFERROR(IF(OR(HLOOKUP($A1217,#REF!,15,FALSE)&gt;2,HLOOKUP($A1217,#REF!,15,FALSE)&lt;-2),"",#REF!),"")</f>
        <v/>
      </c>
      <c r="R1217" t="str">
        <f>IFERROR(IF(OR(HLOOKUP($A1217,#REF!,16,FALSE)&gt;2,HLOOKUP($A1217,#REF!,16,FALSE)&lt;-2),"",#REF!),"")</f>
        <v/>
      </c>
      <c r="S1217" t="str">
        <f>IFERROR(IF(OR(HLOOKUP($A1217,#REF!,17,FALSE)&gt;2,HLOOKUP($A1217,#REF!,17,FALSE)&lt;-2),"",#REF!),"")</f>
        <v/>
      </c>
      <c r="T1217" t="str">
        <f>IFERROR(IF(OR(HLOOKUP($A1217,#REF!,18,FALSE)&gt;2,HLOOKUP($A1217,#REF!,18,FALSE)&lt;-2),"",#REF!),"")</f>
        <v/>
      </c>
      <c r="U1217" t="str">
        <f>IFERROR(IF(OR(HLOOKUP($A1217,#REF!,19,FALSE)&gt;2,HLOOKUP($A1217,#REF!,19,FALSE)&lt;-2),"",#REF!),"")</f>
        <v/>
      </c>
      <c r="V1217">
        <f t="shared" si="72"/>
        <v>1</v>
      </c>
      <c r="W1217" t="str">
        <f t="shared" si="73"/>
        <v/>
      </c>
      <c r="X1217" t="str">
        <f t="shared" si="74"/>
        <v/>
      </c>
      <c r="Y1217" t="str">
        <f t="shared" si="75"/>
        <v/>
      </c>
    </row>
    <row r="1218" spans="1:25" x14ac:dyDescent="0.35">
      <c r="A1218">
        <v>2504</v>
      </c>
      <c r="B1218" t="s">
        <v>1257</v>
      </c>
      <c r="C1218">
        <v>39200</v>
      </c>
      <c r="D1218">
        <v>2463</v>
      </c>
      <c r="E1218" t="str">
        <f>IFERROR(IF(OR(HLOOKUP($A1218,#REF!,3,FALSE)&gt;2,HLOOKUP(A1218,#REF!,3,FALSE)&lt;-2),"",#REF!),"")</f>
        <v/>
      </c>
      <c r="F1218" t="str">
        <f>IFERROR(IF(OR(HLOOKUP($A1218,#REF!,4,FALSE)&gt;2,HLOOKUP($A1218,#REF!,4,FALSE)&lt;-2),"",#REF!),"")</f>
        <v/>
      </c>
      <c r="G1218" t="str">
        <f>IFERROR(IF(OR(HLOOKUP($A1218,#REF!,5,FALSE)&gt;2,HLOOKUP($A1218,#REF!,5,FALSE)&lt;-2),"",#REF!),"")</f>
        <v/>
      </c>
      <c r="H1218" t="str">
        <f>IFERROR(IF(OR(HLOOKUP($A1218,#REF!,6,FALSE)&gt;2,HLOOKUP($A1218,#REF!,6,FALSE)&lt;-2),"",#REF!),"")</f>
        <v/>
      </c>
      <c r="I1218" t="str">
        <f>IFERROR(IF(OR(HLOOKUP($A1218,#REF!,7,FALSE)&gt;2,HLOOKUP($A1218,#REF!,7,FALSE)&lt;-2),"",#REF!),"")</f>
        <v/>
      </c>
      <c r="J1218" t="str">
        <f>IFERROR(IF(OR(HLOOKUP($A1218,#REF!,8,FALSE)&gt;2,HLOOKUP($A1218,#REF!,8,FALSE)&lt;-2),"",#REF!),"")</f>
        <v/>
      </c>
      <c r="K1218" t="str">
        <f>IFERROR(IF(OR(HLOOKUP($A1218,#REF!,9,FALSE)&gt;2,HLOOKUP($A1218,#REF!,9,FALSE)&lt;-2),"",#REF!),"")</f>
        <v/>
      </c>
      <c r="L1218" t="str">
        <f>IFERROR(IF(OR(HLOOKUP($A1218,#REF!,10,FALSE)&gt;2,HLOOKUP($A1218,#REF!,10,FALSE)&lt;-2),"",#REF!),"")</f>
        <v/>
      </c>
      <c r="M1218" t="str">
        <f>IFERROR(IF(OR(HLOOKUP($A1218,#REF!,11,FALSE)&gt;2,HLOOKUP($A1218,#REF!,11,FALSE)&lt;-2),"",#REF!),"")</f>
        <v/>
      </c>
      <c r="N1218" t="str">
        <f>IFERROR(IF(OR(HLOOKUP($A1218,#REF!,12,FALSE)&gt;2,HLOOKUP($A1218,#REF!,12,FALSE)&lt;-2),"",#REF!),"")</f>
        <v/>
      </c>
      <c r="O1218" t="str">
        <f>IFERROR(IF(OR(HLOOKUP($A1218,#REF!,13,FALSE)&gt;2,HLOOKUP($A1218,#REF!,13,FALSE)&lt;-2),"",#REF!),"")</f>
        <v/>
      </c>
      <c r="P1218" t="str">
        <f>IFERROR(IF(OR(HLOOKUP($A1218,#REF!,14,FALSE)&gt;2,HLOOKUP($A1218,#REF!,14,FALSE)&lt;-2),"",#REF!),"")</f>
        <v/>
      </c>
      <c r="Q1218" t="str">
        <f>IFERROR(IF(OR(HLOOKUP($A1218,#REF!,15,FALSE)&gt;2,HLOOKUP($A1218,#REF!,15,FALSE)&lt;-2),"",#REF!),"")</f>
        <v/>
      </c>
      <c r="R1218" t="str">
        <f>IFERROR(IF(OR(HLOOKUP($A1218,#REF!,16,FALSE)&gt;2,HLOOKUP($A1218,#REF!,16,FALSE)&lt;-2),"",#REF!),"")</f>
        <v/>
      </c>
      <c r="S1218" t="str">
        <f>IFERROR(IF(OR(HLOOKUP($A1218,#REF!,17,FALSE)&gt;2,HLOOKUP($A1218,#REF!,17,FALSE)&lt;-2),"",#REF!),"")</f>
        <v/>
      </c>
      <c r="T1218" t="str">
        <f>IFERROR(IF(OR(HLOOKUP($A1218,#REF!,18,FALSE)&gt;2,HLOOKUP($A1218,#REF!,18,FALSE)&lt;-2),"",#REF!),"")</f>
        <v/>
      </c>
      <c r="U1218" t="str">
        <f>IFERROR(IF(OR(HLOOKUP($A1218,#REF!,19,FALSE)&gt;2,HLOOKUP($A1218,#REF!,19,FALSE)&lt;-2),"",#REF!),"")</f>
        <v/>
      </c>
      <c r="V1218">
        <f t="shared" si="72"/>
        <v>1</v>
      </c>
      <c r="W1218" t="str">
        <f t="shared" si="73"/>
        <v/>
      </c>
      <c r="X1218" t="str">
        <f t="shared" si="74"/>
        <v/>
      </c>
      <c r="Y1218" t="str">
        <f t="shared" si="75"/>
        <v/>
      </c>
    </row>
    <row r="1219" spans="1:25" x14ac:dyDescent="0.35">
      <c r="A1219">
        <v>2632</v>
      </c>
      <c r="B1219" t="s">
        <v>566</v>
      </c>
      <c r="C1219">
        <v>39600</v>
      </c>
      <c r="D1219">
        <v>2726</v>
      </c>
      <c r="E1219" t="str">
        <f>IFERROR(IF(OR(HLOOKUP($A1219,#REF!,3,FALSE)&gt;2,HLOOKUP(A1219,#REF!,3,FALSE)&lt;-2),"",#REF!),"")</f>
        <v/>
      </c>
      <c r="F1219" t="str">
        <f>IFERROR(IF(OR(HLOOKUP($A1219,#REF!,4,FALSE)&gt;2,HLOOKUP($A1219,#REF!,4,FALSE)&lt;-2),"",#REF!),"")</f>
        <v/>
      </c>
      <c r="G1219" t="str">
        <f>IFERROR(IF(OR(HLOOKUP($A1219,#REF!,5,FALSE)&gt;2,HLOOKUP($A1219,#REF!,5,FALSE)&lt;-2),"",#REF!),"")</f>
        <v/>
      </c>
      <c r="H1219" t="str">
        <f>IFERROR(IF(OR(HLOOKUP($A1219,#REF!,6,FALSE)&gt;2,HLOOKUP($A1219,#REF!,6,FALSE)&lt;-2),"",#REF!),"")</f>
        <v/>
      </c>
      <c r="I1219" t="str">
        <f>IFERROR(IF(OR(HLOOKUP($A1219,#REF!,7,FALSE)&gt;2,HLOOKUP($A1219,#REF!,7,FALSE)&lt;-2),"",#REF!),"")</f>
        <v/>
      </c>
      <c r="J1219" t="str">
        <f>IFERROR(IF(OR(HLOOKUP($A1219,#REF!,8,FALSE)&gt;2,HLOOKUP($A1219,#REF!,8,FALSE)&lt;-2),"",#REF!),"")</f>
        <v/>
      </c>
      <c r="K1219" t="str">
        <f>IFERROR(IF(OR(HLOOKUP($A1219,#REF!,9,FALSE)&gt;2,HLOOKUP($A1219,#REF!,9,FALSE)&lt;-2),"",#REF!),"")</f>
        <v/>
      </c>
      <c r="L1219" t="str">
        <f>IFERROR(IF(OR(HLOOKUP($A1219,#REF!,10,FALSE)&gt;2,HLOOKUP($A1219,#REF!,10,FALSE)&lt;-2),"",#REF!),"")</f>
        <v/>
      </c>
      <c r="M1219" t="str">
        <f>IFERROR(IF(OR(HLOOKUP($A1219,#REF!,11,FALSE)&gt;2,HLOOKUP($A1219,#REF!,11,FALSE)&lt;-2),"",#REF!),"")</f>
        <v/>
      </c>
      <c r="N1219" t="str">
        <f>IFERROR(IF(OR(HLOOKUP($A1219,#REF!,12,FALSE)&gt;2,HLOOKUP($A1219,#REF!,12,FALSE)&lt;-2),"",#REF!),"")</f>
        <v/>
      </c>
      <c r="O1219" t="str">
        <f>IFERROR(IF(OR(HLOOKUP($A1219,#REF!,13,FALSE)&gt;2,HLOOKUP($A1219,#REF!,13,FALSE)&lt;-2),"",#REF!),"")</f>
        <v/>
      </c>
      <c r="P1219" t="str">
        <f>IFERROR(IF(OR(HLOOKUP($A1219,#REF!,14,FALSE)&gt;2,HLOOKUP($A1219,#REF!,14,FALSE)&lt;-2),"",#REF!),"")</f>
        <v/>
      </c>
      <c r="Q1219" t="str">
        <f>IFERROR(IF(OR(HLOOKUP($A1219,#REF!,15,FALSE)&gt;2,HLOOKUP($A1219,#REF!,15,FALSE)&lt;-2),"",#REF!),"")</f>
        <v/>
      </c>
      <c r="R1219" t="str">
        <f>IFERROR(IF(OR(HLOOKUP($A1219,#REF!,16,FALSE)&gt;2,HLOOKUP($A1219,#REF!,16,FALSE)&lt;-2),"",#REF!),"")</f>
        <v/>
      </c>
      <c r="S1219" t="str">
        <f>IFERROR(IF(OR(HLOOKUP($A1219,#REF!,17,FALSE)&gt;2,HLOOKUP($A1219,#REF!,17,FALSE)&lt;-2),"",#REF!),"")</f>
        <v/>
      </c>
      <c r="T1219" t="str">
        <f>IFERROR(IF(OR(HLOOKUP($A1219,#REF!,18,FALSE)&gt;2,HLOOKUP($A1219,#REF!,18,FALSE)&lt;-2),"",#REF!),"")</f>
        <v/>
      </c>
      <c r="U1219" t="str">
        <f>IFERROR(IF(OR(HLOOKUP($A1219,#REF!,19,FALSE)&gt;2,HLOOKUP($A1219,#REF!,19,FALSE)&lt;-2),"",#REF!),"")</f>
        <v/>
      </c>
      <c r="V1219">
        <f t="shared" si="72"/>
        <v>1</v>
      </c>
      <c r="W1219" t="str">
        <f t="shared" si="73"/>
        <v/>
      </c>
      <c r="X1219" t="str">
        <f t="shared" si="74"/>
        <v/>
      </c>
      <c r="Y1219" t="str">
        <f t="shared" si="75"/>
        <v/>
      </c>
    </row>
    <row r="1220" spans="1:25" x14ac:dyDescent="0.35">
      <c r="A1220">
        <v>2726</v>
      </c>
      <c r="B1220" t="s">
        <v>567</v>
      </c>
      <c r="C1220">
        <v>39300</v>
      </c>
      <c r="D1220">
        <v>1080</v>
      </c>
      <c r="E1220" t="str">
        <f>IFERROR(IF(OR(HLOOKUP($A1220,#REF!,3,FALSE)&gt;2,HLOOKUP(A1220,#REF!,3,FALSE)&lt;-2),"",#REF!),"")</f>
        <v/>
      </c>
      <c r="F1220" t="str">
        <f>IFERROR(IF(OR(HLOOKUP($A1220,#REF!,4,FALSE)&gt;2,HLOOKUP($A1220,#REF!,4,FALSE)&lt;-2),"",#REF!),"")</f>
        <v/>
      </c>
      <c r="G1220" t="str">
        <f>IFERROR(IF(OR(HLOOKUP($A1220,#REF!,5,FALSE)&gt;2,HLOOKUP($A1220,#REF!,5,FALSE)&lt;-2),"",#REF!),"")</f>
        <v/>
      </c>
      <c r="H1220" t="str">
        <f>IFERROR(IF(OR(HLOOKUP($A1220,#REF!,6,FALSE)&gt;2,HLOOKUP($A1220,#REF!,6,FALSE)&lt;-2),"",#REF!),"")</f>
        <v/>
      </c>
      <c r="I1220" t="str">
        <f>IFERROR(IF(OR(HLOOKUP($A1220,#REF!,7,FALSE)&gt;2,HLOOKUP($A1220,#REF!,7,FALSE)&lt;-2),"",#REF!),"")</f>
        <v/>
      </c>
      <c r="J1220" t="str">
        <f>IFERROR(IF(OR(HLOOKUP($A1220,#REF!,8,FALSE)&gt;2,HLOOKUP($A1220,#REF!,8,FALSE)&lt;-2),"",#REF!),"")</f>
        <v/>
      </c>
      <c r="K1220" t="str">
        <f>IFERROR(IF(OR(HLOOKUP($A1220,#REF!,9,FALSE)&gt;2,HLOOKUP($A1220,#REF!,9,FALSE)&lt;-2),"",#REF!),"")</f>
        <v/>
      </c>
      <c r="L1220" t="str">
        <f>IFERROR(IF(OR(HLOOKUP($A1220,#REF!,10,FALSE)&gt;2,HLOOKUP($A1220,#REF!,10,FALSE)&lt;-2),"",#REF!),"")</f>
        <v/>
      </c>
      <c r="M1220" t="str">
        <f>IFERROR(IF(OR(HLOOKUP($A1220,#REF!,11,FALSE)&gt;2,HLOOKUP($A1220,#REF!,11,FALSE)&lt;-2),"",#REF!),"")</f>
        <v/>
      </c>
      <c r="N1220" t="str">
        <f>IFERROR(IF(OR(HLOOKUP($A1220,#REF!,12,FALSE)&gt;2,HLOOKUP($A1220,#REF!,12,FALSE)&lt;-2),"",#REF!),"")</f>
        <v/>
      </c>
      <c r="O1220" t="str">
        <f>IFERROR(IF(OR(HLOOKUP($A1220,#REF!,13,FALSE)&gt;2,HLOOKUP($A1220,#REF!,13,FALSE)&lt;-2),"",#REF!),"")</f>
        <v/>
      </c>
      <c r="P1220" t="str">
        <f>IFERROR(IF(OR(HLOOKUP($A1220,#REF!,14,FALSE)&gt;2,HLOOKUP($A1220,#REF!,14,FALSE)&lt;-2),"",#REF!),"")</f>
        <v/>
      </c>
      <c r="Q1220" t="str">
        <f>IFERROR(IF(OR(HLOOKUP($A1220,#REF!,15,FALSE)&gt;2,HLOOKUP($A1220,#REF!,15,FALSE)&lt;-2),"",#REF!),"")</f>
        <v/>
      </c>
      <c r="R1220" t="str">
        <f>IFERROR(IF(OR(HLOOKUP($A1220,#REF!,16,FALSE)&gt;2,HLOOKUP($A1220,#REF!,16,FALSE)&lt;-2),"",#REF!),"")</f>
        <v/>
      </c>
      <c r="S1220" t="str">
        <f>IFERROR(IF(OR(HLOOKUP($A1220,#REF!,17,FALSE)&gt;2,HLOOKUP($A1220,#REF!,17,FALSE)&lt;-2),"",#REF!),"")</f>
        <v/>
      </c>
      <c r="T1220" t="str">
        <f>IFERROR(IF(OR(HLOOKUP($A1220,#REF!,18,FALSE)&gt;2,HLOOKUP($A1220,#REF!,18,FALSE)&lt;-2),"",#REF!),"")</f>
        <v/>
      </c>
      <c r="U1220" t="str">
        <f>IFERROR(IF(OR(HLOOKUP($A1220,#REF!,19,FALSE)&gt;2,HLOOKUP($A1220,#REF!,19,FALSE)&lt;-2),"",#REF!),"")</f>
        <v/>
      </c>
      <c r="V1220">
        <f t="shared" ref="V1220:V1244" si="76">IFERROR(IF(AND(X1220=0,Y1220=0),0,1),0)</f>
        <v>1</v>
      </c>
      <c r="W1220" t="str">
        <f t="shared" si="73"/>
        <v/>
      </c>
      <c r="X1220" t="str">
        <f t="shared" ref="X1220:X1244" si="77">IFERROR(AVERAGE(E1220:M1220),"")</f>
        <v/>
      </c>
      <c r="Y1220" t="str">
        <f t="shared" ref="Y1220:Y1244" si="78">IFERROR(AVERAGE(N1220:U1220),"")</f>
        <v/>
      </c>
    </row>
    <row r="1221" spans="1:25" x14ac:dyDescent="0.35">
      <c r="A1221">
        <v>2734</v>
      </c>
      <c r="B1221" t="s">
        <v>1258</v>
      </c>
      <c r="C1221">
        <v>39800</v>
      </c>
      <c r="D1221">
        <v>2726</v>
      </c>
      <c r="E1221" t="str">
        <f>IFERROR(IF(OR(HLOOKUP($A1221,#REF!,3,FALSE)&gt;2,HLOOKUP(A1221,#REF!,3,FALSE)&lt;-2),"",#REF!),"")</f>
        <v/>
      </c>
      <c r="F1221" t="str">
        <f>IFERROR(IF(OR(HLOOKUP($A1221,#REF!,4,FALSE)&gt;2,HLOOKUP($A1221,#REF!,4,FALSE)&lt;-2),"",#REF!),"")</f>
        <v/>
      </c>
      <c r="G1221" t="str">
        <f>IFERROR(IF(OR(HLOOKUP($A1221,#REF!,5,FALSE)&gt;2,HLOOKUP($A1221,#REF!,5,FALSE)&lt;-2),"",#REF!),"")</f>
        <v/>
      </c>
      <c r="H1221" t="str">
        <f>IFERROR(IF(OR(HLOOKUP($A1221,#REF!,6,FALSE)&gt;2,HLOOKUP($A1221,#REF!,6,FALSE)&lt;-2),"",#REF!),"")</f>
        <v/>
      </c>
      <c r="I1221" t="str">
        <f>IFERROR(IF(OR(HLOOKUP($A1221,#REF!,7,FALSE)&gt;2,HLOOKUP($A1221,#REF!,7,FALSE)&lt;-2),"",#REF!),"")</f>
        <v/>
      </c>
      <c r="J1221" t="str">
        <f>IFERROR(IF(OR(HLOOKUP($A1221,#REF!,8,FALSE)&gt;2,HLOOKUP($A1221,#REF!,8,FALSE)&lt;-2),"",#REF!),"")</f>
        <v/>
      </c>
      <c r="K1221" t="str">
        <f>IFERROR(IF(OR(HLOOKUP($A1221,#REF!,9,FALSE)&gt;2,HLOOKUP($A1221,#REF!,9,FALSE)&lt;-2),"",#REF!),"")</f>
        <v/>
      </c>
      <c r="L1221" t="str">
        <f>IFERROR(IF(OR(HLOOKUP($A1221,#REF!,10,FALSE)&gt;2,HLOOKUP($A1221,#REF!,10,FALSE)&lt;-2),"",#REF!),"")</f>
        <v/>
      </c>
      <c r="M1221" t="str">
        <f>IFERROR(IF(OR(HLOOKUP($A1221,#REF!,11,FALSE)&gt;2,HLOOKUP($A1221,#REF!,11,FALSE)&lt;-2),"",#REF!),"")</f>
        <v/>
      </c>
      <c r="N1221" t="str">
        <f>IFERROR(IF(OR(HLOOKUP($A1221,#REF!,12,FALSE)&gt;2,HLOOKUP($A1221,#REF!,12,FALSE)&lt;-2),"",#REF!),"")</f>
        <v/>
      </c>
      <c r="O1221" t="str">
        <f>IFERROR(IF(OR(HLOOKUP($A1221,#REF!,13,FALSE)&gt;2,HLOOKUP($A1221,#REF!,13,FALSE)&lt;-2),"",#REF!),"")</f>
        <v/>
      </c>
      <c r="P1221" t="str">
        <f>IFERROR(IF(OR(HLOOKUP($A1221,#REF!,14,FALSE)&gt;2,HLOOKUP($A1221,#REF!,14,FALSE)&lt;-2),"",#REF!),"")</f>
        <v/>
      </c>
      <c r="Q1221" t="str">
        <f>IFERROR(IF(OR(HLOOKUP($A1221,#REF!,15,FALSE)&gt;2,HLOOKUP($A1221,#REF!,15,FALSE)&lt;-2),"",#REF!),"")</f>
        <v/>
      </c>
      <c r="R1221" t="str">
        <f>IFERROR(IF(OR(HLOOKUP($A1221,#REF!,16,FALSE)&gt;2,HLOOKUP($A1221,#REF!,16,FALSE)&lt;-2),"",#REF!),"")</f>
        <v/>
      </c>
      <c r="S1221" t="str">
        <f>IFERROR(IF(OR(HLOOKUP($A1221,#REF!,17,FALSE)&gt;2,HLOOKUP($A1221,#REF!,17,FALSE)&lt;-2),"",#REF!),"")</f>
        <v/>
      </c>
      <c r="T1221" t="str">
        <f>IFERROR(IF(OR(HLOOKUP($A1221,#REF!,18,FALSE)&gt;2,HLOOKUP($A1221,#REF!,18,FALSE)&lt;-2),"",#REF!),"")</f>
        <v/>
      </c>
      <c r="U1221" t="str">
        <f>IFERROR(IF(OR(HLOOKUP($A1221,#REF!,19,FALSE)&gt;2,HLOOKUP($A1221,#REF!,19,FALSE)&lt;-2),"",#REF!),"")</f>
        <v/>
      </c>
      <c r="V1221">
        <f t="shared" si="76"/>
        <v>1</v>
      </c>
      <c r="W1221" t="str">
        <f t="shared" si="73"/>
        <v/>
      </c>
      <c r="X1221" t="str">
        <f t="shared" si="77"/>
        <v/>
      </c>
      <c r="Y1221" t="str">
        <f t="shared" si="78"/>
        <v/>
      </c>
    </row>
    <row r="1222" spans="1:25" x14ac:dyDescent="0.35">
      <c r="A1222">
        <v>2742</v>
      </c>
      <c r="B1222" t="s">
        <v>1259</v>
      </c>
      <c r="C1222">
        <v>39900</v>
      </c>
      <c r="D1222">
        <v>2734</v>
      </c>
      <c r="E1222" t="str">
        <f>IFERROR(IF(OR(HLOOKUP($A1222,#REF!,3,FALSE)&gt;2,HLOOKUP(A1222,#REF!,3,FALSE)&lt;-2),"",#REF!),"")</f>
        <v/>
      </c>
      <c r="F1222" t="str">
        <f>IFERROR(IF(OR(HLOOKUP($A1222,#REF!,4,FALSE)&gt;2,HLOOKUP($A1222,#REF!,4,FALSE)&lt;-2),"",#REF!),"")</f>
        <v/>
      </c>
      <c r="G1222" t="str">
        <f>IFERROR(IF(OR(HLOOKUP($A1222,#REF!,5,FALSE)&gt;2,HLOOKUP($A1222,#REF!,5,FALSE)&lt;-2),"",#REF!),"")</f>
        <v/>
      </c>
      <c r="H1222" t="str">
        <f>IFERROR(IF(OR(HLOOKUP($A1222,#REF!,6,FALSE)&gt;2,HLOOKUP($A1222,#REF!,6,FALSE)&lt;-2),"",#REF!),"")</f>
        <v/>
      </c>
      <c r="I1222" t="str">
        <f>IFERROR(IF(OR(HLOOKUP($A1222,#REF!,7,FALSE)&gt;2,HLOOKUP($A1222,#REF!,7,FALSE)&lt;-2),"",#REF!),"")</f>
        <v/>
      </c>
      <c r="J1222" t="str">
        <f>IFERROR(IF(OR(HLOOKUP($A1222,#REF!,8,FALSE)&gt;2,HLOOKUP($A1222,#REF!,8,FALSE)&lt;-2),"",#REF!),"")</f>
        <v/>
      </c>
      <c r="K1222" t="str">
        <f>IFERROR(IF(OR(HLOOKUP($A1222,#REF!,9,FALSE)&gt;2,HLOOKUP($A1222,#REF!,9,FALSE)&lt;-2),"",#REF!),"")</f>
        <v/>
      </c>
      <c r="L1222" t="str">
        <f>IFERROR(IF(OR(HLOOKUP($A1222,#REF!,10,FALSE)&gt;2,HLOOKUP($A1222,#REF!,10,FALSE)&lt;-2),"",#REF!),"")</f>
        <v/>
      </c>
      <c r="M1222" t="str">
        <f>IFERROR(IF(OR(HLOOKUP($A1222,#REF!,11,FALSE)&gt;2,HLOOKUP($A1222,#REF!,11,FALSE)&lt;-2),"",#REF!),"")</f>
        <v/>
      </c>
      <c r="N1222" t="str">
        <f>IFERROR(IF(OR(HLOOKUP($A1222,#REF!,12,FALSE)&gt;2,HLOOKUP($A1222,#REF!,12,FALSE)&lt;-2),"",#REF!),"")</f>
        <v/>
      </c>
      <c r="O1222" t="str">
        <f>IFERROR(IF(OR(HLOOKUP($A1222,#REF!,13,FALSE)&gt;2,HLOOKUP($A1222,#REF!,13,FALSE)&lt;-2),"",#REF!),"")</f>
        <v/>
      </c>
      <c r="P1222" t="str">
        <f>IFERROR(IF(OR(HLOOKUP($A1222,#REF!,14,FALSE)&gt;2,HLOOKUP($A1222,#REF!,14,FALSE)&lt;-2),"",#REF!),"")</f>
        <v/>
      </c>
      <c r="Q1222" t="str">
        <f>IFERROR(IF(OR(HLOOKUP($A1222,#REF!,15,FALSE)&gt;2,HLOOKUP($A1222,#REF!,15,FALSE)&lt;-2),"",#REF!),"")</f>
        <v/>
      </c>
      <c r="R1222" t="str">
        <f>IFERROR(IF(OR(HLOOKUP($A1222,#REF!,16,FALSE)&gt;2,HLOOKUP($A1222,#REF!,16,FALSE)&lt;-2),"",#REF!),"")</f>
        <v/>
      </c>
      <c r="S1222" t="str">
        <f>IFERROR(IF(OR(HLOOKUP($A1222,#REF!,17,FALSE)&gt;2,HLOOKUP($A1222,#REF!,17,FALSE)&lt;-2),"",#REF!),"")</f>
        <v/>
      </c>
      <c r="T1222" t="str">
        <f>IFERROR(IF(OR(HLOOKUP($A1222,#REF!,18,FALSE)&gt;2,HLOOKUP($A1222,#REF!,18,FALSE)&lt;-2),"",#REF!),"")</f>
        <v/>
      </c>
      <c r="U1222" t="str">
        <f>IFERROR(IF(OR(HLOOKUP($A1222,#REF!,19,FALSE)&gt;2,HLOOKUP($A1222,#REF!,19,FALSE)&lt;-2),"",#REF!),"")</f>
        <v/>
      </c>
      <c r="V1222">
        <f t="shared" si="76"/>
        <v>1</v>
      </c>
      <c r="W1222" t="str">
        <f t="shared" si="73"/>
        <v/>
      </c>
      <c r="X1222" t="str">
        <f t="shared" si="77"/>
        <v/>
      </c>
      <c r="Y1222" t="str">
        <f t="shared" si="78"/>
        <v/>
      </c>
    </row>
    <row r="1223" spans="1:25" x14ac:dyDescent="0.35">
      <c r="A1223">
        <v>2751</v>
      </c>
      <c r="B1223" t="s">
        <v>1260</v>
      </c>
      <c r="C1223">
        <v>40000</v>
      </c>
      <c r="D1223">
        <v>2734</v>
      </c>
      <c r="E1223" t="str">
        <f>IFERROR(IF(OR(HLOOKUP($A1223,#REF!,3,FALSE)&gt;2,HLOOKUP(A1223,#REF!,3,FALSE)&lt;-2),"",#REF!),"")</f>
        <v/>
      </c>
      <c r="F1223" t="str">
        <f>IFERROR(IF(OR(HLOOKUP($A1223,#REF!,4,FALSE)&gt;2,HLOOKUP($A1223,#REF!,4,FALSE)&lt;-2),"",#REF!),"")</f>
        <v/>
      </c>
      <c r="G1223" t="str">
        <f>IFERROR(IF(OR(HLOOKUP($A1223,#REF!,5,FALSE)&gt;2,HLOOKUP($A1223,#REF!,5,FALSE)&lt;-2),"",#REF!),"")</f>
        <v/>
      </c>
      <c r="H1223" t="str">
        <f>IFERROR(IF(OR(HLOOKUP($A1223,#REF!,6,FALSE)&gt;2,HLOOKUP($A1223,#REF!,6,FALSE)&lt;-2),"",#REF!),"")</f>
        <v/>
      </c>
      <c r="I1223" t="str">
        <f>IFERROR(IF(OR(HLOOKUP($A1223,#REF!,7,FALSE)&gt;2,HLOOKUP($A1223,#REF!,7,FALSE)&lt;-2),"",#REF!),"")</f>
        <v/>
      </c>
      <c r="J1223" t="str">
        <f>IFERROR(IF(OR(HLOOKUP($A1223,#REF!,8,FALSE)&gt;2,HLOOKUP($A1223,#REF!,8,FALSE)&lt;-2),"",#REF!),"")</f>
        <v/>
      </c>
      <c r="K1223" t="str">
        <f>IFERROR(IF(OR(HLOOKUP($A1223,#REF!,9,FALSE)&gt;2,HLOOKUP($A1223,#REF!,9,FALSE)&lt;-2),"",#REF!),"")</f>
        <v/>
      </c>
      <c r="L1223" t="str">
        <f>IFERROR(IF(OR(HLOOKUP($A1223,#REF!,10,FALSE)&gt;2,HLOOKUP($A1223,#REF!,10,FALSE)&lt;-2),"",#REF!),"")</f>
        <v/>
      </c>
      <c r="M1223" t="str">
        <f>IFERROR(IF(OR(HLOOKUP($A1223,#REF!,11,FALSE)&gt;2,HLOOKUP($A1223,#REF!,11,FALSE)&lt;-2),"",#REF!),"")</f>
        <v/>
      </c>
      <c r="N1223" t="str">
        <f>IFERROR(IF(OR(HLOOKUP($A1223,#REF!,12,FALSE)&gt;2,HLOOKUP($A1223,#REF!,12,FALSE)&lt;-2),"",#REF!),"")</f>
        <v/>
      </c>
      <c r="O1223" t="str">
        <f>IFERROR(IF(OR(HLOOKUP($A1223,#REF!,13,FALSE)&gt;2,HLOOKUP($A1223,#REF!,13,FALSE)&lt;-2),"",#REF!),"")</f>
        <v/>
      </c>
      <c r="P1223" t="str">
        <f>IFERROR(IF(OR(HLOOKUP($A1223,#REF!,14,FALSE)&gt;2,HLOOKUP($A1223,#REF!,14,FALSE)&lt;-2),"",#REF!),"")</f>
        <v/>
      </c>
      <c r="Q1223" t="str">
        <f>IFERROR(IF(OR(HLOOKUP($A1223,#REF!,15,FALSE)&gt;2,HLOOKUP($A1223,#REF!,15,FALSE)&lt;-2),"",#REF!),"")</f>
        <v/>
      </c>
      <c r="R1223" t="str">
        <f>IFERROR(IF(OR(HLOOKUP($A1223,#REF!,16,FALSE)&gt;2,HLOOKUP($A1223,#REF!,16,FALSE)&lt;-2),"",#REF!),"")</f>
        <v/>
      </c>
      <c r="S1223" t="str">
        <f>IFERROR(IF(OR(HLOOKUP($A1223,#REF!,17,FALSE)&gt;2,HLOOKUP($A1223,#REF!,17,FALSE)&lt;-2),"",#REF!),"")</f>
        <v/>
      </c>
      <c r="T1223" t="str">
        <f>IFERROR(IF(OR(HLOOKUP($A1223,#REF!,18,FALSE)&gt;2,HLOOKUP($A1223,#REF!,18,FALSE)&lt;-2),"",#REF!),"")</f>
        <v/>
      </c>
      <c r="U1223" t="str">
        <f>IFERROR(IF(OR(HLOOKUP($A1223,#REF!,19,FALSE)&gt;2,HLOOKUP($A1223,#REF!,19,FALSE)&lt;-2),"",#REF!),"")</f>
        <v/>
      </c>
      <c r="V1223">
        <f t="shared" si="76"/>
        <v>1</v>
      </c>
      <c r="W1223" t="str">
        <f t="shared" si="73"/>
        <v/>
      </c>
      <c r="X1223" t="str">
        <f t="shared" si="77"/>
        <v/>
      </c>
      <c r="Y1223" t="str">
        <f t="shared" si="78"/>
        <v/>
      </c>
    </row>
    <row r="1224" spans="1:25" x14ac:dyDescent="0.35">
      <c r="A1224">
        <v>2758</v>
      </c>
      <c r="B1224" t="s">
        <v>1261</v>
      </c>
      <c r="C1224">
        <v>40100</v>
      </c>
      <c r="D1224">
        <v>2734</v>
      </c>
      <c r="E1224" t="str">
        <f>IFERROR(IF(OR(HLOOKUP($A1224,#REF!,3,FALSE)&gt;2,HLOOKUP(A1224,#REF!,3,FALSE)&lt;-2),"",#REF!),"")</f>
        <v/>
      </c>
      <c r="F1224" t="str">
        <f>IFERROR(IF(OR(HLOOKUP($A1224,#REF!,4,FALSE)&gt;2,HLOOKUP($A1224,#REF!,4,FALSE)&lt;-2),"",#REF!),"")</f>
        <v/>
      </c>
      <c r="G1224" t="str">
        <f>IFERROR(IF(OR(HLOOKUP($A1224,#REF!,5,FALSE)&gt;2,HLOOKUP($A1224,#REF!,5,FALSE)&lt;-2),"",#REF!),"")</f>
        <v/>
      </c>
      <c r="H1224" t="str">
        <f>IFERROR(IF(OR(HLOOKUP($A1224,#REF!,6,FALSE)&gt;2,HLOOKUP($A1224,#REF!,6,FALSE)&lt;-2),"",#REF!),"")</f>
        <v/>
      </c>
      <c r="I1224" t="str">
        <f>IFERROR(IF(OR(HLOOKUP($A1224,#REF!,7,FALSE)&gt;2,HLOOKUP($A1224,#REF!,7,FALSE)&lt;-2),"",#REF!),"")</f>
        <v/>
      </c>
      <c r="J1224" t="str">
        <f>IFERROR(IF(OR(HLOOKUP($A1224,#REF!,8,FALSE)&gt;2,HLOOKUP($A1224,#REF!,8,FALSE)&lt;-2),"",#REF!),"")</f>
        <v/>
      </c>
      <c r="K1224" t="str">
        <f>IFERROR(IF(OR(HLOOKUP($A1224,#REF!,9,FALSE)&gt;2,HLOOKUP($A1224,#REF!,9,FALSE)&lt;-2),"",#REF!),"")</f>
        <v/>
      </c>
      <c r="L1224" t="str">
        <f>IFERROR(IF(OR(HLOOKUP($A1224,#REF!,10,FALSE)&gt;2,HLOOKUP($A1224,#REF!,10,FALSE)&lt;-2),"",#REF!),"")</f>
        <v/>
      </c>
      <c r="M1224" t="str">
        <f>IFERROR(IF(OR(HLOOKUP($A1224,#REF!,11,FALSE)&gt;2,HLOOKUP($A1224,#REF!,11,FALSE)&lt;-2),"",#REF!),"")</f>
        <v/>
      </c>
      <c r="N1224" t="str">
        <f>IFERROR(IF(OR(HLOOKUP($A1224,#REF!,12,FALSE)&gt;2,HLOOKUP($A1224,#REF!,12,FALSE)&lt;-2),"",#REF!),"")</f>
        <v/>
      </c>
      <c r="O1224" t="str">
        <f>IFERROR(IF(OR(HLOOKUP($A1224,#REF!,13,FALSE)&gt;2,HLOOKUP($A1224,#REF!,13,FALSE)&lt;-2),"",#REF!),"")</f>
        <v/>
      </c>
      <c r="P1224" t="str">
        <f>IFERROR(IF(OR(HLOOKUP($A1224,#REF!,14,FALSE)&gt;2,HLOOKUP($A1224,#REF!,14,FALSE)&lt;-2),"",#REF!),"")</f>
        <v/>
      </c>
      <c r="Q1224" t="str">
        <f>IFERROR(IF(OR(HLOOKUP($A1224,#REF!,15,FALSE)&gt;2,HLOOKUP($A1224,#REF!,15,FALSE)&lt;-2),"",#REF!),"")</f>
        <v/>
      </c>
      <c r="R1224" t="str">
        <f>IFERROR(IF(OR(HLOOKUP($A1224,#REF!,16,FALSE)&gt;2,HLOOKUP($A1224,#REF!,16,FALSE)&lt;-2),"",#REF!),"")</f>
        <v/>
      </c>
      <c r="S1224" t="str">
        <f>IFERROR(IF(OR(HLOOKUP($A1224,#REF!,17,FALSE)&gt;2,HLOOKUP($A1224,#REF!,17,FALSE)&lt;-2),"",#REF!),"")</f>
        <v/>
      </c>
      <c r="T1224" t="str">
        <f>IFERROR(IF(OR(HLOOKUP($A1224,#REF!,18,FALSE)&gt;2,HLOOKUP($A1224,#REF!,18,FALSE)&lt;-2),"",#REF!),"")</f>
        <v/>
      </c>
      <c r="U1224" t="str">
        <f>IFERROR(IF(OR(HLOOKUP($A1224,#REF!,19,FALSE)&gt;2,HLOOKUP($A1224,#REF!,19,FALSE)&lt;-2),"",#REF!),"")</f>
        <v/>
      </c>
      <c r="V1224">
        <f t="shared" si="76"/>
        <v>1</v>
      </c>
      <c r="W1224" t="str">
        <f t="shared" si="73"/>
        <v/>
      </c>
      <c r="X1224" t="str">
        <f t="shared" si="77"/>
        <v/>
      </c>
      <c r="Y1224" t="str">
        <f t="shared" si="78"/>
        <v/>
      </c>
    </row>
    <row r="1225" spans="1:25" x14ac:dyDescent="0.35">
      <c r="A1225">
        <v>2766</v>
      </c>
      <c r="B1225" t="s">
        <v>1262</v>
      </c>
      <c r="C1225">
        <v>40200</v>
      </c>
      <c r="D1225">
        <v>2726</v>
      </c>
      <c r="E1225" t="str">
        <f>IFERROR(IF(OR(HLOOKUP($A1225,#REF!,3,FALSE)&gt;2,HLOOKUP(A1225,#REF!,3,FALSE)&lt;-2),"",#REF!),"")</f>
        <v/>
      </c>
      <c r="F1225" t="str">
        <f>IFERROR(IF(OR(HLOOKUP($A1225,#REF!,4,FALSE)&gt;2,HLOOKUP($A1225,#REF!,4,FALSE)&lt;-2),"",#REF!),"")</f>
        <v/>
      </c>
      <c r="G1225" t="str">
        <f>IFERROR(IF(OR(HLOOKUP($A1225,#REF!,5,FALSE)&gt;2,HLOOKUP($A1225,#REF!,5,FALSE)&lt;-2),"",#REF!),"")</f>
        <v/>
      </c>
      <c r="H1225" t="str">
        <f>IFERROR(IF(OR(HLOOKUP($A1225,#REF!,6,FALSE)&gt;2,HLOOKUP($A1225,#REF!,6,FALSE)&lt;-2),"",#REF!),"")</f>
        <v/>
      </c>
      <c r="I1225" t="str">
        <f>IFERROR(IF(OR(HLOOKUP($A1225,#REF!,7,FALSE)&gt;2,HLOOKUP($A1225,#REF!,7,FALSE)&lt;-2),"",#REF!),"")</f>
        <v/>
      </c>
      <c r="J1225" t="str">
        <f>IFERROR(IF(OR(HLOOKUP($A1225,#REF!,8,FALSE)&gt;2,HLOOKUP($A1225,#REF!,8,FALSE)&lt;-2),"",#REF!),"")</f>
        <v/>
      </c>
      <c r="K1225" t="str">
        <f>IFERROR(IF(OR(HLOOKUP($A1225,#REF!,9,FALSE)&gt;2,HLOOKUP($A1225,#REF!,9,FALSE)&lt;-2),"",#REF!),"")</f>
        <v/>
      </c>
      <c r="L1225" t="str">
        <f>IFERROR(IF(OR(HLOOKUP($A1225,#REF!,10,FALSE)&gt;2,HLOOKUP($A1225,#REF!,10,FALSE)&lt;-2),"",#REF!),"")</f>
        <v/>
      </c>
      <c r="M1225" t="str">
        <f>IFERROR(IF(OR(HLOOKUP($A1225,#REF!,11,FALSE)&gt;2,HLOOKUP($A1225,#REF!,11,FALSE)&lt;-2),"",#REF!),"")</f>
        <v/>
      </c>
      <c r="N1225" t="str">
        <f>IFERROR(IF(OR(HLOOKUP($A1225,#REF!,12,FALSE)&gt;2,HLOOKUP($A1225,#REF!,12,FALSE)&lt;-2),"",#REF!),"")</f>
        <v/>
      </c>
      <c r="O1225" t="str">
        <f>IFERROR(IF(OR(HLOOKUP($A1225,#REF!,13,FALSE)&gt;2,HLOOKUP($A1225,#REF!,13,FALSE)&lt;-2),"",#REF!),"")</f>
        <v/>
      </c>
      <c r="P1225" t="str">
        <f>IFERROR(IF(OR(HLOOKUP($A1225,#REF!,14,FALSE)&gt;2,HLOOKUP($A1225,#REF!,14,FALSE)&lt;-2),"",#REF!),"")</f>
        <v/>
      </c>
      <c r="Q1225" t="str">
        <f>IFERROR(IF(OR(HLOOKUP($A1225,#REF!,15,FALSE)&gt;2,HLOOKUP($A1225,#REF!,15,FALSE)&lt;-2),"",#REF!),"")</f>
        <v/>
      </c>
      <c r="R1225" t="str">
        <f>IFERROR(IF(OR(HLOOKUP($A1225,#REF!,16,FALSE)&gt;2,HLOOKUP($A1225,#REF!,16,FALSE)&lt;-2),"",#REF!),"")</f>
        <v/>
      </c>
      <c r="S1225" t="str">
        <f>IFERROR(IF(OR(HLOOKUP($A1225,#REF!,17,FALSE)&gt;2,HLOOKUP($A1225,#REF!,17,FALSE)&lt;-2),"",#REF!),"")</f>
        <v/>
      </c>
      <c r="T1225" t="str">
        <f>IFERROR(IF(OR(HLOOKUP($A1225,#REF!,18,FALSE)&gt;2,HLOOKUP($A1225,#REF!,18,FALSE)&lt;-2),"",#REF!),"")</f>
        <v/>
      </c>
      <c r="U1225" t="str">
        <f>IFERROR(IF(OR(HLOOKUP($A1225,#REF!,19,FALSE)&gt;2,HLOOKUP($A1225,#REF!,19,FALSE)&lt;-2),"",#REF!),"")</f>
        <v/>
      </c>
      <c r="V1225">
        <f t="shared" si="76"/>
        <v>1</v>
      </c>
      <c r="W1225" t="str">
        <f t="shared" si="73"/>
        <v/>
      </c>
      <c r="X1225" t="str">
        <f t="shared" si="77"/>
        <v/>
      </c>
      <c r="Y1225" t="str">
        <f t="shared" si="78"/>
        <v/>
      </c>
    </row>
    <row r="1226" spans="1:25" x14ac:dyDescent="0.35">
      <c r="A1226">
        <v>2775</v>
      </c>
      <c r="B1226" t="s">
        <v>1263</v>
      </c>
      <c r="C1226">
        <v>40300</v>
      </c>
      <c r="D1226">
        <v>2766</v>
      </c>
      <c r="E1226" t="str">
        <f>IFERROR(IF(OR(HLOOKUP($A1226,#REF!,3,FALSE)&gt;2,HLOOKUP(A1226,#REF!,3,FALSE)&lt;-2),"",#REF!),"")</f>
        <v/>
      </c>
      <c r="F1226" t="str">
        <f>IFERROR(IF(OR(HLOOKUP($A1226,#REF!,4,FALSE)&gt;2,HLOOKUP($A1226,#REF!,4,FALSE)&lt;-2),"",#REF!),"")</f>
        <v/>
      </c>
      <c r="G1226" t="str">
        <f>IFERROR(IF(OR(HLOOKUP($A1226,#REF!,5,FALSE)&gt;2,HLOOKUP($A1226,#REF!,5,FALSE)&lt;-2),"",#REF!),"")</f>
        <v/>
      </c>
      <c r="H1226" t="str">
        <f>IFERROR(IF(OR(HLOOKUP($A1226,#REF!,6,FALSE)&gt;2,HLOOKUP($A1226,#REF!,6,FALSE)&lt;-2),"",#REF!),"")</f>
        <v/>
      </c>
      <c r="I1226" t="str">
        <f>IFERROR(IF(OR(HLOOKUP($A1226,#REF!,7,FALSE)&gt;2,HLOOKUP($A1226,#REF!,7,FALSE)&lt;-2),"",#REF!),"")</f>
        <v/>
      </c>
      <c r="J1226" t="str">
        <f>IFERROR(IF(OR(HLOOKUP($A1226,#REF!,8,FALSE)&gt;2,HLOOKUP($A1226,#REF!,8,FALSE)&lt;-2),"",#REF!),"")</f>
        <v/>
      </c>
      <c r="K1226" t="str">
        <f>IFERROR(IF(OR(HLOOKUP($A1226,#REF!,9,FALSE)&gt;2,HLOOKUP($A1226,#REF!,9,FALSE)&lt;-2),"",#REF!),"")</f>
        <v/>
      </c>
      <c r="L1226" t="str">
        <f>IFERROR(IF(OR(HLOOKUP($A1226,#REF!,10,FALSE)&gt;2,HLOOKUP($A1226,#REF!,10,FALSE)&lt;-2),"",#REF!),"")</f>
        <v/>
      </c>
      <c r="M1226" t="str">
        <f>IFERROR(IF(OR(HLOOKUP($A1226,#REF!,11,FALSE)&gt;2,HLOOKUP($A1226,#REF!,11,FALSE)&lt;-2),"",#REF!),"")</f>
        <v/>
      </c>
      <c r="N1226" t="str">
        <f>IFERROR(IF(OR(HLOOKUP($A1226,#REF!,12,FALSE)&gt;2,HLOOKUP($A1226,#REF!,12,FALSE)&lt;-2),"",#REF!),"")</f>
        <v/>
      </c>
      <c r="O1226" t="str">
        <f>IFERROR(IF(OR(HLOOKUP($A1226,#REF!,13,FALSE)&gt;2,HLOOKUP($A1226,#REF!,13,FALSE)&lt;-2),"",#REF!),"")</f>
        <v/>
      </c>
      <c r="P1226" t="str">
        <f>IFERROR(IF(OR(HLOOKUP($A1226,#REF!,14,FALSE)&gt;2,HLOOKUP($A1226,#REF!,14,FALSE)&lt;-2),"",#REF!),"")</f>
        <v/>
      </c>
      <c r="Q1226" t="str">
        <f>IFERROR(IF(OR(HLOOKUP($A1226,#REF!,15,FALSE)&gt;2,HLOOKUP($A1226,#REF!,15,FALSE)&lt;-2),"",#REF!),"")</f>
        <v/>
      </c>
      <c r="R1226" t="str">
        <f>IFERROR(IF(OR(HLOOKUP($A1226,#REF!,16,FALSE)&gt;2,HLOOKUP($A1226,#REF!,16,FALSE)&lt;-2),"",#REF!),"")</f>
        <v/>
      </c>
      <c r="S1226" t="str">
        <f>IFERROR(IF(OR(HLOOKUP($A1226,#REF!,17,FALSE)&gt;2,HLOOKUP($A1226,#REF!,17,FALSE)&lt;-2),"",#REF!),"")</f>
        <v/>
      </c>
      <c r="T1226" t="str">
        <f>IFERROR(IF(OR(HLOOKUP($A1226,#REF!,18,FALSE)&gt;2,HLOOKUP($A1226,#REF!,18,FALSE)&lt;-2),"",#REF!),"")</f>
        <v/>
      </c>
      <c r="U1226" t="str">
        <f>IFERROR(IF(OR(HLOOKUP($A1226,#REF!,19,FALSE)&gt;2,HLOOKUP($A1226,#REF!,19,FALSE)&lt;-2),"",#REF!),"")</f>
        <v/>
      </c>
      <c r="V1226">
        <f t="shared" si="76"/>
        <v>1</v>
      </c>
      <c r="W1226" t="str">
        <f t="shared" si="73"/>
        <v/>
      </c>
      <c r="X1226" t="str">
        <f t="shared" si="77"/>
        <v/>
      </c>
      <c r="Y1226" t="str">
        <f t="shared" si="78"/>
        <v/>
      </c>
    </row>
    <row r="1227" spans="1:25" x14ac:dyDescent="0.35">
      <c r="A1227">
        <v>2782</v>
      </c>
      <c r="B1227" t="s">
        <v>1264</v>
      </c>
      <c r="C1227">
        <v>40400</v>
      </c>
      <c r="D1227">
        <v>2766</v>
      </c>
      <c r="E1227" t="str">
        <f>IFERROR(IF(OR(HLOOKUP($A1227,#REF!,3,FALSE)&gt;2,HLOOKUP(A1227,#REF!,3,FALSE)&lt;-2),"",#REF!),"")</f>
        <v/>
      </c>
      <c r="F1227" t="str">
        <f>IFERROR(IF(OR(HLOOKUP($A1227,#REF!,4,FALSE)&gt;2,HLOOKUP($A1227,#REF!,4,FALSE)&lt;-2),"",#REF!),"")</f>
        <v/>
      </c>
      <c r="G1227" t="str">
        <f>IFERROR(IF(OR(HLOOKUP($A1227,#REF!,5,FALSE)&gt;2,HLOOKUP($A1227,#REF!,5,FALSE)&lt;-2),"",#REF!),"")</f>
        <v/>
      </c>
      <c r="H1227" t="str">
        <f>IFERROR(IF(OR(HLOOKUP($A1227,#REF!,6,FALSE)&gt;2,HLOOKUP($A1227,#REF!,6,FALSE)&lt;-2),"",#REF!),"")</f>
        <v/>
      </c>
      <c r="I1227" t="str">
        <f>IFERROR(IF(OR(HLOOKUP($A1227,#REF!,7,FALSE)&gt;2,HLOOKUP($A1227,#REF!,7,FALSE)&lt;-2),"",#REF!),"")</f>
        <v/>
      </c>
      <c r="J1227" t="str">
        <f>IFERROR(IF(OR(HLOOKUP($A1227,#REF!,8,FALSE)&gt;2,HLOOKUP($A1227,#REF!,8,FALSE)&lt;-2),"",#REF!),"")</f>
        <v/>
      </c>
      <c r="K1227" t="str">
        <f>IFERROR(IF(OR(HLOOKUP($A1227,#REF!,9,FALSE)&gt;2,HLOOKUP($A1227,#REF!,9,FALSE)&lt;-2),"",#REF!),"")</f>
        <v/>
      </c>
      <c r="L1227" t="str">
        <f>IFERROR(IF(OR(HLOOKUP($A1227,#REF!,10,FALSE)&gt;2,HLOOKUP($A1227,#REF!,10,FALSE)&lt;-2),"",#REF!),"")</f>
        <v/>
      </c>
      <c r="M1227" t="str">
        <f>IFERROR(IF(OR(HLOOKUP($A1227,#REF!,11,FALSE)&gt;2,HLOOKUP($A1227,#REF!,11,FALSE)&lt;-2),"",#REF!),"")</f>
        <v/>
      </c>
      <c r="N1227" t="str">
        <f>IFERROR(IF(OR(HLOOKUP($A1227,#REF!,12,FALSE)&gt;2,HLOOKUP($A1227,#REF!,12,FALSE)&lt;-2),"",#REF!),"")</f>
        <v/>
      </c>
      <c r="O1227" t="str">
        <f>IFERROR(IF(OR(HLOOKUP($A1227,#REF!,13,FALSE)&gt;2,HLOOKUP($A1227,#REF!,13,FALSE)&lt;-2),"",#REF!),"")</f>
        <v/>
      </c>
      <c r="P1227" t="str">
        <f>IFERROR(IF(OR(HLOOKUP($A1227,#REF!,14,FALSE)&gt;2,HLOOKUP($A1227,#REF!,14,FALSE)&lt;-2),"",#REF!),"")</f>
        <v/>
      </c>
      <c r="Q1227" t="str">
        <f>IFERROR(IF(OR(HLOOKUP($A1227,#REF!,15,FALSE)&gt;2,HLOOKUP($A1227,#REF!,15,FALSE)&lt;-2),"",#REF!),"")</f>
        <v/>
      </c>
      <c r="R1227" t="str">
        <f>IFERROR(IF(OR(HLOOKUP($A1227,#REF!,16,FALSE)&gt;2,HLOOKUP($A1227,#REF!,16,FALSE)&lt;-2),"",#REF!),"")</f>
        <v/>
      </c>
      <c r="S1227" t="str">
        <f>IFERROR(IF(OR(HLOOKUP($A1227,#REF!,17,FALSE)&gt;2,HLOOKUP($A1227,#REF!,17,FALSE)&lt;-2),"",#REF!),"")</f>
        <v/>
      </c>
      <c r="T1227" t="str">
        <f>IFERROR(IF(OR(HLOOKUP($A1227,#REF!,18,FALSE)&gt;2,HLOOKUP($A1227,#REF!,18,FALSE)&lt;-2),"",#REF!),"")</f>
        <v/>
      </c>
      <c r="U1227" t="str">
        <f>IFERROR(IF(OR(HLOOKUP($A1227,#REF!,19,FALSE)&gt;2,HLOOKUP($A1227,#REF!,19,FALSE)&lt;-2),"",#REF!),"")</f>
        <v/>
      </c>
      <c r="V1227">
        <f t="shared" si="76"/>
        <v>1</v>
      </c>
      <c r="W1227" t="str">
        <f t="shared" si="73"/>
        <v/>
      </c>
      <c r="X1227" t="str">
        <f t="shared" si="77"/>
        <v/>
      </c>
      <c r="Y1227" t="str">
        <f t="shared" si="78"/>
        <v/>
      </c>
    </row>
    <row r="1228" spans="1:25" x14ac:dyDescent="0.35">
      <c r="A1228">
        <v>2790</v>
      </c>
      <c r="B1228" t="s">
        <v>1265</v>
      </c>
      <c r="C1228">
        <v>40500</v>
      </c>
      <c r="D1228">
        <v>2766</v>
      </c>
      <c r="E1228" t="str">
        <f>IFERROR(IF(OR(HLOOKUP($A1228,#REF!,3,FALSE)&gt;2,HLOOKUP(A1228,#REF!,3,FALSE)&lt;-2),"",#REF!),"")</f>
        <v/>
      </c>
      <c r="F1228" t="str">
        <f>IFERROR(IF(OR(HLOOKUP($A1228,#REF!,4,FALSE)&gt;2,HLOOKUP($A1228,#REF!,4,FALSE)&lt;-2),"",#REF!),"")</f>
        <v/>
      </c>
      <c r="G1228" t="str">
        <f>IFERROR(IF(OR(HLOOKUP($A1228,#REF!,5,FALSE)&gt;2,HLOOKUP($A1228,#REF!,5,FALSE)&lt;-2),"",#REF!),"")</f>
        <v/>
      </c>
      <c r="H1228" t="str">
        <f>IFERROR(IF(OR(HLOOKUP($A1228,#REF!,6,FALSE)&gt;2,HLOOKUP($A1228,#REF!,6,FALSE)&lt;-2),"",#REF!),"")</f>
        <v/>
      </c>
      <c r="I1228" t="str">
        <f>IFERROR(IF(OR(HLOOKUP($A1228,#REF!,7,FALSE)&gt;2,HLOOKUP($A1228,#REF!,7,FALSE)&lt;-2),"",#REF!),"")</f>
        <v/>
      </c>
      <c r="J1228" t="str">
        <f>IFERROR(IF(OR(HLOOKUP($A1228,#REF!,8,FALSE)&gt;2,HLOOKUP($A1228,#REF!,8,FALSE)&lt;-2),"",#REF!),"")</f>
        <v/>
      </c>
      <c r="K1228" t="str">
        <f>IFERROR(IF(OR(HLOOKUP($A1228,#REF!,9,FALSE)&gt;2,HLOOKUP($A1228,#REF!,9,FALSE)&lt;-2),"",#REF!),"")</f>
        <v/>
      </c>
      <c r="L1228" t="str">
        <f>IFERROR(IF(OR(HLOOKUP($A1228,#REF!,10,FALSE)&gt;2,HLOOKUP($A1228,#REF!,10,FALSE)&lt;-2),"",#REF!),"")</f>
        <v/>
      </c>
      <c r="M1228" t="str">
        <f>IFERROR(IF(OR(HLOOKUP($A1228,#REF!,11,FALSE)&gt;2,HLOOKUP($A1228,#REF!,11,FALSE)&lt;-2),"",#REF!),"")</f>
        <v/>
      </c>
      <c r="N1228" t="str">
        <f>IFERROR(IF(OR(HLOOKUP($A1228,#REF!,12,FALSE)&gt;2,HLOOKUP($A1228,#REF!,12,FALSE)&lt;-2),"",#REF!),"")</f>
        <v/>
      </c>
      <c r="O1228" t="str">
        <f>IFERROR(IF(OR(HLOOKUP($A1228,#REF!,13,FALSE)&gt;2,HLOOKUP($A1228,#REF!,13,FALSE)&lt;-2),"",#REF!),"")</f>
        <v/>
      </c>
      <c r="P1228" t="str">
        <f>IFERROR(IF(OR(HLOOKUP($A1228,#REF!,14,FALSE)&gt;2,HLOOKUP($A1228,#REF!,14,FALSE)&lt;-2),"",#REF!),"")</f>
        <v/>
      </c>
      <c r="Q1228" t="str">
        <f>IFERROR(IF(OR(HLOOKUP($A1228,#REF!,15,FALSE)&gt;2,HLOOKUP($A1228,#REF!,15,FALSE)&lt;-2),"",#REF!),"")</f>
        <v/>
      </c>
      <c r="R1228" t="str">
        <f>IFERROR(IF(OR(HLOOKUP($A1228,#REF!,16,FALSE)&gt;2,HLOOKUP($A1228,#REF!,16,FALSE)&lt;-2),"",#REF!),"")</f>
        <v/>
      </c>
      <c r="S1228" t="str">
        <f>IFERROR(IF(OR(HLOOKUP($A1228,#REF!,17,FALSE)&gt;2,HLOOKUP($A1228,#REF!,17,FALSE)&lt;-2),"",#REF!),"")</f>
        <v/>
      </c>
      <c r="T1228" t="str">
        <f>IFERROR(IF(OR(HLOOKUP($A1228,#REF!,18,FALSE)&gt;2,HLOOKUP($A1228,#REF!,18,FALSE)&lt;-2),"",#REF!),"")</f>
        <v/>
      </c>
      <c r="U1228" t="str">
        <f>IFERROR(IF(OR(HLOOKUP($A1228,#REF!,19,FALSE)&gt;2,HLOOKUP($A1228,#REF!,19,FALSE)&lt;-2),"",#REF!),"")</f>
        <v/>
      </c>
      <c r="V1228">
        <f t="shared" si="76"/>
        <v>1</v>
      </c>
      <c r="W1228" t="str">
        <f t="shared" si="73"/>
        <v/>
      </c>
      <c r="X1228" t="str">
        <f t="shared" si="77"/>
        <v/>
      </c>
      <c r="Y1228" t="str">
        <f t="shared" si="78"/>
        <v/>
      </c>
    </row>
    <row r="1229" spans="1:25" x14ac:dyDescent="0.35">
      <c r="A1229">
        <v>2799</v>
      </c>
      <c r="B1229" t="s">
        <v>1266</v>
      </c>
      <c r="C1229">
        <v>40600</v>
      </c>
      <c r="D1229">
        <v>2726</v>
      </c>
      <c r="E1229" t="str">
        <f>IFERROR(IF(OR(HLOOKUP($A1229,#REF!,3,FALSE)&gt;2,HLOOKUP(A1229,#REF!,3,FALSE)&lt;-2),"",#REF!),"")</f>
        <v/>
      </c>
      <c r="F1229" t="str">
        <f>IFERROR(IF(OR(HLOOKUP($A1229,#REF!,4,FALSE)&gt;2,HLOOKUP($A1229,#REF!,4,FALSE)&lt;-2),"",#REF!),"")</f>
        <v/>
      </c>
      <c r="G1229" t="str">
        <f>IFERROR(IF(OR(HLOOKUP($A1229,#REF!,5,FALSE)&gt;2,HLOOKUP($A1229,#REF!,5,FALSE)&lt;-2),"",#REF!),"")</f>
        <v/>
      </c>
      <c r="H1229" t="str">
        <f>IFERROR(IF(OR(HLOOKUP($A1229,#REF!,6,FALSE)&gt;2,HLOOKUP($A1229,#REF!,6,FALSE)&lt;-2),"",#REF!),"")</f>
        <v/>
      </c>
      <c r="I1229" t="str">
        <f>IFERROR(IF(OR(HLOOKUP($A1229,#REF!,7,FALSE)&gt;2,HLOOKUP($A1229,#REF!,7,FALSE)&lt;-2),"",#REF!),"")</f>
        <v/>
      </c>
      <c r="J1229" t="str">
        <f>IFERROR(IF(OR(HLOOKUP($A1229,#REF!,8,FALSE)&gt;2,HLOOKUP($A1229,#REF!,8,FALSE)&lt;-2),"",#REF!),"")</f>
        <v/>
      </c>
      <c r="K1229" t="str">
        <f>IFERROR(IF(OR(HLOOKUP($A1229,#REF!,9,FALSE)&gt;2,HLOOKUP($A1229,#REF!,9,FALSE)&lt;-2),"",#REF!),"")</f>
        <v/>
      </c>
      <c r="L1229" t="str">
        <f>IFERROR(IF(OR(HLOOKUP($A1229,#REF!,10,FALSE)&gt;2,HLOOKUP($A1229,#REF!,10,FALSE)&lt;-2),"",#REF!),"")</f>
        <v/>
      </c>
      <c r="M1229" t="str">
        <f>IFERROR(IF(OR(HLOOKUP($A1229,#REF!,11,FALSE)&gt;2,HLOOKUP($A1229,#REF!,11,FALSE)&lt;-2),"",#REF!),"")</f>
        <v/>
      </c>
      <c r="N1229" t="str">
        <f>IFERROR(IF(OR(HLOOKUP($A1229,#REF!,12,FALSE)&gt;2,HLOOKUP($A1229,#REF!,12,FALSE)&lt;-2),"",#REF!),"")</f>
        <v/>
      </c>
      <c r="O1229" t="str">
        <f>IFERROR(IF(OR(HLOOKUP($A1229,#REF!,13,FALSE)&gt;2,HLOOKUP($A1229,#REF!,13,FALSE)&lt;-2),"",#REF!),"")</f>
        <v/>
      </c>
      <c r="P1229" t="str">
        <f>IFERROR(IF(OR(HLOOKUP($A1229,#REF!,14,FALSE)&gt;2,HLOOKUP($A1229,#REF!,14,FALSE)&lt;-2),"",#REF!),"")</f>
        <v/>
      </c>
      <c r="Q1229" t="str">
        <f>IFERROR(IF(OR(HLOOKUP($A1229,#REF!,15,FALSE)&gt;2,HLOOKUP($A1229,#REF!,15,FALSE)&lt;-2),"",#REF!),"")</f>
        <v/>
      </c>
      <c r="R1229" t="str">
        <f>IFERROR(IF(OR(HLOOKUP($A1229,#REF!,16,FALSE)&gt;2,HLOOKUP($A1229,#REF!,16,FALSE)&lt;-2),"",#REF!),"")</f>
        <v/>
      </c>
      <c r="S1229" t="str">
        <f>IFERROR(IF(OR(HLOOKUP($A1229,#REF!,17,FALSE)&gt;2,HLOOKUP($A1229,#REF!,17,FALSE)&lt;-2),"",#REF!),"")</f>
        <v/>
      </c>
      <c r="T1229" t="str">
        <f>IFERROR(IF(OR(HLOOKUP($A1229,#REF!,18,FALSE)&gt;2,HLOOKUP($A1229,#REF!,18,FALSE)&lt;-2),"",#REF!),"")</f>
        <v/>
      </c>
      <c r="U1229" t="str">
        <f>IFERROR(IF(OR(HLOOKUP($A1229,#REF!,19,FALSE)&gt;2,HLOOKUP($A1229,#REF!,19,FALSE)&lt;-2),"",#REF!),"")</f>
        <v/>
      </c>
      <c r="V1229">
        <f t="shared" si="76"/>
        <v>1</v>
      </c>
      <c r="W1229" t="str">
        <f t="shared" si="73"/>
        <v/>
      </c>
      <c r="X1229" t="str">
        <f t="shared" si="77"/>
        <v/>
      </c>
      <c r="Y1229" t="str">
        <f t="shared" si="78"/>
        <v/>
      </c>
    </row>
    <row r="1230" spans="1:25" x14ac:dyDescent="0.35">
      <c r="A1230">
        <v>2807</v>
      </c>
      <c r="B1230" t="s">
        <v>1267</v>
      </c>
      <c r="C1230">
        <v>40700</v>
      </c>
      <c r="D1230">
        <v>2799</v>
      </c>
      <c r="E1230" t="str">
        <f>IFERROR(IF(OR(HLOOKUP($A1230,#REF!,3,FALSE)&gt;2,HLOOKUP(A1230,#REF!,3,FALSE)&lt;-2),"",#REF!),"")</f>
        <v/>
      </c>
      <c r="F1230" t="str">
        <f>IFERROR(IF(OR(HLOOKUP($A1230,#REF!,4,FALSE)&gt;2,HLOOKUP($A1230,#REF!,4,FALSE)&lt;-2),"",#REF!),"")</f>
        <v/>
      </c>
      <c r="G1230" t="str">
        <f>IFERROR(IF(OR(HLOOKUP($A1230,#REF!,5,FALSE)&gt;2,HLOOKUP($A1230,#REF!,5,FALSE)&lt;-2),"",#REF!),"")</f>
        <v/>
      </c>
      <c r="H1230" t="str">
        <f>IFERROR(IF(OR(HLOOKUP($A1230,#REF!,6,FALSE)&gt;2,HLOOKUP($A1230,#REF!,6,FALSE)&lt;-2),"",#REF!),"")</f>
        <v/>
      </c>
      <c r="I1230" t="str">
        <f>IFERROR(IF(OR(HLOOKUP($A1230,#REF!,7,FALSE)&gt;2,HLOOKUP($A1230,#REF!,7,FALSE)&lt;-2),"",#REF!),"")</f>
        <v/>
      </c>
      <c r="J1230" t="str">
        <f>IFERROR(IF(OR(HLOOKUP($A1230,#REF!,8,FALSE)&gt;2,HLOOKUP($A1230,#REF!,8,FALSE)&lt;-2),"",#REF!),"")</f>
        <v/>
      </c>
      <c r="K1230" t="str">
        <f>IFERROR(IF(OR(HLOOKUP($A1230,#REF!,9,FALSE)&gt;2,HLOOKUP($A1230,#REF!,9,FALSE)&lt;-2),"",#REF!),"")</f>
        <v/>
      </c>
      <c r="L1230" t="str">
        <f>IFERROR(IF(OR(HLOOKUP($A1230,#REF!,10,FALSE)&gt;2,HLOOKUP($A1230,#REF!,10,FALSE)&lt;-2),"",#REF!),"")</f>
        <v/>
      </c>
      <c r="M1230" t="str">
        <f>IFERROR(IF(OR(HLOOKUP($A1230,#REF!,11,FALSE)&gt;2,HLOOKUP($A1230,#REF!,11,FALSE)&lt;-2),"",#REF!),"")</f>
        <v/>
      </c>
      <c r="N1230" t="str">
        <f>IFERROR(IF(OR(HLOOKUP($A1230,#REF!,12,FALSE)&gt;2,HLOOKUP($A1230,#REF!,12,FALSE)&lt;-2),"",#REF!),"")</f>
        <v/>
      </c>
      <c r="O1230" t="str">
        <f>IFERROR(IF(OR(HLOOKUP($A1230,#REF!,13,FALSE)&gt;2,HLOOKUP($A1230,#REF!,13,FALSE)&lt;-2),"",#REF!),"")</f>
        <v/>
      </c>
      <c r="P1230" t="str">
        <f>IFERROR(IF(OR(HLOOKUP($A1230,#REF!,14,FALSE)&gt;2,HLOOKUP($A1230,#REF!,14,FALSE)&lt;-2),"",#REF!),"")</f>
        <v/>
      </c>
      <c r="Q1230" t="str">
        <f>IFERROR(IF(OR(HLOOKUP($A1230,#REF!,15,FALSE)&gt;2,HLOOKUP($A1230,#REF!,15,FALSE)&lt;-2),"",#REF!),"")</f>
        <v/>
      </c>
      <c r="R1230" t="str">
        <f>IFERROR(IF(OR(HLOOKUP($A1230,#REF!,16,FALSE)&gt;2,HLOOKUP($A1230,#REF!,16,FALSE)&lt;-2),"",#REF!),"")</f>
        <v/>
      </c>
      <c r="S1230" t="str">
        <f>IFERROR(IF(OR(HLOOKUP($A1230,#REF!,17,FALSE)&gt;2,HLOOKUP($A1230,#REF!,17,FALSE)&lt;-2),"",#REF!),"")</f>
        <v/>
      </c>
      <c r="T1230" t="str">
        <f>IFERROR(IF(OR(HLOOKUP($A1230,#REF!,18,FALSE)&gt;2,HLOOKUP($A1230,#REF!,18,FALSE)&lt;-2),"",#REF!),"")</f>
        <v/>
      </c>
      <c r="U1230" t="str">
        <f>IFERROR(IF(OR(HLOOKUP($A1230,#REF!,19,FALSE)&gt;2,HLOOKUP($A1230,#REF!,19,FALSE)&lt;-2),"",#REF!),"")</f>
        <v/>
      </c>
      <c r="V1230">
        <f t="shared" si="76"/>
        <v>1</v>
      </c>
      <c r="W1230" t="str">
        <f t="shared" si="73"/>
        <v/>
      </c>
      <c r="X1230" t="str">
        <f t="shared" si="77"/>
        <v/>
      </c>
      <c r="Y1230" t="str">
        <f t="shared" si="78"/>
        <v/>
      </c>
    </row>
    <row r="1231" spans="1:25" x14ac:dyDescent="0.35">
      <c r="A1231">
        <v>2815</v>
      </c>
      <c r="B1231" t="s">
        <v>1268</v>
      </c>
      <c r="C1231">
        <v>40800</v>
      </c>
      <c r="D1231">
        <v>2799</v>
      </c>
      <c r="E1231" t="str">
        <f>IFERROR(IF(OR(HLOOKUP($A1231,#REF!,3,FALSE)&gt;2,HLOOKUP(A1231,#REF!,3,FALSE)&lt;-2),"",#REF!),"")</f>
        <v/>
      </c>
      <c r="F1231" t="str">
        <f>IFERROR(IF(OR(HLOOKUP($A1231,#REF!,4,FALSE)&gt;2,HLOOKUP($A1231,#REF!,4,FALSE)&lt;-2),"",#REF!),"")</f>
        <v/>
      </c>
      <c r="G1231" t="str">
        <f>IFERROR(IF(OR(HLOOKUP($A1231,#REF!,5,FALSE)&gt;2,HLOOKUP($A1231,#REF!,5,FALSE)&lt;-2),"",#REF!),"")</f>
        <v/>
      </c>
      <c r="H1231" t="str">
        <f>IFERROR(IF(OR(HLOOKUP($A1231,#REF!,6,FALSE)&gt;2,HLOOKUP($A1231,#REF!,6,FALSE)&lt;-2),"",#REF!),"")</f>
        <v/>
      </c>
      <c r="I1231" t="str">
        <f>IFERROR(IF(OR(HLOOKUP($A1231,#REF!,7,FALSE)&gt;2,HLOOKUP($A1231,#REF!,7,FALSE)&lt;-2),"",#REF!),"")</f>
        <v/>
      </c>
      <c r="J1231" t="str">
        <f>IFERROR(IF(OR(HLOOKUP($A1231,#REF!,8,FALSE)&gt;2,HLOOKUP($A1231,#REF!,8,FALSE)&lt;-2),"",#REF!),"")</f>
        <v/>
      </c>
      <c r="K1231" t="str">
        <f>IFERROR(IF(OR(HLOOKUP($A1231,#REF!,9,FALSE)&gt;2,HLOOKUP($A1231,#REF!,9,FALSE)&lt;-2),"",#REF!),"")</f>
        <v/>
      </c>
      <c r="L1231" t="str">
        <f>IFERROR(IF(OR(HLOOKUP($A1231,#REF!,10,FALSE)&gt;2,HLOOKUP($A1231,#REF!,10,FALSE)&lt;-2),"",#REF!),"")</f>
        <v/>
      </c>
      <c r="M1231" t="str">
        <f>IFERROR(IF(OR(HLOOKUP($A1231,#REF!,11,FALSE)&gt;2,HLOOKUP($A1231,#REF!,11,FALSE)&lt;-2),"",#REF!),"")</f>
        <v/>
      </c>
      <c r="N1231" t="str">
        <f>IFERROR(IF(OR(HLOOKUP($A1231,#REF!,12,FALSE)&gt;2,HLOOKUP($A1231,#REF!,12,FALSE)&lt;-2),"",#REF!),"")</f>
        <v/>
      </c>
      <c r="O1231" t="str">
        <f>IFERROR(IF(OR(HLOOKUP($A1231,#REF!,13,FALSE)&gt;2,HLOOKUP($A1231,#REF!,13,FALSE)&lt;-2),"",#REF!),"")</f>
        <v/>
      </c>
      <c r="P1231" t="str">
        <f>IFERROR(IF(OR(HLOOKUP($A1231,#REF!,14,FALSE)&gt;2,HLOOKUP($A1231,#REF!,14,FALSE)&lt;-2),"",#REF!),"")</f>
        <v/>
      </c>
      <c r="Q1231" t="str">
        <f>IFERROR(IF(OR(HLOOKUP($A1231,#REF!,15,FALSE)&gt;2,HLOOKUP($A1231,#REF!,15,FALSE)&lt;-2),"",#REF!),"")</f>
        <v/>
      </c>
      <c r="R1231" t="str">
        <f>IFERROR(IF(OR(HLOOKUP($A1231,#REF!,16,FALSE)&gt;2,HLOOKUP($A1231,#REF!,16,FALSE)&lt;-2),"",#REF!),"")</f>
        <v/>
      </c>
      <c r="S1231" t="str">
        <f>IFERROR(IF(OR(HLOOKUP($A1231,#REF!,17,FALSE)&gt;2,HLOOKUP($A1231,#REF!,17,FALSE)&lt;-2),"",#REF!),"")</f>
        <v/>
      </c>
      <c r="T1231" t="str">
        <f>IFERROR(IF(OR(HLOOKUP($A1231,#REF!,18,FALSE)&gt;2,HLOOKUP($A1231,#REF!,18,FALSE)&lt;-2),"",#REF!),"")</f>
        <v/>
      </c>
      <c r="U1231" t="str">
        <f>IFERROR(IF(OR(HLOOKUP($A1231,#REF!,19,FALSE)&gt;2,HLOOKUP($A1231,#REF!,19,FALSE)&lt;-2),"",#REF!),"")</f>
        <v/>
      </c>
      <c r="V1231">
        <f t="shared" si="76"/>
        <v>1</v>
      </c>
      <c r="W1231" t="str">
        <f t="shared" si="73"/>
        <v/>
      </c>
      <c r="X1231" t="str">
        <f t="shared" si="77"/>
        <v/>
      </c>
      <c r="Y1231" t="str">
        <f t="shared" si="78"/>
        <v/>
      </c>
    </row>
    <row r="1232" spans="1:25" x14ac:dyDescent="0.35">
      <c r="A1232">
        <v>2823</v>
      </c>
      <c r="B1232" t="s">
        <v>1269</v>
      </c>
      <c r="C1232">
        <v>40900</v>
      </c>
      <c r="D1232">
        <v>2799</v>
      </c>
      <c r="E1232" t="str">
        <f>IFERROR(IF(OR(HLOOKUP($A1232,#REF!,3,FALSE)&gt;2,HLOOKUP(A1232,#REF!,3,FALSE)&lt;-2),"",#REF!),"")</f>
        <v/>
      </c>
      <c r="F1232" t="str">
        <f>IFERROR(IF(OR(HLOOKUP($A1232,#REF!,4,FALSE)&gt;2,HLOOKUP($A1232,#REF!,4,FALSE)&lt;-2),"",#REF!),"")</f>
        <v/>
      </c>
      <c r="G1232" t="str">
        <f>IFERROR(IF(OR(HLOOKUP($A1232,#REF!,5,FALSE)&gt;2,HLOOKUP($A1232,#REF!,5,FALSE)&lt;-2),"",#REF!),"")</f>
        <v/>
      </c>
      <c r="H1232" t="str">
        <f>IFERROR(IF(OR(HLOOKUP($A1232,#REF!,6,FALSE)&gt;2,HLOOKUP($A1232,#REF!,6,FALSE)&lt;-2),"",#REF!),"")</f>
        <v/>
      </c>
      <c r="I1232" t="str">
        <f>IFERROR(IF(OR(HLOOKUP($A1232,#REF!,7,FALSE)&gt;2,HLOOKUP($A1232,#REF!,7,FALSE)&lt;-2),"",#REF!),"")</f>
        <v/>
      </c>
      <c r="J1232" t="str">
        <f>IFERROR(IF(OR(HLOOKUP($A1232,#REF!,8,FALSE)&gt;2,HLOOKUP($A1232,#REF!,8,FALSE)&lt;-2),"",#REF!),"")</f>
        <v/>
      </c>
      <c r="K1232" t="str">
        <f>IFERROR(IF(OR(HLOOKUP($A1232,#REF!,9,FALSE)&gt;2,HLOOKUP($A1232,#REF!,9,FALSE)&lt;-2),"",#REF!),"")</f>
        <v/>
      </c>
      <c r="L1232" t="str">
        <f>IFERROR(IF(OR(HLOOKUP($A1232,#REF!,10,FALSE)&gt;2,HLOOKUP($A1232,#REF!,10,FALSE)&lt;-2),"",#REF!),"")</f>
        <v/>
      </c>
      <c r="M1232" t="str">
        <f>IFERROR(IF(OR(HLOOKUP($A1232,#REF!,11,FALSE)&gt;2,HLOOKUP($A1232,#REF!,11,FALSE)&lt;-2),"",#REF!),"")</f>
        <v/>
      </c>
      <c r="N1232" t="str">
        <f>IFERROR(IF(OR(HLOOKUP($A1232,#REF!,12,FALSE)&gt;2,HLOOKUP($A1232,#REF!,12,FALSE)&lt;-2),"",#REF!),"")</f>
        <v/>
      </c>
      <c r="O1232" t="str">
        <f>IFERROR(IF(OR(HLOOKUP($A1232,#REF!,13,FALSE)&gt;2,HLOOKUP($A1232,#REF!,13,FALSE)&lt;-2),"",#REF!),"")</f>
        <v/>
      </c>
      <c r="P1232" t="str">
        <f>IFERROR(IF(OR(HLOOKUP($A1232,#REF!,14,FALSE)&gt;2,HLOOKUP($A1232,#REF!,14,FALSE)&lt;-2),"",#REF!),"")</f>
        <v/>
      </c>
      <c r="Q1232" t="str">
        <f>IFERROR(IF(OR(HLOOKUP($A1232,#REF!,15,FALSE)&gt;2,HLOOKUP($A1232,#REF!,15,FALSE)&lt;-2),"",#REF!),"")</f>
        <v/>
      </c>
      <c r="R1232" t="str">
        <f>IFERROR(IF(OR(HLOOKUP($A1232,#REF!,16,FALSE)&gt;2,HLOOKUP($A1232,#REF!,16,FALSE)&lt;-2),"",#REF!),"")</f>
        <v/>
      </c>
      <c r="S1232" t="str">
        <f>IFERROR(IF(OR(HLOOKUP($A1232,#REF!,17,FALSE)&gt;2,HLOOKUP($A1232,#REF!,17,FALSE)&lt;-2),"",#REF!),"")</f>
        <v/>
      </c>
      <c r="T1232" t="str">
        <f>IFERROR(IF(OR(HLOOKUP($A1232,#REF!,18,FALSE)&gt;2,HLOOKUP($A1232,#REF!,18,FALSE)&lt;-2),"",#REF!),"")</f>
        <v/>
      </c>
      <c r="U1232" t="str">
        <f>IFERROR(IF(OR(HLOOKUP($A1232,#REF!,19,FALSE)&gt;2,HLOOKUP($A1232,#REF!,19,FALSE)&lt;-2),"",#REF!),"")</f>
        <v/>
      </c>
      <c r="V1232">
        <f t="shared" si="76"/>
        <v>1</v>
      </c>
      <c r="W1232" t="str">
        <f t="shared" si="73"/>
        <v/>
      </c>
      <c r="X1232" t="str">
        <f t="shared" si="77"/>
        <v/>
      </c>
      <c r="Y1232" t="str">
        <f t="shared" si="78"/>
        <v/>
      </c>
    </row>
    <row r="1233" spans="1:25" x14ac:dyDescent="0.35">
      <c r="A1233">
        <v>12702</v>
      </c>
      <c r="B1233" t="s">
        <v>1203</v>
      </c>
      <c r="C1233">
        <v>39700</v>
      </c>
      <c r="D1233">
        <v>2726</v>
      </c>
      <c r="E1233" t="str">
        <f>IFERROR(IF(OR(HLOOKUP($A1233,#REF!,3,FALSE)&gt;2,HLOOKUP(A1233,#REF!,3,FALSE)&lt;-2),"",#REF!),"")</f>
        <v/>
      </c>
      <c r="F1233" t="str">
        <f>IFERROR(IF(OR(HLOOKUP($A1233,#REF!,4,FALSE)&gt;2,HLOOKUP($A1233,#REF!,4,FALSE)&lt;-2),"",#REF!),"")</f>
        <v/>
      </c>
      <c r="G1233" t="str">
        <f>IFERROR(IF(OR(HLOOKUP($A1233,#REF!,5,FALSE)&gt;2,HLOOKUP($A1233,#REF!,5,FALSE)&lt;-2),"",#REF!),"")</f>
        <v/>
      </c>
      <c r="H1233" t="str">
        <f>IFERROR(IF(OR(HLOOKUP($A1233,#REF!,6,FALSE)&gt;2,HLOOKUP($A1233,#REF!,6,FALSE)&lt;-2),"",#REF!),"")</f>
        <v/>
      </c>
      <c r="I1233" t="str">
        <f>IFERROR(IF(OR(HLOOKUP($A1233,#REF!,7,FALSE)&gt;2,HLOOKUP($A1233,#REF!,7,FALSE)&lt;-2),"",#REF!),"")</f>
        <v/>
      </c>
      <c r="J1233" t="str">
        <f>IFERROR(IF(OR(HLOOKUP($A1233,#REF!,8,FALSE)&gt;2,HLOOKUP($A1233,#REF!,8,FALSE)&lt;-2),"",#REF!),"")</f>
        <v/>
      </c>
      <c r="K1233" t="str">
        <f>IFERROR(IF(OR(HLOOKUP($A1233,#REF!,9,FALSE)&gt;2,HLOOKUP($A1233,#REF!,9,FALSE)&lt;-2),"",#REF!),"")</f>
        <v/>
      </c>
      <c r="L1233" t="str">
        <f>IFERROR(IF(OR(HLOOKUP($A1233,#REF!,10,FALSE)&gt;2,HLOOKUP($A1233,#REF!,10,FALSE)&lt;-2),"",#REF!),"")</f>
        <v/>
      </c>
      <c r="M1233" t="str">
        <f>IFERROR(IF(OR(HLOOKUP($A1233,#REF!,11,FALSE)&gt;2,HLOOKUP($A1233,#REF!,11,FALSE)&lt;-2),"",#REF!),"")</f>
        <v/>
      </c>
      <c r="N1233" t="str">
        <f>IFERROR(IF(OR(HLOOKUP($A1233,#REF!,12,FALSE)&gt;2,HLOOKUP($A1233,#REF!,12,FALSE)&lt;-2),"",#REF!),"")</f>
        <v/>
      </c>
      <c r="O1233" t="str">
        <f>IFERROR(IF(OR(HLOOKUP($A1233,#REF!,13,FALSE)&gt;2,HLOOKUP($A1233,#REF!,13,FALSE)&lt;-2),"",#REF!),"")</f>
        <v/>
      </c>
      <c r="P1233" t="str">
        <f>IFERROR(IF(OR(HLOOKUP($A1233,#REF!,14,FALSE)&gt;2,HLOOKUP($A1233,#REF!,14,FALSE)&lt;-2),"",#REF!),"")</f>
        <v/>
      </c>
      <c r="Q1233" t="str">
        <f>IFERROR(IF(OR(HLOOKUP($A1233,#REF!,15,FALSE)&gt;2,HLOOKUP($A1233,#REF!,15,FALSE)&lt;-2),"",#REF!),"")</f>
        <v/>
      </c>
      <c r="R1233" t="str">
        <f>IFERROR(IF(OR(HLOOKUP($A1233,#REF!,16,FALSE)&gt;2,HLOOKUP($A1233,#REF!,16,FALSE)&lt;-2),"",#REF!),"")</f>
        <v/>
      </c>
      <c r="S1233" t="str">
        <f>IFERROR(IF(OR(HLOOKUP($A1233,#REF!,17,FALSE)&gt;2,HLOOKUP($A1233,#REF!,17,FALSE)&lt;-2),"",#REF!),"")</f>
        <v/>
      </c>
      <c r="T1233" t="str">
        <f>IFERROR(IF(OR(HLOOKUP($A1233,#REF!,18,FALSE)&gt;2,HLOOKUP($A1233,#REF!,18,FALSE)&lt;-2),"",#REF!),"")</f>
        <v/>
      </c>
      <c r="U1233" t="str">
        <f>IFERROR(IF(OR(HLOOKUP($A1233,#REF!,19,FALSE)&gt;2,HLOOKUP($A1233,#REF!,19,FALSE)&lt;-2),"",#REF!),"")</f>
        <v/>
      </c>
      <c r="V1233">
        <f t="shared" si="76"/>
        <v>1</v>
      </c>
      <c r="W1233" t="str">
        <f t="shared" si="73"/>
        <v/>
      </c>
      <c r="X1233" t="str">
        <f t="shared" si="77"/>
        <v/>
      </c>
      <c r="Y1233" t="str">
        <f t="shared" si="78"/>
        <v/>
      </c>
    </row>
    <row r="1234" spans="1:25" x14ac:dyDescent="0.35">
      <c r="A1234">
        <v>12703</v>
      </c>
      <c r="B1234" t="s">
        <v>560</v>
      </c>
      <c r="C1234">
        <v>39400</v>
      </c>
      <c r="D1234">
        <v>2726</v>
      </c>
      <c r="E1234" t="str">
        <f>IFERROR(IF(OR(HLOOKUP($A1234,#REF!,3,FALSE)&gt;2,HLOOKUP(A1234,#REF!,3,FALSE)&lt;-2),"",#REF!),"")</f>
        <v/>
      </c>
      <c r="F1234" t="str">
        <f>IFERROR(IF(OR(HLOOKUP($A1234,#REF!,4,FALSE)&gt;2,HLOOKUP($A1234,#REF!,4,FALSE)&lt;-2),"",#REF!),"")</f>
        <v/>
      </c>
      <c r="G1234" t="str">
        <f>IFERROR(IF(OR(HLOOKUP($A1234,#REF!,5,FALSE)&gt;2,HLOOKUP($A1234,#REF!,5,FALSE)&lt;-2),"",#REF!),"")</f>
        <v/>
      </c>
      <c r="H1234" t="str">
        <f>IFERROR(IF(OR(HLOOKUP($A1234,#REF!,6,FALSE)&gt;2,HLOOKUP($A1234,#REF!,6,FALSE)&lt;-2),"",#REF!),"")</f>
        <v/>
      </c>
      <c r="I1234" t="str">
        <f>IFERROR(IF(OR(HLOOKUP($A1234,#REF!,7,FALSE)&gt;2,HLOOKUP($A1234,#REF!,7,FALSE)&lt;-2),"",#REF!),"")</f>
        <v/>
      </c>
      <c r="J1234" t="str">
        <f>IFERROR(IF(OR(HLOOKUP($A1234,#REF!,8,FALSE)&gt;2,HLOOKUP($A1234,#REF!,8,FALSE)&lt;-2),"",#REF!),"")</f>
        <v/>
      </c>
      <c r="K1234" t="str">
        <f>IFERROR(IF(OR(HLOOKUP($A1234,#REF!,9,FALSE)&gt;2,HLOOKUP($A1234,#REF!,9,FALSE)&lt;-2),"",#REF!),"")</f>
        <v/>
      </c>
      <c r="L1234" t="str">
        <f>IFERROR(IF(OR(HLOOKUP($A1234,#REF!,10,FALSE)&gt;2,HLOOKUP($A1234,#REF!,10,FALSE)&lt;-2),"",#REF!),"")</f>
        <v/>
      </c>
      <c r="M1234" t="str">
        <f>IFERROR(IF(OR(HLOOKUP($A1234,#REF!,11,FALSE)&gt;2,HLOOKUP($A1234,#REF!,11,FALSE)&lt;-2),"",#REF!),"")</f>
        <v/>
      </c>
      <c r="N1234" t="str">
        <f>IFERROR(IF(OR(HLOOKUP($A1234,#REF!,12,FALSE)&gt;2,HLOOKUP($A1234,#REF!,12,FALSE)&lt;-2),"",#REF!),"")</f>
        <v/>
      </c>
      <c r="O1234" t="str">
        <f>IFERROR(IF(OR(HLOOKUP($A1234,#REF!,13,FALSE)&gt;2,HLOOKUP($A1234,#REF!,13,FALSE)&lt;-2),"",#REF!),"")</f>
        <v/>
      </c>
      <c r="P1234" t="str">
        <f>IFERROR(IF(OR(HLOOKUP($A1234,#REF!,14,FALSE)&gt;2,HLOOKUP($A1234,#REF!,14,FALSE)&lt;-2),"",#REF!),"")</f>
        <v/>
      </c>
      <c r="Q1234" t="str">
        <f>IFERROR(IF(OR(HLOOKUP($A1234,#REF!,15,FALSE)&gt;2,HLOOKUP($A1234,#REF!,15,FALSE)&lt;-2),"",#REF!),"")</f>
        <v/>
      </c>
      <c r="R1234" t="str">
        <f>IFERROR(IF(OR(HLOOKUP($A1234,#REF!,16,FALSE)&gt;2,HLOOKUP($A1234,#REF!,16,FALSE)&lt;-2),"",#REF!),"")</f>
        <v/>
      </c>
      <c r="S1234" t="str">
        <f>IFERROR(IF(OR(HLOOKUP($A1234,#REF!,17,FALSE)&gt;2,HLOOKUP($A1234,#REF!,17,FALSE)&lt;-2),"",#REF!),"")</f>
        <v/>
      </c>
      <c r="T1234" t="str">
        <f>IFERROR(IF(OR(HLOOKUP($A1234,#REF!,18,FALSE)&gt;2,HLOOKUP($A1234,#REF!,18,FALSE)&lt;-2),"",#REF!),"")</f>
        <v/>
      </c>
      <c r="U1234" t="str">
        <f>IFERROR(IF(OR(HLOOKUP($A1234,#REF!,19,FALSE)&gt;2,HLOOKUP($A1234,#REF!,19,FALSE)&lt;-2),"",#REF!),"")</f>
        <v/>
      </c>
      <c r="V1234">
        <f t="shared" si="76"/>
        <v>1</v>
      </c>
      <c r="W1234" t="str">
        <f t="shared" si="73"/>
        <v/>
      </c>
      <c r="X1234" t="str">
        <f t="shared" si="77"/>
        <v/>
      </c>
      <c r="Y1234" t="str">
        <f t="shared" si="78"/>
        <v/>
      </c>
    </row>
    <row r="1235" spans="1:25" x14ac:dyDescent="0.35">
      <c r="A1235">
        <v>12704</v>
      </c>
      <c r="B1235" t="s">
        <v>568</v>
      </c>
      <c r="C1235">
        <v>39700</v>
      </c>
      <c r="D1235">
        <v>2726</v>
      </c>
      <c r="E1235" t="str">
        <f>IFERROR(IF(OR(HLOOKUP($A1235,#REF!,3,FALSE)&gt;2,HLOOKUP(A1235,#REF!,3,FALSE)&lt;-2),"",#REF!),"")</f>
        <v/>
      </c>
      <c r="F1235" t="str">
        <f>IFERROR(IF(OR(HLOOKUP($A1235,#REF!,4,FALSE)&gt;2,HLOOKUP($A1235,#REF!,4,FALSE)&lt;-2),"",#REF!),"")</f>
        <v/>
      </c>
      <c r="G1235" t="str">
        <f>IFERROR(IF(OR(HLOOKUP($A1235,#REF!,5,FALSE)&gt;2,HLOOKUP($A1235,#REF!,5,FALSE)&lt;-2),"",#REF!),"")</f>
        <v/>
      </c>
      <c r="H1235" t="str">
        <f>IFERROR(IF(OR(HLOOKUP($A1235,#REF!,6,FALSE)&gt;2,HLOOKUP($A1235,#REF!,6,FALSE)&lt;-2),"",#REF!),"")</f>
        <v/>
      </c>
      <c r="I1235" t="str">
        <f>IFERROR(IF(OR(HLOOKUP($A1235,#REF!,7,FALSE)&gt;2,HLOOKUP($A1235,#REF!,7,FALSE)&lt;-2),"",#REF!),"")</f>
        <v/>
      </c>
      <c r="J1235" t="str">
        <f>IFERROR(IF(OR(HLOOKUP($A1235,#REF!,8,FALSE)&gt;2,HLOOKUP($A1235,#REF!,8,FALSE)&lt;-2),"",#REF!),"")</f>
        <v/>
      </c>
      <c r="K1235" t="str">
        <f>IFERROR(IF(OR(HLOOKUP($A1235,#REF!,9,FALSE)&gt;2,HLOOKUP($A1235,#REF!,9,FALSE)&lt;-2),"",#REF!),"")</f>
        <v/>
      </c>
      <c r="L1235" t="str">
        <f>IFERROR(IF(OR(HLOOKUP($A1235,#REF!,10,FALSE)&gt;2,HLOOKUP($A1235,#REF!,10,FALSE)&lt;-2),"",#REF!),"")</f>
        <v/>
      </c>
      <c r="M1235" t="str">
        <f>IFERROR(IF(OR(HLOOKUP($A1235,#REF!,11,FALSE)&gt;2,HLOOKUP($A1235,#REF!,11,FALSE)&lt;-2),"",#REF!),"")</f>
        <v/>
      </c>
      <c r="N1235" t="str">
        <f>IFERROR(IF(OR(HLOOKUP($A1235,#REF!,12,FALSE)&gt;2,HLOOKUP($A1235,#REF!,12,FALSE)&lt;-2),"",#REF!),"")</f>
        <v/>
      </c>
      <c r="O1235" t="str">
        <f>IFERROR(IF(OR(HLOOKUP($A1235,#REF!,13,FALSE)&gt;2,HLOOKUP($A1235,#REF!,13,FALSE)&lt;-2),"",#REF!),"")</f>
        <v/>
      </c>
      <c r="P1235" t="str">
        <f>IFERROR(IF(OR(HLOOKUP($A1235,#REF!,14,FALSE)&gt;2,HLOOKUP($A1235,#REF!,14,FALSE)&lt;-2),"",#REF!),"")</f>
        <v/>
      </c>
      <c r="Q1235" t="str">
        <f>IFERROR(IF(OR(HLOOKUP($A1235,#REF!,15,FALSE)&gt;2,HLOOKUP($A1235,#REF!,15,FALSE)&lt;-2),"",#REF!),"")</f>
        <v/>
      </c>
      <c r="R1235" t="str">
        <f>IFERROR(IF(OR(HLOOKUP($A1235,#REF!,16,FALSE)&gt;2,HLOOKUP($A1235,#REF!,16,FALSE)&lt;-2),"",#REF!),"")</f>
        <v/>
      </c>
      <c r="S1235" t="str">
        <f>IFERROR(IF(OR(HLOOKUP($A1235,#REF!,17,FALSE)&gt;2,HLOOKUP($A1235,#REF!,17,FALSE)&lt;-2),"",#REF!),"")</f>
        <v/>
      </c>
      <c r="T1235" t="str">
        <f>IFERROR(IF(OR(HLOOKUP($A1235,#REF!,18,FALSE)&gt;2,HLOOKUP($A1235,#REF!,18,FALSE)&lt;-2),"",#REF!),"")</f>
        <v/>
      </c>
      <c r="U1235" t="str">
        <f>IFERROR(IF(OR(HLOOKUP($A1235,#REF!,19,FALSE)&gt;2,HLOOKUP($A1235,#REF!,19,FALSE)&lt;-2),"",#REF!),"")</f>
        <v/>
      </c>
      <c r="V1235">
        <f t="shared" si="76"/>
        <v>1</v>
      </c>
      <c r="W1235" t="str">
        <f t="shared" si="73"/>
        <v/>
      </c>
      <c r="X1235" t="str">
        <f t="shared" si="77"/>
        <v/>
      </c>
      <c r="Y1235" t="str">
        <f t="shared" si="78"/>
        <v/>
      </c>
    </row>
    <row r="1236" spans="1:25" x14ac:dyDescent="0.35">
      <c r="A1236">
        <v>12705</v>
      </c>
      <c r="B1236" t="s">
        <v>561</v>
      </c>
      <c r="C1236">
        <v>39500</v>
      </c>
      <c r="D1236">
        <v>2726</v>
      </c>
      <c r="E1236" t="str">
        <f>IFERROR(IF(OR(HLOOKUP($A1236,#REF!,3,FALSE)&gt;2,HLOOKUP(A1236,#REF!,3,FALSE)&lt;-2),"",#REF!),"")</f>
        <v/>
      </c>
      <c r="F1236" t="str">
        <f>IFERROR(IF(OR(HLOOKUP($A1236,#REF!,4,FALSE)&gt;2,HLOOKUP($A1236,#REF!,4,FALSE)&lt;-2),"",#REF!),"")</f>
        <v/>
      </c>
      <c r="G1236" t="str">
        <f>IFERROR(IF(OR(HLOOKUP($A1236,#REF!,5,FALSE)&gt;2,HLOOKUP($A1236,#REF!,5,FALSE)&lt;-2),"",#REF!),"")</f>
        <v/>
      </c>
      <c r="H1236" t="str">
        <f>IFERROR(IF(OR(HLOOKUP($A1236,#REF!,6,FALSE)&gt;2,HLOOKUP($A1236,#REF!,6,FALSE)&lt;-2),"",#REF!),"")</f>
        <v/>
      </c>
      <c r="I1236" t="str">
        <f>IFERROR(IF(OR(HLOOKUP($A1236,#REF!,7,FALSE)&gt;2,HLOOKUP($A1236,#REF!,7,FALSE)&lt;-2),"",#REF!),"")</f>
        <v/>
      </c>
      <c r="J1236" t="str">
        <f>IFERROR(IF(OR(HLOOKUP($A1236,#REF!,8,FALSE)&gt;2,HLOOKUP($A1236,#REF!,8,FALSE)&lt;-2),"",#REF!),"")</f>
        <v/>
      </c>
      <c r="K1236" t="str">
        <f>IFERROR(IF(OR(HLOOKUP($A1236,#REF!,9,FALSE)&gt;2,HLOOKUP($A1236,#REF!,9,FALSE)&lt;-2),"",#REF!),"")</f>
        <v/>
      </c>
      <c r="L1236" t="str">
        <f>IFERROR(IF(OR(HLOOKUP($A1236,#REF!,10,FALSE)&gt;2,HLOOKUP($A1236,#REF!,10,FALSE)&lt;-2),"",#REF!),"")</f>
        <v/>
      </c>
      <c r="M1236" t="str">
        <f>IFERROR(IF(OR(HLOOKUP($A1236,#REF!,11,FALSE)&gt;2,HLOOKUP($A1236,#REF!,11,FALSE)&lt;-2),"",#REF!),"")</f>
        <v/>
      </c>
      <c r="N1236" t="str">
        <f>IFERROR(IF(OR(HLOOKUP($A1236,#REF!,12,FALSE)&gt;2,HLOOKUP($A1236,#REF!,12,FALSE)&lt;-2),"",#REF!),"")</f>
        <v/>
      </c>
      <c r="O1236" t="str">
        <f>IFERROR(IF(OR(HLOOKUP($A1236,#REF!,13,FALSE)&gt;2,HLOOKUP($A1236,#REF!,13,FALSE)&lt;-2),"",#REF!),"")</f>
        <v/>
      </c>
      <c r="P1236" t="str">
        <f>IFERROR(IF(OR(HLOOKUP($A1236,#REF!,14,FALSE)&gt;2,HLOOKUP($A1236,#REF!,14,FALSE)&lt;-2),"",#REF!),"")</f>
        <v/>
      </c>
      <c r="Q1236" t="str">
        <f>IFERROR(IF(OR(HLOOKUP($A1236,#REF!,15,FALSE)&gt;2,HLOOKUP($A1236,#REF!,15,FALSE)&lt;-2),"",#REF!),"")</f>
        <v/>
      </c>
      <c r="R1236" t="str">
        <f>IFERROR(IF(OR(HLOOKUP($A1236,#REF!,16,FALSE)&gt;2,HLOOKUP($A1236,#REF!,16,FALSE)&lt;-2),"",#REF!),"")</f>
        <v/>
      </c>
      <c r="S1236" t="str">
        <f>IFERROR(IF(OR(HLOOKUP($A1236,#REF!,17,FALSE)&gt;2,HLOOKUP($A1236,#REF!,17,FALSE)&lt;-2),"",#REF!),"")</f>
        <v/>
      </c>
      <c r="T1236" t="str">
        <f>IFERROR(IF(OR(HLOOKUP($A1236,#REF!,18,FALSE)&gt;2,HLOOKUP($A1236,#REF!,18,FALSE)&lt;-2),"",#REF!),"")</f>
        <v/>
      </c>
      <c r="U1236" t="str">
        <f>IFERROR(IF(OR(HLOOKUP($A1236,#REF!,19,FALSE)&gt;2,HLOOKUP($A1236,#REF!,19,FALSE)&lt;-2),"",#REF!),"")</f>
        <v/>
      </c>
      <c r="V1236">
        <f t="shared" si="76"/>
        <v>1</v>
      </c>
      <c r="W1236" t="str">
        <f t="shared" si="73"/>
        <v/>
      </c>
      <c r="X1236" t="str">
        <f t="shared" si="77"/>
        <v/>
      </c>
      <c r="Y1236" t="str">
        <f t="shared" si="78"/>
        <v/>
      </c>
    </row>
    <row r="1237" spans="1:25" x14ac:dyDescent="0.35">
      <c r="A1237">
        <v>12706</v>
      </c>
      <c r="B1237" t="s">
        <v>1270</v>
      </c>
      <c r="C1237">
        <v>39400</v>
      </c>
      <c r="D1237">
        <v>2726</v>
      </c>
      <c r="E1237" t="str">
        <f>IFERROR(IF(OR(HLOOKUP($A1237,#REF!,3,FALSE)&gt;2,HLOOKUP(A1237,#REF!,3,FALSE)&lt;-2),"",#REF!),"")</f>
        <v/>
      </c>
      <c r="F1237" t="str">
        <f>IFERROR(IF(OR(HLOOKUP($A1237,#REF!,4,FALSE)&gt;2,HLOOKUP($A1237,#REF!,4,FALSE)&lt;-2),"",#REF!),"")</f>
        <v/>
      </c>
      <c r="G1237" t="str">
        <f>IFERROR(IF(OR(HLOOKUP($A1237,#REF!,5,FALSE)&gt;2,HLOOKUP($A1237,#REF!,5,FALSE)&lt;-2),"",#REF!),"")</f>
        <v/>
      </c>
      <c r="H1237" t="str">
        <f>IFERROR(IF(OR(HLOOKUP($A1237,#REF!,6,FALSE)&gt;2,HLOOKUP($A1237,#REF!,6,FALSE)&lt;-2),"",#REF!),"")</f>
        <v/>
      </c>
      <c r="I1237" t="str">
        <f>IFERROR(IF(OR(HLOOKUP($A1237,#REF!,7,FALSE)&gt;2,HLOOKUP($A1237,#REF!,7,FALSE)&lt;-2),"",#REF!),"")</f>
        <v/>
      </c>
      <c r="J1237" t="str">
        <f>IFERROR(IF(OR(HLOOKUP($A1237,#REF!,8,FALSE)&gt;2,HLOOKUP($A1237,#REF!,8,FALSE)&lt;-2),"",#REF!),"")</f>
        <v/>
      </c>
      <c r="K1237" t="str">
        <f>IFERROR(IF(OR(HLOOKUP($A1237,#REF!,9,FALSE)&gt;2,HLOOKUP($A1237,#REF!,9,FALSE)&lt;-2),"",#REF!),"")</f>
        <v/>
      </c>
      <c r="L1237" t="str">
        <f>IFERROR(IF(OR(HLOOKUP($A1237,#REF!,10,FALSE)&gt;2,HLOOKUP($A1237,#REF!,10,FALSE)&lt;-2),"",#REF!),"")</f>
        <v/>
      </c>
      <c r="M1237" t="str">
        <f>IFERROR(IF(OR(HLOOKUP($A1237,#REF!,11,FALSE)&gt;2,HLOOKUP($A1237,#REF!,11,FALSE)&lt;-2),"",#REF!),"")</f>
        <v/>
      </c>
      <c r="N1237" t="str">
        <f>IFERROR(IF(OR(HLOOKUP($A1237,#REF!,12,FALSE)&gt;2,HLOOKUP($A1237,#REF!,12,FALSE)&lt;-2),"",#REF!),"")</f>
        <v/>
      </c>
      <c r="O1237" t="str">
        <f>IFERROR(IF(OR(HLOOKUP($A1237,#REF!,13,FALSE)&gt;2,HLOOKUP($A1237,#REF!,13,FALSE)&lt;-2),"",#REF!),"")</f>
        <v/>
      </c>
      <c r="P1237" t="str">
        <f>IFERROR(IF(OR(HLOOKUP($A1237,#REF!,14,FALSE)&gt;2,HLOOKUP($A1237,#REF!,14,FALSE)&lt;-2),"",#REF!),"")</f>
        <v/>
      </c>
      <c r="Q1237" t="str">
        <f>IFERROR(IF(OR(HLOOKUP($A1237,#REF!,15,FALSE)&gt;2,HLOOKUP($A1237,#REF!,15,FALSE)&lt;-2),"",#REF!),"")</f>
        <v/>
      </c>
      <c r="R1237" t="str">
        <f>IFERROR(IF(OR(HLOOKUP($A1237,#REF!,16,FALSE)&gt;2,HLOOKUP($A1237,#REF!,16,FALSE)&lt;-2),"",#REF!),"")</f>
        <v/>
      </c>
      <c r="S1237" t="str">
        <f>IFERROR(IF(OR(HLOOKUP($A1237,#REF!,17,FALSE)&gt;2,HLOOKUP($A1237,#REF!,17,FALSE)&lt;-2),"",#REF!),"")</f>
        <v/>
      </c>
      <c r="T1237" t="str">
        <f>IFERROR(IF(OR(HLOOKUP($A1237,#REF!,18,FALSE)&gt;2,HLOOKUP($A1237,#REF!,18,FALSE)&lt;-2),"",#REF!),"")</f>
        <v/>
      </c>
      <c r="U1237" t="str">
        <f>IFERROR(IF(OR(HLOOKUP($A1237,#REF!,19,FALSE)&gt;2,HLOOKUP($A1237,#REF!,19,FALSE)&lt;-2),"",#REF!),"")</f>
        <v/>
      </c>
      <c r="V1237">
        <f t="shared" si="76"/>
        <v>1</v>
      </c>
      <c r="W1237" t="str">
        <f t="shared" si="73"/>
        <v/>
      </c>
      <c r="X1237" t="str">
        <f t="shared" si="77"/>
        <v/>
      </c>
      <c r="Y1237" t="str">
        <f t="shared" si="78"/>
        <v/>
      </c>
    </row>
    <row r="1238" spans="1:25" x14ac:dyDescent="0.35">
      <c r="A1238">
        <v>12707</v>
      </c>
      <c r="B1238" t="s">
        <v>1271</v>
      </c>
      <c r="C1238">
        <v>39500</v>
      </c>
      <c r="D1238">
        <v>2726</v>
      </c>
      <c r="E1238" t="str">
        <f>IFERROR(IF(OR(HLOOKUP($A1238,#REF!,3,FALSE)&gt;2,HLOOKUP(A1238,#REF!,3,FALSE)&lt;-2),"",#REF!),"")</f>
        <v/>
      </c>
      <c r="F1238" t="str">
        <f>IFERROR(IF(OR(HLOOKUP($A1238,#REF!,4,FALSE)&gt;2,HLOOKUP($A1238,#REF!,4,FALSE)&lt;-2),"",#REF!),"")</f>
        <v/>
      </c>
      <c r="G1238" t="str">
        <f>IFERROR(IF(OR(HLOOKUP($A1238,#REF!,5,FALSE)&gt;2,HLOOKUP($A1238,#REF!,5,FALSE)&lt;-2),"",#REF!),"")</f>
        <v/>
      </c>
      <c r="H1238" t="str">
        <f>IFERROR(IF(OR(HLOOKUP($A1238,#REF!,6,FALSE)&gt;2,HLOOKUP($A1238,#REF!,6,FALSE)&lt;-2),"",#REF!),"")</f>
        <v/>
      </c>
      <c r="I1238" t="str">
        <f>IFERROR(IF(OR(HLOOKUP($A1238,#REF!,7,FALSE)&gt;2,HLOOKUP($A1238,#REF!,7,FALSE)&lt;-2),"",#REF!),"")</f>
        <v/>
      </c>
      <c r="J1238" t="str">
        <f>IFERROR(IF(OR(HLOOKUP($A1238,#REF!,8,FALSE)&gt;2,HLOOKUP($A1238,#REF!,8,FALSE)&lt;-2),"",#REF!),"")</f>
        <v/>
      </c>
      <c r="K1238" t="str">
        <f>IFERROR(IF(OR(HLOOKUP($A1238,#REF!,9,FALSE)&gt;2,HLOOKUP($A1238,#REF!,9,FALSE)&lt;-2),"",#REF!),"")</f>
        <v/>
      </c>
      <c r="L1238" t="str">
        <f>IFERROR(IF(OR(HLOOKUP($A1238,#REF!,10,FALSE)&gt;2,HLOOKUP($A1238,#REF!,10,FALSE)&lt;-2),"",#REF!),"")</f>
        <v/>
      </c>
      <c r="M1238" t="str">
        <f>IFERROR(IF(OR(HLOOKUP($A1238,#REF!,11,FALSE)&gt;2,HLOOKUP($A1238,#REF!,11,FALSE)&lt;-2),"",#REF!),"")</f>
        <v/>
      </c>
      <c r="N1238" t="str">
        <f>IFERROR(IF(OR(HLOOKUP($A1238,#REF!,12,FALSE)&gt;2,HLOOKUP($A1238,#REF!,12,FALSE)&lt;-2),"",#REF!),"")</f>
        <v/>
      </c>
      <c r="O1238" t="str">
        <f>IFERROR(IF(OR(HLOOKUP($A1238,#REF!,13,FALSE)&gt;2,HLOOKUP($A1238,#REF!,13,FALSE)&lt;-2),"",#REF!),"")</f>
        <v/>
      </c>
      <c r="P1238" t="str">
        <f>IFERROR(IF(OR(HLOOKUP($A1238,#REF!,14,FALSE)&gt;2,HLOOKUP($A1238,#REF!,14,FALSE)&lt;-2),"",#REF!),"")</f>
        <v/>
      </c>
      <c r="Q1238" t="str">
        <f>IFERROR(IF(OR(HLOOKUP($A1238,#REF!,15,FALSE)&gt;2,HLOOKUP($A1238,#REF!,15,FALSE)&lt;-2),"",#REF!),"")</f>
        <v/>
      </c>
      <c r="R1238" t="str">
        <f>IFERROR(IF(OR(HLOOKUP($A1238,#REF!,16,FALSE)&gt;2,HLOOKUP($A1238,#REF!,16,FALSE)&lt;-2),"",#REF!),"")</f>
        <v/>
      </c>
      <c r="S1238" t="str">
        <f>IFERROR(IF(OR(HLOOKUP($A1238,#REF!,17,FALSE)&gt;2,HLOOKUP($A1238,#REF!,17,FALSE)&lt;-2),"",#REF!),"")</f>
        <v/>
      </c>
      <c r="T1238" t="str">
        <f>IFERROR(IF(OR(HLOOKUP($A1238,#REF!,18,FALSE)&gt;2,HLOOKUP($A1238,#REF!,18,FALSE)&lt;-2),"",#REF!),"")</f>
        <v/>
      </c>
      <c r="U1238" t="str">
        <f>IFERROR(IF(OR(HLOOKUP($A1238,#REF!,19,FALSE)&gt;2,HLOOKUP($A1238,#REF!,19,FALSE)&lt;-2),"",#REF!),"")</f>
        <v/>
      </c>
      <c r="V1238">
        <f t="shared" si="76"/>
        <v>1</v>
      </c>
      <c r="W1238" t="str">
        <f t="shared" si="73"/>
        <v/>
      </c>
      <c r="X1238" t="str">
        <f t="shared" si="77"/>
        <v/>
      </c>
      <c r="Y1238" t="str">
        <f t="shared" si="78"/>
        <v/>
      </c>
    </row>
    <row r="1239" spans="1:25" x14ac:dyDescent="0.35">
      <c r="A1239">
        <v>182305696</v>
      </c>
      <c r="B1239" t="s">
        <v>562</v>
      </c>
      <c r="C1239">
        <v>300</v>
      </c>
      <c r="D1239">
        <v>688</v>
      </c>
      <c r="E1239" t="str">
        <f>IFERROR(IF(OR(HLOOKUP($A1239,#REF!,3,FALSE)&gt;2,HLOOKUP(A1239,#REF!,3,FALSE)&lt;-2),"",#REF!),"")</f>
        <v/>
      </c>
      <c r="F1239" t="str">
        <f>IFERROR(IF(OR(HLOOKUP($A1239,#REF!,4,FALSE)&gt;2,HLOOKUP($A1239,#REF!,4,FALSE)&lt;-2),"",#REF!),"")</f>
        <v/>
      </c>
      <c r="G1239" t="str">
        <f>IFERROR(IF(OR(HLOOKUP($A1239,#REF!,5,FALSE)&gt;2,HLOOKUP($A1239,#REF!,5,FALSE)&lt;-2),"",#REF!),"")</f>
        <v/>
      </c>
      <c r="H1239" t="str">
        <f>IFERROR(IF(OR(HLOOKUP($A1239,#REF!,6,FALSE)&gt;2,HLOOKUP($A1239,#REF!,6,FALSE)&lt;-2),"",#REF!),"")</f>
        <v/>
      </c>
      <c r="I1239" t="str">
        <f>IFERROR(IF(OR(HLOOKUP($A1239,#REF!,7,FALSE)&gt;2,HLOOKUP($A1239,#REF!,7,FALSE)&lt;-2),"",#REF!),"")</f>
        <v/>
      </c>
      <c r="J1239" t="str">
        <f>IFERROR(IF(OR(HLOOKUP($A1239,#REF!,8,FALSE)&gt;2,HLOOKUP($A1239,#REF!,8,FALSE)&lt;-2),"",#REF!),"")</f>
        <v/>
      </c>
      <c r="K1239" t="str">
        <f>IFERROR(IF(OR(HLOOKUP($A1239,#REF!,9,FALSE)&gt;2,HLOOKUP($A1239,#REF!,9,FALSE)&lt;-2),"",#REF!),"")</f>
        <v/>
      </c>
      <c r="L1239" t="str">
        <f>IFERROR(IF(OR(HLOOKUP($A1239,#REF!,10,FALSE)&gt;2,HLOOKUP($A1239,#REF!,10,FALSE)&lt;-2),"",#REF!),"")</f>
        <v/>
      </c>
      <c r="M1239" t="str">
        <f>IFERROR(IF(OR(HLOOKUP($A1239,#REF!,11,FALSE)&gt;2,HLOOKUP($A1239,#REF!,11,FALSE)&lt;-2),"",#REF!),"")</f>
        <v/>
      </c>
      <c r="N1239" t="str">
        <f>IFERROR(IF(OR(HLOOKUP($A1239,#REF!,12,FALSE)&gt;2,HLOOKUP($A1239,#REF!,12,FALSE)&lt;-2),"",#REF!),"")</f>
        <v/>
      </c>
      <c r="O1239" t="str">
        <f>IFERROR(IF(OR(HLOOKUP($A1239,#REF!,13,FALSE)&gt;2,HLOOKUP($A1239,#REF!,13,FALSE)&lt;-2),"",#REF!),"")</f>
        <v/>
      </c>
      <c r="P1239" t="str">
        <f>IFERROR(IF(OR(HLOOKUP($A1239,#REF!,14,FALSE)&gt;2,HLOOKUP($A1239,#REF!,14,FALSE)&lt;-2),"",#REF!),"")</f>
        <v/>
      </c>
      <c r="Q1239" t="str">
        <f>IFERROR(IF(OR(HLOOKUP($A1239,#REF!,15,FALSE)&gt;2,HLOOKUP($A1239,#REF!,15,FALSE)&lt;-2),"",#REF!),"")</f>
        <v/>
      </c>
      <c r="R1239" t="str">
        <f>IFERROR(IF(OR(HLOOKUP($A1239,#REF!,16,FALSE)&gt;2,HLOOKUP($A1239,#REF!,16,FALSE)&lt;-2),"",#REF!),"")</f>
        <v/>
      </c>
      <c r="S1239" t="str">
        <f>IFERROR(IF(OR(HLOOKUP($A1239,#REF!,17,FALSE)&gt;2,HLOOKUP($A1239,#REF!,17,FALSE)&lt;-2),"",#REF!),"")</f>
        <v/>
      </c>
      <c r="T1239" t="str">
        <f>IFERROR(IF(OR(HLOOKUP($A1239,#REF!,18,FALSE)&gt;2,HLOOKUP($A1239,#REF!,18,FALSE)&lt;-2),"",#REF!),"")</f>
        <v/>
      </c>
      <c r="U1239" t="str">
        <f>IFERROR(IF(OR(HLOOKUP($A1239,#REF!,19,FALSE)&gt;2,HLOOKUP($A1239,#REF!,19,FALSE)&lt;-2),"",#REF!),"")</f>
        <v/>
      </c>
      <c r="V1239">
        <f t="shared" si="76"/>
        <v>1</v>
      </c>
      <c r="W1239" t="str">
        <f t="shared" si="73"/>
        <v/>
      </c>
      <c r="X1239" t="str">
        <f t="shared" si="77"/>
        <v/>
      </c>
      <c r="Y1239" t="str">
        <f t="shared" si="78"/>
        <v/>
      </c>
    </row>
    <row r="1240" spans="1:25" x14ac:dyDescent="0.35">
      <c r="A1240">
        <v>182305712</v>
      </c>
      <c r="B1240" t="s">
        <v>562</v>
      </c>
      <c r="C1240">
        <v>300</v>
      </c>
      <c r="D1240">
        <v>688</v>
      </c>
      <c r="E1240" t="str">
        <f>IFERROR(IF(OR(HLOOKUP($A1240,#REF!,3,FALSE)&gt;2,HLOOKUP(A1240,#REF!,3,FALSE)&lt;-2),"",#REF!),"")</f>
        <v/>
      </c>
      <c r="F1240" t="str">
        <f>IFERROR(IF(OR(HLOOKUP($A1240,#REF!,4,FALSE)&gt;2,HLOOKUP($A1240,#REF!,4,FALSE)&lt;-2),"",#REF!),"")</f>
        <v/>
      </c>
      <c r="G1240" t="str">
        <f>IFERROR(IF(OR(HLOOKUP($A1240,#REF!,5,FALSE)&gt;2,HLOOKUP($A1240,#REF!,5,FALSE)&lt;-2),"",#REF!),"")</f>
        <v/>
      </c>
      <c r="H1240" t="str">
        <f>IFERROR(IF(OR(HLOOKUP($A1240,#REF!,6,FALSE)&gt;2,HLOOKUP($A1240,#REF!,6,FALSE)&lt;-2),"",#REF!),"")</f>
        <v/>
      </c>
      <c r="I1240" t="str">
        <f>IFERROR(IF(OR(HLOOKUP($A1240,#REF!,7,FALSE)&gt;2,HLOOKUP($A1240,#REF!,7,FALSE)&lt;-2),"",#REF!),"")</f>
        <v/>
      </c>
      <c r="J1240" t="str">
        <f>IFERROR(IF(OR(HLOOKUP($A1240,#REF!,8,FALSE)&gt;2,HLOOKUP($A1240,#REF!,8,FALSE)&lt;-2),"",#REF!),"")</f>
        <v/>
      </c>
      <c r="K1240" t="str">
        <f>IFERROR(IF(OR(HLOOKUP($A1240,#REF!,9,FALSE)&gt;2,HLOOKUP($A1240,#REF!,9,FALSE)&lt;-2),"",#REF!),"")</f>
        <v/>
      </c>
      <c r="L1240" t="str">
        <f>IFERROR(IF(OR(HLOOKUP($A1240,#REF!,10,FALSE)&gt;2,HLOOKUP($A1240,#REF!,10,FALSE)&lt;-2),"",#REF!),"")</f>
        <v/>
      </c>
      <c r="M1240" t="str">
        <f>IFERROR(IF(OR(HLOOKUP($A1240,#REF!,11,FALSE)&gt;2,HLOOKUP($A1240,#REF!,11,FALSE)&lt;-2),"",#REF!),"")</f>
        <v/>
      </c>
      <c r="N1240" t="str">
        <f>IFERROR(IF(OR(HLOOKUP($A1240,#REF!,12,FALSE)&gt;2,HLOOKUP($A1240,#REF!,12,FALSE)&lt;-2),"",#REF!),"")</f>
        <v/>
      </c>
      <c r="O1240" t="str">
        <f>IFERROR(IF(OR(HLOOKUP($A1240,#REF!,13,FALSE)&gt;2,HLOOKUP($A1240,#REF!,13,FALSE)&lt;-2),"",#REF!),"")</f>
        <v/>
      </c>
      <c r="P1240" t="str">
        <f>IFERROR(IF(OR(HLOOKUP($A1240,#REF!,14,FALSE)&gt;2,HLOOKUP($A1240,#REF!,14,FALSE)&lt;-2),"",#REF!),"")</f>
        <v/>
      </c>
      <c r="Q1240" t="str">
        <f>IFERROR(IF(OR(HLOOKUP($A1240,#REF!,15,FALSE)&gt;2,HLOOKUP($A1240,#REF!,15,FALSE)&lt;-2),"",#REF!),"")</f>
        <v/>
      </c>
      <c r="R1240" t="str">
        <f>IFERROR(IF(OR(HLOOKUP($A1240,#REF!,16,FALSE)&gt;2,HLOOKUP($A1240,#REF!,16,FALSE)&lt;-2),"",#REF!),"")</f>
        <v/>
      </c>
      <c r="S1240" t="str">
        <f>IFERROR(IF(OR(HLOOKUP($A1240,#REF!,17,FALSE)&gt;2,HLOOKUP($A1240,#REF!,17,FALSE)&lt;-2),"",#REF!),"")</f>
        <v/>
      </c>
      <c r="T1240" t="str">
        <f>IFERROR(IF(OR(HLOOKUP($A1240,#REF!,18,FALSE)&gt;2,HLOOKUP($A1240,#REF!,18,FALSE)&lt;-2),"",#REF!),"")</f>
        <v/>
      </c>
      <c r="U1240" t="str">
        <f>IFERROR(IF(OR(HLOOKUP($A1240,#REF!,19,FALSE)&gt;2,HLOOKUP($A1240,#REF!,19,FALSE)&lt;-2),"",#REF!),"")</f>
        <v/>
      </c>
      <c r="V1240">
        <f t="shared" si="76"/>
        <v>1</v>
      </c>
      <c r="W1240" t="str">
        <f t="shared" si="73"/>
        <v/>
      </c>
      <c r="X1240" t="str">
        <f t="shared" si="77"/>
        <v/>
      </c>
      <c r="Y1240" t="str">
        <f t="shared" si="78"/>
        <v/>
      </c>
    </row>
    <row r="1241" spans="1:25" x14ac:dyDescent="0.35">
      <c r="A1241">
        <v>312782560</v>
      </c>
      <c r="B1241" t="s">
        <v>562</v>
      </c>
      <c r="C1241">
        <v>300</v>
      </c>
      <c r="D1241">
        <v>688</v>
      </c>
      <c r="E1241" t="str">
        <f>IFERROR(IF(OR(HLOOKUP($A1241,#REF!,3,FALSE)&gt;2,HLOOKUP(A1241,#REF!,3,FALSE)&lt;-2),"",#REF!),"")</f>
        <v/>
      </c>
      <c r="F1241" t="str">
        <f>IFERROR(IF(OR(HLOOKUP($A1241,#REF!,4,FALSE)&gt;2,HLOOKUP($A1241,#REF!,4,FALSE)&lt;-2),"",#REF!),"")</f>
        <v/>
      </c>
      <c r="G1241" t="str">
        <f>IFERROR(IF(OR(HLOOKUP($A1241,#REF!,5,FALSE)&gt;2,HLOOKUP($A1241,#REF!,5,FALSE)&lt;-2),"",#REF!),"")</f>
        <v/>
      </c>
      <c r="H1241" t="str">
        <f>IFERROR(IF(OR(HLOOKUP($A1241,#REF!,6,FALSE)&gt;2,HLOOKUP($A1241,#REF!,6,FALSE)&lt;-2),"",#REF!),"")</f>
        <v/>
      </c>
      <c r="I1241" t="str">
        <f>IFERROR(IF(OR(HLOOKUP($A1241,#REF!,7,FALSE)&gt;2,HLOOKUP($A1241,#REF!,7,FALSE)&lt;-2),"",#REF!),"")</f>
        <v/>
      </c>
      <c r="J1241" t="str">
        <f>IFERROR(IF(OR(HLOOKUP($A1241,#REF!,8,FALSE)&gt;2,HLOOKUP($A1241,#REF!,8,FALSE)&lt;-2),"",#REF!),"")</f>
        <v/>
      </c>
      <c r="K1241" t="str">
        <f>IFERROR(IF(OR(HLOOKUP($A1241,#REF!,9,FALSE)&gt;2,HLOOKUP($A1241,#REF!,9,FALSE)&lt;-2),"",#REF!),"")</f>
        <v/>
      </c>
      <c r="L1241" t="str">
        <f>IFERROR(IF(OR(HLOOKUP($A1241,#REF!,10,FALSE)&gt;2,HLOOKUP($A1241,#REF!,10,FALSE)&lt;-2),"",#REF!),"")</f>
        <v/>
      </c>
      <c r="M1241" t="str">
        <f>IFERROR(IF(OR(HLOOKUP($A1241,#REF!,11,FALSE)&gt;2,HLOOKUP($A1241,#REF!,11,FALSE)&lt;-2),"",#REF!),"")</f>
        <v/>
      </c>
      <c r="N1241" t="str">
        <f>IFERROR(IF(OR(HLOOKUP($A1241,#REF!,12,FALSE)&gt;2,HLOOKUP($A1241,#REF!,12,FALSE)&lt;-2),"",#REF!),"")</f>
        <v/>
      </c>
      <c r="O1241" t="str">
        <f>IFERROR(IF(OR(HLOOKUP($A1241,#REF!,13,FALSE)&gt;2,HLOOKUP($A1241,#REF!,13,FALSE)&lt;-2),"",#REF!),"")</f>
        <v/>
      </c>
      <c r="P1241" t="str">
        <f>IFERROR(IF(OR(HLOOKUP($A1241,#REF!,14,FALSE)&gt;2,HLOOKUP($A1241,#REF!,14,FALSE)&lt;-2),"",#REF!),"")</f>
        <v/>
      </c>
      <c r="Q1241" t="str">
        <f>IFERROR(IF(OR(HLOOKUP($A1241,#REF!,15,FALSE)&gt;2,HLOOKUP($A1241,#REF!,15,FALSE)&lt;-2),"",#REF!),"")</f>
        <v/>
      </c>
      <c r="R1241" t="str">
        <f>IFERROR(IF(OR(HLOOKUP($A1241,#REF!,16,FALSE)&gt;2,HLOOKUP($A1241,#REF!,16,FALSE)&lt;-2),"",#REF!),"")</f>
        <v/>
      </c>
      <c r="S1241" t="str">
        <f>IFERROR(IF(OR(HLOOKUP($A1241,#REF!,17,FALSE)&gt;2,HLOOKUP($A1241,#REF!,17,FALSE)&lt;-2),"",#REF!),"")</f>
        <v/>
      </c>
      <c r="T1241" t="str">
        <f>IFERROR(IF(OR(HLOOKUP($A1241,#REF!,18,FALSE)&gt;2,HLOOKUP($A1241,#REF!,18,FALSE)&lt;-2),"",#REF!),"")</f>
        <v/>
      </c>
      <c r="U1241" t="str">
        <f>IFERROR(IF(OR(HLOOKUP($A1241,#REF!,19,FALSE)&gt;2,HLOOKUP($A1241,#REF!,19,FALSE)&lt;-2),"",#REF!),"")</f>
        <v/>
      </c>
      <c r="V1241">
        <f t="shared" si="76"/>
        <v>1</v>
      </c>
      <c r="W1241" t="str">
        <f t="shared" si="73"/>
        <v/>
      </c>
      <c r="X1241" t="str">
        <f t="shared" si="77"/>
        <v/>
      </c>
      <c r="Y1241" t="str">
        <f t="shared" si="78"/>
        <v/>
      </c>
    </row>
    <row r="1242" spans="1:25" x14ac:dyDescent="0.35">
      <c r="A1242">
        <v>312782592</v>
      </c>
      <c r="B1242" t="s">
        <v>562</v>
      </c>
      <c r="C1242">
        <v>300</v>
      </c>
      <c r="D1242">
        <v>688</v>
      </c>
      <c r="E1242" t="str">
        <f>IFERROR(IF(OR(HLOOKUP($A1242,#REF!,3,FALSE)&gt;2,HLOOKUP(A1242,#REF!,3,FALSE)&lt;-2),"",#REF!),"")</f>
        <v/>
      </c>
      <c r="F1242" t="str">
        <f>IFERROR(IF(OR(HLOOKUP($A1242,#REF!,4,FALSE)&gt;2,HLOOKUP($A1242,#REF!,4,FALSE)&lt;-2),"",#REF!),"")</f>
        <v/>
      </c>
      <c r="G1242" t="str">
        <f>IFERROR(IF(OR(HLOOKUP($A1242,#REF!,5,FALSE)&gt;2,HLOOKUP($A1242,#REF!,5,FALSE)&lt;-2),"",#REF!),"")</f>
        <v/>
      </c>
      <c r="H1242" t="str">
        <f>IFERROR(IF(OR(HLOOKUP($A1242,#REF!,6,FALSE)&gt;2,HLOOKUP($A1242,#REF!,6,FALSE)&lt;-2),"",#REF!),"")</f>
        <v/>
      </c>
      <c r="I1242" t="str">
        <f>IFERROR(IF(OR(HLOOKUP($A1242,#REF!,7,FALSE)&gt;2,HLOOKUP($A1242,#REF!,7,FALSE)&lt;-2),"",#REF!),"")</f>
        <v/>
      </c>
      <c r="J1242" t="str">
        <f>IFERROR(IF(OR(HLOOKUP($A1242,#REF!,8,FALSE)&gt;2,HLOOKUP($A1242,#REF!,8,FALSE)&lt;-2),"",#REF!),"")</f>
        <v/>
      </c>
      <c r="K1242" t="str">
        <f>IFERROR(IF(OR(HLOOKUP($A1242,#REF!,9,FALSE)&gt;2,HLOOKUP($A1242,#REF!,9,FALSE)&lt;-2),"",#REF!),"")</f>
        <v/>
      </c>
      <c r="L1242" t="str">
        <f>IFERROR(IF(OR(HLOOKUP($A1242,#REF!,10,FALSE)&gt;2,HLOOKUP($A1242,#REF!,10,FALSE)&lt;-2),"",#REF!),"")</f>
        <v/>
      </c>
      <c r="M1242" t="str">
        <f>IFERROR(IF(OR(HLOOKUP($A1242,#REF!,11,FALSE)&gt;2,HLOOKUP($A1242,#REF!,11,FALSE)&lt;-2),"",#REF!),"")</f>
        <v/>
      </c>
      <c r="N1242" t="str">
        <f>IFERROR(IF(OR(HLOOKUP($A1242,#REF!,12,FALSE)&gt;2,HLOOKUP($A1242,#REF!,12,FALSE)&lt;-2),"",#REF!),"")</f>
        <v/>
      </c>
      <c r="O1242" t="str">
        <f>IFERROR(IF(OR(HLOOKUP($A1242,#REF!,13,FALSE)&gt;2,HLOOKUP($A1242,#REF!,13,FALSE)&lt;-2),"",#REF!),"")</f>
        <v/>
      </c>
      <c r="P1242" t="str">
        <f>IFERROR(IF(OR(HLOOKUP($A1242,#REF!,14,FALSE)&gt;2,HLOOKUP($A1242,#REF!,14,FALSE)&lt;-2),"",#REF!),"")</f>
        <v/>
      </c>
      <c r="Q1242" t="str">
        <f>IFERROR(IF(OR(HLOOKUP($A1242,#REF!,15,FALSE)&gt;2,HLOOKUP($A1242,#REF!,15,FALSE)&lt;-2),"",#REF!),"")</f>
        <v/>
      </c>
      <c r="R1242" t="str">
        <f>IFERROR(IF(OR(HLOOKUP($A1242,#REF!,16,FALSE)&gt;2,HLOOKUP($A1242,#REF!,16,FALSE)&lt;-2),"",#REF!),"")</f>
        <v/>
      </c>
      <c r="S1242" t="str">
        <f>IFERROR(IF(OR(HLOOKUP($A1242,#REF!,17,FALSE)&gt;2,HLOOKUP($A1242,#REF!,17,FALSE)&lt;-2),"",#REF!),"")</f>
        <v/>
      </c>
      <c r="T1242" t="str">
        <f>IFERROR(IF(OR(HLOOKUP($A1242,#REF!,18,FALSE)&gt;2,HLOOKUP($A1242,#REF!,18,FALSE)&lt;-2),"",#REF!),"")</f>
        <v/>
      </c>
      <c r="U1242" t="str">
        <f>IFERROR(IF(OR(HLOOKUP($A1242,#REF!,19,FALSE)&gt;2,HLOOKUP($A1242,#REF!,19,FALSE)&lt;-2),"",#REF!),"")</f>
        <v/>
      </c>
      <c r="V1242">
        <f t="shared" si="76"/>
        <v>1</v>
      </c>
      <c r="W1242" t="str">
        <f t="shared" si="73"/>
        <v/>
      </c>
      <c r="X1242" t="str">
        <f t="shared" si="77"/>
        <v/>
      </c>
      <c r="Y1242" t="str">
        <f t="shared" si="78"/>
        <v/>
      </c>
    </row>
    <row r="1243" spans="1:25" x14ac:dyDescent="0.35">
      <c r="A1243">
        <v>312782624</v>
      </c>
      <c r="B1243" t="s">
        <v>562</v>
      </c>
      <c r="C1243">
        <v>300</v>
      </c>
      <c r="D1243">
        <v>688</v>
      </c>
      <c r="E1243" t="str">
        <f>IFERROR(IF(OR(HLOOKUP($A1243,#REF!,3,FALSE)&gt;2,HLOOKUP(A1243,#REF!,3,FALSE)&lt;-2),"",#REF!),"")</f>
        <v/>
      </c>
      <c r="F1243" t="str">
        <f>IFERROR(IF(OR(HLOOKUP($A1243,#REF!,4,FALSE)&gt;2,HLOOKUP($A1243,#REF!,4,FALSE)&lt;-2),"",#REF!),"")</f>
        <v/>
      </c>
      <c r="G1243" t="str">
        <f>IFERROR(IF(OR(HLOOKUP($A1243,#REF!,5,FALSE)&gt;2,HLOOKUP($A1243,#REF!,5,FALSE)&lt;-2),"",#REF!),"")</f>
        <v/>
      </c>
      <c r="H1243" t="str">
        <f>IFERROR(IF(OR(HLOOKUP($A1243,#REF!,6,FALSE)&gt;2,HLOOKUP($A1243,#REF!,6,FALSE)&lt;-2),"",#REF!),"")</f>
        <v/>
      </c>
      <c r="I1243" t="str">
        <f>IFERROR(IF(OR(HLOOKUP($A1243,#REF!,7,FALSE)&gt;2,HLOOKUP($A1243,#REF!,7,FALSE)&lt;-2),"",#REF!),"")</f>
        <v/>
      </c>
      <c r="J1243" t="str">
        <f>IFERROR(IF(OR(HLOOKUP($A1243,#REF!,8,FALSE)&gt;2,HLOOKUP($A1243,#REF!,8,FALSE)&lt;-2),"",#REF!),"")</f>
        <v/>
      </c>
      <c r="K1243" t="str">
        <f>IFERROR(IF(OR(HLOOKUP($A1243,#REF!,9,FALSE)&gt;2,HLOOKUP($A1243,#REF!,9,FALSE)&lt;-2),"",#REF!),"")</f>
        <v/>
      </c>
      <c r="L1243" t="str">
        <f>IFERROR(IF(OR(HLOOKUP($A1243,#REF!,10,FALSE)&gt;2,HLOOKUP($A1243,#REF!,10,FALSE)&lt;-2),"",#REF!),"")</f>
        <v/>
      </c>
      <c r="M1243" t="str">
        <f>IFERROR(IF(OR(HLOOKUP($A1243,#REF!,11,FALSE)&gt;2,HLOOKUP($A1243,#REF!,11,FALSE)&lt;-2),"",#REF!),"")</f>
        <v/>
      </c>
      <c r="N1243" t="str">
        <f>IFERROR(IF(OR(HLOOKUP($A1243,#REF!,12,FALSE)&gt;2,HLOOKUP($A1243,#REF!,12,FALSE)&lt;-2),"",#REF!),"")</f>
        <v/>
      </c>
      <c r="O1243" t="str">
        <f>IFERROR(IF(OR(HLOOKUP($A1243,#REF!,13,FALSE)&gt;2,HLOOKUP($A1243,#REF!,13,FALSE)&lt;-2),"",#REF!),"")</f>
        <v/>
      </c>
      <c r="P1243" t="str">
        <f>IFERROR(IF(OR(HLOOKUP($A1243,#REF!,14,FALSE)&gt;2,HLOOKUP($A1243,#REF!,14,FALSE)&lt;-2),"",#REF!),"")</f>
        <v/>
      </c>
      <c r="Q1243" t="str">
        <f>IFERROR(IF(OR(HLOOKUP($A1243,#REF!,15,FALSE)&gt;2,HLOOKUP($A1243,#REF!,15,FALSE)&lt;-2),"",#REF!),"")</f>
        <v/>
      </c>
      <c r="R1243" t="str">
        <f>IFERROR(IF(OR(HLOOKUP($A1243,#REF!,16,FALSE)&gt;2,HLOOKUP($A1243,#REF!,16,FALSE)&lt;-2),"",#REF!),"")</f>
        <v/>
      </c>
      <c r="S1243" t="str">
        <f>IFERROR(IF(OR(HLOOKUP($A1243,#REF!,17,FALSE)&gt;2,HLOOKUP($A1243,#REF!,17,FALSE)&lt;-2),"",#REF!),"")</f>
        <v/>
      </c>
      <c r="T1243" t="str">
        <f>IFERROR(IF(OR(HLOOKUP($A1243,#REF!,18,FALSE)&gt;2,HLOOKUP($A1243,#REF!,18,FALSE)&lt;-2),"",#REF!),"")</f>
        <v/>
      </c>
      <c r="U1243" t="str">
        <f>IFERROR(IF(OR(HLOOKUP($A1243,#REF!,19,FALSE)&gt;2,HLOOKUP($A1243,#REF!,19,FALSE)&lt;-2),"",#REF!),"")</f>
        <v/>
      </c>
      <c r="V1243">
        <f t="shared" si="76"/>
        <v>1</v>
      </c>
      <c r="W1243" t="str">
        <f t="shared" si="73"/>
        <v/>
      </c>
      <c r="X1243" t="str">
        <f t="shared" si="77"/>
        <v/>
      </c>
      <c r="Y1243" t="str">
        <f t="shared" si="78"/>
        <v/>
      </c>
    </row>
    <row r="1244" spans="1:25" x14ac:dyDescent="0.35">
      <c r="A1244">
        <v>312782656</v>
      </c>
      <c r="B1244" t="s">
        <v>562</v>
      </c>
      <c r="C1244">
        <v>300</v>
      </c>
      <c r="D1244">
        <v>688</v>
      </c>
      <c r="E1244" t="str">
        <f>IFERROR(IF(OR(HLOOKUP($A1244,#REF!,3,FALSE)&gt;2,HLOOKUP(A1244,#REF!,3,FALSE)&lt;-2),"",#REF!),"")</f>
        <v/>
      </c>
      <c r="F1244" t="str">
        <f>IFERROR(IF(OR(HLOOKUP($A1244,#REF!,4,FALSE)&gt;2,HLOOKUP($A1244,#REF!,4,FALSE)&lt;-2),"",#REF!),"")</f>
        <v/>
      </c>
      <c r="G1244" t="str">
        <f>IFERROR(IF(OR(HLOOKUP($A1244,#REF!,5,FALSE)&gt;2,HLOOKUP($A1244,#REF!,5,FALSE)&lt;-2),"",#REF!),"")</f>
        <v/>
      </c>
      <c r="H1244" t="str">
        <f>IFERROR(IF(OR(HLOOKUP($A1244,#REF!,6,FALSE)&gt;2,HLOOKUP($A1244,#REF!,6,FALSE)&lt;-2),"",#REF!),"")</f>
        <v/>
      </c>
      <c r="I1244" t="str">
        <f>IFERROR(IF(OR(HLOOKUP($A1244,#REF!,7,FALSE)&gt;2,HLOOKUP($A1244,#REF!,7,FALSE)&lt;-2),"",#REF!),"")</f>
        <v/>
      </c>
      <c r="J1244" t="str">
        <f>IFERROR(IF(OR(HLOOKUP($A1244,#REF!,8,FALSE)&gt;2,HLOOKUP($A1244,#REF!,8,FALSE)&lt;-2),"",#REF!),"")</f>
        <v/>
      </c>
      <c r="K1244" t="str">
        <f>IFERROR(IF(OR(HLOOKUP($A1244,#REF!,9,FALSE)&gt;2,HLOOKUP($A1244,#REF!,9,FALSE)&lt;-2),"",#REF!),"")</f>
        <v/>
      </c>
      <c r="L1244" t="str">
        <f>IFERROR(IF(OR(HLOOKUP($A1244,#REF!,10,FALSE)&gt;2,HLOOKUP($A1244,#REF!,10,FALSE)&lt;-2),"",#REF!),"")</f>
        <v/>
      </c>
      <c r="M1244" t="str">
        <f>IFERROR(IF(OR(HLOOKUP($A1244,#REF!,11,FALSE)&gt;2,HLOOKUP($A1244,#REF!,11,FALSE)&lt;-2),"",#REF!),"")</f>
        <v/>
      </c>
      <c r="N1244" t="str">
        <f>IFERROR(IF(OR(HLOOKUP($A1244,#REF!,12,FALSE)&gt;2,HLOOKUP($A1244,#REF!,12,FALSE)&lt;-2),"",#REF!),"")</f>
        <v/>
      </c>
      <c r="O1244" t="str">
        <f>IFERROR(IF(OR(HLOOKUP($A1244,#REF!,13,FALSE)&gt;2,HLOOKUP($A1244,#REF!,13,FALSE)&lt;-2),"",#REF!),"")</f>
        <v/>
      </c>
      <c r="P1244" t="str">
        <f>IFERROR(IF(OR(HLOOKUP($A1244,#REF!,14,FALSE)&gt;2,HLOOKUP($A1244,#REF!,14,FALSE)&lt;-2),"",#REF!),"")</f>
        <v/>
      </c>
      <c r="Q1244" t="str">
        <f>IFERROR(IF(OR(HLOOKUP($A1244,#REF!,15,FALSE)&gt;2,HLOOKUP($A1244,#REF!,15,FALSE)&lt;-2),"",#REF!),"")</f>
        <v/>
      </c>
      <c r="R1244" t="str">
        <f>IFERROR(IF(OR(HLOOKUP($A1244,#REF!,16,FALSE)&gt;2,HLOOKUP($A1244,#REF!,16,FALSE)&lt;-2),"",#REF!),"")</f>
        <v/>
      </c>
      <c r="S1244" t="str">
        <f>IFERROR(IF(OR(HLOOKUP($A1244,#REF!,17,FALSE)&gt;2,HLOOKUP($A1244,#REF!,17,FALSE)&lt;-2),"",#REF!),"")</f>
        <v/>
      </c>
      <c r="T1244" t="str">
        <f>IFERROR(IF(OR(HLOOKUP($A1244,#REF!,18,FALSE)&gt;2,HLOOKUP($A1244,#REF!,18,FALSE)&lt;-2),"",#REF!),"")</f>
        <v/>
      </c>
      <c r="U1244" t="str">
        <f>IFERROR(IF(OR(HLOOKUP($A1244,#REF!,19,FALSE)&gt;2,HLOOKUP($A1244,#REF!,19,FALSE)&lt;-2),"",#REF!),"")</f>
        <v/>
      </c>
      <c r="V1244">
        <f t="shared" si="76"/>
        <v>1</v>
      </c>
      <c r="W1244" t="str">
        <f t="shared" si="73"/>
        <v/>
      </c>
      <c r="X1244" t="str">
        <f t="shared" si="77"/>
        <v/>
      </c>
      <c r="Y1244" t="str">
        <f t="shared" si="78"/>
        <v/>
      </c>
    </row>
    <row r="1246" spans="1:25" x14ac:dyDescent="0.35">
      <c r="E1246">
        <f>SUM(E3:E1244)</f>
        <v>0</v>
      </c>
      <c r="F1246">
        <f t="shared" ref="F1246" si="79">SUM(F3:F1244)</f>
        <v>0</v>
      </c>
      <c r="G1246">
        <v>1076303</v>
      </c>
      <c r="H1246">
        <v>1434543</v>
      </c>
      <c r="I1246">
        <v>1633704</v>
      </c>
      <c r="J1246">
        <v>2028084</v>
      </c>
      <c r="K1246">
        <v>2345788</v>
      </c>
      <c r="L1246">
        <v>2272135</v>
      </c>
      <c r="M1246">
        <v>2192933</v>
      </c>
      <c r="N1246">
        <v>1111912</v>
      </c>
      <c r="O1246">
        <v>2971467</v>
      </c>
      <c r="P1246">
        <v>2339849</v>
      </c>
      <c r="Q1246">
        <v>1025955</v>
      </c>
      <c r="R1246">
        <v>2536998</v>
      </c>
      <c r="S1246">
        <v>1890459</v>
      </c>
      <c r="T1246">
        <v>1187552</v>
      </c>
      <c r="U1246">
        <v>2399985</v>
      </c>
    </row>
  </sheetData>
  <autoFilter ref="A2:Y1244" xr:uid="{F4CC18BC-C26E-4371-94DA-4714810B0D34}"/>
  <conditionalFormatting sqref="W3:W1244">
    <cfRule type="cellIs" dxfId="2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6154-489F-4AF5-AE41-D10AED8832A4}">
  <dimension ref="A1:Z113"/>
  <sheetViews>
    <sheetView workbookViewId="0"/>
  </sheetViews>
  <sheetFormatPr defaultRowHeight="14.5" x14ac:dyDescent="0.35"/>
  <cols>
    <col min="1" max="1" width="11.1796875" bestFit="1" customWidth="1"/>
    <col min="3" max="3" width="27.26953125" customWidth="1"/>
    <col min="15" max="15" width="10.54296875" bestFit="1" customWidth="1"/>
  </cols>
  <sheetData>
    <row r="1" spans="1:26" x14ac:dyDescent="0.3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6" x14ac:dyDescent="0.3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</row>
    <row r="3" spans="1:26" x14ac:dyDescent="0.3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6" x14ac:dyDescent="0.35">
      <c r="A4" t="s">
        <v>574</v>
      </c>
      <c r="C4" t="s">
        <v>356</v>
      </c>
      <c r="E4">
        <v>726</v>
      </c>
      <c r="F4" t="e">
        <f>SUMPRODUCT(SUMIFS(#REF!,#REF!,$B29:$B31))</f>
        <v>#REF!</v>
      </c>
      <c r="G4" t="e">
        <f>SUMPRODUCT(SUMIFS(#REF!,#REF!,$B29:$B31))</f>
        <v>#REF!</v>
      </c>
      <c r="H4" t="e">
        <f>SUMPRODUCT(SUMIFS(#REF!,#REF!,$B29:$B31))</f>
        <v>#REF!</v>
      </c>
      <c r="I4" t="e">
        <f>SUMPRODUCT(SUMIFS(#REF!,#REF!,$B29:$B31))</f>
        <v>#REF!</v>
      </c>
      <c r="J4" t="e">
        <f>SUMPRODUCT(SUMIFS(#REF!,#REF!,$B29:$B31))</f>
        <v>#REF!</v>
      </c>
      <c r="K4" t="e">
        <f>SUMPRODUCT(SUMIFS(#REF!,#REF!,$B29:$B31))</f>
        <v>#REF!</v>
      </c>
      <c r="L4" t="e">
        <f>SUMPRODUCT(SUMIFS(#REF!,#REF!,$B29:$B31))</f>
        <v>#REF!</v>
      </c>
      <c r="M4" t="e">
        <f>SUMPRODUCT(SUMIFS(#REF!,#REF!,$B29:$B31))</f>
        <v>#REF!</v>
      </c>
      <c r="N4" t="e">
        <f>SUMPRODUCT(SUMIFS(#REF!,#REF!,$B29:$B31))</f>
        <v>#REF!</v>
      </c>
      <c r="O4" t="e">
        <f>SUMPRODUCT(SUMIFS(#REF!,#REF!,$B29:$B31))</f>
        <v>#REF!</v>
      </c>
      <c r="P4" t="e">
        <f>SUMPRODUCT(SUMIFS(#REF!,#REF!,$B29:$B31))</f>
        <v>#REF!</v>
      </c>
      <c r="Q4" t="e">
        <f>SUMPRODUCT(SUMIFS(#REF!,#REF!,$B29:$B31))</f>
        <v>#REF!</v>
      </c>
      <c r="R4" t="e">
        <f>SUMPRODUCT(SUMIFS(#REF!,#REF!,$B29:$B31))</f>
        <v>#REF!</v>
      </c>
      <c r="S4" t="e">
        <f>SUMPRODUCT(SUMIFS(#REF!,#REF!,$B29:$B31))</f>
        <v>#REF!</v>
      </c>
      <c r="T4" t="e">
        <f>SUMPRODUCT(SUMIFS(#REF!,#REF!,$B29:$B31))</f>
        <v>#REF!</v>
      </c>
      <c r="U4" t="e">
        <f>SUMPRODUCT(SUMIFS(#REF!,#REF!,$B29:$B31))</f>
        <v>#REF!</v>
      </c>
      <c r="V4" t="e">
        <f>SUMPRODUCT(SUMIFS(#REF!,#REF!,$B29:$B31))</f>
        <v>#REF!</v>
      </c>
      <c r="X4" t="e">
        <f t="shared" ref="X4:X27" si="0">_xlfn.T.TEST(F4:N4,O4:V4,2,2)</f>
        <v>#REF!</v>
      </c>
      <c r="Y4" t="e">
        <f t="shared" ref="Y4:Y27" si="1">AVERAGE(F4:N4)</f>
        <v>#REF!</v>
      </c>
      <c r="Z4" t="e">
        <f t="shared" ref="Z4:Z27" si="2">AVERAGE(O4:V4)</f>
        <v>#REF!</v>
      </c>
    </row>
    <row r="5" spans="1:26" x14ac:dyDescent="0.35">
      <c r="A5" t="s">
        <v>572</v>
      </c>
      <c r="B5">
        <v>2382</v>
      </c>
      <c r="C5" t="s">
        <v>563</v>
      </c>
      <c r="D5">
        <v>37700</v>
      </c>
      <c r="E5">
        <v>2375</v>
      </c>
      <c r="F5" t="e">
        <f>SUMIFS(#REF!,#REF!,'Brain networks'!$B5)</f>
        <v>#REF!</v>
      </c>
      <c r="G5" t="e">
        <f>SUMIFS(#REF!,#REF!,'Brain networks'!$B5)</f>
        <v>#REF!</v>
      </c>
      <c r="H5" t="e">
        <f>SUMIFS(#REF!,#REF!,'Brain networks'!$B5)</f>
        <v>#REF!</v>
      </c>
      <c r="I5" t="e">
        <f>SUMIFS(#REF!,#REF!,'Brain networks'!$B5)</f>
        <v>#REF!</v>
      </c>
      <c r="J5" t="e">
        <f>SUMIFS(#REF!,#REF!,'Brain networks'!$B5)</f>
        <v>#REF!</v>
      </c>
      <c r="K5" t="e">
        <f>SUMIFS(#REF!,#REF!,'Brain networks'!$B5)</f>
        <v>#REF!</v>
      </c>
      <c r="L5" t="e">
        <f>SUMIFS(#REF!,#REF!,'Brain networks'!$B5)</f>
        <v>#REF!</v>
      </c>
      <c r="M5" t="e">
        <f>SUMIFS(#REF!,#REF!,'Brain networks'!$B5)</f>
        <v>#REF!</v>
      </c>
      <c r="N5" t="e">
        <f>SUMIFS(#REF!,#REF!,'Brain networks'!$B5)</f>
        <v>#REF!</v>
      </c>
      <c r="O5" t="e">
        <f>SUMIFS(#REF!,#REF!,'Brain networks'!$B5)</f>
        <v>#REF!</v>
      </c>
      <c r="P5" t="e">
        <f>SUMIFS(#REF!,#REF!,'Brain networks'!$B5)</f>
        <v>#REF!</v>
      </c>
      <c r="Q5" t="e">
        <f>SUMIFS(#REF!,#REF!,'Brain networks'!$B5)</f>
        <v>#REF!</v>
      </c>
      <c r="R5" t="e">
        <f>SUMIFS(#REF!,#REF!,'Brain networks'!$B5)</f>
        <v>#REF!</v>
      </c>
      <c r="S5" t="e">
        <f>SUMIFS(#REF!,#REF!,'Brain networks'!$B5)</f>
        <v>#REF!</v>
      </c>
      <c r="T5" t="e">
        <f>SUMIFS(#REF!,#REF!,'Brain networks'!$B5)</f>
        <v>#REF!</v>
      </c>
      <c r="U5" t="e">
        <f>SUMIFS(#REF!,#REF!,'Brain networks'!$B5)</f>
        <v>#REF!</v>
      </c>
      <c r="V5" t="e">
        <f>SUMIFS(#REF!,#REF!,'Brain networks'!$B5)</f>
        <v>#REF!</v>
      </c>
      <c r="X5" t="e">
        <f t="shared" si="0"/>
        <v>#REF!</v>
      </c>
      <c r="Y5" t="e">
        <f t="shared" si="1"/>
        <v>#REF!</v>
      </c>
      <c r="Z5" t="e">
        <f t="shared" si="2"/>
        <v>#REF!</v>
      </c>
    </row>
    <row r="6" spans="1:26" x14ac:dyDescent="0.35">
      <c r="A6" t="s">
        <v>573</v>
      </c>
      <c r="B6">
        <v>2463</v>
      </c>
      <c r="C6" t="s">
        <v>565</v>
      </c>
      <c r="D6">
        <v>38700</v>
      </c>
      <c r="E6">
        <v>2375</v>
      </c>
      <c r="F6" t="e">
        <f>SUMIFS(#REF!,#REF!,'Brain networks'!$B6)</f>
        <v>#REF!</v>
      </c>
      <c r="G6" t="e">
        <f>SUMIFS(#REF!,#REF!,'Brain networks'!$B6)</f>
        <v>#REF!</v>
      </c>
      <c r="H6" t="e">
        <f>SUMIFS(#REF!,#REF!,'Brain networks'!$B6)</f>
        <v>#REF!</v>
      </c>
      <c r="I6" t="e">
        <f>SUMIFS(#REF!,#REF!,'Brain networks'!$B6)</f>
        <v>#REF!</v>
      </c>
      <c r="J6" t="e">
        <f>SUMIFS(#REF!,#REF!,'Brain networks'!$B6)</f>
        <v>#REF!</v>
      </c>
      <c r="K6" t="e">
        <f>SUMIFS(#REF!,#REF!,'Brain networks'!$B6)</f>
        <v>#REF!</v>
      </c>
      <c r="L6" t="e">
        <f>SUMIFS(#REF!,#REF!,'Brain networks'!$B6)</f>
        <v>#REF!</v>
      </c>
      <c r="M6" t="e">
        <f>SUMIFS(#REF!,#REF!,'Brain networks'!$B6)</f>
        <v>#REF!</v>
      </c>
      <c r="N6" t="e">
        <f>SUMIFS(#REF!,#REF!,'Brain networks'!$B6)</f>
        <v>#REF!</v>
      </c>
      <c r="O6" t="e">
        <f>SUMIFS(#REF!,#REF!,'Brain networks'!$B6)</f>
        <v>#REF!</v>
      </c>
      <c r="P6" t="e">
        <f>SUMIFS(#REF!,#REF!,'Brain networks'!$B6)</f>
        <v>#REF!</v>
      </c>
      <c r="Q6" t="e">
        <f>SUMIFS(#REF!,#REF!,'Brain networks'!$B6)</f>
        <v>#REF!</v>
      </c>
      <c r="R6" t="e">
        <f>SUMIFS(#REF!,#REF!,'Brain networks'!$B6)</f>
        <v>#REF!</v>
      </c>
      <c r="S6" t="e">
        <f>SUMIFS(#REF!,#REF!,'Brain networks'!$B6)</f>
        <v>#REF!</v>
      </c>
      <c r="T6" t="e">
        <f>SUMIFS(#REF!,#REF!,'Brain networks'!$B6)</f>
        <v>#REF!</v>
      </c>
      <c r="U6" t="e">
        <f>SUMIFS(#REF!,#REF!,'Brain networks'!$B6)</f>
        <v>#REF!</v>
      </c>
      <c r="V6" t="e">
        <f>SUMIFS(#REF!,#REF!,'Brain networks'!$B6)</f>
        <v>#REF!</v>
      </c>
      <c r="X6" t="e">
        <f t="shared" si="0"/>
        <v>#REF!</v>
      </c>
      <c r="Y6" t="e">
        <f t="shared" si="1"/>
        <v>#REF!</v>
      </c>
      <c r="Z6" t="e">
        <f t="shared" si="2"/>
        <v>#REF!</v>
      </c>
    </row>
    <row r="7" spans="1:26" x14ac:dyDescent="0.35">
      <c r="A7" t="s">
        <v>1272</v>
      </c>
      <c r="C7" t="s">
        <v>1283</v>
      </c>
      <c r="F7" t="e">
        <f>SUMPRODUCT(SUMIFS(#REF!,#REF!,$B62:$B76))</f>
        <v>#REF!</v>
      </c>
      <c r="G7" t="e">
        <f>SUMPRODUCT(SUMIFS(#REF!,#REF!,$B62:$B76))</f>
        <v>#REF!</v>
      </c>
      <c r="H7" t="e">
        <f>SUMPRODUCT(SUMIFS(#REF!,#REF!,$B62:$B76))</f>
        <v>#REF!</v>
      </c>
      <c r="I7" t="e">
        <f>SUMPRODUCT(SUMIFS(#REF!,#REF!,$B62:$B76))</f>
        <v>#REF!</v>
      </c>
      <c r="J7" t="e">
        <f>SUMPRODUCT(SUMIFS(#REF!,#REF!,$B62:$B76))</f>
        <v>#REF!</v>
      </c>
      <c r="K7" t="e">
        <f>SUMPRODUCT(SUMIFS(#REF!,#REF!,$B62:$B76))</f>
        <v>#REF!</v>
      </c>
      <c r="L7" t="e">
        <f>SUMPRODUCT(SUMIFS(#REF!,#REF!,$B62:$B76))</f>
        <v>#REF!</v>
      </c>
      <c r="M7" t="e">
        <f>SUMPRODUCT(SUMIFS(#REF!,#REF!,$B62:$B76))</f>
        <v>#REF!</v>
      </c>
      <c r="N7" t="e">
        <f>SUMPRODUCT(SUMIFS(#REF!,#REF!,$B62:$B76))</f>
        <v>#REF!</v>
      </c>
      <c r="O7" t="e">
        <f>SUMPRODUCT(SUMIFS(#REF!,#REF!,$B62:$B76))</f>
        <v>#REF!</v>
      </c>
      <c r="P7" t="e">
        <f>SUMPRODUCT(SUMIFS(#REF!,#REF!,$B62:$B76))</f>
        <v>#REF!</v>
      </c>
      <c r="Q7" t="e">
        <f>SUMPRODUCT(SUMIFS(#REF!,#REF!,$B62:$B76))</f>
        <v>#REF!</v>
      </c>
      <c r="R7" t="e">
        <f>SUMPRODUCT(SUMIFS(#REF!,#REF!,$B62:$B76))</f>
        <v>#REF!</v>
      </c>
      <c r="S7" t="e">
        <f>SUMPRODUCT(SUMIFS(#REF!,#REF!,$B62:$B76))</f>
        <v>#REF!</v>
      </c>
      <c r="T7" t="e">
        <f>SUMPRODUCT(SUMIFS(#REF!,#REF!,$B62:$B76))</f>
        <v>#REF!</v>
      </c>
      <c r="U7" t="e">
        <f>SUMPRODUCT(SUMIFS(#REF!,#REF!,$B62:$B76))</f>
        <v>#REF!</v>
      </c>
      <c r="V7" t="e">
        <f>SUMPRODUCT(SUMIFS(#REF!,#REF!,$B62:$B76))</f>
        <v>#REF!</v>
      </c>
      <c r="X7" t="e">
        <f t="shared" si="0"/>
        <v>#REF!</v>
      </c>
      <c r="Y7" t="e">
        <f t="shared" si="1"/>
        <v>#REF!</v>
      </c>
      <c r="Z7" t="e">
        <f t="shared" si="2"/>
        <v>#REF!</v>
      </c>
    </row>
    <row r="8" spans="1:26" x14ac:dyDescent="0.35">
      <c r="A8" t="s">
        <v>1273</v>
      </c>
      <c r="C8" t="s">
        <v>1284</v>
      </c>
      <c r="F8" t="e">
        <f>SUMPRODUCT(SUMIFS(#REF!,#REF!,$B77:$B91))</f>
        <v>#REF!</v>
      </c>
      <c r="G8" t="e">
        <f>SUMPRODUCT(SUMIFS(#REF!,#REF!,$B77:$B91))</f>
        <v>#REF!</v>
      </c>
      <c r="H8" t="e">
        <f>SUMPRODUCT(SUMIFS(#REF!,#REF!,$B77:$B91))</f>
        <v>#REF!</v>
      </c>
      <c r="I8" t="e">
        <f>SUMPRODUCT(SUMIFS(#REF!,#REF!,$B77:$B91))</f>
        <v>#REF!</v>
      </c>
      <c r="J8" t="e">
        <f>SUMPRODUCT(SUMIFS(#REF!,#REF!,$B77:$B91))</f>
        <v>#REF!</v>
      </c>
      <c r="K8" t="e">
        <f>SUMPRODUCT(SUMIFS(#REF!,#REF!,$B77:$B91))</f>
        <v>#REF!</v>
      </c>
      <c r="L8" t="e">
        <f>SUMPRODUCT(SUMIFS(#REF!,#REF!,$B77:$B91))</f>
        <v>#REF!</v>
      </c>
      <c r="M8" t="e">
        <f>SUMPRODUCT(SUMIFS(#REF!,#REF!,$B77:$B91))</f>
        <v>#REF!</v>
      </c>
      <c r="N8" t="e">
        <f>SUMPRODUCT(SUMIFS(#REF!,#REF!,$B77:$B91))</f>
        <v>#REF!</v>
      </c>
      <c r="O8" t="e">
        <f>SUMPRODUCT(SUMIFS(#REF!,#REF!,$B77:$B91))</f>
        <v>#REF!</v>
      </c>
      <c r="P8" t="e">
        <f>SUMPRODUCT(SUMIFS(#REF!,#REF!,$B77:$B91))</f>
        <v>#REF!</v>
      </c>
      <c r="Q8" t="e">
        <f>SUMPRODUCT(SUMIFS(#REF!,#REF!,$B77:$B91))</f>
        <v>#REF!</v>
      </c>
      <c r="R8" t="e">
        <f>SUMPRODUCT(SUMIFS(#REF!,#REF!,$B77:$B91))</f>
        <v>#REF!</v>
      </c>
      <c r="S8" t="e">
        <f>SUMPRODUCT(SUMIFS(#REF!,#REF!,$B77:$B91))</f>
        <v>#REF!</v>
      </c>
      <c r="T8" t="e">
        <f>SUMPRODUCT(SUMIFS(#REF!,#REF!,$B77:$B91))</f>
        <v>#REF!</v>
      </c>
      <c r="U8" t="e">
        <f>SUMPRODUCT(SUMIFS(#REF!,#REF!,$B77:$B91))</f>
        <v>#REF!</v>
      </c>
      <c r="V8" t="e">
        <f>SUMPRODUCT(SUMIFS(#REF!,#REF!,$B77:$B91))</f>
        <v>#REF!</v>
      </c>
      <c r="X8" t="e">
        <f t="shared" si="0"/>
        <v>#REF!</v>
      </c>
      <c r="Y8" t="e">
        <f t="shared" si="1"/>
        <v>#REF!</v>
      </c>
      <c r="Z8" t="e">
        <f t="shared" si="2"/>
        <v>#REF!</v>
      </c>
    </row>
    <row r="9" spans="1:26" x14ac:dyDescent="0.35">
      <c r="A9" t="s">
        <v>1274</v>
      </c>
      <c r="B9">
        <v>672</v>
      </c>
      <c r="C9" t="s">
        <v>330</v>
      </c>
      <c r="D9">
        <v>48200</v>
      </c>
      <c r="E9">
        <v>485</v>
      </c>
      <c r="F9" t="e">
        <f>SUMIFS(#REF!,#REF!,'Brain networks'!$B9)</f>
        <v>#REF!</v>
      </c>
      <c r="G9" t="e">
        <f>SUMIFS(#REF!,#REF!,'Brain networks'!$B9)</f>
        <v>#REF!</v>
      </c>
      <c r="H9" t="e">
        <f>SUMIFS(#REF!,#REF!,'Brain networks'!$B9)</f>
        <v>#REF!</v>
      </c>
      <c r="I9" t="e">
        <f>SUMIFS(#REF!,#REF!,'Brain networks'!$B9)</f>
        <v>#REF!</v>
      </c>
      <c r="J9" t="e">
        <f>SUMIFS(#REF!,#REF!,'Brain networks'!$B9)</f>
        <v>#REF!</v>
      </c>
      <c r="K9" t="e">
        <f>SUMIFS(#REF!,#REF!,'Brain networks'!$B9)</f>
        <v>#REF!</v>
      </c>
      <c r="L9" t="e">
        <f>SUMIFS(#REF!,#REF!,'Brain networks'!$B9)</f>
        <v>#REF!</v>
      </c>
      <c r="M9" t="e">
        <f>SUMIFS(#REF!,#REF!,'Brain networks'!$B9)</f>
        <v>#REF!</v>
      </c>
      <c r="N9" t="e">
        <f>SUMIFS(#REF!,#REF!,'Brain networks'!$B9)</f>
        <v>#REF!</v>
      </c>
      <c r="O9" t="e">
        <f>SUMIFS(#REF!,#REF!,'Brain networks'!$B9)</f>
        <v>#REF!</v>
      </c>
      <c r="P9" t="e">
        <f>SUMIFS(#REF!,#REF!,'Brain networks'!$B9)</f>
        <v>#REF!</v>
      </c>
      <c r="Q9" t="e">
        <f>SUMIFS(#REF!,#REF!,'Brain networks'!$B9)</f>
        <v>#REF!</v>
      </c>
      <c r="R9" t="e">
        <f>SUMIFS(#REF!,#REF!,'Brain networks'!$B9)</f>
        <v>#REF!</v>
      </c>
      <c r="S9" t="e">
        <f>SUMIFS(#REF!,#REF!,'Brain networks'!$B9)</f>
        <v>#REF!</v>
      </c>
      <c r="T9" t="e">
        <f>SUMIFS(#REF!,#REF!,'Brain networks'!$B9)</f>
        <v>#REF!</v>
      </c>
      <c r="U9" t="e">
        <f>SUMIFS(#REF!,#REF!,'Brain networks'!$B9)</f>
        <v>#REF!</v>
      </c>
      <c r="V9" t="e">
        <f>SUMIFS(#REF!,#REF!,'Brain networks'!$B9)</f>
        <v>#REF!</v>
      </c>
      <c r="X9" t="e">
        <f t="shared" si="0"/>
        <v>#REF!</v>
      </c>
      <c r="Y9" t="e">
        <f t="shared" si="1"/>
        <v>#REF!</v>
      </c>
      <c r="Z9" t="e">
        <f t="shared" si="2"/>
        <v>#REF!</v>
      </c>
    </row>
    <row r="10" spans="1:26" x14ac:dyDescent="0.35">
      <c r="A10" t="s">
        <v>1275</v>
      </c>
      <c r="B10">
        <v>56</v>
      </c>
      <c r="C10" t="s">
        <v>44</v>
      </c>
      <c r="D10">
        <v>48400</v>
      </c>
      <c r="E10">
        <v>493</v>
      </c>
      <c r="F10" t="e">
        <f>SUMIFS(#REF!,#REF!,'Brain networks'!$B10)</f>
        <v>#REF!</v>
      </c>
      <c r="G10" t="e">
        <f>SUMIFS(#REF!,#REF!,'Brain networks'!$B10)</f>
        <v>#REF!</v>
      </c>
      <c r="H10" t="e">
        <f>SUMIFS(#REF!,#REF!,'Brain networks'!$B10)</f>
        <v>#REF!</v>
      </c>
      <c r="I10" t="e">
        <f>SUMIFS(#REF!,#REF!,'Brain networks'!$B10)</f>
        <v>#REF!</v>
      </c>
      <c r="J10" t="e">
        <f>SUMIFS(#REF!,#REF!,'Brain networks'!$B10)</f>
        <v>#REF!</v>
      </c>
      <c r="K10" t="e">
        <f>SUMIFS(#REF!,#REF!,'Brain networks'!$B10)</f>
        <v>#REF!</v>
      </c>
      <c r="L10" t="e">
        <f>SUMIFS(#REF!,#REF!,'Brain networks'!$B10)</f>
        <v>#REF!</v>
      </c>
      <c r="M10" t="e">
        <f>SUMIFS(#REF!,#REF!,'Brain networks'!$B10)</f>
        <v>#REF!</v>
      </c>
      <c r="N10" t="e">
        <f>SUMIFS(#REF!,#REF!,'Brain networks'!$B10)</f>
        <v>#REF!</v>
      </c>
      <c r="O10" t="e">
        <f>SUMIFS(#REF!,#REF!,'Brain networks'!$B10)</f>
        <v>#REF!</v>
      </c>
      <c r="P10" t="e">
        <f>SUMIFS(#REF!,#REF!,'Brain networks'!$B10)</f>
        <v>#REF!</v>
      </c>
      <c r="Q10" t="e">
        <f>SUMIFS(#REF!,#REF!,'Brain networks'!$B10)</f>
        <v>#REF!</v>
      </c>
      <c r="R10" t="e">
        <f>SUMIFS(#REF!,#REF!,'Brain networks'!$B10)</f>
        <v>#REF!</v>
      </c>
      <c r="S10" t="e">
        <f>SUMIFS(#REF!,#REF!,'Brain networks'!$B10)</f>
        <v>#REF!</v>
      </c>
      <c r="T10" t="e">
        <f>SUMIFS(#REF!,#REF!,'Brain networks'!$B10)</f>
        <v>#REF!</v>
      </c>
      <c r="U10" t="e">
        <f>SUMIFS(#REF!,#REF!,'Brain networks'!$B10)</f>
        <v>#REF!</v>
      </c>
      <c r="V10" t="e">
        <f>SUMIFS(#REF!,#REF!,'Brain networks'!$B10)</f>
        <v>#REF!</v>
      </c>
      <c r="X10" t="e">
        <f t="shared" si="0"/>
        <v>#REF!</v>
      </c>
      <c r="Y10" t="e">
        <f t="shared" si="1"/>
        <v>#REF!</v>
      </c>
      <c r="Z10" t="e">
        <f t="shared" si="2"/>
        <v>#REF!</v>
      </c>
    </row>
    <row r="11" spans="1:26" x14ac:dyDescent="0.35">
      <c r="A11" t="s">
        <v>1276</v>
      </c>
      <c r="B11">
        <v>351</v>
      </c>
      <c r="C11" t="s">
        <v>188</v>
      </c>
      <c r="D11">
        <v>52900</v>
      </c>
      <c r="E11">
        <v>809</v>
      </c>
      <c r="F11" t="e">
        <f>SUMIFS(#REF!,#REF!,'Brain networks'!$B11)</f>
        <v>#REF!</v>
      </c>
      <c r="G11" t="e">
        <f>SUMIFS(#REF!,#REF!,'Brain networks'!$B11)</f>
        <v>#REF!</v>
      </c>
      <c r="H11" t="e">
        <f>SUMIFS(#REF!,#REF!,'Brain networks'!$B11)</f>
        <v>#REF!</v>
      </c>
      <c r="I11" t="e">
        <f>SUMIFS(#REF!,#REF!,'Brain networks'!$B11)</f>
        <v>#REF!</v>
      </c>
      <c r="J11" t="e">
        <f>SUMIFS(#REF!,#REF!,'Brain networks'!$B11)</f>
        <v>#REF!</v>
      </c>
      <c r="K11" t="e">
        <f>SUMIFS(#REF!,#REF!,'Brain networks'!$B11)</f>
        <v>#REF!</v>
      </c>
      <c r="L11" t="e">
        <f>SUMIFS(#REF!,#REF!,'Brain networks'!$B11)</f>
        <v>#REF!</v>
      </c>
      <c r="M11" t="e">
        <f>SUMIFS(#REF!,#REF!,'Brain networks'!$B11)</f>
        <v>#REF!</v>
      </c>
      <c r="N11" t="e">
        <f>SUMIFS(#REF!,#REF!,'Brain networks'!$B11)</f>
        <v>#REF!</v>
      </c>
      <c r="O11" t="e">
        <f>SUMIFS(#REF!,#REF!,'Brain networks'!$B11)</f>
        <v>#REF!</v>
      </c>
      <c r="P11" t="e">
        <f>SUMIFS(#REF!,#REF!,'Brain networks'!$B11)</f>
        <v>#REF!</v>
      </c>
      <c r="Q11" t="e">
        <f>SUMIFS(#REF!,#REF!,'Brain networks'!$B11)</f>
        <v>#REF!</v>
      </c>
      <c r="R11" t="e">
        <f>SUMIFS(#REF!,#REF!,'Brain networks'!$B11)</f>
        <v>#REF!</v>
      </c>
      <c r="S11" t="e">
        <f>SUMIFS(#REF!,#REF!,'Brain networks'!$B11)</f>
        <v>#REF!</v>
      </c>
      <c r="T11" t="e">
        <f>SUMIFS(#REF!,#REF!,'Brain networks'!$B11)</f>
        <v>#REF!</v>
      </c>
      <c r="U11" t="e">
        <f>SUMIFS(#REF!,#REF!,'Brain networks'!$B11)</f>
        <v>#REF!</v>
      </c>
      <c r="V11" t="e">
        <f>SUMIFS(#REF!,#REF!,'Brain networks'!$B11)</f>
        <v>#REF!</v>
      </c>
      <c r="X11" t="e">
        <f t="shared" si="0"/>
        <v>#REF!</v>
      </c>
      <c r="Y11" t="e">
        <f t="shared" si="1"/>
        <v>#REF!</v>
      </c>
      <c r="Z11" t="e">
        <f t="shared" si="2"/>
        <v>#REF!</v>
      </c>
    </row>
    <row r="12" spans="1:26" x14ac:dyDescent="0.35">
      <c r="A12" t="s">
        <v>1277</v>
      </c>
      <c r="B12">
        <v>795</v>
      </c>
      <c r="C12" t="s">
        <v>384</v>
      </c>
      <c r="D12">
        <v>81500</v>
      </c>
      <c r="E12">
        <v>323</v>
      </c>
      <c r="F12" t="e">
        <f>SUMIFS(#REF!,#REF!,'Brain networks'!$B12)</f>
        <v>#REF!</v>
      </c>
      <c r="G12" t="e">
        <f>SUMIFS(#REF!,#REF!,'Brain networks'!$B12)</f>
        <v>#REF!</v>
      </c>
      <c r="H12" t="e">
        <f>SUMIFS(#REF!,#REF!,'Brain networks'!$B12)</f>
        <v>#REF!</v>
      </c>
      <c r="I12" t="e">
        <f>SUMIFS(#REF!,#REF!,'Brain networks'!$B12)</f>
        <v>#REF!</v>
      </c>
      <c r="J12" t="e">
        <f>SUMIFS(#REF!,#REF!,'Brain networks'!$B12)</f>
        <v>#REF!</v>
      </c>
      <c r="K12" t="e">
        <f>SUMIFS(#REF!,#REF!,'Brain networks'!$B12)</f>
        <v>#REF!</v>
      </c>
      <c r="L12" t="e">
        <f>SUMIFS(#REF!,#REF!,'Brain networks'!$B12)</f>
        <v>#REF!</v>
      </c>
      <c r="M12" t="e">
        <f>SUMIFS(#REF!,#REF!,'Brain networks'!$B12)</f>
        <v>#REF!</v>
      </c>
      <c r="N12" t="e">
        <f>SUMIFS(#REF!,#REF!,'Brain networks'!$B12)</f>
        <v>#REF!</v>
      </c>
      <c r="O12" t="e">
        <f>SUMIFS(#REF!,#REF!,'Brain networks'!$B12)</f>
        <v>#REF!</v>
      </c>
      <c r="P12" t="e">
        <f>SUMIFS(#REF!,#REF!,'Brain networks'!$B12)</f>
        <v>#REF!</v>
      </c>
      <c r="Q12" t="e">
        <f>SUMIFS(#REF!,#REF!,'Brain networks'!$B12)</f>
        <v>#REF!</v>
      </c>
      <c r="R12" t="e">
        <f>SUMIFS(#REF!,#REF!,'Brain networks'!$B12)</f>
        <v>#REF!</v>
      </c>
      <c r="S12" t="e">
        <f>SUMIFS(#REF!,#REF!,'Brain networks'!$B12)</f>
        <v>#REF!</v>
      </c>
      <c r="T12" t="e">
        <f>SUMIFS(#REF!,#REF!,'Brain networks'!$B12)</f>
        <v>#REF!</v>
      </c>
      <c r="U12" t="e">
        <f>SUMIFS(#REF!,#REF!,'Brain networks'!$B12)</f>
        <v>#REF!</v>
      </c>
      <c r="V12" t="e">
        <f>SUMIFS(#REF!,#REF!,'Brain networks'!$B12)</f>
        <v>#REF!</v>
      </c>
      <c r="X12" t="e">
        <f t="shared" si="0"/>
        <v>#REF!</v>
      </c>
      <c r="Y12" t="e">
        <f t="shared" si="1"/>
        <v>#REF!</v>
      </c>
      <c r="Z12" t="e">
        <f t="shared" si="2"/>
        <v>#REF!</v>
      </c>
    </row>
    <row r="13" spans="1:26" x14ac:dyDescent="0.35">
      <c r="A13" t="s">
        <v>1278</v>
      </c>
      <c r="B13">
        <v>88</v>
      </c>
      <c r="C13" t="s">
        <v>58</v>
      </c>
      <c r="D13">
        <v>74100</v>
      </c>
      <c r="E13">
        <v>467</v>
      </c>
      <c r="F13" t="e">
        <f>SUMIFS(#REF!,#REF!,'Brain networks'!$B13)</f>
        <v>#REF!</v>
      </c>
      <c r="G13" t="e">
        <f>SUMIFS(#REF!,#REF!,'Brain networks'!$B13)</f>
        <v>#REF!</v>
      </c>
      <c r="H13" t="e">
        <f>SUMIFS(#REF!,#REF!,'Brain networks'!$B13)</f>
        <v>#REF!</v>
      </c>
      <c r="I13" t="e">
        <f>SUMIFS(#REF!,#REF!,'Brain networks'!$B13)</f>
        <v>#REF!</v>
      </c>
      <c r="J13" t="e">
        <f>SUMIFS(#REF!,#REF!,'Brain networks'!$B13)</f>
        <v>#REF!</v>
      </c>
      <c r="K13" t="e">
        <f>SUMIFS(#REF!,#REF!,'Brain networks'!$B13)</f>
        <v>#REF!</v>
      </c>
      <c r="L13" t="e">
        <f>SUMIFS(#REF!,#REF!,'Brain networks'!$B13)</f>
        <v>#REF!</v>
      </c>
      <c r="M13" t="e">
        <f>SUMIFS(#REF!,#REF!,'Brain networks'!$B13)</f>
        <v>#REF!</v>
      </c>
      <c r="N13" t="e">
        <f>SUMIFS(#REF!,#REF!,'Brain networks'!$B13)</f>
        <v>#REF!</v>
      </c>
      <c r="O13" t="e">
        <f>SUMIFS(#REF!,#REF!,'Brain networks'!$B13)</f>
        <v>#REF!</v>
      </c>
      <c r="P13" t="e">
        <f>SUMIFS(#REF!,#REF!,'Brain networks'!$B13)</f>
        <v>#REF!</v>
      </c>
      <c r="Q13" t="e">
        <f>SUMIFS(#REF!,#REF!,'Brain networks'!$B13)</f>
        <v>#REF!</v>
      </c>
      <c r="R13" t="e">
        <f>SUMIFS(#REF!,#REF!,'Brain networks'!$B13)</f>
        <v>#REF!</v>
      </c>
      <c r="S13" t="e">
        <f>SUMIFS(#REF!,#REF!,'Brain networks'!$B13)</f>
        <v>#REF!</v>
      </c>
      <c r="T13" t="e">
        <f>SUMIFS(#REF!,#REF!,'Brain networks'!$B13)</f>
        <v>#REF!</v>
      </c>
      <c r="U13" t="e">
        <f>SUMIFS(#REF!,#REF!,'Brain networks'!$B13)</f>
        <v>#REF!</v>
      </c>
      <c r="V13" t="e">
        <f>SUMIFS(#REF!,#REF!,'Brain networks'!$B13)</f>
        <v>#REF!</v>
      </c>
      <c r="X13" t="e">
        <f t="shared" si="0"/>
        <v>#REF!</v>
      </c>
      <c r="Y13" t="e">
        <f t="shared" si="1"/>
        <v>#REF!</v>
      </c>
      <c r="Z13" t="e">
        <f t="shared" si="2"/>
        <v>#REF!</v>
      </c>
    </row>
    <row r="15" spans="1:26" x14ac:dyDescent="0.35">
      <c r="A15" s="6" t="s">
        <v>1290</v>
      </c>
    </row>
    <row r="16" spans="1:26" x14ac:dyDescent="0.35">
      <c r="A16" t="s">
        <v>1282</v>
      </c>
      <c r="C16" t="s">
        <v>1285</v>
      </c>
      <c r="E16">
        <v>993</v>
      </c>
      <c r="F16" t="e">
        <f>SUMPRODUCT(SUMIFS(#REF!,#REF!,$B92:$B96))</f>
        <v>#REF!</v>
      </c>
      <c r="G16" t="e">
        <f>SUMPRODUCT(SUMIFS(#REF!,#REF!,$B92:$B96))</f>
        <v>#REF!</v>
      </c>
      <c r="H16" t="e">
        <f>SUMPRODUCT(SUMIFS(#REF!,#REF!,$B92:$B96))</f>
        <v>#REF!</v>
      </c>
      <c r="I16" t="e">
        <f>SUMPRODUCT(SUMIFS(#REF!,#REF!,$B92:$B96))</f>
        <v>#REF!</v>
      </c>
      <c r="J16" t="e">
        <f>SUMPRODUCT(SUMIFS(#REF!,#REF!,$B92:$B96))</f>
        <v>#REF!</v>
      </c>
      <c r="K16" t="e">
        <f>SUMPRODUCT(SUMIFS(#REF!,#REF!,$B92:$B96))</f>
        <v>#REF!</v>
      </c>
      <c r="L16" t="e">
        <f>SUMPRODUCT(SUMIFS(#REF!,#REF!,$B92:$B96))</f>
        <v>#REF!</v>
      </c>
      <c r="M16" t="e">
        <f>SUMPRODUCT(SUMIFS(#REF!,#REF!,$B92:$B96))</f>
        <v>#REF!</v>
      </c>
      <c r="N16" t="e">
        <f>SUMPRODUCT(SUMIFS(#REF!,#REF!,$B92:$B96))</f>
        <v>#REF!</v>
      </c>
      <c r="O16" t="e">
        <f>SUMPRODUCT(SUMIFS(#REF!,#REF!,$B92:$B96))</f>
        <v>#REF!</v>
      </c>
      <c r="P16" t="e">
        <f>SUMPRODUCT(SUMIFS(#REF!,#REF!,$B92:$B96))</f>
        <v>#REF!</v>
      </c>
      <c r="Q16" t="e">
        <f>SUMPRODUCT(SUMIFS(#REF!,#REF!,$B92:$B96))</f>
        <v>#REF!</v>
      </c>
      <c r="R16" t="e">
        <f>SUMPRODUCT(SUMIFS(#REF!,#REF!,$B92:$B96))</f>
        <v>#REF!</v>
      </c>
      <c r="S16" t="e">
        <f>SUMPRODUCT(SUMIFS(#REF!,#REF!,$B92:$B96))</f>
        <v>#REF!</v>
      </c>
      <c r="T16" t="e">
        <f>SUMPRODUCT(SUMIFS(#REF!,#REF!,$B92:$B96))</f>
        <v>#REF!</v>
      </c>
      <c r="U16" t="e">
        <f>SUMPRODUCT(SUMIFS(#REF!,#REF!,$B92:$B96))</f>
        <v>#REF!</v>
      </c>
      <c r="V16" t="e">
        <f>SUMPRODUCT(SUMIFS(#REF!,#REF!,$B92:$B96))</f>
        <v>#REF!</v>
      </c>
      <c r="X16" t="e">
        <f t="shared" si="0"/>
        <v>#REF!</v>
      </c>
      <c r="Y16" t="e">
        <f t="shared" si="1"/>
        <v>#REF!</v>
      </c>
      <c r="Z16" t="e">
        <f t="shared" si="2"/>
        <v>#REF!</v>
      </c>
    </row>
    <row r="17" spans="1:26" x14ac:dyDescent="0.35">
      <c r="A17" t="s">
        <v>578</v>
      </c>
      <c r="C17" t="s">
        <v>42</v>
      </c>
      <c r="E17">
        <v>44</v>
      </c>
      <c r="F17" t="e">
        <f>SUMPRODUCT(SUMIFS(#REF!,#REF!,$B57:$B61))</f>
        <v>#REF!</v>
      </c>
      <c r="G17" t="e">
        <f>SUMPRODUCT(SUMIFS(#REF!,#REF!,$B57:$B61))</f>
        <v>#REF!</v>
      </c>
      <c r="H17" t="e">
        <f>SUMPRODUCT(SUMIFS(#REF!,#REF!,$B57:$B61))</f>
        <v>#REF!</v>
      </c>
      <c r="I17" t="e">
        <f>SUMPRODUCT(SUMIFS(#REF!,#REF!,$B57:$B61))</f>
        <v>#REF!</v>
      </c>
      <c r="J17" t="e">
        <f>SUMPRODUCT(SUMIFS(#REF!,#REF!,$B57:$B61))</f>
        <v>#REF!</v>
      </c>
      <c r="K17" t="e">
        <f>SUMPRODUCT(SUMIFS(#REF!,#REF!,$B57:$B61))</f>
        <v>#REF!</v>
      </c>
      <c r="L17" t="e">
        <f>SUMPRODUCT(SUMIFS(#REF!,#REF!,$B57:$B61))</f>
        <v>#REF!</v>
      </c>
      <c r="M17" t="e">
        <f>SUMPRODUCT(SUMIFS(#REF!,#REF!,$B57:$B61))</f>
        <v>#REF!</v>
      </c>
      <c r="N17" t="e">
        <f>SUMPRODUCT(SUMIFS(#REF!,#REF!,$B57:$B61))</f>
        <v>#REF!</v>
      </c>
      <c r="O17" t="e">
        <f>SUMPRODUCT(SUMIFS(#REF!,#REF!,$B57:$B61))</f>
        <v>#REF!</v>
      </c>
      <c r="P17" t="e">
        <f>SUMPRODUCT(SUMIFS(#REF!,#REF!,$B57:$B61))</f>
        <v>#REF!</v>
      </c>
      <c r="Q17" t="e">
        <f>SUMPRODUCT(SUMIFS(#REF!,#REF!,$B57:$B61))</f>
        <v>#REF!</v>
      </c>
      <c r="R17" t="e">
        <f>SUMPRODUCT(SUMIFS(#REF!,#REF!,$B57:$B61))</f>
        <v>#REF!</v>
      </c>
      <c r="S17" t="e">
        <f>SUMPRODUCT(SUMIFS(#REF!,#REF!,$B57:$B61))</f>
        <v>#REF!</v>
      </c>
      <c r="T17" t="e">
        <f>SUMPRODUCT(SUMIFS(#REF!,#REF!,$B57:$B61))</f>
        <v>#REF!</v>
      </c>
      <c r="U17" t="e">
        <f>SUMPRODUCT(SUMIFS(#REF!,#REF!,$B57:$B61))</f>
        <v>#REF!</v>
      </c>
      <c r="V17" t="e">
        <f>SUMPRODUCT(SUMIFS(#REF!,#REF!,$B57:$B61))</f>
        <v>#REF!</v>
      </c>
      <c r="X17" t="e">
        <f t="shared" si="0"/>
        <v>#REF!</v>
      </c>
      <c r="Y17" t="e">
        <f t="shared" si="1"/>
        <v>#REF!</v>
      </c>
      <c r="Z17" t="e">
        <f t="shared" si="2"/>
        <v>#REF!</v>
      </c>
    </row>
    <row r="19" spans="1:26" x14ac:dyDescent="0.35">
      <c r="A19" s="6" t="s">
        <v>1291</v>
      </c>
    </row>
    <row r="20" spans="1:26" x14ac:dyDescent="0.35">
      <c r="A20" t="s">
        <v>577</v>
      </c>
      <c r="C20" t="s">
        <v>478</v>
      </c>
      <c r="E20">
        <v>972</v>
      </c>
      <c r="F20" t="e">
        <f>SUMPRODUCT(SUMIFS(#REF!,#REF!,$B52:$B56))</f>
        <v>#REF!</v>
      </c>
      <c r="G20" t="e">
        <f>SUMPRODUCT(SUMIFS(#REF!,#REF!,$B52:$B56))</f>
        <v>#REF!</v>
      </c>
      <c r="H20" t="e">
        <f>SUMPRODUCT(SUMIFS(#REF!,#REF!,$B52:$B56))</f>
        <v>#REF!</v>
      </c>
      <c r="I20" t="e">
        <f>SUMPRODUCT(SUMIFS(#REF!,#REF!,$B52:$B56))</f>
        <v>#REF!</v>
      </c>
      <c r="J20" t="e">
        <f>SUMPRODUCT(SUMIFS(#REF!,#REF!,$B52:$B56))</f>
        <v>#REF!</v>
      </c>
      <c r="K20" t="e">
        <f>SUMPRODUCT(SUMIFS(#REF!,#REF!,$B52:$B56))</f>
        <v>#REF!</v>
      </c>
      <c r="L20" t="e">
        <f>SUMPRODUCT(SUMIFS(#REF!,#REF!,$B52:$B56))</f>
        <v>#REF!</v>
      </c>
      <c r="M20" t="e">
        <f>SUMPRODUCT(SUMIFS(#REF!,#REF!,$B52:$B56))</f>
        <v>#REF!</v>
      </c>
      <c r="N20" t="e">
        <f>SUMPRODUCT(SUMIFS(#REF!,#REF!,$B52:$B56))</f>
        <v>#REF!</v>
      </c>
      <c r="O20" t="e">
        <f>SUMPRODUCT(SUMIFS(#REF!,#REF!,$B52:$B56))</f>
        <v>#REF!</v>
      </c>
      <c r="P20" t="e">
        <f>SUMPRODUCT(SUMIFS(#REF!,#REF!,$B52:$B56))</f>
        <v>#REF!</v>
      </c>
      <c r="Q20" t="e">
        <f>SUMPRODUCT(SUMIFS(#REF!,#REF!,$B52:$B56))</f>
        <v>#REF!</v>
      </c>
      <c r="R20" t="e">
        <f>SUMPRODUCT(SUMIFS(#REF!,#REF!,$B52:$B56))</f>
        <v>#REF!</v>
      </c>
      <c r="S20" t="e">
        <f>SUMPRODUCT(SUMIFS(#REF!,#REF!,$B52:$B56))</f>
        <v>#REF!</v>
      </c>
      <c r="T20" t="e">
        <f>SUMPRODUCT(SUMIFS(#REF!,#REF!,$B52:$B56))</f>
        <v>#REF!</v>
      </c>
      <c r="U20" t="e">
        <f>SUMPRODUCT(SUMIFS(#REF!,#REF!,$B52:$B56))</f>
        <v>#REF!</v>
      </c>
      <c r="V20" t="e">
        <f>SUMPRODUCT(SUMIFS(#REF!,#REF!,$B52:$B56))</f>
        <v>#REF!</v>
      </c>
      <c r="X20" t="e">
        <f t="shared" si="0"/>
        <v>#REF!</v>
      </c>
      <c r="Y20" t="e">
        <f t="shared" si="1"/>
        <v>#REF!</v>
      </c>
      <c r="Z20" t="e">
        <f t="shared" si="2"/>
        <v>#REF!</v>
      </c>
    </row>
    <row r="21" spans="1:26" x14ac:dyDescent="0.35">
      <c r="A21" t="s">
        <v>1279</v>
      </c>
      <c r="C21" t="s">
        <v>1286</v>
      </c>
      <c r="F21" t="e">
        <f>SUMPRODUCT(SUMIFS(#REF!,#REF!,$B97:$B106))</f>
        <v>#REF!</v>
      </c>
      <c r="G21" t="e">
        <f>SUMPRODUCT(SUMIFS(#REF!,#REF!,$B97:$B106))</f>
        <v>#REF!</v>
      </c>
      <c r="H21" t="e">
        <f>SUMPRODUCT(SUMIFS(#REF!,#REF!,$B97:$B106))</f>
        <v>#REF!</v>
      </c>
      <c r="I21" t="e">
        <f>SUMPRODUCT(SUMIFS(#REF!,#REF!,$B97:$B106))</f>
        <v>#REF!</v>
      </c>
      <c r="J21" t="e">
        <f>SUMPRODUCT(SUMIFS(#REF!,#REF!,$B97:$B106))</f>
        <v>#REF!</v>
      </c>
      <c r="K21" t="e">
        <f>SUMPRODUCT(SUMIFS(#REF!,#REF!,$B97:$B106))</f>
        <v>#REF!</v>
      </c>
      <c r="L21" t="e">
        <f>SUMPRODUCT(SUMIFS(#REF!,#REF!,$B97:$B106))</f>
        <v>#REF!</v>
      </c>
      <c r="M21" t="e">
        <f>SUMPRODUCT(SUMIFS(#REF!,#REF!,$B97:$B106))</f>
        <v>#REF!</v>
      </c>
      <c r="N21" t="e">
        <f>SUMPRODUCT(SUMIFS(#REF!,#REF!,$B97:$B106))</f>
        <v>#REF!</v>
      </c>
      <c r="O21" t="e">
        <f>SUMPRODUCT(SUMIFS(#REF!,#REF!,$B97:$B106))</f>
        <v>#REF!</v>
      </c>
      <c r="P21" t="e">
        <f>SUMPRODUCT(SUMIFS(#REF!,#REF!,$B97:$B106))</f>
        <v>#REF!</v>
      </c>
      <c r="Q21" t="e">
        <f>SUMPRODUCT(SUMIFS(#REF!,#REF!,$B97:$B106))</f>
        <v>#REF!</v>
      </c>
      <c r="R21" t="e">
        <f>SUMPRODUCT(SUMIFS(#REF!,#REF!,$B97:$B106))</f>
        <v>#REF!</v>
      </c>
      <c r="S21" t="e">
        <f>SUMPRODUCT(SUMIFS(#REF!,#REF!,$B97:$B106))</f>
        <v>#REF!</v>
      </c>
      <c r="T21" t="e">
        <f>SUMPRODUCT(SUMIFS(#REF!,#REF!,$B97:$B106))</f>
        <v>#REF!</v>
      </c>
      <c r="U21" t="e">
        <f>SUMPRODUCT(SUMIFS(#REF!,#REF!,$B97:$B106))</f>
        <v>#REF!</v>
      </c>
      <c r="V21" t="e">
        <f>SUMPRODUCT(SUMIFS(#REF!,#REF!,$B97:$B106))</f>
        <v>#REF!</v>
      </c>
      <c r="X21" t="e">
        <f t="shared" si="0"/>
        <v>#REF!</v>
      </c>
      <c r="Y21" t="e">
        <f t="shared" si="1"/>
        <v>#REF!</v>
      </c>
      <c r="Z21" t="e">
        <f t="shared" si="2"/>
        <v>#REF!</v>
      </c>
    </row>
    <row r="22" spans="1:26" x14ac:dyDescent="0.35">
      <c r="A22" t="s">
        <v>1280</v>
      </c>
      <c r="C22" t="s">
        <v>1287</v>
      </c>
      <c r="E22">
        <v>731</v>
      </c>
      <c r="F22" t="e">
        <f>SUMPRODUCT(SUMIFS(#REF!,#REF!,$B107:$B110))</f>
        <v>#REF!</v>
      </c>
      <c r="G22" t="e">
        <f>SUMPRODUCT(SUMIFS(#REF!,#REF!,$B107:$B110))</f>
        <v>#REF!</v>
      </c>
      <c r="H22" t="e">
        <f>SUMPRODUCT(SUMIFS(#REF!,#REF!,$B107:$B110))</f>
        <v>#REF!</v>
      </c>
      <c r="I22" t="e">
        <f>SUMPRODUCT(SUMIFS(#REF!,#REF!,$B107:$B110))</f>
        <v>#REF!</v>
      </c>
      <c r="J22" t="e">
        <f>SUMPRODUCT(SUMIFS(#REF!,#REF!,$B107:$B110))</f>
        <v>#REF!</v>
      </c>
      <c r="K22" t="e">
        <f>SUMPRODUCT(SUMIFS(#REF!,#REF!,$B107:$B110))</f>
        <v>#REF!</v>
      </c>
      <c r="L22" t="e">
        <f>SUMPRODUCT(SUMIFS(#REF!,#REF!,$B107:$B110))</f>
        <v>#REF!</v>
      </c>
      <c r="M22" t="e">
        <f>SUMPRODUCT(SUMIFS(#REF!,#REF!,$B107:$B110))</f>
        <v>#REF!</v>
      </c>
      <c r="N22" t="e">
        <f>SUMPRODUCT(SUMIFS(#REF!,#REF!,$B107:$B110))</f>
        <v>#REF!</v>
      </c>
      <c r="O22" t="e">
        <f>SUMPRODUCT(SUMIFS(#REF!,#REF!,$B107:$B110))</f>
        <v>#REF!</v>
      </c>
      <c r="P22" t="e">
        <f>SUMPRODUCT(SUMIFS(#REF!,#REF!,$B107:$B110))</f>
        <v>#REF!</v>
      </c>
      <c r="Q22" t="e">
        <f>SUMPRODUCT(SUMIFS(#REF!,#REF!,$B107:$B110))</f>
        <v>#REF!</v>
      </c>
      <c r="R22" t="e">
        <f>SUMPRODUCT(SUMIFS(#REF!,#REF!,$B107:$B110))</f>
        <v>#REF!</v>
      </c>
      <c r="S22" t="e">
        <f>SUMPRODUCT(SUMIFS(#REF!,#REF!,$B107:$B110))</f>
        <v>#REF!</v>
      </c>
      <c r="T22" t="e">
        <f>SUMPRODUCT(SUMIFS(#REF!,#REF!,$B107:$B110))</f>
        <v>#REF!</v>
      </c>
      <c r="U22" t="e">
        <f>SUMPRODUCT(SUMIFS(#REF!,#REF!,$B107:$B110))</f>
        <v>#REF!</v>
      </c>
      <c r="V22" t="e">
        <f>SUMPRODUCT(SUMIFS(#REF!,#REF!,$B107:$B110))</f>
        <v>#REF!</v>
      </c>
      <c r="X22" t="e">
        <f t="shared" si="0"/>
        <v>#REF!</v>
      </c>
      <c r="Y22" t="e">
        <f t="shared" si="1"/>
        <v>#REF!</v>
      </c>
      <c r="Z22" t="e">
        <f t="shared" si="2"/>
        <v>#REF!</v>
      </c>
    </row>
    <row r="23" spans="1:26" x14ac:dyDescent="0.35">
      <c r="A23" t="s">
        <v>575</v>
      </c>
      <c r="C23" t="s">
        <v>140</v>
      </c>
      <c r="F23" t="e">
        <f>SUMPRODUCT(SUMIFS(#REF!,#REF!,$B35:$B51))</f>
        <v>#REF!</v>
      </c>
      <c r="G23" t="e">
        <f>SUMPRODUCT(SUMIFS(#REF!,#REF!,$B35:$B51))</f>
        <v>#REF!</v>
      </c>
      <c r="H23" t="e">
        <f>SUMPRODUCT(SUMIFS(#REF!,#REF!,$B35:$B51))</f>
        <v>#REF!</v>
      </c>
      <c r="I23" t="e">
        <f>SUMPRODUCT(SUMIFS(#REF!,#REF!,$B35:$B51))</f>
        <v>#REF!</v>
      </c>
      <c r="J23" t="e">
        <f>SUMPRODUCT(SUMIFS(#REF!,#REF!,$B35:$B51))</f>
        <v>#REF!</v>
      </c>
      <c r="K23" t="e">
        <f>SUMPRODUCT(SUMIFS(#REF!,#REF!,$B35:$B51))</f>
        <v>#REF!</v>
      </c>
      <c r="L23" t="e">
        <f>SUMPRODUCT(SUMIFS(#REF!,#REF!,$B35:$B51))</f>
        <v>#REF!</v>
      </c>
      <c r="M23" t="e">
        <f>SUMPRODUCT(SUMIFS(#REF!,#REF!,$B35:$B51))</f>
        <v>#REF!</v>
      </c>
      <c r="N23" t="e">
        <f>SUMPRODUCT(SUMIFS(#REF!,#REF!,$B35:$B51))</f>
        <v>#REF!</v>
      </c>
      <c r="O23" t="e">
        <f>SUMPRODUCT(SUMIFS(#REF!,#REF!,$B35:$B51))</f>
        <v>#REF!</v>
      </c>
      <c r="P23" t="e">
        <f>SUMPRODUCT(SUMIFS(#REF!,#REF!,$B35:$B51))</f>
        <v>#REF!</v>
      </c>
      <c r="Q23" t="e">
        <f>SUMPRODUCT(SUMIFS(#REF!,#REF!,$B35:$B51))</f>
        <v>#REF!</v>
      </c>
      <c r="R23" t="e">
        <f>SUMPRODUCT(SUMIFS(#REF!,#REF!,$B35:$B51))</f>
        <v>#REF!</v>
      </c>
      <c r="S23" t="e">
        <f>SUMPRODUCT(SUMIFS(#REF!,#REF!,$B35:$B51))</f>
        <v>#REF!</v>
      </c>
      <c r="T23" t="e">
        <f>SUMPRODUCT(SUMIFS(#REF!,#REF!,$B35:$B51))</f>
        <v>#REF!</v>
      </c>
      <c r="U23" t="e">
        <f>SUMPRODUCT(SUMIFS(#REF!,#REF!,$B35:$B51))</f>
        <v>#REF!</v>
      </c>
      <c r="V23" t="e">
        <f>SUMPRODUCT(SUMIFS(#REF!,#REF!,$B35:$B51))</f>
        <v>#REF!</v>
      </c>
      <c r="X23" t="e">
        <f t="shared" si="0"/>
        <v>#REF!</v>
      </c>
      <c r="Y23" t="e">
        <f t="shared" si="1"/>
        <v>#REF!</v>
      </c>
      <c r="Z23" t="e">
        <f t="shared" si="2"/>
        <v>#REF!</v>
      </c>
    </row>
    <row r="24" spans="1:26" x14ac:dyDescent="0.35">
      <c r="A24" t="s">
        <v>1281</v>
      </c>
      <c r="C24" t="s">
        <v>1288</v>
      </c>
      <c r="E24">
        <v>909</v>
      </c>
      <c r="F24" t="e">
        <f>SUMPRODUCT(SUMIFS(#REF!,#REF!,$B111:$B113))</f>
        <v>#REF!</v>
      </c>
      <c r="G24" t="e">
        <f>SUMPRODUCT(SUMIFS(#REF!,#REF!,$B111:$B113))</f>
        <v>#REF!</v>
      </c>
      <c r="H24" t="e">
        <f>SUMPRODUCT(SUMIFS(#REF!,#REF!,$B111:$B113))</f>
        <v>#REF!</v>
      </c>
      <c r="I24" t="e">
        <f>SUMPRODUCT(SUMIFS(#REF!,#REF!,$B111:$B113))</f>
        <v>#REF!</v>
      </c>
      <c r="J24" t="e">
        <f>SUMPRODUCT(SUMIFS(#REF!,#REF!,$B111:$B113))</f>
        <v>#REF!</v>
      </c>
      <c r="K24" t="e">
        <f>SUMPRODUCT(SUMIFS(#REF!,#REF!,$B111:$B113))</f>
        <v>#REF!</v>
      </c>
      <c r="L24" t="e">
        <f>SUMPRODUCT(SUMIFS(#REF!,#REF!,$B111:$B113))</f>
        <v>#REF!</v>
      </c>
      <c r="M24" t="e">
        <f>SUMPRODUCT(SUMIFS(#REF!,#REF!,$B111:$B113))</f>
        <v>#REF!</v>
      </c>
      <c r="N24" t="e">
        <f>SUMPRODUCT(SUMIFS(#REF!,#REF!,$B111:$B113))</f>
        <v>#REF!</v>
      </c>
      <c r="O24" t="e">
        <f>SUMPRODUCT(SUMIFS(#REF!,#REF!,$B111:$B113))</f>
        <v>#REF!</v>
      </c>
      <c r="P24" t="e">
        <f>SUMPRODUCT(SUMIFS(#REF!,#REF!,$B111:$B113))</f>
        <v>#REF!</v>
      </c>
      <c r="Q24" t="e">
        <f>SUMPRODUCT(SUMIFS(#REF!,#REF!,$B111:$B113))</f>
        <v>#REF!</v>
      </c>
      <c r="R24" t="e">
        <f>SUMPRODUCT(SUMIFS(#REF!,#REF!,$B111:$B113))</f>
        <v>#REF!</v>
      </c>
      <c r="S24" t="e">
        <f>SUMPRODUCT(SUMIFS(#REF!,#REF!,$B111:$B113))</f>
        <v>#REF!</v>
      </c>
      <c r="T24" t="e">
        <f>SUMPRODUCT(SUMIFS(#REF!,#REF!,$B111:$B113))</f>
        <v>#REF!</v>
      </c>
      <c r="U24" t="e">
        <f>SUMPRODUCT(SUMIFS(#REF!,#REF!,$B111:$B113))</f>
        <v>#REF!</v>
      </c>
      <c r="V24" t="e">
        <f>SUMPRODUCT(SUMIFS(#REF!,#REF!,$B111:$B113))</f>
        <v>#REF!</v>
      </c>
      <c r="X24" t="e">
        <f t="shared" si="0"/>
        <v>#REF!</v>
      </c>
      <c r="Y24" t="e">
        <f t="shared" si="1"/>
        <v>#REF!</v>
      </c>
      <c r="Z24" t="e">
        <f t="shared" si="2"/>
        <v>#REF!</v>
      </c>
    </row>
    <row r="25" spans="1:26" x14ac:dyDescent="0.35">
      <c r="A25" t="s">
        <v>571</v>
      </c>
      <c r="C25" t="s">
        <v>356</v>
      </c>
      <c r="E25">
        <v>726</v>
      </c>
      <c r="F25" t="e">
        <f>SUMPRODUCT(SUMIFS(#REF!,#REF!,$B32:$B34))</f>
        <v>#REF!</v>
      </c>
      <c r="G25" t="e">
        <f>SUMPRODUCT(SUMIFS(#REF!,#REF!,$B32:$B34))</f>
        <v>#REF!</v>
      </c>
      <c r="H25" t="e">
        <f>SUMPRODUCT(SUMIFS(#REF!,#REF!,$B32:$B34))</f>
        <v>#REF!</v>
      </c>
      <c r="I25" t="e">
        <f>SUMPRODUCT(SUMIFS(#REF!,#REF!,$B32:$B34))</f>
        <v>#REF!</v>
      </c>
      <c r="J25" t="e">
        <f>SUMPRODUCT(SUMIFS(#REF!,#REF!,$B32:$B34))</f>
        <v>#REF!</v>
      </c>
      <c r="K25" t="e">
        <f>SUMPRODUCT(SUMIFS(#REF!,#REF!,$B32:$B34))</f>
        <v>#REF!</v>
      </c>
      <c r="L25" t="e">
        <f>SUMPRODUCT(SUMIFS(#REF!,#REF!,$B32:$B34))</f>
        <v>#REF!</v>
      </c>
      <c r="M25" t="e">
        <f>SUMPRODUCT(SUMIFS(#REF!,#REF!,$B32:$B34))</f>
        <v>#REF!</v>
      </c>
      <c r="N25" t="e">
        <f>SUMPRODUCT(SUMIFS(#REF!,#REF!,$B32:$B34))</f>
        <v>#REF!</v>
      </c>
      <c r="O25" t="e">
        <f>SUMPRODUCT(SUMIFS(#REF!,#REF!,$B32:$B34))</f>
        <v>#REF!</v>
      </c>
      <c r="P25" t="e">
        <f>SUMPRODUCT(SUMIFS(#REF!,#REF!,$B32:$B34))</f>
        <v>#REF!</v>
      </c>
      <c r="Q25" t="e">
        <f>SUMPRODUCT(SUMIFS(#REF!,#REF!,$B32:$B34))</f>
        <v>#REF!</v>
      </c>
      <c r="R25" t="e">
        <f>SUMPRODUCT(SUMIFS(#REF!,#REF!,$B32:$B34))</f>
        <v>#REF!</v>
      </c>
      <c r="S25" t="e">
        <f>SUMPRODUCT(SUMIFS(#REF!,#REF!,$B32:$B34))</f>
        <v>#REF!</v>
      </c>
      <c r="T25" t="e">
        <f>SUMPRODUCT(SUMIFS(#REF!,#REF!,$B32:$B34))</f>
        <v>#REF!</v>
      </c>
      <c r="U25" t="e">
        <f>SUMPRODUCT(SUMIFS(#REF!,#REF!,$B32:$B34))</f>
        <v>#REF!</v>
      </c>
      <c r="V25" t="e">
        <f>SUMPRODUCT(SUMIFS(#REF!,#REF!,$B32:$B34))</f>
        <v>#REF!</v>
      </c>
      <c r="X25" t="e">
        <f t="shared" si="0"/>
        <v>#REF!</v>
      </c>
      <c r="Y25" t="e">
        <f t="shared" si="1"/>
        <v>#REF!</v>
      </c>
      <c r="Z25" t="e">
        <f t="shared" si="2"/>
        <v>#REF!</v>
      </c>
    </row>
    <row r="26" spans="1:26" x14ac:dyDescent="0.35">
      <c r="A26" t="s">
        <v>569</v>
      </c>
      <c r="B26">
        <v>382</v>
      </c>
      <c r="C26" t="s">
        <v>202</v>
      </c>
      <c r="D26">
        <v>37700</v>
      </c>
      <c r="E26">
        <v>375</v>
      </c>
      <c r="F26" t="e">
        <f>SUMIFS(#REF!,#REF!,'Brain networks'!$B26)</f>
        <v>#REF!</v>
      </c>
      <c r="G26" t="e">
        <f>SUMIFS(#REF!,#REF!,'Brain networks'!$B26)</f>
        <v>#REF!</v>
      </c>
      <c r="H26" t="e">
        <f>SUMIFS(#REF!,#REF!,'Brain networks'!$B26)</f>
        <v>#REF!</v>
      </c>
      <c r="I26" t="e">
        <f>SUMIFS(#REF!,#REF!,'Brain networks'!$B26)</f>
        <v>#REF!</v>
      </c>
      <c r="J26" t="e">
        <f>SUMIFS(#REF!,#REF!,'Brain networks'!$B26)</f>
        <v>#REF!</v>
      </c>
      <c r="K26" t="e">
        <f>SUMIFS(#REF!,#REF!,'Brain networks'!$B26)</f>
        <v>#REF!</v>
      </c>
      <c r="L26" t="e">
        <f>SUMIFS(#REF!,#REF!,'Brain networks'!$B26)</f>
        <v>#REF!</v>
      </c>
      <c r="M26" t="e">
        <f>SUMIFS(#REF!,#REF!,'Brain networks'!$B26)</f>
        <v>#REF!</v>
      </c>
      <c r="N26" t="e">
        <f>SUMIFS(#REF!,#REF!,'Brain networks'!$B26)</f>
        <v>#REF!</v>
      </c>
      <c r="O26" t="e">
        <f>SUMIFS(#REF!,#REF!,'Brain networks'!$B26)</f>
        <v>#REF!</v>
      </c>
      <c r="P26" t="e">
        <f>SUMIFS(#REF!,#REF!,'Brain networks'!$B26)</f>
        <v>#REF!</v>
      </c>
      <c r="Q26" t="e">
        <f>SUMIFS(#REF!,#REF!,'Brain networks'!$B26)</f>
        <v>#REF!</v>
      </c>
      <c r="R26" t="e">
        <f>SUMIFS(#REF!,#REF!,'Brain networks'!$B26)</f>
        <v>#REF!</v>
      </c>
      <c r="S26" t="e">
        <f>SUMIFS(#REF!,#REF!,'Brain networks'!$B26)</f>
        <v>#REF!</v>
      </c>
      <c r="T26" t="e">
        <f>SUMIFS(#REF!,#REF!,'Brain networks'!$B26)</f>
        <v>#REF!</v>
      </c>
      <c r="U26" t="e">
        <f>SUMIFS(#REF!,#REF!,'Brain networks'!$B26)</f>
        <v>#REF!</v>
      </c>
      <c r="V26" t="e">
        <f>SUMIFS(#REF!,#REF!,'Brain networks'!$B26)</f>
        <v>#REF!</v>
      </c>
      <c r="X26" t="e">
        <f t="shared" si="0"/>
        <v>#REF!</v>
      </c>
      <c r="Y26" t="e">
        <f t="shared" si="1"/>
        <v>#REF!</v>
      </c>
      <c r="Z26" t="e">
        <f t="shared" si="2"/>
        <v>#REF!</v>
      </c>
    </row>
    <row r="27" spans="1:26" x14ac:dyDescent="0.35">
      <c r="A27" t="s">
        <v>570</v>
      </c>
      <c r="B27">
        <v>463</v>
      </c>
      <c r="C27" t="s">
        <v>234</v>
      </c>
      <c r="D27">
        <v>38700</v>
      </c>
      <c r="E27">
        <v>375</v>
      </c>
      <c r="F27" t="e">
        <f>SUMIFS(#REF!,#REF!,'Brain networks'!$B27)</f>
        <v>#REF!</v>
      </c>
      <c r="G27" t="e">
        <f>SUMIFS(#REF!,#REF!,'Brain networks'!$B27)</f>
        <v>#REF!</v>
      </c>
      <c r="H27" t="e">
        <f>SUMIFS(#REF!,#REF!,'Brain networks'!$B27)</f>
        <v>#REF!</v>
      </c>
      <c r="I27" t="e">
        <f>SUMIFS(#REF!,#REF!,'Brain networks'!$B27)</f>
        <v>#REF!</v>
      </c>
      <c r="J27" t="e">
        <f>SUMIFS(#REF!,#REF!,'Brain networks'!$B27)</f>
        <v>#REF!</v>
      </c>
      <c r="K27" t="e">
        <f>SUMIFS(#REF!,#REF!,'Brain networks'!$B27)</f>
        <v>#REF!</v>
      </c>
      <c r="L27" t="e">
        <f>SUMIFS(#REF!,#REF!,'Brain networks'!$B27)</f>
        <v>#REF!</v>
      </c>
      <c r="M27" t="e">
        <f>SUMIFS(#REF!,#REF!,'Brain networks'!$B27)</f>
        <v>#REF!</v>
      </c>
      <c r="N27" t="e">
        <f>SUMIFS(#REF!,#REF!,'Brain networks'!$B27)</f>
        <v>#REF!</v>
      </c>
      <c r="O27" t="e">
        <f>SUMIFS(#REF!,#REF!,'Brain networks'!$B27)</f>
        <v>#REF!</v>
      </c>
      <c r="P27" t="e">
        <f>SUMIFS(#REF!,#REF!,'Brain networks'!$B27)</f>
        <v>#REF!</v>
      </c>
      <c r="Q27" t="e">
        <f>SUMIFS(#REF!,#REF!,'Brain networks'!$B27)</f>
        <v>#REF!</v>
      </c>
      <c r="R27" t="e">
        <f>SUMIFS(#REF!,#REF!,'Brain networks'!$B27)</f>
        <v>#REF!</v>
      </c>
      <c r="S27" t="e">
        <f>SUMIFS(#REF!,#REF!,'Brain networks'!$B27)</f>
        <v>#REF!</v>
      </c>
      <c r="T27" t="e">
        <f>SUMIFS(#REF!,#REF!,'Brain networks'!$B27)</f>
        <v>#REF!</v>
      </c>
      <c r="U27" t="e">
        <f>SUMIFS(#REF!,#REF!,'Brain networks'!$B27)</f>
        <v>#REF!</v>
      </c>
      <c r="V27" t="e">
        <f>SUMIFS(#REF!,#REF!,'Brain networks'!$B27)</f>
        <v>#REF!</v>
      </c>
      <c r="X27" t="e">
        <f t="shared" si="0"/>
        <v>#REF!</v>
      </c>
      <c r="Y27" t="e">
        <f t="shared" si="1"/>
        <v>#REF!</v>
      </c>
      <c r="Z27" t="e">
        <f t="shared" si="2"/>
        <v>#REF!</v>
      </c>
    </row>
    <row r="29" spans="1:26" x14ac:dyDescent="0.35">
      <c r="B29">
        <v>632</v>
      </c>
      <c r="C29" t="s">
        <v>308</v>
      </c>
      <c r="D29">
        <v>39600</v>
      </c>
      <c r="E29">
        <v>726</v>
      </c>
    </row>
    <row r="30" spans="1:26" x14ac:dyDescent="0.35">
      <c r="B30">
        <v>10703</v>
      </c>
      <c r="C30" t="s">
        <v>560</v>
      </c>
      <c r="D30">
        <v>39400</v>
      </c>
      <c r="E30">
        <v>726</v>
      </c>
    </row>
    <row r="31" spans="1:26" x14ac:dyDescent="0.35">
      <c r="B31">
        <v>10704</v>
      </c>
      <c r="C31" t="s">
        <v>561</v>
      </c>
      <c r="D31">
        <v>39500</v>
      </c>
      <c r="E31">
        <v>726</v>
      </c>
    </row>
    <row r="32" spans="1:26" x14ac:dyDescent="0.35">
      <c r="B32">
        <v>2632</v>
      </c>
      <c r="C32" t="s">
        <v>566</v>
      </c>
      <c r="D32">
        <v>39600</v>
      </c>
      <c r="E32">
        <v>2726</v>
      </c>
    </row>
    <row r="33" spans="2:5" x14ac:dyDescent="0.35">
      <c r="B33">
        <v>12703</v>
      </c>
      <c r="C33" t="s">
        <v>560</v>
      </c>
      <c r="D33">
        <v>39400</v>
      </c>
      <c r="E33">
        <v>2726</v>
      </c>
    </row>
    <row r="34" spans="2:5" x14ac:dyDescent="0.35">
      <c r="B34">
        <v>12704</v>
      </c>
      <c r="C34" t="s">
        <v>568</v>
      </c>
      <c r="D34">
        <v>39700</v>
      </c>
      <c r="E34">
        <v>2726</v>
      </c>
    </row>
    <row r="35" spans="2:5" x14ac:dyDescent="0.35">
      <c r="B35">
        <v>894</v>
      </c>
      <c r="C35" t="s">
        <v>430</v>
      </c>
      <c r="D35">
        <v>25300</v>
      </c>
      <c r="E35">
        <v>254</v>
      </c>
    </row>
    <row r="36" spans="2:5" x14ac:dyDescent="0.35">
      <c r="B36">
        <v>274</v>
      </c>
      <c r="C36" t="s">
        <v>151</v>
      </c>
      <c r="D36">
        <v>26400</v>
      </c>
      <c r="E36">
        <v>879</v>
      </c>
    </row>
    <row r="37" spans="2:5" x14ac:dyDescent="0.35">
      <c r="B37">
        <v>330</v>
      </c>
      <c r="C37" t="s">
        <v>179</v>
      </c>
      <c r="D37">
        <v>26500</v>
      </c>
      <c r="E37">
        <v>879</v>
      </c>
    </row>
    <row r="38" spans="2:5" x14ac:dyDescent="0.35">
      <c r="B38">
        <v>434</v>
      </c>
      <c r="C38" t="s">
        <v>218</v>
      </c>
      <c r="D38">
        <v>26100</v>
      </c>
      <c r="E38">
        <v>879</v>
      </c>
    </row>
    <row r="39" spans="2:5" x14ac:dyDescent="0.35">
      <c r="B39">
        <v>442</v>
      </c>
      <c r="C39" t="s">
        <v>223</v>
      </c>
      <c r="D39">
        <v>26000</v>
      </c>
      <c r="E39">
        <v>879</v>
      </c>
    </row>
    <row r="40" spans="2:5" x14ac:dyDescent="0.35">
      <c r="B40">
        <v>545</v>
      </c>
      <c r="C40" t="s">
        <v>264</v>
      </c>
      <c r="D40">
        <v>26200</v>
      </c>
      <c r="E40">
        <v>879</v>
      </c>
    </row>
    <row r="41" spans="2:5" x14ac:dyDescent="0.35">
      <c r="B41">
        <v>610</v>
      </c>
      <c r="C41" t="s">
        <v>295</v>
      </c>
      <c r="D41">
        <v>26300</v>
      </c>
      <c r="E41">
        <v>879</v>
      </c>
    </row>
    <row r="42" spans="2:5" x14ac:dyDescent="0.35">
      <c r="B42">
        <v>430</v>
      </c>
      <c r="C42" t="s">
        <v>216</v>
      </c>
      <c r="D42">
        <v>26900</v>
      </c>
      <c r="E42">
        <v>886</v>
      </c>
    </row>
    <row r="43" spans="2:5" x14ac:dyDescent="0.35">
      <c r="B43">
        <v>542</v>
      </c>
      <c r="C43" t="s">
        <v>263</v>
      </c>
      <c r="D43">
        <v>26700</v>
      </c>
      <c r="E43">
        <v>886</v>
      </c>
    </row>
    <row r="44" spans="2:5" x14ac:dyDescent="0.35">
      <c r="B44">
        <v>590</v>
      </c>
      <c r="C44" t="s">
        <v>283</v>
      </c>
      <c r="D44">
        <v>27100</v>
      </c>
      <c r="E44">
        <v>886</v>
      </c>
    </row>
    <row r="45" spans="2:5" x14ac:dyDescent="0.35">
      <c r="B45">
        <v>622</v>
      </c>
      <c r="C45" t="s">
        <v>303</v>
      </c>
      <c r="D45">
        <v>27200</v>
      </c>
      <c r="E45">
        <v>886</v>
      </c>
    </row>
    <row r="46" spans="2:5" x14ac:dyDescent="0.35">
      <c r="B46">
        <v>687</v>
      </c>
      <c r="C46" t="s">
        <v>337</v>
      </c>
      <c r="D46">
        <v>27000</v>
      </c>
      <c r="E46">
        <v>886</v>
      </c>
    </row>
    <row r="47" spans="2:5" x14ac:dyDescent="0.35">
      <c r="B47">
        <v>279</v>
      </c>
      <c r="C47" t="s">
        <v>153</v>
      </c>
      <c r="D47">
        <v>25800</v>
      </c>
      <c r="E47">
        <v>894</v>
      </c>
    </row>
    <row r="48" spans="2:5" x14ac:dyDescent="0.35">
      <c r="B48">
        <v>671</v>
      </c>
      <c r="C48" t="s">
        <v>329</v>
      </c>
      <c r="D48">
        <v>25400</v>
      </c>
      <c r="E48">
        <v>894</v>
      </c>
    </row>
    <row r="49" spans="2:5" x14ac:dyDescent="0.35">
      <c r="B49">
        <v>774</v>
      </c>
      <c r="C49" t="s">
        <v>373</v>
      </c>
      <c r="D49">
        <v>25600</v>
      </c>
      <c r="E49">
        <v>894</v>
      </c>
    </row>
    <row r="50" spans="2:5" x14ac:dyDescent="0.35">
      <c r="B50">
        <v>906</v>
      </c>
      <c r="C50" t="s">
        <v>438</v>
      </c>
      <c r="D50">
        <v>25700</v>
      </c>
      <c r="E50">
        <v>894</v>
      </c>
    </row>
    <row r="51" spans="2:5" x14ac:dyDescent="0.35">
      <c r="B51">
        <v>965</v>
      </c>
      <c r="C51" t="s">
        <v>473</v>
      </c>
      <c r="D51">
        <v>25500</v>
      </c>
      <c r="E51">
        <v>894</v>
      </c>
    </row>
    <row r="52" spans="2:5" x14ac:dyDescent="0.35">
      <c r="B52">
        <v>84</v>
      </c>
      <c r="C52" t="s">
        <v>57</v>
      </c>
      <c r="D52">
        <v>20600</v>
      </c>
      <c r="E52">
        <v>972</v>
      </c>
    </row>
    <row r="53" spans="2:5" x14ac:dyDescent="0.35">
      <c r="B53">
        <v>132</v>
      </c>
      <c r="C53" t="s">
        <v>82</v>
      </c>
      <c r="D53">
        <v>20700</v>
      </c>
      <c r="E53">
        <v>972</v>
      </c>
    </row>
    <row r="54" spans="2:5" x14ac:dyDescent="0.35">
      <c r="B54">
        <v>171</v>
      </c>
      <c r="C54" t="s">
        <v>101</v>
      </c>
      <c r="D54">
        <v>20200</v>
      </c>
      <c r="E54">
        <v>972</v>
      </c>
    </row>
    <row r="55" spans="2:5" x14ac:dyDescent="0.35">
      <c r="B55">
        <v>304</v>
      </c>
      <c r="C55" t="s">
        <v>165</v>
      </c>
      <c r="D55">
        <v>20400</v>
      </c>
      <c r="E55">
        <v>972</v>
      </c>
    </row>
    <row r="56" spans="2:5" x14ac:dyDescent="0.35">
      <c r="B56">
        <v>363</v>
      </c>
      <c r="C56" t="s">
        <v>193</v>
      </c>
      <c r="D56">
        <v>20500</v>
      </c>
      <c r="E56">
        <v>972</v>
      </c>
    </row>
    <row r="57" spans="2:5" x14ac:dyDescent="0.35">
      <c r="B57">
        <v>556</v>
      </c>
      <c r="C57" t="s">
        <v>266</v>
      </c>
      <c r="D57">
        <v>8700</v>
      </c>
      <c r="E57">
        <v>44</v>
      </c>
    </row>
    <row r="58" spans="2:5" x14ac:dyDescent="0.35">
      <c r="B58">
        <v>707</v>
      </c>
      <c r="C58" t="s">
        <v>351</v>
      </c>
      <c r="D58">
        <v>8500</v>
      </c>
      <c r="E58">
        <v>44</v>
      </c>
    </row>
    <row r="59" spans="2:5" x14ac:dyDescent="0.35">
      <c r="B59">
        <v>827</v>
      </c>
      <c r="C59" t="s">
        <v>398</v>
      </c>
      <c r="D59">
        <v>8800</v>
      </c>
      <c r="E59">
        <v>44</v>
      </c>
    </row>
    <row r="60" spans="2:5" x14ac:dyDescent="0.35">
      <c r="B60">
        <v>1054</v>
      </c>
      <c r="C60" t="s">
        <v>524</v>
      </c>
      <c r="D60">
        <v>8900</v>
      </c>
      <c r="E60">
        <v>44</v>
      </c>
    </row>
    <row r="61" spans="2:5" x14ac:dyDescent="0.35">
      <c r="B61">
        <v>1081</v>
      </c>
      <c r="C61" t="s">
        <v>533</v>
      </c>
      <c r="D61">
        <v>9000</v>
      </c>
      <c r="E61">
        <v>44</v>
      </c>
    </row>
    <row r="62" spans="2:5" x14ac:dyDescent="0.35">
      <c r="B62">
        <v>23</v>
      </c>
      <c r="C62" t="s">
        <v>32</v>
      </c>
      <c r="D62">
        <v>50100</v>
      </c>
      <c r="E62">
        <v>278</v>
      </c>
    </row>
    <row r="63" spans="2:5" x14ac:dyDescent="0.35">
      <c r="B63">
        <v>131</v>
      </c>
      <c r="C63" t="s">
        <v>81</v>
      </c>
      <c r="D63">
        <v>47000</v>
      </c>
      <c r="E63">
        <v>703</v>
      </c>
    </row>
    <row r="64" spans="2:5" x14ac:dyDescent="0.35">
      <c r="B64">
        <v>278</v>
      </c>
      <c r="C64" t="s">
        <v>152</v>
      </c>
      <c r="D64">
        <v>50000</v>
      </c>
      <c r="E64">
        <v>477</v>
      </c>
    </row>
    <row r="65" spans="2:5" x14ac:dyDescent="0.35">
      <c r="B65">
        <v>303</v>
      </c>
      <c r="C65" t="s">
        <v>164</v>
      </c>
      <c r="D65">
        <v>47200</v>
      </c>
      <c r="E65">
        <v>295</v>
      </c>
    </row>
    <row r="66" spans="2:5" x14ac:dyDescent="0.35">
      <c r="B66">
        <v>311</v>
      </c>
      <c r="C66" t="s">
        <v>169</v>
      </c>
      <c r="D66">
        <v>47300</v>
      </c>
      <c r="E66">
        <v>295</v>
      </c>
    </row>
    <row r="67" spans="2:5" x14ac:dyDescent="0.35">
      <c r="B67">
        <v>319</v>
      </c>
      <c r="C67" t="s">
        <v>173</v>
      </c>
      <c r="D67">
        <v>47500</v>
      </c>
      <c r="E67">
        <v>703</v>
      </c>
    </row>
    <row r="68" spans="2:5" x14ac:dyDescent="0.35">
      <c r="B68">
        <v>403</v>
      </c>
      <c r="C68" t="s">
        <v>207</v>
      </c>
      <c r="D68">
        <v>50800</v>
      </c>
      <c r="E68">
        <v>278</v>
      </c>
    </row>
    <row r="69" spans="2:5" x14ac:dyDescent="0.35">
      <c r="B69">
        <v>451</v>
      </c>
      <c r="C69" t="s">
        <v>229</v>
      </c>
      <c r="D69">
        <v>47400</v>
      </c>
      <c r="E69">
        <v>295</v>
      </c>
    </row>
    <row r="70" spans="2:5" x14ac:dyDescent="0.35">
      <c r="B70">
        <v>536</v>
      </c>
      <c r="C70" t="s">
        <v>261</v>
      </c>
      <c r="D70">
        <v>50300</v>
      </c>
      <c r="E70">
        <v>278</v>
      </c>
    </row>
    <row r="71" spans="2:5" x14ac:dyDescent="0.35">
      <c r="B71">
        <v>639</v>
      </c>
      <c r="C71" t="s">
        <v>312</v>
      </c>
      <c r="D71">
        <v>34700</v>
      </c>
      <c r="E71">
        <v>631</v>
      </c>
    </row>
    <row r="72" spans="2:5" x14ac:dyDescent="0.35">
      <c r="B72">
        <v>647</v>
      </c>
      <c r="C72" t="s">
        <v>315</v>
      </c>
      <c r="D72">
        <v>35100</v>
      </c>
      <c r="E72">
        <v>631</v>
      </c>
    </row>
    <row r="73" spans="2:5" x14ac:dyDescent="0.35">
      <c r="B73">
        <v>780</v>
      </c>
      <c r="C73" t="s">
        <v>376</v>
      </c>
      <c r="D73">
        <v>47800</v>
      </c>
      <c r="E73">
        <v>703</v>
      </c>
    </row>
    <row r="74" spans="2:5" x14ac:dyDescent="0.35">
      <c r="B74">
        <v>788</v>
      </c>
      <c r="C74" t="s">
        <v>381</v>
      </c>
      <c r="D74">
        <v>36400</v>
      </c>
      <c r="E74">
        <v>698</v>
      </c>
    </row>
    <row r="75" spans="2:5" x14ac:dyDescent="0.35">
      <c r="B75">
        <v>884</v>
      </c>
      <c r="C75" t="s">
        <v>426</v>
      </c>
      <c r="D75">
        <v>110700</v>
      </c>
      <c r="E75">
        <v>768</v>
      </c>
    </row>
    <row r="76" spans="2:5" x14ac:dyDescent="0.35">
      <c r="B76">
        <v>1105</v>
      </c>
      <c r="C76" t="s">
        <v>546</v>
      </c>
      <c r="D76">
        <v>50700</v>
      </c>
      <c r="E76">
        <v>278</v>
      </c>
    </row>
    <row r="77" spans="2:5" x14ac:dyDescent="0.35">
      <c r="B77">
        <v>104</v>
      </c>
      <c r="C77" t="s">
        <v>65</v>
      </c>
      <c r="D77">
        <v>23400</v>
      </c>
      <c r="E77">
        <v>95</v>
      </c>
    </row>
    <row r="78" spans="2:5" x14ac:dyDescent="0.35">
      <c r="B78">
        <v>120</v>
      </c>
      <c r="C78" t="s">
        <v>73</v>
      </c>
      <c r="D78">
        <v>24100</v>
      </c>
      <c r="E78">
        <v>111</v>
      </c>
    </row>
    <row r="79" spans="2:5" x14ac:dyDescent="0.35">
      <c r="B79">
        <v>163</v>
      </c>
      <c r="C79" t="s">
        <v>97</v>
      </c>
      <c r="D79">
        <v>24200</v>
      </c>
      <c r="E79">
        <v>111</v>
      </c>
    </row>
    <row r="80" spans="2:5" x14ac:dyDescent="0.35">
      <c r="B80">
        <v>314</v>
      </c>
      <c r="C80" t="s">
        <v>171</v>
      </c>
      <c r="D80">
        <v>24400</v>
      </c>
      <c r="E80">
        <v>111</v>
      </c>
    </row>
    <row r="81" spans="2:5" x14ac:dyDescent="0.35">
      <c r="B81">
        <v>328</v>
      </c>
      <c r="C81" t="s">
        <v>178</v>
      </c>
      <c r="D81">
        <v>23600</v>
      </c>
      <c r="E81">
        <v>104</v>
      </c>
    </row>
    <row r="82" spans="2:5" x14ac:dyDescent="0.35">
      <c r="B82">
        <v>344</v>
      </c>
      <c r="C82" t="s">
        <v>185</v>
      </c>
      <c r="D82">
        <v>24300</v>
      </c>
      <c r="E82">
        <v>111</v>
      </c>
    </row>
    <row r="83" spans="2:5" x14ac:dyDescent="0.35">
      <c r="B83">
        <v>675</v>
      </c>
      <c r="C83" t="s">
        <v>332</v>
      </c>
      <c r="D83">
        <v>25000</v>
      </c>
      <c r="E83">
        <v>119</v>
      </c>
    </row>
    <row r="84" spans="2:5" x14ac:dyDescent="0.35">
      <c r="B84">
        <v>694</v>
      </c>
      <c r="C84" t="s">
        <v>342</v>
      </c>
      <c r="D84">
        <v>24800</v>
      </c>
      <c r="E84">
        <v>119</v>
      </c>
    </row>
    <row r="85" spans="2:5" x14ac:dyDescent="0.35">
      <c r="B85">
        <v>699</v>
      </c>
      <c r="C85" t="s">
        <v>948</v>
      </c>
      <c r="D85">
        <v>25100</v>
      </c>
      <c r="E85">
        <v>119</v>
      </c>
    </row>
    <row r="86" spans="2:5" x14ac:dyDescent="0.35">
      <c r="B86">
        <v>704</v>
      </c>
      <c r="C86" t="s">
        <v>348</v>
      </c>
      <c r="D86">
        <v>24700</v>
      </c>
      <c r="E86">
        <v>119</v>
      </c>
    </row>
    <row r="87" spans="2:5" x14ac:dyDescent="0.35">
      <c r="B87">
        <v>783</v>
      </c>
      <c r="C87" t="s">
        <v>378</v>
      </c>
      <c r="D87">
        <v>23800</v>
      </c>
      <c r="E87">
        <v>104</v>
      </c>
    </row>
    <row r="88" spans="2:5" x14ac:dyDescent="0.35">
      <c r="B88">
        <v>800</v>
      </c>
      <c r="C88" t="s">
        <v>387</v>
      </c>
      <c r="D88">
        <v>24900</v>
      </c>
      <c r="E88">
        <v>119</v>
      </c>
    </row>
    <row r="89" spans="2:5" x14ac:dyDescent="0.35">
      <c r="B89">
        <v>831</v>
      </c>
      <c r="C89" t="s">
        <v>400</v>
      </c>
      <c r="D89">
        <v>23900</v>
      </c>
      <c r="E89">
        <v>104</v>
      </c>
    </row>
    <row r="90" spans="2:5" x14ac:dyDescent="0.35">
      <c r="B90">
        <v>996</v>
      </c>
      <c r="C90" t="s">
        <v>490</v>
      </c>
      <c r="D90">
        <v>23500</v>
      </c>
      <c r="E90">
        <v>104</v>
      </c>
    </row>
    <row r="91" spans="2:5" x14ac:dyDescent="0.35">
      <c r="B91">
        <v>1101</v>
      </c>
      <c r="C91" t="s">
        <v>544</v>
      </c>
      <c r="D91">
        <v>23700</v>
      </c>
      <c r="E91">
        <v>104</v>
      </c>
    </row>
    <row r="92" spans="2:5" x14ac:dyDescent="0.35">
      <c r="B92">
        <v>656</v>
      </c>
      <c r="C92" t="s">
        <v>321</v>
      </c>
      <c r="D92">
        <v>2200</v>
      </c>
      <c r="E92">
        <v>993</v>
      </c>
    </row>
    <row r="93" spans="2:5" x14ac:dyDescent="0.35">
      <c r="B93">
        <v>767</v>
      </c>
      <c r="C93" t="s">
        <v>369</v>
      </c>
      <c r="D93">
        <v>2400</v>
      </c>
      <c r="E93">
        <v>993</v>
      </c>
    </row>
    <row r="94" spans="2:5" x14ac:dyDescent="0.35">
      <c r="B94">
        <v>962</v>
      </c>
      <c r="C94" t="s">
        <v>472</v>
      </c>
      <c r="D94">
        <v>2300</v>
      </c>
      <c r="E94">
        <v>993</v>
      </c>
    </row>
    <row r="95" spans="2:5" x14ac:dyDescent="0.35">
      <c r="B95">
        <v>1021</v>
      </c>
      <c r="C95" t="s">
        <v>503</v>
      </c>
      <c r="D95">
        <v>2500</v>
      </c>
      <c r="E95">
        <v>993</v>
      </c>
    </row>
    <row r="96" spans="2:5" x14ac:dyDescent="0.35">
      <c r="B96">
        <v>1085</v>
      </c>
      <c r="C96" t="s">
        <v>535</v>
      </c>
      <c r="D96">
        <v>2600</v>
      </c>
      <c r="E96">
        <v>993</v>
      </c>
    </row>
    <row r="97" spans="2:5" x14ac:dyDescent="0.35">
      <c r="B97">
        <v>211</v>
      </c>
      <c r="C97" t="s">
        <v>121</v>
      </c>
      <c r="D97">
        <v>19100</v>
      </c>
      <c r="E97">
        <v>39</v>
      </c>
    </row>
    <row r="98" spans="2:5" x14ac:dyDescent="0.35">
      <c r="B98">
        <v>296</v>
      </c>
      <c r="C98" t="s">
        <v>161</v>
      </c>
      <c r="D98">
        <v>19700</v>
      </c>
      <c r="E98">
        <v>48</v>
      </c>
    </row>
    <row r="99" spans="2:5" x14ac:dyDescent="0.35">
      <c r="B99">
        <v>588</v>
      </c>
      <c r="C99" t="s">
        <v>281</v>
      </c>
      <c r="D99">
        <v>19600</v>
      </c>
      <c r="E99">
        <v>48</v>
      </c>
    </row>
    <row r="100" spans="2:5" x14ac:dyDescent="0.35">
      <c r="B100">
        <v>772</v>
      </c>
      <c r="C100" t="s">
        <v>371</v>
      </c>
      <c r="D100">
        <v>19800</v>
      </c>
      <c r="E100">
        <v>48</v>
      </c>
    </row>
    <row r="101" spans="2:5" x14ac:dyDescent="0.35">
      <c r="B101">
        <v>810</v>
      </c>
      <c r="C101" t="s">
        <v>393</v>
      </c>
      <c r="D101">
        <v>19900</v>
      </c>
      <c r="E101">
        <v>48</v>
      </c>
    </row>
    <row r="102" spans="2:5" x14ac:dyDescent="0.35">
      <c r="B102">
        <v>819</v>
      </c>
      <c r="C102" t="s">
        <v>396</v>
      </c>
      <c r="D102">
        <v>20000</v>
      </c>
      <c r="E102">
        <v>48</v>
      </c>
    </row>
    <row r="103" spans="2:5" x14ac:dyDescent="0.35">
      <c r="B103">
        <v>919</v>
      </c>
      <c r="C103" t="s">
        <v>446</v>
      </c>
      <c r="D103">
        <v>19300</v>
      </c>
      <c r="E103">
        <v>39</v>
      </c>
    </row>
    <row r="104" spans="2:5" x14ac:dyDescent="0.35">
      <c r="B104">
        <v>927</v>
      </c>
      <c r="C104" t="s">
        <v>450</v>
      </c>
      <c r="D104">
        <v>19400</v>
      </c>
      <c r="E104">
        <v>39</v>
      </c>
    </row>
    <row r="105" spans="2:5" x14ac:dyDescent="0.35">
      <c r="B105">
        <v>935</v>
      </c>
      <c r="C105" t="s">
        <v>456</v>
      </c>
      <c r="D105">
        <v>19000</v>
      </c>
      <c r="E105">
        <v>39</v>
      </c>
    </row>
    <row r="106" spans="2:5" x14ac:dyDescent="0.35">
      <c r="B106">
        <v>1015</v>
      </c>
      <c r="C106" t="s">
        <v>499</v>
      </c>
      <c r="D106">
        <v>19200</v>
      </c>
      <c r="E106">
        <v>39</v>
      </c>
    </row>
    <row r="107" spans="2:5" x14ac:dyDescent="0.35">
      <c r="B107">
        <v>484</v>
      </c>
      <c r="C107" t="s">
        <v>243</v>
      </c>
      <c r="D107">
        <v>22100</v>
      </c>
      <c r="E107">
        <v>731</v>
      </c>
    </row>
    <row r="108" spans="2:5" x14ac:dyDescent="0.35">
      <c r="B108">
        <v>582</v>
      </c>
      <c r="C108" t="s">
        <v>278</v>
      </c>
      <c r="D108">
        <v>22300</v>
      </c>
      <c r="E108">
        <v>731</v>
      </c>
    </row>
    <row r="109" spans="2:5" x14ac:dyDescent="0.35">
      <c r="B109">
        <v>620</v>
      </c>
      <c r="C109" t="s">
        <v>301</v>
      </c>
      <c r="D109">
        <v>22400</v>
      </c>
      <c r="E109">
        <v>731</v>
      </c>
    </row>
    <row r="110" spans="2:5" x14ac:dyDescent="0.35">
      <c r="B110">
        <v>910</v>
      </c>
      <c r="C110" t="s">
        <v>441</v>
      </c>
      <c r="D110">
        <v>22500</v>
      </c>
      <c r="E110">
        <v>731</v>
      </c>
    </row>
    <row r="111" spans="2:5" x14ac:dyDescent="0.35">
      <c r="B111">
        <v>918</v>
      </c>
      <c r="C111" t="s">
        <v>445</v>
      </c>
      <c r="D111">
        <v>41350</v>
      </c>
      <c r="E111">
        <v>909</v>
      </c>
    </row>
    <row r="112" spans="2:5" x14ac:dyDescent="0.35">
      <c r="B112">
        <v>926</v>
      </c>
      <c r="C112" t="s">
        <v>449</v>
      </c>
      <c r="D112">
        <v>42700</v>
      </c>
      <c r="E112">
        <v>909</v>
      </c>
    </row>
    <row r="113" spans="2:5" x14ac:dyDescent="0.3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9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83C8-559A-44F1-850D-D22C60D0C1FD}">
  <dimension ref="A1:AB63"/>
  <sheetViews>
    <sheetView topLeftCell="A8" workbookViewId="0"/>
  </sheetViews>
  <sheetFormatPr defaultRowHeight="14.5" x14ac:dyDescent="0.35"/>
  <cols>
    <col min="3" max="3" width="37" bestFit="1" customWidth="1"/>
    <col min="15" max="15" width="10.54296875" bestFit="1" customWidth="1"/>
  </cols>
  <sheetData>
    <row r="1" spans="1:28" x14ac:dyDescent="0.3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3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35">
      <c r="A3" t="s">
        <v>569</v>
      </c>
      <c r="B3">
        <v>382</v>
      </c>
      <c r="C3" t="s">
        <v>202</v>
      </c>
      <c r="D3">
        <v>37700</v>
      </c>
      <c r="E3">
        <v>375</v>
      </c>
      <c r="F3">
        <f>SUMIFS('Total-corrected counts Z&lt;2'!E:E,'Total-corrected counts Z&lt;2'!$A:$A,'Activation map corrected Z&lt;2'!$B3)</f>
        <v>0</v>
      </c>
      <c r="G3">
        <f>SUMIFS('Total-corrected counts Z&lt;2'!F:F,'Total-corrected counts Z&lt;2'!$A:$A,'Activation map corrected Z&lt;2'!$B3)</f>
        <v>0</v>
      </c>
      <c r="H3">
        <f>SUMIFS('Total-corrected counts Z&lt;2'!G:G,'Total-corrected counts Z&lt;2'!$A:$A,'Activation map corrected Z&lt;2'!$B3)</f>
        <v>0</v>
      </c>
      <c r="I3">
        <f>SUMIFS('Total-corrected counts Z&lt;2'!H:H,'Total-corrected counts Z&lt;2'!$A:$A,'Activation map corrected Z&lt;2'!$B3)</f>
        <v>0</v>
      </c>
      <c r="J3">
        <f>SUMIFS('Total-corrected counts Z&lt;2'!I:I,'Total-corrected counts Z&lt;2'!$A:$A,'Activation map corrected Z&lt;2'!$B3)</f>
        <v>0</v>
      </c>
      <c r="K3">
        <f>SUMIFS('Total-corrected counts Z&lt;2'!J:J,'Total-corrected counts Z&lt;2'!$A:$A,'Activation map corrected Z&lt;2'!$B3)</f>
        <v>0</v>
      </c>
      <c r="L3">
        <f>SUMIFS('Total-corrected counts Z&lt;2'!K:K,'Total-corrected counts Z&lt;2'!$A:$A,'Activation map corrected Z&lt;2'!$B3)</f>
        <v>0</v>
      </c>
      <c r="M3">
        <f>SUMIFS('Total-corrected counts Z&lt;2'!L:L,'Total-corrected counts Z&lt;2'!$A:$A,'Activation map corrected Z&lt;2'!$B3)</f>
        <v>0</v>
      </c>
      <c r="N3">
        <f>SUMIFS('Total-corrected counts Z&lt;2'!M:M,'Total-corrected counts Z&lt;2'!$A:$A,'Activation map corrected Z&lt;2'!$B3)</f>
        <v>0</v>
      </c>
      <c r="O3">
        <f>SUMIFS('Total-corrected counts Z&lt;2'!N:N,'Total-corrected counts Z&lt;2'!$A:$A,'Activation map corrected Z&lt;2'!$B3)</f>
        <v>0</v>
      </c>
      <c r="P3">
        <f>SUMIFS('Total-corrected counts Z&lt;2'!O:O,'Total-corrected counts Z&lt;2'!$A:$A,'Activation map corrected Z&lt;2'!$B3)</f>
        <v>0</v>
      </c>
      <c r="Q3">
        <f>SUMIFS('Total-corrected counts Z&lt;2'!P:P,'Total-corrected counts Z&lt;2'!$A:$A,'Activation map corrected Z&lt;2'!$B3)</f>
        <v>0</v>
      </c>
      <c r="R3">
        <f>SUMIFS('Total-corrected counts Z&lt;2'!Q:Q,'Total-corrected counts Z&lt;2'!$A:$A,'Activation map corrected Z&lt;2'!$B3)</f>
        <v>0</v>
      </c>
      <c r="S3">
        <f>SUMIFS('Total-corrected counts Z&lt;2'!R:R,'Total-corrected counts Z&lt;2'!$A:$A,'Activation map corrected Z&lt;2'!$B3)</f>
        <v>0</v>
      </c>
      <c r="T3">
        <f>SUMIFS('Total-corrected counts Z&lt;2'!S:S,'Total-corrected counts Z&lt;2'!$A:$A,'Activation map corrected Z&lt;2'!$B3)</f>
        <v>0</v>
      </c>
      <c r="U3">
        <f>SUMIFS('Total-corrected counts Z&lt;2'!T:T,'Total-corrected counts Z&lt;2'!$A:$A,'Activation map corrected Z&lt;2'!$B3)</f>
        <v>0</v>
      </c>
      <c r="V3">
        <f>SUMIFS('Total-corrected counts Z&lt;2'!U:U,'Total-corrected counts Z&lt;2'!$A:$A,'Activation map corrected Z&lt;2'!$B3)</f>
        <v>0</v>
      </c>
      <c r="X3" t="e">
        <f t="shared" ref="X3:X16" si="0">_xlfn.T.TEST(F3:N3,O3:V3,2,2)</f>
        <v>#DIV/0!</v>
      </c>
      <c r="Y3">
        <f>AVERAGE(F3:N3)</f>
        <v>0</v>
      </c>
      <c r="Z3">
        <f>AVERAGE(O3:V3)</f>
        <v>0</v>
      </c>
      <c r="AA3">
        <f>STDEV(F3:N3)/SQRT(COUNT(F3:N3))</f>
        <v>0</v>
      </c>
      <c r="AB3">
        <f>STDEV(O3:V3)/SQRT(COUNT(O3:V3))</f>
        <v>0</v>
      </c>
    </row>
    <row r="4" spans="1:28" x14ac:dyDescent="0.35">
      <c r="A4" t="s">
        <v>570</v>
      </c>
      <c r="B4">
        <v>463</v>
      </c>
      <c r="C4" t="s">
        <v>234</v>
      </c>
      <c r="D4">
        <v>38700</v>
      </c>
      <c r="E4">
        <v>375</v>
      </c>
      <c r="F4">
        <f>SUMIFS('Total-corrected counts Z&lt;2'!E:E,'Total-corrected counts Z&lt;2'!$A:$A,'Activation map corrected Z&lt;2'!$B4)</f>
        <v>0</v>
      </c>
      <c r="G4">
        <f>SUMIFS('Total-corrected counts Z&lt;2'!F:F,'Total-corrected counts Z&lt;2'!$A:$A,'Activation map corrected Z&lt;2'!$B4)</f>
        <v>0</v>
      </c>
      <c r="H4">
        <f>SUMIFS('Total-corrected counts Z&lt;2'!G:G,'Total-corrected counts Z&lt;2'!$A:$A,'Activation map corrected Z&lt;2'!$B4)</f>
        <v>0</v>
      </c>
      <c r="I4">
        <f>SUMIFS('Total-corrected counts Z&lt;2'!H:H,'Total-corrected counts Z&lt;2'!$A:$A,'Activation map corrected Z&lt;2'!$B4)</f>
        <v>0</v>
      </c>
      <c r="J4">
        <f>SUMIFS('Total-corrected counts Z&lt;2'!I:I,'Total-corrected counts Z&lt;2'!$A:$A,'Activation map corrected Z&lt;2'!$B4)</f>
        <v>0</v>
      </c>
      <c r="K4">
        <f>SUMIFS('Total-corrected counts Z&lt;2'!J:J,'Total-corrected counts Z&lt;2'!$A:$A,'Activation map corrected Z&lt;2'!$B4)</f>
        <v>0</v>
      </c>
      <c r="L4">
        <f>SUMIFS('Total-corrected counts Z&lt;2'!K:K,'Total-corrected counts Z&lt;2'!$A:$A,'Activation map corrected Z&lt;2'!$B4)</f>
        <v>0</v>
      </c>
      <c r="M4">
        <f>SUMIFS('Total-corrected counts Z&lt;2'!L:L,'Total-corrected counts Z&lt;2'!$A:$A,'Activation map corrected Z&lt;2'!$B4)</f>
        <v>0</v>
      </c>
      <c r="N4">
        <f>SUMIFS('Total-corrected counts Z&lt;2'!M:M,'Total-corrected counts Z&lt;2'!$A:$A,'Activation map corrected Z&lt;2'!$B4)</f>
        <v>0</v>
      </c>
      <c r="O4">
        <f>SUMIFS('Total-corrected counts Z&lt;2'!N:N,'Total-corrected counts Z&lt;2'!$A:$A,'Activation map corrected Z&lt;2'!$B4)</f>
        <v>0</v>
      </c>
      <c r="P4">
        <f>SUMIFS('Total-corrected counts Z&lt;2'!O:O,'Total-corrected counts Z&lt;2'!$A:$A,'Activation map corrected Z&lt;2'!$B4)</f>
        <v>0</v>
      </c>
      <c r="Q4">
        <f>SUMIFS('Total-corrected counts Z&lt;2'!P:P,'Total-corrected counts Z&lt;2'!$A:$A,'Activation map corrected Z&lt;2'!$B4)</f>
        <v>0</v>
      </c>
      <c r="R4">
        <f>SUMIFS('Total-corrected counts Z&lt;2'!Q:Q,'Total-corrected counts Z&lt;2'!$A:$A,'Activation map corrected Z&lt;2'!$B4)</f>
        <v>0</v>
      </c>
      <c r="S4">
        <f>SUMIFS('Total-corrected counts Z&lt;2'!R:R,'Total-corrected counts Z&lt;2'!$A:$A,'Activation map corrected Z&lt;2'!$B4)</f>
        <v>0</v>
      </c>
      <c r="T4">
        <f>SUMIFS('Total-corrected counts Z&lt;2'!S:S,'Total-corrected counts Z&lt;2'!$A:$A,'Activation map corrected Z&lt;2'!$B4)</f>
        <v>0</v>
      </c>
      <c r="U4">
        <f>SUMIFS('Total-corrected counts Z&lt;2'!T:T,'Total-corrected counts Z&lt;2'!$A:$A,'Activation map corrected Z&lt;2'!$B4)</f>
        <v>0</v>
      </c>
      <c r="V4">
        <f>SUMIFS('Total-corrected counts Z&lt;2'!U:U,'Total-corrected counts Z&lt;2'!$A:$A,'Activation map corrected Z&lt;2'!$B4)</f>
        <v>0</v>
      </c>
      <c r="X4" t="e">
        <f t="shared" si="0"/>
        <v>#DIV/0!</v>
      </c>
      <c r="Y4">
        <f t="shared" ref="Y4:Y16" si="1">AVERAGE(F4:N4)</f>
        <v>0</v>
      </c>
      <c r="Z4">
        <f t="shared" ref="Z4:Z16" si="2">AVERAGE(O4:V4)</f>
        <v>0</v>
      </c>
      <c r="AA4">
        <f t="shared" ref="AA4:AA16" si="3">STDEV(F4:N4)/SQRT(COUNT(F4:N4))</f>
        <v>0</v>
      </c>
      <c r="AB4">
        <f t="shared" ref="AB4:AB16" si="4">STDEV(O4:V4)/SQRT(COUNT(O4:V4))</f>
        <v>0</v>
      </c>
    </row>
    <row r="5" spans="1:28" x14ac:dyDescent="0.35">
      <c r="A5" t="s">
        <v>571</v>
      </c>
      <c r="C5" t="s">
        <v>356</v>
      </c>
      <c r="E5">
        <v>726</v>
      </c>
      <c r="F5">
        <f>SUMPRODUCT(SUMIFS('Total-corrected counts Z&lt;2'!E:E,'Total-corrected counts Z&lt;2'!$A:$A,$B18:$B20))</f>
        <v>0</v>
      </c>
      <c r="G5">
        <f>SUMPRODUCT(SUMIFS('Total-corrected counts Z&lt;2'!F:F,'Total-corrected counts Z&lt;2'!$A:$A,$B18:$B20))</f>
        <v>0</v>
      </c>
      <c r="H5">
        <f>SUMPRODUCT(SUMIFS('Total-corrected counts Z&lt;2'!G:G,'Total-corrected counts Z&lt;2'!$A:$A,$B18:$B20))</f>
        <v>0</v>
      </c>
      <c r="I5">
        <f>SUMPRODUCT(SUMIFS('Total-corrected counts Z&lt;2'!H:H,'Total-corrected counts Z&lt;2'!$A:$A,$B18:$B20))</f>
        <v>0</v>
      </c>
      <c r="J5">
        <f>SUMPRODUCT(SUMIFS('Total-corrected counts Z&lt;2'!I:I,'Total-corrected counts Z&lt;2'!$A:$A,$B18:$B20))</f>
        <v>0</v>
      </c>
      <c r="K5">
        <f>SUMPRODUCT(SUMIFS('Total-corrected counts Z&lt;2'!J:J,'Total-corrected counts Z&lt;2'!$A:$A,$B18:$B20))</f>
        <v>0</v>
      </c>
      <c r="L5">
        <f>SUMPRODUCT(SUMIFS('Total-corrected counts Z&lt;2'!K:K,'Total-corrected counts Z&lt;2'!$A:$A,$B18:$B20))</f>
        <v>0</v>
      </c>
      <c r="M5">
        <f>SUMPRODUCT(SUMIFS('Total-corrected counts Z&lt;2'!L:L,'Total-corrected counts Z&lt;2'!$A:$A,$B18:$B20))</f>
        <v>0</v>
      </c>
      <c r="N5">
        <f>SUMPRODUCT(SUMIFS('Total-corrected counts Z&lt;2'!M:M,'Total-corrected counts Z&lt;2'!$A:$A,$B18:$B20))</f>
        <v>0</v>
      </c>
      <c r="O5">
        <f>SUMPRODUCT(SUMIFS('Total-corrected counts Z&lt;2'!N:N,'Total-corrected counts Z&lt;2'!$A:$A,$B18:$B20))</f>
        <v>0</v>
      </c>
      <c r="P5">
        <f>SUMPRODUCT(SUMIFS('Total-corrected counts Z&lt;2'!O:O,'Total-corrected counts Z&lt;2'!$A:$A,$B18:$B20))</f>
        <v>0</v>
      </c>
      <c r="Q5">
        <f>SUMPRODUCT(SUMIFS('Total-corrected counts Z&lt;2'!P:P,'Total-corrected counts Z&lt;2'!$A:$A,$B18:$B20))</f>
        <v>0</v>
      </c>
      <c r="R5">
        <f>SUMPRODUCT(SUMIFS('Total-corrected counts Z&lt;2'!Q:Q,'Total-corrected counts Z&lt;2'!$A:$A,$B18:$B20))</f>
        <v>0</v>
      </c>
      <c r="S5">
        <f>SUMPRODUCT(SUMIFS('Total-corrected counts Z&lt;2'!R:R,'Total-corrected counts Z&lt;2'!$A:$A,$B18:$B20))</f>
        <v>0</v>
      </c>
      <c r="T5">
        <f>SUMPRODUCT(SUMIFS('Total-corrected counts Z&lt;2'!S:S,'Total-corrected counts Z&lt;2'!$A:$A,$B18:$B20))</f>
        <v>0</v>
      </c>
      <c r="U5">
        <f>SUMPRODUCT(SUMIFS('Total-corrected counts Z&lt;2'!T:T,'Total-corrected counts Z&lt;2'!$A:$A,$B18:$B20))</f>
        <v>0</v>
      </c>
      <c r="V5">
        <f>SUMPRODUCT(SUMIFS('Total-corrected counts Z&lt;2'!U:U,'Total-corrected counts Z&lt;2'!$A:$A,$B18:$B20))</f>
        <v>0</v>
      </c>
      <c r="X5" t="e">
        <f t="shared" si="0"/>
        <v>#DIV/0!</v>
      </c>
      <c r="Y5">
        <f t="shared" si="1"/>
        <v>0</v>
      </c>
      <c r="Z5">
        <f t="shared" si="2"/>
        <v>0</v>
      </c>
      <c r="AA5">
        <f t="shared" si="3"/>
        <v>0</v>
      </c>
      <c r="AB5">
        <f t="shared" si="4"/>
        <v>0</v>
      </c>
    </row>
    <row r="6" spans="1:28" x14ac:dyDescent="0.35">
      <c r="A6" t="s">
        <v>572</v>
      </c>
      <c r="B6">
        <v>2382</v>
      </c>
      <c r="C6" t="s">
        <v>563</v>
      </c>
      <c r="D6">
        <v>37700</v>
      </c>
      <c r="E6">
        <v>2375</v>
      </c>
      <c r="F6">
        <f>SUMIFS('Total-corrected counts Z&lt;2'!E:E,'Total-corrected counts Z&lt;2'!$A:$A,'Activation map corrected Z&lt;2'!$B6)</f>
        <v>0</v>
      </c>
      <c r="G6">
        <f>SUMIFS('Total-corrected counts Z&lt;2'!F:F,'Total-corrected counts Z&lt;2'!$A:$A,'Activation map corrected Z&lt;2'!$B6)</f>
        <v>0</v>
      </c>
      <c r="H6">
        <f>SUMIFS('Total-corrected counts Z&lt;2'!G:G,'Total-corrected counts Z&lt;2'!$A:$A,'Activation map corrected Z&lt;2'!$B6)</f>
        <v>0</v>
      </c>
      <c r="I6">
        <f>SUMIFS('Total-corrected counts Z&lt;2'!H:H,'Total-corrected counts Z&lt;2'!$A:$A,'Activation map corrected Z&lt;2'!$B6)</f>
        <v>0</v>
      </c>
      <c r="J6">
        <f>SUMIFS('Total-corrected counts Z&lt;2'!I:I,'Total-corrected counts Z&lt;2'!$A:$A,'Activation map corrected Z&lt;2'!$B6)</f>
        <v>0</v>
      </c>
      <c r="K6">
        <f>SUMIFS('Total-corrected counts Z&lt;2'!J:J,'Total-corrected counts Z&lt;2'!$A:$A,'Activation map corrected Z&lt;2'!$B6)</f>
        <v>0</v>
      </c>
      <c r="L6">
        <f>SUMIFS('Total-corrected counts Z&lt;2'!K:K,'Total-corrected counts Z&lt;2'!$A:$A,'Activation map corrected Z&lt;2'!$B6)</f>
        <v>0</v>
      </c>
      <c r="M6">
        <f>SUMIFS('Total-corrected counts Z&lt;2'!L:L,'Total-corrected counts Z&lt;2'!$A:$A,'Activation map corrected Z&lt;2'!$B6)</f>
        <v>0</v>
      </c>
      <c r="N6">
        <f>SUMIFS('Total-corrected counts Z&lt;2'!M:M,'Total-corrected counts Z&lt;2'!$A:$A,'Activation map corrected Z&lt;2'!$B6)</f>
        <v>0</v>
      </c>
      <c r="O6">
        <f>SUMIFS('Total-corrected counts Z&lt;2'!N:N,'Total-corrected counts Z&lt;2'!$A:$A,'Activation map corrected Z&lt;2'!$B6)</f>
        <v>0</v>
      </c>
      <c r="P6">
        <f>SUMIFS('Total-corrected counts Z&lt;2'!O:O,'Total-corrected counts Z&lt;2'!$A:$A,'Activation map corrected Z&lt;2'!$B6)</f>
        <v>0</v>
      </c>
      <c r="Q6">
        <f>SUMIFS('Total-corrected counts Z&lt;2'!P:P,'Total-corrected counts Z&lt;2'!$A:$A,'Activation map corrected Z&lt;2'!$B6)</f>
        <v>0</v>
      </c>
      <c r="R6">
        <f>SUMIFS('Total-corrected counts Z&lt;2'!Q:Q,'Total-corrected counts Z&lt;2'!$A:$A,'Activation map corrected Z&lt;2'!$B6)</f>
        <v>0</v>
      </c>
      <c r="S6">
        <f>SUMIFS('Total-corrected counts Z&lt;2'!R:R,'Total-corrected counts Z&lt;2'!$A:$A,'Activation map corrected Z&lt;2'!$B6)</f>
        <v>0</v>
      </c>
      <c r="T6">
        <f>SUMIFS('Total-corrected counts Z&lt;2'!S:S,'Total-corrected counts Z&lt;2'!$A:$A,'Activation map corrected Z&lt;2'!$B6)</f>
        <v>0</v>
      </c>
      <c r="U6">
        <f>SUMIFS('Total-corrected counts Z&lt;2'!T:T,'Total-corrected counts Z&lt;2'!$A:$A,'Activation map corrected Z&lt;2'!$B6)</f>
        <v>0</v>
      </c>
      <c r="V6">
        <f>SUMIFS('Total-corrected counts Z&lt;2'!U:U,'Total-corrected counts Z&lt;2'!$A:$A,'Activation map corrected Z&lt;2'!$B6)</f>
        <v>0</v>
      </c>
      <c r="X6" t="e">
        <f t="shared" si="0"/>
        <v>#DIV/0!</v>
      </c>
      <c r="Y6">
        <f t="shared" si="1"/>
        <v>0</v>
      </c>
      <c r="Z6">
        <f t="shared" si="2"/>
        <v>0</v>
      </c>
      <c r="AA6">
        <f t="shared" si="3"/>
        <v>0</v>
      </c>
      <c r="AB6">
        <f t="shared" si="4"/>
        <v>0</v>
      </c>
    </row>
    <row r="7" spans="1:28" x14ac:dyDescent="0.35">
      <c r="A7" t="s">
        <v>573</v>
      </c>
      <c r="B7">
        <v>2463</v>
      </c>
      <c r="C7" t="s">
        <v>565</v>
      </c>
      <c r="D7">
        <v>38700</v>
      </c>
      <c r="E7">
        <v>2375</v>
      </c>
      <c r="F7">
        <f>SUMIFS('Total-corrected counts Z&lt;2'!E:E,'Total-corrected counts Z&lt;2'!$A:$A,'Activation map corrected Z&lt;2'!$B7)</f>
        <v>0</v>
      </c>
      <c r="G7">
        <f>SUMIFS('Total-corrected counts Z&lt;2'!F:F,'Total-corrected counts Z&lt;2'!$A:$A,'Activation map corrected Z&lt;2'!$B7)</f>
        <v>0</v>
      </c>
      <c r="H7">
        <f>SUMIFS('Total-corrected counts Z&lt;2'!G:G,'Total-corrected counts Z&lt;2'!$A:$A,'Activation map corrected Z&lt;2'!$B7)</f>
        <v>0</v>
      </c>
      <c r="I7">
        <f>SUMIFS('Total-corrected counts Z&lt;2'!H:H,'Total-corrected counts Z&lt;2'!$A:$A,'Activation map corrected Z&lt;2'!$B7)</f>
        <v>0</v>
      </c>
      <c r="J7">
        <f>SUMIFS('Total-corrected counts Z&lt;2'!I:I,'Total-corrected counts Z&lt;2'!$A:$A,'Activation map corrected Z&lt;2'!$B7)</f>
        <v>0</v>
      </c>
      <c r="K7">
        <f>SUMIFS('Total-corrected counts Z&lt;2'!J:J,'Total-corrected counts Z&lt;2'!$A:$A,'Activation map corrected Z&lt;2'!$B7)</f>
        <v>0</v>
      </c>
      <c r="L7">
        <f>SUMIFS('Total-corrected counts Z&lt;2'!K:K,'Total-corrected counts Z&lt;2'!$A:$A,'Activation map corrected Z&lt;2'!$B7)</f>
        <v>0</v>
      </c>
      <c r="M7">
        <f>SUMIFS('Total-corrected counts Z&lt;2'!L:L,'Total-corrected counts Z&lt;2'!$A:$A,'Activation map corrected Z&lt;2'!$B7)</f>
        <v>0</v>
      </c>
      <c r="N7">
        <f>SUMIFS('Total-corrected counts Z&lt;2'!M:M,'Total-corrected counts Z&lt;2'!$A:$A,'Activation map corrected Z&lt;2'!$B7)</f>
        <v>0</v>
      </c>
      <c r="O7">
        <f>SUMIFS('Total-corrected counts Z&lt;2'!N:N,'Total-corrected counts Z&lt;2'!$A:$A,'Activation map corrected Z&lt;2'!$B7)</f>
        <v>0</v>
      </c>
      <c r="P7">
        <f>SUMIFS('Total-corrected counts Z&lt;2'!O:O,'Total-corrected counts Z&lt;2'!$A:$A,'Activation map corrected Z&lt;2'!$B7)</f>
        <v>0</v>
      </c>
      <c r="Q7">
        <f>SUMIFS('Total-corrected counts Z&lt;2'!P:P,'Total-corrected counts Z&lt;2'!$A:$A,'Activation map corrected Z&lt;2'!$B7)</f>
        <v>0</v>
      </c>
      <c r="R7">
        <f>SUMIFS('Total-corrected counts Z&lt;2'!Q:Q,'Total-corrected counts Z&lt;2'!$A:$A,'Activation map corrected Z&lt;2'!$B7)</f>
        <v>0</v>
      </c>
      <c r="S7">
        <f>SUMIFS('Total-corrected counts Z&lt;2'!R:R,'Total-corrected counts Z&lt;2'!$A:$A,'Activation map corrected Z&lt;2'!$B7)</f>
        <v>0</v>
      </c>
      <c r="T7">
        <f>SUMIFS('Total-corrected counts Z&lt;2'!S:S,'Total-corrected counts Z&lt;2'!$A:$A,'Activation map corrected Z&lt;2'!$B7)</f>
        <v>0</v>
      </c>
      <c r="U7">
        <f>SUMIFS('Total-corrected counts Z&lt;2'!T:T,'Total-corrected counts Z&lt;2'!$A:$A,'Activation map corrected Z&lt;2'!$B7)</f>
        <v>0</v>
      </c>
      <c r="V7">
        <f>SUMIFS('Total-corrected counts Z&lt;2'!U:U,'Total-corrected counts Z&lt;2'!$A:$A,'Activation map corrected Z&lt;2'!$B7)</f>
        <v>0</v>
      </c>
      <c r="X7" t="e">
        <f t="shared" si="0"/>
        <v>#DIV/0!</v>
      </c>
      <c r="Y7">
        <f t="shared" si="1"/>
        <v>0</v>
      </c>
      <c r="Z7">
        <f t="shared" si="2"/>
        <v>0</v>
      </c>
      <c r="AA7">
        <f t="shared" si="3"/>
        <v>0</v>
      </c>
      <c r="AB7">
        <f t="shared" si="4"/>
        <v>0</v>
      </c>
    </row>
    <row r="8" spans="1:28" x14ac:dyDescent="0.35">
      <c r="A8" t="s">
        <v>574</v>
      </c>
      <c r="C8" t="s">
        <v>567</v>
      </c>
      <c r="E8">
        <v>2726</v>
      </c>
      <c r="F8">
        <f>SUMPRODUCT(SUMIFS('Total-corrected counts Z&lt;2'!E:E,'Total-corrected counts Z&lt;2'!$A:$A,$B21:$B23))</f>
        <v>0</v>
      </c>
      <c r="G8">
        <f>SUMPRODUCT(SUMIFS('Total-corrected counts Z&lt;2'!F:F,'Total-corrected counts Z&lt;2'!$A:$A,$B21:$B23))</f>
        <v>0</v>
      </c>
      <c r="H8">
        <f>SUMPRODUCT(SUMIFS('Total-corrected counts Z&lt;2'!G:G,'Total-corrected counts Z&lt;2'!$A:$A,$B21:$B23))</f>
        <v>0</v>
      </c>
      <c r="I8">
        <f>SUMPRODUCT(SUMIFS('Total-corrected counts Z&lt;2'!H:H,'Total-corrected counts Z&lt;2'!$A:$A,$B21:$B23))</f>
        <v>0</v>
      </c>
      <c r="J8">
        <f>SUMPRODUCT(SUMIFS('Total-corrected counts Z&lt;2'!I:I,'Total-corrected counts Z&lt;2'!$A:$A,$B21:$B23))</f>
        <v>0</v>
      </c>
      <c r="K8">
        <f>SUMPRODUCT(SUMIFS('Total-corrected counts Z&lt;2'!J:J,'Total-corrected counts Z&lt;2'!$A:$A,$B21:$B23))</f>
        <v>0</v>
      </c>
      <c r="L8">
        <f>SUMPRODUCT(SUMIFS('Total-corrected counts Z&lt;2'!K:K,'Total-corrected counts Z&lt;2'!$A:$A,$B21:$B23))</f>
        <v>0</v>
      </c>
      <c r="M8">
        <f>SUMPRODUCT(SUMIFS('Total-corrected counts Z&lt;2'!L:L,'Total-corrected counts Z&lt;2'!$A:$A,$B21:$B23))</f>
        <v>0</v>
      </c>
      <c r="N8">
        <f>SUMPRODUCT(SUMIFS('Total-corrected counts Z&lt;2'!M:M,'Total-corrected counts Z&lt;2'!$A:$A,$B21:$B23))</f>
        <v>0</v>
      </c>
      <c r="O8">
        <f>SUMPRODUCT(SUMIFS('Total-corrected counts Z&lt;2'!N:N,'Total-corrected counts Z&lt;2'!$A:$A,$B21:$B23))</f>
        <v>0</v>
      </c>
      <c r="P8">
        <f>SUMPRODUCT(SUMIFS('Total-corrected counts Z&lt;2'!O:O,'Total-corrected counts Z&lt;2'!$A:$A,$B21:$B23))</f>
        <v>0</v>
      </c>
      <c r="Q8">
        <f>SUMPRODUCT(SUMIFS('Total-corrected counts Z&lt;2'!P:P,'Total-corrected counts Z&lt;2'!$A:$A,$B21:$B23))</f>
        <v>0</v>
      </c>
      <c r="R8">
        <f>SUMPRODUCT(SUMIFS('Total-corrected counts Z&lt;2'!Q:Q,'Total-corrected counts Z&lt;2'!$A:$A,$B21:$B23))</f>
        <v>0</v>
      </c>
      <c r="S8">
        <f>SUMPRODUCT(SUMIFS('Total-corrected counts Z&lt;2'!R:R,'Total-corrected counts Z&lt;2'!$A:$A,$B21:$B23))</f>
        <v>0</v>
      </c>
      <c r="T8">
        <f>SUMPRODUCT(SUMIFS('Total-corrected counts Z&lt;2'!S:S,'Total-corrected counts Z&lt;2'!$A:$A,$B21:$B23))</f>
        <v>0</v>
      </c>
      <c r="U8">
        <f>SUMPRODUCT(SUMIFS('Total-corrected counts Z&lt;2'!T:T,'Total-corrected counts Z&lt;2'!$A:$A,$B21:$B23))</f>
        <v>0</v>
      </c>
      <c r="V8">
        <f>SUMPRODUCT(SUMIFS('Total-corrected counts Z&lt;2'!U:U,'Total-corrected counts Z&lt;2'!$A:$A,$B21:$B23))</f>
        <v>0</v>
      </c>
      <c r="X8" t="e">
        <f t="shared" si="0"/>
        <v>#DIV/0!</v>
      </c>
      <c r="Y8">
        <f t="shared" si="1"/>
        <v>0</v>
      </c>
      <c r="Z8">
        <f t="shared" si="2"/>
        <v>0</v>
      </c>
      <c r="AA8">
        <f t="shared" si="3"/>
        <v>0</v>
      </c>
      <c r="AB8">
        <f t="shared" si="4"/>
        <v>0</v>
      </c>
    </row>
    <row r="9" spans="1:28" x14ac:dyDescent="0.35">
      <c r="A9" t="s">
        <v>575</v>
      </c>
      <c r="C9" t="s">
        <v>140</v>
      </c>
      <c r="F9">
        <f>SUMPRODUCT(SUMIFS('Total-corrected counts Z&lt;2'!E:E,'Total-corrected counts Z&lt;2'!$A:$A,$B24:$B40))</f>
        <v>0</v>
      </c>
      <c r="G9">
        <f>SUMPRODUCT(SUMIFS('Total-corrected counts Z&lt;2'!F:F,'Total-corrected counts Z&lt;2'!$A:$A,$B24:$B40))</f>
        <v>0</v>
      </c>
      <c r="H9">
        <f>SUMPRODUCT(SUMIFS('Total-corrected counts Z&lt;2'!G:G,'Total-corrected counts Z&lt;2'!$A:$A,$B24:$B40))</f>
        <v>0</v>
      </c>
      <c r="I9">
        <f>SUMPRODUCT(SUMIFS('Total-corrected counts Z&lt;2'!H:H,'Total-corrected counts Z&lt;2'!$A:$A,$B24:$B40))</f>
        <v>0</v>
      </c>
      <c r="J9">
        <f>SUMPRODUCT(SUMIFS('Total-corrected counts Z&lt;2'!I:I,'Total-corrected counts Z&lt;2'!$A:$A,$B24:$B40))</f>
        <v>0</v>
      </c>
      <c r="K9">
        <f>SUMPRODUCT(SUMIFS('Total-corrected counts Z&lt;2'!J:J,'Total-corrected counts Z&lt;2'!$A:$A,$B24:$B40))</f>
        <v>0</v>
      </c>
      <c r="L9">
        <f>SUMPRODUCT(SUMIFS('Total-corrected counts Z&lt;2'!K:K,'Total-corrected counts Z&lt;2'!$A:$A,$B24:$B40))</f>
        <v>0</v>
      </c>
      <c r="M9">
        <f>SUMPRODUCT(SUMIFS('Total-corrected counts Z&lt;2'!L:L,'Total-corrected counts Z&lt;2'!$A:$A,$B24:$B40))</f>
        <v>0</v>
      </c>
      <c r="N9">
        <f>SUMPRODUCT(SUMIFS('Total-corrected counts Z&lt;2'!M:M,'Total-corrected counts Z&lt;2'!$A:$A,$B24:$B40))</f>
        <v>0</v>
      </c>
      <c r="O9">
        <f>SUMPRODUCT(SUMIFS('Total-corrected counts Z&lt;2'!N:N,'Total-corrected counts Z&lt;2'!$A:$A,$B24:$B40))</f>
        <v>0</v>
      </c>
      <c r="P9">
        <f>SUMPRODUCT(SUMIFS('Total-corrected counts Z&lt;2'!O:O,'Total-corrected counts Z&lt;2'!$A:$A,$B24:$B40))</f>
        <v>0</v>
      </c>
      <c r="Q9">
        <f>SUMPRODUCT(SUMIFS('Total-corrected counts Z&lt;2'!P:P,'Total-corrected counts Z&lt;2'!$A:$A,$B24:$B40))</f>
        <v>0</v>
      </c>
      <c r="R9">
        <f>SUMPRODUCT(SUMIFS('Total-corrected counts Z&lt;2'!Q:Q,'Total-corrected counts Z&lt;2'!$A:$A,$B24:$B40))</f>
        <v>0</v>
      </c>
      <c r="S9">
        <f>SUMPRODUCT(SUMIFS('Total-corrected counts Z&lt;2'!R:R,'Total-corrected counts Z&lt;2'!$A:$A,$B24:$B40))</f>
        <v>0</v>
      </c>
      <c r="T9">
        <f>SUMPRODUCT(SUMIFS('Total-corrected counts Z&lt;2'!S:S,'Total-corrected counts Z&lt;2'!$A:$A,$B24:$B40))</f>
        <v>0</v>
      </c>
      <c r="U9">
        <f>SUMPRODUCT(SUMIFS('Total-corrected counts Z&lt;2'!T:T,'Total-corrected counts Z&lt;2'!$A:$A,$B24:$B40))</f>
        <v>0</v>
      </c>
      <c r="V9">
        <f>SUMPRODUCT(SUMIFS('Total-corrected counts Z&lt;2'!U:U,'Total-corrected counts Z&lt;2'!$A:$A,$B24:$B40))</f>
        <v>0</v>
      </c>
      <c r="X9" t="e">
        <f t="shared" si="0"/>
        <v>#DIV/0!</v>
      </c>
      <c r="Y9">
        <f t="shared" si="1"/>
        <v>0</v>
      </c>
      <c r="Z9">
        <f t="shared" si="2"/>
        <v>0</v>
      </c>
      <c r="AA9">
        <f t="shared" si="3"/>
        <v>0</v>
      </c>
      <c r="AB9">
        <f t="shared" si="4"/>
        <v>0</v>
      </c>
    </row>
    <row r="10" spans="1:28" x14ac:dyDescent="0.35">
      <c r="A10" t="s">
        <v>576</v>
      </c>
      <c r="C10" t="s">
        <v>35</v>
      </c>
      <c r="F10">
        <f>SUMPRODUCT(SUMIFS('Total-corrected counts Z&lt;2'!E:E,'Total-corrected counts Z&lt;2'!$A:$A,$B41:$B50))</f>
        <v>0</v>
      </c>
      <c r="G10">
        <f>SUMPRODUCT(SUMIFS('Total-corrected counts Z&lt;2'!F:F,'Total-corrected counts Z&lt;2'!$A:$A,$B41:$B50))</f>
        <v>0</v>
      </c>
      <c r="H10">
        <f>SUMPRODUCT(SUMIFS('Total-corrected counts Z&lt;2'!G:G,'Total-corrected counts Z&lt;2'!$A:$A,$B41:$B50))</f>
        <v>0</v>
      </c>
      <c r="I10">
        <f>SUMPRODUCT(SUMIFS('Total-corrected counts Z&lt;2'!H:H,'Total-corrected counts Z&lt;2'!$A:$A,$B41:$B50))</f>
        <v>0</v>
      </c>
      <c r="J10">
        <f>SUMPRODUCT(SUMIFS('Total-corrected counts Z&lt;2'!I:I,'Total-corrected counts Z&lt;2'!$A:$A,$B41:$B50))</f>
        <v>0</v>
      </c>
      <c r="K10">
        <f>SUMPRODUCT(SUMIFS('Total-corrected counts Z&lt;2'!J:J,'Total-corrected counts Z&lt;2'!$A:$A,$B41:$B50))</f>
        <v>0</v>
      </c>
      <c r="L10">
        <f>SUMPRODUCT(SUMIFS('Total-corrected counts Z&lt;2'!K:K,'Total-corrected counts Z&lt;2'!$A:$A,$B41:$B50))</f>
        <v>0</v>
      </c>
      <c r="M10">
        <f>SUMPRODUCT(SUMIFS('Total-corrected counts Z&lt;2'!L:L,'Total-corrected counts Z&lt;2'!$A:$A,$B41:$B50))</f>
        <v>0</v>
      </c>
      <c r="N10">
        <f>SUMPRODUCT(SUMIFS('Total-corrected counts Z&lt;2'!M:M,'Total-corrected counts Z&lt;2'!$A:$A,$B41:$B50))</f>
        <v>0</v>
      </c>
      <c r="O10">
        <f>SUMPRODUCT(SUMIFS('Total-corrected counts Z&lt;2'!N:N,'Total-corrected counts Z&lt;2'!$A:$A,$B41:$B50))</f>
        <v>0</v>
      </c>
      <c r="P10">
        <f>SUMPRODUCT(SUMIFS('Total-corrected counts Z&lt;2'!O:O,'Total-corrected counts Z&lt;2'!$A:$A,$B41:$B50))</f>
        <v>0</v>
      </c>
      <c r="Q10">
        <f>SUMPRODUCT(SUMIFS('Total-corrected counts Z&lt;2'!P:P,'Total-corrected counts Z&lt;2'!$A:$A,$B41:$B50))</f>
        <v>0</v>
      </c>
      <c r="R10">
        <f>SUMPRODUCT(SUMIFS('Total-corrected counts Z&lt;2'!Q:Q,'Total-corrected counts Z&lt;2'!$A:$A,$B41:$B50))</f>
        <v>0</v>
      </c>
      <c r="S10">
        <f>SUMPRODUCT(SUMIFS('Total-corrected counts Z&lt;2'!R:R,'Total-corrected counts Z&lt;2'!$A:$A,$B41:$B50))</f>
        <v>0</v>
      </c>
      <c r="T10">
        <f>SUMPRODUCT(SUMIFS('Total-corrected counts Z&lt;2'!S:S,'Total-corrected counts Z&lt;2'!$A:$A,$B41:$B50))</f>
        <v>0</v>
      </c>
      <c r="U10">
        <f>SUMPRODUCT(SUMIFS('Total-corrected counts Z&lt;2'!T:T,'Total-corrected counts Z&lt;2'!$A:$A,$B41:$B50))</f>
        <v>0</v>
      </c>
      <c r="V10">
        <f>SUMPRODUCT(SUMIFS('Total-corrected counts Z&lt;2'!U:U,'Total-corrected counts Z&lt;2'!$A:$A,$B41:$B50))</f>
        <v>0</v>
      </c>
      <c r="X10" t="e">
        <f t="shared" si="0"/>
        <v>#DIV/0!</v>
      </c>
      <c r="Y10">
        <f t="shared" si="1"/>
        <v>0</v>
      </c>
      <c r="Z10">
        <f t="shared" si="2"/>
        <v>0</v>
      </c>
      <c r="AA10">
        <f t="shared" si="3"/>
        <v>0</v>
      </c>
      <c r="AB10">
        <f t="shared" si="4"/>
        <v>0</v>
      </c>
    </row>
    <row r="11" spans="1:28" x14ac:dyDescent="0.35">
      <c r="A11" t="s">
        <v>577</v>
      </c>
      <c r="C11" t="s">
        <v>478</v>
      </c>
      <c r="E11">
        <v>972</v>
      </c>
      <c r="F11">
        <f>SUMPRODUCT(SUMIFS('Total-corrected counts Z&lt;2'!E:E,'Total-corrected counts Z&lt;2'!$A:$A,$B51:$B55))</f>
        <v>0</v>
      </c>
      <c r="G11">
        <f>SUMPRODUCT(SUMIFS('Total-corrected counts Z&lt;2'!F:F,'Total-corrected counts Z&lt;2'!$A:$A,$B51:$B55))</f>
        <v>0</v>
      </c>
      <c r="H11">
        <f>SUMPRODUCT(SUMIFS('Total-corrected counts Z&lt;2'!G:G,'Total-corrected counts Z&lt;2'!$A:$A,$B51:$B55))</f>
        <v>0</v>
      </c>
      <c r="I11">
        <f>SUMPRODUCT(SUMIFS('Total-corrected counts Z&lt;2'!H:H,'Total-corrected counts Z&lt;2'!$A:$A,$B51:$B55))</f>
        <v>0</v>
      </c>
      <c r="J11">
        <f>SUMPRODUCT(SUMIFS('Total-corrected counts Z&lt;2'!I:I,'Total-corrected counts Z&lt;2'!$A:$A,$B51:$B55))</f>
        <v>0</v>
      </c>
      <c r="K11">
        <f>SUMPRODUCT(SUMIFS('Total-corrected counts Z&lt;2'!J:J,'Total-corrected counts Z&lt;2'!$A:$A,$B51:$B55))</f>
        <v>0</v>
      </c>
      <c r="L11">
        <f>SUMPRODUCT(SUMIFS('Total-corrected counts Z&lt;2'!K:K,'Total-corrected counts Z&lt;2'!$A:$A,$B51:$B55))</f>
        <v>0</v>
      </c>
      <c r="M11">
        <f>SUMPRODUCT(SUMIFS('Total-corrected counts Z&lt;2'!L:L,'Total-corrected counts Z&lt;2'!$A:$A,$B51:$B55))</f>
        <v>0</v>
      </c>
      <c r="N11">
        <f>SUMPRODUCT(SUMIFS('Total-corrected counts Z&lt;2'!M:M,'Total-corrected counts Z&lt;2'!$A:$A,$B51:$B55))</f>
        <v>0</v>
      </c>
      <c r="O11">
        <f>SUMPRODUCT(SUMIFS('Total-corrected counts Z&lt;2'!N:N,'Total-corrected counts Z&lt;2'!$A:$A,$B51:$B55))</f>
        <v>0</v>
      </c>
      <c r="P11">
        <f>SUMPRODUCT(SUMIFS('Total-corrected counts Z&lt;2'!O:O,'Total-corrected counts Z&lt;2'!$A:$A,$B51:$B55))</f>
        <v>0</v>
      </c>
      <c r="Q11">
        <f>SUMPRODUCT(SUMIFS('Total-corrected counts Z&lt;2'!P:P,'Total-corrected counts Z&lt;2'!$A:$A,$B51:$B55))</f>
        <v>0</v>
      </c>
      <c r="R11">
        <f>SUMPRODUCT(SUMIFS('Total-corrected counts Z&lt;2'!Q:Q,'Total-corrected counts Z&lt;2'!$A:$A,$B51:$B55))</f>
        <v>0</v>
      </c>
      <c r="S11">
        <f>SUMPRODUCT(SUMIFS('Total-corrected counts Z&lt;2'!R:R,'Total-corrected counts Z&lt;2'!$A:$A,$B51:$B55))</f>
        <v>0</v>
      </c>
      <c r="T11">
        <f>SUMPRODUCT(SUMIFS('Total-corrected counts Z&lt;2'!S:S,'Total-corrected counts Z&lt;2'!$A:$A,$B51:$B55))</f>
        <v>0</v>
      </c>
      <c r="U11">
        <f>SUMPRODUCT(SUMIFS('Total-corrected counts Z&lt;2'!T:T,'Total-corrected counts Z&lt;2'!$A:$A,$B51:$B55))</f>
        <v>0</v>
      </c>
      <c r="V11">
        <f>SUMPRODUCT(SUMIFS('Total-corrected counts Z&lt;2'!U:U,'Total-corrected counts Z&lt;2'!$A:$A,$B51:$B55))</f>
        <v>0</v>
      </c>
      <c r="X11" t="e">
        <f t="shared" si="0"/>
        <v>#DIV/0!</v>
      </c>
      <c r="Y11">
        <f t="shared" si="1"/>
        <v>0</v>
      </c>
      <c r="Z11">
        <f t="shared" si="2"/>
        <v>0</v>
      </c>
      <c r="AA11">
        <f t="shared" si="3"/>
        <v>0</v>
      </c>
      <c r="AB11">
        <f t="shared" si="4"/>
        <v>0</v>
      </c>
    </row>
    <row r="12" spans="1:28" x14ac:dyDescent="0.35">
      <c r="A12" t="s">
        <v>578</v>
      </c>
      <c r="C12" t="s">
        <v>42</v>
      </c>
      <c r="E12">
        <v>44</v>
      </c>
      <c r="F12">
        <f>SUMPRODUCT(SUMIFS('Total-corrected counts Z&lt;2'!E:E,'Total-corrected counts Z&lt;2'!$A:$A,$B56:$B60))</f>
        <v>0</v>
      </c>
      <c r="G12">
        <f>SUMPRODUCT(SUMIFS('Total-corrected counts Z&lt;2'!F:F,'Total-corrected counts Z&lt;2'!$A:$A,$B56:$B60))</f>
        <v>0</v>
      </c>
      <c r="H12">
        <f>SUMPRODUCT(SUMIFS('Total-corrected counts Z&lt;2'!G:G,'Total-corrected counts Z&lt;2'!$A:$A,$B56:$B60))</f>
        <v>0</v>
      </c>
      <c r="I12">
        <f>SUMPRODUCT(SUMIFS('Total-corrected counts Z&lt;2'!H:H,'Total-corrected counts Z&lt;2'!$A:$A,$B56:$B60))</f>
        <v>0</v>
      </c>
      <c r="J12">
        <f>SUMPRODUCT(SUMIFS('Total-corrected counts Z&lt;2'!I:I,'Total-corrected counts Z&lt;2'!$A:$A,$B56:$B60))</f>
        <v>0</v>
      </c>
      <c r="K12">
        <f>SUMPRODUCT(SUMIFS('Total-corrected counts Z&lt;2'!J:J,'Total-corrected counts Z&lt;2'!$A:$A,$B56:$B60))</f>
        <v>0</v>
      </c>
      <c r="L12">
        <f>SUMPRODUCT(SUMIFS('Total-corrected counts Z&lt;2'!K:K,'Total-corrected counts Z&lt;2'!$A:$A,$B56:$B60))</f>
        <v>0</v>
      </c>
      <c r="M12">
        <f>SUMPRODUCT(SUMIFS('Total-corrected counts Z&lt;2'!L:L,'Total-corrected counts Z&lt;2'!$A:$A,$B56:$B60))</f>
        <v>0</v>
      </c>
      <c r="N12">
        <f>SUMPRODUCT(SUMIFS('Total-corrected counts Z&lt;2'!M:M,'Total-corrected counts Z&lt;2'!$A:$A,$B56:$B60))</f>
        <v>0</v>
      </c>
      <c r="O12">
        <f>SUMPRODUCT(SUMIFS('Total-corrected counts Z&lt;2'!N:N,'Total-corrected counts Z&lt;2'!$A:$A,$B56:$B60))</f>
        <v>0</v>
      </c>
      <c r="P12">
        <f>SUMPRODUCT(SUMIFS('Total-corrected counts Z&lt;2'!O:O,'Total-corrected counts Z&lt;2'!$A:$A,$B56:$B60))</f>
        <v>0</v>
      </c>
      <c r="Q12">
        <f>SUMPRODUCT(SUMIFS('Total-corrected counts Z&lt;2'!P:P,'Total-corrected counts Z&lt;2'!$A:$A,$B56:$B60))</f>
        <v>0</v>
      </c>
      <c r="R12">
        <f>SUMPRODUCT(SUMIFS('Total-corrected counts Z&lt;2'!Q:Q,'Total-corrected counts Z&lt;2'!$A:$A,$B56:$B60))</f>
        <v>0</v>
      </c>
      <c r="S12">
        <f>SUMPRODUCT(SUMIFS('Total-corrected counts Z&lt;2'!R:R,'Total-corrected counts Z&lt;2'!$A:$A,$B56:$B60))</f>
        <v>0</v>
      </c>
      <c r="T12">
        <f>SUMPRODUCT(SUMIFS('Total-corrected counts Z&lt;2'!S:S,'Total-corrected counts Z&lt;2'!$A:$A,$B56:$B60))</f>
        <v>0</v>
      </c>
      <c r="U12">
        <f>SUMPRODUCT(SUMIFS('Total-corrected counts Z&lt;2'!T:T,'Total-corrected counts Z&lt;2'!$A:$A,$B56:$B60))</f>
        <v>0</v>
      </c>
      <c r="V12">
        <f>SUMPRODUCT(SUMIFS('Total-corrected counts Z&lt;2'!U:U,'Total-corrected counts Z&lt;2'!$A:$A,$B56:$B60))</f>
        <v>0</v>
      </c>
      <c r="X12" t="e">
        <f t="shared" si="0"/>
        <v>#DIV/0!</v>
      </c>
      <c r="Y12">
        <f t="shared" si="1"/>
        <v>0</v>
      </c>
      <c r="Z12">
        <f t="shared" si="2"/>
        <v>0</v>
      </c>
      <c r="AA12">
        <f t="shared" si="3"/>
        <v>0</v>
      </c>
      <c r="AB12">
        <f t="shared" si="4"/>
        <v>0</v>
      </c>
    </row>
    <row r="13" spans="1:28" x14ac:dyDescent="0.35">
      <c r="A13" t="s">
        <v>579</v>
      </c>
      <c r="B13">
        <v>536</v>
      </c>
      <c r="C13" t="s">
        <v>261</v>
      </c>
      <c r="D13">
        <v>50300</v>
      </c>
      <c r="E13">
        <v>278</v>
      </c>
      <c r="F13">
        <f>SUMIFS('Total-corrected counts Z&lt;2'!E:E,'Total-corrected counts Z&lt;2'!$A:$A,'Activation map corrected Z&lt;2'!$B13)</f>
        <v>0</v>
      </c>
      <c r="G13">
        <f>SUMIFS('Total-corrected counts Z&lt;2'!F:F,'Total-corrected counts Z&lt;2'!$A:$A,'Activation map corrected Z&lt;2'!$B13)</f>
        <v>0</v>
      </c>
      <c r="H13">
        <f>SUMIFS('Total-corrected counts Z&lt;2'!G:G,'Total-corrected counts Z&lt;2'!$A:$A,'Activation map corrected Z&lt;2'!$B13)</f>
        <v>0</v>
      </c>
      <c r="I13">
        <f>SUMIFS('Total-corrected counts Z&lt;2'!H:H,'Total-corrected counts Z&lt;2'!$A:$A,'Activation map corrected Z&lt;2'!$B13)</f>
        <v>0</v>
      </c>
      <c r="J13">
        <f>SUMIFS('Total-corrected counts Z&lt;2'!I:I,'Total-corrected counts Z&lt;2'!$A:$A,'Activation map corrected Z&lt;2'!$B13)</f>
        <v>0</v>
      </c>
      <c r="K13">
        <f>SUMIFS('Total-corrected counts Z&lt;2'!J:J,'Total-corrected counts Z&lt;2'!$A:$A,'Activation map corrected Z&lt;2'!$B13)</f>
        <v>0</v>
      </c>
      <c r="L13">
        <f>SUMIFS('Total-corrected counts Z&lt;2'!K:K,'Total-corrected counts Z&lt;2'!$A:$A,'Activation map corrected Z&lt;2'!$B13)</f>
        <v>0</v>
      </c>
      <c r="M13">
        <f>SUMIFS('Total-corrected counts Z&lt;2'!L:L,'Total-corrected counts Z&lt;2'!$A:$A,'Activation map corrected Z&lt;2'!$B13)</f>
        <v>0</v>
      </c>
      <c r="N13">
        <f>SUMIFS('Total-corrected counts Z&lt;2'!M:M,'Total-corrected counts Z&lt;2'!$A:$A,'Activation map corrected Z&lt;2'!$B13)</f>
        <v>0</v>
      </c>
      <c r="O13">
        <f>SUMIFS('Total-corrected counts Z&lt;2'!N:N,'Total-corrected counts Z&lt;2'!$A:$A,'Activation map corrected Z&lt;2'!$B13)</f>
        <v>0</v>
      </c>
      <c r="P13">
        <f>SUMIFS('Total-corrected counts Z&lt;2'!O:O,'Total-corrected counts Z&lt;2'!$A:$A,'Activation map corrected Z&lt;2'!$B13)</f>
        <v>0</v>
      </c>
      <c r="Q13">
        <f>SUMIFS('Total-corrected counts Z&lt;2'!P:P,'Total-corrected counts Z&lt;2'!$A:$A,'Activation map corrected Z&lt;2'!$B13)</f>
        <v>0</v>
      </c>
      <c r="R13">
        <f>SUMIFS('Total-corrected counts Z&lt;2'!Q:Q,'Total-corrected counts Z&lt;2'!$A:$A,'Activation map corrected Z&lt;2'!$B13)</f>
        <v>0</v>
      </c>
      <c r="S13">
        <f>SUMIFS('Total-corrected counts Z&lt;2'!R:R,'Total-corrected counts Z&lt;2'!$A:$A,'Activation map corrected Z&lt;2'!$B13)</f>
        <v>0</v>
      </c>
      <c r="T13">
        <f>SUMIFS('Total-corrected counts Z&lt;2'!S:S,'Total-corrected counts Z&lt;2'!$A:$A,'Activation map corrected Z&lt;2'!$B13)</f>
        <v>0</v>
      </c>
      <c r="U13">
        <f>SUMIFS('Total-corrected counts Z&lt;2'!T:T,'Total-corrected counts Z&lt;2'!$A:$A,'Activation map corrected Z&lt;2'!$B13)</f>
        <v>0</v>
      </c>
      <c r="V13">
        <f>SUMIFS('Total-corrected counts Z&lt;2'!U:U,'Total-corrected counts Z&lt;2'!$A:$A,'Activation map corrected Z&lt;2'!$B13)</f>
        <v>0</v>
      </c>
      <c r="X13" t="e">
        <f t="shared" si="0"/>
        <v>#DIV/0!</v>
      </c>
      <c r="Y13">
        <f t="shared" si="1"/>
        <v>0</v>
      </c>
      <c r="Z13">
        <f t="shared" si="2"/>
        <v>0</v>
      </c>
      <c r="AA13">
        <f t="shared" si="3"/>
        <v>0</v>
      </c>
      <c r="AB13">
        <f t="shared" si="4"/>
        <v>0</v>
      </c>
    </row>
    <row r="14" spans="1:28" x14ac:dyDescent="0.35">
      <c r="A14" t="s">
        <v>580</v>
      </c>
      <c r="C14" t="s">
        <v>160</v>
      </c>
      <c r="E14">
        <v>295</v>
      </c>
      <c r="F14">
        <f>SUMPRODUCT(SUMIFS('Total-corrected counts Z&lt;2'!E:E,'Total-corrected counts Z&lt;2'!$A:$A,$B61:$B63))</f>
        <v>0</v>
      </c>
      <c r="G14">
        <f>SUMPRODUCT(SUMIFS('Total-corrected counts Z&lt;2'!F:F,'Total-corrected counts Z&lt;2'!$A:$A,$B61:$B63))</f>
        <v>0</v>
      </c>
      <c r="H14">
        <f>SUMPRODUCT(SUMIFS('Total-corrected counts Z&lt;2'!G:G,'Total-corrected counts Z&lt;2'!$A:$A,$B61:$B63))</f>
        <v>0</v>
      </c>
      <c r="I14">
        <f>SUMPRODUCT(SUMIFS('Total-corrected counts Z&lt;2'!H:H,'Total-corrected counts Z&lt;2'!$A:$A,$B61:$B63))</f>
        <v>0</v>
      </c>
      <c r="J14">
        <f>SUMPRODUCT(SUMIFS('Total-corrected counts Z&lt;2'!I:I,'Total-corrected counts Z&lt;2'!$A:$A,$B61:$B63))</f>
        <v>0</v>
      </c>
      <c r="K14">
        <f>SUMPRODUCT(SUMIFS('Total-corrected counts Z&lt;2'!J:J,'Total-corrected counts Z&lt;2'!$A:$A,$B61:$B63))</f>
        <v>0</v>
      </c>
      <c r="L14">
        <f>SUMPRODUCT(SUMIFS('Total-corrected counts Z&lt;2'!K:K,'Total-corrected counts Z&lt;2'!$A:$A,$B61:$B63))</f>
        <v>0</v>
      </c>
      <c r="M14">
        <f>SUMPRODUCT(SUMIFS('Total-corrected counts Z&lt;2'!L:L,'Total-corrected counts Z&lt;2'!$A:$A,$B61:$B63))</f>
        <v>0</v>
      </c>
      <c r="N14">
        <f>SUMPRODUCT(SUMIFS('Total-corrected counts Z&lt;2'!M:M,'Total-corrected counts Z&lt;2'!$A:$A,$B61:$B63))</f>
        <v>0</v>
      </c>
      <c r="O14">
        <f>SUMPRODUCT(SUMIFS('Total-corrected counts Z&lt;2'!N:N,'Total-corrected counts Z&lt;2'!$A:$A,$B61:$B63))</f>
        <v>0</v>
      </c>
      <c r="P14">
        <f>SUMPRODUCT(SUMIFS('Total-corrected counts Z&lt;2'!O:O,'Total-corrected counts Z&lt;2'!$A:$A,$B61:$B63))</f>
        <v>0</v>
      </c>
      <c r="Q14">
        <f>SUMPRODUCT(SUMIFS('Total-corrected counts Z&lt;2'!P:P,'Total-corrected counts Z&lt;2'!$A:$A,$B61:$B63))</f>
        <v>0</v>
      </c>
      <c r="R14">
        <f>SUMPRODUCT(SUMIFS('Total-corrected counts Z&lt;2'!Q:Q,'Total-corrected counts Z&lt;2'!$A:$A,$B61:$B63))</f>
        <v>0</v>
      </c>
      <c r="S14">
        <f>SUMPRODUCT(SUMIFS('Total-corrected counts Z&lt;2'!R:R,'Total-corrected counts Z&lt;2'!$A:$A,$B61:$B63))</f>
        <v>0</v>
      </c>
      <c r="T14">
        <f>SUMPRODUCT(SUMIFS('Total-corrected counts Z&lt;2'!S:S,'Total-corrected counts Z&lt;2'!$A:$A,$B61:$B63))</f>
        <v>0</v>
      </c>
      <c r="U14">
        <f>SUMPRODUCT(SUMIFS('Total-corrected counts Z&lt;2'!T:T,'Total-corrected counts Z&lt;2'!$A:$A,$B61:$B63))</f>
        <v>0</v>
      </c>
      <c r="V14">
        <f>SUMPRODUCT(SUMIFS('Total-corrected counts Z&lt;2'!U:U,'Total-corrected counts Z&lt;2'!$A:$A,$B61:$B63))</f>
        <v>0</v>
      </c>
      <c r="X14" t="e">
        <f t="shared" si="0"/>
        <v>#DIV/0!</v>
      </c>
      <c r="Y14">
        <f t="shared" si="1"/>
        <v>0</v>
      </c>
      <c r="Z14">
        <f t="shared" si="2"/>
        <v>0</v>
      </c>
      <c r="AA14">
        <f t="shared" si="3"/>
        <v>0</v>
      </c>
      <c r="AB14">
        <f t="shared" si="4"/>
        <v>0</v>
      </c>
    </row>
    <row r="15" spans="1:28" x14ac:dyDescent="0.35">
      <c r="A15" t="s">
        <v>1416</v>
      </c>
      <c r="B15">
        <v>571</v>
      </c>
      <c r="C15" t="s">
        <v>1417</v>
      </c>
      <c r="D15">
        <v>67900</v>
      </c>
      <c r="E15">
        <v>856</v>
      </c>
      <c r="F15">
        <f>SUMIFS('Total-corrected counts Z&lt;2'!E:E,'Total-corrected counts Z&lt;2'!$A:$A,'Activation map corrected Z&lt;2'!$B15)</f>
        <v>0</v>
      </c>
      <c r="G15">
        <f>SUMIFS('Total-corrected counts Z&lt;2'!F:F,'Total-corrected counts Z&lt;2'!$A:$A,'Activation map corrected Z&lt;2'!$B15)</f>
        <v>0</v>
      </c>
      <c r="H15">
        <f>SUMIFS('Total-corrected counts Z&lt;2'!G:G,'Total-corrected counts Z&lt;2'!$A:$A,'Activation map corrected Z&lt;2'!$B15)</f>
        <v>0</v>
      </c>
      <c r="I15">
        <f>SUMIFS('Total-corrected counts Z&lt;2'!H:H,'Total-corrected counts Z&lt;2'!$A:$A,'Activation map corrected Z&lt;2'!$B15)</f>
        <v>0</v>
      </c>
      <c r="J15">
        <f>SUMIFS('Total-corrected counts Z&lt;2'!I:I,'Total-corrected counts Z&lt;2'!$A:$A,'Activation map corrected Z&lt;2'!$B15)</f>
        <v>0</v>
      </c>
      <c r="K15">
        <f>SUMIFS('Total-corrected counts Z&lt;2'!J:J,'Total-corrected counts Z&lt;2'!$A:$A,'Activation map corrected Z&lt;2'!$B15)</f>
        <v>0</v>
      </c>
      <c r="L15">
        <f>SUMIFS('Total-corrected counts Z&lt;2'!K:K,'Total-corrected counts Z&lt;2'!$A:$A,'Activation map corrected Z&lt;2'!$B15)</f>
        <v>0</v>
      </c>
      <c r="M15">
        <f>SUMIFS('Total-corrected counts Z&lt;2'!L:L,'Total-corrected counts Z&lt;2'!$A:$A,'Activation map corrected Z&lt;2'!$B15)</f>
        <v>0</v>
      </c>
      <c r="N15">
        <f>SUMIFS('Total-corrected counts Z&lt;2'!M:M,'Total-corrected counts Z&lt;2'!$A:$A,'Activation map corrected Z&lt;2'!$B15)</f>
        <v>0</v>
      </c>
      <c r="O15">
        <f>SUMIFS('Total-corrected counts Z&lt;2'!N:N,'Total-corrected counts Z&lt;2'!$A:$A,'Activation map corrected Z&lt;2'!$B15)</f>
        <v>0</v>
      </c>
      <c r="P15">
        <f>SUMIFS('Total-corrected counts Z&lt;2'!O:O,'Total-corrected counts Z&lt;2'!$A:$A,'Activation map corrected Z&lt;2'!$B15)</f>
        <v>0</v>
      </c>
      <c r="Q15">
        <f>SUMIFS('Total-corrected counts Z&lt;2'!P:P,'Total-corrected counts Z&lt;2'!$A:$A,'Activation map corrected Z&lt;2'!$B15)</f>
        <v>0</v>
      </c>
      <c r="R15">
        <f>SUMIFS('Total-corrected counts Z&lt;2'!Q:Q,'Total-corrected counts Z&lt;2'!$A:$A,'Activation map corrected Z&lt;2'!$B15)</f>
        <v>0</v>
      </c>
      <c r="S15">
        <f>SUMIFS('Total-corrected counts Z&lt;2'!R:R,'Total-corrected counts Z&lt;2'!$A:$A,'Activation map corrected Z&lt;2'!$B15)</f>
        <v>0</v>
      </c>
      <c r="T15">
        <f>SUMIFS('Total-corrected counts Z&lt;2'!S:S,'Total-corrected counts Z&lt;2'!$A:$A,'Activation map corrected Z&lt;2'!$B15)</f>
        <v>0</v>
      </c>
      <c r="U15">
        <f>SUMIFS('Total-corrected counts Z&lt;2'!T:T,'Total-corrected counts Z&lt;2'!$A:$A,'Activation map corrected Z&lt;2'!$B15)</f>
        <v>0</v>
      </c>
      <c r="V15">
        <f>SUMIFS('Total-corrected counts Z&lt;2'!U:U,'Total-corrected counts Z&lt;2'!$A:$A,'Activation map corrected Z&lt;2'!$B15)</f>
        <v>0</v>
      </c>
      <c r="X15" t="e">
        <f t="shared" si="0"/>
        <v>#DIV/0!</v>
      </c>
      <c r="Y15">
        <f t="shared" si="1"/>
        <v>0</v>
      </c>
      <c r="Z15">
        <f t="shared" si="2"/>
        <v>0</v>
      </c>
      <c r="AA15">
        <f t="shared" si="3"/>
        <v>0</v>
      </c>
      <c r="AB15">
        <f t="shared" si="4"/>
        <v>0</v>
      </c>
    </row>
    <row r="16" spans="1:28" x14ac:dyDescent="0.35">
      <c r="A16" t="s">
        <v>1418</v>
      </c>
      <c r="B16">
        <v>181</v>
      </c>
      <c r="C16" t="s">
        <v>106</v>
      </c>
      <c r="D16">
        <v>174</v>
      </c>
      <c r="E16">
        <v>181</v>
      </c>
      <c r="F16">
        <f>SUMIFS('Total-corrected counts Z&lt;2'!E:E,'Total-corrected counts Z&lt;2'!$A:$A,'Activation map corrected Z&lt;2'!$B16)</f>
        <v>0</v>
      </c>
      <c r="G16">
        <f>SUMIFS('Total-corrected counts Z&lt;2'!F:F,'Total-corrected counts Z&lt;2'!$A:$A,'Activation map corrected Z&lt;2'!$B16)</f>
        <v>0</v>
      </c>
      <c r="H16">
        <f>SUMIFS('Total-corrected counts Z&lt;2'!G:G,'Total-corrected counts Z&lt;2'!$A:$A,'Activation map corrected Z&lt;2'!$B16)</f>
        <v>0</v>
      </c>
      <c r="I16">
        <f>SUMIFS('Total-corrected counts Z&lt;2'!H:H,'Total-corrected counts Z&lt;2'!$A:$A,'Activation map corrected Z&lt;2'!$B16)</f>
        <v>0</v>
      </c>
      <c r="J16">
        <f>SUMIFS('Total-corrected counts Z&lt;2'!I:I,'Total-corrected counts Z&lt;2'!$A:$A,'Activation map corrected Z&lt;2'!$B16)</f>
        <v>0</v>
      </c>
      <c r="K16">
        <f>SUMIFS('Total-corrected counts Z&lt;2'!J:J,'Total-corrected counts Z&lt;2'!$A:$A,'Activation map corrected Z&lt;2'!$B16)</f>
        <v>0</v>
      </c>
      <c r="L16">
        <f>SUMIFS('Total-corrected counts Z&lt;2'!K:K,'Total-corrected counts Z&lt;2'!$A:$A,'Activation map corrected Z&lt;2'!$B16)</f>
        <v>0</v>
      </c>
      <c r="M16">
        <f>SUMIFS('Total-corrected counts Z&lt;2'!L:L,'Total-corrected counts Z&lt;2'!$A:$A,'Activation map corrected Z&lt;2'!$B16)</f>
        <v>0</v>
      </c>
      <c r="N16">
        <f>SUMIFS('Total-corrected counts Z&lt;2'!M:M,'Total-corrected counts Z&lt;2'!$A:$A,'Activation map corrected Z&lt;2'!$B16)</f>
        <v>0</v>
      </c>
      <c r="O16">
        <f>SUMIFS('Total-corrected counts Z&lt;2'!N:N,'Total-corrected counts Z&lt;2'!$A:$A,'Activation map corrected Z&lt;2'!$B16)</f>
        <v>0</v>
      </c>
      <c r="P16">
        <f>SUMIFS('Total-corrected counts Z&lt;2'!O:O,'Total-corrected counts Z&lt;2'!$A:$A,'Activation map corrected Z&lt;2'!$B16)</f>
        <v>0</v>
      </c>
      <c r="Q16">
        <f>SUMIFS('Total-corrected counts Z&lt;2'!P:P,'Total-corrected counts Z&lt;2'!$A:$A,'Activation map corrected Z&lt;2'!$B16)</f>
        <v>0</v>
      </c>
      <c r="R16">
        <f>SUMIFS('Total-corrected counts Z&lt;2'!Q:Q,'Total-corrected counts Z&lt;2'!$A:$A,'Activation map corrected Z&lt;2'!$B16)</f>
        <v>0</v>
      </c>
      <c r="S16">
        <f>SUMIFS('Total-corrected counts Z&lt;2'!R:R,'Total-corrected counts Z&lt;2'!$A:$A,'Activation map corrected Z&lt;2'!$B16)</f>
        <v>0</v>
      </c>
      <c r="T16">
        <f>SUMIFS('Total-corrected counts Z&lt;2'!S:S,'Total-corrected counts Z&lt;2'!$A:$A,'Activation map corrected Z&lt;2'!$B16)</f>
        <v>0</v>
      </c>
      <c r="U16">
        <f>SUMIFS('Total-corrected counts Z&lt;2'!T:T,'Total-corrected counts Z&lt;2'!$A:$A,'Activation map corrected Z&lt;2'!$B16)</f>
        <v>0</v>
      </c>
      <c r="V16">
        <f>SUMIFS('Total-corrected counts Z&lt;2'!U:U,'Total-corrected counts Z&lt;2'!$A:$A,'Activation map corrected Z&lt;2'!$B16)</f>
        <v>0</v>
      </c>
      <c r="X16" t="e">
        <f t="shared" si="0"/>
        <v>#DIV/0!</v>
      </c>
      <c r="Y16">
        <f t="shared" si="1"/>
        <v>0</v>
      </c>
      <c r="Z16">
        <f t="shared" si="2"/>
        <v>0</v>
      </c>
      <c r="AA16">
        <f t="shared" si="3"/>
        <v>0</v>
      </c>
      <c r="AB16">
        <f t="shared" si="4"/>
        <v>0</v>
      </c>
    </row>
    <row r="18" spans="2:5" x14ac:dyDescent="0.35">
      <c r="B18">
        <v>632</v>
      </c>
      <c r="C18" t="s">
        <v>308</v>
      </c>
      <c r="D18">
        <v>39600</v>
      </c>
      <c r="E18">
        <v>726</v>
      </c>
    </row>
    <row r="19" spans="2:5" x14ac:dyDescent="0.35">
      <c r="B19">
        <v>10703</v>
      </c>
      <c r="C19" t="s">
        <v>560</v>
      </c>
      <c r="D19">
        <v>39400</v>
      </c>
      <c r="E19">
        <v>726</v>
      </c>
    </row>
    <row r="20" spans="2:5" x14ac:dyDescent="0.35">
      <c r="B20">
        <v>10704</v>
      </c>
      <c r="C20" t="s">
        <v>561</v>
      </c>
      <c r="D20">
        <v>39500</v>
      </c>
      <c r="E20">
        <v>726</v>
      </c>
    </row>
    <row r="21" spans="2:5" x14ac:dyDescent="0.35">
      <c r="B21">
        <v>2632</v>
      </c>
      <c r="C21" t="s">
        <v>566</v>
      </c>
      <c r="D21">
        <v>39600</v>
      </c>
      <c r="E21">
        <v>2726</v>
      </c>
    </row>
    <row r="22" spans="2:5" x14ac:dyDescent="0.35">
      <c r="B22">
        <v>12703</v>
      </c>
      <c r="C22" t="s">
        <v>560</v>
      </c>
      <c r="D22">
        <v>39400</v>
      </c>
      <c r="E22">
        <v>2726</v>
      </c>
    </row>
    <row r="23" spans="2:5" x14ac:dyDescent="0.35">
      <c r="B23">
        <v>12704</v>
      </c>
      <c r="C23" t="s">
        <v>568</v>
      </c>
      <c r="D23">
        <v>39700</v>
      </c>
      <c r="E23">
        <v>2726</v>
      </c>
    </row>
    <row r="24" spans="2:5" x14ac:dyDescent="0.35">
      <c r="B24">
        <v>894</v>
      </c>
      <c r="C24" t="s">
        <v>430</v>
      </c>
      <c r="D24">
        <v>25300</v>
      </c>
      <c r="E24">
        <v>254</v>
      </c>
    </row>
    <row r="25" spans="2:5" x14ac:dyDescent="0.35">
      <c r="B25">
        <v>274</v>
      </c>
      <c r="C25" t="s">
        <v>151</v>
      </c>
      <c r="D25">
        <v>26400</v>
      </c>
      <c r="E25">
        <v>879</v>
      </c>
    </row>
    <row r="26" spans="2:5" x14ac:dyDescent="0.35">
      <c r="B26">
        <v>330</v>
      </c>
      <c r="C26" t="s">
        <v>179</v>
      </c>
      <c r="D26">
        <v>26500</v>
      </c>
      <c r="E26">
        <v>879</v>
      </c>
    </row>
    <row r="27" spans="2:5" x14ac:dyDescent="0.35">
      <c r="B27">
        <v>434</v>
      </c>
      <c r="C27" t="s">
        <v>218</v>
      </c>
      <c r="D27">
        <v>26100</v>
      </c>
      <c r="E27">
        <v>879</v>
      </c>
    </row>
    <row r="28" spans="2:5" x14ac:dyDescent="0.35">
      <c r="B28">
        <v>442</v>
      </c>
      <c r="C28" t="s">
        <v>223</v>
      </c>
      <c r="D28">
        <v>26000</v>
      </c>
      <c r="E28">
        <v>879</v>
      </c>
    </row>
    <row r="29" spans="2:5" x14ac:dyDescent="0.35">
      <c r="B29">
        <v>545</v>
      </c>
      <c r="C29" t="s">
        <v>264</v>
      </c>
      <c r="D29">
        <v>26200</v>
      </c>
      <c r="E29">
        <v>879</v>
      </c>
    </row>
    <row r="30" spans="2:5" x14ac:dyDescent="0.35">
      <c r="B30">
        <v>610</v>
      </c>
      <c r="C30" t="s">
        <v>295</v>
      </c>
      <c r="D30">
        <v>26300</v>
      </c>
      <c r="E30">
        <v>879</v>
      </c>
    </row>
    <row r="31" spans="2:5" x14ac:dyDescent="0.35">
      <c r="B31">
        <v>430</v>
      </c>
      <c r="C31" t="s">
        <v>216</v>
      </c>
      <c r="D31">
        <v>26900</v>
      </c>
      <c r="E31">
        <v>886</v>
      </c>
    </row>
    <row r="32" spans="2:5" x14ac:dyDescent="0.35">
      <c r="B32">
        <v>542</v>
      </c>
      <c r="C32" t="s">
        <v>263</v>
      </c>
      <c r="D32">
        <v>26700</v>
      </c>
      <c r="E32">
        <v>886</v>
      </c>
    </row>
    <row r="33" spans="2:5" x14ac:dyDescent="0.35">
      <c r="B33">
        <v>590</v>
      </c>
      <c r="C33" t="s">
        <v>283</v>
      </c>
      <c r="D33">
        <v>27100</v>
      </c>
      <c r="E33">
        <v>886</v>
      </c>
    </row>
    <row r="34" spans="2:5" x14ac:dyDescent="0.35">
      <c r="B34">
        <v>622</v>
      </c>
      <c r="C34" t="s">
        <v>303</v>
      </c>
      <c r="D34">
        <v>27200</v>
      </c>
      <c r="E34">
        <v>886</v>
      </c>
    </row>
    <row r="35" spans="2:5" x14ac:dyDescent="0.35">
      <c r="B35">
        <v>687</v>
      </c>
      <c r="C35" t="s">
        <v>337</v>
      </c>
      <c r="D35">
        <v>27000</v>
      </c>
      <c r="E35">
        <v>886</v>
      </c>
    </row>
    <row r="36" spans="2:5" x14ac:dyDescent="0.35">
      <c r="B36">
        <v>279</v>
      </c>
      <c r="C36" t="s">
        <v>153</v>
      </c>
      <c r="D36">
        <v>25800</v>
      </c>
      <c r="E36">
        <v>894</v>
      </c>
    </row>
    <row r="37" spans="2:5" x14ac:dyDescent="0.35">
      <c r="B37">
        <v>671</v>
      </c>
      <c r="C37" t="s">
        <v>329</v>
      </c>
      <c r="D37">
        <v>25400</v>
      </c>
      <c r="E37">
        <v>894</v>
      </c>
    </row>
    <row r="38" spans="2:5" x14ac:dyDescent="0.35">
      <c r="B38">
        <v>774</v>
      </c>
      <c r="C38" t="s">
        <v>373</v>
      </c>
      <c r="D38">
        <v>25600</v>
      </c>
      <c r="E38">
        <v>894</v>
      </c>
    </row>
    <row r="39" spans="2:5" x14ac:dyDescent="0.35">
      <c r="B39">
        <v>906</v>
      </c>
      <c r="C39" t="s">
        <v>438</v>
      </c>
      <c r="D39">
        <v>25700</v>
      </c>
      <c r="E39">
        <v>894</v>
      </c>
    </row>
    <row r="40" spans="2:5" x14ac:dyDescent="0.35">
      <c r="B40">
        <v>965</v>
      </c>
      <c r="C40" t="s">
        <v>473</v>
      </c>
      <c r="D40">
        <v>25500</v>
      </c>
      <c r="E40">
        <v>894</v>
      </c>
    </row>
    <row r="41" spans="2:5" x14ac:dyDescent="0.35">
      <c r="B41">
        <v>211</v>
      </c>
      <c r="C41" t="s">
        <v>121</v>
      </c>
      <c r="D41">
        <v>19100</v>
      </c>
      <c r="E41">
        <v>39</v>
      </c>
    </row>
    <row r="42" spans="2:5" x14ac:dyDescent="0.35">
      <c r="B42">
        <v>919</v>
      </c>
      <c r="C42" t="s">
        <v>446</v>
      </c>
      <c r="D42">
        <v>19300</v>
      </c>
      <c r="E42">
        <v>39</v>
      </c>
    </row>
    <row r="43" spans="2:5" x14ac:dyDescent="0.35">
      <c r="B43">
        <v>927</v>
      </c>
      <c r="C43" t="s">
        <v>450</v>
      </c>
      <c r="D43">
        <v>19400</v>
      </c>
      <c r="E43">
        <v>39</v>
      </c>
    </row>
    <row r="44" spans="2:5" x14ac:dyDescent="0.35">
      <c r="B44">
        <v>935</v>
      </c>
      <c r="C44" t="s">
        <v>456</v>
      </c>
      <c r="D44">
        <v>19000</v>
      </c>
      <c r="E44">
        <v>39</v>
      </c>
    </row>
    <row r="45" spans="2:5" x14ac:dyDescent="0.35">
      <c r="B45">
        <v>1015</v>
      </c>
      <c r="C45" t="s">
        <v>499</v>
      </c>
      <c r="D45">
        <v>19200</v>
      </c>
      <c r="E45">
        <v>39</v>
      </c>
    </row>
    <row r="46" spans="2:5" x14ac:dyDescent="0.35">
      <c r="B46">
        <v>296</v>
      </c>
      <c r="C46" t="s">
        <v>161</v>
      </c>
      <c r="D46">
        <v>19700</v>
      </c>
      <c r="E46">
        <v>48</v>
      </c>
    </row>
    <row r="47" spans="2:5" x14ac:dyDescent="0.35">
      <c r="B47">
        <v>588</v>
      </c>
      <c r="C47" t="s">
        <v>281</v>
      </c>
      <c r="D47">
        <v>19600</v>
      </c>
      <c r="E47">
        <v>48</v>
      </c>
    </row>
    <row r="48" spans="2:5" x14ac:dyDescent="0.35">
      <c r="B48">
        <v>772</v>
      </c>
      <c r="C48" t="s">
        <v>371</v>
      </c>
      <c r="D48">
        <v>19800</v>
      </c>
      <c r="E48">
        <v>48</v>
      </c>
    </row>
    <row r="49" spans="2:5" x14ac:dyDescent="0.35">
      <c r="B49">
        <v>810</v>
      </c>
      <c r="C49" t="s">
        <v>393</v>
      </c>
      <c r="D49">
        <v>19900</v>
      </c>
      <c r="E49">
        <v>48</v>
      </c>
    </row>
    <row r="50" spans="2:5" x14ac:dyDescent="0.35">
      <c r="B50">
        <v>819</v>
      </c>
      <c r="C50" t="s">
        <v>396</v>
      </c>
      <c r="D50">
        <v>20000</v>
      </c>
      <c r="E50">
        <v>48</v>
      </c>
    </row>
    <row r="51" spans="2:5" x14ac:dyDescent="0.35">
      <c r="B51">
        <v>84</v>
      </c>
      <c r="C51" t="s">
        <v>57</v>
      </c>
      <c r="D51">
        <v>20600</v>
      </c>
      <c r="E51">
        <v>972</v>
      </c>
    </row>
    <row r="52" spans="2:5" x14ac:dyDescent="0.35">
      <c r="B52">
        <v>132</v>
      </c>
      <c r="C52" t="s">
        <v>82</v>
      </c>
      <c r="D52">
        <v>20700</v>
      </c>
      <c r="E52">
        <v>972</v>
      </c>
    </row>
    <row r="53" spans="2:5" x14ac:dyDescent="0.35">
      <c r="B53">
        <v>171</v>
      </c>
      <c r="C53" t="s">
        <v>101</v>
      </c>
      <c r="D53">
        <v>20200</v>
      </c>
      <c r="E53">
        <v>972</v>
      </c>
    </row>
    <row r="54" spans="2:5" x14ac:dyDescent="0.35">
      <c r="B54">
        <v>304</v>
      </c>
      <c r="C54" t="s">
        <v>165</v>
      </c>
      <c r="D54">
        <v>20400</v>
      </c>
      <c r="E54">
        <v>972</v>
      </c>
    </row>
    <row r="55" spans="2:5" x14ac:dyDescent="0.35">
      <c r="B55">
        <v>363</v>
      </c>
      <c r="C55" t="s">
        <v>193</v>
      </c>
      <c r="D55">
        <v>20500</v>
      </c>
      <c r="E55">
        <v>972</v>
      </c>
    </row>
    <row r="56" spans="2:5" x14ac:dyDescent="0.35">
      <c r="B56">
        <v>556</v>
      </c>
      <c r="C56" t="s">
        <v>266</v>
      </c>
      <c r="D56">
        <v>8700</v>
      </c>
      <c r="E56">
        <v>44</v>
      </c>
    </row>
    <row r="57" spans="2:5" x14ac:dyDescent="0.35">
      <c r="B57">
        <v>707</v>
      </c>
      <c r="C57" t="s">
        <v>351</v>
      </c>
      <c r="D57">
        <v>8500</v>
      </c>
      <c r="E57">
        <v>44</v>
      </c>
    </row>
    <row r="58" spans="2:5" x14ac:dyDescent="0.35">
      <c r="B58">
        <v>827</v>
      </c>
      <c r="C58" t="s">
        <v>398</v>
      </c>
      <c r="D58">
        <v>8800</v>
      </c>
      <c r="E58">
        <v>44</v>
      </c>
    </row>
    <row r="59" spans="2:5" x14ac:dyDescent="0.35">
      <c r="B59">
        <v>1054</v>
      </c>
      <c r="C59" t="s">
        <v>524</v>
      </c>
      <c r="D59">
        <v>8900</v>
      </c>
      <c r="E59">
        <v>44</v>
      </c>
    </row>
    <row r="60" spans="2:5" x14ac:dyDescent="0.35">
      <c r="B60">
        <v>1081</v>
      </c>
      <c r="C60" t="s">
        <v>533</v>
      </c>
      <c r="D60">
        <v>9000</v>
      </c>
      <c r="E60">
        <v>44</v>
      </c>
    </row>
    <row r="61" spans="2:5" x14ac:dyDescent="0.35">
      <c r="B61">
        <v>303</v>
      </c>
      <c r="C61" t="s">
        <v>164</v>
      </c>
      <c r="D61">
        <v>47200</v>
      </c>
      <c r="E61">
        <v>295</v>
      </c>
    </row>
    <row r="62" spans="2:5" x14ac:dyDescent="0.35">
      <c r="B62">
        <v>311</v>
      </c>
      <c r="C62" t="s">
        <v>169</v>
      </c>
      <c r="D62">
        <v>47300</v>
      </c>
      <c r="E62">
        <v>295</v>
      </c>
    </row>
    <row r="63" spans="2:5" x14ac:dyDescent="0.35">
      <c r="B63">
        <v>451</v>
      </c>
      <c r="C63" t="s">
        <v>229</v>
      </c>
      <c r="D63">
        <v>47400</v>
      </c>
      <c r="E63">
        <v>295</v>
      </c>
    </row>
  </sheetData>
  <conditionalFormatting sqref="X3:X16">
    <cfRule type="cellIs" dxfId="18" priority="1" operator="lessThan">
      <formula>0.05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6AA1-B618-4E07-8FEE-9261856B5B05}">
  <dimension ref="A1:AB113"/>
  <sheetViews>
    <sheetView workbookViewId="0"/>
  </sheetViews>
  <sheetFormatPr defaultRowHeight="14.5" x14ac:dyDescent="0.35"/>
  <cols>
    <col min="1" max="1" width="11.1796875" bestFit="1" customWidth="1"/>
    <col min="3" max="3" width="27.26953125" customWidth="1"/>
    <col min="15" max="15" width="10.54296875" bestFit="1" customWidth="1"/>
  </cols>
  <sheetData>
    <row r="1" spans="1:28" x14ac:dyDescent="0.35">
      <c r="E1" t="s">
        <v>581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8" x14ac:dyDescent="0.35">
      <c r="A2" s="2" t="s">
        <v>1292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17</v>
      </c>
      <c r="N2" s="2" t="s">
        <v>19</v>
      </c>
      <c r="O2" s="2" t="s">
        <v>4</v>
      </c>
      <c r="P2" s="2" t="s">
        <v>11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18</v>
      </c>
      <c r="V2" s="2" t="s">
        <v>20</v>
      </c>
      <c r="X2" s="3" t="s">
        <v>582</v>
      </c>
      <c r="Y2" s="3" t="s">
        <v>583</v>
      </c>
      <c r="Z2" s="3" t="s">
        <v>584</v>
      </c>
      <c r="AA2" s="3" t="s">
        <v>1293</v>
      </c>
      <c r="AB2" s="3" t="s">
        <v>1294</v>
      </c>
    </row>
    <row r="3" spans="1:28" x14ac:dyDescent="0.35">
      <c r="A3" s="6" t="s">
        <v>1289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5"/>
      <c r="Y3" s="5"/>
      <c r="Z3" s="5"/>
    </row>
    <row r="4" spans="1:28" x14ac:dyDescent="0.35">
      <c r="A4" t="s">
        <v>574</v>
      </c>
      <c r="C4" t="s">
        <v>356</v>
      </c>
      <c r="E4">
        <v>726</v>
      </c>
      <c r="F4">
        <f>SUMPRODUCT(SUMIFS('Total-corrected counts Z&lt;2'!E:E,'Total-corrected counts Z&lt;2'!$A:$A,$B29:$B31))</f>
        <v>0</v>
      </c>
      <c r="G4">
        <f>SUMPRODUCT(SUMIFS('Total-corrected counts Z&lt;2'!F:F,'Total-corrected counts Z&lt;2'!$A:$A,$B29:$B31))</f>
        <v>0</v>
      </c>
      <c r="H4">
        <f>SUMPRODUCT(SUMIFS('Total-corrected counts Z&lt;2'!G:G,'Total-corrected counts Z&lt;2'!$A:$A,$B29:$B31))</f>
        <v>0</v>
      </c>
      <c r="I4">
        <f>SUMPRODUCT(SUMIFS('Total-corrected counts Z&lt;2'!H:H,'Total-corrected counts Z&lt;2'!$A:$A,$B29:$B31))</f>
        <v>0</v>
      </c>
      <c r="J4">
        <f>SUMPRODUCT(SUMIFS('Total-corrected counts Z&lt;2'!I:I,'Total-corrected counts Z&lt;2'!$A:$A,$B29:$B31))</f>
        <v>0</v>
      </c>
      <c r="K4">
        <f>SUMPRODUCT(SUMIFS('Total-corrected counts Z&lt;2'!J:J,'Total-corrected counts Z&lt;2'!$A:$A,$B29:$B31))</f>
        <v>0</v>
      </c>
      <c r="L4">
        <f>SUMPRODUCT(SUMIFS('Total-corrected counts Z&lt;2'!K:K,'Total-corrected counts Z&lt;2'!$A:$A,$B29:$B31))</f>
        <v>0</v>
      </c>
      <c r="M4">
        <f>SUMPRODUCT(SUMIFS('Total-corrected counts Z&lt;2'!L:L,'Total-corrected counts Z&lt;2'!$A:$A,$B29:$B31))</f>
        <v>0</v>
      </c>
      <c r="N4">
        <f>SUMPRODUCT(SUMIFS('Total-corrected counts Z&lt;2'!M:M,'Total-corrected counts Z&lt;2'!$A:$A,$B29:$B31))</f>
        <v>0</v>
      </c>
      <c r="O4">
        <f>SUMPRODUCT(SUMIFS('Total-corrected counts Z&lt;2'!N:N,'Total-corrected counts Z&lt;2'!$A:$A,$B29:$B31))</f>
        <v>0</v>
      </c>
      <c r="P4">
        <f>SUMPRODUCT(SUMIFS('Total-corrected counts Z&lt;2'!O:O,'Total-corrected counts Z&lt;2'!$A:$A,$B29:$B31))</f>
        <v>0</v>
      </c>
      <c r="Q4">
        <f>SUMPRODUCT(SUMIFS('Total-corrected counts Z&lt;2'!P:P,'Total-corrected counts Z&lt;2'!$A:$A,$B29:$B31))</f>
        <v>0</v>
      </c>
      <c r="R4">
        <f>SUMPRODUCT(SUMIFS('Total-corrected counts Z&lt;2'!Q:Q,'Total-corrected counts Z&lt;2'!$A:$A,$B29:$B31))</f>
        <v>0</v>
      </c>
      <c r="S4">
        <f>SUMPRODUCT(SUMIFS('Total-corrected counts Z&lt;2'!R:R,'Total-corrected counts Z&lt;2'!$A:$A,$B29:$B31))</f>
        <v>0</v>
      </c>
      <c r="T4">
        <f>SUMPRODUCT(SUMIFS('Total-corrected counts Z&lt;2'!S:S,'Total-corrected counts Z&lt;2'!$A:$A,$B29:$B31))</f>
        <v>0</v>
      </c>
      <c r="U4">
        <f>SUMPRODUCT(SUMIFS('Total-corrected counts Z&lt;2'!T:T,'Total-corrected counts Z&lt;2'!$A:$A,$B29:$B31))</f>
        <v>0</v>
      </c>
      <c r="V4">
        <f>SUMPRODUCT(SUMIFS('Total-corrected counts Z&lt;2'!U:U,'Total-corrected counts Z&lt;2'!$A:$A,$B29:$B31))</f>
        <v>0</v>
      </c>
      <c r="X4" t="e">
        <f t="shared" ref="X4:X27" si="0">_xlfn.T.TEST(F4:N4,O4:V4,2,2)</f>
        <v>#DIV/0!</v>
      </c>
      <c r="Y4">
        <f t="shared" ref="Y4:Y27" si="1">AVERAGE(F4:N4)</f>
        <v>0</v>
      </c>
      <c r="Z4">
        <f t="shared" ref="Z4:Z27" si="2">AVERAGE(O4:V4)</f>
        <v>0</v>
      </c>
      <c r="AA4">
        <f>STDEV(F4:N4)/SQRT(COUNT(F4:N4))</f>
        <v>0</v>
      </c>
      <c r="AB4">
        <f>STDEV(O4:V4)/SQRT(COUNT(O4:V4))</f>
        <v>0</v>
      </c>
    </row>
    <row r="5" spans="1:28" x14ac:dyDescent="0.35">
      <c r="A5" t="s">
        <v>572</v>
      </c>
      <c r="B5">
        <v>2382</v>
      </c>
      <c r="C5" t="s">
        <v>563</v>
      </c>
      <c r="D5">
        <v>37700</v>
      </c>
      <c r="E5">
        <v>2375</v>
      </c>
      <c r="F5">
        <f>SUMIFS('Total-corrected counts Z&lt;2'!E:E,'Total-corrected counts Z&lt;2'!$A:$A,'Brain networks corrected Z&lt;2'!$B5)</f>
        <v>0</v>
      </c>
      <c r="G5">
        <f>SUMIFS('Total-corrected counts Z&lt;2'!F:F,'Total-corrected counts Z&lt;2'!$A:$A,'Brain networks corrected Z&lt;2'!$B5)</f>
        <v>0</v>
      </c>
      <c r="H5">
        <f>SUMIFS('Total-corrected counts Z&lt;2'!G:G,'Total-corrected counts Z&lt;2'!$A:$A,'Brain networks corrected Z&lt;2'!$B5)</f>
        <v>0</v>
      </c>
      <c r="I5">
        <f>SUMIFS('Total-corrected counts Z&lt;2'!H:H,'Total-corrected counts Z&lt;2'!$A:$A,'Brain networks corrected Z&lt;2'!$B5)</f>
        <v>0</v>
      </c>
      <c r="J5">
        <f>SUMIFS('Total-corrected counts Z&lt;2'!I:I,'Total-corrected counts Z&lt;2'!$A:$A,'Brain networks corrected Z&lt;2'!$B5)</f>
        <v>0</v>
      </c>
      <c r="K5">
        <f>SUMIFS('Total-corrected counts Z&lt;2'!J:J,'Total-corrected counts Z&lt;2'!$A:$A,'Brain networks corrected Z&lt;2'!$B5)</f>
        <v>0</v>
      </c>
      <c r="L5">
        <f>SUMIFS('Total-corrected counts Z&lt;2'!K:K,'Total-corrected counts Z&lt;2'!$A:$A,'Brain networks corrected Z&lt;2'!$B5)</f>
        <v>0</v>
      </c>
      <c r="M5">
        <f>SUMIFS('Total-corrected counts Z&lt;2'!L:L,'Total-corrected counts Z&lt;2'!$A:$A,'Brain networks corrected Z&lt;2'!$B5)</f>
        <v>0</v>
      </c>
      <c r="N5">
        <f>SUMIFS('Total-corrected counts Z&lt;2'!M:M,'Total-corrected counts Z&lt;2'!$A:$A,'Brain networks corrected Z&lt;2'!$B5)</f>
        <v>0</v>
      </c>
      <c r="O5">
        <f>SUMIFS('Total-corrected counts Z&lt;2'!N:N,'Total-corrected counts Z&lt;2'!$A:$A,'Brain networks corrected Z&lt;2'!$B5)</f>
        <v>0</v>
      </c>
      <c r="P5">
        <f>SUMIFS('Total-corrected counts Z&lt;2'!O:O,'Total-corrected counts Z&lt;2'!$A:$A,'Brain networks corrected Z&lt;2'!$B5)</f>
        <v>0</v>
      </c>
      <c r="Q5">
        <f>SUMIFS('Total-corrected counts Z&lt;2'!P:P,'Total-corrected counts Z&lt;2'!$A:$A,'Brain networks corrected Z&lt;2'!$B5)</f>
        <v>0</v>
      </c>
      <c r="R5">
        <f>SUMIFS('Total-corrected counts Z&lt;2'!Q:Q,'Total-corrected counts Z&lt;2'!$A:$A,'Brain networks corrected Z&lt;2'!$B5)</f>
        <v>0</v>
      </c>
      <c r="S5">
        <f>SUMIFS('Total-corrected counts Z&lt;2'!R:R,'Total-corrected counts Z&lt;2'!$A:$A,'Brain networks corrected Z&lt;2'!$B5)</f>
        <v>0</v>
      </c>
      <c r="T5">
        <f>SUMIFS('Total-corrected counts Z&lt;2'!S:S,'Total-corrected counts Z&lt;2'!$A:$A,'Brain networks corrected Z&lt;2'!$B5)</f>
        <v>0</v>
      </c>
      <c r="U5">
        <f>SUMIFS('Total-corrected counts Z&lt;2'!T:T,'Total-corrected counts Z&lt;2'!$A:$A,'Brain networks corrected Z&lt;2'!$B5)</f>
        <v>0</v>
      </c>
      <c r="V5">
        <f>SUMIFS('Total-corrected counts Z&lt;2'!U:U,'Total-corrected counts Z&lt;2'!$A:$A,'Brain networks corrected Z&lt;2'!$B5)</f>
        <v>0</v>
      </c>
      <c r="X5" t="e">
        <f t="shared" si="0"/>
        <v>#DIV/0!</v>
      </c>
      <c r="Y5">
        <f t="shared" si="1"/>
        <v>0</v>
      </c>
      <c r="Z5">
        <f t="shared" si="2"/>
        <v>0</v>
      </c>
      <c r="AA5">
        <f t="shared" ref="AA5:AA27" si="3">STDEV(F5:N5)/SQRT(COUNT(F5:N5))</f>
        <v>0</v>
      </c>
      <c r="AB5">
        <f t="shared" ref="AB5:AB27" si="4">STDEV(O5:V5)/SQRT(COUNT(O5:V5))</f>
        <v>0</v>
      </c>
    </row>
    <row r="6" spans="1:28" x14ac:dyDescent="0.35">
      <c r="A6" t="s">
        <v>573</v>
      </c>
      <c r="B6">
        <v>2463</v>
      </c>
      <c r="C6" t="s">
        <v>565</v>
      </c>
      <c r="D6">
        <v>38700</v>
      </c>
      <c r="E6">
        <v>2375</v>
      </c>
      <c r="F6">
        <f>SUMIFS('Total-corrected counts Z&lt;2'!E:E,'Total-corrected counts Z&lt;2'!$A:$A,'Brain networks corrected Z&lt;2'!$B6)</f>
        <v>0</v>
      </c>
      <c r="G6">
        <f>SUMIFS('Total-corrected counts Z&lt;2'!F:F,'Total-corrected counts Z&lt;2'!$A:$A,'Brain networks corrected Z&lt;2'!$B6)</f>
        <v>0</v>
      </c>
      <c r="H6">
        <f>SUMIFS('Total-corrected counts Z&lt;2'!G:G,'Total-corrected counts Z&lt;2'!$A:$A,'Brain networks corrected Z&lt;2'!$B6)</f>
        <v>0</v>
      </c>
      <c r="I6">
        <f>SUMIFS('Total-corrected counts Z&lt;2'!H:H,'Total-corrected counts Z&lt;2'!$A:$A,'Brain networks corrected Z&lt;2'!$B6)</f>
        <v>0</v>
      </c>
      <c r="J6">
        <f>SUMIFS('Total-corrected counts Z&lt;2'!I:I,'Total-corrected counts Z&lt;2'!$A:$A,'Brain networks corrected Z&lt;2'!$B6)</f>
        <v>0</v>
      </c>
      <c r="K6">
        <f>SUMIFS('Total-corrected counts Z&lt;2'!J:J,'Total-corrected counts Z&lt;2'!$A:$A,'Brain networks corrected Z&lt;2'!$B6)</f>
        <v>0</v>
      </c>
      <c r="L6">
        <f>SUMIFS('Total-corrected counts Z&lt;2'!K:K,'Total-corrected counts Z&lt;2'!$A:$A,'Brain networks corrected Z&lt;2'!$B6)</f>
        <v>0</v>
      </c>
      <c r="M6">
        <f>SUMIFS('Total-corrected counts Z&lt;2'!L:L,'Total-corrected counts Z&lt;2'!$A:$A,'Brain networks corrected Z&lt;2'!$B6)</f>
        <v>0</v>
      </c>
      <c r="N6">
        <f>SUMIFS('Total-corrected counts Z&lt;2'!M:M,'Total-corrected counts Z&lt;2'!$A:$A,'Brain networks corrected Z&lt;2'!$B6)</f>
        <v>0</v>
      </c>
      <c r="O6">
        <f>SUMIFS('Total-corrected counts Z&lt;2'!N:N,'Total-corrected counts Z&lt;2'!$A:$A,'Brain networks corrected Z&lt;2'!$B6)</f>
        <v>0</v>
      </c>
      <c r="P6">
        <f>SUMIFS('Total-corrected counts Z&lt;2'!O:O,'Total-corrected counts Z&lt;2'!$A:$A,'Brain networks corrected Z&lt;2'!$B6)</f>
        <v>0</v>
      </c>
      <c r="Q6">
        <f>SUMIFS('Total-corrected counts Z&lt;2'!P:P,'Total-corrected counts Z&lt;2'!$A:$A,'Brain networks corrected Z&lt;2'!$B6)</f>
        <v>0</v>
      </c>
      <c r="R6">
        <f>SUMIFS('Total-corrected counts Z&lt;2'!Q:Q,'Total-corrected counts Z&lt;2'!$A:$A,'Brain networks corrected Z&lt;2'!$B6)</f>
        <v>0</v>
      </c>
      <c r="S6">
        <f>SUMIFS('Total-corrected counts Z&lt;2'!R:R,'Total-corrected counts Z&lt;2'!$A:$A,'Brain networks corrected Z&lt;2'!$B6)</f>
        <v>0</v>
      </c>
      <c r="T6">
        <f>SUMIFS('Total-corrected counts Z&lt;2'!S:S,'Total-corrected counts Z&lt;2'!$A:$A,'Brain networks corrected Z&lt;2'!$B6)</f>
        <v>0</v>
      </c>
      <c r="U6">
        <f>SUMIFS('Total-corrected counts Z&lt;2'!T:T,'Total-corrected counts Z&lt;2'!$A:$A,'Brain networks corrected Z&lt;2'!$B6)</f>
        <v>0</v>
      </c>
      <c r="V6">
        <f>SUMIFS('Total-corrected counts Z&lt;2'!U:U,'Total-corrected counts Z&lt;2'!$A:$A,'Brain networks corrected Z&lt;2'!$B6)</f>
        <v>0</v>
      </c>
      <c r="X6" t="e">
        <f t="shared" si="0"/>
        <v>#DIV/0!</v>
      </c>
      <c r="Y6">
        <f t="shared" si="1"/>
        <v>0</v>
      </c>
      <c r="Z6">
        <f t="shared" si="2"/>
        <v>0</v>
      </c>
      <c r="AA6">
        <f t="shared" si="3"/>
        <v>0</v>
      </c>
      <c r="AB6">
        <f t="shared" si="4"/>
        <v>0</v>
      </c>
    </row>
    <row r="7" spans="1:28" x14ac:dyDescent="0.35">
      <c r="A7" t="s">
        <v>1272</v>
      </c>
      <c r="C7" t="s">
        <v>1283</v>
      </c>
      <c r="F7">
        <f>SUMPRODUCT(SUMIFS('Total-corrected counts Z&lt;2'!E:E,'Total-corrected counts Z&lt;2'!$A:$A,$B62:$B76))</f>
        <v>0</v>
      </c>
      <c r="G7">
        <f>SUMPRODUCT(SUMIFS('Total-corrected counts Z&lt;2'!F:F,'Total-corrected counts Z&lt;2'!$A:$A,$B62:$B76))</f>
        <v>0</v>
      </c>
      <c r="H7">
        <f>SUMPRODUCT(SUMIFS('Total-corrected counts Z&lt;2'!G:G,'Total-corrected counts Z&lt;2'!$A:$A,$B62:$B76))</f>
        <v>0</v>
      </c>
      <c r="I7">
        <f>SUMPRODUCT(SUMIFS('Total-corrected counts Z&lt;2'!H:H,'Total-corrected counts Z&lt;2'!$A:$A,$B62:$B76))</f>
        <v>0</v>
      </c>
      <c r="J7">
        <f>SUMPRODUCT(SUMIFS('Total-corrected counts Z&lt;2'!I:I,'Total-corrected counts Z&lt;2'!$A:$A,$B62:$B76))</f>
        <v>0</v>
      </c>
      <c r="K7">
        <f>SUMPRODUCT(SUMIFS('Total-corrected counts Z&lt;2'!J:J,'Total-corrected counts Z&lt;2'!$A:$A,$B62:$B76))</f>
        <v>0</v>
      </c>
      <c r="L7">
        <f>SUMPRODUCT(SUMIFS('Total-corrected counts Z&lt;2'!K:K,'Total-corrected counts Z&lt;2'!$A:$A,$B62:$B76))</f>
        <v>0</v>
      </c>
      <c r="M7">
        <f>SUMPRODUCT(SUMIFS('Total-corrected counts Z&lt;2'!L:L,'Total-corrected counts Z&lt;2'!$A:$A,$B62:$B76))</f>
        <v>0</v>
      </c>
      <c r="N7">
        <f>SUMPRODUCT(SUMIFS('Total-corrected counts Z&lt;2'!M:M,'Total-corrected counts Z&lt;2'!$A:$A,$B62:$B76))</f>
        <v>0</v>
      </c>
      <c r="O7">
        <f>SUMPRODUCT(SUMIFS('Total-corrected counts Z&lt;2'!N:N,'Total-corrected counts Z&lt;2'!$A:$A,$B62:$B76))</f>
        <v>0</v>
      </c>
      <c r="P7">
        <f>SUMPRODUCT(SUMIFS('Total-corrected counts Z&lt;2'!O:O,'Total-corrected counts Z&lt;2'!$A:$A,$B62:$B76))</f>
        <v>0</v>
      </c>
      <c r="Q7">
        <f>SUMPRODUCT(SUMIFS('Total-corrected counts Z&lt;2'!P:P,'Total-corrected counts Z&lt;2'!$A:$A,$B62:$B76))</f>
        <v>0</v>
      </c>
      <c r="R7">
        <f>SUMPRODUCT(SUMIFS('Total-corrected counts Z&lt;2'!Q:Q,'Total-corrected counts Z&lt;2'!$A:$A,$B62:$B76))</f>
        <v>0</v>
      </c>
      <c r="S7">
        <f>SUMPRODUCT(SUMIFS('Total-corrected counts Z&lt;2'!R:R,'Total-corrected counts Z&lt;2'!$A:$A,$B62:$B76))</f>
        <v>0</v>
      </c>
      <c r="T7">
        <f>SUMPRODUCT(SUMIFS('Total-corrected counts Z&lt;2'!S:S,'Total-corrected counts Z&lt;2'!$A:$A,$B62:$B76))</f>
        <v>0</v>
      </c>
      <c r="U7">
        <f>SUMPRODUCT(SUMIFS('Total-corrected counts Z&lt;2'!T:T,'Total-corrected counts Z&lt;2'!$A:$A,$B62:$B76))</f>
        <v>0</v>
      </c>
      <c r="V7">
        <f>SUMPRODUCT(SUMIFS('Total-corrected counts Z&lt;2'!U:U,'Total-corrected counts Z&lt;2'!$A:$A,$B62:$B76))</f>
        <v>0</v>
      </c>
      <c r="X7" t="e">
        <f t="shared" si="0"/>
        <v>#DIV/0!</v>
      </c>
      <c r="Y7">
        <f t="shared" si="1"/>
        <v>0</v>
      </c>
      <c r="Z7">
        <f t="shared" si="2"/>
        <v>0</v>
      </c>
      <c r="AA7">
        <f t="shared" si="3"/>
        <v>0</v>
      </c>
      <c r="AB7">
        <f t="shared" si="4"/>
        <v>0</v>
      </c>
    </row>
    <row r="8" spans="1:28" x14ac:dyDescent="0.35">
      <c r="A8" t="s">
        <v>1273</v>
      </c>
      <c r="C8" t="s">
        <v>1284</v>
      </c>
      <c r="F8">
        <f>SUMPRODUCT(SUMIFS('Total-corrected counts Z&lt;2'!E:E,'Total-corrected counts Z&lt;2'!$A:$A,$B77:$B91))</f>
        <v>0</v>
      </c>
      <c r="G8">
        <f>SUMPRODUCT(SUMIFS('Total-corrected counts Z&lt;2'!F:F,'Total-corrected counts Z&lt;2'!$A:$A,$B77:$B91))</f>
        <v>0</v>
      </c>
      <c r="H8">
        <f>SUMPRODUCT(SUMIFS('Total-corrected counts Z&lt;2'!G:G,'Total-corrected counts Z&lt;2'!$A:$A,$B77:$B91))</f>
        <v>0</v>
      </c>
      <c r="I8">
        <f>SUMPRODUCT(SUMIFS('Total-corrected counts Z&lt;2'!H:H,'Total-corrected counts Z&lt;2'!$A:$A,$B77:$B91))</f>
        <v>0</v>
      </c>
      <c r="J8">
        <f>SUMPRODUCT(SUMIFS('Total-corrected counts Z&lt;2'!I:I,'Total-corrected counts Z&lt;2'!$A:$A,$B77:$B91))</f>
        <v>0</v>
      </c>
      <c r="K8">
        <f>SUMPRODUCT(SUMIFS('Total-corrected counts Z&lt;2'!J:J,'Total-corrected counts Z&lt;2'!$A:$A,$B77:$B91))</f>
        <v>0</v>
      </c>
      <c r="L8">
        <f>SUMPRODUCT(SUMIFS('Total-corrected counts Z&lt;2'!K:K,'Total-corrected counts Z&lt;2'!$A:$A,$B77:$B91))</f>
        <v>0</v>
      </c>
      <c r="M8">
        <f>SUMPRODUCT(SUMIFS('Total-corrected counts Z&lt;2'!L:L,'Total-corrected counts Z&lt;2'!$A:$A,$B77:$B91))</f>
        <v>0</v>
      </c>
      <c r="N8">
        <f>SUMPRODUCT(SUMIFS('Total-corrected counts Z&lt;2'!M:M,'Total-corrected counts Z&lt;2'!$A:$A,$B77:$B91))</f>
        <v>0</v>
      </c>
      <c r="O8">
        <f>SUMPRODUCT(SUMIFS('Total-corrected counts Z&lt;2'!N:N,'Total-corrected counts Z&lt;2'!$A:$A,$B77:$B91))</f>
        <v>0</v>
      </c>
      <c r="P8">
        <f>SUMPRODUCT(SUMIFS('Total-corrected counts Z&lt;2'!O:O,'Total-corrected counts Z&lt;2'!$A:$A,$B77:$B91))</f>
        <v>0</v>
      </c>
      <c r="Q8">
        <f>SUMPRODUCT(SUMIFS('Total-corrected counts Z&lt;2'!P:P,'Total-corrected counts Z&lt;2'!$A:$A,$B77:$B91))</f>
        <v>0</v>
      </c>
      <c r="R8">
        <f>SUMPRODUCT(SUMIFS('Total-corrected counts Z&lt;2'!Q:Q,'Total-corrected counts Z&lt;2'!$A:$A,$B77:$B91))</f>
        <v>0</v>
      </c>
      <c r="S8">
        <f>SUMPRODUCT(SUMIFS('Total-corrected counts Z&lt;2'!R:R,'Total-corrected counts Z&lt;2'!$A:$A,$B77:$B91))</f>
        <v>0</v>
      </c>
      <c r="T8">
        <f>SUMPRODUCT(SUMIFS('Total-corrected counts Z&lt;2'!S:S,'Total-corrected counts Z&lt;2'!$A:$A,$B77:$B91))</f>
        <v>0</v>
      </c>
      <c r="U8">
        <f>SUMPRODUCT(SUMIFS('Total-corrected counts Z&lt;2'!T:T,'Total-corrected counts Z&lt;2'!$A:$A,$B77:$B91))</f>
        <v>0</v>
      </c>
      <c r="V8">
        <f>SUMPRODUCT(SUMIFS('Total-corrected counts Z&lt;2'!U:U,'Total-corrected counts Z&lt;2'!$A:$A,$B77:$B91))</f>
        <v>0</v>
      </c>
      <c r="X8" t="e">
        <f t="shared" si="0"/>
        <v>#DIV/0!</v>
      </c>
      <c r="Y8">
        <f t="shared" si="1"/>
        <v>0</v>
      </c>
      <c r="Z8">
        <f t="shared" si="2"/>
        <v>0</v>
      </c>
      <c r="AA8">
        <f t="shared" si="3"/>
        <v>0</v>
      </c>
      <c r="AB8">
        <f t="shared" si="4"/>
        <v>0</v>
      </c>
    </row>
    <row r="9" spans="1:28" x14ac:dyDescent="0.35">
      <c r="A9" t="s">
        <v>1274</v>
      </c>
      <c r="B9">
        <v>672</v>
      </c>
      <c r="C9" t="s">
        <v>330</v>
      </c>
      <c r="D9">
        <v>48200</v>
      </c>
      <c r="E9">
        <v>485</v>
      </c>
      <c r="F9">
        <f>SUMIFS('Total-corrected counts Z&lt;2'!E:E,'Total-corrected counts Z&lt;2'!$A:$A,'Brain networks corrected Z&lt;2'!$B9)</f>
        <v>0</v>
      </c>
      <c r="G9">
        <f>SUMIFS('Total-corrected counts Z&lt;2'!F:F,'Total-corrected counts Z&lt;2'!$A:$A,'Brain networks corrected Z&lt;2'!$B9)</f>
        <v>0</v>
      </c>
      <c r="H9">
        <f>SUMIFS('Total-corrected counts Z&lt;2'!G:G,'Total-corrected counts Z&lt;2'!$A:$A,'Brain networks corrected Z&lt;2'!$B9)</f>
        <v>0</v>
      </c>
      <c r="I9">
        <f>SUMIFS('Total-corrected counts Z&lt;2'!H:H,'Total-corrected counts Z&lt;2'!$A:$A,'Brain networks corrected Z&lt;2'!$B9)</f>
        <v>0</v>
      </c>
      <c r="J9">
        <f>SUMIFS('Total-corrected counts Z&lt;2'!I:I,'Total-corrected counts Z&lt;2'!$A:$A,'Brain networks corrected Z&lt;2'!$B9)</f>
        <v>0</v>
      </c>
      <c r="K9">
        <f>SUMIFS('Total-corrected counts Z&lt;2'!J:J,'Total-corrected counts Z&lt;2'!$A:$A,'Brain networks corrected Z&lt;2'!$B9)</f>
        <v>0</v>
      </c>
      <c r="L9">
        <f>SUMIFS('Total-corrected counts Z&lt;2'!K:K,'Total-corrected counts Z&lt;2'!$A:$A,'Brain networks corrected Z&lt;2'!$B9)</f>
        <v>0</v>
      </c>
      <c r="M9">
        <f>SUMIFS('Total-corrected counts Z&lt;2'!L:L,'Total-corrected counts Z&lt;2'!$A:$A,'Brain networks corrected Z&lt;2'!$B9)</f>
        <v>0</v>
      </c>
      <c r="N9">
        <f>SUMIFS('Total-corrected counts Z&lt;2'!M:M,'Total-corrected counts Z&lt;2'!$A:$A,'Brain networks corrected Z&lt;2'!$B9)</f>
        <v>0</v>
      </c>
      <c r="O9">
        <f>SUMIFS('Total-corrected counts Z&lt;2'!N:N,'Total-corrected counts Z&lt;2'!$A:$A,'Brain networks corrected Z&lt;2'!$B9)</f>
        <v>0</v>
      </c>
      <c r="P9">
        <f>SUMIFS('Total-corrected counts Z&lt;2'!O:O,'Total-corrected counts Z&lt;2'!$A:$A,'Brain networks corrected Z&lt;2'!$B9)</f>
        <v>0</v>
      </c>
      <c r="Q9">
        <f>SUMIFS('Total-corrected counts Z&lt;2'!P:P,'Total-corrected counts Z&lt;2'!$A:$A,'Brain networks corrected Z&lt;2'!$B9)</f>
        <v>0</v>
      </c>
      <c r="R9">
        <f>SUMIFS('Total-corrected counts Z&lt;2'!Q:Q,'Total-corrected counts Z&lt;2'!$A:$A,'Brain networks corrected Z&lt;2'!$B9)</f>
        <v>0</v>
      </c>
      <c r="S9">
        <f>SUMIFS('Total-corrected counts Z&lt;2'!R:R,'Total-corrected counts Z&lt;2'!$A:$A,'Brain networks corrected Z&lt;2'!$B9)</f>
        <v>0</v>
      </c>
      <c r="T9">
        <f>SUMIFS('Total-corrected counts Z&lt;2'!S:S,'Total-corrected counts Z&lt;2'!$A:$A,'Brain networks corrected Z&lt;2'!$B9)</f>
        <v>0</v>
      </c>
      <c r="U9">
        <f>SUMIFS('Total-corrected counts Z&lt;2'!T:T,'Total-corrected counts Z&lt;2'!$A:$A,'Brain networks corrected Z&lt;2'!$B9)</f>
        <v>0</v>
      </c>
      <c r="V9">
        <f>SUMIFS('Total-corrected counts Z&lt;2'!U:U,'Total-corrected counts Z&lt;2'!$A:$A,'Brain networks corrected Z&lt;2'!$B9)</f>
        <v>0</v>
      </c>
      <c r="X9" t="e">
        <f t="shared" si="0"/>
        <v>#DIV/0!</v>
      </c>
      <c r="Y9">
        <f t="shared" si="1"/>
        <v>0</v>
      </c>
      <c r="Z9">
        <f t="shared" si="2"/>
        <v>0</v>
      </c>
      <c r="AA9">
        <f t="shared" si="3"/>
        <v>0</v>
      </c>
      <c r="AB9">
        <f t="shared" si="4"/>
        <v>0</v>
      </c>
    </row>
    <row r="10" spans="1:28" x14ac:dyDescent="0.35">
      <c r="A10" t="s">
        <v>1275</v>
      </c>
      <c r="B10">
        <v>56</v>
      </c>
      <c r="C10" t="s">
        <v>44</v>
      </c>
      <c r="D10">
        <v>48400</v>
      </c>
      <c r="E10">
        <v>493</v>
      </c>
      <c r="F10">
        <f>SUMIFS('Total-corrected counts Z&lt;2'!E:E,'Total-corrected counts Z&lt;2'!$A:$A,'Brain networks corrected Z&lt;2'!$B10)</f>
        <v>0</v>
      </c>
      <c r="G10">
        <f>SUMIFS('Total-corrected counts Z&lt;2'!F:F,'Total-corrected counts Z&lt;2'!$A:$A,'Brain networks corrected Z&lt;2'!$B10)</f>
        <v>0</v>
      </c>
      <c r="H10">
        <f>SUMIFS('Total-corrected counts Z&lt;2'!G:G,'Total-corrected counts Z&lt;2'!$A:$A,'Brain networks corrected Z&lt;2'!$B10)</f>
        <v>0</v>
      </c>
      <c r="I10">
        <f>SUMIFS('Total-corrected counts Z&lt;2'!H:H,'Total-corrected counts Z&lt;2'!$A:$A,'Brain networks corrected Z&lt;2'!$B10)</f>
        <v>0</v>
      </c>
      <c r="J10">
        <f>SUMIFS('Total-corrected counts Z&lt;2'!I:I,'Total-corrected counts Z&lt;2'!$A:$A,'Brain networks corrected Z&lt;2'!$B10)</f>
        <v>0</v>
      </c>
      <c r="K10">
        <f>SUMIFS('Total-corrected counts Z&lt;2'!J:J,'Total-corrected counts Z&lt;2'!$A:$A,'Brain networks corrected Z&lt;2'!$B10)</f>
        <v>0</v>
      </c>
      <c r="L10">
        <f>SUMIFS('Total-corrected counts Z&lt;2'!K:K,'Total-corrected counts Z&lt;2'!$A:$A,'Brain networks corrected Z&lt;2'!$B10)</f>
        <v>0</v>
      </c>
      <c r="M10">
        <f>SUMIFS('Total-corrected counts Z&lt;2'!L:L,'Total-corrected counts Z&lt;2'!$A:$A,'Brain networks corrected Z&lt;2'!$B10)</f>
        <v>0</v>
      </c>
      <c r="N10">
        <f>SUMIFS('Total-corrected counts Z&lt;2'!M:M,'Total-corrected counts Z&lt;2'!$A:$A,'Brain networks corrected Z&lt;2'!$B10)</f>
        <v>0</v>
      </c>
      <c r="O10">
        <f>SUMIFS('Total-corrected counts Z&lt;2'!N:N,'Total-corrected counts Z&lt;2'!$A:$A,'Brain networks corrected Z&lt;2'!$B10)</f>
        <v>0</v>
      </c>
      <c r="P10">
        <f>SUMIFS('Total-corrected counts Z&lt;2'!O:O,'Total-corrected counts Z&lt;2'!$A:$A,'Brain networks corrected Z&lt;2'!$B10)</f>
        <v>0</v>
      </c>
      <c r="Q10">
        <f>SUMIFS('Total-corrected counts Z&lt;2'!P:P,'Total-corrected counts Z&lt;2'!$A:$A,'Brain networks corrected Z&lt;2'!$B10)</f>
        <v>0</v>
      </c>
      <c r="R10">
        <f>SUMIFS('Total-corrected counts Z&lt;2'!Q:Q,'Total-corrected counts Z&lt;2'!$A:$A,'Brain networks corrected Z&lt;2'!$B10)</f>
        <v>0</v>
      </c>
      <c r="S10">
        <f>SUMIFS('Total-corrected counts Z&lt;2'!R:R,'Total-corrected counts Z&lt;2'!$A:$A,'Brain networks corrected Z&lt;2'!$B10)</f>
        <v>0</v>
      </c>
      <c r="T10">
        <f>SUMIFS('Total-corrected counts Z&lt;2'!S:S,'Total-corrected counts Z&lt;2'!$A:$A,'Brain networks corrected Z&lt;2'!$B10)</f>
        <v>0</v>
      </c>
      <c r="U10">
        <f>SUMIFS('Total-corrected counts Z&lt;2'!T:T,'Total-corrected counts Z&lt;2'!$A:$A,'Brain networks corrected Z&lt;2'!$B10)</f>
        <v>0</v>
      </c>
      <c r="V10">
        <f>SUMIFS('Total-corrected counts Z&lt;2'!U:U,'Total-corrected counts Z&lt;2'!$A:$A,'Brain networks corrected Z&lt;2'!$B10)</f>
        <v>0</v>
      </c>
      <c r="X10" t="e">
        <f t="shared" si="0"/>
        <v>#DIV/0!</v>
      </c>
      <c r="Y10">
        <f t="shared" si="1"/>
        <v>0</v>
      </c>
      <c r="Z10">
        <f t="shared" si="2"/>
        <v>0</v>
      </c>
      <c r="AA10">
        <f t="shared" si="3"/>
        <v>0</v>
      </c>
      <c r="AB10">
        <f t="shared" si="4"/>
        <v>0</v>
      </c>
    </row>
    <row r="11" spans="1:28" x14ac:dyDescent="0.35">
      <c r="A11" t="s">
        <v>1276</v>
      </c>
      <c r="B11">
        <v>351</v>
      </c>
      <c r="C11" t="s">
        <v>188</v>
      </c>
      <c r="D11">
        <v>52900</v>
      </c>
      <c r="E11">
        <v>809</v>
      </c>
      <c r="F11">
        <f>SUMIFS('Total-corrected counts Z&lt;2'!E:E,'Total-corrected counts Z&lt;2'!$A:$A,'Brain networks corrected Z&lt;2'!$B11)</f>
        <v>0</v>
      </c>
      <c r="G11">
        <f>SUMIFS('Total-corrected counts Z&lt;2'!F:F,'Total-corrected counts Z&lt;2'!$A:$A,'Brain networks corrected Z&lt;2'!$B11)</f>
        <v>0</v>
      </c>
      <c r="H11">
        <f>SUMIFS('Total-corrected counts Z&lt;2'!G:G,'Total-corrected counts Z&lt;2'!$A:$A,'Brain networks corrected Z&lt;2'!$B11)</f>
        <v>0</v>
      </c>
      <c r="I11">
        <f>SUMIFS('Total-corrected counts Z&lt;2'!H:H,'Total-corrected counts Z&lt;2'!$A:$A,'Brain networks corrected Z&lt;2'!$B11)</f>
        <v>0</v>
      </c>
      <c r="J11">
        <f>SUMIFS('Total-corrected counts Z&lt;2'!I:I,'Total-corrected counts Z&lt;2'!$A:$A,'Brain networks corrected Z&lt;2'!$B11)</f>
        <v>0</v>
      </c>
      <c r="K11">
        <f>SUMIFS('Total-corrected counts Z&lt;2'!J:J,'Total-corrected counts Z&lt;2'!$A:$A,'Brain networks corrected Z&lt;2'!$B11)</f>
        <v>0</v>
      </c>
      <c r="L11">
        <f>SUMIFS('Total-corrected counts Z&lt;2'!K:K,'Total-corrected counts Z&lt;2'!$A:$A,'Brain networks corrected Z&lt;2'!$B11)</f>
        <v>0</v>
      </c>
      <c r="M11">
        <f>SUMIFS('Total-corrected counts Z&lt;2'!L:L,'Total-corrected counts Z&lt;2'!$A:$A,'Brain networks corrected Z&lt;2'!$B11)</f>
        <v>0</v>
      </c>
      <c r="N11">
        <f>SUMIFS('Total-corrected counts Z&lt;2'!M:M,'Total-corrected counts Z&lt;2'!$A:$A,'Brain networks corrected Z&lt;2'!$B11)</f>
        <v>0</v>
      </c>
      <c r="O11">
        <f>SUMIFS('Total-corrected counts Z&lt;2'!N:N,'Total-corrected counts Z&lt;2'!$A:$A,'Brain networks corrected Z&lt;2'!$B11)</f>
        <v>0</v>
      </c>
      <c r="P11">
        <f>SUMIFS('Total-corrected counts Z&lt;2'!O:O,'Total-corrected counts Z&lt;2'!$A:$A,'Brain networks corrected Z&lt;2'!$B11)</f>
        <v>0</v>
      </c>
      <c r="Q11">
        <f>SUMIFS('Total-corrected counts Z&lt;2'!P:P,'Total-corrected counts Z&lt;2'!$A:$A,'Brain networks corrected Z&lt;2'!$B11)</f>
        <v>0</v>
      </c>
      <c r="R11">
        <f>SUMIFS('Total-corrected counts Z&lt;2'!Q:Q,'Total-corrected counts Z&lt;2'!$A:$A,'Brain networks corrected Z&lt;2'!$B11)</f>
        <v>0</v>
      </c>
      <c r="S11">
        <f>SUMIFS('Total-corrected counts Z&lt;2'!R:R,'Total-corrected counts Z&lt;2'!$A:$A,'Brain networks corrected Z&lt;2'!$B11)</f>
        <v>0</v>
      </c>
      <c r="T11">
        <f>SUMIFS('Total-corrected counts Z&lt;2'!S:S,'Total-corrected counts Z&lt;2'!$A:$A,'Brain networks corrected Z&lt;2'!$B11)</f>
        <v>0</v>
      </c>
      <c r="U11">
        <f>SUMIFS('Total-corrected counts Z&lt;2'!T:T,'Total-corrected counts Z&lt;2'!$A:$A,'Brain networks corrected Z&lt;2'!$B11)</f>
        <v>0</v>
      </c>
      <c r="V11">
        <f>SUMIFS('Total-corrected counts Z&lt;2'!U:U,'Total-corrected counts Z&lt;2'!$A:$A,'Brain networks corrected Z&lt;2'!$B11)</f>
        <v>0</v>
      </c>
      <c r="X11" t="e">
        <f t="shared" si="0"/>
        <v>#DIV/0!</v>
      </c>
      <c r="Y11">
        <f t="shared" si="1"/>
        <v>0</v>
      </c>
      <c r="Z11">
        <f t="shared" si="2"/>
        <v>0</v>
      </c>
      <c r="AA11">
        <f t="shared" si="3"/>
        <v>0</v>
      </c>
      <c r="AB11">
        <f t="shared" si="4"/>
        <v>0</v>
      </c>
    </row>
    <row r="12" spans="1:28" x14ac:dyDescent="0.35">
      <c r="A12" t="s">
        <v>1277</v>
      </c>
      <c r="B12">
        <v>795</v>
      </c>
      <c r="C12" t="s">
        <v>384</v>
      </c>
      <c r="D12">
        <v>81500</v>
      </c>
      <c r="E12">
        <v>323</v>
      </c>
      <c r="F12">
        <f>SUMIFS('Total-corrected counts Z&lt;2'!E:E,'Total-corrected counts Z&lt;2'!$A:$A,'Brain networks corrected Z&lt;2'!$B12)</f>
        <v>0</v>
      </c>
      <c r="G12">
        <f>SUMIFS('Total-corrected counts Z&lt;2'!F:F,'Total-corrected counts Z&lt;2'!$A:$A,'Brain networks corrected Z&lt;2'!$B12)</f>
        <v>0</v>
      </c>
      <c r="H12">
        <f>SUMIFS('Total-corrected counts Z&lt;2'!G:G,'Total-corrected counts Z&lt;2'!$A:$A,'Brain networks corrected Z&lt;2'!$B12)</f>
        <v>0</v>
      </c>
      <c r="I12">
        <f>SUMIFS('Total-corrected counts Z&lt;2'!H:H,'Total-corrected counts Z&lt;2'!$A:$A,'Brain networks corrected Z&lt;2'!$B12)</f>
        <v>0</v>
      </c>
      <c r="J12">
        <f>SUMIFS('Total-corrected counts Z&lt;2'!I:I,'Total-corrected counts Z&lt;2'!$A:$A,'Brain networks corrected Z&lt;2'!$B12)</f>
        <v>0</v>
      </c>
      <c r="K12">
        <f>SUMIFS('Total-corrected counts Z&lt;2'!J:J,'Total-corrected counts Z&lt;2'!$A:$A,'Brain networks corrected Z&lt;2'!$B12)</f>
        <v>0</v>
      </c>
      <c r="L12">
        <f>SUMIFS('Total-corrected counts Z&lt;2'!K:K,'Total-corrected counts Z&lt;2'!$A:$A,'Brain networks corrected Z&lt;2'!$B12)</f>
        <v>0</v>
      </c>
      <c r="M12">
        <f>SUMIFS('Total-corrected counts Z&lt;2'!L:L,'Total-corrected counts Z&lt;2'!$A:$A,'Brain networks corrected Z&lt;2'!$B12)</f>
        <v>0</v>
      </c>
      <c r="N12">
        <f>SUMIFS('Total-corrected counts Z&lt;2'!M:M,'Total-corrected counts Z&lt;2'!$A:$A,'Brain networks corrected Z&lt;2'!$B12)</f>
        <v>0</v>
      </c>
      <c r="O12">
        <f>SUMIFS('Total-corrected counts Z&lt;2'!N:N,'Total-corrected counts Z&lt;2'!$A:$A,'Brain networks corrected Z&lt;2'!$B12)</f>
        <v>0</v>
      </c>
      <c r="P12">
        <f>SUMIFS('Total-corrected counts Z&lt;2'!O:O,'Total-corrected counts Z&lt;2'!$A:$A,'Brain networks corrected Z&lt;2'!$B12)</f>
        <v>0</v>
      </c>
      <c r="Q12">
        <f>SUMIFS('Total-corrected counts Z&lt;2'!P:P,'Total-corrected counts Z&lt;2'!$A:$A,'Brain networks corrected Z&lt;2'!$B12)</f>
        <v>0</v>
      </c>
      <c r="R12">
        <f>SUMIFS('Total-corrected counts Z&lt;2'!Q:Q,'Total-corrected counts Z&lt;2'!$A:$A,'Brain networks corrected Z&lt;2'!$B12)</f>
        <v>0</v>
      </c>
      <c r="S12">
        <f>SUMIFS('Total-corrected counts Z&lt;2'!R:R,'Total-corrected counts Z&lt;2'!$A:$A,'Brain networks corrected Z&lt;2'!$B12)</f>
        <v>0</v>
      </c>
      <c r="T12">
        <f>SUMIFS('Total-corrected counts Z&lt;2'!S:S,'Total-corrected counts Z&lt;2'!$A:$A,'Brain networks corrected Z&lt;2'!$B12)</f>
        <v>0</v>
      </c>
      <c r="U12">
        <f>SUMIFS('Total-corrected counts Z&lt;2'!T:T,'Total-corrected counts Z&lt;2'!$A:$A,'Brain networks corrected Z&lt;2'!$B12)</f>
        <v>0</v>
      </c>
      <c r="V12">
        <f>SUMIFS('Total-corrected counts Z&lt;2'!U:U,'Total-corrected counts Z&lt;2'!$A:$A,'Brain networks corrected Z&lt;2'!$B12)</f>
        <v>0</v>
      </c>
      <c r="X12" t="e">
        <f t="shared" si="0"/>
        <v>#DIV/0!</v>
      </c>
      <c r="Y12">
        <f t="shared" si="1"/>
        <v>0</v>
      </c>
      <c r="Z12">
        <f t="shared" si="2"/>
        <v>0</v>
      </c>
      <c r="AA12">
        <f t="shared" si="3"/>
        <v>0</v>
      </c>
      <c r="AB12">
        <f t="shared" si="4"/>
        <v>0</v>
      </c>
    </row>
    <row r="13" spans="1:28" x14ac:dyDescent="0.35">
      <c r="A13" t="s">
        <v>1278</v>
      </c>
      <c r="B13">
        <v>88</v>
      </c>
      <c r="C13" t="s">
        <v>58</v>
      </c>
      <c r="D13">
        <v>74100</v>
      </c>
      <c r="E13">
        <v>467</v>
      </c>
      <c r="F13">
        <f>SUMIFS('Total-corrected counts Z&lt;2'!E:E,'Total-corrected counts Z&lt;2'!$A:$A,'Brain networks corrected Z&lt;2'!$B13)</f>
        <v>0</v>
      </c>
      <c r="G13">
        <f>SUMIFS('Total-corrected counts Z&lt;2'!F:F,'Total-corrected counts Z&lt;2'!$A:$A,'Brain networks corrected Z&lt;2'!$B13)</f>
        <v>0</v>
      </c>
      <c r="H13">
        <f>SUMIFS('Total-corrected counts Z&lt;2'!G:G,'Total-corrected counts Z&lt;2'!$A:$A,'Brain networks corrected Z&lt;2'!$B13)</f>
        <v>0</v>
      </c>
      <c r="I13">
        <f>SUMIFS('Total-corrected counts Z&lt;2'!H:H,'Total-corrected counts Z&lt;2'!$A:$A,'Brain networks corrected Z&lt;2'!$B13)</f>
        <v>0</v>
      </c>
      <c r="J13">
        <f>SUMIFS('Total-corrected counts Z&lt;2'!I:I,'Total-corrected counts Z&lt;2'!$A:$A,'Brain networks corrected Z&lt;2'!$B13)</f>
        <v>0</v>
      </c>
      <c r="K13">
        <f>SUMIFS('Total-corrected counts Z&lt;2'!J:J,'Total-corrected counts Z&lt;2'!$A:$A,'Brain networks corrected Z&lt;2'!$B13)</f>
        <v>0</v>
      </c>
      <c r="L13">
        <f>SUMIFS('Total-corrected counts Z&lt;2'!K:K,'Total-corrected counts Z&lt;2'!$A:$A,'Brain networks corrected Z&lt;2'!$B13)</f>
        <v>0</v>
      </c>
      <c r="M13">
        <f>SUMIFS('Total-corrected counts Z&lt;2'!L:L,'Total-corrected counts Z&lt;2'!$A:$A,'Brain networks corrected Z&lt;2'!$B13)</f>
        <v>0</v>
      </c>
      <c r="N13">
        <f>SUMIFS('Total-corrected counts Z&lt;2'!M:M,'Total-corrected counts Z&lt;2'!$A:$A,'Brain networks corrected Z&lt;2'!$B13)</f>
        <v>0</v>
      </c>
      <c r="O13">
        <f>SUMIFS('Total-corrected counts Z&lt;2'!N:N,'Total-corrected counts Z&lt;2'!$A:$A,'Brain networks corrected Z&lt;2'!$B13)</f>
        <v>0</v>
      </c>
      <c r="P13">
        <f>SUMIFS('Total-corrected counts Z&lt;2'!O:O,'Total-corrected counts Z&lt;2'!$A:$A,'Brain networks corrected Z&lt;2'!$B13)</f>
        <v>0</v>
      </c>
      <c r="Q13">
        <f>SUMIFS('Total-corrected counts Z&lt;2'!P:P,'Total-corrected counts Z&lt;2'!$A:$A,'Brain networks corrected Z&lt;2'!$B13)</f>
        <v>0</v>
      </c>
      <c r="R13">
        <f>SUMIFS('Total-corrected counts Z&lt;2'!Q:Q,'Total-corrected counts Z&lt;2'!$A:$A,'Brain networks corrected Z&lt;2'!$B13)</f>
        <v>0</v>
      </c>
      <c r="S13">
        <f>SUMIFS('Total-corrected counts Z&lt;2'!R:R,'Total-corrected counts Z&lt;2'!$A:$A,'Brain networks corrected Z&lt;2'!$B13)</f>
        <v>0</v>
      </c>
      <c r="T13">
        <f>SUMIFS('Total-corrected counts Z&lt;2'!S:S,'Total-corrected counts Z&lt;2'!$A:$A,'Brain networks corrected Z&lt;2'!$B13)</f>
        <v>0</v>
      </c>
      <c r="U13">
        <f>SUMIFS('Total-corrected counts Z&lt;2'!T:T,'Total-corrected counts Z&lt;2'!$A:$A,'Brain networks corrected Z&lt;2'!$B13)</f>
        <v>0</v>
      </c>
      <c r="V13">
        <f>SUMIFS('Total-corrected counts Z&lt;2'!U:U,'Total-corrected counts Z&lt;2'!$A:$A,'Brain networks corrected Z&lt;2'!$B13)</f>
        <v>0</v>
      </c>
      <c r="X13" t="e">
        <f t="shared" si="0"/>
        <v>#DIV/0!</v>
      </c>
      <c r="Y13">
        <f t="shared" si="1"/>
        <v>0</v>
      </c>
      <c r="Z13">
        <f t="shared" si="2"/>
        <v>0</v>
      </c>
      <c r="AA13">
        <f t="shared" si="3"/>
        <v>0</v>
      </c>
      <c r="AB13">
        <f t="shared" si="4"/>
        <v>0</v>
      </c>
    </row>
    <row r="15" spans="1:28" x14ac:dyDescent="0.35">
      <c r="A15" s="6" t="s">
        <v>1290</v>
      </c>
    </row>
    <row r="16" spans="1:28" x14ac:dyDescent="0.35">
      <c r="A16" t="s">
        <v>1282</v>
      </c>
      <c r="C16" t="s">
        <v>1285</v>
      </c>
      <c r="E16">
        <v>993</v>
      </c>
      <c r="F16">
        <f>SUMPRODUCT(SUMIFS('Total-corrected counts Z&lt;2'!E:E,'Total-corrected counts Z&lt;2'!$A:$A,$B92:$B96))</f>
        <v>0</v>
      </c>
      <c r="G16">
        <f>SUMPRODUCT(SUMIFS('Total-corrected counts Z&lt;2'!F:F,'Total-corrected counts Z&lt;2'!$A:$A,$B92:$B96))</f>
        <v>0</v>
      </c>
      <c r="H16">
        <f>SUMPRODUCT(SUMIFS('Total-corrected counts Z&lt;2'!G:G,'Total-corrected counts Z&lt;2'!$A:$A,$B92:$B96))</f>
        <v>0</v>
      </c>
      <c r="I16">
        <f>SUMPRODUCT(SUMIFS('Total-corrected counts Z&lt;2'!H:H,'Total-corrected counts Z&lt;2'!$A:$A,$B92:$B96))</f>
        <v>0</v>
      </c>
      <c r="J16">
        <f>SUMPRODUCT(SUMIFS('Total-corrected counts Z&lt;2'!I:I,'Total-corrected counts Z&lt;2'!$A:$A,$B92:$B96))</f>
        <v>0</v>
      </c>
      <c r="K16">
        <f>SUMPRODUCT(SUMIFS('Total-corrected counts Z&lt;2'!J:J,'Total-corrected counts Z&lt;2'!$A:$A,$B92:$B96))</f>
        <v>0</v>
      </c>
      <c r="L16">
        <f>SUMPRODUCT(SUMIFS('Total-corrected counts Z&lt;2'!K:K,'Total-corrected counts Z&lt;2'!$A:$A,$B92:$B96))</f>
        <v>0</v>
      </c>
      <c r="M16">
        <f>SUMPRODUCT(SUMIFS('Total-corrected counts Z&lt;2'!L:L,'Total-corrected counts Z&lt;2'!$A:$A,$B92:$B96))</f>
        <v>0</v>
      </c>
      <c r="N16">
        <f>SUMPRODUCT(SUMIFS('Total-corrected counts Z&lt;2'!M:M,'Total-corrected counts Z&lt;2'!$A:$A,$B92:$B96))</f>
        <v>0</v>
      </c>
      <c r="O16">
        <f>SUMPRODUCT(SUMIFS('Total-corrected counts Z&lt;2'!N:N,'Total-corrected counts Z&lt;2'!$A:$A,$B92:$B96))</f>
        <v>0</v>
      </c>
      <c r="P16">
        <f>SUMPRODUCT(SUMIFS('Total-corrected counts Z&lt;2'!O:O,'Total-corrected counts Z&lt;2'!$A:$A,$B92:$B96))</f>
        <v>0</v>
      </c>
      <c r="Q16">
        <f>SUMPRODUCT(SUMIFS('Total-corrected counts Z&lt;2'!P:P,'Total-corrected counts Z&lt;2'!$A:$A,$B92:$B96))</f>
        <v>0</v>
      </c>
      <c r="R16">
        <f>SUMPRODUCT(SUMIFS('Total-corrected counts Z&lt;2'!Q:Q,'Total-corrected counts Z&lt;2'!$A:$A,$B92:$B96))</f>
        <v>0</v>
      </c>
      <c r="S16">
        <f>SUMPRODUCT(SUMIFS('Total-corrected counts Z&lt;2'!R:R,'Total-corrected counts Z&lt;2'!$A:$A,$B92:$B96))</f>
        <v>0</v>
      </c>
      <c r="T16">
        <f>SUMPRODUCT(SUMIFS('Total-corrected counts Z&lt;2'!S:S,'Total-corrected counts Z&lt;2'!$A:$A,$B92:$B96))</f>
        <v>0</v>
      </c>
      <c r="U16">
        <f>SUMPRODUCT(SUMIFS('Total-corrected counts Z&lt;2'!T:T,'Total-corrected counts Z&lt;2'!$A:$A,$B92:$B96))</f>
        <v>0</v>
      </c>
      <c r="V16">
        <f>SUMPRODUCT(SUMIFS('Total-corrected counts Z&lt;2'!U:U,'Total-corrected counts Z&lt;2'!$A:$A,$B92:$B96))</f>
        <v>0</v>
      </c>
      <c r="X16" t="e">
        <f t="shared" si="0"/>
        <v>#DIV/0!</v>
      </c>
      <c r="Y16">
        <f t="shared" si="1"/>
        <v>0</v>
      </c>
      <c r="Z16">
        <f t="shared" si="2"/>
        <v>0</v>
      </c>
      <c r="AA16">
        <f t="shared" si="3"/>
        <v>0</v>
      </c>
      <c r="AB16">
        <f t="shared" si="4"/>
        <v>0</v>
      </c>
    </row>
    <row r="17" spans="1:28" x14ac:dyDescent="0.35">
      <c r="A17" t="s">
        <v>578</v>
      </c>
      <c r="C17" t="s">
        <v>42</v>
      </c>
      <c r="E17">
        <v>44</v>
      </c>
      <c r="F17">
        <f>SUMPRODUCT(SUMIFS('Total-corrected counts Z&lt;2'!E:E,'Total-corrected counts Z&lt;2'!$A:$A,$B57:$B61))</f>
        <v>0</v>
      </c>
      <c r="G17">
        <f>SUMPRODUCT(SUMIFS('Total-corrected counts Z&lt;2'!F:F,'Total-corrected counts Z&lt;2'!$A:$A,$B57:$B61))</f>
        <v>0</v>
      </c>
      <c r="H17">
        <f>SUMPRODUCT(SUMIFS('Total-corrected counts Z&lt;2'!G:G,'Total-corrected counts Z&lt;2'!$A:$A,$B57:$B61))</f>
        <v>0</v>
      </c>
      <c r="I17">
        <f>SUMPRODUCT(SUMIFS('Total-corrected counts Z&lt;2'!H:H,'Total-corrected counts Z&lt;2'!$A:$A,$B57:$B61))</f>
        <v>0</v>
      </c>
      <c r="J17">
        <f>SUMPRODUCT(SUMIFS('Total-corrected counts Z&lt;2'!I:I,'Total-corrected counts Z&lt;2'!$A:$A,$B57:$B61))</f>
        <v>0</v>
      </c>
      <c r="K17">
        <f>SUMPRODUCT(SUMIFS('Total-corrected counts Z&lt;2'!J:J,'Total-corrected counts Z&lt;2'!$A:$A,$B57:$B61))</f>
        <v>0</v>
      </c>
      <c r="L17">
        <f>SUMPRODUCT(SUMIFS('Total-corrected counts Z&lt;2'!K:K,'Total-corrected counts Z&lt;2'!$A:$A,$B57:$B61))</f>
        <v>0</v>
      </c>
      <c r="M17">
        <f>SUMPRODUCT(SUMIFS('Total-corrected counts Z&lt;2'!L:L,'Total-corrected counts Z&lt;2'!$A:$A,$B57:$B61))</f>
        <v>0</v>
      </c>
      <c r="N17">
        <f>SUMPRODUCT(SUMIFS('Total-corrected counts Z&lt;2'!M:M,'Total-corrected counts Z&lt;2'!$A:$A,$B57:$B61))</f>
        <v>0</v>
      </c>
      <c r="O17">
        <f>SUMPRODUCT(SUMIFS('Total-corrected counts Z&lt;2'!N:N,'Total-corrected counts Z&lt;2'!$A:$A,$B57:$B61))</f>
        <v>0</v>
      </c>
      <c r="P17">
        <f>SUMPRODUCT(SUMIFS('Total-corrected counts Z&lt;2'!O:O,'Total-corrected counts Z&lt;2'!$A:$A,$B57:$B61))</f>
        <v>0</v>
      </c>
      <c r="Q17">
        <f>SUMPRODUCT(SUMIFS('Total-corrected counts Z&lt;2'!P:P,'Total-corrected counts Z&lt;2'!$A:$A,$B57:$B61))</f>
        <v>0</v>
      </c>
      <c r="R17">
        <f>SUMPRODUCT(SUMIFS('Total-corrected counts Z&lt;2'!Q:Q,'Total-corrected counts Z&lt;2'!$A:$A,$B57:$B61))</f>
        <v>0</v>
      </c>
      <c r="S17">
        <f>SUMPRODUCT(SUMIFS('Total-corrected counts Z&lt;2'!R:R,'Total-corrected counts Z&lt;2'!$A:$A,$B57:$B61))</f>
        <v>0</v>
      </c>
      <c r="T17">
        <f>SUMPRODUCT(SUMIFS('Total-corrected counts Z&lt;2'!S:S,'Total-corrected counts Z&lt;2'!$A:$A,$B57:$B61))</f>
        <v>0</v>
      </c>
      <c r="U17">
        <f>SUMPRODUCT(SUMIFS('Total-corrected counts Z&lt;2'!T:T,'Total-corrected counts Z&lt;2'!$A:$A,$B57:$B61))</f>
        <v>0</v>
      </c>
      <c r="V17">
        <f>SUMPRODUCT(SUMIFS('Total-corrected counts Z&lt;2'!U:U,'Total-corrected counts Z&lt;2'!$A:$A,$B57:$B61))</f>
        <v>0</v>
      </c>
      <c r="X17" t="e">
        <f t="shared" si="0"/>
        <v>#DIV/0!</v>
      </c>
      <c r="Y17">
        <f t="shared" si="1"/>
        <v>0</v>
      </c>
      <c r="Z17">
        <f t="shared" si="2"/>
        <v>0</v>
      </c>
      <c r="AA17">
        <f t="shared" si="3"/>
        <v>0</v>
      </c>
      <c r="AB17">
        <f t="shared" si="4"/>
        <v>0</v>
      </c>
    </row>
    <row r="19" spans="1:28" x14ac:dyDescent="0.35">
      <c r="A19" s="6" t="s">
        <v>1291</v>
      </c>
    </row>
    <row r="20" spans="1:28" x14ac:dyDescent="0.35">
      <c r="A20" t="s">
        <v>577</v>
      </c>
      <c r="C20" t="s">
        <v>478</v>
      </c>
      <c r="E20">
        <v>972</v>
      </c>
      <c r="F20">
        <f>SUMPRODUCT(SUMIFS('Total-corrected counts Z&lt;2'!E:E,'Total-corrected counts Z&lt;2'!$A:$A,$B52:$B56))</f>
        <v>0</v>
      </c>
      <c r="G20">
        <f>SUMPRODUCT(SUMIFS('Total-corrected counts Z&lt;2'!F:F,'Total-corrected counts Z&lt;2'!$A:$A,$B52:$B56))</f>
        <v>0</v>
      </c>
      <c r="H20">
        <f>SUMPRODUCT(SUMIFS('Total-corrected counts Z&lt;2'!G:G,'Total-corrected counts Z&lt;2'!$A:$A,$B52:$B56))</f>
        <v>0</v>
      </c>
      <c r="I20">
        <f>SUMPRODUCT(SUMIFS('Total-corrected counts Z&lt;2'!H:H,'Total-corrected counts Z&lt;2'!$A:$A,$B52:$B56))</f>
        <v>0</v>
      </c>
      <c r="J20">
        <f>SUMPRODUCT(SUMIFS('Total-corrected counts Z&lt;2'!I:I,'Total-corrected counts Z&lt;2'!$A:$A,$B52:$B56))</f>
        <v>0</v>
      </c>
      <c r="K20">
        <f>SUMPRODUCT(SUMIFS('Total-corrected counts Z&lt;2'!J:J,'Total-corrected counts Z&lt;2'!$A:$A,$B52:$B56))</f>
        <v>0</v>
      </c>
      <c r="L20">
        <f>SUMPRODUCT(SUMIFS('Total-corrected counts Z&lt;2'!K:K,'Total-corrected counts Z&lt;2'!$A:$A,$B52:$B56))</f>
        <v>0</v>
      </c>
      <c r="M20">
        <f>SUMPRODUCT(SUMIFS('Total-corrected counts Z&lt;2'!L:L,'Total-corrected counts Z&lt;2'!$A:$A,$B52:$B56))</f>
        <v>0</v>
      </c>
      <c r="N20">
        <f>SUMPRODUCT(SUMIFS('Total-corrected counts Z&lt;2'!M:M,'Total-corrected counts Z&lt;2'!$A:$A,$B52:$B56))</f>
        <v>0</v>
      </c>
      <c r="O20">
        <f>SUMPRODUCT(SUMIFS('Total-corrected counts Z&lt;2'!N:N,'Total-corrected counts Z&lt;2'!$A:$A,$B52:$B56))</f>
        <v>0</v>
      </c>
      <c r="P20">
        <f>SUMPRODUCT(SUMIFS('Total-corrected counts Z&lt;2'!O:O,'Total-corrected counts Z&lt;2'!$A:$A,$B52:$B56))</f>
        <v>0</v>
      </c>
      <c r="Q20">
        <f>SUMPRODUCT(SUMIFS('Total-corrected counts Z&lt;2'!P:P,'Total-corrected counts Z&lt;2'!$A:$A,$B52:$B56))</f>
        <v>0</v>
      </c>
      <c r="R20">
        <f>SUMPRODUCT(SUMIFS('Total-corrected counts Z&lt;2'!Q:Q,'Total-corrected counts Z&lt;2'!$A:$A,$B52:$B56))</f>
        <v>0</v>
      </c>
      <c r="S20">
        <f>SUMPRODUCT(SUMIFS('Total-corrected counts Z&lt;2'!R:R,'Total-corrected counts Z&lt;2'!$A:$A,$B52:$B56))</f>
        <v>0</v>
      </c>
      <c r="T20">
        <f>SUMPRODUCT(SUMIFS('Total-corrected counts Z&lt;2'!S:S,'Total-corrected counts Z&lt;2'!$A:$A,$B52:$B56))</f>
        <v>0</v>
      </c>
      <c r="U20">
        <f>SUMPRODUCT(SUMIFS('Total-corrected counts Z&lt;2'!T:T,'Total-corrected counts Z&lt;2'!$A:$A,$B52:$B56))</f>
        <v>0</v>
      </c>
      <c r="V20">
        <f>SUMPRODUCT(SUMIFS('Total-corrected counts Z&lt;2'!U:U,'Total-corrected counts Z&lt;2'!$A:$A,$B52:$B56))</f>
        <v>0</v>
      </c>
      <c r="X20" t="e">
        <f t="shared" si="0"/>
        <v>#DIV/0!</v>
      </c>
      <c r="Y20">
        <f t="shared" si="1"/>
        <v>0</v>
      </c>
      <c r="Z20">
        <f t="shared" si="2"/>
        <v>0</v>
      </c>
      <c r="AA20">
        <f t="shared" si="3"/>
        <v>0</v>
      </c>
      <c r="AB20">
        <f t="shared" si="4"/>
        <v>0</v>
      </c>
    </row>
    <row r="21" spans="1:28" x14ac:dyDescent="0.35">
      <c r="A21" t="s">
        <v>1279</v>
      </c>
      <c r="C21" t="s">
        <v>1286</v>
      </c>
      <c r="F21">
        <f>SUMPRODUCT(SUMIFS('Total-corrected counts Z&lt;2'!E:E,'Total-corrected counts Z&lt;2'!$A:$A,$B97:$B106))</f>
        <v>0</v>
      </c>
      <c r="G21">
        <f>SUMPRODUCT(SUMIFS('Total-corrected counts Z&lt;2'!F:F,'Total-corrected counts Z&lt;2'!$A:$A,$B97:$B106))</f>
        <v>0</v>
      </c>
      <c r="H21">
        <f>SUMPRODUCT(SUMIFS('Total-corrected counts Z&lt;2'!G:G,'Total-corrected counts Z&lt;2'!$A:$A,$B97:$B106))</f>
        <v>0</v>
      </c>
      <c r="I21">
        <f>SUMPRODUCT(SUMIFS('Total-corrected counts Z&lt;2'!H:H,'Total-corrected counts Z&lt;2'!$A:$A,$B97:$B106))</f>
        <v>0</v>
      </c>
      <c r="J21">
        <f>SUMPRODUCT(SUMIFS('Total-corrected counts Z&lt;2'!I:I,'Total-corrected counts Z&lt;2'!$A:$A,$B97:$B106))</f>
        <v>0</v>
      </c>
      <c r="K21">
        <f>SUMPRODUCT(SUMIFS('Total-corrected counts Z&lt;2'!J:J,'Total-corrected counts Z&lt;2'!$A:$A,$B97:$B106))</f>
        <v>0</v>
      </c>
      <c r="L21">
        <f>SUMPRODUCT(SUMIFS('Total-corrected counts Z&lt;2'!K:K,'Total-corrected counts Z&lt;2'!$A:$A,$B97:$B106))</f>
        <v>0</v>
      </c>
      <c r="M21">
        <f>SUMPRODUCT(SUMIFS('Total-corrected counts Z&lt;2'!L:L,'Total-corrected counts Z&lt;2'!$A:$A,$B97:$B106))</f>
        <v>0</v>
      </c>
      <c r="N21">
        <f>SUMPRODUCT(SUMIFS('Total-corrected counts Z&lt;2'!M:M,'Total-corrected counts Z&lt;2'!$A:$A,$B97:$B106))</f>
        <v>0</v>
      </c>
      <c r="O21">
        <f>SUMPRODUCT(SUMIFS('Total-corrected counts Z&lt;2'!N:N,'Total-corrected counts Z&lt;2'!$A:$A,$B97:$B106))</f>
        <v>0</v>
      </c>
      <c r="P21">
        <f>SUMPRODUCT(SUMIFS('Total-corrected counts Z&lt;2'!O:O,'Total-corrected counts Z&lt;2'!$A:$A,$B97:$B106))</f>
        <v>0</v>
      </c>
      <c r="Q21">
        <f>SUMPRODUCT(SUMIFS('Total-corrected counts Z&lt;2'!P:P,'Total-corrected counts Z&lt;2'!$A:$A,$B97:$B106))</f>
        <v>0</v>
      </c>
      <c r="R21">
        <f>SUMPRODUCT(SUMIFS('Total-corrected counts Z&lt;2'!Q:Q,'Total-corrected counts Z&lt;2'!$A:$A,$B97:$B106))</f>
        <v>0</v>
      </c>
      <c r="S21">
        <f>SUMPRODUCT(SUMIFS('Total-corrected counts Z&lt;2'!R:R,'Total-corrected counts Z&lt;2'!$A:$A,$B97:$B106))</f>
        <v>0</v>
      </c>
      <c r="T21">
        <f>SUMPRODUCT(SUMIFS('Total-corrected counts Z&lt;2'!S:S,'Total-corrected counts Z&lt;2'!$A:$A,$B97:$B106))</f>
        <v>0</v>
      </c>
      <c r="U21">
        <f>SUMPRODUCT(SUMIFS('Total-corrected counts Z&lt;2'!T:T,'Total-corrected counts Z&lt;2'!$A:$A,$B97:$B106))</f>
        <v>0</v>
      </c>
      <c r="V21">
        <f>SUMPRODUCT(SUMIFS('Total-corrected counts Z&lt;2'!U:U,'Total-corrected counts Z&lt;2'!$A:$A,$B97:$B106))</f>
        <v>0</v>
      </c>
      <c r="X21" t="e">
        <f t="shared" si="0"/>
        <v>#DIV/0!</v>
      </c>
      <c r="Y21">
        <f t="shared" si="1"/>
        <v>0</v>
      </c>
      <c r="Z21">
        <f t="shared" si="2"/>
        <v>0</v>
      </c>
      <c r="AA21">
        <f t="shared" si="3"/>
        <v>0</v>
      </c>
      <c r="AB21">
        <f t="shared" si="4"/>
        <v>0</v>
      </c>
    </row>
    <row r="22" spans="1:28" x14ac:dyDescent="0.35">
      <c r="A22" t="s">
        <v>1280</v>
      </c>
      <c r="C22" t="s">
        <v>1287</v>
      </c>
      <c r="E22">
        <v>731</v>
      </c>
      <c r="F22">
        <f>SUMPRODUCT(SUMIFS('Total-corrected counts Z&lt;2'!E:E,'Total-corrected counts Z&lt;2'!$A:$A,$B107:$B110))</f>
        <v>0</v>
      </c>
      <c r="G22">
        <f>SUMPRODUCT(SUMIFS('Total-corrected counts Z&lt;2'!F:F,'Total-corrected counts Z&lt;2'!$A:$A,$B107:$B110))</f>
        <v>0</v>
      </c>
      <c r="H22">
        <f>SUMPRODUCT(SUMIFS('Total-corrected counts Z&lt;2'!G:G,'Total-corrected counts Z&lt;2'!$A:$A,$B107:$B110))</f>
        <v>0</v>
      </c>
      <c r="I22">
        <f>SUMPRODUCT(SUMIFS('Total-corrected counts Z&lt;2'!H:H,'Total-corrected counts Z&lt;2'!$A:$A,$B107:$B110))</f>
        <v>0</v>
      </c>
      <c r="J22">
        <f>SUMPRODUCT(SUMIFS('Total-corrected counts Z&lt;2'!I:I,'Total-corrected counts Z&lt;2'!$A:$A,$B107:$B110))</f>
        <v>0</v>
      </c>
      <c r="K22">
        <f>SUMPRODUCT(SUMIFS('Total-corrected counts Z&lt;2'!J:J,'Total-corrected counts Z&lt;2'!$A:$A,$B107:$B110))</f>
        <v>0</v>
      </c>
      <c r="L22">
        <f>SUMPRODUCT(SUMIFS('Total-corrected counts Z&lt;2'!K:K,'Total-corrected counts Z&lt;2'!$A:$A,$B107:$B110))</f>
        <v>0</v>
      </c>
      <c r="M22">
        <f>SUMPRODUCT(SUMIFS('Total-corrected counts Z&lt;2'!L:L,'Total-corrected counts Z&lt;2'!$A:$A,$B107:$B110))</f>
        <v>0</v>
      </c>
      <c r="N22">
        <f>SUMPRODUCT(SUMIFS('Total-corrected counts Z&lt;2'!M:M,'Total-corrected counts Z&lt;2'!$A:$A,$B107:$B110))</f>
        <v>0</v>
      </c>
      <c r="O22">
        <f>SUMPRODUCT(SUMIFS('Total-corrected counts Z&lt;2'!N:N,'Total-corrected counts Z&lt;2'!$A:$A,$B107:$B110))</f>
        <v>0</v>
      </c>
      <c r="P22">
        <f>SUMPRODUCT(SUMIFS('Total-corrected counts Z&lt;2'!O:O,'Total-corrected counts Z&lt;2'!$A:$A,$B107:$B110))</f>
        <v>0</v>
      </c>
      <c r="Q22">
        <f>SUMPRODUCT(SUMIFS('Total-corrected counts Z&lt;2'!P:P,'Total-corrected counts Z&lt;2'!$A:$A,$B107:$B110))</f>
        <v>0</v>
      </c>
      <c r="R22">
        <f>SUMPRODUCT(SUMIFS('Total-corrected counts Z&lt;2'!Q:Q,'Total-corrected counts Z&lt;2'!$A:$A,$B107:$B110))</f>
        <v>0</v>
      </c>
      <c r="S22">
        <f>SUMPRODUCT(SUMIFS('Total-corrected counts Z&lt;2'!R:R,'Total-corrected counts Z&lt;2'!$A:$A,$B107:$B110))</f>
        <v>0</v>
      </c>
      <c r="T22">
        <f>SUMPRODUCT(SUMIFS('Total-corrected counts Z&lt;2'!S:S,'Total-corrected counts Z&lt;2'!$A:$A,$B107:$B110))</f>
        <v>0</v>
      </c>
      <c r="U22">
        <f>SUMPRODUCT(SUMIFS('Total-corrected counts Z&lt;2'!T:T,'Total-corrected counts Z&lt;2'!$A:$A,$B107:$B110))</f>
        <v>0</v>
      </c>
      <c r="V22">
        <f>SUMPRODUCT(SUMIFS('Total-corrected counts Z&lt;2'!U:U,'Total-corrected counts Z&lt;2'!$A:$A,$B107:$B110))</f>
        <v>0</v>
      </c>
      <c r="X22" t="e">
        <f t="shared" si="0"/>
        <v>#DIV/0!</v>
      </c>
      <c r="Y22">
        <f t="shared" si="1"/>
        <v>0</v>
      </c>
      <c r="Z22">
        <f t="shared" si="2"/>
        <v>0</v>
      </c>
      <c r="AA22">
        <f t="shared" si="3"/>
        <v>0</v>
      </c>
      <c r="AB22">
        <f t="shared" si="4"/>
        <v>0</v>
      </c>
    </row>
    <row r="23" spans="1:28" x14ac:dyDescent="0.35">
      <c r="A23" t="s">
        <v>575</v>
      </c>
      <c r="C23" t="s">
        <v>140</v>
      </c>
      <c r="F23">
        <f>SUMPRODUCT(SUMIFS('Total-corrected counts Z&lt;2'!E:E,'Total-corrected counts Z&lt;2'!$A:$A,$B35:$B51))</f>
        <v>0</v>
      </c>
      <c r="G23">
        <f>SUMPRODUCT(SUMIFS('Total-corrected counts Z&lt;2'!F:F,'Total-corrected counts Z&lt;2'!$A:$A,$B35:$B51))</f>
        <v>0</v>
      </c>
      <c r="H23">
        <f>SUMPRODUCT(SUMIFS('Total-corrected counts Z&lt;2'!G:G,'Total-corrected counts Z&lt;2'!$A:$A,$B35:$B51))</f>
        <v>0</v>
      </c>
      <c r="I23">
        <f>SUMPRODUCT(SUMIFS('Total-corrected counts Z&lt;2'!H:H,'Total-corrected counts Z&lt;2'!$A:$A,$B35:$B51))</f>
        <v>0</v>
      </c>
      <c r="J23">
        <f>SUMPRODUCT(SUMIFS('Total-corrected counts Z&lt;2'!I:I,'Total-corrected counts Z&lt;2'!$A:$A,$B35:$B51))</f>
        <v>0</v>
      </c>
      <c r="K23">
        <f>SUMPRODUCT(SUMIFS('Total-corrected counts Z&lt;2'!J:J,'Total-corrected counts Z&lt;2'!$A:$A,$B35:$B51))</f>
        <v>0</v>
      </c>
      <c r="L23">
        <f>SUMPRODUCT(SUMIFS('Total-corrected counts Z&lt;2'!K:K,'Total-corrected counts Z&lt;2'!$A:$A,$B35:$B51))</f>
        <v>0</v>
      </c>
      <c r="M23">
        <f>SUMPRODUCT(SUMIFS('Total-corrected counts Z&lt;2'!L:L,'Total-corrected counts Z&lt;2'!$A:$A,$B35:$B51))</f>
        <v>0</v>
      </c>
      <c r="N23">
        <f>SUMPRODUCT(SUMIFS('Total-corrected counts Z&lt;2'!M:M,'Total-corrected counts Z&lt;2'!$A:$A,$B35:$B51))</f>
        <v>0</v>
      </c>
      <c r="O23">
        <f>SUMPRODUCT(SUMIFS('Total-corrected counts Z&lt;2'!N:N,'Total-corrected counts Z&lt;2'!$A:$A,$B35:$B51))</f>
        <v>0</v>
      </c>
      <c r="P23">
        <f>SUMPRODUCT(SUMIFS('Total-corrected counts Z&lt;2'!O:O,'Total-corrected counts Z&lt;2'!$A:$A,$B35:$B51))</f>
        <v>0</v>
      </c>
      <c r="Q23">
        <f>SUMPRODUCT(SUMIFS('Total-corrected counts Z&lt;2'!P:P,'Total-corrected counts Z&lt;2'!$A:$A,$B35:$B51))</f>
        <v>0</v>
      </c>
      <c r="R23">
        <f>SUMPRODUCT(SUMIFS('Total-corrected counts Z&lt;2'!Q:Q,'Total-corrected counts Z&lt;2'!$A:$A,$B35:$B51))</f>
        <v>0</v>
      </c>
      <c r="S23">
        <f>SUMPRODUCT(SUMIFS('Total-corrected counts Z&lt;2'!R:R,'Total-corrected counts Z&lt;2'!$A:$A,$B35:$B51))</f>
        <v>0</v>
      </c>
      <c r="T23">
        <f>SUMPRODUCT(SUMIFS('Total-corrected counts Z&lt;2'!S:S,'Total-corrected counts Z&lt;2'!$A:$A,$B35:$B51))</f>
        <v>0</v>
      </c>
      <c r="U23">
        <f>SUMPRODUCT(SUMIFS('Total-corrected counts Z&lt;2'!T:T,'Total-corrected counts Z&lt;2'!$A:$A,$B35:$B51))</f>
        <v>0</v>
      </c>
      <c r="V23">
        <f>SUMPRODUCT(SUMIFS('Total-corrected counts Z&lt;2'!U:U,'Total-corrected counts Z&lt;2'!$A:$A,$B35:$B51))</f>
        <v>0</v>
      </c>
      <c r="X23" t="e">
        <f t="shared" si="0"/>
        <v>#DIV/0!</v>
      </c>
      <c r="Y23">
        <f t="shared" si="1"/>
        <v>0</v>
      </c>
      <c r="Z23">
        <f t="shared" si="2"/>
        <v>0</v>
      </c>
      <c r="AA23">
        <f t="shared" si="3"/>
        <v>0</v>
      </c>
      <c r="AB23">
        <f t="shared" si="4"/>
        <v>0</v>
      </c>
    </row>
    <row r="24" spans="1:28" x14ac:dyDescent="0.35">
      <c r="A24" t="s">
        <v>1281</v>
      </c>
      <c r="C24" t="s">
        <v>1288</v>
      </c>
      <c r="E24">
        <v>909</v>
      </c>
      <c r="F24">
        <f>SUMPRODUCT(SUMIFS('Total-corrected counts Z&lt;2'!E:E,'Total-corrected counts Z&lt;2'!$A:$A,$B111:$B113))</f>
        <v>0</v>
      </c>
      <c r="G24">
        <f>SUMPRODUCT(SUMIFS('Total-corrected counts Z&lt;2'!F:F,'Total-corrected counts Z&lt;2'!$A:$A,$B111:$B113))</f>
        <v>0</v>
      </c>
      <c r="H24">
        <f>SUMPRODUCT(SUMIFS('Total-corrected counts Z&lt;2'!G:G,'Total-corrected counts Z&lt;2'!$A:$A,$B111:$B113))</f>
        <v>0</v>
      </c>
      <c r="I24">
        <f>SUMPRODUCT(SUMIFS('Total-corrected counts Z&lt;2'!H:H,'Total-corrected counts Z&lt;2'!$A:$A,$B111:$B113))</f>
        <v>0</v>
      </c>
      <c r="J24">
        <f>SUMPRODUCT(SUMIFS('Total-corrected counts Z&lt;2'!I:I,'Total-corrected counts Z&lt;2'!$A:$A,$B111:$B113))</f>
        <v>0</v>
      </c>
      <c r="K24">
        <f>SUMPRODUCT(SUMIFS('Total-corrected counts Z&lt;2'!J:J,'Total-corrected counts Z&lt;2'!$A:$A,$B111:$B113))</f>
        <v>0</v>
      </c>
      <c r="L24">
        <f>SUMPRODUCT(SUMIFS('Total-corrected counts Z&lt;2'!K:K,'Total-corrected counts Z&lt;2'!$A:$A,$B111:$B113))</f>
        <v>0</v>
      </c>
      <c r="M24">
        <f>SUMPRODUCT(SUMIFS('Total-corrected counts Z&lt;2'!L:L,'Total-corrected counts Z&lt;2'!$A:$A,$B111:$B113))</f>
        <v>0</v>
      </c>
      <c r="N24">
        <f>SUMPRODUCT(SUMIFS('Total-corrected counts Z&lt;2'!M:M,'Total-corrected counts Z&lt;2'!$A:$A,$B111:$B113))</f>
        <v>0</v>
      </c>
      <c r="O24">
        <f>SUMPRODUCT(SUMIFS('Total-corrected counts Z&lt;2'!N:N,'Total-corrected counts Z&lt;2'!$A:$A,$B111:$B113))</f>
        <v>0</v>
      </c>
      <c r="P24">
        <f>SUMPRODUCT(SUMIFS('Total-corrected counts Z&lt;2'!O:O,'Total-corrected counts Z&lt;2'!$A:$A,$B111:$B113))</f>
        <v>0</v>
      </c>
      <c r="Q24">
        <f>SUMPRODUCT(SUMIFS('Total-corrected counts Z&lt;2'!P:P,'Total-corrected counts Z&lt;2'!$A:$A,$B111:$B113))</f>
        <v>0</v>
      </c>
      <c r="R24">
        <f>SUMPRODUCT(SUMIFS('Total-corrected counts Z&lt;2'!Q:Q,'Total-corrected counts Z&lt;2'!$A:$A,$B111:$B113))</f>
        <v>0</v>
      </c>
      <c r="S24">
        <f>SUMPRODUCT(SUMIFS('Total-corrected counts Z&lt;2'!R:R,'Total-corrected counts Z&lt;2'!$A:$A,$B111:$B113))</f>
        <v>0</v>
      </c>
      <c r="T24">
        <f>SUMPRODUCT(SUMIFS('Total-corrected counts Z&lt;2'!S:S,'Total-corrected counts Z&lt;2'!$A:$A,$B111:$B113))</f>
        <v>0</v>
      </c>
      <c r="U24">
        <f>SUMPRODUCT(SUMIFS('Total-corrected counts Z&lt;2'!T:T,'Total-corrected counts Z&lt;2'!$A:$A,$B111:$B113))</f>
        <v>0</v>
      </c>
      <c r="V24">
        <f>SUMPRODUCT(SUMIFS('Total-corrected counts Z&lt;2'!U:U,'Total-corrected counts Z&lt;2'!$A:$A,$B111:$B113))</f>
        <v>0</v>
      </c>
      <c r="X24" t="e">
        <f t="shared" si="0"/>
        <v>#DIV/0!</v>
      </c>
      <c r="Y24">
        <f t="shared" si="1"/>
        <v>0</v>
      </c>
      <c r="Z24">
        <f t="shared" si="2"/>
        <v>0</v>
      </c>
      <c r="AA24">
        <f t="shared" si="3"/>
        <v>0</v>
      </c>
      <c r="AB24">
        <f t="shared" si="4"/>
        <v>0</v>
      </c>
    </row>
    <row r="25" spans="1:28" x14ac:dyDescent="0.35">
      <c r="A25" t="s">
        <v>571</v>
      </c>
      <c r="C25" t="s">
        <v>356</v>
      </c>
      <c r="E25">
        <v>726</v>
      </c>
      <c r="F25">
        <f>SUMPRODUCT(SUMIFS('Total-corrected counts Z&lt;2'!E:E,'Total-corrected counts Z&lt;2'!$A:$A,$B32:$B34))</f>
        <v>0</v>
      </c>
      <c r="G25">
        <f>SUMPRODUCT(SUMIFS('Total-corrected counts Z&lt;2'!F:F,'Total-corrected counts Z&lt;2'!$A:$A,$B32:$B34))</f>
        <v>0</v>
      </c>
      <c r="H25">
        <f>SUMPRODUCT(SUMIFS('Total-corrected counts Z&lt;2'!G:G,'Total-corrected counts Z&lt;2'!$A:$A,$B32:$B34))</f>
        <v>0</v>
      </c>
      <c r="I25">
        <f>SUMPRODUCT(SUMIFS('Total-corrected counts Z&lt;2'!H:H,'Total-corrected counts Z&lt;2'!$A:$A,$B32:$B34))</f>
        <v>0</v>
      </c>
      <c r="J25">
        <f>SUMPRODUCT(SUMIFS('Total-corrected counts Z&lt;2'!I:I,'Total-corrected counts Z&lt;2'!$A:$A,$B32:$B34))</f>
        <v>0</v>
      </c>
      <c r="K25">
        <f>SUMPRODUCT(SUMIFS('Total-corrected counts Z&lt;2'!J:J,'Total-corrected counts Z&lt;2'!$A:$A,$B32:$B34))</f>
        <v>0</v>
      </c>
      <c r="L25">
        <f>SUMPRODUCT(SUMIFS('Total-corrected counts Z&lt;2'!K:K,'Total-corrected counts Z&lt;2'!$A:$A,$B32:$B34))</f>
        <v>0</v>
      </c>
      <c r="M25">
        <f>SUMPRODUCT(SUMIFS('Total-corrected counts Z&lt;2'!L:L,'Total-corrected counts Z&lt;2'!$A:$A,$B32:$B34))</f>
        <v>0</v>
      </c>
      <c r="N25">
        <f>SUMPRODUCT(SUMIFS('Total-corrected counts Z&lt;2'!M:M,'Total-corrected counts Z&lt;2'!$A:$A,$B32:$B34))</f>
        <v>0</v>
      </c>
      <c r="O25">
        <f>SUMPRODUCT(SUMIFS('Total-corrected counts Z&lt;2'!N:N,'Total-corrected counts Z&lt;2'!$A:$A,$B32:$B34))</f>
        <v>0</v>
      </c>
      <c r="P25">
        <f>SUMPRODUCT(SUMIFS('Total-corrected counts Z&lt;2'!O:O,'Total-corrected counts Z&lt;2'!$A:$A,$B32:$B34))</f>
        <v>0</v>
      </c>
      <c r="Q25">
        <f>SUMPRODUCT(SUMIFS('Total-corrected counts Z&lt;2'!P:P,'Total-corrected counts Z&lt;2'!$A:$A,$B32:$B34))</f>
        <v>0</v>
      </c>
      <c r="R25">
        <f>SUMPRODUCT(SUMIFS('Total-corrected counts Z&lt;2'!Q:Q,'Total-corrected counts Z&lt;2'!$A:$A,$B32:$B34))</f>
        <v>0</v>
      </c>
      <c r="S25">
        <f>SUMPRODUCT(SUMIFS('Total-corrected counts Z&lt;2'!R:R,'Total-corrected counts Z&lt;2'!$A:$A,$B32:$B34))</f>
        <v>0</v>
      </c>
      <c r="T25">
        <f>SUMPRODUCT(SUMIFS('Total-corrected counts Z&lt;2'!S:S,'Total-corrected counts Z&lt;2'!$A:$A,$B32:$B34))</f>
        <v>0</v>
      </c>
      <c r="U25">
        <f>SUMPRODUCT(SUMIFS('Total-corrected counts Z&lt;2'!T:T,'Total-corrected counts Z&lt;2'!$A:$A,$B32:$B34))</f>
        <v>0</v>
      </c>
      <c r="V25">
        <f>SUMPRODUCT(SUMIFS('Total-corrected counts Z&lt;2'!U:U,'Total-corrected counts Z&lt;2'!$A:$A,$B32:$B34))</f>
        <v>0</v>
      </c>
      <c r="X25" t="e">
        <f t="shared" si="0"/>
        <v>#DIV/0!</v>
      </c>
      <c r="Y25">
        <f t="shared" si="1"/>
        <v>0</v>
      </c>
      <c r="Z25">
        <f t="shared" si="2"/>
        <v>0</v>
      </c>
      <c r="AA25">
        <f t="shared" si="3"/>
        <v>0</v>
      </c>
      <c r="AB25">
        <f t="shared" si="4"/>
        <v>0</v>
      </c>
    </row>
    <row r="26" spans="1:28" x14ac:dyDescent="0.35">
      <c r="A26" t="s">
        <v>569</v>
      </c>
      <c r="B26">
        <v>382</v>
      </c>
      <c r="C26" t="s">
        <v>202</v>
      </c>
      <c r="D26">
        <v>37700</v>
      </c>
      <c r="E26">
        <v>375</v>
      </c>
      <c r="F26">
        <f>SUMIFS('Total-corrected counts Z&lt;2'!E:E,'Total-corrected counts Z&lt;2'!$A:$A,'Brain networks corrected Z&lt;2'!$B26)</f>
        <v>0</v>
      </c>
      <c r="G26">
        <f>SUMIFS('Total-corrected counts Z&lt;2'!F:F,'Total-corrected counts Z&lt;2'!$A:$A,'Brain networks corrected Z&lt;2'!$B26)</f>
        <v>0</v>
      </c>
      <c r="H26">
        <f>SUMIFS('Total-corrected counts Z&lt;2'!G:G,'Total-corrected counts Z&lt;2'!$A:$A,'Brain networks corrected Z&lt;2'!$B26)</f>
        <v>0</v>
      </c>
      <c r="I26">
        <f>SUMIFS('Total-corrected counts Z&lt;2'!H:H,'Total-corrected counts Z&lt;2'!$A:$A,'Brain networks corrected Z&lt;2'!$B26)</f>
        <v>0</v>
      </c>
      <c r="J26">
        <f>SUMIFS('Total-corrected counts Z&lt;2'!I:I,'Total-corrected counts Z&lt;2'!$A:$A,'Brain networks corrected Z&lt;2'!$B26)</f>
        <v>0</v>
      </c>
      <c r="K26">
        <f>SUMIFS('Total-corrected counts Z&lt;2'!J:J,'Total-corrected counts Z&lt;2'!$A:$A,'Brain networks corrected Z&lt;2'!$B26)</f>
        <v>0</v>
      </c>
      <c r="L26">
        <f>SUMIFS('Total-corrected counts Z&lt;2'!K:K,'Total-corrected counts Z&lt;2'!$A:$A,'Brain networks corrected Z&lt;2'!$B26)</f>
        <v>0</v>
      </c>
      <c r="M26">
        <f>SUMIFS('Total-corrected counts Z&lt;2'!L:L,'Total-corrected counts Z&lt;2'!$A:$A,'Brain networks corrected Z&lt;2'!$B26)</f>
        <v>0</v>
      </c>
      <c r="N26">
        <f>SUMIFS('Total-corrected counts Z&lt;2'!M:M,'Total-corrected counts Z&lt;2'!$A:$A,'Brain networks corrected Z&lt;2'!$B26)</f>
        <v>0</v>
      </c>
      <c r="O26">
        <f>SUMIFS('Total-corrected counts Z&lt;2'!N:N,'Total-corrected counts Z&lt;2'!$A:$A,'Brain networks corrected Z&lt;2'!$B26)</f>
        <v>0</v>
      </c>
      <c r="P26">
        <f>SUMIFS('Total-corrected counts Z&lt;2'!O:O,'Total-corrected counts Z&lt;2'!$A:$A,'Brain networks corrected Z&lt;2'!$B26)</f>
        <v>0</v>
      </c>
      <c r="Q26">
        <f>SUMIFS('Total-corrected counts Z&lt;2'!P:P,'Total-corrected counts Z&lt;2'!$A:$A,'Brain networks corrected Z&lt;2'!$B26)</f>
        <v>0</v>
      </c>
      <c r="R26">
        <f>SUMIFS('Total-corrected counts Z&lt;2'!Q:Q,'Total-corrected counts Z&lt;2'!$A:$A,'Brain networks corrected Z&lt;2'!$B26)</f>
        <v>0</v>
      </c>
      <c r="S26">
        <f>SUMIFS('Total-corrected counts Z&lt;2'!R:R,'Total-corrected counts Z&lt;2'!$A:$A,'Brain networks corrected Z&lt;2'!$B26)</f>
        <v>0</v>
      </c>
      <c r="T26">
        <f>SUMIFS('Total-corrected counts Z&lt;2'!S:S,'Total-corrected counts Z&lt;2'!$A:$A,'Brain networks corrected Z&lt;2'!$B26)</f>
        <v>0</v>
      </c>
      <c r="U26">
        <f>SUMIFS('Total-corrected counts Z&lt;2'!T:T,'Total-corrected counts Z&lt;2'!$A:$A,'Brain networks corrected Z&lt;2'!$B26)</f>
        <v>0</v>
      </c>
      <c r="V26">
        <f>SUMIFS('Total-corrected counts Z&lt;2'!U:U,'Total-corrected counts Z&lt;2'!$A:$A,'Brain networks corrected Z&lt;2'!$B26)</f>
        <v>0</v>
      </c>
      <c r="X26" t="e">
        <f t="shared" si="0"/>
        <v>#DIV/0!</v>
      </c>
      <c r="Y26">
        <f t="shared" si="1"/>
        <v>0</v>
      </c>
      <c r="Z26">
        <f t="shared" si="2"/>
        <v>0</v>
      </c>
      <c r="AA26">
        <f t="shared" si="3"/>
        <v>0</v>
      </c>
      <c r="AB26">
        <f t="shared" si="4"/>
        <v>0</v>
      </c>
    </row>
    <row r="27" spans="1:28" x14ac:dyDescent="0.35">
      <c r="A27" t="s">
        <v>570</v>
      </c>
      <c r="B27">
        <v>463</v>
      </c>
      <c r="C27" t="s">
        <v>234</v>
      </c>
      <c r="D27">
        <v>38700</v>
      </c>
      <c r="E27">
        <v>375</v>
      </c>
      <c r="F27">
        <f>SUMIFS('Total-corrected counts Z&lt;2'!E:E,'Total-corrected counts Z&lt;2'!$A:$A,'Brain networks corrected Z&lt;2'!$B27)</f>
        <v>0</v>
      </c>
      <c r="G27">
        <f>SUMIFS('Total-corrected counts Z&lt;2'!F:F,'Total-corrected counts Z&lt;2'!$A:$A,'Brain networks corrected Z&lt;2'!$B27)</f>
        <v>0</v>
      </c>
      <c r="H27">
        <f>SUMIFS('Total-corrected counts Z&lt;2'!G:G,'Total-corrected counts Z&lt;2'!$A:$A,'Brain networks corrected Z&lt;2'!$B27)</f>
        <v>0</v>
      </c>
      <c r="I27">
        <f>SUMIFS('Total-corrected counts Z&lt;2'!H:H,'Total-corrected counts Z&lt;2'!$A:$A,'Brain networks corrected Z&lt;2'!$B27)</f>
        <v>0</v>
      </c>
      <c r="J27">
        <f>SUMIFS('Total-corrected counts Z&lt;2'!I:I,'Total-corrected counts Z&lt;2'!$A:$A,'Brain networks corrected Z&lt;2'!$B27)</f>
        <v>0</v>
      </c>
      <c r="K27">
        <f>SUMIFS('Total-corrected counts Z&lt;2'!J:J,'Total-corrected counts Z&lt;2'!$A:$A,'Brain networks corrected Z&lt;2'!$B27)</f>
        <v>0</v>
      </c>
      <c r="L27">
        <f>SUMIFS('Total-corrected counts Z&lt;2'!K:K,'Total-corrected counts Z&lt;2'!$A:$A,'Brain networks corrected Z&lt;2'!$B27)</f>
        <v>0</v>
      </c>
      <c r="M27">
        <f>SUMIFS('Total-corrected counts Z&lt;2'!L:L,'Total-corrected counts Z&lt;2'!$A:$A,'Brain networks corrected Z&lt;2'!$B27)</f>
        <v>0</v>
      </c>
      <c r="N27">
        <f>SUMIFS('Total-corrected counts Z&lt;2'!M:M,'Total-corrected counts Z&lt;2'!$A:$A,'Brain networks corrected Z&lt;2'!$B27)</f>
        <v>0</v>
      </c>
      <c r="O27">
        <f>SUMIFS('Total-corrected counts Z&lt;2'!N:N,'Total-corrected counts Z&lt;2'!$A:$A,'Brain networks corrected Z&lt;2'!$B27)</f>
        <v>0</v>
      </c>
      <c r="P27">
        <f>SUMIFS('Total-corrected counts Z&lt;2'!O:O,'Total-corrected counts Z&lt;2'!$A:$A,'Brain networks corrected Z&lt;2'!$B27)</f>
        <v>0</v>
      </c>
      <c r="Q27">
        <f>SUMIFS('Total-corrected counts Z&lt;2'!P:P,'Total-corrected counts Z&lt;2'!$A:$A,'Brain networks corrected Z&lt;2'!$B27)</f>
        <v>0</v>
      </c>
      <c r="R27">
        <f>SUMIFS('Total-corrected counts Z&lt;2'!Q:Q,'Total-corrected counts Z&lt;2'!$A:$A,'Brain networks corrected Z&lt;2'!$B27)</f>
        <v>0</v>
      </c>
      <c r="S27">
        <f>SUMIFS('Total-corrected counts Z&lt;2'!R:R,'Total-corrected counts Z&lt;2'!$A:$A,'Brain networks corrected Z&lt;2'!$B27)</f>
        <v>0</v>
      </c>
      <c r="T27">
        <f>SUMIFS('Total-corrected counts Z&lt;2'!S:S,'Total-corrected counts Z&lt;2'!$A:$A,'Brain networks corrected Z&lt;2'!$B27)</f>
        <v>0</v>
      </c>
      <c r="U27">
        <f>SUMIFS('Total-corrected counts Z&lt;2'!T:T,'Total-corrected counts Z&lt;2'!$A:$A,'Brain networks corrected Z&lt;2'!$B27)</f>
        <v>0</v>
      </c>
      <c r="V27">
        <f>SUMIFS('Total-corrected counts Z&lt;2'!U:U,'Total-corrected counts Z&lt;2'!$A:$A,'Brain networks corrected Z&lt;2'!$B27)</f>
        <v>0</v>
      </c>
      <c r="X27" t="e">
        <f t="shared" si="0"/>
        <v>#DIV/0!</v>
      </c>
      <c r="Y27">
        <f t="shared" si="1"/>
        <v>0</v>
      </c>
      <c r="Z27">
        <f t="shared" si="2"/>
        <v>0</v>
      </c>
      <c r="AA27">
        <f t="shared" si="3"/>
        <v>0</v>
      </c>
      <c r="AB27">
        <f t="shared" si="4"/>
        <v>0</v>
      </c>
    </row>
    <row r="29" spans="1:28" x14ac:dyDescent="0.35">
      <c r="B29">
        <v>632</v>
      </c>
      <c r="C29" t="s">
        <v>308</v>
      </c>
      <c r="D29">
        <v>39600</v>
      </c>
      <c r="E29">
        <v>726</v>
      </c>
    </row>
    <row r="30" spans="1:28" x14ac:dyDescent="0.35">
      <c r="B30">
        <v>10703</v>
      </c>
      <c r="C30" t="s">
        <v>560</v>
      </c>
      <c r="D30">
        <v>39400</v>
      </c>
      <c r="E30">
        <v>726</v>
      </c>
    </row>
    <row r="31" spans="1:28" x14ac:dyDescent="0.35">
      <c r="B31">
        <v>10704</v>
      </c>
      <c r="C31" t="s">
        <v>561</v>
      </c>
      <c r="D31">
        <v>39500</v>
      </c>
      <c r="E31">
        <v>726</v>
      </c>
    </row>
    <row r="32" spans="1:28" x14ac:dyDescent="0.35">
      <c r="B32">
        <v>2632</v>
      </c>
      <c r="C32" t="s">
        <v>566</v>
      </c>
      <c r="D32">
        <v>39600</v>
      </c>
      <c r="E32">
        <v>2726</v>
      </c>
    </row>
    <row r="33" spans="2:5" x14ac:dyDescent="0.35">
      <c r="B33">
        <v>12703</v>
      </c>
      <c r="C33" t="s">
        <v>560</v>
      </c>
      <c r="D33">
        <v>39400</v>
      </c>
      <c r="E33">
        <v>2726</v>
      </c>
    </row>
    <row r="34" spans="2:5" x14ac:dyDescent="0.35">
      <c r="B34">
        <v>12704</v>
      </c>
      <c r="C34" t="s">
        <v>568</v>
      </c>
      <c r="D34">
        <v>39700</v>
      </c>
      <c r="E34">
        <v>2726</v>
      </c>
    </row>
    <row r="35" spans="2:5" x14ac:dyDescent="0.35">
      <c r="B35">
        <v>894</v>
      </c>
      <c r="C35" t="s">
        <v>430</v>
      </c>
      <c r="D35">
        <v>25300</v>
      </c>
      <c r="E35">
        <v>254</v>
      </c>
    </row>
    <row r="36" spans="2:5" x14ac:dyDescent="0.35">
      <c r="B36">
        <v>274</v>
      </c>
      <c r="C36" t="s">
        <v>151</v>
      </c>
      <c r="D36">
        <v>26400</v>
      </c>
      <c r="E36">
        <v>879</v>
      </c>
    </row>
    <row r="37" spans="2:5" x14ac:dyDescent="0.35">
      <c r="B37">
        <v>330</v>
      </c>
      <c r="C37" t="s">
        <v>179</v>
      </c>
      <c r="D37">
        <v>26500</v>
      </c>
      <c r="E37">
        <v>879</v>
      </c>
    </row>
    <row r="38" spans="2:5" x14ac:dyDescent="0.35">
      <c r="B38">
        <v>434</v>
      </c>
      <c r="C38" t="s">
        <v>218</v>
      </c>
      <c r="D38">
        <v>26100</v>
      </c>
      <c r="E38">
        <v>879</v>
      </c>
    </row>
    <row r="39" spans="2:5" x14ac:dyDescent="0.35">
      <c r="B39">
        <v>442</v>
      </c>
      <c r="C39" t="s">
        <v>223</v>
      </c>
      <c r="D39">
        <v>26000</v>
      </c>
      <c r="E39">
        <v>879</v>
      </c>
    </row>
    <row r="40" spans="2:5" x14ac:dyDescent="0.35">
      <c r="B40">
        <v>545</v>
      </c>
      <c r="C40" t="s">
        <v>264</v>
      </c>
      <c r="D40">
        <v>26200</v>
      </c>
      <c r="E40">
        <v>879</v>
      </c>
    </row>
    <row r="41" spans="2:5" x14ac:dyDescent="0.35">
      <c r="B41">
        <v>610</v>
      </c>
      <c r="C41" t="s">
        <v>295</v>
      </c>
      <c r="D41">
        <v>26300</v>
      </c>
      <c r="E41">
        <v>879</v>
      </c>
    </row>
    <row r="42" spans="2:5" x14ac:dyDescent="0.35">
      <c r="B42">
        <v>430</v>
      </c>
      <c r="C42" t="s">
        <v>216</v>
      </c>
      <c r="D42">
        <v>26900</v>
      </c>
      <c r="E42">
        <v>886</v>
      </c>
    </row>
    <row r="43" spans="2:5" x14ac:dyDescent="0.35">
      <c r="B43">
        <v>542</v>
      </c>
      <c r="C43" t="s">
        <v>263</v>
      </c>
      <c r="D43">
        <v>26700</v>
      </c>
      <c r="E43">
        <v>886</v>
      </c>
    </row>
    <row r="44" spans="2:5" x14ac:dyDescent="0.35">
      <c r="B44">
        <v>590</v>
      </c>
      <c r="C44" t="s">
        <v>283</v>
      </c>
      <c r="D44">
        <v>27100</v>
      </c>
      <c r="E44">
        <v>886</v>
      </c>
    </row>
    <row r="45" spans="2:5" x14ac:dyDescent="0.35">
      <c r="B45">
        <v>622</v>
      </c>
      <c r="C45" t="s">
        <v>303</v>
      </c>
      <c r="D45">
        <v>27200</v>
      </c>
      <c r="E45">
        <v>886</v>
      </c>
    </row>
    <row r="46" spans="2:5" x14ac:dyDescent="0.35">
      <c r="B46">
        <v>687</v>
      </c>
      <c r="C46" t="s">
        <v>337</v>
      </c>
      <c r="D46">
        <v>27000</v>
      </c>
      <c r="E46">
        <v>886</v>
      </c>
    </row>
    <row r="47" spans="2:5" x14ac:dyDescent="0.35">
      <c r="B47">
        <v>279</v>
      </c>
      <c r="C47" t="s">
        <v>153</v>
      </c>
      <c r="D47">
        <v>25800</v>
      </c>
      <c r="E47">
        <v>894</v>
      </c>
    </row>
    <row r="48" spans="2:5" x14ac:dyDescent="0.35">
      <c r="B48">
        <v>671</v>
      </c>
      <c r="C48" t="s">
        <v>329</v>
      </c>
      <c r="D48">
        <v>25400</v>
      </c>
      <c r="E48">
        <v>894</v>
      </c>
    </row>
    <row r="49" spans="2:5" x14ac:dyDescent="0.35">
      <c r="B49">
        <v>774</v>
      </c>
      <c r="C49" t="s">
        <v>373</v>
      </c>
      <c r="D49">
        <v>25600</v>
      </c>
      <c r="E49">
        <v>894</v>
      </c>
    </row>
    <row r="50" spans="2:5" x14ac:dyDescent="0.35">
      <c r="B50">
        <v>906</v>
      </c>
      <c r="C50" t="s">
        <v>438</v>
      </c>
      <c r="D50">
        <v>25700</v>
      </c>
      <c r="E50">
        <v>894</v>
      </c>
    </row>
    <row r="51" spans="2:5" x14ac:dyDescent="0.35">
      <c r="B51">
        <v>965</v>
      </c>
      <c r="C51" t="s">
        <v>473</v>
      </c>
      <c r="D51">
        <v>25500</v>
      </c>
      <c r="E51">
        <v>894</v>
      </c>
    </row>
    <row r="52" spans="2:5" x14ac:dyDescent="0.35">
      <c r="B52">
        <v>84</v>
      </c>
      <c r="C52" t="s">
        <v>57</v>
      </c>
      <c r="D52">
        <v>20600</v>
      </c>
      <c r="E52">
        <v>972</v>
      </c>
    </row>
    <row r="53" spans="2:5" x14ac:dyDescent="0.35">
      <c r="B53">
        <v>132</v>
      </c>
      <c r="C53" t="s">
        <v>82</v>
      </c>
      <c r="D53">
        <v>20700</v>
      </c>
      <c r="E53">
        <v>972</v>
      </c>
    </row>
    <row r="54" spans="2:5" x14ac:dyDescent="0.35">
      <c r="B54">
        <v>171</v>
      </c>
      <c r="C54" t="s">
        <v>101</v>
      </c>
      <c r="D54">
        <v>20200</v>
      </c>
      <c r="E54">
        <v>972</v>
      </c>
    </row>
    <row r="55" spans="2:5" x14ac:dyDescent="0.35">
      <c r="B55">
        <v>304</v>
      </c>
      <c r="C55" t="s">
        <v>165</v>
      </c>
      <c r="D55">
        <v>20400</v>
      </c>
      <c r="E55">
        <v>972</v>
      </c>
    </row>
    <row r="56" spans="2:5" x14ac:dyDescent="0.35">
      <c r="B56">
        <v>363</v>
      </c>
      <c r="C56" t="s">
        <v>193</v>
      </c>
      <c r="D56">
        <v>20500</v>
      </c>
      <c r="E56">
        <v>972</v>
      </c>
    </row>
    <row r="57" spans="2:5" x14ac:dyDescent="0.35">
      <c r="B57">
        <v>556</v>
      </c>
      <c r="C57" t="s">
        <v>266</v>
      </c>
      <c r="D57">
        <v>8700</v>
      </c>
      <c r="E57">
        <v>44</v>
      </c>
    </row>
    <row r="58" spans="2:5" x14ac:dyDescent="0.35">
      <c r="B58">
        <v>707</v>
      </c>
      <c r="C58" t="s">
        <v>351</v>
      </c>
      <c r="D58">
        <v>8500</v>
      </c>
      <c r="E58">
        <v>44</v>
      </c>
    </row>
    <row r="59" spans="2:5" x14ac:dyDescent="0.35">
      <c r="B59">
        <v>827</v>
      </c>
      <c r="C59" t="s">
        <v>398</v>
      </c>
      <c r="D59">
        <v>8800</v>
      </c>
      <c r="E59">
        <v>44</v>
      </c>
    </row>
    <row r="60" spans="2:5" x14ac:dyDescent="0.35">
      <c r="B60">
        <v>1054</v>
      </c>
      <c r="C60" t="s">
        <v>524</v>
      </c>
      <c r="D60">
        <v>8900</v>
      </c>
      <c r="E60">
        <v>44</v>
      </c>
    </row>
    <row r="61" spans="2:5" x14ac:dyDescent="0.35">
      <c r="B61">
        <v>1081</v>
      </c>
      <c r="C61" t="s">
        <v>533</v>
      </c>
      <c r="D61">
        <v>9000</v>
      </c>
      <c r="E61">
        <v>44</v>
      </c>
    </row>
    <row r="62" spans="2:5" x14ac:dyDescent="0.35">
      <c r="B62">
        <v>23</v>
      </c>
      <c r="C62" t="s">
        <v>32</v>
      </c>
      <c r="D62">
        <v>50100</v>
      </c>
      <c r="E62">
        <v>278</v>
      </c>
    </row>
    <row r="63" spans="2:5" x14ac:dyDescent="0.35">
      <c r="B63">
        <v>131</v>
      </c>
      <c r="C63" t="s">
        <v>81</v>
      </c>
      <c r="D63">
        <v>47000</v>
      </c>
      <c r="E63">
        <v>703</v>
      </c>
    </row>
    <row r="64" spans="2:5" x14ac:dyDescent="0.35">
      <c r="B64">
        <v>278</v>
      </c>
      <c r="C64" t="s">
        <v>152</v>
      </c>
      <c r="D64">
        <v>50000</v>
      </c>
      <c r="E64">
        <v>477</v>
      </c>
    </row>
    <row r="65" spans="2:5" x14ac:dyDescent="0.35">
      <c r="B65">
        <v>303</v>
      </c>
      <c r="C65" t="s">
        <v>164</v>
      </c>
      <c r="D65">
        <v>47200</v>
      </c>
      <c r="E65">
        <v>295</v>
      </c>
    </row>
    <row r="66" spans="2:5" x14ac:dyDescent="0.35">
      <c r="B66">
        <v>311</v>
      </c>
      <c r="C66" t="s">
        <v>169</v>
      </c>
      <c r="D66">
        <v>47300</v>
      </c>
      <c r="E66">
        <v>295</v>
      </c>
    </row>
    <row r="67" spans="2:5" x14ac:dyDescent="0.35">
      <c r="B67">
        <v>319</v>
      </c>
      <c r="C67" t="s">
        <v>173</v>
      </c>
      <c r="D67">
        <v>47500</v>
      </c>
      <c r="E67">
        <v>703</v>
      </c>
    </row>
    <row r="68" spans="2:5" x14ac:dyDescent="0.35">
      <c r="B68">
        <v>403</v>
      </c>
      <c r="C68" t="s">
        <v>207</v>
      </c>
      <c r="D68">
        <v>50800</v>
      </c>
      <c r="E68">
        <v>278</v>
      </c>
    </row>
    <row r="69" spans="2:5" x14ac:dyDescent="0.35">
      <c r="B69">
        <v>451</v>
      </c>
      <c r="C69" t="s">
        <v>229</v>
      </c>
      <c r="D69">
        <v>47400</v>
      </c>
      <c r="E69">
        <v>295</v>
      </c>
    </row>
    <row r="70" spans="2:5" x14ac:dyDescent="0.35">
      <c r="B70">
        <v>536</v>
      </c>
      <c r="C70" t="s">
        <v>261</v>
      </c>
      <c r="D70">
        <v>50300</v>
      </c>
      <c r="E70">
        <v>278</v>
      </c>
    </row>
    <row r="71" spans="2:5" x14ac:dyDescent="0.35">
      <c r="B71">
        <v>639</v>
      </c>
      <c r="C71" t="s">
        <v>312</v>
      </c>
      <c r="D71">
        <v>34700</v>
      </c>
      <c r="E71">
        <v>631</v>
      </c>
    </row>
    <row r="72" spans="2:5" x14ac:dyDescent="0.35">
      <c r="B72">
        <v>647</v>
      </c>
      <c r="C72" t="s">
        <v>315</v>
      </c>
      <c r="D72">
        <v>35100</v>
      </c>
      <c r="E72">
        <v>631</v>
      </c>
    </row>
    <row r="73" spans="2:5" x14ac:dyDescent="0.35">
      <c r="B73">
        <v>780</v>
      </c>
      <c r="C73" t="s">
        <v>376</v>
      </c>
      <c r="D73">
        <v>47800</v>
      </c>
      <c r="E73">
        <v>703</v>
      </c>
    </row>
    <row r="74" spans="2:5" x14ac:dyDescent="0.35">
      <c r="B74">
        <v>788</v>
      </c>
      <c r="C74" t="s">
        <v>381</v>
      </c>
      <c r="D74">
        <v>36400</v>
      </c>
      <c r="E74">
        <v>698</v>
      </c>
    </row>
    <row r="75" spans="2:5" x14ac:dyDescent="0.35">
      <c r="B75">
        <v>884</v>
      </c>
      <c r="C75" t="s">
        <v>426</v>
      </c>
      <c r="D75">
        <v>110700</v>
      </c>
      <c r="E75">
        <v>768</v>
      </c>
    </row>
    <row r="76" spans="2:5" x14ac:dyDescent="0.35">
      <c r="B76">
        <v>1105</v>
      </c>
      <c r="C76" t="s">
        <v>546</v>
      </c>
      <c r="D76">
        <v>50700</v>
      </c>
      <c r="E76">
        <v>278</v>
      </c>
    </row>
    <row r="77" spans="2:5" x14ac:dyDescent="0.35">
      <c r="B77">
        <v>104</v>
      </c>
      <c r="C77" t="s">
        <v>65</v>
      </c>
      <c r="D77">
        <v>23400</v>
      </c>
      <c r="E77">
        <v>95</v>
      </c>
    </row>
    <row r="78" spans="2:5" x14ac:dyDescent="0.35">
      <c r="B78">
        <v>120</v>
      </c>
      <c r="C78" t="s">
        <v>73</v>
      </c>
      <c r="D78">
        <v>24100</v>
      </c>
      <c r="E78">
        <v>111</v>
      </c>
    </row>
    <row r="79" spans="2:5" x14ac:dyDescent="0.35">
      <c r="B79">
        <v>163</v>
      </c>
      <c r="C79" t="s">
        <v>97</v>
      </c>
      <c r="D79">
        <v>24200</v>
      </c>
      <c r="E79">
        <v>111</v>
      </c>
    </row>
    <row r="80" spans="2:5" x14ac:dyDescent="0.35">
      <c r="B80">
        <v>314</v>
      </c>
      <c r="C80" t="s">
        <v>171</v>
      </c>
      <c r="D80">
        <v>24400</v>
      </c>
      <c r="E80">
        <v>111</v>
      </c>
    </row>
    <row r="81" spans="2:5" x14ac:dyDescent="0.35">
      <c r="B81">
        <v>328</v>
      </c>
      <c r="C81" t="s">
        <v>178</v>
      </c>
      <c r="D81">
        <v>23600</v>
      </c>
      <c r="E81">
        <v>104</v>
      </c>
    </row>
    <row r="82" spans="2:5" x14ac:dyDescent="0.35">
      <c r="B82">
        <v>344</v>
      </c>
      <c r="C82" t="s">
        <v>185</v>
      </c>
      <c r="D82">
        <v>24300</v>
      </c>
      <c r="E82">
        <v>111</v>
      </c>
    </row>
    <row r="83" spans="2:5" x14ac:dyDescent="0.35">
      <c r="B83">
        <v>675</v>
      </c>
      <c r="C83" t="s">
        <v>332</v>
      </c>
      <c r="D83">
        <v>25000</v>
      </c>
      <c r="E83">
        <v>119</v>
      </c>
    </row>
    <row r="84" spans="2:5" x14ac:dyDescent="0.35">
      <c r="B84">
        <v>694</v>
      </c>
      <c r="C84" t="s">
        <v>342</v>
      </c>
      <c r="D84">
        <v>24800</v>
      </c>
      <c r="E84">
        <v>119</v>
      </c>
    </row>
    <row r="85" spans="2:5" x14ac:dyDescent="0.35">
      <c r="B85">
        <v>699</v>
      </c>
      <c r="C85" t="s">
        <v>948</v>
      </c>
      <c r="D85">
        <v>25100</v>
      </c>
      <c r="E85">
        <v>119</v>
      </c>
    </row>
    <row r="86" spans="2:5" x14ac:dyDescent="0.35">
      <c r="B86">
        <v>704</v>
      </c>
      <c r="C86" t="s">
        <v>348</v>
      </c>
      <c r="D86">
        <v>24700</v>
      </c>
      <c r="E86">
        <v>119</v>
      </c>
    </row>
    <row r="87" spans="2:5" x14ac:dyDescent="0.35">
      <c r="B87">
        <v>783</v>
      </c>
      <c r="C87" t="s">
        <v>378</v>
      </c>
      <c r="D87">
        <v>23800</v>
      </c>
      <c r="E87">
        <v>104</v>
      </c>
    </row>
    <row r="88" spans="2:5" x14ac:dyDescent="0.35">
      <c r="B88">
        <v>800</v>
      </c>
      <c r="C88" t="s">
        <v>387</v>
      </c>
      <c r="D88">
        <v>24900</v>
      </c>
      <c r="E88">
        <v>119</v>
      </c>
    </row>
    <row r="89" spans="2:5" x14ac:dyDescent="0.35">
      <c r="B89">
        <v>831</v>
      </c>
      <c r="C89" t="s">
        <v>400</v>
      </c>
      <c r="D89">
        <v>23900</v>
      </c>
      <c r="E89">
        <v>104</v>
      </c>
    </row>
    <row r="90" spans="2:5" x14ac:dyDescent="0.35">
      <c r="B90">
        <v>996</v>
      </c>
      <c r="C90" t="s">
        <v>490</v>
      </c>
      <c r="D90">
        <v>23500</v>
      </c>
      <c r="E90">
        <v>104</v>
      </c>
    </row>
    <row r="91" spans="2:5" x14ac:dyDescent="0.35">
      <c r="B91">
        <v>1101</v>
      </c>
      <c r="C91" t="s">
        <v>544</v>
      </c>
      <c r="D91">
        <v>23700</v>
      </c>
      <c r="E91">
        <v>104</v>
      </c>
    </row>
    <row r="92" spans="2:5" x14ac:dyDescent="0.35">
      <c r="B92">
        <v>656</v>
      </c>
      <c r="C92" t="s">
        <v>321</v>
      </c>
      <c r="D92">
        <v>2200</v>
      </c>
      <c r="E92">
        <v>993</v>
      </c>
    </row>
    <row r="93" spans="2:5" x14ac:dyDescent="0.35">
      <c r="B93">
        <v>767</v>
      </c>
      <c r="C93" t="s">
        <v>369</v>
      </c>
      <c r="D93">
        <v>2400</v>
      </c>
      <c r="E93">
        <v>993</v>
      </c>
    </row>
    <row r="94" spans="2:5" x14ac:dyDescent="0.35">
      <c r="B94">
        <v>962</v>
      </c>
      <c r="C94" t="s">
        <v>472</v>
      </c>
      <c r="D94">
        <v>2300</v>
      </c>
      <c r="E94">
        <v>993</v>
      </c>
    </row>
    <row r="95" spans="2:5" x14ac:dyDescent="0.35">
      <c r="B95">
        <v>1021</v>
      </c>
      <c r="C95" t="s">
        <v>503</v>
      </c>
      <c r="D95">
        <v>2500</v>
      </c>
      <c r="E95">
        <v>993</v>
      </c>
    </row>
    <row r="96" spans="2:5" x14ac:dyDescent="0.35">
      <c r="B96">
        <v>1085</v>
      </c>
      <c r="C96" t="s">
        <v>535</v>
      </c>
      <c r="D96">
        <v>2600</v>
      </c>
      <c r="E96">
        <v>993</v>
      </c>
    </row>
    <row r="97" spans="2:5" x14ac:dyDescent="0.35">
      <c r="B97">
        <v>211</v>
      </c>
      <c r="C97" t="s">
        <v>121</v>
      </c>
      <c r="D97">
        <v>19100</v>
      </c>
      <c r="E97">
        <v>39</v>
      </c>
    </row>
    <row r="98" spans="2:5" x14ac:dyDescent="0.35">
      <c r="B98">
        <v>296</v>
      </c>
      <c r="C98" t="s">
        <v>161</v>
      </c>
      <c r="D98">
        <v>19700</v>
      </c>
      <c r="E98">
        <v>48</v>
      </c>
    </row>
    <row r="99" spans="2:5" x14ac:dyDescent="0.35">
      <c r="B99">
        <v>588</v>
      </c>
      <c r="C99" t="s">
        <v>281</v>
      </c>
      <c r="D99">
        <v>19600</v>
      </c>
      <c r="E99">
        <v>48</v>
      </c>
    </row>
    <row r="100" spans="2:5" x14ac:dyDescent="0.35">
      <c r="B100">
        <v>772</v>
      </c>
      <c r="C100" t="s">
        <v>371</v>
      </c>
      <c r="D100">
        <v>19800</v>
      </c>
      <c r="E100">
        <v>48</v>
      </c>
    </row>
    <row r="101" spans="2:5" x14ac:dyDescent="0.35">
      <c r="B101">
        <v>810</v>
      </c>
      <c r="C101" t="s">
        <v>393</v>
      </c>
      <c r="D101">
        <v>19900</v>
      </c>
      <c r="E101">
        <v>48</v>
      </c>
    </row>
    <row r="102" spans="2:5" x14ac:dyDescent="0.35">
      <c r="B102">
        <v>819</v>
      </c>
      <c r="C102" t="s">
        <v>396</v>
      </c>
      <c r="D102">
        <v>20000</v>
      </c>
      <c r="E102">
        <v>48</v>
      </c>
    </row>
    <row r="103" spans="2:5" x14ac:dyDescent="0.35">
      <c r="B103">
        <v>919</v>
      </c>
      <c r="C103" t="s">
        <v>446</v>
      </c>
      <c r="D103">
        <v>19300</v>
      </c>
      <c r="E103">
        <v>39</v>
      </c>
    </row>
    <row r="104" spans="2:5" x14ac:dyDescent="0.35">
      <c r="B104">
        <v>927</v>
      </c>
      <c r="C104" t="s">
        <v>450</v>
      </c>
      <c r="D104">
        <v>19400</v>
      </c>
      <c r="E104">
        <v>39</v>
      </c>
    </row>
    <row r="105" spans="2:5" x14ac:dyDescent="0.35">
      <c r="B105">
        <v>935</v>
      </c>
      <c r="C105" t="s">
        <v>456</v>
      </c>
      <c r="D105">
        <v>19000</v>
      </c>
      <c r="E105">
        <v>39</v>
      </c>
    </row>
    <row r="106" spans="2:5" x14ac:dyDescent="0.35">
      <c r="B106">
        <v>1015</v>
      </c>
      <c r="C106" t="s">
        <v>499</v>
      </c>
      <c r="D106">
        <v>19200</v>
      </c>
      <c r="E106">
        <v>39</v>
      </c>
    </row>
    <row r="107" spans="2:5" x14ac:dyDescent="0.35">
      <c r="B107">
        <v>484</v>
      </c>
      <c r="C107" t="s">
        <v>243</v>
      </c>
      <c r="D107">
        <v>22100</v>
      </c>
      <c r="E107">
        <v>731</v>
      </c>
    </row>
    <row r="108" spans="2:5" x14ac:dyDescent="0.35">
      <c r="B108">
        <v>582</v>
      </c>
      <c r="C108" t="s">
        <v>278</v>
      </c>
      <c r="D108">
        <v>22300</v>
      </c>
      <c r="E108">
        <v>731</v>
      </c>
    </row>
    <row r="109" spans="2:5" x14ac:dyDescent="0.35">
      <c r="B109">
        <v>620</v>
      </c>
      <c r="C109" t="s">
        <v>301</v>
      </c>
      <c r="D109">
        <v>22400</v>
      </c>
      <c r="E109">
        <v>731</v>
      </c>
    </row>
    <row r="110" spans="2:5" x14ac:dyDescent="0.35">
      <c r="B110">
        <v>910</v>
      </c>
      <c r="C110" t="s">
        <v>441</v>
      </c>
      <c r="D110">
        <v>22500</v>
      </c>
      <c r="E110">
        <v>731</v>
      </c>
    </row>
    <row r="111" spans="2:5" x14ac:dyDescent="0.35">
      <c r="B111">
        <v>918</v>
      </c>
      <c r="C111" t="s">
        <v>445</v>
      </c>
      <c r="D111">
        <v>41350</v>
      </c>
      <c r="E111">
        <v>909</v>
      </c>
    </row>
    <row r="112" spans="2:5" x14ac:dyDescent="0.35">
      <c r="B112">
        <v>926</v>
      </c>
      <c r="C112" t="s">
        <v>449</v>
      </c>
      <c r="D112">
        <v>42700</v>
      </c>
      <c r="E112">
        <v>909</v>
      </c>
    </row>
    <row r="113" spans="2:5" x14ac:dyDescent="0.35">
      <c r="B113">
        <v>934</v>
      </c>
      <c r="C113" t="s">
        <v>455</v>
      </c>
      <c r="D113">
        <v>43700</v>
      </c>
      <c r="E113">
        <v>909</v>
      </c>
    </row>
  </sheetData>
  <conditionalFormatting sqref="X4:X13 X16:X17 X20:X27">
    <cfRule type="cellIs" dxfId="17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6110-2BFF-4336-8AF0-3E42204E1255}">
  <sheetPr>
    <pageSetUpPr fitToPage="1"/>
  </sheetPr>
  <dimension ref="A1:UP39"/>
  <sheetViews>
    <sheetView topLeftCell="A15" zoomScale="85" zoomScaleNormal="85" workbookViewId="0"/>
  </sheetViews>
  <sheetFormatPr defaultRowHeight="14.5" x14ac:dyDescent="0.35"/>
  <cols>
    <col min="3" max="3" width="17" bestFit="1" customWidth="1"/>
    <col min="4" max="4" width="9.81640625" bestFit="1" customWidth="1"/>
    <col min="5" max="5" width="16.7265625" bestFit="1" customWidth="1"/>
    <col min="6" max="8" width="9.26953125" bestFit="1" customWidth="1"/>
    <col min="9" max="9" width="16.7265625" bestFit="1" customWidth="1"/>
    <col min="10" max="11" width="9.26953125" bestFit="1" customWidth="1"/>
    <col min="12" max="12" width="16.7265625" bestFit="1" customWidth="1"/>
    <col min="13" max="15" width="9.26953125" bestFit="1" customWidth="1"/>
    <col min="16" max="16" width="16.7265625" bestFit="1" customWidth="1"/>
    <col min="17" max="17" width="9.26953125" bestFit="1" customWidth="1"/>
    <col min="18" max="18" width="16.7265625" bestFit="1" customWidth="1"/>
    <col min="19" max="19" width="9.26953125" bestFit="1" customWidth="1"/>
    <col min="20" max="20" width="10.54296875" customWidth="1"/>
    <col min="21" max="22" width="16.7265625" bestFit="1" customWidth="1"/>
    <col min="23" max="23" width="9.26953125" bestFit="1" customWidth="1"/>
    <col min="24" max="24" width="16.7265625" bestFit="1" customWidth="1"/>
    <col min="25" max="26" width="9.26953125" bestFit="1" customWidth="1"/>
    <col min="27" max="28" width="16.7265625" bestFit="1" customWidth="1"/>
    <col min="29" max="29" width="9.26953125" bestFit="1" customWidth="1"/>
    <col min="30" max="30" width="16.7265625" bestFit="1" customWidth="1"/>
    <col min="31" max="31" width="9.26953125" bestFit="1" customWidth="1"/>
    <col min="32" max="32" width="16.7265625" bestFit="1" customWidth="1"/>
    <col min="33" max="34" width="9.26953125" bestFit="1" customWidth="1"/>
    <col min="35" max="35" width="16.7265625" bestFit="1" customWidth="1"/>
    <col min="36" max="36" width="9.26953125" bestFit="1" customWidth="1"/>
    <col min="37" max="37" width="16.7265625" bestFit="1" customWidth="1"/>
    <col min="38" max="39" width="9.26953125" bestFit="1" customWidth="1"/>
    <col min="40" max="46" width="16.7265625" bestFit="1" customWidth="1"/>
    <col min="47" max="47" width="9.26953125" bestFit="1" customWidth="1"/>
    <col min="48" max="52" width="16.7265625" bestFit="1" customWidth="1"/>
    <col min="53" max="53" width="9.26953125" bestFit="1" customWidth="1"/>
    <col min="54" max="55" width="16.7265625" bestFit="1" customWidth="1"/>
    <col min="56" max="56" width="9.26953125" bestFit="1" customWidth="1"/>
    <col min="57" max="58" width="16.7265625" bestFit="1" customWidth="1"/>
    <col min="59" max="61" width="9.26953125" bestFit="1" customWidth="1"/>
    <col min="62" max="62" width="16.7265625" bestFit="1" customWidth="1"/>
    <col min="63" max="65" width="9.26953125" bestFit="1" customWidth="1"/>
    <col min="66" max="68" width="16.7265625" bestFit="1" customWidth="1"/>
    <col min="69" max="71" width="9.26953125" bestFit="1" customWidth="1"/>
    <col min="72" max="74" width="16.7265625" bestFit="1" customWidth="1"/>
    <col min="75" max="75" width="9.26953125" bestFit="1" customWidth="1"/>
    <col min="76" max="77" width="16.7265625" bestFit="1" customWidth="1"/>
    <col min="78" max="78" width="9.26953125" bestFit="1" customWidth="1"/>
    <col min="79" max="79" width="16.7265625" bestFit="1" customWidth="1"/>
    <col min="80" max="81" width="9.26953125" bestFit="1" customWidth="1"/>
    <col min="82" max="84" width="16.7265625" bestFit="1" customWidth="1"/>
    <col min="85" max="85" width="9.26953125" bestFit="1" customWidth="1"/>
    <col min="86" max="87" width="16.7265625" bestFit="1" customWidth="1"/>
    <col min="88" max="88" width="9.26953125" bestFit="1" customWidth="1"/>
    <col min="89" max="89" width="16.7265625" bestFit="1" customWidth="1"/>
    <col min="90" max="90" width="9.26953125" bestFit="1" customWidth="1"/>
    <col min="91" max="92" width="16.7265625" bestFit="1" customWidth="1"/>
    <col min="93" max="94" width="9.26953125" bestFit="1" customWidth="1"/>
    <col min="95" max="96" width="16.7265625" bestFit="1" customWidth="1"/>
    <col min="97" max="98" width="9.26953125" bestFit="1" customWidth="1"/>
    <col min="99" max="100" width="16.7265625" bestFit="1" customWidth="1"/>
    <col min="101" max="103" width="9.26953125" bestFit="1" customWidth="1"/>
    <col min="104" max="109" width="16.7265625" bestFit="1" customWidth="1"/>
    <col min="110" max="112" width="9.26953125" bestFit="1" customWidth="1"/>
    <col min="113" max="113" width="16.7265625" bestFit="1" customWidth="1"/>
    <col min="114" max="115" width="9.26953125" bestFit="1" customWidth="1"/>
    <col min="116" max="116" width="16.7265625" bestFit="1" customWidth="1"/>
    <col min="117" max="119" width="9.26953125" bestFit="1" customWidth="1"/>
    <col min="120" max="121" width="16.7265625" bestFit="1" customWidth="1"/>
    <col min="122" max="126" width="9.26953125" bestFit="1" customWidth="1"/>
    <col min="127" max="127" width="16.7265625" bestFit="1" customWidth="1"/>
    <col min="128" max="130" width="9.26953125" bestFit="1" customWidth="1"/>
    <col min="131" max="132" width="16.7265625" bestFit="1" customWidth="1"/>
    <col min="133" max="133" width="9.26953125" bestFit="1" customWidth="1"/>
    <col min="134" max="136" width="16.7265625" bestFit="1" customWidth="1"/>
    <col min="137" max="137" width="9.26953125" bestFit="1" customWidth="1"/>
    <col min="138" max="139" width="16.7265625" bestFit="1" customWidth="1"/>
    <col min="140" max="140" width="9.26953125" bestFit="1" customWidth="1"/>
    <col min="141" max="141" width="16.7265625" bestFit="1" customWidth="1"/>
    <col min="142" max="146" width="9.26953125" bestFit="1" customWidth="1"/>
    <col min="147" max="149" width="16.7265625" bestFit="1" customWidth="1"/>
    <col min="150" max="150" width="9.26953125" bestFit="1" customWidth="1"/>
    <col min="151" max="151" width="16.7265625" bestFit="1" customWidth="1"/>
    <col min="152" max="153" width="9.26953125" bestFit="1" customWidth="1"/>
    <col min="154" max="154" width="16.7265625" bestFit="1" customWidth="1"/>
    <col min="155" max="156" width="9.26953125" bestFit="1" customWidth="1"/>
    <col min="157" max="158" width="16.7265625" bestFit="1" customWidth="1"/>
    <col min="159" max="161" width="9.26953125" bestFit="1" customWidth="1"/>
    <col min="162" max="165" width="16.7265625" bestFit="1" customWidth="1"/>
    <col min="166" max="169" width="9.26953125" bestFit="1" customWidth="1"/>
    <col min="170" max="171" width="16.7265625" bestFit="1" customWidth="1"/>
    <col min="172" max="173" width="9.26953125" bestFit="1" customWidth="1"/>
    <col min="174" max="174" width="16.7265625" bestFit="1" customWidth="1"/>
    <col min="175" max="176" width="9.26953125" bestFit="1" customWidth="1"/>
    <col min="177" max="180" width="16.7265625" bestFit="1" customWidth="1"/>
    <col min="181" max="185" width="9.26953125" bestFit="1" customWidth="1"/>
    <col min="186" max="188" width="16.7265625" bestFit="1" customWidth="1"/>
    <col min="189" max="189" width="9.26953125" bestFit="1" customWidth="1"/>
    <col min="190" max="190" width="16.7265625" bestFit="1" customWidth="1"/>
    <col min="191" max="192" width="9.26953125" bestFit="1" customWidth="1"/>
    <col min="193" max="195" width="16.7265625" bestFit="1" customWidth="1"/>
    <col min="196" max="199" width="9.26953125" bestFit="1" customWidth="1"/>
    <col min="200" max="200" width="16.7265625" bestFit="1" customWidth="1"/>
    <col min="201" max="202" width="9.26953125" bestFit="1" customWidth="1"/>
    <col min="203" max="203" width="16.7265625" bestFit="1" customWidth="1"/>
    <col min="204" max="206" width="9.26953125" bestFit="1" customWidth="1"/>
    <col min="207" max="208" width="16.7265625" bestFit="1" customWidth="1"/>
    <col min="209" max="210" width="9.26953125" bestFit="1" customWidth="1"/>
    <col min="211" max="211" width="16.7265625" bestFit="1" customWidth="1"/>
    <col min="212" max="213" width="9.26953125" bestFit="1" customWidth="1"/>
    <col min="214" max="216" width="16.7265625" bestFit="1" customWidth="1"/>
    <col min="217" max="218" width="9.26953125" bestFit="1" customWidth="1"/>
    <col min="219" max="219" width="16.7265625" bestFit="1" customWidth="1"/>
    <col min="220" max="221" width="9.26953125" bestFit="1" customWidth="1"/>
    <col min="222" max="224" width="16.7265625" bestFit="1" customWidth="1"/>
    <col min="225" max="226" width="9.26953125" bestFit="1" customWidth="1"/>
    <col min="227" max="227" width="16.7265625" bestFit="1" customWidth="1"/>
    <col min="228" max="230" width="9.26953125" bestFit="1" customWidth="1"/>
    <col min="231" max="231" width="16.7265625" bestFit="1" customWidth="1"/>
    <col min="232" max="233" width="9.26953125" bestFit="1" customWidth="1"/>
    <col min="234" max="237" width="16.7265625" bestFit="1" customWidth="1"/>
    <col min="238" max="238" width="9.26953125" bestFit="1" customWidth="1"/>
    <col min="239" max="240" width="16.7265625" bestFit="1" customWidth="1"/>
    <col min="241" max="241" width="9.26953125" bestFit="1" customWidth="1"/>
    <col min="242" max="243" width="16.7265625" bestFit="1" customWidth="1"/>
    <col min="244" max="247" width="9.26953125" bestFit="1" customWidth="1"/>
    <col min="248" max="249" width="16.7265625" bestFit="1" customWidth="1"/>
    <col min="250" max="250" width="9.26953125" bestFit="1" customWidth="1"/>
    <col min="251" max="251" width="16.7265625" bestFit="1" customWidth="1"/>
    <col min="252" max="253" width="9.26953125" bestFit="1" customWidth="1"/>
    <col min="254" max="254" width="16.7265625" bestFit="1" customWidth="1"/>
    <col min="255" max="255" width="9.26953125" bestFit="1" customWidth="1"/>
    <col min="256" max="256" width="16.7265625" bestFit="1" customWidth="1"/>
    <col min="257" max="258" width="9.26953125" bestFit="1" customWidth="1"/>
    <col min="259" max="259" width="16.7265625" bestFit="1" customWidth="1"/>
    <col min="260" max="260" width="9.26953125" bestFit="1" customWidth="1"/>
    <col min="261" max="262" width="16.7265625" bestFit="1" customWidth="1"/>
    <col min="263" max="263" width="9.26953125" bestFit="1" customWidth="1"/>
    <col min="264" max="264" width="16.7265625" bestFit="1" customWidth="1"/>
    <col min="265" max="267" width="9.26953125" bestFit="1" customWidth="1"/>
    <col min="268" max="270" width="16.7265625" bestFit="1" customWidth="1"/>
    <col min="271" max="274" width="9.26953125" bestFit="1" customWidth="1"/>
    <col min="275" max="277" width="16.7265625" bestFit="1" customWidth="1"/>
    <col min="278" max="281" width="9.26953125" bestFit="1" customWidth="1"/>
    <col min="282" max="283" width="16.7265625" bestFit="1" customWidth="1"/>
    <col min="284" max="284" width="9.26953125" bestFit="1" customWidth="1"/>
    <col min="285" max="287" width="16.7265625" bestFit="1" customWidth="1"/>
    <col min="288" max="288" width="9.26953125" bestFit="1" customWidth="1"/>
    <col min="289" max="289" width="16.7265625" bestFit="1" customWidth="1"/>
    <col min="290" max="290" width="9.26953125" bestFit="1" customWidth="1"/>
    <col min="291" max="292" width="16.7265625" bestFit="1" customWidth="1"/>
    <col min="293" max="293" width="9.26953125" bestFit="1" customWidth="1"/>
    <col min="294" max="294" width="16.7265625" bestFit="1" customWidth="1"/>
    <col min="295" max="297" width="9.26953125" bestFit="1" customWidth="1"/>
    <col min="298" max="298" width="16.7265625" bestFit="1" customWidth="1"/>
    <col min="299" max="299" width="9.26953125" bestFit="1" customWidth="1"/>
    <col min="300" max="301" width="16.7265625" bestFit="1" customWidth="1"/>
    <col min="302" max="303" width="9.26953125" bestFit="1" customWidth="1"/>
    <col min="304" max="304" width="16.7265625" bestFit="1" customWidth="1"/>
    <col min="305" max="306" width="9.26953125" bestFit="1" customWidth="1"/>
    <col min="307" max="309" width="16.7265625" bestFit="1" customWidth="1"/>
    <col min="310" max="313" width="9.26953125" bestFit="1" customWidth="1"/>
    <col min="314" max="316" width="16.7265625" bestFit="1" customWidth="1"/>
    <col min="317" max="318" width="9.26953125" bestFit="1" customWidth="1"/>
    <col min="319" max="319" width="16.7265625" bestFit="1" customWidth="1"/>
    <col min="320" max="320" width="9.26953125" bestFit="1" customWidth="1"/>
    <col min="321" max="321" width="16.7265625" bestFit="1" customWidth="1"/>
    <col min="322" max="322" width="9.26953125" bestFit="1" customWidth="1"/>
    <col min="323" max="323" width="16.7265625" bestFit="1" customWidth="1"/>
    <col min="324" max="325" width="9.26953125" bestFit="1" customWidth="1"/>
    <col min="326" max="326" width="16.7265625" bestFit="1" customWidth="1"/>
    <col min="327" max="327" width="9.26953125" bestFit="1" customWidth="1"/>
    <col min="328" max="329" width="16.7265625" bestFit="1" customWidth="1"/>
    <col min="330" max="330" width="9.26953125" bestFit="1" customWidth="1"/>
    <col min="331" max="332" width="16.7265625" bestFit="1" customWidth="1"/>
    <col min="333" max="334" width="9.26953125" bestFit="1" customWidth="1"/>
    <col min="335" max="335" width="16.7265625" bestFit="1" customWidth="1"/>
    <col min="336" max="336" width="9.26953125" bestFit="1" customWidth="1"/>
    <col min="337" max="338" width="16.7265625" bestFit="1" customWidth="1"/>
    <col min="339" max="339" width="9.26953125" bestFit="1" customWidth="1"/>
    <col min="340" max="341" width="16.7265625" bestFit="1" customWidth="1"/>
    <col min="342" max="343" width="9.26953125" bestFit="1" customWidth="1"/>
    <col min="344" max="345" width="16.7265625" bestFit="1" customWidth="1"/>
    <col min="346" max="346" width="9.26953125" bestFit="1" customWidth="1"/>
    <col min="347" max="347" width="16.7265625" bestFit="1" customWidth="1"/>
    <col min="348" max="348" width="9.26953125" bestFit="1" customWidth="1"/>
    <col min="349" max="349" width="16.7265625" bestFit="1" customWidth="1"/>
    <col min="350" max="350" width="9.26953125" bestFit="1" customWidth="1"/>
    <col min="351" max="353" width="16.7265625" bestFit="1" customWidth="1"/>
    <col min="354" max="356" width="9.26953125" bestFit="1" customWidth="1"/>
    <col min="357" max="357" width="16.7265625" bestFit="1" customWidth="1"/>
    <col min="358" max="358" width="9.26953125" bestFit="1" customWidth="1"/>
    <col min="359" max="359" width="16.7265625" bestFit="1" customWidth="1"/>
    <col min="360" max="360" width="9.26953125" bestFit="1" customWidth="1"/>
    <col min="361" max="363" width="16.7265625" bestFit="1" customWidth="1"/>
    <col min="364" max="364" width="9.26953125" bestFit="1" customWidth="1"/>
    <col min="365" max="365" width="16.7265625" bestFit="1" customWidth="1"/>
    <col min="366" max="366" width="9.26953125" bestFit="1" customWidth="1"/>
    <col min="367" max="368" width="16.7265625" bestFit="1" customWidth="1"/>
    <col min="369" max="369" width="9.26953125" bestFit="1" customWidth="1"/>
    <col min="370" max="371" width="16.7265625" bestFit="1" customWidth="1"/>
    <col min="372" max="374" width="9.26953125" bestFit="1" customWidth="1"/>
    <col min="375" max="381" width="16.7265625" bestFit="1" customWidth="1"/>
    <col min="382" max="382" width="9.26953125" bestFit="1" customWidth="1"/>
    <col min="383" max="384" width="16.7265625" bestFit="1" customWidth="1"/>
    <col min="385" max="385" width="9.26953125" bestFit="1" customWidth="1"/>
    <col min="386" max="388" width="16.7265625" bestFit="1" customWidth="1"/>
    <col min="389" max="389" width="9.26953125" bestFit="1" customWidth="1"/>
    <col min="390" max="392" width="16.7265625" bestFit="1" customWidth="1"/>
    <col min="393" max="393" width="9.26953125" bestFit="1" customWidth="1"/>
    <col min="394" max="394" width="16.7265625" bestFit="1" customWidth="1"/>
    <col min="395" max="395" width="9.26953125" bestFit="1" customWidth="1"/>
    <col min="396" max="403" width="16.7265625" bestFit="1" customWidth="1"/>
    <col min="404" max="406" width="9.26953125" bestFit="1" customWidth="1"/>
    <col min="407" max="411" width="16.7265625" bestFit="1" customWidth="1"/>
    <col min="412" max="414" width="9.26953125" bestFit="1" customWidth="1"/>
    <col min="415" max="417" width="16.7265625" bestFit="1" customWidth="1"/>
    <col min="418" max="418" width="9.26953125" bestFit="1" customWidth="1"/>
    <col min="419" max="419" width="16.7265625" bestFit="1" customWidth="1"/>
    <col min="420" max="421" width="9.26953125" bestFit="1" customWidth="1"/>
    <col min="422" max="423" width="16.7265625" bestFit="1" customWidth="1"/>
    <col min="424" max="425" width="9.26953125" bestFit="1" customWidth="1"/>
    <col min="426" max="426" width="16.7265625" bestFit="1" customWidth="1"/>
    <col min="427" max="428" width="9.26953125" bestFit="1" customWidth="1"/>
    <col min="429" max="430" width="16.7265625" bestFit="1" customWidth="1"/>
    <col min="431" max="434" width="9.26953125" bestFit="1" customWidth="1"/>
    <col min="435" max="435" width="16.7265625" bestFit="1" customWidth="1"/>
    <col min="436" max="436" width="9.26953125" bestFit="1" customWidth="1"/>
    <col min="437" max="438" width="16.7265625" bestFit="1" customWidth="1"/>
    <col min="439" max="443" width="9.26953125" bestFit="1" customWidth="1"/>
    <col min="444" max="446" width="16.7265625" bestFit="1" customWidth="1"/>
    <col min="447" max="447" width="9.26953125" bestFit="1" customWidth="1"/>
    <col min="448" max="450" width="16.7265625" bestFit="1" customWidth="1"/>
    <col min="451" max="452" width="9.26953125" bestFit="1" customWidth="1"/>
    <col min="453" max="453" width="16.7265625" bestFit="1" customWidth="1"/>
    <col min="454" max="454" width="9.26953125" bestFit="1" customWidth="1"/>
    <col min="455" max="456" width="16.7265625" bestFit="1" customWidth="1"/>
    <col min="457" max="457" width="9.26953125" bestFit="1" customWidth="1"/>
    <col min="458" max="459" width="16.7265625" bestFit="1" customWidth="1"/>
    <col min="460" max="461" width="9.26953125" bestFit="1" customWidth="1"/>
    <col min="462" max="465" width="16.7265625" bestFit="1" customWidth="1"/>
    <col min="466" max="466" width="9.26953125" bestFit="1" customWidth="1"/>
    <col min="467" max="467" width="16.7265625" bestFit="1" customWidth="1"/>
    <col min="468" max="468" width="9.26953125" bestFit="1" customWidth="1"/>
    <col min="469" max="469" width="9.26953125" customWidth="1"/>
    <col min="470" max="472" width="16.7265625" bestFit="1" customWidth="1"/>
    <col min="473" max="475" width="9.26953125" bestFit="1" customWidth="1"/>
    <col min="476" max="478" width="16.7265625" bestFit="1" customWidth="1"/>
    <col min="479" max="479" width="9.26953125" bestFit="1" customWidth="1"/>
    <col min="480" max="481" width="16.7265625" bestFit="1" customWidth="1"/>
    <col min="482" max="482" width="9.26953125" bestFit="1" customWidth="1"/>
    <col min="483" max="484" width="16.7265625" bestFit="1" customWidth="1"/>
    <col min="485" max="485" width="9.26953125" bestFit="1" customWidth="1"/>
    <col min="486" max="491" width="16.7265625" bestFit="1" customWidth="1"/>
    <col min="492" max="494" width="9.26953125" bestFit="1" customWidth="1"/>
    <col min="495" max="497" width="16.7265625" bestFit="1" customWidth="1"/>
    <col min="498" max="498" width="9.26953125" bestFit="1" customWidth="1"/>
    <col min="499" max="500" width="16.7265625" bestFit="1" customWidth="1"/>
    <col min="501" max="502" width="9.26953125" bestFit="1" customWidth="1"/>
    <col min="503" max="505" width="16.7265625" bestFit="1" customWidth="1"/>
    <col min="506" max="506" width="9.26953125" bestFit="1" customWidth="1"/>
    <col min="507" max="510" width="16.7265625" bestFit="1" customWidth="1"/>
    <col min="511" max="511" width="9.26953125" bestFit="1" customWidth="1"/>
    <col min="512" max="513" width="16.7265625" bestFit="1" customWidth="1"/>
    <col min="514" max="514" width="9.26953125" bestFit="1" customWidth="1"/>
    <col min="515" max="515" width="16.7265625" bestFit="1" customWidth="1"/>
    <col min="516" max="516" width="9.26953125" bestFit="1" customWidth="1"/>
    <col min="517" max="517" width="16.7265625" bestFit="1" customWidth="1"/>
    <col min="518" max="518" width="9.26953125" bestFit="1" customWidth="1"/>
    <col min="519" max="520" width="16.7265625" bestFit="1" customWidth="1"/>
    <col min="521" max="522" width="9.26953125" bestFit="1" customWidth="1"/>
    <col min="523" max="524" width="16.7265625" bestFit="1" customWidth="1"/>
    <col min="525" max="525" width="9.26953125" bestFit="1" customWidth="1"/>
    <col min="526" max="526" width="16.7265625" bestFit="1" customWidth="1"/>
    <col min="527" max="527" width="9.26953125" bestFit="1" customWidth="1"/>
    <col min="528" max="530" width="16.7265625" bestFit="1" customWidth="1"/>
    <col min="531" max="531" width="9.26953125" bestFit="1" customWidth="1"/>
    <col min="532" max="532" width="16.7265625" bestFit="1" customWidth="1"/>
    <col min="533" max="533" width="9.26953125" bestFit="1" customWidth="1"/>
    <col min="534" max="535" width="16.7265625" bestFit="1" customWidth="1"/>
    <col min="536" max="536" width="9.26953125" bestFit="1" customWidth="1"/>
    <col min="537" max="539" width="16.7265625" bestFit="1" customWidth="1"/>
    <col min="540" max="540" width="9.26953125" bestFit="1" customWidth="1"/>
    <col min="541" max="546" width="16.7265625" bestFit="1" customWidth="1"/>
    <col min="547" max="547" width="9.26953125" bestFit="1" customWidth="1"/>
    <col min="548" max="548" width="16.7265625" bestFit="1" customWidth="1"/>
    <col min="549" max="549" width="9.26953125" bestFit="1" customWidth="1"/>
    <col min="550" max="554" width="16.7265625" bestFit="1" customWidth="1"/>
    <col min="555" max="557" width="9.26953125" bestFit="1" customWidth="1"/>
    <col min="558" max="562" width="16.7265625" bestFit="1" customWidth="1"/>
  </cols>
  <sheetData>
    <row r="1" spans="1:562" x14ac:dyDescent="0.35">
      <c r="B1" s="6" t="s">
        <v>1295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  <c r="X1">
        <v>11</v>
      </c>
      <c r="Y1">
        <v>12</v>
      </c>
      <c r="Z1">
        <v>13</v>
      </c>
      <c r="AA1">
        <v>14</v>
      </c>
      <c r="AB1">
        <v>15</v>
      </c>
      <c r="AC1">
        <v>16</v>
      </c>
      <c r="AD1">
        <v>17</v>
      </c>
      <c r="AE1">
        <v>18</v>
      </c>
      <c r="AF1">
        <v>19</v>
      </c>
      <c r="AG1">
        <v>20</v>
      </c>
      <c r="AH1">
        <v>21</v>
      </c>
      <c r="AI1">
        <v>22</v>
      </c>
      <c r="AJ1">
        <v>23</v>
      </c>
      <c r="AK1">
        <v>24</v>
      </c>
      <c r="AL1">
        <v>25</v>
      </c>
      <c r="AM1">
        <v>26</v>
      </c>
      <c r="AN1">
        <v>27</v>
      </c>
      <c r="AO1">
        <v>28</v>
      </c>
      <c r="AP1">
        <v>29</v>
      </c>
      <c r="AQ1">
        <v>30</v>
      </c>
      <c r="AR1">
        <v>31</v>
      </c>
      <c r="AS1">
        <v>32</v>
      </c>
      <c r="AT1">
        <v>33</v>
      </c>
      <c r="AU1">
        <v>34</v>
      </c>
      <c r="AV1">
        <v>35</v>
      </c>
      <c r="AW1">
        <v>36</v>
      </c>
      <c r="AX1">
        <v>37</v>
      </c>
      <c r="AY1">
        <v>38</v>
      </c>
      <c r="AZ1">
        <v>39</v>
      </c>
      <c r="BA1">
        <v>40</v>
      </c>
      <c r="BB1">
        <v>41</v>
      </c>
      <c r="BC1">
        <v>42</v>
      </c>
      <c r="BD1">
        <v>43</v>
      </c>
      <c r="BE1">
        <v>44</v>
      </c>
      <c r="BF1">
        <v>45</v>
      </c>
      <c r="BG1">
        <v>46</v>
      </c>
      <c r="BH1">
        <v>47</v>
      </c>
      <c r="BI1">
        <v>48</v>
      </c>
      <c r="BJ1">
        <v>49</v>
      </c>
      <c r="BK1">
        <v>50</v>
      </c>
      <c r="BL1">
        <v>51</v>
      </c>
      <c r="BM1">
        <v>52</v>
      </c>
      <c r="BN1">
        <v>53</v>
      </c>
      <c r="BO1">
        <v>54</v>
      </c>
      <c r="BP1">
        <v>55</v>
      </c>
      <c r="BQ1">
        <v>56</v>
      </c>
      <c r="BR1">
        <v>57</v>
      </c>
      <c r="BS1">
        <v>58</v>
      </c>
      <c r="BT1">
        <v>59</v>
      </c>
      <c r="BU1">
        <v>60</v>
      </c>
      <c r="BV1">
        <v>61</v>
      </c>
      <c r="BW1">
        <v>62</v>
      </c>
      <c r="BX1">
        <v>63</v>
      </c>
      <c r="BY1">
        <v>64</v>
      </c>
      <c r="BZ1">
        <v>65</v>
      </c>
      <c r="CA1">
        <v>66</v>
      </c>
      <c r="CB1">
        <v>67</v>
      </c>
      <c r="CC1">
        <v>68</v>
      </c>
      <c r="CD1">
        <v>69</v>
      </c>
      <c r="CE1">
        <v>70</v>
      </c>
      <c r="CF1">
        <v>71</v>
      </c>
      <c r="CG1">
        <v>72</v>
      </c>
      <c r="CH1">
        <v>73</v>
      </c>
      <c r="CI1">
        <v>74</v>
      </c>
      <c r="CJ1">
        <v>75</v>
      </c>
      <c r="CK1">
        <v>76</v>
      </c>
      <c r="CL1">
        <v>77</v>
      </c>
      <c r="CM1">
        <v>78</v>
      </c>
      <c r="CN1">
        <v>79</v>
      </c>
      <c r="CO1">
        <v>80</v>
      </c>
      <c r="CP1">
        <v>81</v>
      </c>
      <c r="CQ1">
        <v>82</v>
      </c>
      <c r="CR1">
        <v>83</v>
      </c>
      <c r="CS1">
        <v>84</v>
      </c>
      <c r="CT1">
        <v>85</v>
      </c>
      <c r="CU1">
        <v>86</v>
      </c>
      <c r="CV1">
        <v>87</v>
      </c>
      <c r="CW1">
        <v>88</v>
      </c>
      <c r="CX1">
        <v>89</v>
      </c>
      <c r="CY1">
        <v>90</v>
      </c>
      <c r="CZ1">
        <v>91</v>
      </c>
      <c r="DA1">
        <v>92</v>
      </c>
      <c r="DB1">
        <v>93</v>
      </c>
      <c r="DC1">
        <v>94</v>
      </c>
      <c r="DD1">
        <v>95</v>
      </c>
      <c r="DE1">
        <v>96</v>
      </c>
      <c r="DF1">
        <v>97</v>
      </c>
      <c r="DG1">
        <v>98</v>
      </c>
      <c r="DH1">
        <v>99</v>
      </c>
      <c r="DI1">
        <v>100</v>
      </c>
      <c r="DJ1">
        <v>101</v>
      </c>
      <c r="DK1">
        <v>102</v>
      </c>
      <c r="DL1">
        <v>103</v>
      </c>
      <c r="DM1">
        <v>104</v>
      </c>
      <c r="DN1">
        <v>105</v>
      </c>
      <c r="DO1">
        <v>106</v>
      </c>
      <c r="DP1">
        <v>107</v>
      </c>
      <c r="DQ1">
        <v>108</v>
      </c>
      <c r="DR1">
        <v>109</v>
      </c>
      <c r="DS1">
        <v>110</v>
      </c>
      <c r="DT1">
        <v>111</v>
      </c>
      <c r="DU1">
        <v>112</v>
      </c>
      <c r="DV1">
        <v>113</v>
      </c>
      <c r="DW1">
        <v>114</v>
      </c>
      <c r="DX1">
        <v>115</v>
      </c>
      <c r="DY1">
        <v>116</v>
      </c>
      <c r="DZ1">
        <v>117</v>
      </c>
      <c r="EA1">
        <v>118</v>
      </c>
      <c r="EB1">
        <v>119</v>
      </c>
      <c r="EC1">
        <v>120</v>
      </c>
      <c r="ED1">
        <v>121</v>
      </c>
      <c r="EE1">
        <v>122</v>
      </c>
      <c r="EF1">
        <v>123</v>
      </c>
      <c r="EG1">
        <v>124</v>
      </c>
      <c r="EH1">
        <v>125</v>
      </c>
      <c r="EI1">
        <v>126</v>
      </c>
      <c r="EJ1">
        <v>127</v>
      </c>
      <c r="EK1">
        <v>128</v>
      </c>
      <c r="EL1">
        <v>129</v>
      </c>
      <c r="EM1">
        <v>130</v>
      </c>
      <c r="EN1">
        <v>131</v>
      </c>
      <c r="EO1">
        <v>132</v>
      </c>
      <c r="EP1">
        <v>133</v>
      </c>
      <c r="EQ1">
        <v>134</v>
      </c>
      <c r="ER1">
        <v>135</v>
      </c>
      <c r="ES1">
        <v>136</v>
      </c>
      <c r="ET1">
        <v>137</v>
      </c>
      <c r="EU1">
        <v>138</v>
      </c>
      <c r="EV1">
        <v>139</v>
      </c>
      <c r="EW1">
        <v>140</v>
      </c>
      <c r="EX1">
        <v>141</v>
      </c>
      <c r="EY1">
        <v>142</v>
      </c>
      <c r="EZ1">
        <v>143</v>
      </c>
      <c r="FA1">
        <v>144</v>
      </c>
      <c r="FB1">
        <v>145</v>
      </c>
      <c r="FC1">
        <v>146</v>
      </c>
      <c r="FD1">
        <v>147</v>
      </c>
      <c r="FE1">
        <v>148</v>
      </c>
      <c r="FF1">
        <v>149</v>
      </c>
      <c r="FG1">
        <v>150</v>
      </c>
      <c r="FH1">
        <v>151</v>
      </c>
      <c r="FI1">
        <v>152</v>
      </c>
      <c r="FJ1">
        <v>153</v>
      </c>
      <c r="FK1">
        <v>154</v>
      </c>
      <c r="FL1">
        <v>155</v>
      </c>
      <c r="FM1">
        <v>156</v>
      </c>
      <c r="FN1">
        <v>157</v>
      </c>
      <c r="FO1">
        <v>158</v>
      </c>
      <c r="FP1">
        <v>159</v>
      </c>
      <c r="FQ1">
        <v>160</v>
      </c>
      <c r="FR1">
        <v>161</v>
      </c>
      <c r="FS1">
        <v>162</v>
      </c>
      <c r="FT1">
        <v>163</v>
      </c>
      <c r="FU1">
        <v>164</v>
      </c>
      <c r="FV1">
        <v>165</v>
      </c>
      <c r="FW1">
        <v>166</v>
      </c>
      <c r="FX1">
        <v>167</v>
      </c>
      <c r="FY1">
        <v>168</v>
      </c>
      <c r="FZ1">
        <v>169</v>
      </c>
      <c r="GA1">
        <v>170</v>
      </c>
      <c r="GB1">
        <v>171</v>
      </c>
      <c r="GC1">
        <v>172</v>
      </c>
      <c r="GD1">
        <v>173</v>
      </c>
      <c r="GE1">
        <v>174</v>
      </c>
      <c r="GF1">
        <v>175</v>
      </c>
      <c r="GG1">
        <v>176</v>
      </c>
      <c r="GH1">
        <v>177</v>
      </c>
      <c r="GI1">
        <v>178</v>
      </c>
      <c r="GJ1">
        <v>179</v>
      </c>
      <c r="GK1">
        <v>180</v>
      </c>
      <c r="GL1">
        <v>181</v>
      </c>
      <c r="GM1">
        <v>182</v>
      </c>
      <c r="GN1">
        <v>183</v>
      </c>
      <c r="GO1">
        <v>184</v>
      </c>
      <c r="GP1">
        <v>185</v>
      </c>
      <c r="GQ1">
        <v>186</v>
      </c>
      <c r="GR1">
        <v>187</v>
      </c>
      <c r="GS1">
        <v>188</v>
      </c>
      <c r="GT1">
        <v>189</v>
      </c>
      <c r="GU1">
        <v>190</v>
      </c>
      <c r="GV1">
        <v>191</v>
      </c>
      <c r="GW1">
        <v>192</v>
      </c>
      <c r="GX1">
        <v>193</v>
      </c>
      <c r="GY1">
        <v>194</v>
      </c>
      <c r="GZ1">
        <v>195</v>
      </c>
      <c r="HA1">
        <v>196</v>
      </c>
      <c r="HB1">
        <v>197</v>
      </c>
      <c r="HC1">
        <v>198</v>
      </c>
      <c r="HD1">
        <v>199</v>
      </c>
      <c r="HE1">
        <v>200</v>
      </c>
      <c r="HF1">
        <v>201</v>
      </c>
      <c r="HG1">
        <v>202</v>
      </c>
      <c r="HH1">
        <v>203</v>
      </c>
      <c r="HI1">
        <v>204</v>
      </c>
      <c r="HJ1">
        <v>205</v>
      </c>
      <c r="HK1">
        <v>206</v>
      </c>
      <c r="HL1">
        <v>207</v>
      </c>
      <c r="HM1">
        <v>208</v>
      </c>
      <c r="HN1">
        <v>209</v>
      </c>
      <c r="HO1">
        <v>210</v>
      </c>
      <c r="HP1">
        <v>211</v>
      </c>
      <c r="HQ1">
        <v>212</v>
      </c>
      <c r="HR1">
        <v>213</v>
      </c>
      <c r="HS1">
        <v>214</v>
      </c>
      <c r="HT1">
        <v>215</v>
      </c>
      <c r="HU1">
        <v>216</v>
      </c>
      <c r="HV1">
        <v>217</v>
      </c>
      <c r="HW1">
        <v>218</v>
      </c>
      <c r="HX1">
        <v>219</v>
      </c>
      <c r="HY1">
        <v>220</v>
      </c>
      <c r="HZ1">
        <v>221</v>
      </c>
      <c r="IA1">
        <v>222</v>
      </c>
      <c r="IB1">
        <v>223</v>
      </c>
      <c r="IC1">
        <v>224</v>
      </c>
      <c r="ID1">
        <v>225</v>
      </c>
      <c r="IE1">
        <v>226</v>
      </c>
      <c r="IF1">
        <v>227</v>
      </c>
      <c r="IG1">
        <v>228</v>
      </c>
      <c r="IH1">
        <v>229</v>
      </c>
      <c r="II1">
        <v>230</v>
      </c>
      <c r="IJ1">
        <v>231</v>
      </c>
      <c r="IK1">
        <v>232</v>
      </c>
      <c r="IL1">
        <v>233</v>
      </c>
      <c r="IM1">
        <v>234</v>
      </c>
      <c r="IN1">
        <v>235</v>
      </c>
      <c r="IO1">
        <v>236</v>
      </c>
      <c r="IP1">
        <v>237</v>
      </c>
      <c r="IQ1">
        <v>238</v>
      </c>
      <c r="IR1">
        <v>239</v>
      </c>
      <c r="IS1">
        <v>240</v>
      </c>
      <c r="IT1">
        <v>241</v>
      </c>
      <c r="IU1">
        <v>242</v>
      </c>
      <c r="IV1">
        <v>243</v>
      </c>
      <c r="IW1">
        <v>244</v>
      </c>
      <c r="IX1">
        <v>245</v>
      </c>
      <c r="IY1">
        <v>246</v>
      </c>
      <c r="IZ1">
        <v>247</v>
      </c>
      <c r="JA1">
        <v>248</v>
      </c>
      <c r="JB1">
        <v>249</v>
      </c>
      <c r="JC1">
        <v>250</v>
      </c>
      <c r="JD1">
        <v>251</v>
      </c>
      <c r="JE1">
        <v>252</v>
      </c>
      <c r="JF1">
        <v>253</v>
      </c>
      <c r="JG1">
        <v>254</v>
      </c>
      <c r="JH1">
        <v>255</v>
      </c>
      <c r="JI1">
        <v>256</v>
      </c>
      <c r="JJ1">
        <v>257</v>
      </c>
      <c r="JK1">
        <v>258</v>
      </c>
      <c r="JL1">
        <v>259</v>
      </c>
      <c r="JM1">
        <v>260</v>
      </c>
      <c r="JN1">
        <v>261</v>
      </c>
      <c r="JO1">
        <v>262</v>
      </c>
      <c r="JP1">
        <v>263</v>
      </c>
      <c r="JQ1">
        <v>264</v>
      </c>
      <c r="JR1">
        <v>265</v>
      </c>
      <c r="JS1">
        <v>266</v>
      </c>
      <c r="JT1">
        <v>267</v>
      </c>
      <c r="JU1">
        <v>268</v>
      </c>
      <c r="JV1">
        <v>269</v>
      </c>
      <c r="JW1">
        <v>270</v>
      </c>
      <c r="JX1">
        <v>271</v>
      </c>
      <c r="JY1">
        <v>272</v>
      </c>
      <c r="JZ1">
        <v>273</v>
      </c>
      <c r="KA1">
        <v>274</v>
      </c>
      <c r="KB1">
        <v>275</v>
      </c>
      <c r="KC1">
        <v>276</v>
      </c>
      <c r="KD1">
        <v>277</v>
      </c>
      <c r="KE1">
        <v>278</v>
      </c>
      <c r="KF1">
        <v>279</v>
      </c>
      <c r="KG1">
        <v>280</v>
      </c>
      <c r="KH1">
        <v>281</v>
      </c>
      <c r="KI1">
        <v>282</v>
      </c>
      <c r="KJ1">
        <v>283</v>
      </c>
      <c r="KK1">
        <v>284</v>
      </c>
      <c r="KL1">
        <v>285</v>
      </c>
      <c r="KM1">
        <v>286</v>
      </c>
      <c r="KN1">
        <v>287</v>
      </c>
      <c r="KO1">
        <v>288</v>
      </c>
      <c r="KP1">
        <v>289</v>
      </c>
      <c r="KQ1">
        <v>290</v>
      </c>
      <c r="KR1">
        <v>291</v>
      </c>
      <c r="KS1">
        <v>292</v>
      </c>
      <c r="KT1">
        <v>293</v>
      </c>
      <c r="KU1">
        <v>294</v>
      </c>
      <c r="KV1">
        <v>295</v>
      </c>
      <c r="KW1">
        <v>296</v>
      </c>
      <c r="KX1">
        <v>297</v>
      </c>
      <c r="KY1">
        <v>298</v>
      </c>
      <c r="KZ1">
        <v>299</v>
      </c>
      <c r="LA1">
        <v>300</v>
      </c>
      <c r="LB1">
        <v>301</v>
      </c>
      <c r="LC1">
        <v>302</v>
      </c>
      <c r="LD1">
        <v>303</v>
      </c>
      <c r="LE1">
        <v>304</v>
      </c>
      <c r="LF1">
        <v>305</v>
      </c>
      <c r="LG1">
        <v>306</v>
      </c>
      <c r="LH1">
        <v>307</v>
      </c>
      <c r="LI1">
        <v>308</v>
      </c>
      <c r="LJ1">
        <v>309</v>
      </c>
      <c r="LK1">
        <v>310</v>
      </c>
      <c r="LL1">
        <v>311</v>
      </c>
      <c r="LM1">
        <v>312</v>
      </c>
      <c r="LN1">
        <v>313</v>
      </c>
      <c r="LO1">
        <v>314</v>
      </c>
      <c r="LP1">
        <v>315</v>
      </c>
      <c r="LQ1">
        <v>316</v>
      </c>
      <c r="LR1">
        <v>317</v>
      </c>
      <c r="LS1">
        <v>318</v>
      </c>
      <c r="LT1">
        <v>319</v>
      </c>
      <c r="LU1">
        <v>320</v>
      </c>
      <c r="LV1">
        <v>321</v>
      </c>
      <c r="LW1">
        <v>322</v>
      </c>
      <c r="LX1">
        <v>323</v>
      </c>
      <c r="LY1">
        <v>324</v>
      </c>
      <c r="LZ1">
        <v>325</v>
      </c>
      <c r="MA1">
        <v>326</v>
      </c>
      <c r="MB1">
        <v>327</v>
      </c>
      <c r="MC1">
        <v>328</v>
      </c>
      <c r="MD1">
        <v>329</v>
      </c>
      <c r="ME1">
        <v>330</v>
      </c>
      <c r="MF1">
        <v>331</v>
      </c>
      <c r="MG1">
        <v>332</v>
      </c>
      <c r="MH1">
        <v>333</v>
      </c>
      <c r="MI1">
        <v>334</v>
      </c>
      <c r="MJ1">
        <v>335</v>
      </c>
      <c r="MK1">
        <v>336</v>
      </c>
      <c r="ML1">
        <v>337</v>
      </c>
      <c r="MM1">
        <v>338</v>
      </c>
      <c r="MN1">
        <v>339</v>
      </c>
      <c r="MO1">
        <v>340</v>
      </c>
      <c r="MP1">
        <v>341</v>
      </c>
      <c r="MQ1">
        <v>342</v>
      </c>
      <c r="MR1">
        <v>343</v>
      </c>
      <c r="MS1">
        <v>344</v>
      </c>
      <c r="MT1">
        <v>345</v>
      </c>
      <c r="MU1">
        <v>346</v>
      </c>
      <c r="MV1">
        <v>347</v>
      </c>
      <c r="MW1">
        <v>348</v>
      </c>
      <c r="MX1">
        <v>349</v>
      </c>
      <c r="MY1">
        <v>350</v>
      </c>
      <c r="MZ1">
        <v>351</v>
      </c>
      <c r="NA1">
        <v>352</v>
      </c>
      <c r="NB1">
        <v>353</v>
      </c>
      <c r="NC1">
        <v>354</v>
      </c>
      <c r="ND1">
        <v>355</v>
      </c>
      <c r="NE1">
        <v>356</v>
      </c>
      <c r="NF1">
        <v>357</v>
      </c>
      <c r="NG1">
        <v>358</v>
      </c>
      <c r="NH1">
        <v>359</v>
      </c>
      <c r="NI1">
        <v>360</v>
      </c>
      <c r="NJ1">
        <v>361</v>
      </c>
      <c r="NK1">
        <v>362</v>
      </c>
      <c r="NL1">
        <v>363</v>
      </c>
      <c r="NM1">
        <v>364</v>
      </c>
      <c r="NN1">
        <v>365</v>
      </c>
      <c r="NO1">
        <v>366</v>
      </c>
      <c r="NP1">
        <v>367</v>
      </c>
      <c r="NQ1">
        <v>368</v>
      </c>
      <c r="NR1">
        <v>369</v>
      </c>
      <c r="NS1">
        <v>370</v>
      </c>
      <c r="NT1">
        <v>371</v>
      </c>
      <c r="NU1">
        <v>372</v>
      </c>
      <c r="NV1">
        <v>373</v>
      </c>
      <c r="NW1">
        <v>374</v>
      </c>
      <c r="NX1">
        <v>375</v>
      </c>
      <c r="NY1">
        <v>376</v>
      </c>
      <c r="NZ1">
        <v>377</v>
      </c>
      <c r="OA1">
        <v>378</v>
      </c>
      <c r="OB1">
        <v>379</v>
      </c>
      <c r="OC1">
        <v>380</v>
      </c>
      <c r="OD1">
        <v>381</v>
      </c>
      <c r="OE1">
        <v>382</v>
      </c>
      <c r="OF1">
        <v>383</v>
      </c>
      <c r="OG1">
        <v>384</v>
      </c>
      <c r="OH1">
        <v>385</v>
      </c>
      <c r="OI1">
        <v>386</v>
      </c>
      <c r="OJ1">
        <v>387</v>
      </c>
      <c r="OK1">
        <v>388</v>
      </c>
      <c r="OL1">
        <v>389</v>
      </c>
      <c r="OM1">
        <v>390</v>
      </c>
      <c r="ON1">
        <v>391</v>
      </c>
      <c r="OO1">
        <v>392</v>
      </c>
      <c r="OP1">
        <v>393</v>
      </c>
      <c r="OQ1">
        <v>394</v>
      </c>
      <c r="OR1">
        <v>395</v>
      </c>
      <c r="OS1">
        <v>396</v>
      </c>
      <c r="OT1">
        <v>397</v>
      </c>
      <c r="OU1">
        <v>398</v>
      </c>
      <c r="OV1">
        <v>399</v>
      </c>
      <c r="OW1">
        <v>400</v>
      </c>
      <c r="OX1">
        <v>401</v>
      </c>
      <c r="OY1">
        <v>402</v>
      </c>
      <c r="OZ1">
        <v>403</v>
      </c>
      <c r="PA1">
        <v>404</v>
      </c>
      <c r="PB1">
        <v>405</v>
      </c>
      <c r="PC1">
        <v>406</v>
      </c>
      <c r="PD1">
        <v>407</v>
      </c>
      <c r="PE1">
        <v>408</v>
      </c>
      <c r="PF1">
        <v>409</v>
      </c>
      <c r="PG1">
        <v>410</v>
      </c>
      <c r="PH1">
        <v>411</v>
      </c>
      <c r="PI1">
        <v>412</v>
      </c>
      <c r="PJ1">
        <v>413</v>
      </c>
      <c r="PK1">
        <v>414</v>
      </c>
      <c r="PL1">
        <v>415</v>
      </c>
      <c r="PM1">
        <v>416</v>
      </c>
      <c r="PN1">
        <v>417</v>
      </c>
      <c r="PO1">
        <v>418</v>
      </c>
      <c r="PP1">
        <v>419</v>
      </c>
      <c r="PQ1">
        <v>420</v>
      </c>
      <c r="PR1">
        <v>421</v>
      </c>
      <c r="PS1">
        <v>422</v>
      </c>
      <c r="PT1">
        <v>423</v>
      </c>
      <c r="PU1">
        <v>424</v>
      </c>
      <c r="PV1">
        <v>425</v>
      </c>
      <c r="PW1">
        <v>426</v>
      </c>
      <c r="PX1">
        <v>427</v>
      </c>
      <c r="PY1">
        <v>428</v>
      </c>
      <c r="PZ1">
        <v>429</v>
      </c>
      <c r="QA1">
        <v>430</v>
      </c>
      <c r="QB1">
        <v>431</v>
      </c>
      <c r="QC1">
        <v>432</v>
      </c>
      <c r="QD1">
        <v>433</v>
      </c>
      <c r="QE1">
        <v>434</v>
      </c>
      <c r="QF1">
        <v>435</v>
      </c>
      <c r="QG1">
        <v>436</v>
      </c>
      <c r="QH1">
        <v>437</v>
      </c>
      <c r="QI1">
        <v>438</v>
      </c>
      <c r="QJ1">
        <v>439</v>
      </c>
      <c r="QK1">
        <v>440</v>
      </c>
      <c r="QL1">
        <v>441</v>
      </c>
      <c r="QM1">
        <v>442</v>
      </c>
      <c r="QN1">
        <v>443</v>
      </c>
      <c r="QO1">
        <v>444</v>
      </c>
      <c r="QP1">
        <v>445</v>
      </c>
      <c r="QQ1">
        <v>446</v>
      </c>
      <c r="QR1">
        <v>447</v>
      </c>
      <c r="QS1">
        <v>448</v>
      </c>
      <c r="QT1">
        <v>449</v>
      </c>
      <c r="QU1">
        <v>450</v>
      </c>
      <c r="QV1">
        <v>451</v>
      </c>
      <c r="QW1">
        <v>452</v>
      </c>
      <c r="QX1">
        <v>453</v>
      </c>
      <c r="QY1">
        <v>454</v>
      </c>
      <c r="QZ1">
        <v>455</v>
      </c>
      <c r="RA1">
        <v>456</v>
      </c>
      <c r="RB1">
        <v>457</v>
      </c>
      <c r="RC1">
        <v>458</v>
      </c>
      <c r="RD1">
        <v>459</v>
      </c>
      <c r="RE1">
        <v>460</v>
      </c>
      <c r="RF1">
        <v>461</v>
      </c>
      <c r="RG1">
        <v>462</v>
      </c>
      <c r="RH1">
        <v>463</v>
      </c>
      <c r="RI1">
        <v>464</v>
      </c>
      <c r="RJ1">
        <v>465</v>
      </c>
      <c r="RK1">
        <v>466</v>
      </c>
      <c r="RL1">
        <v>467</v>
      </c>
      <c r="RM1">
        <v>468</v>
      </c>
      <c r="RN1">
        <v>469</v>
      </c>
      <c r="RO1">
        <v>470</v>
      </c>
      <c r="RP1">
        <v>471</v>
      </c>
      <c r="RQ1">
        <v>472</v>
      </c>
      <c r="RR1">
        <v>473</v>
      </c>
      <c r="RS1">
        <v>474</v>
      </c>
      <c r="RT1">
        <v>475</v>
      </c>
      <c r="RU1">
        <v>476</v>
      </c>
      <c r="RV1">
        <v>477</v>
      </c>
      <c r="RW1">
        <v>478</v>
      </c>
      <c r="RX1">
        <v>479</v>
      </c>
      <c r="RY1">
        <v>480</v>
      </c>
      <c r="RZ1">
        <v>481</v>
      </c>
      <c r="SA1">
        <v>482</v>
      </c>
      <c r="SB1">
        <v>483</v>
      </c>
      <c r="SC1">
        <v>484</v>
      </c>
      <c r="SD1">
        <v>485</v>
      </c>
      <c r="SE1">
        <v>486</v>
      </c>
      <c r="SF1">
        <v>487</v>
      </c>
      <c r="SG1">
        <v>488</v>
      </c>
      <c r="SH1">
        <v>489</v>
      </c>
      <c r="SI1">
        <v>490</v>
      </c>
      <c r="SJ1">
        <v>491</v>
      </c>
      <c r="SK1">
        <v>492</v>
      </c>
      <c r="SL1">
        <v>493</v>
      </c>
      <c r="SM1">
        <v>494</v>
      </c>
      <c r="SN1">
        <v>495</v>
      </c>
      <c r="SO1">
        <v>496</v>
      </c>
      <c r="SP1">
        <v>497</v>
      </c>
      <c r="SQ1">
        <v>498</v>
      </c>
      <c r="SR1">
        <v>499</v>
      </c>
      <c r="SS1">
        <v>500</v>
      </c>
      <c r="ST1">
        <v>501</v>
      </c>
      <c r="SU1">
        <v>502</v>
      </c>
      <c r="SV1">
        <v>503</v>
      </c>
      <c r="SW1">
        <v>504</v>
      </c>
      <c r="SX1">
        <v>505</v>
      </c>
      <c r="SY1">
        <v>506</v>
      </c>
      <c r="SZ1">
        <v>507</v>
      </c>
      <c r="TA1">
        <v>508</v>
      </c>
      <c r="TB1">
        <v>509</v>
      </c>
      <c r="TC1">
        <v>510</v>
      </c>
      <c r="TD1">
        <v>511</v>
      </c>
      <c r="TE1">
        <v>512</v>
      </c>
      <c r="TF1">
        <v>513</v>
      </c>
      <c r="TG1">
        <v>514</v>
      </c>
      <c r="TH1">
        <v>515</v>
      </c>
      <c r="TI1">
        <v>516</v>
      </c>
      <c r="TJ1">
        <v>517</v>
      </c>
      <c r="TK1">
        <v>518</v>
      </c>
      <c r="TL1">
        <v>519</v>
      </c>
      <c r="TM1">
        <v>520</v>
      </c>
      <c r="TN1">
        <v>521</v>
      </c>
      <c r="TO1">
        <v>522</v>
      </c>
      <c r="TP1">
        <v>523</v>
      </c>
      <c r="TQ1">
        <v>524</v>
      </c>
      <c r="TR1">
        <v>525</v>
      </c>
      <c r="TS1">
        <v>526</v>
      </c>
      <c r="TT1">
        <v>527</v>
      </c>
      <c r="TU1">
        <v>528</v>
      </c>
      <c r="TV1">
        <v>529</v>
      </c>
      <c r="TW1">
        <v>530</v>
      </c>
      <c r="TX1">
        <v>531</v>
      </c>
      <c r="TY1">
        <v>532</v>
      </c>
      <c r="TZ1">
        <v>533</v>
      </c>
      <c r="UA1">
        <v>534</v>
      </c>
      <c r="UB1">
        <v>535</v>
      </c>
      <c r="UC1">
        <v>536</v>
      </c>
      <c r="UD1">
        <v>537</v>
      </c>
      <c r="UE1">
        <v>538</v>
      </c>
      <c r="UF1">
        <v>539</v>
      </c>
      <c r="UG1">
        <v>540</v>
      </c>
      <c r="UH1">
        <v>541</v>
      </c>
      <c r="UI1">
        <v>542</v>
      </c>
      <c r="UJ1">
        <v>543</v>
      </c>
      <c r="UK1">
        <v>544</v>
      </c>
      <c r="UL1">
        <v>545</v>
      </c>
      <c r="UM1">
        <v>546</v>
      </c>
      <c r="UN1">
        <v>547</v>
      </c>
      <c r="UO1">
        <v>548</v>
      </c>
      <c r="UP1">
        <v>549</v>
      </c>
    </row>
    <row r="2" spans="1:562" x14ac:dyDescent="0.35">
      <c r="B2" s="6" t="s">
        <v>1296</v>
      </c>
      <c r="C2">
        <v>848</v>
      </c>
      <c r="D2">
        <v>699</v>
      </c>
      <c r="E2">
        <v>975</v>
      </c>
      <c r="F2">
        <v>14</v>
      </c>
      <c r="G2">
        <v>30</v>
      </c>
      <c r="H2">
        <v>197</v>
      </c>
      <c r="I2">
        <v>59</v>
      </c>
      <c r="J2">
        <v>338</v>
      </c>
      <c r="K2">
        <v>286</v>
      </c>
      <c r="L2">
        <v>149</v>
      </c>
      <c r="M2">
        <v>763</v>
      </c>
      <c r="N2">
        <v>68</v>
      </c>
      <c r="O2">
        <v>667</v>
      </c>
      <c r="P2">
        <v>985</v>
      </c>
      <c r="Q2">
        <v>320</v>
      </c>
      <c r="R2">
        <v>943</v>
      </c>
      <c r="S2">
        <v>648</v>
      </c>
      <c r="T2">
        <v>844</v>
      </c>
      <c r="U2">
        <v>882</v>
      </c>
      <c r="V2">
        <v>656</v>
      </c>
      <c r="W2">
        <v>962</v>
      </c>
      <c r="X2">
        <v>767</v>
      </c>
      <c r="Y2">
        <v>1021</v>
      </c>
      <c r="Z2">
        <v>1085</v>
      </c>
      <c r="AA2">
        <v>558</v>
      </c>
      <c r="AB2">
        <v>838</v>
      </c>
      <c r="AC2">
        <v>654</v>
      </c>
      <c r="AD2">
        <v>702</v>
      </c>
      <c r="AE2">
        <v>889</v>
      </c>
      <c r="AF2">
        <v>929</v>
      </c>
      <c r="AG2">
        <v>981</v>
      </c>
      <c r="AH2">
        <v>201</v>
      </c>
      <c r="AI2">
        <v>1047</v>
      </c>
      <c r="AJ2">
        <v>1070</v>
      </c>
      <c r="AK2">
        <v>1038</v>
      </c>
      <c r="AL2">
        <v>1062</v>
      </c>
      <c r="AM2">
        <v>1030</v>
      </c>
      <c r="AN2">
        <v>113</v>
      </c>
      <c r="AO2">
        <v>1094</v>
      </c>
      <c r="AP2">
        <v>1128</v>
      </c>
      <c r="AQ2">
        <v>478</v>
      </c>
      <c r="AR2">
        <v>510</v>
      </c>
      <c r="AS2">
        <v>878</v>
      </c>
      <c r="AT2">
        <v>657</v>
      </c>
      <c r="AU2">
        <v>950</v>
      </c>
      <c r="AV2">
        <v>974</v>
      </c>
      <c r="AW2">
        <v>1102</v>
      </c>
      <c r="AX2">
        <v>2</v>
      </c>
      <c r="AY2">
        <v>450</v>
      </c>
      <c r="AZ2">
        <v>854</v>
      </c>
      <c r="BA2">
        <v>577</v>
      </c>
      <c r="BB2">
        <v>625</v>
      </c>
      <c r="BC2">
        <v>945</v>
      </c>
      <c r="BD2">
        <v>1026</v>
      </c>
      <c r="BE2">
        <v>1006</v>
      </c>
      <c r="BF2">
        <v>670</v>
      </c>
      <c r="BG2">
        <v>1086</v>
      </c>
      <c r="BH2">
        <v>1111</v>
      </c>
      <c r="BI2">
        <v>9</v>
      </c>
      <c r="BJ2">
        <v>461</v>
      </c>
      <c r="BK2">
        <v>873</v>
      </c>
      <c r="BL2">
        <v>806</v>
      </c>
      <c r="BM2">
        <v>1035</v>
      </c>
      <c r="BN2">
        <v>1090</v>
      </c>
      <c r="BO2">
        <v>862</v>
      </c>
      <c r="BP2">
        <v>893</v>
      </c>
      <c r="BQ2">
        <v>36</v>
      </c>
      <c r="BR2">
        <v>180</v>
      </c>
      <c r="BS2">
        <v>148</v>
      </c>
      <c r="BT2">
        <v>187</v>
      </c>
      <c r="BU2">
        <v>638</v>
      </c>
      <c r="BV2">
        <v>662</v>
      </c>
      <c r="BW2">
        <v>897</v>
      </c>
      <c r="BX2">
        <v>1106</v>
      </c>
      <c r="BY2">
        <v>1010</v>
      </c>
      <c r="BZ2">
        <v>1058</v>
      </c>
      <c r="CA2">
        <v>857</v>
      </c>
      <c r="CB2">
        <v>849</v>
      </c>
      <c r="CC2">
        <v>527</v>
      </c>
      <c r="CD2">
        <v>600</v>
      </c>
      <c r="CE2">
        <v>678</v>
      </c>
      <c r="CF2">
        <v>252</v>
      </c>
      <c r="CG2">
        <v>156</v>
      </c>
      <c r="CH2">
        <v>243</v>
      </c>
      <c r="CI2">
        <v>735</v>
      </c>
      <c r="CJ2">
        <v>251</v>
      </c>
      <c r="CK2">
        <v>816</v>
      </c>
      <c r="CL2">
        <v>847</v>
      </c>
      <c r="CM2">
        <v>954</v>
      </c>
      <c r="CN2">
        <v>1005</v>
      </c>
      <c r="CO2">
        <v>780</v>
      </c>
      <c r="CP2">
        <v>696</v>
      </c>
      <c r="CQ2">
        <v>643</v>
      </c>
      <c r="CR2">
        <v>759</v>
      </c>
      <c r="CS2">
        <v>791</v>
      </c>
      <c r="CT2">
        <v>249</v>
      </c>
      <c r="CU2">
        <v>456</v>
      </c>
      <c r="CV2">
        <v>959</v>
      </c>
      <c r="CW2">
        <v>755</v>
      </c>
      <c r="CX2">
        <v>990</v>
      </c>
      <c r="CY2">
        <v>1023</v>
      </c>
      <c r="CZ2">
        <v>520</v>
      </c>
      <c r="DA2">
        <v>598</v>
      </c>
      <c r="DB2">
        <v>1074</v>
      </c>
      <c r="DC2">
        <v>905</v>
      </c>
      <c r="DD2">
        <v>1114</v>
      </c>
      <c r="DE2">
        <v>233</v>
      </c>
      <c r="DF2">
        <v>601</v>
      </c>
      <c r="DG2">
        <v>649</v>
      </c>
      <c r="DH2">
        <v>281</v>
      </c>
      <c r="DI2">
        <v>1066</v>
      </c>
      <c r="DJ2">
        <v>401</v>
      </c>
      <c r="DK2">
        <v>433</v>
      </c>
      <c r="DL2">
        <v>1046</v>
      </c>
      <c r="DM2">
        <v>441</v>
      </c>
      <c r="DN2">
        <v>421</v>
      </c>
      <c r="DO2">
        <v>973</v>
      </c>
      <c r="DP2">
        <v>573</v>
      </c>
      <c r="DQ2">
        <v>613</v>
      </c>
      <c r="DR2">
        <v>74</v>
      </c>
      <c r="DS2">
        <v>121</v>
      </c>
      <c r="DT2">
        <v>593</v>
      </c>
      <c r="DU2">
        <v>821</v>
      </c>
      <c r="DV2">
        <v>721</v>
      </c>
      <c r="DW2">
        <v>778</v>
      </c>
      <c r="DX2">
        <v>33</v>
      </c>
      <c r="DY2">
        <v>305</v>
      </c>
      <c r="DZ2">
        <v>750</v>
      </c>
      <c r="EA2">
        <v>269</v>
      </c>
      <c r="EB2">
        <v>869</v>
      </c>
      <c r="EC2">
        <v>902</v>
      </c>
      <c r="ED2">
        <v>377</v>
      </c>
      <c r="EE2">
        <v>393</v>
      </c>
      <c r="EF2">
        <v>805</v>
      </c>
      <c r="EG2">
        <v>41</v>
      </c>
      <c r="EH2">
        <v>501</v>
      </c>
      <c r="EI2">
        <v>565</v>
      </c>
      <c r="EJ2">
        <v>257</v>
      </c>
      <c r="EK2">
        <v>469</v>
      </c>
      <c r="EL2">
        <v>935</v>
      </c>
      <c r="EM2">
        <v>211</v>
      </c>
      <c r="EN2">
        <v>1015</v>
      </c>
      <c r="EO2">
        <v>919</v>
      </c>
      <c r="EP2">
        <v>927</v>
      </c>
      <c r="EQ2">
        <v>810</v>
      </c>
      <c r="ER2">
        <v>819</v>
      </c>
      <c r="ES2">
        <v>588</v>
      </c>
      <c r="ET2">
        <v>296</v>
      </c>
      <c r="EU2">
        <v>772</v>
      </c>
      <c r="EV2">
        <v>171</v>
      </c>
      <c r="EW2">
        <v>304</v>
      </c>
      <c r="EX2">
        <v>363</v>
      </c>
      <c r="EY2">
        <v>84</v>
      </c>
      <c r="EZ2">
        <v>132</v>
      </c>
      <c r="FA2">
        <v>707</v>
      </c>
      <c r="FB2">
        <v>556</v>
      </c>
      <c r="FC2">
        <v>827</v>
      </c>
      <c r="FD2">
        <v>1054</v>
      </c>
      <c r="FE2">
        <v>1081</v>
      </c>
      <c r="FF2">
        <v>448</v>
      </c>
      <c r="FG2">
        <v>412</v>
      </c>
      <c r="FH2">
        <v>630</v>
      </c>
      <c r="FI2">
        <v>440</v>
      </c>
      <c r="FJ2">
        <v>488</v>
      </c>
      <c r="FK2">
        <v>484</v>
      </c>
      <c r="FL2">
        <v>582</v>
      </c>
      <c r="FM2">
        <v>620</v>
      </c>
      <c r="FN2">
        <v>910</v>
      </c>
      <c r="FO2">
        <v>969</v>
      </c>
      <c r="FP2">
        <v>288</v>
      </c>
      <c r="FQ2">
        <v>1125</v>
      </c>
      <c r="FR2">
        <v>608</v>
      </c>
      <c r="FS2">
        <v>680</v>
      </c>
      <c r="FT2">
        <v>104</v>
      </c>
      <c r="FU2">
        <v>996</v>
      </c>
      <c r="FV2">
        <v>328</v>
      </c>
      <c r="FW2">
        <v>1101</v>
      </c>
      <c r="FX2">
        <v>783</v>
      </c>
      <c r="FY2">
        <v>831</v>
      </c>
      <c r="FZ2">
        <v>120</v>
      </c>
      <c r="GA2">
        <v>163</v>
      </c>
      <c r="GB2">
        <v>344</v>
      </c>
      <c r="GC2">
        <v>314</v>
      </c>
      <c r="GD2">
        <v>704</v>
      </c>
      <c r="GE2">
        <v>694</v>
      </c>
      <c r="GF2">
        <v>800</v>
      </c>
      <c r="GG2">
        <v>675</v>
      </c>
      <c r="GH2">
        <v>894</v>
      </c>
      <c r="GI2">
        <v>671</v>
      </c>
      <c r="GJ2">
        <v>965</v>
      </c>
      <c r="GK2">
        <v>774</v>
      </c>
      <c r="GL2">
        <v>906</v>
      </c>
      <c r="GM2">
        <v>279</v>
      </c>
      <c r="GN2">
        <v>442</v>
      </c>
      <c r="GO2">
        <v>434</v>
      </c>
      <c r="GP2">
        <v>545</v>
      </c>
      <c r="GQ2">
        <v>610</v>
      </c>
      <c r="GR2">
        <v>274</v>
      </c>
      <c r="GS2">
        <v>330</v>
      </c>
      <c r="GT2">
        <v>542</v>
      </c>
      <c r="GU2">
        <v>430</v>
      </c>
      <c r="GV2">
        <v>687</v>
      </c>
      <c r="GW2">
        <v>590</v>
      </c>
      <c r="GX2">
        <v>622</v>
      </c>
      <c r="GY2">
        <v>97</v>
      </c>
      <c r="GZ2">
        <v>1127</v>
      </c>
      <c r="HA2">
        <v>234</v>
      </c>
      <c r="HB2">
        <v>289</v>
      </c>
      <c r="HC2">
        <v>729</v>
      </c>
      <c r="HD2">
        <v>786</v>
      </c>
      <c r="HE2">
        <v>540</v>
      </c>
      <c r="HF2">
        <v>888</v>
      </c>
      <c r="HG2">
        <v>692</v>
      </c>
      <c r="HH2">
        <v>335</v>
      </c>
      <c r="HI2">
        <v>368</v>
      </c>
      <c r="HJ2">
        <v>895</v>
      </c>
      <c r="HK2">
        <v>836</v>
      </c>
      <c r="HL2">
        <v>427</v>
      </c>
      <c r="HM2">
        <v>988</v>
      </c>
      <c r="HN2">
        <v>977</v>
      </c>
      <c r="HO2">
        <v>1045</v>
      </c>
      <c r="HP2">
        <v>698</v>
      </c>
      <c r="HQ2">
        <v>507</v>
      </c>
      <c r="HR2">
        <v>188</v>
      </c>
      <c r="HS2">
        <v>196</v>
      </c>
      <c r="HT2">
        <v>204</v>
      </c>
      <c r="HU2">
        <v>159</v>
      </c>
      <c r="HV2">
        <v>589</v>
      </c>
      <c r="HW2">
        <v>814</v>
      </c>
      <c r="HX2">
        <v>961</v>
      </c>
      <c r="HY2">
        <v>260</v>
      </c>
      <c r="HZ2">
        <v>1139</v>
      </c>
      <c r="IA2">
        <v>639</v>
      </c>
      <c r="IB2">
        <v>647</v>
      </c>
      <c r="IC2">
        <v>788</v>
      </c>
      <c r="ID2">
        <v>566</v>
      </c>
      <c r="IE2">
        <v>1089</v>
      </c>
      <c r="IF2">
        <v>382</v>
      </c>
      <c r="IG2">
        <v>423</v>
      </c>
      <c r="IH2">
        <v>463</v>
      </c>
      <c r="II2">
        <v>2382</v>
      </c>
      <c r="IJ2">
        <v>2423</v>
      </c>
      <c r="IK2">
        <v>2463</v>
      </c>
      <c r="IL2">
        <v>10703</v>
      </c>
      <c r="IM2">
        <v>12703</v>
      </c>
      <c r="IN2">
        <v>10704</v>
      </c>
      <c r="IO2">
        <v>632</v>
      </c>
      <c r="IP2">
        <v>2632</v>
      </c>
      <c r="IQ2">
        <v>12704</v>
      </c>
      <c r="IR2">
        <v>982</v>
      </c>
      <c r="IS2">
        <v>19</v>
      </c>
      <c r="IT2">
        <v>918</v>
      </c>
      <c r="IU2">
        <v>926</v>
      </c>
      <c r="IV2">
        <v>934</v>
      </c>
      <c r="IW2">
        <v>843</v>
      </c>
      <c r="IX2">
        <v>1037</v>
      </c>
      <c r="IY2">
        <v>1084</v>
      </c>
      <c r="IZ2">
        <v>502</v>
      </c>
      <c r="JA2">
        <v>703</v>
      </c>
      <c r="JB2">
        <v>583</v>
      </c>
      <c r="JC2">
        <v>952</v>
      </c>
      <c r="JD2">
        <v>966</v>
      </c>
      <c r="JE2">
        <v>131</v>
      </c>
      <c r="JF2">
        <v>303</v>
      </c>
      <c r="JG2">
        <v>311</v>
      </c>
      <c r="JH2">
        <v>451</v>
      </c>
      <c r="JI2">
        <v>319</v>
      </c>
      <c r="JJ2">
        <v>477</v>
      </c>
      <c r="JK2">
        <v>672</v>
      </c>
      <c r="JL2">
        <v>56</v>
      </c>
      <c r="JM2">
        <v>998</v>
      </c>
      <c r="JN2">
        <v>754</v>
      </c>
      <c r="JO2">
        <v>250</v>
      </c>
      <c r="JP2">
        <v>258</v>
      </c>
      <c r="JQ2">
        <v>266</v>
      </c>
      <c r="JR2">
        <v>310</v>
      </c>
      <c r="JS2">
        <v>333</v>
      </c>
      <c r="JT2">
        <v>278</v>
      </c>
      <c r="JU2">
        <v>23</v>
      </c>
      <c r="JV2">
        <v>292</v>
      </c>
      <c r="JW2">
        <v>536</v>
      </c>
      <c r="JX2">
        <v>1105</v>
      </c>
      <c r="JY2">
        <v>403</v>
      </c>
      <c r="JZ2">
        <v>803</v>
      </c>
      <c r="KA2">
        <v>1031</v>
      </c>
      <c r="KB2">
        <v>1022</v>
      </c>
      <c r="KC2">
        <v>342</v>
      </c>
      <c r="KD2">
        <v>298</v>
      </c>
      <c r="KE2">
        <v>564</v>
      </c>
      <c r="KF2">
        <v>596</v>
      </c>
      <c r="KG2">
        <v>581</v>
      </c>
      <c r="KH2">
        <v>351</v>
      </c>
      <c r="KI2">
        <v>287</v>
      </c>
      <c r="KJ2">
        <v>549</v>
      </c>
      <c r="KK2">
        <v>629</v>
      </c>
      <c r="KL2">
        <v>685</v>
      </c>
      <c r="KM2">
        <v>718</v>
      </c>
      <c r="KN2">
        <v>725</v>
      </c>
      <c r="KO2">
        <v>733</v>
      </c>
      <c r="KP2">
        <v>741</v>
      </c>
      <c r="KQ2">
        <v>609</v>
      </c>
      <c r="KR2">
        <v>414</v>
      </c>
      <c r="KS2">
        <v>422</v>
      </c>
      <c r="KT2">
        <v>1044</v>
      </c>
      <c r="KU2">
        <v>475</v>
      </c>
      <c r="KV2">
        <v>170</v>
      </c>
      <c r="KW2">
        <v>218</v>
      </c>
      <c r="KX2">
        <v>1020</v>
      </c>
      <c r="KY2">
        <v>1029</v>
      </c>
      <c r="KZ2">
        <v>325</v>
      </c>
      <c r="LA2">
        <v>255</v>
      </c>
      <c r="LB2">
        <v>127</v>
      </c>
      <c r="LC2">
        <v>64</v>
      </c>
      <c r="LD2">
        <v>1120</v>
      </c>
      <c r="LE2">
        <v>1113</v>
      </c>
      <c r="LF2">
        <v>155</v>
      </c>
      <c r="LG2">
        <v>362</v>
      </c>
      <c r="LH2">
        <v>366</v>
      </c>
      <c r="LI2">
        <v>1077</v>
      </c>
      <c r="LJ2">
        <v>15</v>
      </c>
      <c r="LK2">
        <v>181</v>
      </c>
      <c r="LL2">
        <v>189</v>
      </c>
      <c r="LM2">
        <v>599</v>
      </c>
      <c r="LN2">
        <v>907</v>
      </c>
      <c r="LO2">
        <v>575</v>
      </c>
      <c r="LP2">
        <v>930</v>
      </c>
      <c r="LQ2">
        <v>262</v>
      </c>
      <c r="LR2">
        <v>27</v>
      </c>
      <c r="LS2">
        <v>178</v>
      </c>
      <c r="LT2">
        <v>321</v>
      </c>
      <c r="LU2">
        <v>483</v>
      </c>
      <c r="LV2">
        <v>186</v>
      </c>
      <c r="LW2">
        <v>1097</v>
      </c>
      <c r="LX2">
        <v>390</v>
      </c>
      <c r="LY2">
        <v>332</v>
      </c>
      <c r="LZ2">
        <v>38</v>
      </c>
      <c r="MA2">
        <v>118</v>
      </c>
      <c r="MB2">
        <v>223</v>
      </c>
      <c r="MC2">
        <v>72</v>
      </c>
      <c r="MD2">
        <v>263</v>
      </c>
      <c r="ME2">
        <v>272</v>
      </c>
      <c r="MF2">
        <v>830</v>
      </c>
      <c r="MG2">
        <v>452</v>
      </c>
      <c r="MH2">
        <v>523</v>
      </c>
      <c r="MI2">
        <v>914</v>
      </c>
      <c r="MJ2">
        <v>1109</v>
      </c>
      <c r="MK2">
        <v>126</v>
      </c>
      <c r="ML2">
        <v>133</v>
      </c>
      <c r="MM2">
        <v>347</v>
      </c>
      <c r="MN2">
        <v>689</v>
      </c>
      <c r="MO2">
        <v>88</v>
      </c>
      <c r="MP2">
        <v>210</v>
      </c>
      <c r="MQ2">
        <v>491</v>
      </c>
      <c r="MR2">
        <v>525</v>
      </c>
      <c r="MS2">
        <v>1126</v>
      </c>
      <c r="MT2">
        <v>1</v>
      </c>
      <c r="MU2">
        <v>515</v>
      </c>
      <c r="MV2">
        <v>980</v>
      </c>
      <c r="MW2">
        <v>1004</v>
      </c>
      <c r="MX2">
        <v>63</v>
      </c>
      <c r="MY2">
        <v>693</v>
      </c>
      <c r="MZ2">
        <v>946</v>
      </c>
      <c r="NA2">
        <v>194</v>
      </c>
      <c r="NB2">
        <v>226</v>
      </c>
      <c r="NC2">
        <v>356</v>
      </c>
      <c r="ND2">
        <v>364</v>
      </c>
      <c r="NE2">
        <v>173</v>
      </c>
      <c r="NF2">
        <v>470</v>
      </c>
      <c r="NG2">
        <v>614</v>
      </c>
      <c r="NH2">
        <v>797</v>
      </c>
      <c r="NI2">
        <v>804</v>
      </c>
      <c r="NJ2">
        <v>313</v>
      </c>
      <c r="NK2">
        <v>851</v>
      </c>
      <c r="NL2">
        <v>842</v>
      </c>
      <c r="NM2">
        <v>4</v>
      </c>
      <c r="NN2">
        <v>580</v>
      </c>
      <c r="NO2">
        <v>271</v>
      </c>
      <c r="NP2">
        <v>874</v>
      </c>
      <c r="NQ2">
        <v>460</v>
      </c>
      <c r="NR2">
        <v>381</v>
      </c>
      <c r="NS2">
        <v>749</v>
      </c>
      <c r="NT2">
        <v>128</v>
      </c>
      <c r="NU2">
        <v>246</v>
      </c>
      <c r="NV2">
        <v>26</v>
      </c>
      <c r="NW2">
        <v>42</v>
      </c>
      <c r="NX2">
        <v>17</v>
      </c>
      <c r="NY2">
        <v>10</v>
      </c>
      <c r="NZ2">
        <v>494</v>
      </c>
      <c r="OA2">
        <v>503</v>
      </c>
      <c r="OB2">
        <v>511</v>
      </c>
      <c r="OC2">
        <v>795</v>
      </c>
      <c r="OD2">
        <v>50</v>
      </c>
      <c r="OE2">
        <v>67</v>
      </c>
      <c r="OF2">
        <v>587</v>
      </c>
      <c r="OG2">
        <v>215</v>
      </c>
      <c r="OH2">
        <v>531</v>
      </c>
      <c r="OI2">
        <v>628</v>
      </c>
      <c r="OJ2">
        <v>634</v>
      </c>
      <c r="OK2">
        <v>706</v>
      </c>
      <c r="OL2">
        <v>1061</v>
      </c>
      <c r="OM2">
        <v>616</v>
      </c>
      <c r="ON2">
        <v>214</v>
      </c>
      <c r="OO2">
        <v>35</v>
      </c>
      <c r="OP2">
        <v>115</v>
      </c>
      <c r="OQ2">
        <v>757</v>
      </c>
      <c r="OR2">
        <v>231</v>
      </c>
      <c r="OS2">
        <v>66</v>
      </c>
      <c r="OT2">
        <v>374</v>
      </c>
      <c r="OU2">
        <v>1052</v>
      </c>
      <c r="OV2">
        <v>12</v>
      </c>
      <c r="OW2">
        <v>100</v>
      </c>
      <c r="OX2">
        <v>591</v>
      </c>
      <c r="OY2">
        <v>872</v>
      </c>
      <c r="OZ2">
        <v>771</v>
      </c>
      <c r="PA2">
        <v>612</v>
      </c>
      <c r="PB2">
        <v>7</v>
      </c>
      <c r="PC2">
        <v>867</v>
      </c>
      <c r="PD2">
        <v>122</v>
      </c>
      <c r="PE2">
        <v>105</v>
      </c>
      <c r="PF2">
        <v>114</v>
      </c>
      <c r="PG2">
        <v>280</v>
      </c>
      <c r="PH2">
        <v>880</v>
      </c>
      <c r="PI2">
        <v>898</v>
      </c>
      <c r="PJ2">
        <v>931</v>
      </c>
      <c r="PK2">
        <v>1093</v>
      </c>
      <c r="PL2">
        <v>318</v>
      </c>
      <c r="PM2">
        <v>534</v>
      </c>
      <c r="PN2">
        <v>574</v>
      </c>
      <c r="PO2">
        <v>621</v>
      </c>
      <c r="PP2">
        <v>679</v>
      </c>
      <c r="PQ2">
        <v>147</v>
      </c>
      <c r="PR2">
        <v>162</v>
      </c>
      <c r="PS2">
        <v>604</v>
      </c>
      <c r="PT2">
        <v>146</v>
      </c>
      <c r="PU2">
        <v>238</v>
      </c>
      <c r="PV2">
        <v>350</v>
      </c>
      <c r="PW2">
        <v>358</v>
      </c>
      <c r="PX2">
        <v>354</v>
      </c>
      <c r="PY2">
        <v>207</v>
      </c>
      <c r="PZ2">
        <v>96</v>
      </c>
      <c r="QA2">
        <v>101</v>
      </c>
      <c r="QB2">
        <v>711</v>
      </c>
      <c r="QC2">
        <v>1039</v>
      </c>
      <c r="QD2">
        <v>903</v>
      </c>
      <c r="QE2">
        <v>642</v>
      </c>
      <c r="QF2">
        <v>651</v>
      </c>
      <c r="QG2">
        <v>429</v>
      </c>
      <c r="QH2">
        <v>437</v>
      </c>
      <c r="QI2">
        <v>445</v>
      </c>
      <c r="QJ2">
        <v>653</v>
      </c>
      <c r="QK2">
        <v>661</v>
      </c>
      <c r="QL2">
        <v>576</v>
      </c>
      <c r="QM2">
        <v>939</v>
      </c>
      <c r="QN2">
        <v>143</v>
      </c>
      <c r="QO2">
        <v>839</v>
      </c>
      <c r="QP2">
        <v>1048</v>
      </c>
      <c r="QQ2">
        <v>372</v>
      </c>
      <c r="QR2">
        <v>83</v>
      </c>
      <c r="QS2">
        <v>136</v>
      </c>
      <c r="QT2">
        <v>106</v>
      </c>
      <c r="QU2">
        <v>203</v>
      </c>
      <c r="QV2">
        <v>235</v>
      </c>
      <c r="QW2">
        <v>307</v>
      </c>
      <c r="QX2">
        <v>1098</v>
      </c>
      <c r="QY2">
        <v>1107</v>
      </c>
      <c r="QZ2">
        <v>852</v>
      </c>
      <c r="RA2">
        <v>859</v>
      </c>
      <c r="RB2">
        <v>970</v>
      </c>
      <c r="RC2">
        <v>978</v>
      </c>
      <c r="RD2">
        <v>177</v>
      </c>
      <c r="RE2">
        <v>169</v>
      </c>
      <c r="RF2">
        <v>1069</v>
      </c>
      <c r="RG2">
        <v>209</v>
      </c>
      <c r="RH2">
        <v>202</v>
      </c>
      <c r="RI2">
        <v>225</v>
      </c>
      <c r="RJ2">
        <v>217</v>
      </c>
      <c r="RK2">
        <v>765</v>
      </c>
      <c r="RL2">
        <v>773</v>
      </c>
      <c r="RM2">
        <v>781</v>
      </c>
      <c r="RN2">
        <v>206</v>
      </c>
      <c r="RO2">
        <v>230</v>
      </c>
      <c r="RP2">
        <v>222</v>
      </c>
      <c r="RQ2">
        <v>912</v>
      </c>
      <c r="RR2">
        <v>920</v>
      </c>
      <c r="RS2">
        <v>928</v>
      </c>
      <c r="RT2">
        <v>936</v>
      </c>
      <c r="RU2">
        <v>944</v>
      </c>
      <c r="RV2">
        <v>951</v>
      </c>
      <c r="RW2">
        <v>957</v>
      </c>
      <c r="RX2">
        <v>968</v>
      </c>
      <c r="RY2">
        <v>1007</v>
      </c>
      <c r="RZ2">
        <v>1017</v>
      </c>
      <c r="SA2">
        <v>1025</v>
      </c>
      <c r="SB2">
        <v>1033</v>
      </c>
      <c r="SC2">
        <v>1041</v>
      </c>
      <c r="SD2">
        <v>1049</v>
      </c>
      <c r="SE2">
        <v>989</v>
      </c>
      <c r="SF2">
        <v>91</v>
      </c>
      <c r="SG2">
        <v>846</v>
      </c>
      <c r="SH2">
        <v>1009</v>
      </c>
      <c r="SI2">
        <v>949</v>
      </c>
      <c r="SJ2">
        <v>1016</v>
      </c>
      <c r="SK2">
        <v>665</v>
      </c>
      <c r="SL2">
        <v>900</v>
      </c>
      <c r="SM2">
        <v>482</v>
      </c>
      <c r="SN2">
        <v>117</v>
      </c>
      <c r="SO2">
        <v>125</v>
      </c>
      <c r="SP2">
        <v>62</v>
      </c>
      <c r="SQ2">
        <v>158</v>
      </c>
      <c r="SR2">
        <v>911</v>
      </c>
      <c r="SS2">
        <v>93</v>
      </c>
      <c r="ST2">
        <v>705</v>
      </c>
      <c r="SU2">
        <v>794</v>
      </c>
      <c r="SV2">
        <v>798</v>
      </c>
      <c r="SW2">
        <v>413</v>
      </c>
      <c r="SX2">
        <v>841</v>
      </c>
      <c r="SY2">
        <v>658</v>
      </c>
      <c r="SZ2">
        <v>633</v>
      </c>
      <c r="TA2">
        <v>237</v>
      </c>
      <c r="TB2">
        <v>380</v>
      </c>
      <c r="TC2">
        <v>697</v>
      </c>
      <c r="TD2">
        <v>326</v>
      </c>
      <c r="TE2">
        <v>78</v>
      </c>
      <c r="TF2">
        <v>1123</v>
      </c>
      <c r="TG2">
        <v>728</v>
      </c>
      <c r="TH2">
        <v>776</v>
      </c>
      <c r="TI2">
        <v>784</v>
      </c>
      <c r="TJ2">
        <v>1092</v>
      </c>
      <c r="TK2">
        <v>6</v>
      </c>
      <c r="TL2">
        <v>924</v>
      </c>
      <c r="TM2">
        <v>190</v>
      </c>
      <c r="TN2">
        <v>877</v>
      </c>
      <c r="TO2">
        <v>1060</v>
      </c>
      <c r="TP2">
        <v>863</v>
      </c>
      <c r="TQ2">
        <v>397</v>
      </c>
      <c r="TR2">
        <v>884</v>
      </c>
      <c r="TS2">
        <v>908</v>
      </c>
      <c r="TT2">
        <v>940</v>
      </c>
      <c r="TU2">
        <v>466</v>
      </c>
      <c r="TV2">
        <v>530</v>
      </c>
      <c r="TW2">
        <v>603</v>
      </c>
      <c r="TX2">
        <v>436</v>
      </c>
      <c r="TY2">
        <v>443</v>
      </c>
      <c r="TZ2">
        <v>449</v>
      </c>
      <c r="UA2">
        <v>301</v>
      </c>
      <c r="UB2">
        <v>341</v>
      </c>
      <c r="UC2">
        <v>690</v>
      </c>
      <c r="UD2">
        <v>681</v>
      </c>
      <c r="UE2">
        <v>673</v>
      </c>
      <c r="UF2">
        <v>802</v>
      </c>
      <c r="UG2">
        <v>595</v>
      </c>
      <c r="UH2">
        <v>611</v>
      </c>
      <c r="UI2">
        <v>73</v>
      </c>
      <c r="UJ2">
        <v>81</v>
      </c>
      <c r="UK2">
        <v>129</v>
      </c>
      <c r="UL2">
        <v>140</v>
      </c>
      <c r="UM2">
        <v>145</v>
      </c>
      <c r="UN2">
        <v>153</v>
      </c>
      <c r="UO2">
        <v>164</v>
      </c>
      <c r="UP2">
        <v>997</v>
      </c>
    </row>
    <row r="3" spans="1:562" s="6" customFormat="1" x14ac:dyDescent="0.35">
      <c r="A3" s="6" t="s">
        <v>1297</v>
      </c>
      <c r="B3" s="6" t="s">
        <v>581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s">
        <v>50</v>
      </c>
      <c r="O3" t="s">
        <v>327</v>
      </c>
      <c r="P3" t="s">
        <v>486</v>
      </c>
      <c r="Q3" t="s">
        <v>174</v>
      </c>
      <c r="R3" t="s">
        <v>460</v>
      </c>
      <c r="S3" t="s">
        <v>316</v>
      </c>
      <c r="T3" t="s">
        <v>407</v>
      </c>
      <c r="U3" t="s">
        <v>425</v>
      </c>
      <c r="V3" t="s">
        <v>321</v>
      </c>
      <c r="W3" t="s">
        <v>472</v>
      </c>
      <c r="X3" t="s">
        <v>369</v>
      </c>
      <c r="Y3" t="s">
        <v>503</v>
      </c>
      <c r="Z3" t="s">
        <v>535</v>
      </c>
      <c r="AA3" t="s">
        <v>267</v>
      </c>
      <c r="AB3" t="s">
        <v>402</v>
      </c>
      <c r="AC3" t="s">
        <v>320</v>
      </c>
      <c r="AD3" t="s">
        <v>346</v>
      </c>
      <c r="AE3" t="s">
        <v>428</v>
      </c>
      <c r="AF3" t="s">
        <v>452</v>
      </c>
      <c r="AG3" t="s">
        <v>484</v>
      </c>
      <c r="AH3" t="s">
        <v>114</v>
      </c>
      <c r="AI3" t="s">
        <v>520</v>
      </c>
      <c r="AJ3" t="s">
        <v>1298</v>
      </c>
      <c r="AK3" t="s">
        <v>514</v>
      </c>
      <c r="AL3" t="s">
        <v>528</v>
      </c>
      <c r="AM3" t="s">
        <v>509</v>
      </c>
      <c r="AN3" t="s">
        <v>68</v>
      </c>
      <c r="AO3" t="s">
        <v>541</v>
      </c>
      <c r="AP3" t="s">
        <v>558</v>
      </c>
      <c r="AQ3" t="s">
        <v>240</v>
      </c>
      <c r="AR3" t="s">
        <v>251</v>
      </c>
      <c r="AS3" t="s">
        <v>423</v>
      </c>
      <c r="AT3" t="s">
        <v>322</v>
      </c>
      <c r="AU3" t="s">
        <v>465</v>
      </c>
      <c r="AV3" t="s">
        <v>480</v>
      </c>
      <c r="AW3" t="s">
        <v>545</v>
      </c>
      <c r="AX3" t="s">
        <v>23</v>
      </c>
      <c r="AY3" t="s">
        <v>228</v>
      </c>
      <c r="AZ3" t="s">
        <v>413</v>
      </c>
      <c r="BA3" t="s">
        <v>275</v>
      </c>
      <c r="BB3" t="s">
        <v>304</v>
      </c>
      <c r="BC3" t="s">
        <v>462</v>
      </c>
      <c r="BD3" t="s">
        <v>507</v>
      </c>
      <c r="BE3" t="s">
        <v>495</v>
      </c>
      <c r="BF3" t="s">
        <v>328</v>
      </c>
      <c r="BG3" t="s">
        <v>536</v>
      </c>
      <c r="BH3" t="s">
        <v>550</v>
      </c>
      <c r="BI3" t="s">
        <v>27</v>
      </c>
      <c r="BJ3" t="s">
        <v>233</v>
      </c>
      <c r="BK3" t="s">
        <v>420</v>
      </c>
      <c r="BL3" t="s">
        <v>392</v>
      </c>
      <c r="BM3" t="s">
        <v>512</v>
      </c>
      <c r="BN3" t="s">
        <v>538</v>
      </c>
      <c r="BO3" t="s">
        <v>416</v>
      </c>
      <c r="BP3" t="s">
        <v>429</v>
      </c>
      <c r="BQ3" t="s">
        <v>38</v>
      </c>
      <c r="BR3" t="s">
        <v>105</v>
      </c>
      <c r="BS3" t="s">
        <v>90</v>
      </c>
      <c r="BT3" t="s">
        <v>108</v>
      </c>
      <c r="BU3" t="s">
        <v>311</v>
      </c>
      <c r="BV3" t="s">
        <v>325</v>
      </c>
      <c r="BW3" t="s">
        <v>432</v>
      </c>
      <c r="BX3" t="s">
        <v>547</v>
      </c>
      <c r="BY3" t="s">
        <v>498</v>
      </c>
      <c r="BZ3" t="s">
        <v>525</v>
      </c>
      <c r="CA3" t="s">
        <v>414</v>
      </c>
      <c r="CB3" t="s">
        <v>410</v>
      </c>
      <c r="CC3" t="s">
        <v>257</v>
      </c>
      <c r="CD3" t="s">
        <v>289</v>
      </c>
      <c r="CE3" t="s">
        <v>333</v>
      </c>
      <c r="CF3" t="s">
        <v>139</v>
      </c>
      <c r="CG3" t="s">
        <v>93</v>
      </c>
      <c r="CH3" t="s">
        <v>134</v>
      </c>
      <c r="CI3" t="s">
        <v>360</v>
      </c>
      <c r="CJ3" t="s">
        <v>138</v>
      </c>
      <c r="CK3" t="s">
        <v>395</v>
      </c>
      <c r="CL3" t="s">
        <v>409</v>
      </c>
      <c r="CM3" t="s">
        <v>468</v>
      </c>
      <c r="CN3" t="s">
        <v>494</v>
      </c>
      <c r="CO3" t="s">
        <v>376</v>
      </c>
      <c r="CP3" t="s">
        <v>343</v>
      </c>
      <c r="CQ3" t="s">
        <v>314</v>
      </c>
      <c r="CR3" t="s">
        <v>367</v>
      </c>
      <c r="CS3" t="s">
        <v>382</v>
      </c>
      <c r="CT3" t="s">
        <v>136</v>
      </c>
      <c r="CU3" t="s">
        <v>231</v>
      </c>
      <c r="CV3" t="s">
        <v>470</v>
      </c>
      <c r="CW3" t="s">
        <v>365</v>
      </c>
      <c r="CX3" t="s">
        <v>489</v>
      </c>
      <c r="CY3" t="s">
        <v>505</v>
      </c>
      <c r="CZ3" t="s">
        <v>254</v>
      </c>
      <c r="DA3" t="s">
        <v>287</v>
      </c>
      <c r="DB3" t="s">
        <v>531</v>
      </c>
      <c r="DC3" t="s">
        <v>437</v>
      </c>
      <c r="DD3" t="s">
        <v>552</v>
      </c>
      <c r="DE3" t="s">
        <v>130</v>
      </c>
      <c r="DF3" t="s">
        <v>290</v>
      </c>
      <c r="DG3" t="s">
        <v>317</v>
      </c>
      <c r="DH3" t="s">
        <v>155</v>
      </c>
      <c r="DI3" t="s">
        <v>529</v>
      </c>
      <c r="DJ3" t="s">
        <v>206</v>
      </c>
      <c r="DK3" t="s">
        <v>217</v>
      </c>
      <c r="DL3" t="s">
        <v>519</v>
      </c>
      <c r="DM3" t="s">
        <v>222</v>
      </c>
      <c r="DN3" t="s">
        <v>211</v>
      </c>
      <c r="DO3" t="s">
        <v>479</v>
      </c>
      <c r="DP3" t="s">
        <v>271</v>
      </c>
      <c r="DQ3" t="s">
        <v>298</v>
      </c>
      <c r="DR3" t="s">
        <v>53</v>
      </c>
      <c r="DS3" t="s">
        <v>74</v>
      </c>
      <c r="DT3" t="s">
        <v>284</v>
      </c>
      <c r="DU3" t="s">
        <v>397</v>
      </c>
      <c r="DV3" t="s">
        <v>354</v>
      </c>
      <c r="DW3" t="s">
        <v>375</v>
      </c>
      <c r="DX3" t="s">
        <v>36</v>
      </c>
      <c r="DY3" t="s">
        <v>166</v>
      </c>
      <c r="DZ3" t="s">
        <v>363</v>
      </c>
      <c r="EA3" t="s">
        <v>148</v>
      </c>
      <c r="EB3" t="s">
        <v>419</v>
      </c>
      <c r="EC3" t="s">
        <v>435</v>
      </c>
      <c r="ED3" t="s">
        <v>199</v>
      </c>
      <c r="EE3" t="s">
        <v>204</v>
      </c>
      <c r="EF3" t="s">
        <v>391</v>
      </c>
      <c r="EG3" t="s">
        <v>40</v>
      </c>
      <c r="EH3" t="s">
        <v>247</v>
      </c>
      <c r="EI3" t="s">
        <v>269</v>
      </c>
      <c r="EJ3" t="s">
        <v>142</v>
      </c>
      <c r="EK3" t="s">
        <v>236</v>
      </c>
      <c r="EL3" t="s">
        <v>456</v>
      </c>
      <c r="EM3" t="s">
        <v>121</v>
      </c>
      <c r="EN3" t="s">
        <v>499</v>
      </c>
      <c r="EO3" t="s">
        <v>446</v>
      </c>
      <c r="EP3" t="s">
        <v>450</v>
      </c>
      <c r="EQ3" t="s">
        <v>393</v>
      </c>
      <c r="ER3" t="s">
        <v>396</v>
      </c>
      <c r="ES3" t="s">
        <v>281</v>
      </c>
      <c r="ET3" t="s">
        <v>161</v>
      </c>
      <c r="EU3" t="s">
        <v>371</v>
      </c>
      <c r="EV3" t="s">
        <v>101</v>
      </c>
      <c r="EW3" t="s">
        <v>165</v>
      </c>
      <c r="EX3" t="s">
        <v>193</v>
      </c>
      <c r="EY3" t="s">
        <v>57</v>
      </c>
      <c r="EZ3" t="s">
        <v>82</v>
      </c>
      <c r="FA3" t="s">
        <v>351</v>
      </c>
      <c r="FB3" t="s">
        <v>266</v>
      </c>
      <c r="FC3" t="s">
        <v>398</v>
      </c>
      <c r="FD3" t="s">
        <v>524</v>
      </c>
      <c r="FE3" t="s">
        <v>533</v>
      </c>
      <c r="FF3" t="s">
        <v>226</v>
      </c>
      <c r="FG3" t="s">
        <v>208</v>
      </c>
      <c r="FH3" t="s">
        <v>307</v>
      </c>
      <c r="FI3" t="s">
        <v>221</v>
      </c>
      <c r="FJ3" t="s">
        <v>244</v>
      </c>
      <c r="FK3" t="s">
        <v>243</v>
      </c>
      <c r="FL3" t="s">
        <v>278</v>
      </c>
      <c r="FM3" t="s">
        <v>301</v>
      </c>
      <c r="FN3" t="s">
        <v>441</v>
      </c>
      <c r="FO3" t="s">
        <v>476</v>
      </c>
      <c r="FP3" t="s">
        <v>157</v>
      </c>
      <c r="FQ3" t="s">
        <v>555</v>
      </c>
      <c r="FR3" t="s">
        <v>293</v>
      </c>
      <c r="FS3" t="s">
        <v>334</v>
      </c>
      <c r="FT3" t="s">
        <v>65</v>
      </c>
      <c r="FU3" t="s">
        <v>490</v>
      </c>
      <c r="FV3" t="s">
        <v>178</v>
      </c>
      <c r="FW3" t="s">
        <v>544</v>
      </c>
      <c r="FX3" t="s">
        <v>378</v>
      </c>
      <c r="FY3" t="s">
        <v>400</v>
      </c>
      <c r="FZ3" t="s">
        <v>73</v>
      </c>
      <c r="GA3" t="s">
        <v>97</v>
      </c>
      <c r="GB3" t="s">
        <v>185</v>
      </c>
      <c r="GC3" t="s">
        <v>171</v>
      </c>
      <c r="GD3" t="s">
        <v>348</v>
      </c>
      <c r="GE3" t="s">
        <v>342</v>
      </c>
      <c r="GF3" t="s">
        <v>387</v>
      </c>
      <c r="GG3" t="s">
        <v>332</v>
      </c>
      <c r="GH3" t="s">
        <v>430</v>
      </c>
      <c r="GI3" t="s">
        <v>329</v>
      </c>
      <c r="GJ3" t="s">
        <v>473</v>
      </c>
      <c r="GK3" t="s">
        <v>373</v>
      </c>
      <c r="GL3" t="s">
        <v>438</v>
      </c>
      <c r="GM3" t="s">
        <v>153</v>
      </c>
      <c r="GN3" t="s">
        <v>223</v>
      </c>
      <c r="GO3" t="s">
        <v>218</v>
      </c>
      <c r="GP3" t="s">
        <v>264</v>
      </c>
      <c r="GQ3" t="s">
        <v>295</v>
      </c>
      <c r="GR3" t="s">
        <v>151</v>
      </c>
      <c r="GS3" t="s">
        <v>179</v>
      </c>
      <c r="GT3" t="s">
        <v>263</v>
      </c>
      <c r="GU3" t="s">
        <v>216</v>
      </c>
      <c r="GV3" t="s">
        <v>337</v>
      </c>
      <c r="GW3" t="s">
        <v>283</v>
      </c>
      <c r="GX3" t="s">
        <v>303</v>
      </c>
      <c r="GY3" t="s">
        <v>62</v>
      </c>
      <c r="GZ3" t="s">
        <v>557</v>
      </c>
      <c r="HA3" t="s">
        <v>131</v>
      </c>
      <c r="HB3" t="s">
        <v>158</v>
      </c>
      <c r="HC3" t="s">
        <v>358</v>
      </c>
      <c r="HD3" t="s">
        <v>380</v>
      </c>
      <c r="HE3" t="s">
        <v>262</v>
      </c>
      <c r="HF3" t="s">
        <v>427</v>
      </c>
      <c r="HG3" t="s">
        <v>340</v>
      </c>
      <c r="HH3" t="s">
        <v>182</v>
      </c>
      <c r="HI3" t="s">
        <v>196</v>
      </c>
      <c r="HJ3" t="s">
        <v>431</v>
      </c>
      <c r="HK3" t="s">
        <v>401</v>
      </c>
      <c r="HL3" t="s">
        <v>214</v>
      </c>
      <c r="HM3" t="s">
        <v>487</v>
      </c>
      <c r="HN3" t="s">
        <v>481</v>
      </c>
      <c r="HO3" t="s">
        <v>518</v>
      </c>
      <c r="HP3" t="s">
        <v>345</v>
      </c>
      <c r="HQ3" t="s">
        <v>250</v>
      </c>
      <c r="HR3" t="s">
        <v>109</v>
      </c>
      <c r="HS3" t="s">
        <v>113</v>
      </c>
      <c r="HT3" t="s">
        <v>117</v>
      </c>
      <c r="HU3" t="s">
        <v>95</v>
      </c>
      <c r="HV3" t="s">
        <v>282</v>
      </c>
      <c r="HW3" t="s">
        <v>394</v>
      </c>
      <c r="HX3" t="s">
        <v>471</v>
      </c>
      <c r="HY3" t="s">
        <v>144</v>
      </c>
      <c r="HZ3" t="s">
        <v>559</v>
      </c>
      <c r="IA3" t="s">
        <v>312</v>
      </c>
      <c r="IB3" t="s">
        <v>315</v>
      </c>
      <c r="IC3" t="s">
        <v>381</v>
      </c>
      <c r="ID3" t="s">
        <v>270</v>
      </c>
      <c r="IE3" t="s">
        <v>537</v>
      </c>
      <c r="IF3" t="s">
        <v>202</v>
      </c>
      <c r="IG3" t="s">
        <v>213</v>
      </c>
      <c r="IH3" t="s">
        <v>234</v>
      </c>
      <c r="II3" t="s">
        <v>563</v>
      </c>
      <c r="IJ3" t="s">
        <v>564</v>
      </c>
      <c r="IK3" t="s">
        <v>565</v>
      </c>
      <c r="IL3" t="s">
        <v>560</v>
      </c>
      <c r="IM3" t="s">
        <v>560</v>
      </c>
      <c r="IN3" t="s">
        <v>561</v>
      </c>
      <c r="IO3" t="s">
        <v>308</v>
      </c>
      <c r="IP3" t="s">
        <v>566</v>
      </c>
      <c r="IQ3" t="s">
        <v>568</v>
      </c>
      <c r="IR3" t="s">
        <v>485</v>
      </c>
      <c r="IS3" t="s">
        <v>31</v>
      </c>
      <c r="IT3" t="s">
        <v>445</v>
      </c>
      <c r="IU3" t="s">
        <v>449</v>
      </c>
      <c r="IV3" t="s">
        <v>455</v>
      </c>
      <c r="IW3" t="s">
        <v>406</v>
      </c>
      <c r="IX3" t="s">
        <v>513</v>
      </c>
      <c r="IY3" t="s">
        <v>534</v>
      </c>
      <c r="IZ3" t="s">
        <v>248</v>
      </c>
      <c r="JA3" t="s">
        <v>347</v>
      </c>
      <c r="JB3" t="s">
        <v>279</v>
      </c>
      <c r="JC3" t="s">
        <v>467</v>
      </c>
      <c r="JD3" t="s">
        <v>474</v>
      </c>
      <c r="JE3" t="s">
        <v>81</v>
      </c>
      <c r="JF3" t="s">
        <v>164</v>
      </c>
      <c r="JG3" t="s">
        <v>169</v>
      </c>
      <c r="JH3" t="s">
        <v>229</v>
      </c>
      <c r="JI3" t="s">
        <v>173</v>
      </c>
      <c r="JJ3" t="s">
        <v>239</v>
      </c>
      <c r="JK3" t="s">
        <v>330</v>
      </c>
      <c r="JL3" t="s">
        <v>44</v>
      </c>
      <c r="JM3" t="s">
        <v>492</v>
      </c>
      <c r="JN3" t="s">
        <v>364</v>
      </c>
      <c r="JO3" t="s">
        <v>137</v>
      </c>
      <c r="JP3" t="s">
        <v>143</v>
      </c>
      <c r="JQ3" t="s">
        <v>147</v>
      </c>
      <c r="JR3" t="s">
        <v>168</v>
      </c>
      <c r="JS3" t="s">
        <v>181</v>
      </c>
      <c r="JT3" t="s">
        <v>152</v>
      </c>
      <c r="JU3" t="s">
        <v>32</v>
      </c>
      <c r="JV3" t="s">
        <v>159</v>
      </c>
      <c r="JW3" t="s">
        <v>261</v>
      </c>
      <c r="JX3" t="s">
        <v>546</v>
      </c>
      <c r="JY3" t="s">
        <v>207</v>
      </c>
      <c r="JZ3" t="s">
        <v>389</v>
      </c>
      <c r="KA3" t="s">
        <v>510</v>
      </c>
      <c r="KB3" t="s">
        <v>504</v>
      </c>
      <c r="KC3" t="s">
        <v>184</v>
      </c>
      <c r="KD3" t="s">
        <v>162</v>
      </c>
      <c r="KE3" t="s">
        <v>268</v>
      </c>
      <c r="KF3" t="s">
        <v>286</v>
      </c>
      <c r="KG3" t="s">
        <v>277</v>
      </c>
      <c r="KH3" t="s">
        <v>188</v>
      </c>
      <c r="KI3" t="s">
        <v>156</v>
      </c>
      <c r="KJ3" t="s">
        <v>265</v>
      </c>
      <c r="KK3" t="s">
        <v>306</v>
      </c>
      <c r="KL3" t="s">
        <v>336</v>
      </c>
      <c r="KM3" t="s">
        <v>353</v>
      </c>
      <c r="KN3" t="s">
        <v>355</v>
      </c>
      <c r="KO3" t="s">
        <v>359</v>
      </c>
      <c r="KP3" t="s">
        <v>361</v>
      </c>
      <c r="KQ3" t="s">
        <v>294</v>
      </c>
      <c r="KR3" t="s">
        <v>210</v>
      </c>
      <c r="KS3" t="s">
        <v>212</v>
      </c>
      <c r="KT3" t="s">
        <v>517</v>
      </c>
      <c r="KU3" t="s">
        <v>238</v>
      </c>
      <c r="KV3" t="s">
        <v>100</v>
      </c>
      <c r="KW3" t="s">
        <v>125</v>
      </c>
      <c r="KX3" t="s">
        <v>502</v>
      </c>
      <c r="KY3" t="s">
        <v>508</v>
      </c>
      <c r="KZ3" t="s">
        <v>176</v>
      </c>
      <c r="LA3" t="s">
        <v>141</v>
      </c>
      <c r="LB3" t="s">
        <v>78</v>
      </c>
      <c r="LC3" t="s">
        <v>47</v>
      </c>
      <c r="LD3" t="s">
        <v>553</v>
      </c>
      <c r="LE3" t="s">
        <v>551</v>
      </c>
      <c r="LF3" t="s">
        <v>92</v>
      </c>
      <c r="LG3" t="s">
        <v>192</v>
      </c>
      <c r="LH3" t="s">
        <v>195</v>
      </c>
      <c r="LI3" t="s">
        <v>532</v>
      </c>
      <c r="LJ3" t="s">
        <v>29</v>
      </c>
      <c r="LK3" t="s">
        <v>106</v>
      </c>
      <c r="LL3" t="s">
        <v>110</v>
      </c>
      <c r="LM3" t="s">
        <v>288</v>
      </c>
      <c r="LN3" t="s">
        <v>439</v>
      </c>
      <c r="LO3" t="s">
        <v>273</v>
      </c>
      <c r="LP3" t="s">
        <v>453</v>
      </c>
      <c r="LQ3" t="s">
        <v>145</v>
      </c>
      <c r="LR3" t="s">
        <v>34</v>
      </c>
      <c r="LS3" t="s">
        <v>104</v>
      </c>
      <c r="LT3" t="s">
        <v>175</v>
      </c>
      <c r="LU3" t="s">
        <v>242</v>
      </c>
      <c r="LV3" t="s">
        <v>107</v>
      </c>
      <c r="LW3" t="s">
        <v>542</v>
      </c>
      <c r="LX3" t="s">
        <v>203</v>
      </c>
      <c r="LY3" t="s">
        <v>180</v>
      </c>
      <c r="LZ3" t="s">
        <v>39</v>
      </c>
      <c r="MA3" t="s">
        <v>72</v>
      </c>
      <c r="MB3" t="s">
        <v>126</v>
      </c>
      <c r="MC3" t="s">
        <v>51</v>
      </c>
      <c r="MD3" t="s">
        <v>146</v>
      </c>
      <c r="ME3" t="s">
        <v>150</v>
      </c>
      <c r="MF3" t="s">
        <v>399</v>
      </c>
      <c r="MG3" t="s">
        <v>230</v>
      </c>
      <c r="MH3" t="s">
        <v>255</v>
      </c>
      <c r="MI3" t="s">
        <v>444</v>
      </c>
      <c r="MJ3" t="s">
        <v>549</v>
      </c>
      <c r="MK3" t="s">
        <v>77</v>
      </c>
      <c r="ML3" t="s">
        <v>83</v>
      </c>
      <c r="MM3" t="s">
        <v>186</v>
      </c>
      <c r="MN3" t="s">
        <v>338</v>
      </c>
      <c r="MO3" t="s">
        <v>58</v>
      </c>
      <c r="MP3" t="s">
        <v>120</v>
      </c>
      <c r="MQ3" t="s">
        <v>245</v>
      </c>
      <c r="MR3" t="s">
        <v>256</v>
      </c>
      <c r="MS3" t="s">
        <v>556</v>
      </c>
      <c r="MT3" t="s">
        <v>22</v>
      </c>
      <c r="MU3" t="s">
        <v>253</v>
      </c>
      <c r="MV3" t="s">
        <v>483</v>
      </c>
      <c r="MW3" t="s">
        <v>493</v>
      </c>
      <c r="MX3" t="s">
        <v>46</v>
      </c>
      <c r="MY3" t="s">
        <v>341</v>
      </c>
      <c r="MZ3" t="s">
        <v>463</v>
      </c>
      <c r="NA3" t="s">
        <v>112</v>
      </c>
      <c r="NB3" t="s">
        <v>128</v>
      </c>
      <c r="NC3" t="s">
        <v>190</v>
      </c>
      <c r="ND3" t="s">
        <v>194</v>
      </c>
      <c r="NE3" t="s">
        <v>102</v>
      </c>
      <c r="NF3" t="s">
        <v>237</v>
      </c>
      <c r="NG3" t="s">
        <v>299</v>
      </c>
      <c r="NH3" t="s">
        <v>385</v>
      </c>
      <c r="NI3" t="s">
        <v>390</v>
      </c>
      <c r="NJ3" t="s">
        <v>170</v>
      </c>
      <c r="NK3" t="s">
        <v>411</v>
      </c>
      <c r="NL3" t="s">
        <v>405</v>
      </c>
      <c r="NM3" t="s">
        <v>24</v>
      </c>
      <c r="NN3" t="s">
        <v>276</v>
      </c>
      <c r="NO3" t="s">
        <v>149</v>
      </c>
      <c r="NP3" t="s">
        <v>421</v>
      </c>
      <c r="NQ3" t="s">
        <v>232</v>
      </c>
      <c r="NR3" t="s">
        <v>201</v>
      </c>
      <c r="NS3" t="s">
        <v>362</v>
      </c>
      <c r="NT3" t="s">
        <v>79</v>
      </c>
      <c r="NU3" t="s">
        <v>135</v>
      </c>
      <c r="NV3" t="s">
        <v>33</v>
      </c>
      <c r="NW3" t="s">
        <v>41</v>
      </c>
      <c r="NX3" t="s">
        <v>30</v>
      </c>
      <c r="NY3" t="s">
        <v>28</v>
      </c>
      <c r="NZ3" t="s">
        <v>246</v>
      </c>
      <c r="OA3" t="s">
        <v>249</v>
      </c>
      <c r="OB3" t="s">
        <v>252</v>
      </c>
      <c r="OC3" t="s">
        <v>384</v>
      </c>
      <c r="OD3" t="s">
        <v>43</v>
      </c>
      <c r="OE3" t="s">
        <v>49</v>
      </c>
      <c r="OF3" t="s">
        <v>280</v>
      </c>
      <c r="OG3" t="s">
        <v>123</v>
      </c>
      <c r="OH3" t="s">
        <v>259</v>
      </c>
      <c r="OI3" t="s">
        <v>305</v>
      </c>
      <c r="OJ3" t="s">
        <v>310</v>
      </c>
      <c r="OK3" t="s">
        <v>350</v>
      </c>
      <c r="OL3" t="s">
        <v>527</v>
      </c>
      <c r="OM3" t="s">
        <v>300</v>
      </c>
      <c r="ON3" t="s">
        <v>122</v>
      </c>
      <c r="OO3" t="s">
        <v>37</v>
      </c>
      <c r="OP3" t="s">
        <v>70</v>
      </c>
      <c r="OQ3" t="s">
        <v>366</v>
      </c>
      <c r="OR3" t="s">
        <v>129</v>
      </c>
      <c r="OS3" t="s">
        <v>48</v>
      </c>
      <c r="OT3" t="s">
        <v>198</v>
      </c>
      <c r="OU3" t="s">
        <v>523</v>
      </c>
      <c r="OV3" t="s">
        <v>1299</v>
      </c>
      <c r="OW3" t="s">
        <v>63</v>
      </c>
      <c r="OX3" t="s">
        <v>1300</v>
      </c>
      <c r="OY3" t="s">
        <v>1301</v>
      </c>
      <c r="OZ3" t="s">
        <v>370</v>
      </c>
      <c r="PA3" t="s">
        <v>297</v>
      </c>
      <c r="PB3" t="s">
        <v>26</v>
      </c>
      <c r="PC3" t="s">
        <v>418</v>
      </c>
      <c r="PD3" t="s">
        <v>75</v>
      </c>
      <c r="PE3" t="s">
        <v>66</v>
      </c>
      <c r="PF3" t="s">
        <v>69</v>
      </c>
      <c r="PG3" t="s">
        <v>154</v>
      </c>
      <c r="PH3" t="s">
        <v>424</v>
      </c>
      <c r="PI3" t="s">
        <v>433</v>
      </c>
      <c r="PJ3" t="s">
        <v>454</v>
      </c>
      <c r="PK3" t="s">
        <v>540</v>
      </c>
      <c r="PL3" t="s">
        <v>172</v>
      </c>
      <c r="PM3" t="s">
        <v>260</v>
      </c>
      <c r="PN3" t="s">
        <v>272</v>
      </c>
      <c r="PO3" t="s">
        <v>302</v>
      </c>
      <c r="PP3" t="s">
        <v>1302</v>
      </c>
      <c r="PQ3" t="s">
        <v>89</v>
      </c>
      <c r="PR3" t="s">
        <v>96</v>
      </c>
      <c r="PS3" t="s">
        <v>292</v>
      </c>
      <c r="PT3" t="s">
        <v>88</v>
      </c>
      <c r="PU3" t="s">
        <v>1303</v>
      </c>
      <c r="PV3" t="s">
        <v>187</v>
      </c>
      <c r="PW3" t="s">
        <v>191</v>
      </c>
      <c r="PX3" t="s">
        <v>189</v>
      </c>
      <c r="PY3" t="s">
        <v>118</v>
      </c>
      <c r="PZ3" t="s">
        <v>61</v>
      </c>
      <c r="QA3" t="s">
        <v>64</v>
      </c>
      <c r="QB3" t="s">
        <v>352</v>
      </c>
      <c r="QC3" t="s">
        <v>515</v>
      </c>
      <c r="QD3" t="s">
        <v>436</v>
      </c>
      <c r="QE3" t="s">
        <v>313</v>
      </c>
      <c r="QF3" t="s">
        <v>318</v>
      </c>
      <c r="QG3" t="s">
        <v>215</v>
      </c>
      <c r="QH3" t="s">
        <v>220</v>
      </c>
      <c r="QI3" t="s">
        <v>225</v>
      </c>
      <c r="QJ3" t="s">
        <v>319</v>
      </c>
      <c r="QK3" t="s">
        <v>324</v>
      </c>
      <c r="QL3" t="s">
        <v>274</v>
      </c>
      <c r="QM3" t="s">
        <v>458</v>
      </c>
      <c r="QN3" t="s">
        <v>86</v>
      </c>
      <c r="QO3" t="s">
        <v>403</v>
      </c>
      <c r="QP3" t="s">
        <v>521</v>
      </c>
      <c r="QQ3" t="s">
        <v>197</v>
      </c>
      <c r="QR3" t="s">
        <v>56</v>
      </c>
      <c r="QS3" t="s">
        <v>84</v>
      </c>
      <c r="QT3" t="s">
        <v>67</v>
      </c>
      <c r="QU3" t="s">
        <v>116</v>
      </c>
      <c r="QV3" t="s">
        <v>132</v>
      </c>
      <c r="QW3" t="s">
        <v>167</v>
      </c>
      <c r="QX3" t="s">
        <v>543</v>
      </c>
      <c r="QY3" t="s">
        <v>548</v>
      </c>
      <c r="QZ3" t="s">
        <v>412</v>
      </c>
      <c r="RA3" t="s">
        <v>415</v>
      </c>
      <c r="RB3" t="s">
        <v>477</v>
      </c>
      <c r="RC3" t="s">
        <v>482</v>
      </c>
      <c r="RD3" t="s">
        <v>103</v>
      </c>
      <c r="RE3" t="s">
        <v>99</v>
      </c>
      <c r="RF3" t="s">
        <v>530</v>
      </c>
      <c r="RG3" t="s">
        <v>119</v>
      </c>
      <c r="RH3" t="s">
        <v>115</v>
      </c>
      <c r="RI3" t="s">
        <v>127</v>
      </c>
      <c r="RJ3" t="s">
        <v>124</v>
      </c>
      <c r="RK3" t="s">
        <v>368</v>
      </c>
      <c r="RL3" t="s">
        <v>372</v>
      </c>
      <c r="RM3" t="s">
        <v>377</v>
      </c>
      <c r="RN3" t="s">
        <v>1304</v>
      </c>
      <c r="RO3" t="s">
        <v>1305</v>
      </c>
      <c r="RP3" t="s">
        <v>1306</v>
      </c>
      <c r="RQ3" t="s">
        <v>443</v>
      </c>
      <c r="RR3" t="s">
        <v>447</v>
      </c>
      <c r="RS3" t="s">
        <v>451</v>
      </c>
      <c r="RT3" t="s">
        <v>457</v>
      </c>
      <c r="RU3" t="s">
        <v>461</v>
      </c>
      <c r="RV3" t="s">
        <v>466</v>
      </c>
      <c r="RW3" t="s">
        <v>469</v>
      </c>
      <c r="RX3" t="s">
        <v>475</v>
      </c>
      <c r="RY3" t="s">
        <v>496</v>
      </c>
      <c r="RZ3" t="s">
        <v>501</v>
      </c>
      <c r="SA3" t="s">
        <v>506</v>
      </c>
      <c r="SB3" t="s">
        <v>511</v>
      </c>
      <c r="SC3" t="s">
        <v>516</v>
      </c>
      <c r="SD3" t="s">
        <v>522</v>
      </c>
      <c r="SE3" t="s">
        <v>488</v>
      </c>
      <c r="SF3" t="s">
        <v>59</v>
      </c>
      <c r="SG3" t="s">
        <v>408</v>
      </c>
      <c r="SH3" t="s">
        <v>497</v>
      </c>
      <c r="SI3" t="s">
        <v>464</v>
      </c>
      <c r="SJ3" t="s">
        <v>500</v>
      </c>
      <c r="SK3" t="s">
        <v>326</v>
      </c>
      <c r="SL3" t="s">
        <v>434</v>
      </c>
      <c r="SM3" t="s">
        <v>241</v>
      </c>
      <c r="SN3" t="s">
        <v>71</v>
      </c>
      <c r="SO3" t="s">
        <v>76</v>
      </c>
      <c r="SP3" t="s">
        <v>45</v>
      </c>
      <c r="SQ3" t="s">
        <v>94</v>
      </c>
      <c r="SR3" t="s">
        <v>442</v>
      </c>
      <c r="SS3" t="s">
        <v>60</v>
      </c>
      <c r="ST3" t="s">
        <v>349</v>
      </c>
      <c r="SU3" t="s">
        <v>383</v>
      </c>
      <c r="SV3" t="s">
        <v>386</v>
      </c>
      <c r="SW3" t="s">
        <v>209</v>
      </c>
      <c r="SX3" t="s">
        <v>404</v>
      </c>
      <c r="SY3" t="s">
        <v>323</v>
      </c>
      <c r="SZ3" t="s">
        <v>309</v>
      </c>
      <c r="TA3" t="s">
        <v>133</v>
      </c>
      <c r="TB3" t="s">
        <v>200</v>
      </c>
      <c r="TC3" t="s">
        <v>344</v>
      </c>
      <c r="TD3" t="s">
        <v>177</v>
      </c>
      <c r="TE3" t="s">
        <v>54</v>
      </c>
      <c r="TF3" t="s">
        <v>554</v>
      </c>
      <c r="TG3" t="s">
        <v>357</v>
      </c>
      <c r="TH3" t="s">
        <v>374</v>
      </c>
      <c r="TI3" t="s">
        <v>379</v>
      </c>
      <c r="TJ3" t="s">
        <v>539</v>
      </c>
      <c r="TK3" t="s">
        <v>25</v>
      </c>
      <c r="TL3" t="s">
        <v>448</v>
      </c>
      <c r="TM3" t="s">
        <v>111</v>
      </c>
      <c r="TN3" t="s">
        <v>422</v>
      </c>
      <c r="TO3" t="s">
        <v>526</v>
      </c>
      <c r="TP3" t="s">
        <v>417</v>
      </c>
      <c r="TQ3" t="s">
        <v>205</v>
      </c>
      <c r="TR3" t="s">
        <v>426</v>
      </c>
      <c r="TS3" t="s">
        <v>440</v>
      </c>
      <c r="TT3" t="s">
        <v>459</v>
      </c>
      <c r="TU3" t="s">
        <v>235</v>
      </c>
      <c r="TV3" t="s">
        <v>258</v>
      </c>
      <c r="TW3" t="s">
        <v>291</v>
      </c>
      <c r="TX3" t="s">
        <v>219</v>
      </c>
      <c r="TY3" t="s">
        <v>224</v>
      </c>
      <c r="TZ3" t="s">
        <v>227</v>
      </c>
      <c r="UA3" t="s">
        <v>163</v>
      </c>
      <c r="UB3" t="s">
        <v>183</v>
      </c>
      <c r="UC3" t="s">
        <v>339</v>
      </c>
      <c r="UD3" t="s">
        <v>335</v>
      </c>
      <c r="UE3" t="s">
        <v>331</v>
      </c>
      <c r="UF3" t="s">
        <v>388</v>
      </c>
      <c r="UG3" t="s">
        <v>285</v>
      </c>
      <c r="UH3" t="s">
        <v>296</v>
      </c>
      <c r="UI3" t="s">
        <v>52</v>
      </c>
      <c r="UJ3" t="s">
        <v>55</v>
      </c>
      <c r="UK3" t="s">
        <v>80</v>
      </c>
      <c r="UL3" t="s">
        <v>85</v>
      </c>
      <c r="UM3" t="s">
        <v>87</v>
      </c>
      <c r="UN3" t="s">
        <v>91</v>
      </c>
      <c r="UO3" t="s">
        <v>98</v>
      </c>
      <c r="UP3" t="s">
        <v>491</v>
      </c>
    </row>
    <row r="4" spans="1:562" x14ac:dyDescent="0.35">
      <c r="A4">
        <v>124</v>
      </c>
      <c r="B4">
        <v>0</v>
      </c>
      <c r="C4" s="7" t="e">
        <f>IF(OR(#REF!&gt;2,#REF!&lt;-2),"",#REF!)</f>
        <v>#REF!</v>
      </c>
      <c r="D4" s="7" t="e">
        <f>IF(OR(#REF!&gt;2,#REF!&lt;-2),"",#REF!)</f>
        <v>#REF!</v>
      </c>
      <c r="E4" s="7" t="e">
        <f>IF(OR(#REF!&gt;2,#REF!&lt;-2),"",#REF!)</f>
        <v>#REF!</v>
      </c>
      <c r="F4" s="7" t="e">
        <f>IF(OR(#REF!&gt;2,#REF!&lt;-2),"",#REF!)</f>
        <v>#REF!</v>
      </c>
      <c r="G4" s="7" t="e">
        <f>IF(OR(#REF!&gt;2,#REF!&lt;-2),"",#REF!)</f>
        <v>#REF!</v>
      </c>
      <c r="H4" s="7" t="e">
        <f>IF(OR(#REF!&gt;2,#REF!&lt;-2),"",#REF!)</f>
        <v>#REF!</v>
      </c>
      <c r="I4" s="7" t="e">
        <f>IF(OR(#REF!&gt;2,#REF!&lt;-2),"",#REF!)</f>
        <v>#REF!</v>
      </c>
      <c r="J4" s="7" t="e">
        <f>IF(OR(#REF!&gt;2,#REF!&lt;-2),"",#REF!)</f>
        <v>#REF!</v>
      </c>
      <c r="K4" s="7" t="e">
        <f>IF(OR(#REF!&gt;2,#REF!&lt;-2),"",#REF!)</f>
        <v>#REF!</v>
      </c>
      <c r="L4" s="7" t="e">
        <f>IF(OR(#REF!&gt;2,#REF!&lt;-2),"",#REF!)</f>
        <v>#REF!</v>
      </c>
      <c r="M4" s="7" t="e">
        <f>IF(OR(#REF!&gt;2,#REF!&lt;-2),"",#REF!)</f>
        <v>#REF!</v>
      </c>
      <c r="N4" s="7" t="e">
        <f>IF(OR(#REF!&gt;2,#REF!&lt;-2),"",#REF!)</f>
        <v>#REF!</v>
      </c>
      <c r="O4" s="7" t="e">
        <f>IF(OR(#REF!&gt;2,#REF!&lt;-2),"",#REF!)</f>
        <v>#REF!</v>
      </c>
      <c r="P4" s="7" t="e">
        <f>IF(OR(#REF!&gt;2,#REF!&lt;-2),"",#REF!)</f>
        <v>#REF!</v>
      </c>
      <c r="Q4" s="7" t="e">
        <f>IF(OR(#REF!&gt;2,#REF!&lt;-2),"",#REF!)</f>
        <v>#REF!</v>
      </c>
      <c r="R4" s="7" t="e">
        <f>IF(OR(#REF!&gt;2,#REF!&lt;-2),"",#REF!)</f>
        <v>#REF!</v>
      </c>
      <c r="S4" s="7" t="e">
        <f>IF(OR(#REF!&gt;2,#REF!&lt;-2),"",#REF!)</f>
        <v>#REF!</v>
      </c>
      <c r="T4" s="7" t="e">
        <f>IF(OR(#REF!&gt;2,#REF!&lt;-2),"",#REF!)</f>
        <v>#REF!</v>
      </c>
      <c r="U4" s="7" t="e">
        <f>IF(OR(#REF!&gt;2,#REF!&lt;-2),"",#REF!)</f>
        <v>#REF!</v>
      </c>
      <c r="V4" s="7" t="e">
        <f>IF(OR(#REF!&gt;2,#REF!&lt;-2),"",#REF!)</f>
        <v>#REF!</v>
      </c>
      <c r="W4" s="7" t="e">
        <f>IF(OR(#REF!&gt;2,#REF!&lt;-2),"",#REF!)</f>
        <v>#REF!</v>
      </c>
      <c r="X4" s="7" t="e">
        <f>IF(OR(#REF!&gt;2,#REF!&lt;-2),"",#REF!)</f>
        <v>#REF!</v>
      </c>
      <c r="Y4" s="7" t="e">
        <f>IF(OR(#REF!&gt;2,#REF!&lt;-2),"",#REF!)</f>
        <v>#REF!</v>
      </c>
      <c r="Z4" s="7" t="e">
        <f>IF(OR(#REF!&gt;2,#REF!&lt;-2),"",#REF!)</f>
        <v>#REF!</v>
      </c>
      <c r="AA4" s="7" t="e">
        <f>IF(OR(#REF!&gt;2,#REF!&lt;-2),"",#REF!)</f>
        <v>#REF!</v>
      </c>
      <c r="AB4" s="7" t="e">
        <f>IF(OR(#REF!&gt;2,#REF!&lt;-2),"",#REF!)</f>
        <v>#REF!</v>
      </c>
      <c r="AC4" s="7" t="e">
        <f>IF(OR(#REF!&gt;2,#REF!&lt;-2),"",#REF!)</f>
        <v>#REF!</v>
      </c>
      <c r="AD4" s="7" t="e">
        <f>IF(OR(#REF!&gt;2,#REF!&lt;-2),"",#REF!)</f>
        <v>#REF!</v>
      </c>
      <c r="AE4" s="7" t="e">
        <f>IF(OR(#REF!&gt;2,#REF!&lt;-2),"",#REF!)</f>
        <v>#REF!</v>
      </c>
      <c r="AF4" s="7" t="e">
        <f>IF(OR(#REF!&gt;2,#REF!&lt;-2),"",#REF!)</f>
        <v>#REF!</v>
      </c>
      <c r="AG4" s="7" t="e">
        <f>IF(OR(#REF!&gt;2,#REF!&lt;-2),"",#REF!)</f>
        <v>#REF!</v>
      </c>
      <c r="AH4" s="7" t="e">
        <f>IF(OR(#REF!&gt;2,#REF!&lt;-2),"",#REF!)</f>
        <v>#REF!</v>
      </c>
      <c r="AI4" s="7" t="e">
        <f>IF(OR(#REF!&gt;2,#REF!&lt;-2),"",#REF!)</f>
        <v>#REF!</v>
      </c>
      <c r="AJ4" s="7" t="e">
        <f>IF(OR(#REF!&gt;2,#REF!&lt;-2),"",#REF!)</f>
        <v>#REF!</v>
      </c>
      <c r="AK4" s="7" t="e">
        <f>IF(OR(#REF!&gt;2,#REF!&lt;-2),"",#REF!)</f>
        <v>#REF!</v>
      </c>
      <c r="AL4" s="7" t="e">
        <f>IF(OR(#REF!&gt;2,#REF!&lt;-2),"",#REF!)</f>
        <v>#REF!</v>
      </c>
      <c r="AM4" s="7" t="e">
        <f>IF(OR(#REF!&gt;2,#REF!&lt;-2),"",#REF!)</f>
        <v>#REF!</v>
      </c>
      <c r="AN4" s="7" t="e">
        <f>IF(OR(#REF!&gt;2,#REF!&lt;-2),"",#REF!)</f>
        <v>#REF!</v>
      </c>
      <c r="AO4" s="7" t="e">
        <f>IF(OR(#REF!&gt;2,#REF!&lt;-2),"",#REF!)</f>
        <v>#REF!</v>
      </c>
      <c r="AP4" s="7" t="e">
        <f>IF(OR(#REF!&gt;2,#REF!&lt;-2),"",#REF!)</f>
        <v>#REF!</v>
      </c>
      <c r="AQ4" s="7" t="e">
        <f>IF(OR(#REF!&gt;2,#REF!&lt;-2),"",#REF!)</f>
        <v>#REF!</v>
      </c>
      <c r="AR4" s="7" t="e">
        <f>IF(OR(#REF!&gt;2,#REF!&lt;-2),"",#REF!)</f>
        <v>#REF!</v>
      </c>
      <c r="AS4" s="7" t="e">
        <f>IF(OR(#REF!&gt;2,#REF!&lt;-2),"",#REF!)</f>
        <v>#REF!</v>
      </c>
      <c r="AT4" s="7" t="e">
        <f>IF(OR(#REF!&gt;2,#REF!&lt;-2),"",#REF!)</f>
        <v>#REF!</v>
      </c>
      <c r="AU4" s="7" t="e">
        <f>IF(OR(#REF!&gt;2,#REF!&lt;-2),"",#REF!)</f>
        <v>#REF!</v>
      </c>
      <c r="AV4" s="7" t="e">
        <f>IF(OR(#REF!&gt;2,#REF!&lt;-2),"",#REF!)</f>
        <v>#REF!</v>
      </c>
      <c r="AW4" s="7" t="e">
        <f>IF(OR(#REF!&gt;2,#REF!&lt;-2),"",#REF!)</f>
        <v>#REF!</v>
      </c>
      <c r="AX4" s="7" t="e">
        <f>IF(OR(#REF!&gt;2,#REF!&lt;-2),"",#REF!)</f>
        <v>#REF!</v>
      </c>
      <c r="AY4" s="7" t="e">
        <f>IF(OR(#REF!&gt;2,#REF!&lt;-2),"",#REF!)</f>
        <v>#REF!</v>
      </c>
      <c r="AZ4" s="7" t="e">
        <f>IF(OR(#REF!&gt;2,#REF!&lt;-2),"",#REF!)</f>
        <v>#REF!</v>
      </c>
      <c r="BA4" s="7" t="e">
        <f>IF(OR(#REF!&gt;2,#REF!&lt;-2),"",#REF!)</f>
        <v>#REF!</v>
      </c>
      <c r="BB4" s="7" t="e">
        <f>IF(OR(#REF!&gt;2,#REF!&lt;-2),"",#REF!)</f>
        <v>#REF!</v>
      </c>
      <c r="BC4" s="7" t="e">
        <f>IF(OR(#REF!&gt;2,#REF!&lt;-2),"",#REF!)</f>
        <v>#REF!</v>
      </c>
      <c r="BD4" s="7" t="e">
        <f>IF(OR(#REF!&gt;2,#REF!&lt;-2),"",#REF!)</f>
        <v>#REF!</v>
      </c>
      <c r="BE4" s="7" t="e">
        <f>IF(OR(#REF!&gt;2,#REF!&lt;-2),"",#REF!)</f>
        <v>#REF!</v>
      </c>
      <c r="BF4" s="7" t="e">
        <f>IF(OR(#REF!&gt;2,#REF!&lt;-2),"",#REF!)</f>
        <v>#REF!</v>
      </c>
      <c r="BG4" s="7" t="e">
        <f>IF(OR(#REF!&gt;2,#REF!&lt;-2),"",#REF!)</f>
        <v>#REF!</v>
      </c>
      <c r="BH4" s="7" t="e">
        <f>IF(OR(#REF!&gt;2,#REF!&lt;-2),"",#REF!)</f>
        <v>#REF!</v>
      </c>
      <c r="BI4" s="7" t="e">
        <f>IF(OR(#REF!&gt;2,#REF!&lt;-2),"",#REF!)</f>
        <v>#REF!</v>
      </c>
      <c r="BJ4" s="7" t="e">
        <f>IF(OR(#REF!&gt;2,#REF!&lt;-2),"",#REF!)</f>
        <v>#REF!</v>
      </c>
      <c r="BK4" s="7" t="e">
        <f>IF(OR(#REF!&gt;2,#REF!&lt;-2),"",#REF!)</f>
        <v>#REF!</v>
      </c>
      <c r="BL4" s="7" t="e">
        <f>IF(OR(#REF!&gt;2,#REF!&lt;-2),"",#REF!)</f>
        <v>#REF!</v>
      </c>
      <c r="BM4" s="7" t="e">
        <f>IF(OR(#REF!&gt;2,#REF!&lt;-2),"",#REF!)</f>
        <v>#REF!</v>
      </c>
      <c r="BN4" s="7" t="e">
        <f>IF(OR(#REF!&gt;2,#REF!&lt;-2),"",#REF!)</f>
        <v>#REF!</v>
      </c>
      <c r="BO4" s="7" t="e">
        <f>IF(OR(#REF!&gt;2,#REF!&lt;-2),"",#REF!)</f>
        <v>#REF!</v>
      </c>
      <c r="BP4" s="7" t="e">
        <f>IF(OR(#REF!&gt;2,#REF!&lt;-2),"",#REF!)</f>
        <v>#REF!</v>
      </c>
      <c r="BQ4" s="7" t="e">
        <f>IF(OR(#REF!&gt;2,#REF!&lt;-2),"",#REF!)</f>
        <v>#REF!</v>
      </c>
      <c r="BR4" s="7" t="e">
        <f>IF(OR(#REF!&gt;2,#REF!&lt;-2),"",#REF!)</f>
        <v>#REF!</v>
      </c>
      <c r="BS4" s="7" t="e">
        <f>IF(OR(#REF!&gt;2,#REF!&lt;-2),"",#REF!)</f>
        <v>#REF!</v>
      </c>
      <c r="BT4" s="7" t="e">
        <f>IF(OR(#REF!&gt;2,#REF!&lt;-2),"",#REF!)</f>
        <v>#REF!</v>
      </c>
      <c r="BU4" s="7" t="e">
        <f>IF(OR(#REF!&gt;2,#REF!&lt;-2),"",#REF!)</f>
        <v>#REF!</v>
      </c>
      <c r="BV4" s="7" t="e">
        <f>IF(OR(#REF!&gt;2,#REF!&lt;-2),"",#REF!)</f>
        <v>#REF!</v>
      </c>
      <c r="BW4" s="7" t="e">
        <f>IF(OR(#REF!&gt;2,#REF!&lt;-2),"",#REF!)</f>
        <v>#REF!</v>
      </c>
      <c r="BX4" s="7" t="e">
        <f>IF(OR(#REF!&gt;2,#REF!&lt;-2),"",#REF!)</f>
        <v>#REF!</v>
      </c>
      <c r="BY4" s="7" t="e">
        <f>IF(OR(#REF!&gt;2,#REF!&lt;-2),"",#REF!)</f>
        <v>#REF!</v>
      </c>
      <c r="BZ4" s="7" t="e">
        <f>IF(OR(#REF!&gt;2,#REF!&lt;-2),"",#REF!)</f>
        <v>#REF!</v>
      </c>
      <c r="CA4" s="7" t="e">
        <f>IF(OR(#REF!&gt;2,#REF!&lt;-2),"",#REF!)</f>
        <v>#REF!</v>
      </c>
      <c r="CB4" s="7" t="e">
        <f>IF(OR(#REF!&gt;2,#REF!&lt;-2),"",#REF!)</f>
        <v>#REF!</v>
      </c>
      <c r="CC4" s="7" t="e">
        <f>IF(OR(#REF!&gt;2,#REF!&lt;-2),"",#REF!)</f>
        <v>#REF!</v>
      </c>
      <c r="CD4" s="7" t="e">
        <f>IF(OR(#REF!&gt;2,#REF!&lt;-2),"",#REF!)</f>
        <v>#REF!</v>
      </c>
      <c r="CE4" s="7" t="e">
        <f>IF(OR(#REF!&gt;2,#REF!&lt;-2),"",#REF!)</f>
        <v>#REF!</v>
      </c>
      <c r="CF4" s="7" t="e">
        <f>IF(OR(#REF!&gt;2,#REF!&lt;-2),"",#REF!)</f>
        <v>#REF!</v>
      </c>
      <c r="CG4" s="7" t="e">
        <f>IF(OR(#REF!&gt;2,#REF!&lt;-2),"",#REF!)</f>
        <v>#REF!</v>
      </c>
      <c r="CH4" s="7" t="e">
        <f>IF(OR(#REF!&gt;2,#REF!&lt;-2),"",#REF!)</f>
        <v>#REF!</v>
      </c>
      <c r="CI4" s="7" t="e">
        <f>IF(OR(#REF!&gt;2,#REF!&lt;-2),"",#REF!)</f>
        <v>#REF!</v>
      </c>
      <c r="CJ4" s="7" t="e">
        <f>IF(OR(#REF!&gt;2,#REF!&lt;-2),"",#REF!)</f>
        <v>#REF!</v>
      </c>
      <c r="CK4" s="7" t="e">
        <f>IF(OR(#REF!&gt;2,#REF!&lt;-2),"",#REF!)</f>
        <v>#REF!</v>
      </c>
      <c r="CL4" s="7" t="e">
        <f>IF(OR(#REF!&gt;2,#REF!&lt;-2),"",#REF!)</f>
        <v>#REF!</v>
      </c>
      <c r="CM4" s="7" t="e">
        <f>IF(OR(#REF!&gt;2,#REF!&lt;-2),"",#REF!)</f>
        <v>#REF!</v>
      </c>
      <c r="CN4" s="7" t="e">
        <f>IF(OR(#REF!&gt;2,#REF!&lt;-2),"",#REF!)</f>
        <v>#REF!</v>
      </c>
      <c r="CO4" s="7" t="e">
        <f>IF(OR(#REF!&gt;2,#REF!&lt;-2),"",#REF!)</f>
        <v>#REF!</v>
      </c>
      <c r="CP4" s="7" t="e">
        <f>IF(OR(#REF!&gt;2,#REF!&lt;-2),"",#REF!)</f>
        <v>#REF!</v>
      </c>
      <c r="CQ4" s="7" t="e">
        <f>IF(OR(#REF!&gt;2,#REF!&lt;-2),"",#REF!)</f>
        <v>#REF!</v>
      </c>
      <c r="CR4" s="7" t="e">
        <f>IF(OR(#REF!&gt;2,#REF!&lt;-2),"",#REF!)</f>
        <v>#REF!</v>
      </c>
      <c r="CS4" s="7" t="e">
        <f>IF(OR(#REF!&gt;2,#REF!&lt;-2),"",#REF!)</f>
        <v>#REF!</v>
      </c>
      <c r="CT4" s="7" t="e">
        <f>IF(OR(#REF!&gt;2,#REF!&lt;-2),"",#REF!)</f>
        <v>#REF!</v>
      </c>
      <c r="CU4" s="7" t="e">
        <f>IF(OR(#REF!&gt;2,#REF!&lt;-2),"",#REF!)</f>
        <v>#REF!</v>
      </c>
      <c r="CV4" s="7" t="e">
        <f>IF(OR(#REF!&gt;2,#REF!&lt;-2),"",#REF!)</f>
        <v>#REF!</v>
      </c>
      <c r="CW4" s="7" t="e">
        <f>IF(OR(#REF!&gt;2,#REF!&lt;-2),"",#REF!)</f>
        <v>#REF!</v>
      </c>
      <c r="CX4" s="7" t="e">
        <f>IF(OR(#REF!&gt;2,#REF!&lt;-2),"",#REF!)</f>
        <v>#REF!</v>
      </c>
      <c r="CY4" s="7" t="e">
        <f>IF(OR(#REF!&gt;2,#REF!&lt;-2),"",#REF!)</f>
        <v>#REF!</v>
      </c>
      <c r="CZ4" s="7" t="e">
        <f>IF(OR(#REF!&gt;2,#REF!&lt;-2),"",#REF!)</f>
        <v>#REF!</v>
      </c>
      <c r="DA4" s="7" t="e">
        <f>IF(OR(#REF!&gt;2,#REF!&lt;-2),"",#REF!)</f>
        <v>#REF!</v>
      </c>
      <c r="DB4" s="7" t="e">
        <f>IF(OR(#REF!&gt;2,#REF!&lt;-2),"",#REF!)</f>
        <v>#REF!</v>
      </c>
      <c r="DC4" s="7" t="e">
        <f>IF(OR(#REF!&gt;2,#REF!&lt;-2),"",#REF!)</f>
        <v>#REF!</v>
      </c>
      <c r="DD4" s="7" t="e">
        <f>IF(OR(#REF!&gt;2,#REF!&lt;-2),"",#REF!)</f>
        <v>#REF!</v>
      </c>
      <c r="DE4" s="7" t="e">
        <f>IF(OR(#REF!&gt;2,#REF!&lt;-2),"",#REF!)</f>
        <v>#REF!</v>
      </c>
      <c r="DF4" s="7" t="e">
        <f>IF(OR(#REF!&gt;2,#REF!&lt;-2),"",#REF!)</f>
        <v>#REF!</v>
      </c>
      <c r="DG4" s="7" t="e">
        <f>IF(OR(#REF!&gt;2,#REF!&lt;-2),"",#REF!)</f>
        <v>#REF!</v>
      </c>
      <c r="DH4" s="7" t="e">
        <f>IF(OR(#REF!&gt;2,#REF!&lt;-2),"",#REF!)</f>
        <v>#REF!</v>
      </c>
      <c r="DI4" s="7" t="e">
        <f>IF(OR(#REF!&gt;2,#REF!&lt;-2),"",#REF!)</f>
        <v>#REF!</v>
      </c>
      <c r="DJ4" s="7" t="e">
        <f>IF(OR(#REF!&gt;2,#REF!&lt;-2),"",#REF!)</f>
        <v>#REF!</v>
      </c>
      <c r="DK4" s="7" t="e">
        <f>IF(OR(#REF!&gt;2,#REF!&lt;-2),"",#REF!)</f>
        <v>#REF!</v>
      </c>
      <c r="DL4" s="7" t="e">
        <f>IF(OR(#REF!&gt;2,#REF!&lt;-2),"",#REF!)</f>
        <v>#REF!</v>
      </c>
      <c r="DM4" s="7" t="e">
        <f>IF(OR(#REF!&gt;2,#REF!&lt;-2),"",#REF!)</f>
        <v>#REF!</v>
      </c>
      <c r="DN4" s="7" t="e">
        <f>IF(OR(#REF!&gt;2,#REF!&lt;-2),"",#REF!)</f>
        <v>#REF!</v>
      </c>
      <c r="DO4" s="7" t="e">
        <f>IF(OR(#REF!&gt;2,#REF!&lt;-2),"",#REF!)</f>
        <v>#REF!</v>
      </c>
      <c r="DP4" s="7" t="e">
        <f>IF(OR(#REF!&gt;2,#REF!&lt;-2),"",#REF!)</f>
        <v>#REF!</v>
      </c>
      <c r="DQ4" s="7" t="e">
        <f>IF(OR(#REF!&gt;2,#REF!&lt;-2),"",#REF!)</f>
        <v>#REF!</v>
      </c>
      <c r="DR4" s="7" t="e">
        <f>IF(OR(#REF!&gt;2,#REF!&lt;-2),"",#REF!)</f>
        <v>#REF!</v>
      </c>
      <c r="DS4" s="7" t="e">
        <f>IF(OR(#REF!&gt;2,#REF!&lt;-2),"",#REF!)</f>
        <v>#REF!</v>
      </c>
      <c r="DT4" s="7" t="e">
        <f>IF(OR(#REF!&gt;2,#REF!&lt;-2),"",#REF!)</f>
        <v>#REF!</v>
      </c>
      <c r="DU4" s="7" t="e">
        <f>IF(OR(#REF!&gt;2,#REF!&lt;-2),"",#REF!)</f>
        <v>#REF!</v>
      </c>
      <c r="DV4" s="7" t="e">
        <f>IF(OR(#REF!&gt;2,#REF!&lt;-2),"",#REF!)</f>
        <v>#REF!</v>
      </c>
      <c r="DW4" s="7" t="e">
        <f>IF(OR(#REF!&gt;2,#REF!&lt;-2),"",#REF!)</f>
        <v>#REF!</v>
      </c>
      <c r="DX4" s="7" t="e">
        <f>IF(OR(#REF!&gt;2,#REF!&lt;-2),"",#REF!)</f>
        <v>#REF!</v>
      </c>
      <c r="DY4" s="7" t="e">
        <f>IF(OR(#REF!&gt;2,#REF!&lt;-2),"",#REF!)</f>
        <v>#REF!</v>
      </c>
      <c r="DZ4" s="7" t="e">
        <f>IF(OR(#REF!&gt;2,#REF!&lt;-2),"",#REF!)</f>
        <v>#REF!</v>
      </c>
      <c r="EA4" s="7" t="e">
        <f>IF(OR(#REF!&gt;2,#REF!&lt;-2),"",#REF!)</f>
        <v>#REF!</v>
      </c>
      <c r="EB4" s="7" t="e">
        <f>IF(OR(#REF!&gt;2,#REF!&lt;-2),"",#REF!)</f>
        <v>#REF!</v>
      </c>
      <c r="EC4" s="7" t="e">
        <f>IF(OR(#REF!&gt;2,#REF!&lt;-2),"",#REF!)</f>
        <v>#REF!</v>
      </c>
      <c r="ED4" s="7" t="e">
        <f>IF(OR(#REF!&gt;2,#REF!&lt;-2),"",#REF!)</f>
        <v>#REF!</v>
      </c>
      <c r="EE4" s="7" t="e">
        <f>IF(OR(#REF!&gt;2,#REF!&lt;-2),"",#REF!)</f>
        <v>#REF!</v>
      </c>
      <c r="EF4" s="7" t="e">
        <f>IF(OR(#REF!&gt;2,#REF!&lt;-2),"",#REF!)</f>
        <v>#REF!</v>
      </c>
      <c r="EG4" s="7" t="e">
        <f>IF(OR(#REF!&gt;2,#REF!&lt;-2),"",#REF!)</f>
        <v>#REF!</v>
      </c>
      <c r="EH4" s="7" t="e">
        <f>IF(OR(#REF!&gt;2,#REF!&lt;-2),"",#REF!)</f>
        <v>#REF!</v>
      </c>
      <c r="EI4" s="7" t="e">
        <f>IF(OR(#REF!&gt;2,#REF!&lt;-2),"",#REF!)</f>
        <v>#REF!</v>
      </c>
      <c r="EJ4" s="7" t="e">
        <f>IF(OR(#REF!&gt;2,#REF!&lt;-2),"",#REF!)</f>
        <v>#REF!</v>
      </c>
      <c r="EK4" s="7" t="e">
        <f>IF(OR(#REF!&gt;2,#REF!&lt;-2),"",#REF!)</f>
        <v>#REF!</v>
      </c>
      <c r="EL4" s="7" t="e">
        <f>IF(OR(#REF!&gt;2,#REF!&lt;-2),"",#REF!)</f>
        <v>#REF!</v>
      </c>
      <c r="EM4" s="7" t="e">
        <f>IF(OR(#REF!&gt;2,#REF!&lt;-2),"",#REF!)</f>
        <v>#REF!</v>
      </c>
      <c r="EN4" s="7" t="e">
        <f>IF(OR(#REF!&gt;2,#REF!&lt;-2),"",#REF!)</f>
        <v>#REF!</v>
      </c>
      <c r="EO4" s="7" t="e">
        <f>IF(OR(#REF!&gt;2,#REF!&lt;-2),"",#REF!)</f>
        <v>#REF!</v>
      </c>
      <c r="EP4" s="7" t="e">
        <f>IF(OR(#REF!&gt;2,#REF!&lt;-2),"",#REF!)</f>
        <v>#REF!</v>
      </c>
      <c r="EQ4" s="7" t="e">
        <f>IF(OR(#REF!&gt;2,#REF!&lt;-2),"",#REF!)</f>
        <v>#REF!</v>
      </c>
      <c r="ER4" s="7" t="e">
        <f>IF(OR(#REF!&gt;2,#REF!&lt;-2),"",#REF!)</f>
        <v>#REF!</v>
      </c>
      <c r="ES4" s="7" t="e">
        <f>IF(OR(#REF!&gt;2,#REF!&lt;-2),"",#REF!)</f>
        <v>#REF!</v>
      </c>
      <c r="ET4" s="7" t="e">
        <f>IF(OR(#REF!&gt;2,#REF!&lt;-2),"",#REF!)</f>
        <v>#REF!</v>
      </c>
      <c r="EU4" s="7" t="e">
        <f>IF(OR(#REF!&gt;2,#REF!&lt;-2),"",#REF!)</f>
        <v>#REF!</v>
      </c>
      <c r="EV4" s="7" t="e">
        <f>IF(OR(#REF!&gt;2,#REF!&lt;-2),"",#REF!)</f>
        <v>#REF!</v>
      </c>
      <c r="EW4" s="7" t="e">
        <f>IF(OR(#REF!&gt;2,#REF!&lt;-2),"",#REF!)</f>
        <v>#REF!</v>
      </c>
      <c r="EX4" s="7" t="e">
        <f>IF(OR(#REF!&gt;2,#REF!&lt;-2),"",#REF!)</f>
        <v>#REF!</v>
      </c>
      <c r="EY4" s="7" t="e">
        <f>IF(OR(#REF!&gt;2,#REF!&lt;-2),"",#REF!)</f>
        <v>#REF!</v>
      </c>
      <c r="EZ4" s="7" t="e">
        <f>IF(OR(#REF!&gt;2,#REF!&lt;-2),"",#REF!)</f>
        <v>#REF!</v>
      </c>
      <c r="FA4" s="7" t="e">
        <f>IF(OR(#REF!&gt;2,#REF!&lt;-2),"",#REF!)</f>
        <v>#REF!</v>
      </c>
      <c r="FB4" s="7" t="e">
        <f>IF(OR(#REF!&gt;2,#REF!&lt;-2),"",#REF!)</f>
        <v>#REF!</v>
      </c>
      <c r="FC4" s="7" t="e">
        <f>IF(OR(#REF!&gt;2,#REF!&lt;-2),"",#REF!)</f>
        <v>#REF!</v>
      </c>
      <c r="FD4" s="7" t="e">
        <f>IF(OR(#REF!&gt;2,#REF!&lt;-2),"",#REF!)</f>
        <v>#REF!</v>
      </c>
      <c r="FE4" s="7" t="e">
        <f>IF(OR(#REF!&gt;2,#REF!&lt;-2),"",#REF!)</f>
        <v>#REF!</v>
      </c>
      <c r="FF4" s="7" t="e">
        <f>IF(OR(#REF!&gt;2,#REF!&lt;-2),"",#REF!)</f>
        <v>#REF!</v>
      </c>
      <c r="FG4" s="7" t="e">
        <f>IF(OR(#REF!&gt;2,#REF!&lt;-2),"",#REF!)</f>
        <v>#REF!</v>
      </c>
      <c r="FH4" s="7" t="e">
        <f>IF(OR(#REF!&gt;2,#REF!&lt;-2),"",#REF!)</f>
        <v>#REF!</v>
      </c>
      <c r="FI4" s="7" t="e">
        <f>IF(OR(#REF!&gt;2,#REF!&lt;-2),"",#REF!)</f>
        <v>#REF!</v>
      </c>
      <c r="FJ4" s="7" t="e">
        <f>IF(OR(#REF!&gt;2,#REF!&lt;-2),"",#REF!)</f>
        <v>#REF!</v>
      </c>
      <c r="FK4" s="7" t="e">
        <f>IF(OR(#REF!&gt;2,#REF!&lt;-2),"",#REF!)</f>
        <v>#REF!</v>
      </c>
      <c r="FL4" s="7" t="e">
        <f>IF(OR(#REF!&gt;2,#REF!&lt;-2),"",#REF!)</f>
        <v>#REF!</v>
      </c>
      <c r="FM4" s="7" t="e">
        <f>IF(OR(#REF!&gt;2,#REF!&lt;-2),"",#REF!)</f>
        <v>#REF!</v>
      </c>
      <c r="FN4" s="7" t="e">
        <f>IF(OR(#REF!&gt;2,#REF!&lt;-2),"",#REF!)</f>
        <v>#REF!</v>
      </c>
      <c r="FO4" s="7" t="e">
        <f>IF(OR(#REF!&gt;2,#REF!&lt;-2),"",#REF!)</f>
        <v>#REF!</v>
      </c>
      <c r="FP4" s="7" t="e">
        <f>IF(OR(#REF!&gt;2,#REF!&lt;-2),"",#REF!)</f>
        <v>#REF!</v>
      </c>
      <c r="FQ4" s="7" t="e">
        <f>IF(OR(#REF!&gt;2,#REF!&lt;-2),"",#REF!)</f>
        <v>#REF!</v>
      </c>
      <c r="FR4" s="7" t="e">
        <f>IF(OR(#REF!&gt;2,#REF!&lt;-2),"",#REF!)</f>
        <v>#REF!</v>
      </c>
      <c r="FS4" s="7" t="e">
        <f>IF(OR(#REF!&gt;2,#REF!&lt;-2),"",#REF!)</f>
        <v>#REF!</v>
      </c>
      <c r="FT4" s="7" t="e">
        <f>IF(OR(#REF!&gt;2,#REF!&lt;-2),"",#REF!)</f>
        <v>#REF!</v>
      </c>
      <c r="FU4" s="7" t="e">
        <f>IF(OR(#REF!&gt;2,#REF!&lt;-2),"",#REF!)</f>
        <v>#REF!</v>
      </c>
      <c r="FV4" s="7" t="e">
        <f>IF(OR(#REF!&gt;2,#REF!&lt;-2),"",#REF!)</f>
        <v>#REF!</v>
      </c>
      <c r="FW4" s="7" t="e">
        <f>IF(OR(#REF!&gt;2,#REF!&lt;-2),"",#REF!)</f>
        <v>#REF!</v>
      </c>
      <c r="FX4" s="7" t="e">
        <f>IF(OR(#REF!&gt;2,#REF!&lt;-2),"",#REF!)</f>
        <v>#REF!</v>
      </c>
      <c r="FY4" s="7" t="e">
        <f>IF(OR(#REF!&gt;2,#REF!&lt;-2),"",#REF!)</f>
        <v>#REF!</v>
      </c>
      <c r="FZ4" s="7" t="e">
        <f>IF(OR(#REF!&gt;2,#REF!&lt;-2),"",#REF!)</f>
        <v>#REF!</v>
      </c>
      <c r="GA4" s="7" t="e">
        <f>IF(OR(#REF!&gt;2,#REF!&lt;-2),"",#REF!)</f>
        <v>#REF!</v>
      </c>
      <c r="GB4" s="7" t="e">
        <f>IF(OR(#REF!&gt;2,#REF!&lt;-2),"",#REF!)</f>
        <v>#REF!</v>
      </c>
      <c r="GC4" s="7" t="e">
        <f>IF(OR(#REF!&gt;2,#REF!&lt;-2),"",#REF!)</f>
        <v>#REF!</v>
      </c>
      <c r="GD4" s="7" t="e">
        <f>IF(OR(#REF!&gt;2,#REF!&lt;-2),"",#REF!)</f>
        <v>#REF!</v>
      </c>
      <c r="GE4" s="7" t="e">
        <f>IF(OR(#REF!&gt;2,#REF!&lt;-2),"",#REF!)</f>
        <v>#REF!</v>
      </c>
      <c r="GF4" s="7" t="e">
        <f>IF(OR(#REF!&gt;2,#REF!&lt;-2),"",#REF!)</f>
        <v>#REF!</v>
      </c>
      <c r="GG4" s="7" t="e">
        <f>IF(OR(#REF!&gt;2,#REF!&lt;-2),"",#REF!)</f>
        <v>#REF!</v>
      </c>
      <c r="GH4" s="7" t="e">
        <f>IF(OR(#REF!&gt;2,#REF!&lt;-2),"",#REF!)</f>
        <v>#REF!</v>
      </c>
      <c r="GI4" s="7" t="e">
        <f>IF(OR(#REF!&gt;2,#REF!&lt;-2),"",#REF!)</f>
        <v>#REF!</v>
      </c>
      <c r="GJ4" s="7" t="e">
        <f>IF(OR(#REF!&gt;2,#REF!&lt;-2),"",#REF!)</f>
        <v>#REF!</v>
      </c>
      <c r="GK4" s="7" t="e">
        <f>IF(OR(#REF!&gt;2,#REF!&lt;-2),"",#REF!)</f>
        <v>#REF!</v>
      </c>
      <c r="GL4" s="7" t="e">
        <f>IF(OR(#REF!&gt;2,#REF!&lt;-2),"",#REF!)</f>
        <v>#REF!</v>
      </c>
      <c r="GM4" s="7" t="e">
        <f>IF(OR(#REF!&gt;2,#REF!&lt;-2),"",#REF!)</f>
        <v>#REF!</v>
      </c>
      <c r="GN4" s="7" t="e">
        <f>IF(OR(#REF!&gt;2,#REF!&lt;-2),"",#REF!)</f>
        <v>#REF!</v>
      </c>
      <c r="GO4" s="7" t="e">
        <f>IF(OR(#REF!&gt;2,#REF!&lt;-2),"",#REF!)</f>
        <v>#REF!</v>
      </c>
      <c r="GP4" s="7" t="e">
        <f>IF(OR(#REF!&gt;2,#REF!&lt;-2),"",#REF!)</f>
        <v>#REF!</v>
      </c>
      <c r="GQ4" s="7" t="e">
        <f>IF(OR(#REF!&gt;2,#REF!&lt;-2),"",#REF!)</f>
        <v>#REF!</v>
      </c>
      <c r="GR4" s="7" t="e">
        <f>IF(OR(#REF!&gt;2,#REF!&lt;-2),"",#REF!)</f>
        <v>#REF!</v>
      </c>
      <c r="GS4" s="7" t="e">
        <f>IF(OR(#REF!&gt;2,#REF!&lt;-2),"",#REF!)</f>
        <v>#REF!</v>
      </c>
      <c r="GT4" s="7" t="e">
        <f>IF(OR(#REF!&gt;2,#REF!&lt;-2),"",#REF!)</f>
        <v>#REF!</v>
      </c>
      <c r="GU4" s="7" t="e">
        <f>IF(OR(#REF!&gt;2,#REF!&lt;-2),"",#REF!)</f>
        <v>#REF!</v>
      </c>
      <c r="GV4" s="7" t="e">
        <f>IF(OR(#REF!&gt;2,#REF!&lt;-2),"",#REF!)</f>
        <v>#REF!</v>
      </c>
      <c r="GW4" s="7" t="e">
        <f>IF(OR(#REF!&gt;2,#REF!&lt;-2),"",#REF!)</f>
        <v>#REF!</v>
      </c>
      <c r="GX4" s="7" t="e">
        <f>IF(OR(#REF!&gt;2,#REF!&lt;-2),"",#REF!)</f>
        <v>#REF!</v>
      </c>
      <c r="GY4" s="7" t="e">
        <f>IF(OR(#REF!&gt;2,#REF!&lt;-2),"",#REF!)</f>
        <v>#REF!</v>
      </c>
      <c r="GZ4" s="7" t="e">
        <f>IF(OR(#REF!&gt;2,#REF!&lt;-2),"",#REF!)</f>
        <v>#REF!</v>
      </c>
      <c r="HA4" s="7" t="e">
        <f>IF(OR(#REF!&gt;2,#REF!&lt;-2),"",#REF!)</f>
        <v>#REF!</v>
      </c>
      <c r="HB4" s="7" t="e">
        <f>IF(OR(#REF!&gt;2,#REF!&lt;-2),"",#REF!)</f>
        <v>#REF!</v>
      </c>
      <c r="HC4" s="7" t="e">
        <f>IF(OR(#REF!&gt;2,#REF!&lt;-2),"",#REF!)</f>
        <v>#REF!</v>
      </c>
      <c r="HD4" s="7" t="e">
        <f>IF(OR(#REF!&gt;2,#REF!&lt;-2),"",#REF!)</f>
        <v>#REF!</v>
      </c>
      <c r="HE4" s="7" t="e">
        <f>IF(OR(#REF!&gt;2,#REF!&lt;-2),"",#REF!)</f>
        <v>#REF!</v>
      </c>
      <c r="HF4" s="7" t="e">
        <f>IF(OR(#REF!&gt;2,#REF!&lt;-2),"",#REF!)</f>
        <v>#REF!</v>
      </c>
      <c r="HG4" s="7" t="e">
        <f>IF(OR(#REF!&gt;2,#REF!&lt;-2),"",#REF!)</f>
        <v>#REF!</v>
      </c>
      <c r="HH4" s="7" t="e">
        <f>IF(OR(#REF!&gt;2,#REF!&lt;-2),"",#REF!)</f>
        <v>#REF!</v>
      </c>
      <c r="HI4" s="7" t="e">
        <f>IF(OR(#REF!&gt;2,#REF!&lt;-2),"",#REF!)</f>
        <v>#REF!</v>
      </c>
      <c r="HJ4" s="7" t="e">
        <f>IF(OR(#REF!&gt;2,#REF!&lt;-2),"",#REF!)</f>
        <v>#REF!</v>
      </c>
      <c r="HK4" s="7" t="e">
        <f>IF(OR(#REF!&gt;2,#REF!&lt;-2),"",#REF!)</f>
        <v>#REF!</v>
      </c>
      <c r="HL4" s="7" t="e">
        <f>IF(OR(#REF!&gt;2,#REF!&lt;-2),"",#REF!)</f>
        <v>#REF!</v>
      </c>
      <c r="HM4" s="7" t="e">
        <f>IF(OR(#REF!&gt;2,#REF!&lt;-2),"",#REF!)</f>
        <v>#REF!</v>
      </c>
      <c r="HN4" s="7" t="e">
        <f>IF(OR(#REF!&gt;2,#REF!&lt;-2),"",#REF!)</f>
        <v>#REF!</v>
      </c>
      <c r="HO4" s="7" t="e">
        <f>IF(OR(#REF!&gt;2,#REF!&lt;-2),"",#REF!)</f>
        <v>#REF!</v>
      </c>
      <c r="HP4" s="7" t="e">
        <f>IF(OR(#REF!&gt;2,#REF!&lt;-2),"",#REF!)</f>
        <v>#REF!</v>
      </c>
      <c r="HQ4" s="7" t="e">
        <f>IF(OR(#REF!&gt;2,#REF!&lt;-2),"",#REF!)</f>
        <v>#REF!</v>
      </c>
      <c r="HR4" s="7" t="e">
        <f>IF(OR(#REF!&gt;2,#REF!&lt;-2),"",#REF!)</f>
        <v>#REF!</v>
      </c>
      <c r="HS4" s="7" t="e">
        <f>IF(OR(#REF!&gt;2,#REF!&lt;-2),"",#REF!)</f>
        <v>#REF!</v>
      </c>
      <c r="HT4" s="7" t="e">
        <f>IF(OR(#REF!&gt;2,#REF!&lt;-2),"",#REF!)</f>
        <v>#REF!</v>
      </c>
      <c r="HU4" s="7" t="e">
        <f>IF(OR(#REF!&gt;2,#REF!&lt;-2),"",#REF!)</f>
        <v>#REF!</v>
      </c>
      <c r="HV4" s="7" t="e">
        <f>IF(OR(#REF!&gt;2,#REF!&lt;-2),"",#REF!)</f>
        <v>#REF!</v>
      </c>
      <c r="HW4" s="7" t="e">
        <f>IF(OR(#REF!&gt;2,#REF!&lt;-2),"",#REF!)</f>
        <v>#REF!</v>
      </c>
      <c r="HX4" s="7" t="e">
        <f>IF(OR(#REF!&gt;2,#REF!&lt;-2),"",#REF!)</f>
        <v>#REF!</v>
      </c>
      <c r="HY4" s="7" t="e">
        <f>IF(OR(#REF!&gt;2,#REF!&lt;-2),"",#REF!)</f>
        <v>#REF!</v>
      </c>
      <c r="HZ4" s="7" t="e">
        <f>IF(OR(#REF!&gt;2,#REF!&lt;-2),"",#REF!)</f>
        <v>#REF!</v>
      </c>
      <c r="IA4" s="7" t="e">
        <f>IF(OR(#REF!&gt;2,#REF!&lt;-2),"",#REF!)</f>
        <v>#REF!</v>
      </c>
      <c r="IB4" s="7" t="e">
        <f>IF(OR(#REF!&gt;2,#REF!&lt;-2),"",#REF!)</f>
        <v>#REF!</v>
      </c>
      <c r="IC4" s="7" t="e">
        <f>IF(OR(#REF!&gt;2,#REF!&lt;-2),"",#REF!)</f>
        <v>#REF!</v>
      </c>
      <c r="ID4" s="7" t="e">
        <f>IF(OR(#REF!&gt;2,#REF!&lt;-2),"",#REF!)</f>
        <v>#REF!</v>
      </c>
      <c r="IE4" s="7" t="e">
        <f>IF(OR(#REF!&gt;2,#REF!&lt;-2),"",#REF!)</f>
        <v>#REF!</v>
      </c>
      <c r="IF4" s="7" t="e">
        <f>IF(OR(#REF!&gt;2,#REF!&lt;-2),"",#REF!)</f>
        <v>#REF!</v>
      </c>
      <c r="IG4" s="7" t="e">
        <f>IF(OR(#REF!&gt;2,#REF!&lt;-2),"",#REF!)</f>
        <v>#REF!</v>
      </c>
      <c r="IH4" s="7" t="e">
        <f>IF(OR(#REF!&gt;2,#REF!&lt;-2),"",#REF!)</f>
        <v>#REF!</v>
      </c>
      <c r="II4" s="7" t="e">
        <f>IF(OR(#REF!&gt;2,#REF!&lt;-2),"",#REF!)</f>
        <v>#REF!</v>
      </c>
      <c r="IJ4" s="7" t="e">
        <f>IF(OR(#REF!&gt;2,#REF!&lt;-2),"",#REF!)</f>
        <v>#REF!</v>
      </c>
      <c r="IK4" s="7" t="e">
        <f>IF(OR(#REF!&gt;2,#REF!&lt;-2),"",#REF!)</f>
        <v>#REF!</v>
      </c>
      <c r="IL4" s="7" t="e">
        <f>IF(OR(#REF!&gt;2,#REF!&lt;-2),"",#REF!)</f>
        <v>#REF!</v>
      </c>
      <c r="IM4" s="7" t="e">
        <f>IF(OR(#REF!&gt;2,#REF!&lt;-2),"",#REF!)</f>
        <v>#REF!</v>
      </c>
      <c r="IN4" s="7" t="e">
        <f>IF(OR(#REF!&gt;2,#REF!&lt;-2),"",#REF!)</f>
        <v>#REF!</v>
      </c>
      <c r="IO4" s="7" t="e">
        <f>IF(OR(#REF!&gt;2,#REF!&lt;-2),"",#REF!)</f>
        <v>#REF!</v>
      </c>
      <c r="IP4" s="7" t="e">
        <f>IF(OR(#REF!&gt;2,#REF!&lt;-2),"",#REF!)</f>
        <v>#REF!</v>
      </c>
      <c r="IQ4" s="7" t="e">
        <f>IF(OR(#REF!&gt;2,#REF!&lt;-2),"",#REF!)</f>
        <v>#REF!</v>
      </c>
      <c r="IR4" s="7" t="e">
        <f>IF(OR(#REF!&gt;2,#REF!&lt;-2),"",#REF!)</f>
        <v>#REF!</v>
      </c>
      <c r="IS4" s="7" t="e">
        <f>IF(OR(#REF!&gt;2,#REF!&lt;-2),"",#REF!)</f>
        <v>#REF!</v>
      </c>
      <c r="IT4" s="7" t="e">
        <f>IF(OR(#REF!&gt;2,#REF!&lt;-2),"",#REF!)</f>
        <v>#REF!</v>
      </c>
      <c r="IU4" s="7" t="e">
        <f>IF(OR(#REF!&gt;2,#REF!&lt;-2),"",#REF!)</f>
        <v>#REF!</v>
      </c>
      <c r="IV4" s="7" t="e">
        <f>IF(OR(#REF!&gt;2,#REF!&lt;-2),"",#REF!)</f>
        <v>#REF!</v>
      </c>
      <c r="IW4" s="7" t="e">
        <f>IF(OR(#REF!&gt;2,#REF!&lt;-2),"",#REF!)</f>
        <v>#REF!</v>
      </c>
      <c r="IX4" s="7" t="e">
        <f>IF(OR(#REF!&gt;2,#REF!&lt;-2),"",#REF!)</f>
        <v>#REF!</v>
      </c>
      <c r="IY4" s="7" t="e">
        <f>IF(OR(#REF!&gt;2,#REF!&lt;-2),"",#REF!)</f>
        <v>#REF!</v>
      </c>
      <c r="IZ4" s="7" t="e">
        <f>IF(OR(#REF!&gt;2,#REF!&lt;-2),"",#REF!)</f>
        <v>#REF!</v>
      </c>
      <c r="JA4" s="7" t="e">
        <f>IF(OR(#REF!&gt;2,#REF!&lt;-2),"",#REF!)</f>
        <v>#REF!</v>
      </c>
      <c r="JB4" s="7" t="e">
        <f>IF(OR(#REF!&gt;2,#REF!&lt;-2),"",#REF!)</f>
        <v>#REF!</v>
      </c>
      <c r="JC4" s="7" t="e">
        <f>IF(OR(#REF!&gt;2,#REF!&lt;-2),"",#REF!)</f>
        <v>#REF!</v>
      </c>
      <c r="JD4" s="7" t="e">
        <f>IF(OR(#REF!&gt;2,#REF!&lt;-2),"",#REF!)</f>
        <v>#REF!</v>
      </c>
      <c r="JE4" s="7" t="e">
        <f>IF(OR(#REF!&gt;2,#REF!&lt;-2),"",#REF!)</f>
        <v>#REF!</v>
      </c>
      <c r="JF4" s="7" t="e">
        <f>IF(OR(#REF!&gt;2,#REF!&lt;-2),"",#REF!)</f>
        <v>#REF!</v>
      </c>
      <c r="JG4" s="7" t="e">
        <f>IF(OR(#REF!&gt;2,#REF!&lt;-2),"",#REF!)</f>
        <v>#REF!</v>
      </c>
      <c r="JH4" s="7" t="e">
        <f>IF(OR(#REF!&gt;2,#REF!&lt;-2),"",#REF!)</f>
        <v>#REF!</v>
      </c>
      <c r="JI4" s="7" t="e">
        <f>IF(OR(#REF!&gt;2,#REF!&lt;-2),"",#REF!)</f>
        <v>#REF!</v>
      </c>
      <c r="JJ4" s="7" t="e">
        <f>IF(OR(#REF!&gt;2,#REF!&lt;-2),"",#REF!)</f>
        <v>#REF!</v>
      </c>
      <c r="JK4" s="7" t="e">
        <f>IF(OR(#REF!&gt;2,#REF!&lt;-2),"",#REF!)</f>
        <v>#REF!</v>
      </c>
      <c r="JL4" s="7" t="e">
        <f>IF(OR(#REF!&gt;2,#REF!&lt;-2),"",#REF!)</f>
        <v>#REF!</v>
      </c>
      <c r="JM4" s="7" t="e">
        <f>IF(OR(#REF!&gt;2,#REF!&lt;-2),"",#REF!)</f>
        <v>#REF!</v>
      </c>
      <c r="JN4" s="7" t="e">
        <f>IF(OR(#REF!&gt;2,#REF!&lt;-2),"",#REF!)</f>
        <v>#REF!</v>
      </c>
      <c r="JO4" s="7" t="e">
        <f>IF(OR(#REF!&gt;2,#REF!&lt;-2),"",#REF!)</f>
        <v>#REF!</v>
      </c>
      <c r="JP4" s="7" t="e">
        <f>IF(OR(#REF!&gt;2,#REF!&lt;-2),"",#REF!)</f>
        <v>#REF!</v>
      </c>
      <c r="JQ4" s="7" t="e">
        <f>IF(OR(#REF!&gt;2,#REF!&lt;-2),"",#REF!)</f>
        <v>#REF!</v>
      </c>
      <c r="JR4" s="7" t="e">
        <f>IF(OR(#REF!&gt;2,#REF!&lt;-2),"",#REF!)</f>
        <v>#REF!</v>
      </c>
      <c r="JS4" s="7" t="e">
        <f>IF(OR(#REF!&gt;2,#REF!&lt;-2),"",#REF!)</f>
        <v>#REF!</v>
      </c>
      <c r="JT4" s="7" t="e">
        <f>IF(OR(#REF!&gt;2,#REF!&lt;-2),"",#REF!)</f>
        <v>#REF!</v>
      </c>
      <c r="JU4" s="7" t="e">
        <f>IF(OR(#REF!&gt;2,#REF!&lt;-2),"",#REF!)</f>
        <v>#REF!</v>
      </c>
      <c r="JV4" s="7" t="e">
        <f>IF(OR(#REF!&gt;2,#REF!&lt;-2),"",#REF!)</f>
        <v>#REF!</v>
      </c>
      <c r="JW4" s="7" t="e">
        <f>IF(OR(#REF!&gt;2,#REF!&lt;-2),"",#REF!)</f>
        <v>#REF!</v>
      </c>
      <c r="JX4" s="7" t="e">
        <f>IF(OR(#REF!&gt;2,#REF!&lt;-2),"",#REF!)</f>
        <v>#REF!</v>
      </c>
      <c r="JY4" s="7" t="e">
        <f>IF(OR(#REF!&gt;2,#REF!&lt;-2),"",#REF!)</f>
        <v>#REF!</v>
      </c>
      <c r="JZ4" s="7" t="e">
        <f>IF(OR(#REF!&gt;2,#REF!&lt;-2),"",#REF!)</f>
        <v>#REF!</v>
      </c>
      <c r="KA4" s="7" t="e">
        <f>IF(OR(#REF!&gt;2,#REF!&lt;-2),"",#REF!)</f>
        <v>#REF!</v>
      </c>
      <c r="KB4" s="7" t="e">
        <f>IF(OR(#REF!&gt;2,#REF!&lt;-2),"",#REF!)</f>
        <v>#REF!</v>
      </c>
      <c r="KC4" s="7" t="e">
        <f>IF(OR(#REF!&gt;2,#REF!&lt;-2),"",#REF!)</f>
        <v>#REF!</v>
      </c>
      <c r="KD4" s="7" t="e">
        <f>IF(OR(#REF!&gt;2,#REF!&lt;-2),"",#REF!)</f>
        <v>#REF!</v>
      </c>
      <c r="KE4" s="7" t="e">
        <f>IF(OR(#REF!&gt;2,#REF!&lt;-2),"",#REF!)</f>
        <v>#REF!</v>
      </c>
      <c r="KF4" s="7" t="e">
        <f>IF(OR(#REF!&gt;2,#REF!&lt;-2),"",#REF!)</f>
        <v>#REF!</v>
      </c>
      <c r="KG4" s="7" t="e">
        <f>IF(OR(#REF!&gt;2,#REF!&lt;-2),"",#REF!)</f>
        <v>#REF!</v>
      </c>
      <c r="KH4" s="7" t="e">
        <f>IF(OR(#REF!&gt;2,#REF!&lt;-2),"",#REF!)</f>
        <v>#REF!</v>
      </c>
      <c r="KI4" s="7" t="e">
        <f>IF(OR(#REF!&gt;2,#REF!&lt;-2),"",#REF!)</f>
        <v>#REF!</v>
      </c>
      <c r="KJ4" s="7" t="e">
        <f>IF(OR(#REF!&gt;2,#REF!&lt;-2),"",#REF!)</f>
        <v>#REF!</v>
      </c>
      <c r="KK4" s="7" t="e">
        <f>IF(OR(#REF!&gt;2,#REF!&lt;-2),"",#REF!)</f>
        <v>#REF!</v>
      </c>
      <c r="KL4" s="7" t="e">
        <f>IF(OR(#REF!&gt;2,#REF!&lt;-2),"",#REF!)</f>
        <v>#REF!</v>
      </c>
      <c r="KM4" s="7" t="e">
        <f>IF(OR(#REF!&gt;2,#REF!&lt;-2),"",#REF!)</f>
        <v>#REF!</v>
      </c>
      <c r="KN4" s="7" t="e">
        <f>IF(OR(#REF!&gt;2,#REF!&lt;-2),"",#REF!)</f>
        <v>#REF!</v>
      </c>
      <c r="KO4" s="7" t="e">
        <f>IF(OR(#REF!&gt;2,#REF!&lt;-2),"",#REF!)</f>
        <v>#REF!</v>
      </c>
      <c r="KP4" s="7" t="e">
        <f>IF(OR(#REF!&gt;2,#REF!&lt;-2),"",#REF!)</f>
        <v>#REF!</v>
      </c>
      <c r="KQ4" s="7" t="e">
        <f>IF(OR(#REF!&gt;2,#REF!&lt;-2),"",#REF!)</f>
        <v>#REF!</v>
      </c>
      <c r="KR4" s="7" t="e">
        <f>IF(OR(#REF!&gt;2,#REF!&lt;-2),"",#REF!)</f>
        <v>#REF!</v>
      </c>
      <c r="KS4" s="7" t="e">
        <f>IF(OR(#REF!&gt;2,#REF!&lt;-2),"",#REF!)</f>
        <v>#REF!</v>
      </c>
      <c r="KT4" s="7" t="e">
        <f>IF(OR(#REF!&gt;2,#REF!&lt;-2),"",#REF!)</f>
        <v>#REF!</v>
      </c>
      <c r="KU4" s="7" t="e">
        <f>IF(OR(#REF!&gt;2,#REF!&lt;-2),"",#REF!)</f>
        <v>#REF!</v>
      </c>
      <c r="KV4" s="7" t="e">
        <f>IF(OR(#REF!&gt;2,#REF!&lt;-2),"",#REF!)</f>
        <v>#REF!</v>
      </c>
      <c r="KW4" s="7" t="e">
        <f>IF(OR(#REF!&gt;2,#REF!&lt;-2),"",#REF!)</f>
        <v>#REF!</v>
      </c>
      <c r="KX4" s="7" t="e">
        <f>IF(OR(#REF!&gt;2,#REF!&lt;-2),"",#REF!)</f>
        <v>#REF!</v>
      </c>
      <c r="KY4" s="7" t="e">
        <f>IF(OR(#REF!&gt;2,#REF!&lt;-2),"",#REF!)</f>
        <v>#REF!</v>
      </c>
      <c r="KZ4" s="7" t="e">
        <f>IF(OR(#REF!&gt;2,#REF!&lt;-2),"",#REF!)</f>
        <v>#REF!</v>
      </c>
      <c r="LA4" s="7" t="e">
        <f>IF(OR(#REF!&gt;2,#REF!&lt;-2),"",#REF!)</f>
        <v>#REF!</v>
      </c>
      <c r="LB4" s="7" t="e">
        <f>IF(OR(#REF!&gt;2,#REF!&lt;-2),"",#REF!)</f>
        <v>#REF!</v>
      </c>
      <c r="LC4" s="7" t="e">
        <f>IF(OR(#REF!&gt;2,#REF!&lt;-2),"",#REF!)</f>
        <v>#REF!</v>
      </c>
      <c r="LD4" s="7" t="e">
        <f>IF(OR(#REF!&gt;2,#REF!&lt;-2),"",#REF!)</f>
        <v>#REF!</v>
      </c>
      <c r="LE4" s="7" t="e">
        <f>IF(OR(#REF!&gt;2,#REF!&lt;-2),"",#REF!)</f>
        <v>#REF!</v>
      </c>
      <c r="LF4" s="7" t="e">
        <f>IF(OR(#REF!&gt;2,#REF!&lt;-2),"",#REF!)</f>
        <v>#REF!</v>
      </c>
      <c r="LG4" s="7" t="e">
        <f>IF(OR(#REF!&gt;2,#REF!&lt;-2),"",#REF!)</f>
        <v>#REF!</v>
      </c>
      <c r="LH4" s="7" t="e">
        <f>IF(OR(#REF!&gt;2,#REF!&lt;-2),"",#REF!)</f>
        <v>#REF!</v>
      </c>
      <c r="LI4" s="7" t="e">
        <f>IF(OR(#REF!&gt;2,#REF!&lt;-2),"",#REF!)</f>
        <v>#REF!</v>
      </c>
      <c r="LJ4" s="7" t="e">
        <f>IF(OR(#REF!&gt;2,#REF!&lt;-2),"",#REF!)</f>
        <v>#REF!</v>
      </c>
      <c r="LK4" s="7" t="e">
        <f>IF(OR(#REF!&gt;2,#REF!&lt;-2),"",#REF!)</f>
        <v>#REF!</v>
      </c>
      <c r="LL4" s="7" t="e">
        <f>IF(OR(#REF!&gt;2,#REF!&lt;-2),"",#REF!)</f>
        <v>#REF!</v>
      </c>
      <c r="LM4" s="7" t="e">
        <f>IF(OR(#REF!&gt;2,#REF!&lt;-2),"",#REF!)</f>
        <v>#REF!</v>
      </c>
      <c r="LN4" s="7" t="e">
        <f>IF(OR(#REF!&gt;2,#REF!&lt;-2),"",#REF!)</f>
        <v>#REF!</v>
      </c>
      <c r="LO4" s="7" t="e">
        <f>IF(OR(#REF!&gt;2,#REF!&lt;-2),"",#REF!)</f>
        <v>#REF!</v>
      </c>
      <c r="LP4" s="7" t="e">
        <f>IF(OR(#REF!&gt;2,#REF!&lt;-2),"",#REF!)</f>
        <v>#REF!</v>
      </c>
      <c r="LQ4" s="7" t="e">
        <f>IF(OR(#REF!&gt;2,#REF!&lt;-2),"",#REF!)</f>
        <v>#REF!</v>
      </c>
      <c r="LR4" s="7" t="e">
        <f>IF(OR(#REF!&gt;2,#REF!&lt;-2),"",#REF!)</f>
        <v>#REF!</v>
      </c>
      <c r="LS4" s="7" t="e">
        <f>IF(OR(#REF!&gt;2,#REF!&lt;-2),"",#REF!)</f>
        <v>#REF!</v>
      </c>
      <c r="LT4" s="7" t="e">
        <f>IF(OR(#REF!&gt;2,#REF!&lt;-2),"",#REF!)</f>
        <v>#REF!</v>
      </c>
      <c r="LU4" s="7" t="e">
        <f>IF(OR(#REF!&gt;2,#REF!&lt;-2),"",#REF!)</f>
        <v>#REF!</v>
      </c>
      <c r="LV4" s="7" t="e">
        <f>IF(OR(#REF!&gt;2,#REF!&lt;-2),"",#REF!)</f>
        <v>#REF!</v>
      </c>
      <c r="LW4" s="7" t="e">
        <f>IF(OR(#REF!&gt;2,#REF!&lt;-2),"",#REF!)</f>
        <v>#REF!</v>
      </c>
      <c r="LX4" s="7" t="e">
        <f>IF(OR(#REF!&gt;2,#REF!&lt;-2),"",#REF!)</f>
        <v>#REF!</v>
      </c>
      <c r="LY4" s="7" t="e">
        <f>IF(OR(#REF!&gt;2,#REF!&lt;-2),"",#REF!)</f>
        <v>#REF!</v>
      </c>
      <c r="LZ4" s="7" t="e">
        <f>IF(OR(#REF!&gt;2,#REF!&lt;-2),"",#REF!)</f>
        <v>#REF!</v>
      </c>
      <c r="MA4" s="7" t="e">
        <f>IF(OR(#REF!&gt;2,#REF!&lt;-2),"",#REF!)</f>
        <v>#REF!</v>
      </c>
      <c r="MB4" s="7" t="e">
        <f>IF(OR(#REF!&gt;2,#REF!&lt;-2),"",#REF!)</f>
        <v>#REF!</v>
      </c>
      <c r="MC4" s="7" t="e">
        <f>IF(OR(#REF!&gt;2,#REF!&lt;-2),"",#REF!)</f>
        <v>#REF!</v>
      </c>
      <c r="MD4" s="7" t="e">
        <f>IF(OR(#REF!&gt;2,#REF!&lt;-2),"",#REF!)</f>
        <v>#REF!</v>
      </c>
      <c r="ME4" s="7" t="e">
        <f>IF(OR(#REF!&gt;2,#REF!&lt;-2),"",#REF!)</f>
        <v>#REF!</v>
      </c>
      <c r="MF4" s="7" t="e">
        <f>IF(OR(#REF!&gt;2,#REF!&lt;-2),"",#REF!)</f>
        <v>#REF!</v>
      </c>
      <c r="MG4" s="7" t="e">
        <f>IF(OR(#REF!&gt;2,#REF!&lt;-2),"",#REF!)</f>
        <v>#REF!</v>
      </c>
      <c r="MH4" s="7" t="e">
        <f>IF(OR(#REF!&gt;2,#REF!&lt;-2),"",#REF!)</f>
        <v>#REF!</v>
      </c>
      <c r="MI4" s="7" t="e">
        <f>IF(OR(#REF!&gt;2,#REF!&lt;-2),"",#REF!)</f>
        <v>#REF!</v>
      </c>
      <c r="MJ4" s="7" t="e">
        <f>IF(OR(#REF!&gt;2,#REF!&lt;-2),"",#REF!)</f>
        <v>#REF!</v>
      </c>
      <c r="MK4" s="7" t="e">
        <f>IF(OR(#REF!&gt;2,#REF!&lt;-2),"",#REF!)</f>
        <v>#REF!</v>
      </c>
      <c r="ML4" s="7" t="e">
        <f>IF(OR(#REF!&gt;2,#REF!&lt;-2),"",#REF!)</f>
        <v>#REF!</v>
      </c>
      <c r="MM4" s="7" t="e">
        <f>IF(OR(#REF!&gt;2,#REF!&lt;-2),"",#REF!)</f>
        <v>#REF!</v>
      </c>
      <c r="MN4" s="7" t="e">
        <f>IF(OR(#REF!&gt;2,#REF!&lt;-2),"",#REF!)</f>
        <v>#REF!</v>
      </c>
      <c r="MO4" s="7" t="e">
        <f>IF(OR(#REF!&gt;2,#REF!&lt;-2),"",#REF!)</f>
        <v>#REF!</v>
      </c>
      <c r="MP4" s="7" t="e">
        <f>IF(OR(#REF!&gt;2,#REF!&lt;-2),"",#REF!)</f>
        <v>#REF!</v>
      </c>
      <c r="MQ4" s="7" t="e">
        <f>IF(OR(#REF!&gt;2,#REF!&lt;-2),"",#REF!)</f>
        <v>#REF!</v>
      </c>
      <c r="MR4" s="7" t="e">
        <f>IF(OR(#REF!&gt;2,#REF!&lt;-2),"",#REF!)</f>
        <v>#REF!</v>
      </c>
      <c r="MS4" s="7" t="e">
        <f>IF(OR(#REF!&gt;2,#REF!&lt;-2),"",#REF!)</f>
        <v>#REF!</v>
      </c>
      <c r="MT4" s="7" t="e">
        <f>IF(OR(#REF!&gt;2,#REF!&lt;-2),"",#REF!)</f>
        <v>#REF!</v>
      </c>
      <c r="MU4" s="7" t="e">
        <f>IF(OR(#REF!&gt;2,#REF!&lt;-2),"",#REF!)</f>
        <v>#REF!</v>
      </c>
      <c r="MV4" s="7" t="e">
        <f>IF(OR(#REF!&gt;2,#REF!&lt;-2),"",#REF!)</f>
        <v>#REF!</v>
      </c>
      <c r="MW4" s="7" t="e">
        <f>IF(OR(#REF!&gt;2,#REF!&lt;-2),"",#REF!)</f>
        <v>#REF!</v>
      </c>
      <c r="MX4" s="7" t="e">
        <f>IF(OR(#REF!&gt;2,#REF!&lt;-2),"",#REF!)</f>
        <v>#REF!</v>
      </c>
      <c r="MY4" s="7" t="e">
        <f>IF(OR(#REF!&gt;2,#REF!&lt;-2),"",#REF!)</f>
        <v>#REF!</v>
      </c>
      <c r="MZ4" s="7" t="e">
        <f>IF(OR(#REF!&gt;2,#REF!&lt;-2),"",#REF!)</f>
        <v>#REF!</v>
      </c>
      <c r="NA4" s="7" t="e">
        <f>IF(OR(#REF!&gt;2,#REF!&lt;-2),"",#REF!)</f>
        <v>#REF!</v>
      </c>
      <c r="NB4" s="7" t="e">
        <f>IF(OR(#REF!&gt;2,#REF!&lt;-2),"",#REF!)</f>
        <v>#REF!</v>
      </c>
      <c r="NC4" s="7" t="e">
        <f>IF(OR(#REF!&gt;2,#REF!&lt;-2),"",#REF!)</f>
        <v>#REF!</v>
      </c>
      <c r="ND4" s="7" t="e">
        <f>IF(OR(#REF!&gt;2,#REF!&lt;-2),"",#REF!)</f>
        <v>#REF!</v>
      </c>
      <c r="NE4" s="7" t="e">
        <f>IF(OR(#REF!&gt;2,#REF!&lt;-2),"",#REF!)</f>
        <v>#REF!</v>
      </c>
      <c r="NF4" s="7" t="e">
        <f>IF(OR(#REF!&gt;2,#REF!&lt;-2),"",#REF!)</f>
        <v>#REF!</v>
      </c>
      <c r="NG4" s="7" t="e">
        <f>IF(OR(#REF!&gt;2,#REF!&lt;-2),"",#REF!)</f>
        <v>#REF!</v>
      </c>
      <c r="NH4" s="7" t="e">
        <f>IF(OR(#REF!&gt;2,#REF!&lt;-2),"",#REF!)</f>
        <v>#REF!</v>
      </c>
      <c r="NI4" s="7" t="e">
        <f>IF(OR(#REF!&gt;2,#REF!&lt;-2),"",#REF!)</f>
        <v>#REF!</v>
      </c>
      <c r="NJ4" s="7" t="e">
        <f>IF(OR(#REF!&gt;2,#REF!&lt;-2),"",#REF!)</f>
        <v>#REF!</v>
      </c>
      <c r="NK4" s="7" t="e">
        <f>IF(OR(#REF!&gt;2,#REF!&lt;-2),"",#REF!)</f>
        <v>#REF!</v>
      </c>
      <c r="NL4" s="7" t="e">
        <f>IF(OR(#REF!&gt;2,#REF!&lt;-2),"",#REF!)</f>
        <v>#REF!</v>
      </c>
      <c r="NM4" s="7" t="e">
        <f>IF(OR(#REF!&gt;2,#REF!&lt;-2),"",#REF!)</f>
        <v>#REF!</v>
      </c>
      <c r="NN4" s="7" t="e">
        <f>IF(OR(#REF!&gt;2,#REF!&lt;-2),"",#REF!)</f>
        <v>#REF!</v>
      </c>
      <c r="NO4" s="7" t="e">
        <f>IF(OR(#REF!&gt;2,#REF!&lt;-2),"",#REF!)</f>
        <v>#REF!</v>
      </c>
      <c r="NP4" s="7" t="e">
        <f>IF(OR(#REF!&gt;2,#REF!&lt;-2),"",#REF!)</f>
        <v>#REF!</v>
      </c>
      <c r="NQ4" s="7" t="e">
        <f>IF(OR(#REF!&gt;2,#REF!&lt;-2),"",#REF!)</f>
        <v>#REF!</v>
      </c>
      <c r="NR4" s="7" t="e">
        <f>IF(OR(#REF!&gt;2,#REF!&lt;-2),"",#REF!)</f>
        <v>#REF!</v>
      </c>
      <c r="NS4" s="7" t="e">
        <f>IF(OR(#REF!&gt;2,#REF!&lt;-2),"",#REF!)</f>
        <v>#REF!</v>
      </c>
      <c r="NT4" s="7" t="e">
        <f>IF(OR(#REF!&gt;2,#REF!&lt;-2),"",#REF!)</f>
        <v>#REF!</v>
      </c>
      <c r="NU4" s="7" t="e">
        <f>IF(OR(#REF!&gt;2,#REF!&lt;-2),"",#REF!)</f>
        <v>#REF!</v>
      </c>
      <c r="NV4" s="7" t="e">
        <f>IF(OR(#REF!&gt;2,#REF!&lt;-2),"",#REF!)</f>
        <v>#REF!</v>
      </c>
      <c r="NW4" s="7" t="e">
        <f>IF(OR(#REF!&gt;2,#REF!&lt;-2),"",#REF!)</f>
        <v>#REF!</v>
      </c>
      <c r="NX4" s="7" t="e">
        <f>IF(OR(#REF!&gt;2,#REF!&lt;-2),"",#REF!)</f>
        <v>#REF!</v>
      </c>
      <c r="NY4" s="7" t="e">
        <f>IF(OR(#REF!&gt;2,#REF!&lt;-2),"",#REF!)</f>
        <v>#REF!</v>
      </c>
      <c r="NZ4" s="7" t="e">
        <f>IF(OR(#REF!&gt;2,#REF!&lt;-2),"",#REF!)</f>
        <v>#REF!</v>
      </c>
      <c r="OA4" s="7" t="e">
        <f>IF(OR(#REF!&gt;2,#REF!&lt;-2),"",#REF!)</f>
        <v>#REF!</v>
      </c>
      <c r="OB4" s="7" t="e">
        <f>IF(OR(#REF!&gt;2,#REF!&lt;-2),"",#REF!)</f>
        <v>#REF!</v>
      </c>
      <c r="OC4" s="7" t="e">
        <f>IF(OR(#REF!&gt;2,#REF!&lt;-2),"",#REF!)</f>
        <v>#REF!</v>
      </c>
      <c r="OD4" s="7" t="e">
        <f>IF(OR(#REF!&gt;2,#REF!&lt;-2),"",#REF!)</f>
        <v>#REF!</v>
      </c>
      <c r="OE4" s="7" t="e">
        <f>IF(OR(#REF!&gt;2,#REF!&lt;-2),"",#REF!)</f>
        <v>#REF!</v>
      </c>
      <c r="OF4" s="7" t="e">
        <f>IF(OR(#REF!&gt;2,#REF!&lt;-2),"",#REF!)</f>
        <v>#REF!</v>
      </c>
      <c r="OG4" s="7" t="e">
        <f>IF(OR(#REF!&gt;2,#REF!&lt;-2),"",#REF!)</f>
        <v>#REF!</v>
      </c>
      <c r="OH4" s="7" t="e">
        <f>IF(OR(#REF!&gt;2,#REF!&lt;-2),"",#REF!)</f>
        <v>#REF!</v>
      </c>
      <c r="OI4" s="7" t="e">
        <f>IF(OR(#REF!&gt;2,#REF!&lt;-2),"",#REF!)</f>
        <v>#REF!</v>
      </c>
      <c r="OJ4" s="7" t="e">
        <f>IF(OR(#REF!&gt;2,#REF!&lt;-2),"",#REF!)</f>
        <v>#REF!</v>
      </c>
      <c r="OK4" s="7" t="e">
        <f>IF(OR(#REF!&gt;2,#REF!&lt;-2),"",#REF!)</f>
        <v>#REF!</v>
      </c>
      <c r="OL4" s="7" t="e">
        <f>IF(OR(#REF!&gt;2,#REF!&lt;-2),"",#REF!)</f>
        <v>#REF!</v>
      </c>
      <c r="OM4" s="7" t="e">
        <f>IF(OR(#REF!&gt;2,#REF!&lt;-2),"",#REF!)</f>
        <v>#REF!</v>
      </c>
      <c r="ON4" s="7" t="e">
        <f>IF(OR(#REF!&gt;2,#REF!&lt;-2),"",#REF!)</f>
        <v>#REF!</v>
      </c>
      <c r="OO4" s="7" t="e">
        <f>IF(OR(#REF!&gt;2,#REF!&lt;-2),"",#REF!)</f>
        <v>#REF!</v>
      </c>
      <c r="OP4" s="7" t="e">
        <f>IF(OR(#REF!&gt;2,#REF!&lt;-2),"",#REF!)</f>
        <v>#REF!</v>
      </c>
      <c r="OQ4" s="7" t="e">
        <f>IF(OR(#REF!&gt;2,#REF!&lt;-2),"",#REF!)</f>
        <v>#REF!</v>
      </c>
      <c r="OR4" s="7" t="e">
        <f>IF(OR(#REF!&gt;2,#REF!&lt;-2),"",#REF!)</f>
        <v>#REF!</v>
      </c>
      <c r="OS4" s="7" t="e">
        <f>IF(OR(#REF!&gt;2,#REF!&lt;-2),"",#REF!)</f>
        <v>#REF!</v>
      </c>
      <c r="OT4" s="7" t="e">
        <f>IF(OR(#REF!&gt;2,#REF!&lt;-2),"",#REF!)</f>
        <v>#REF!</v>
      </c>
      <c r="OU4" s="7" t="e">
        <f>IF(OR(#REF!&gt;2,#REF!&lt;-2),"",#REF!)</f>
        <v>#REF!</v>
      </c>
      <c r="OV4" s="7" t="e">
        <f>IF(OR(#REF!&gt;2,#REF!&lt;-2),"",#REF!)</f>
        <v>#REF!</v>
      </c>
      <c r="OW4" s="7" t="e">
        <f>IF(OR(#REF!&gt;2,#REF!&lt;-2),"",#REF!)</f>
        <v>#REF!</v>
      </c>
      <c r="OX4" s="7" t="e">
        <f>IF(OR(#REF!&gt;2,#REF!&lt;-2),"",#REF!)</f>
        <v>#REF!</v>
      </c>
      <c r="OY4" s="7" t="e">
        <f>IF(OR(#REF!&gt;2,#REF!&lt;-2),"",#REF!)</f>
        <v>#REF!</v>
      </c>
      <c r="OZ4" s="7" t="e">
        <f>IF(OR(#REF!&gt;2,#REF!&lt;-2),"",#REF!)</f>
        <v>#REF!</v>
      </c>
      <c r="PA4" s="7" t="e">
        <f>IF(OR(#REF!&gt;2,#REF!&lt;-2),"",#REF!)</f>
        <v>#REF!</v>
      </c>
      <c r="PB4" s="7" t="e">
        <f>IF(OR(#REF!&gt;2,#REF!&lt;-2),"",#REF!)</f>
        <v>#REF!</v>
      </c>
      <c r="PC4" s="7" t="e">
        <f>IF(OR(#REF!&gt;2,#REF!&lt;-2),"",#REF!)</f>
        <v>#REF!</v>
      </c>
      <c r="PD4" s="7" t="e">
        <f>IF(OR(#REF!&gt;2,#REF!&lt;-2),"",#REF!)</f>
        <v>#REF!</v>
      </c>
      <c r="PE4" s="7" t="e">
        <f>IF(OR(#REF!&gt;2,#REF!&lt;-2),"",#REF!)</f>
        <v>#REF!</v>
      </c>
      <c r="PF4" s="7" t="e">
        <f>IF(OR(#REF!&gt;2,#REF!&lt;-2),"",#REF!)</f>
        <v>#REF!</v>
      </c>
      <c r="PG4" s="7" t="e">
        <f>IF(OR(#REF!&gt;2,#REF!&lt;-2),"",#REF!)</f>
        <v>#REF!</v>
      </c>
      <c r="PH4" s="7" t="e">
        <f>IF(OR(#REF!&gt;2,#REF!&lt;-2),"",#REF!)</f>
        <v>#REF!</v>
      </c>
      <c r="PI4" s="7" t="e">
        <f>IF(OR(#REF!&gt;2,#REF!&lt;-2),"",#REF!)</f>
        <v>#REF!</v>
      </c>
      <c r="PJ4" s="7" t="e">
        <f>IF(OR(#REF!&gt;2,#REF!&lt;-2),"",#REF!)</f>
        <v>#REF!</v>
      </c>
      <c r="PK4" s="7" t="e">
        <f>IF(OR(#REF!&gt;2,#REF!&lt;-2),"",#REF!)</f>
        <v>#REF!</v>
      </c>
      <c r="PL4" s="7" t="e">
        <f>IF(OR(#REF!&gt;2,#REF!&lt;-2),"",#REF!)</f>
        <v>#REF!</v>
      </c>
      <c r="PM4" s="7" t="e">
        <f>IF(OR(#REF!&gt;2,#REF!&lt;-2),"",#REF!)</f>
        <v>#REF!</v>
      </c>
      <c r="PN4" s="7" t="e">
        <f>IF(OR(#REF!&gt;2,#REF!&lt;-2),"",#REF!)</f>
        <v>#REF!</v>
      </c>
      <c r="PO4" s="7" t="e">
        <f>IF(OR(#REF!&gt;2,#REF!&lt;-2),"",#REF!)</f>
        <v>#REF!</v>
      </c>
      <c r="PP4" s="7" t="e">
        <f>IF(OR(#REF!&gt;2,#REF!&lt;-2),"",#REF!)</f>
        <v>#REF!</v>
      </c>
      <c r="PQ4" s="7" t="e">
        <f>IF(OR(#REF!&gt;2,#REF!&lt;-2),"",#REF!)</f>
        <v>#REF!</v>
      </c>
      <c r="PR4" s="7" t="e">
        <f>IF(OR(#REF!&gt;2,#REF!&lt;-2),"",#REF!)</f>
        <v>#REF!</v>
      </c>
      <c r="PS4" s="7" t="e">
        <f>IF(OR(#REF!&gt;2,#REF!&lt;-2),"",#REF!)</f>
        <v>#REF!</v>
      </c>
      <c r="PT4" s="7" t="e">
        <f>IF(OR(#REF!&gt;2,#REF!&lt;-2),"",#REF!)</f>
        <v>#REF!</v>
      </c>
      <c r="PU4" s="7" t="e">
        <f>IF(OR(#REF!&gt;2,#REF!&lt;-2),"",#REF!)</f>
        <v>#REF!</v>
      </c>
      <c r="PV4" s="7" t="e">
        <f>IF(OR(#REF!&gt;2,#REF!&lt;-2),"",#REF!)</f>
        <v>#REF!</v>
      </c>
      <c r="PW4" s="7" t="e">
        <f>IF(OR(#REF!&gt;2,#REF!&lt;-2),"",#REF!)</f>
        <v>#REF!</v>
      </c>
      <c r="PX4" s="7" t="e">
        <f>IF(OR(#REF!&gt;2,#REF!&lt;-2),"",#REF!)</f>
        <v>#REF!</v>
      </c>
      <c r="PY4" s="7" t="e">
        <f>IF(OR(#REF!&gt;2,#REF!&lt;-2),"",#REF!)</f>
        <v>#REF!</v>
      </c>
      <c r="PZ4" s="7" t="e">
        <f>IF(OR(#REF!&gt;2,#REF!&lt;-2),"",#REF!)</f>
        <v>#REF!</v>
      </c>
      <c r="QA4" s="7" t="e">
        <f>IF(OR(#REF!&gt;2,#REF!&lt;-2),"",#REF!)</f>
        <v>#REF!</v>
      </c>
      <c r="QB4" s="7" t="e">
        <f>IF(OR(#REF!&gt;2,#REF!&lt;-2),"",#REF!)</f>
        <v>#REF!</v>
      </c>
      <c r="QC4" s="7" t="e">
        <f>IF(OR(#REF!&gt;2,#REF!&lt;-2),"",#REF!)</f>
        <v>#REF!</v>
      </c>
      <c r="QD4" s="7" t="e">
        <f>IF(OR(#REF!&gt;2,#REF!&lt;-2),"",#REF!)</f>
        <v>#REF!</v>
      </c>
      <c r="QE4" s="7" t="e">
        <f>IF(OR(#REF!&gt;2,#REF!&lt;-2),"",#REF!)</f>
        <v>#REF!</v>
      </c>
      <c r="QF4" s="7" t="e">
        <f>IF(OR(#REF!&gt;2,#REF!&lt;-2),"",#REF!)</f>
        <v>#REF!</v>
      </c>
      <c r="QG4" s="7" t="e">
        <f>IF(OR(#REF!&gt;2,#REF!&lt;-2),"",#REF!)</f>
        <v>#REF!</v>
      </c>
      <c r="QH4" s="7" t="e">
        <f>IF(OR(#REF!&gt;2,#REF!&lt;-2),"",#REF!)</f>
        <v>#REF!</v>
      </c>
      <c r="QI4" s="7" t="e">
        <f>IF(OR(#REF!&gt;2,#REF!&lt;-2),"",#REF!)</f>
        <v>#REF!</v>
      </c>
      <c r="QJ4" s="7" t="e">
        <f>IF(OR(#REF!&gt;2,#REF!&lt;-2),"",#REF!)</f>
        <v>#REF!</v>
      </c>
      <c r="QK4" s="7" t="e">
        <f>IF(OR(#REF!&gt;2,#REF!&lt;-2),"",#REF!)</f>
        <v>#REF!</v>
      </c>
      <c r="QL4" s="7" t="e">
        <f>IF(OR(#REF!&gt;2,#REF!&lt;-2),"",#REF!)</f>
        <v>#REF!</v>
      </c>
      <c r="QM4" s="7" t="e">
        <f>IF(OR(#REF!&gt;2,#REF!&lt;-2),"",#REF!)</f>
        <v>#REF!</v>
      </c>
      <c r="QN4" s="7" t="e">
        <f>IF(OR(#REF!&gt;2,#REF!&lt;-2),"",#REF!)</f>
        <v>#REF!</v>
      </c>
      <c r="QO4" s="7" t="e">
        <f>IF(OR(#REF!&gt;2,#REF!&lt;-2),"",#REF!)</f>
        <v>#REF!</v>
      </c>
      <c r="QP4" s="7" t="e">
        <f>IF(OR(#REF!&gt;2,#REF!&lt;-2),"",#REF!)</f>
        <v>#REF!</v>
      </c>
      <c r="QQ4" s="7" t="e">
        <f>IF(OR(#REF!&gt;2,#REF!&lt;-2),"",#REF!)</f>
        <v>#REF!</v>
      </c>
      <c r="QR4" s="7" t="e">
        <f>IF(OR(#REF!&gt;2,#REF!&lt;-2),"",#REF!)</f>
        <v>#REF!</v>
      </c>
      <c r="QS4" s="7" t="e">
        <f>IF(OR(#REF!&gt;2,#REF!&lt;-2),"",#REF!)</f>
        <v>#REF!</v>
      </c>
      <c r="QT4" s="7" t="e">
        <f>IF(OR(#REF!&gt;2,#REF!&lt;-2),"",#REF!)</f>
        <v>#REF!</v>
      </c>
      <c r="QU4" s="7" t="e">
        <f>IF(OR(#REF!&gt;2,#REF!&lt;-2),"",#REF!)</f>
        <v>#REF!</v>
      </c>
      <c r="QV4" s="7" t="e">
        <f>IF(OR(#REF!&gt;2,#REF!&lt;-2),"",#REF!)</f>
        <v>#REF!</v>
      </c>
      <c r="QW4" s="7" t="e">
        <f>IF(OR(#REF!&gt;2,#REF!&lt;-2),"",#REF!)</f>
        <v>#REF!</v>
      </c>
      <c r="QX4" s="7" t="e">
        <f>IF(OR(#REF!&gt;2,#REF!&lt;-2),"",#REF!)</f>
        <v>#REF!</v>
      </c>
      <c r="QY4" s="7" t="e">
        <f>IF(OR(#REF!&gt;2,#REF!&lt;-2),"",#REF!)</f>
        <v>#REF!</v>
      </c>
      <c r="QZ4" s="7" t="e">
        <f>IF(OR(#REF!&gt;2,#REF!&lt;-2),"",#REF!)</f>
        <v>#REF!</v>
      </c>
      <c r="RA4" s="7" t="e">
        <f>IF(OR(#REF!&gt;2,#REF!&lt;-2),"",#REF!)</f>
        <v>#REF!</v>
      </c>
      <c r="RB4" s="7" t="e">
        <f>IF(OR(#REF!&gt;2,#REF!&lt;-2),"",#REF!)</f>
        <v>#REF!</v>
      </c>
      <c r="RC4" s="7" t="e">
        <f>IF(OR(#REF!&gt;2,#REF!&lt;-2),"",#REF!)</f>
        <v>#REF!</v>
      </c>
      <c r="RD4" s="7" t="e">
        <f>IF(OR(#REF!&gt;2,#REF!&lt;-2),"",#REF!)</f>
        <v>#REF!</v>
      </c>
      <c r="RE4" s="7" t="e">
        <f>IF(OR(#REF!&gt;2,#REF!&lt;-2),"",#REF!)</f>
        <v>#REF!</v>
      </c>
      <c r="RF4" s="7" t="e">
        <f>IF(OR(#REF!&gt;2,#REF!&lt;-2),"",#REF!)</f>
        <v>#REF!</v>
      </c>
      <c r="RG4" s="7" t="e">
        <f>IF(OR(#REF!&gt;2,#REF!&lt;-2),"",#REF!)</f>
        <v>#REF!</v>
      </c>
      <c r="RH4" s="7" t="e">
        <f>IF(OR(#REF!&gt;2,#REF!&lt;-2),"",#REF!)</f>
        <v>#REF!</v>
      </c>
      <c r="RI4" s="7" t="e">
        <f>IF(OR(#REF!&gt;2,#REF!&lt;-2),"",#REF!)</f>
        <v>#REF!</v>
      </c>
      <c r="RJ4" s="7" t="e">
        <f>IF(OR(#REF!&gt;2,#REF!&lt;-2),"",#REF!)</f>
        <v>#REF!</v>
      </c>
      <c r="RK4" s="7" t="e">
        <f>IF(OR(#REF!&gt;2,#REF!&lt;-2),"",#REF!)</f>
        <v>#REF!</v>
      </c>
      <c r="RL4" s="7" t="e">
        <f>IF(OR(#REF!&gt;2,#REF!&lt;-2),"",#REF!)</f>
        <v>#REF!</v>
      </c>
      <c r="RM4" s="7" t="e">
        <f>IF(OR(#REF!&gt;2,#REF!&lt;-2),"",#REF!)</f>
        <v>#REF!</v>
      </c>
      <c r="RN4" s="7" t="e">
        <f>IF(OR(#REF!&gt;2,#REF!&lt;-2),"",#REF!)</f>
        <v>#REF!</v>
      </c>
      <c r="RO4" s="7" t="e">
        <f>IF(OR(#REF!&gt;2,#REF!&lt;-2),"",#REF!)</f>
        <v>#REF!</v>
      </c>
      <c r="RP4" s="7" t="e">
        <f>IF(OR(#REF!&gt;2,#REF!&lt;-2),"",#REF!)</f>
        <v>#REF!</v>
      </c>
      <c r="RQ4" s="7" t="e">
        <f>IF(OR(#REF!&gt;2,#REF!&lt;-2),"",#REF!)</f>
        <v>#REF!</v>
      </c>
      <c r="RR4" s="7" t="e">
        <f>IF(OR(#REF!&gt;2,#REF!&lt;-2),"",#REF!)</f>
        <v>#REF!</v>
      </c>
      <c r="RS4" s="7" t="e">
        <f>IF(OR(#REF!&gt;2,#REF!&lt;-2),"",#REF!)</f>
        <v>#REF!</v>
      </c>
      <c r="RT4" s="7" t="e">
        <f>IF(OR(#REF!&gt;2,#REF!&lt;-2),"",#REF!)</f>
        <v>#REF!</v>
      </c>
      <c r="RU4" s="7" t="e">
        <f>IF(OR(#REF!&gt;2,#REF!&lt;-2),"",#REF!)</f>
        <v>#REF!</v>
      </c>
      <c r="RV4" s="7" t="e">
        <f>IF(OR(#REF!&gt;2,#REF!&lt;-2),"",#REF!)</f>
        <v>#REF!</v>
      </c>
      <c r="RW4" s="7" t="e">
        <f>IF(OR(#REF!&gt;2,#REF!&lt;-2),"",#REF!)</f>
        <v>#REF!</v>
      </c>
      <c r="RX4" s="7" t="e">
        <f>IF(OR(#REF!&gt;2,#REF!&lt;-2),"",#REF!)</f>
        <v>#REF!</v>
      </c>
      <c r="RY4" s="7" t="e">
        <f>IF(OR(#REF!&gt;2,#REF!&lt;-2),"",#REF!)</f>
        <v>#REF!</v>
      </c>
      <c r="RZ4" s="7" t="e">
        <f>IF(OR(#REF!&gt;2,#REF!&lt;-2),"",#REF!)</f>
        <v>#REF!</v>
      </c>
      <c r="SA4" s="7" t="e">
        <f>IF(OR(#REF!&gt;2,#REF!&lt;-2),"",#REF!)</f>
        <v>#REF!</v>
      </c>
      <c r="SB4" s="7" t="e">
        <f>IF(OR(#REF!&gt;2,#REF!&lt;-2),"",#REF!)</f>
        <v>#REF!</v>
      </c>
      <c r="SC4" s="7" t="e">
        <f>IF(OR(#REF!&gt;2,#REF!&lt;-2),"",#REF!)</f>
        <v>#REF!</v>
      </c>
      <c r="SD4" s="7" t="e">
        <f>IF(OR(#REF!&gt;2,#REF!&lt;-2),"",#REF!)</f>
        <v>#REF!</v>
      </c>
      <c r="SE4" s="7" t="e">
        <f>IF(OR(#REF!&gt;2,#REF!&lt;-2),"",#REF!)</f>
        <v>#REF!</v>
      </c>
      <c r="SF4" s="7" t="e">
        <f>IF(OR(#REF!&gt;2,#REF!&lt;-2),"",#REF!)</f>
        <v>#REF!</v>
      </c>
      <c r="SG4" s="7" t="e">
        <f>IF(OR(#REF!&gt;2,#REF!&lt;-2),"",#REF!)</f>
        <v>#REF!</v>
      </c>
      <c r="SH4" s="7" t="e">
        <f>IF(OR(#REF!&gt;2,#REF!&lt;-2),"",#REF!)</f>
        <v>#REF!</v>
      </c>
      <c r="SI4" s="7" t="e">
        <f>IF(OR(#REF!&gt;2,#REF!&lt;-2),"",#REF!)</f>
        <v>#REF!</v>
      </c>
      <c r="SJ4" s="7" t="e">
        <f>IF(OR(#REF!&gt;2,#REF!&lt;-2),"",#REF!)</f>
        <v>#REF!</v>
      </c>
      <c r="SK4" s="7" t="e">
        <f>IF(OR(#REF!&gt;2,#REF!&lt;-2),"",#REF!)</f>
        <v>#REF!</v>
      </c>
      <c r="SL4" s="7" t="e">
        <f>IF(OR(#REF!&gt;2,#REF!&lt;-2),"",#REF!)</f>
        <v>#REF!</v>
      </c>
      <c r="SM4" s="7" t="e">
        <f>IF(OR(#REF!&gt;2,#REF!&lt;-2),"",#REF!)</f>
        <v>#REF!</v>
      </c>
      <c r="SN4" s="7" t="e">
        <f>IF(OR(#REF!&gt;2,#REF!&lt;-2),"",#REF!)</f>
        <v>#REF!</v>
      </c>
      <c r="SO4" s="7" t="e">
        <f>IF(OR(#REF!&gt;2,#REF!&lt;-2),"",#REF!)</f>
        <v>#REF!</v>
      </c>
      <c r="SP4" s="7" t="e">
        <f>IF(OR(#REF!&gt;2,#REF!&lt;-2),"",#REF!)</f>
        <v>#REF!</v>
      </c>
      <c r="SQ4" s="7" t="e">
        <f>IF(OR(#REF!&gt;2,#REF!&lt;-2),"",#REF!)</f>
        <v>#REF!</v>
      </c>
      <c r="SR4" s="7" t="e">
        <f>IF(OR(#REF!&gt;2,#REF!&lt;-2),"",#REF!)</f>
        <v>#REF!</v>
      </c>
      <c r="SS4" s="7" t="e">
        <f>IF(OR(#REF!&gt;2,#REF!&lt;-2),"",#REF!)</f>
        <v>#REF!</v>
      </c>
      <c r="ST4" s="7" t="e">
        <f>IF(OR(#REF!&gt;2,#REF!&lt;-2),"",#REF!)</f>
        <v>#REF!</v>
      </c>
      <c r="SU4" s="7" t="e">
        <f>IF(OR(#REF!&gt;2,#REF!&lt;-2),"",#REF!)</f>
        <v>#REF!</v>
      </c>
      <c r="SV4" s="7" t="e">
        <f>IF(OR(#REF!&gt;2,#REF!&lt;-2),"",#REF!)</f>
        <v>#REF!</v>
      </c>
      <c r="SW4" s="7" t="e">
        <f>IF(OR(#REF!&gt;2,#REF!&lt;-2),"",#REF!)</f>
        <v>#REF!</v>
      </c>
      <c r="SX4" s="7" t="e">
        <f>IF(OR(#REF!&gt;2,#REF!&lt;-2),"",#REF!)</f>
        <v>#REF!</v>
      </c>
      <c r="SY4" s="7" t="e">
        <f>IF(OR(#REF!&gt;2,#REF!&lt;-2),"",#REF!)</f>
        <v>#REF!</v>
      </c>
      <c r="SZ4" s="7" t="e">
        <f>IF(OR(#REF!&gt;2,#REF!&lt;-2),"",#REF!)</f>
        <v>#REF!</v>
      </c>
      <c r="TA4" s="7" t="e">
        <f>IF(OR(#REF!&gt;2,#REF!&lt;-2),"",#REF!)</f>
        <v>#REF!</v>
      </c>
      <c r="TB4" s="7" t="e">
        <f>IF(OR(#REF!&gt;2,#REF!&lt;-2),"",#REF!)</f>
        <v>#REF!</v>
      </c>
      <c r="TC4" s="7" t="e">
        <f>IF(OR(#REF!&gt;2,#REF!&lt;-2),"",#REF!)</f>
        <v>#REF!</v>
      </c>
      <c r="TD4" s="7" t="e">
        <f>IF(OR(#REF!&gt;2,#REF!&lt;-2),"",#REF!)</f>
        <v>#REF!</v>
      </c>
      <c r="TE4" s="7" t="e">
        <f>IF(OR(#REF!&gt;2,#REF!&lt;-2),"",#REF!)</f>
        <v>#REF!</v>
      </c>
      <c r="TF4" s="7" t="e">
        <f>IF(OR(#REF!&gt;2,#REF!&lt;-2),"",#REF!)</f>
        <v>#REF!</v>
      </c>
      <c r="TG4" s="7" t="e">
        <f>IF(OR(#REF!&gt;2,#REF!&lt;-2),"",#REF!)</f>
        <v>#REF!</v>
      </c>
      <c r="TH4" s="7" t="e">
        <f>IF(OR(#REF!&gt;2,#REF!&lt;-2),"",#REF!)</f>
        <v>#REF!</v>
      </c>
      <c r="TI4" s="7" t="e">
        <f>IF(OR(#REF!&gt;2,#REF!&lt;-2),"",#REF!)</f>
        <v>#REF!</v>
      </c>
      <c r="TJ4" s="7" t="e">
        <f>IF(OR(#REF!&gt;2,#REF!&lt;-2),"",#REF!)</f>
        <v>#REF!</v>
      </c>
      <c r="TK4" s="7" t="e">
        <f>IF(OR(#REF!&gt;2,#REF!&lt;-2),"",#REF!)</f>
        <v>#REF!</v>
      </c>
      <c r="TL4" s="7" t="e">
        <f>IF(OR(#REF!&gt;2,#REF!&lt;-2),"",#REF!)</f>
        <v>#REF!</v>
      </c>
      <c r="TM4" s="7" t="e">
        <f>IF(OR(#REF!&gt;2,#REF!&lt;-2),"",#REF!)</f>
        <v>#REF!</v>
      </c>
      <c r="TN4" s="7" t="e">
        <f>IF(OR(#REF!&gt;2,#REF!&lt;-2),"",#REF!)</f>
        <v>#REF!</v>
      </c>
      <c r="TO4" s="7" t="e">
        <f>IF(OR(#REF!&gt;2,#REF!&lt;-2),"",#REF!)</f>
        <v>#REF!</v>
      </c>
      <c r="TP4" s="7" t="e">
        <f>IF(OR(#REF!&gt;2,#REF!&lt;-2),"",#REF!)</f>
        <v>#REF!</v>
      </c>
      <c r="TQ4" s="7" t="e">
        <f>IF(OR(#REF!&gt;2,#REF!&lt;-2),"",#REF!)</f>
        <v>#REF!</v>
      </c>
      <c r="TR4" s="7" t="e">
        <f>IF(OR(#REF!&gt;2,#REF!&lt;-2),"",#REF!)</f>
        <v>#REF!</v>
      </c>
      <c r="TS4" s="7" t="e">
        <f>IF(OR(#REF!&gt;2,#REF!&lt;-2),"",#REF!)</f>
        <v>#REF!</v>
      </c>
      <c r="TT4" s="7" t="e">
        <f>IF(OR(#REF!&gt;2,#REF!&lt;-2),"",#REF!)</f>
        <v>#REF!</v>
      </c>
      <c r="TU4" s="7" t="e">
        <f>IF(OR(#REF!&gt;2,#REF!&lt;-2),"",#REF!)</f>
        <v>#REF!</v>
      </c>
      <c r="TV4" s="7" t="e">
        <f>IF(OR(#REF!&gt;2,#REF!&lt;-2),"",#REF!)</f>
        <v>#REF!</v>
      </c>
      <c r="TW4" s="7" t="e">
        <f>IF(OR(#REF!&gt;2,#REF!&lt;-2),"",#REF!)</f>
        <v>#REF!</v>
      </c>
      <c r="TX4" s="7" t="e">
        <f>IF(OR(#REF!&gt;2,#REF!&lt;-2),"",#REF!)</f>
        <v>#REF!</v>
      </c>
      <c r="TY4" s="7" t="e">
        <f>IF(OR(#REF!&gt;2,#REF!&lt;-2),"",#REF!)</f>
        <v>#REF!</v>
      </c>
      <c r="TZ4" s="7" t="e">
        <f>IF(OR(#REF!&gt;2,#REF!&lt;-2),"",#REF!)</f>
        <v>#REF!</v>
      </c>
      <c r="UA4" s="7" t="e">
        <f>IF(OR(#REF!&gt;2,#REF!&lt;-2),"",#REF!)</f>
        <v>#REF!</v>
      </c>
      <c r="UB4" s="7" t="e">
        <f>IF(OR(#REF!&gt;2,#REF!&lt;-2),"",#REF!)</f>
        <v>#REF!</v>
      </c>
      <c r="UC4" s="7" t="e">
        <f>IF(OR(#REF!&gt;2,#REF!&lt;-2),"",#REF!)</f>
        <v>#REF!</v>
      </c>
      <c r="UD4" s="7" t="e">
        <f>IF(OR(#REF!&gt;2,#REF!&lt;-2),"",#REF!)</f>
        <v>#REF!</v>
      </c>
      <c r="UE4" s="7" t="e">
        <f>IF(OR(#REF!&gt;2,#REF!&lt;-2),"",#REF!)</f>
        <v>#REF!</v>
      </c>
      <c r="UF4" s="7" t="e">
        <f>IF(OR(#REF!&gt;2,#REF!&lt;-2),"",#REF!)</f>
        <v>#REF!</v>
      </c>
      <c r="UG4" s="7" t="e">
        <f>IF(OR(#REF!&gt;2,#REF!&lt;-2),"",#REF!)</f>
        <v>#REF!</v>
      </c>
      <c r="UH4" s="7" t="e">
        <f>IF(OR(#REF!&gt;2,#REF!&lt;-2),"",#REF!)</f>
        <v>#REF!</v>
      </c>
      <c r="UI4" s="7" t="e">
        <f>IF(OR(#REF!&gt;2,#REF!&lt;-2),"",#REF!)</f>
        <v>#REF!</v>
      </c>
      <c r="UJ4" s="7" t="e">
        <f>IF(OR(#REF!&gt;2,#REF!&lt;-2),"",#REF!)</f>
        <v>#REF!</v>
      </c>
      <c r="UK4" s="7" t="e">
        <f>IF(OR(#REF!&gt;2,#REF!&lt;-2),"",#REF!)</f>
        <v>#REF!</v>
      </c>
      <c r="UL4" s="7" t="e">
        <f>IF(OR(#REF!&gt;2,#REF!&lt;-2),"",#REF!)</f>
        <v>#REF!</v>
      </c>
      <c r="UM4" s="7" t="e">
        <f>IF(OR(#REF!&gt;2,#REF!&lt;-2),"",#REF!)</f>
        <v>#REF!</v>
      </c>
      <c r="UN4" s="7" t="e">
        <f>IF(OR(#REF!&gt;2,#REF!&lt;-2),"",#REF!)</f>
        <v>#REF!</v>
      </c>
      <c r="UO4" s="7" t="e">
        <f>IF(OR(#REF!&gt;2,#REF!&lt;-2),"",#REF!)</f>
        <v>#REF!</v>
      </c>
      <c r="UP4" s="7" t="e">
        <f>IF(OR(#REF!&gt;2,#REF!&lt;-2),"",#REF!)</f>
        <v>#REF!</v>
      </c>
    </row>
    <row r="5" spans="1:562" x14ac:dyDescent="0.35">
      <c r="A5">
        <v>143</v>
      </c>
      <c r="B5">
        <v>0</v>
      </c>
      <c r="C5" s="7" t="e">
        <f>IF(OR(#REF!&gt;2,#REF!&lt;-2),"",#REF!)</f>
        <v>#REF!</v>
      </c>
      <c r="D5" s="7" t="e">
        <f>IF(OR(#REF!&gt;2,#REF!&lt;-2),"",#REF!)</f>
        <v>#REF!</v>
      </c>
      <c r="E5" s="7" t="e">
        <f>IF(OR(#REF!&gt;2,#REF!&lt;-2),"",#REF!)</f>
        <v>#REF!</v>
      </c>
      <c r="F5" s="7" t="e">
        <f>IF(OR(#REF!&gt;2,#REF!&lt;-2),"",#REF!)</f>
        <v>#REF!</v>
      </c>
      <c r="G5" s="7" t="e">
        <f>IF(OR(#REF!&gt;2,#REF!&lt;-2),"",#REF!)</f>
        <v>#REF!</v>
      </c>
      <c r="H5" s="7" t="e">
        <f>IF(OR(#REF!&gt;2,#REF!&lt;-2),"",#REF!)</f>
        <v>#REF!</v>
      </c>
      <c r="I5" s="7" t="e">
        <f>IF(OR(#REF!&gt;2,#REF!&lt;-2),"",#REF!)</f>
        <v>#REF!</v>
      </c>
      <c r="J5" s="7" t="e">
        <f>IF(OR(#REF!&gt;2,#REF!&lt;-2),"",#REF!)</f>
        <v>#REF!</v>
      </c>
      <c r="K5" s="7" t="e">
        <f>IF(OR(#REF!&gt;2,#REF!&lt;-2),"",#REF!)</f>
        <v>#REF!</v>
      </c>
      <c r="L5" s="7" t="e">
        <f>IF(OR(#REF!&gt;2,#REF!&lt;-2),"",#REF!)</f>
        <v>#REF!</v>
      </c>
      <c r="M5" s="7" t="e">
        <f>IF(OR(#REF!&gt;2,#REF!&lt;-2),"",#REF!)</f>
        <v>#REF!</v>
      </c>
      <c r="N5" s="7" t="e">
        <f>IF(OR(#REF!&gt;2,#REF!&lt;-2),"",#REF!)</f>
        <v>#REF!</v>
      </c>
      <c r="O5" s="7" t="e">
        <f>IF(OR(#REF!&gt;2,#REF!&lt;-2),"",#REF!)</f>
        <v>#REF!</v>
      </c>
      <c r="P5" s="7" t="e">
        <f>IF(OR(#REF!&gt;2,#REF!&lt;-2),"",#REF!)</f>
        <v>#REF!</v>
      </c>
      <c r="Q5" s="7" t="e">
        <f>IF(OR(#REF!&gt;2,#REF!&lt;-2),"",#REF!)</f>
        <v>#REF!</v>
      </c>
      <c r="R5" s="7" t="e">
        <f>IF(OR(#REF!&gt;2,#REF!&lt;-2),"",#REF!)</f>
        <v>#REF!</v>
      </c>
      <c r="S5" s="7" t="e">
        <f>IF(OR(#REF!&gt;2,#REF!&lt;-2),"",#REF!)</f>
        <v>#REF!</v>
      </c>
      <c r="T5" s="7" t="e">
        <f>IF(OR(#REF!&gt;2,#REF!&lt;-2),"",#REF!)</f>
        <v>#REF!</v>
      </c>
      <c r="U5" s="7" t="e">
        <f>IF(OR(#REF!&gt;2,#REF!&lt;-2),"",#REF!)</f>
        <v>#REF!</v>
      </c>
      <c r="V5" s="7" t="e">
        <f>IF(OR(#REF!&gt;2,#REF!&lt;-2),"",#REF!)</f>
        <v>#REF!</v>
      </c>
      <c r="W5" s="7" t="e">
        <f>IF(OR(#REF!&gt;2,#REF!&lt;-2),"",#REF!)</f>
        <v>#REF!</v>
      </c>
      <c r="X5" s="7" t="e">
        <f>IF(OR(#REF!&gt;2,#REF!&lt;-2),"",#REF!)</f>
        <v>#REF!</v>
      </c>
      <c r="Y5" s="7" t="e">
        <f>IF(OR(#REF!&gt;2,#REF!&lt;-2),"",#REF!)</f>
        <v>#REF!</v>
      </c>
      <c r="Z5" s="7" t="e">
        <f>IF(OR(#REF!&gt;2,#REF!&lt;-2),"",#REF!)</f>
        <v>#REF!</v>
      </c>
      <c r="AA5" s="7" t="e">
        <f>IF(OR(#REF!&gt;2,#REF!&lt;-2),"",#REF!)</f>
        <v>#REF!</v>
      </c>
      <c r="AB5" s="7" t="e">
        <f>IF(OR(#REF!&gt;2,#REF!&lt;-2),"",#REF!)</f>
        <v>#REF!</v>
      </c>
      <c r="AC5" s="7" t="e">
        <f>IF(OR(#REF!&gt;2,#REF!&lt;-2),"",#REF!)</f>
        <v>#REF!</v>
      </c>
      <c r="AD5" s="7" t="e">
        <f>IF(OR(#REF!&gt;2,#REF!&lt;-2),"",#REF!)</f>
        <v>#REF!</v>
      </c>
      <c r="AE5" s="7" t="e">
        <f>IF(OR(#REF!&gt;2,#REF!&lt;-2),"",#REF!)</f>
        <v>#REF!</v>
      </c>
      <c r="AF5" s="7" t="e">
        <f>IF(OR(#REF!&gt;2,#REF!&lt;-2),"",#REF!)</f>
        <v>#REF!</v>
      </c>
      <c r="AG5" s="7" t="e">
        <f>IF(OR(#REF!&gt;2,#REF!&lt;-2),"",#REF!)</f>
        <v>#REF!</v>
      </c>
      <c r="AH5" s="7" t="e">
        <f>IF(OR(#REF!&gt;2,#REF!&lt;-2),"",#REF!)</f>
        <v>#REF!</v>
      </c>
      <c r="AI5" s="7" t="e">
        <f>IF(OR(#REF!&gt;2,#REF!&lt;-2),"",#REF!)</f>
        <v>#REF!</v>
      </c>
      <c r="AJ5" s="7" t="e">
        <f>IF(OR(#REF!&gt;2,#REF!&lt;-2),"",#REF!)</f>
        <v>#REF!</v>
      </c>
      <c r="AK5" s="7" t="e">
        <f>IF(OR(#REF!&gt;2,#REF!&lt;-2),"",#REF!)</f>
        <v>#REF!</v>
      </c>
      <c r="AL5" s="7" t="e">
        <f>IF(OR(#REF!&gt;2,#REF!&lt;-2),"",#REF!)</f>
        <v>#REF!</v>
      </c>
      <c r="AM5" s="7" t="e">
        <f>IF(OR(#REF!&gt;2,#REF!&lt;-2),"",#REF!)</f>
        <v>#REF!</v>
      </c>
      <c r="AN5" s="7" t="e">
        <f>IF(OR(#REF!&gt;2,#REF!&lt;-2),"",#REF!)</f>
        <v>#REF!</v>
      </c>
      <c r="AO5" s="7" t="e">
        <f>IF(OR(#REF!&gt;2,#REF!&lt;-2),"",#REF!)</f>
        <v>#REF!</v>
      </c>
      <c r="AP5" s="7" t="e">
        <f>IF(OR(#REF!&gt;2,#REF!&lt;-2),"",#REF!)</f>
        <v>#REF!</v>
      </c>
      <c r="AQ5" s="7" t="e">
        <f>IF(OR(#REF!&gt;2,#REF!&lt;-2),"",#REF!)</f>
        <v>#REF!</v>
      </c>
      <c r="AR5" s="7" t="e">
        <f>IF(OR(#REF!&gt;2,#REF!&lt;-2),"",#REF!)</f>
        <v>#REF!</v>
      </c>
      <c r="AS5" s="7" t="e">
        <f>IF(OR(#REF!&gt;2,#REF!&lt;-2),"",#REF!)</f>
        <v>#REF!</v>
      </c>
      <c r="AT5" s="7" t="e">
        <f>IF(OR(#REF!&gt;2,#REF!&lt;-2),"",#REF!)</f>
        <v>#REF!</v>
      </c>
      <c r="AU5" s="7" t="e">
        <f>IF(OR(#REF!&gt;2,#REF!&lt;-2),"",#REF!)</f>
        <v>#REF!</v>
      </c>
      <c r="AV5" s="7" t="e">
        <f>IF(OR(#REF!&gt;2,#REF!&lt;-2),"",#REF!)</f>
        <v>#REF!</v>
      </c>
      <c r="AW5" s="7" t="e">
        <f>IF(OR(#REF!&gt;2,#REF!&lt;-2),"",#REF!)</f>
        <v>#REF!</v>
      </c>
      <c r="AX5" s="7" t="e">
        <f>IF(OR(#REF!&gt;2,#REF!&lt;-2),"",#REF!)</f>
        <v>#REF!</v>
      </c>
      <c r="AY5" s="7" t="e">
        <f>IF(OR(#REF!&gt;2,#REF!&lt;-2),"",#REF!)</f>
        <v>#REF!</v>
      </c>
      <c r="AZ5" s="7" t="e">
        <f>IF(OR(#REF!&gt;2,#REF!&lt;-2),"",#REF!)</f>
        <v>#REF!</v>
      </c>
      <c r="BA5" s="7" t="e">
        <f>IF(OR(#REF!&gt;2,#REF!&lt;-2),"",#REF!)</f>
        <v>#REF!</v>
      </c>
      <c r="BB5" s="7" t="e">
        <f>IF(OR(#REF!&gt;2,#REF!&lt;-2),"",#REF!)</f>
        <v>#REF!</v>
      </c>
      <c r="BC5" s="7" t="e">
        <f>IF(OR(#REF!&gt;2,#REF!&lt;-2),"",#REF!)</f>
        <v>#REF!</v>
      </c>
      <c r="BD5" s="7" t="e">
        <f>IF(OR(#REF!&gt;2,#REF!&lt;-2),"",#REF!)</f>
        <v>#REF!</v>
      </c>
      <c r="BE5" s="7" t="e">
        <f>IF(OR(#REF!&gt;2,#REF!&lt;-2),"",#REF!)</f>
        <v>#REF!</v>
      </c>
      <c r="BF5" s="7" t="e">
        <f>IF(OR(#REF!&gt;2,#REF!&lt;-2),"",#REF!)</f>
        <v>#REF!</v>
      </c>
      <c r="BG5" s="7" t="e">
        <f>IF(OR(#REF!&gt;2,#REF!&lt;-2),"",#REF!)</f>
        <v>#REF!</v>
      </c>
      <c r="BH5" s="7" t="e">
        <f>IF(OR(#REF!&gt;2,#REF!&lt;-2),"",#REF!)</f>
        <v>#REF!</v>
      </c>
      <c r="BI5" s="7" t="e">
        <f>IF(OR(#REF!&gt;2,#REF!&lt;-2),"",#REF!)</f>
        <v>#REF!</v>
      </c>
      <c r="BJ5" s="7" t="e">
        <f>IF(OR(#REF!&gt;2,#REF!&lt;-2),"",#REF!)</f>
        <v>#REF!</v>
      </c>
      <c r="BK5" s="7" t="e">
        <f>IF(OR(#REF!&gt;2,#REF!&lt;-2),"",#REF!)</f>
        <v>#REF!</v>
      </c>
      <c r="BL5" s="7" t="e">
        <f>IF(OR(#REF!&gt;2,#REF!&lt;-2),"",#REF!)</f>
        <v>#REF!</v>
      </c>
      <c r="BM5" s="7" t="e">
        <f>IF(OR(#REF!&gt;2,#REF!&lt;-2),"",#REF!)</f>
        <v>#REF!</v>
      </c>
      <c r="BN5" s="7" t="e">
        <f>IF(OR(#REF!&gt;2,#REF!&lt;-2),"",#REF!)</f>
        <v>#REF!</v>
      </c>
      <c r="BO5" s="7" t="e">
        <f>IF(OR(#REF!&gt;2,#REF!&lt;-2),"",#REF!)</f>
        <v>#REF!</v>
      </c>
      <c r="BP5" s="7" t="e">
        <f>IF(OR(#REF!&gt;2,#REF!&lt;-2),"",#REF!)</f>
        <v>#REF!</v>
      </c>
      <c r="BQ5" s="7" t="e">
        <f>IF(OR(#REF!&gt;2,#REF!&lt;-2),"",#REF!)</f>
        <v>#REF!</v>
      </c>
      <c r="BR5" s="7" t="e">
        <f>IF(OR(#REF!&gt;2,#REF!&lt;-2),"",#REF!)</f>
        <v>#REF!</v>
      </c>
      <c r="BS5" s="7" t="e">
        <f>IF(OR(#REF!&gt;2,#REF!&lt;-2),"",#REF!)</f>
        <v>#REF!</v>
      </c>
      <c r="BT5" s="7" t="e">
        <f>IF(OR(#REF!&gt;2,#REF!&lt;-2),"",#REF!)</f>
        <v>#REF!</v>
      </c>
      <c r="BU5" s="7" t="e">
        <f>IF(OR(#REF!&gt;2,#REF!&lt;-2),"",#REF!)</f>
        <v>#REF!</v>
      </c>
      <c r="BV5" s="7" t="e">
        <f>IF(OR(#REF!&gt;2,#REF!&lt;-2),"",#REF!)</f>
        <v>#REF!</v>
      </c>
      <c r="BW5" s="7" t="e">
        <f>IF(OR(#REF!&gt;2,#REF!&lt;-2),"",#REF!)</f>
        <v>#REF!</v>
      </c>
      <c r="BX5" s="7" t="e">
        <f>IF(OR(#REF!&gt;2,#REF!&lt;-2),"",#REF!)</f>
        <v>#REF!</v>
      </c>
      <c r="BY5" s="7" t="e">
        <f>IF(OR(#REF!&gt;2,#REF!&lt;-2),"",#REF!)</f>
        <v>#REF!</v>
      </c>
      <c r="BZ5" s="7" t="e">
        <f>IF(OR(#REF!&gt;2,#REF!&lt;-2),"",#REF!)</f>
        <v>#REF!</v>
      </c>
      <c r="CA5" s="7" t="e">
        <f>IF(OR(#REF!&gt;2,#REF!&lt;-2),"",#REF!)</f>
        <v>#REF!</v>
      </c>
      <c r="CB5" s="7" t="e">
        <f>IF(OR(#REF!&gt;2,#REF!&lt;-2),"",#REF!)</f>
        <v>#REF!</v>
      </c>
      <c r="CC5" s="7" t="e">
        <f>IF(OR(#REF!&gt;2,#REF!&lt;-2),"",#REF!)</f>
        <v>#REF!</v>
      </c>
      <c r="CD5" s="7" t="e">
        <f>IF(OR(#REF!&gt;2,#REF!&lt;-2),"",#REF!)</f>
        <v>#REF!</v>
      </c>
      <c r="CE5" s="7" t="e">
        <f>IF(OR(#REF!&gt;2,#REF!&lt;-2),"",#REF!)</f>
        <v>#REF!</v>
      </c>
      <c r="CF5" s="7" t="e">
        <f>IF(OR(#REF!&gt;2,#REF!&lt;-2),"",#REF!)</f>
        <v>#REF!</v>
      </c>
      <c r="CG5" s="7" t="e">
        <f>IF(OR(#REF!&gt;2,#REF!&lt;-2),"",#REF!)</f>
        <v>#REF!</v>
      </c>
      <c r="CH5" s="7" t="e">
        <f>IF(OR(#REF!&gt;2,#REF!&lt;-2),"",#REF!)</f>
        <v>#REF!</v>
      </c>
      <c r="CI5" s="7" t="e">
        <f>IF(OR(#REF!&gt;2,#REF!&lt;-2),"",#REF!)</f>
        <v>#REF!</v>
      </c>
      <c r="CJ5" s="7" t="e">
        <f>IF(OR(#REF!&gt;2,#REF!&lt;-2),"",#REF!)</f>
        <v>#REF!</v>
      </c>
      <c r="CK5" s="7" t="e">
        <f>IF(OR(#REF!&gt;2,#REF!&lt;-2),"",#REF!)</f>
        <v>#REF!</v>
      </c>
      <c r="CL5" s="7" t="e">
        <f>IF(OR(#REF!&gt;2,#REF!&lt;-2),"",#REF!)</f>
        <v>#REF!</v>
      </c>
      <c r="CM5" s="7" t="e">
        <f>IF(OR(#REF!&gt;2,#REF!&lt;-2),"",#REF!)</f>
        <v>#REF!</v>
      </c>
      <c r="CN5" s="7" t="e">
        <f>IF(OR(#REF!&gt;2,#REF!&lt;-2),"",#REF!)</f>
        <v>#REF!</v>
      </c>
      <c r="CO5" s="7" t="e">
        <f>IF(OR(#REF!&gt;2,#REF!&lt;-2),"",#REF!)</f>
        <v>#REF!</v>
      </c>
      <c r="CP5" s="7" t="e">
        <f>IF(OR(#REF!&gt;2,#REF!&lt;-2),"",#REF!)</f>
        <v>#REF!</v>
      </c>
      <c r="CQ5" s="7" t="e">
        <f>IF(OR(#REF!&gt;2,#REF!&lt;-2),"",#REF!)</f>
        <v>#REF!</v>
      </c>
      <c r="CR5" s="7" t="e">
        <f>IF(OR(#REF!&gt;2,#REF!&lt;-2),"",#REF!)</f>
        <v>#REF!</v>
      </c>
      <c r="CS5" s="7" t="e">
        <f>IF(OR(#REF!&gt;2,#REF!&lt;-2),"",#REF!)</f>
        <v>#REF!</v>
      </c>
      <c r="CT5" s="7" t="e">
        <f>IF(OR(#REF!&gt;2,#REF!&lt;-2),"",#REF!)</f>
        <v>#REF!</v>
      </c>
      <c r="CU5" s="7" t="e">
        <f>IF(OR(#REF!&gt;2,#REF!&lt;-2),"",#REF!)</f>
        <v>#REF!</v>
      </c>
      <c r="CV5" s="7" t="e">
        <f>IF(OR(#REF!&gt;2,#REF!&lt;-2),"",#REF!)</f>
        <v>#REF!</v>
      </c>
      <c r="CW5" s="7" t="e">
        <f>IF(OR(#REF!&gt;2,#REF!&lt;-2),"",#REF!)</f>
        <v>#REF!</v>
      </c>
      <c r="CX5" s="7" t="e">
        <f>IF(OR(#REF!&gt;2,#REF!&lt;-2),"",#REF!)</f>
        <v>#REF!</v>
      </c>
      <c r="CY5" s="7" t="e">
        <f>IF(OR(#REF!&gt;2,#REF!&lt;-2),"",#REF!)</f>
        <v>#REF!</v>
      </c>
      <c r="CZ5" s="7" t="e">
        <f>IF(OR(#REF!&gt;2,#REF!&lt;-2),"",#REF!)</f>
        <v>#REF!</v>
      </c>
      <c r="DA5" s="7" t="e">
        <f>IF(OR(#REF!&gt;2,#REF!&lt;-2),"",#REF!)</f>
        <v>#REF!</v>
      </c>
      <c r="DB5" s="7" t="e">
        <f>IF(OR(#REF!&gt;2,#REF!&lt;-2),"",#REF!)</f>
        <v>#REF!</v>
      </c>
      <c r="DC5" s="7" t="e">
        <f>IF(OR(#REF!&gt;2,#REF!&lt;-2),"",#REF!)</f>
        <v>#REF!</v>
      </c>
      <c r="DD5" s="7" t="e">
        <f>IF(OR(#REF!&gt;2,#REF!&lt;-2),"",#REF!)</f>
        <v>#REF!</v>
      </c>
      <c r="DE5" s="7" t="e">
        <f>IF(OR(#REF!&gt;2,#REF!&lt;-2),"",#REF!)</f>
        <v>#REF!</v>
      </c>
      <c r="DF5" s="7" t="e">
        <f>IF(OR(#REF!&gt;2,#REF!&lt;-2),"",#REF!)</f>
        <v>#REF!</v>
      </c>
      <c r="DG5" s="7" t="e">
        <f>IF(OR(#REF!&gt;2,#REF!&lt;-2),"",#REF!)</f>
        <v>#REF!</v>
      </c>
      <c r="DH5" s="7" t="e">
        <f>IF(OR(#REF!&gt;2,#REF!&lt;-2),"",#REF!)</f>
        <v>#REF!</v>
      </c>
      <c r="DI5" s="7" t="e">
        <f>IF(OR(#REF!&gt;2,#REF!&lt;-2),"",#REF!)</f>
        <v>#REF!</v>
      </c>
      <c r="DJ5" s="7" t="e">
        <f>IF(OR(#REF!&gt;2,#REF!&lt;-2),"",#REF!)</f>
        <v>#REF!</v>
      </c>
      <c r="DK5" s="7" t="e">
        <f>IF(OR(#REF!&gt;2,#REF!&lt;-2),"",#REF!)</f>
        <v>#REF!</v>
      </c>
      <c r="DL5" s="7" t="e">
        <f>IF(OR(#REF!&gt;2,#REF!&lt;-2),"",#REF!)</f>
        <v>#REF!</v>
      </c>
      <c r="DM5" s="7" t="e">
        <f>IF(OR(#REF!&gt;2,#REF!&lt;-2),"",#REF!)</f>
        <v>#REF!</v>
      </c>
      <c r="DN5" s="7" t="e">
        <f>IF(OR(#REF!&gt;2,#REF!&lt;-2),"",#REF!)</f>
        <v>#REF!</v>
      </c>
      <c r="DO5" s="7" t="e">
        <f>IF(OR(#REF!&gt;2,#REF!&lt;-2),"",#REF!)</f>
        <v>#REF!</v>
      </c>
      <c r="DP5" s="7" t="e">
        <f>IF(OR(#REF!&gt;2,#REF!&lt;-2),"",#REF!)</f>
        <v>#REF!</v>
      </c>
      <c r="DQ5" s="7" t="e">
        <f>IF(OR(#REF!&gt;2,#REF!&lt;-2),"",#REF!)</f>
        <v>#REF!</v>
      </c>
      <c r="DR5" s="7" t="e">
        <f>IF(OR(#REF!&gt;2,#REF!&lt;-2),"",#REF!)</f>
        <v>#REF!</v>
      </c>
      <c r="DS5" s="7" t="e">
        <f>IF(OR(#REF!&gt;2,#REF!&lt;-2),"",#REF!)</f>
        <v>#REF!</v>
      </c>
      <c r="DT5" s="7" t="e">
        <f>IF(OR(#REF!&gt;2,#REF!&lt;-2),"",#REF!)</f>
        <v>#REF!</v>
      </c>
      <c r="DU5" s="7" t="e">
        <f>IF(OR(#REF!&gt;2,#REF!&lt;-2),"",#REF!)</f>
        <v>#REF!</v>
      </c>
      <c r="DV5" s="7" t="e">
        <f>IF(OR(#REF!&gt;2,#REF!&lt;-2),"",#REF!)</f>
        <v>#REF!</v>
      </c>
      <c r="DW5" s="7" t="e">
        <f>IF(OR(#REF!&gt;2,#REF!&lt;-2),"",#REF!)</f>
        <v>#REF!</v>
      </c>
      <c r="DX5" s="7" t="e">
        <f>IF(OR(#REF!&gt;2,#REF!&lt;-2),"",#REF!)</f>
        <v>#REF!</v>
      </c>
      <c r="DY5" s="7" t="e">
        <f>IF(OR(#REF!&gt;2,#REF!&lt;-2),"",#REF!)</f>
        <v>#REF!</v>
      </c>
      <c r="DZ5" s="7" t="e">
        <f>IF(OR(#REF!&gt;2,#REF!&lt;-2),"",#REF!)</f>
        <v>#REF!</v>
      </c>
      <c r="EA5" s="7" t="e">
        <f>IF(OR(#REF!&gt;2,#REF!&lt;-2),"",#REF!)</f>
        <v>#REF!</v>
      </c>
      <c r="EB5" s="7" t="e">
        <f>IF(OR(#REF!&gt;2,#REF!&lt;-2),"",#REF!)</f>
        <v>#REF!</v>
      </c>
      <c r="EC5" s="7" t="e">
        <f>IF(OR(#REF!&gt;2,#REF!&lt;-2),"",#REF!)</f>
        <v>#REF!</v>
      </c>
      <c r="ED5" s="7" t="e">
        <f>IF(OR(#REF!&gt;2,#REF!&lt;-2),"",#REF!)</f>
        <v>#REF!</v>
      </c>
      <c r="EE5" s="7" t="e">
        <f>IF(OR(#REF!&gt;2,#REF!&lt;-2),"",#REF!)</f>
        <v>#REF!</v>
      </c>
      <c r="EF5" s="7" t="e">
        <f>IF(OR(#REF!&gt;2,#REF!&lt;-2),"",#REF!)</f>
        <v>#REF!</v>
      </c>
      <c r="EG5" s="7" t="e">
        <f>IF(OR(#REF!&gt;2,#REF!&lt;-2),"",#REF!)</f>
        <v>#REF!</v>
      </c>
      <c r="EH5" s="7" t="e">
        <f>IF(OR(#REF!&gt;2,#REF!&lt;-2),"",#REF!)</f>
        <v>#REF!</v>
      </c>
      <c r="EI5" s="7" t="e">
        <f>IF(OR(#REF!&gt;2,#REF!&lt;-2),"",#REF!)</f>
        <v>#REF!</v>
      </c>
      <c r="EJ5" s="7" t="e">
        <f>IF(OR(#REF!&gt;2,#REF!&lt;-2),"",#REF!)</f>
        <v>#REF!</v>
      </c>
      <c r="EK5" s="7" t="e">
        <f>IF(OR(#REF!&gt;2,#REF!&lt;-2),"",#REF!)</f>
        <v>#REF!</v>
      </c>
      <c r="EL5" s="7" t="e">
        <f>IF(OR(#REF!&gt;2,#REF!&lt;-2),"",#REF!)</f>
        <v>#REF!</v>
      </c>
      <c r="EM5" s="7" t="e">
        <f>IF(OR(#REF!&gt;2,#REF!&lt;-2),"",#REF!)</f>
        <v>#REF!</v>
      </c>
      <c r="EN5" s="7" t="e">
        <f>IF(OR(#REF!&gt;2,#REF!&lt;-2),"",#REF!)</f>
        <v>#REF!</v>
      </c>
      <c r="EO5" s="7" t="e">
        <f>IF(OR(#REF!&gt;2,#REF!&lt;-2),"",#REF!)</f>
        <v>#REF!</v>
      </c>
      <c r="EP5" s="7" t="e">
        <f>IF(OR(#REF!&gt;2,#REF!&lt;-2),"",#REF!)</f>
        <v>#REF!</v>
      </c>
      <c r="EQ5" s="7" t="e">
        <f>IF(OR(#REF!&gt;2,#REF!&lt;-2),"",#REF!)</f>
        <v>#REF!</v>
      </c>
      <c r="ER5" s="7" t="e">
        <f>IF(OR(#REF!&gt;2,#REF!&lt;-2),"",#REF!)</f>
        <v>#REF!</v>
      </c>
      <c r="ES5" s="7" t="e">
        <f>IF(OR(#REF!&gt;2,#REF!&lt;-2),"",#REF!)</f>
        <v>#REF!</v>
      </c>
      <c r="ET5" s="7" t="e">
        <f>IF(OR(#REF!&gt;2,#REF!&lt;-2),"",#REF!)</f>
        <v>#REF!</v>
      </c>
      <c r="EU5" s="7" t="e">
        <f>IF(OR(#REF!&gt;2,#REF!&lt;-2),"",#REF!)</f>
        <v>#REF!</v>
      </c>
      <c r="EV5" s="7" t="e">
        <f>IF(OR(#REF!&gt;2,#REF!&lt;-2),"",#REF!)</f>
        <v>#REF!</v>
      </c>
      <c r="EW5" s="7" t="e">
        <f>IF(OR(#REF!&gt;2,#REF!&lt;-2),"",#REF!)</f>
        <v>#REF!</v>
      </c>
      <c r="EX5" s="7" t="e">
        <f>IF(OR(#REF!&gt;2,#REF!&lt;-2),"",#REF!)</f>
        <v>#REF!</v>
      </c>
      <c r="EY5" s="7" t="e">
        <f>IF(OR(#REF!&gt;2,#REF!&lt;-2),"",#REF!)</f>
        <v>#REF!</v>
      </c>
      <c r="EZ5" s="7" t="e">
        <f>IF(OR(#REF!&gt;2,#REF!&lt;-2),"",#REF!)</f>
        <v>#REF!</v>
      </c>
      <c r="FA5" s="7" t="e">
        <f>IF(OR(#REF!&gt;2,#REF!&lt;-2),"",#REF!)</f>
        <v>#REF!</v>
      </c>
      <c r="FB5" s="7" t="e">
        <f>IF(OR(#REF!&gt;2,#REF!&lt;-2),"",#REF!)</f>
        <v>#REF!</v>
      </c>
      <c r="FC5" s="7" t="e">
        <f>IF(OR(#REF!&gt;2,#REF!&lt;-2),"",#REF!)</f>
        <v>#REF!</v>
      </c>
      <c r="FD5" s="7" t="e">
        <f>IF(OR(#REF!&gt;2,#REF!&lt;-2),"",#REF!)</f>
        <v>#REF!</v>
      </c>
      <c r="FE5" s="7" t="e">
        <f>IF(OR(#REF!&gt;2,#REF!&lt;-2),"",#REF!)</f>
        <v>#REF!</v>
      </c>
      <c r="FF5" s="7" t="e">
        <f>IF(OR(#REF!&gt;2,#REF!&lt;-2),"",#REF!)</f>
        <v>#REF!</v>
      </c>
      <c r="FG5" s="7" t="e">
        <f>IF(OR(#REF!&gt;2,#REF!&lt;-2),"",#REF!)</f>
        <v>#REF!</v>
      </c>
      <c r="FH5" s="7" t="e">
        <f>IF(OR(#REF!&gt;2,#REF!&lt;-2),"",#REF!)</f>
        <v>#REF!</v>
      </c>
      <c r="FI5" s="7" t="e">
        <f>IF(OR(#REF!&gt;2,#REF!&lt;-2),"",#REF!)</f>
        <v>#REF!</v>
      </c>
      <c r="FJ5" s="7" t="e">
        <f>IF(OR(#REF!&gt;2,#REF!&lt;-2),"",#REF!)</f>
        <v>#REF!</v>
      </c>
      <c r="FK5" s="7" t="e">
        <f>IF(OR(#REF!&gt;2,#REF!&lt;-2),"",#REF!)</f>
        <v>#REF!</v>
      </c>
      <c r="FL5" s="7" t="e">
        <f>IF(OR(#REF!&gt;2,#REF!&lt;-2),"",#REF!)</f>
        <v>#REF!</v>
      </c>
      <c r="FM5" s="7" t="e">
        <f>IF(OR(#REF!&gt;2,#REF!&lt;-2),"",#REF!)</f>
        <v>#REF!</v>
      </c>
      <c r="FN5" s="7" t="e">
        <f>IF(OR(#REF!&gt;2,#REF!&lt;-2),"",#REF!)</f>
        <v>#REF!</v>
      </c>
      <c r="FO5" s="7" t="e">
        <f>IF(OR(#REF!&gt;2,#REF!&lt;-2),"",#REF!)</f>
        <v>#REF!</v>
      </c>
      <c r="FP5" s="7" t="e">
        <f>IF(OR(#REF!&gt;2,#REF!&lt;-2),"",#REF!)</f>
        <v>#REF!</v>
      </c>
      <c r="FQ5" s="7" t="e">
        <f>IF(OR(#REF!&gt;2,#REF!&lt;-2),"",#REF!)</f>
        <v>#REF!</v>
      </c>
      <c r="FR5" s="7" t="e">
        <f>IF(OR(#REF!&gt;2,#REF!&lt;-2),"",#REF!)</f>
        <v>#REF!</v>
      </c>
      <c r="FS5" s="7" t="e">
        <f>IF(OR(#REF!&gt;2,#REF!&lt;-2),"",#REF!)</f>
        <v>#REF!</v>
      </c>
      <c r="FT5" s="7" t="e">
        <f>IF(OR(#REF!&gt;2,#REF!&lt;-2),"",#REF!)</f>
        <v>#REF!</v>
      </c>
      <c r="FU5" s="7" t="e">
        <f>IF(OR(#REF!&gt;2,#REF!&lt;-2),"",#REF!)</f>
        <v>#REF!</v>
      </c>
      <c r="FV5" s="7" t="e">
        <f>IF(OR(#REF!&gt;2,#REF!&lt;-2),"",#REF!)</f>
        <v>#REF!</v>
      </c>
      <c r="FW5" s="7" t="e">
        <f>IF(OR(#REF!&gt;2,#REF!&lt;-2),"",#REF!)</f>
        <v>#REF!</v>
      </c>
      <c r="FX5" s="7" t="e">
        <f>IF(OR(#REF!&gt;2,#REF!&lt;-2),"",#REF!)</f>
        <v>#REF!</v>
      </c>
      <c r="FY5" s="7" t="e">
        <f>IF(OR(#REF!&gt;2,#REF!&lt;-2),"",#REF!)</f>
        <v>#REF!</v>
      </c>
      <c r="FZ5" s="7" t="e">
        <f>IF(OR(#REF!&gt;2,#REF!&lt;-2),"",#REF!)</f>
        <v>#REF!</v>
      </c>
      <c r="GA5" s="7" t="e">
        <f>IF(OR(#REF!&gt;2,#REF!&lt;-2),"",#REF!)</f>
        <v>#REF!</v>
      </c>
      <c r="GB5" s="7" t="e">
        <f>IF(OR(#REF!&gt;2,#REF!&lt;-2),"",#REF!)</f>
        <v>#REF!</v>
      </c>
      <c r="GC5" s="7" t="e">
        <f>IF(OR(#REF!&gt;2,#REF!&lt;-2),"",#REF!)</f>
        <v>#REF!</v>
      </c>
      <c r="GD5" s="7" t="e">
        <f>IF(OR(#REF!&gt;2,#REF!&lt;-2),"",#REF!)</f>
        <v>#REF!</v>
      </c>
      <c r="GE5" s="7" t="e">
        <f>IF(OR(#REF!&gt;2,#REF!&lt;-2),"",#REF!)</f>
        <v>#REF!</v>
      </c>
      <c r="GF5" s="7" t="e">
        <f>IF(OR(#REF!&gt;2,#REF!&lt;-2),"",#REF!)</f>
        <v>#REF!</v>
      </c>
      <c r="GG5" s="7" t="e">
        <f>IF(OR(#REF!&gt;2,#REF!&lt;-2),"",#REF!)</f>
        <v>#REF!</v>
      </c>
      <c r="GH5" s="7" t="e">
        <f>IF(OR(#REF!&gt;2,#REF!&lt;-2),"",#REF!)</f>
        <v>#REF!</v>
      </c>
      <c r="GI5" s="7" t="e">
        <f>IF(OR(#REF!&gt;2,#REF!&lt;-2),"",#REF!)</f>
        <v>#REF!</v>
      </c>
      <c r="GJ5" s="7" t="e">
        <f>IF(OR(#REF!&gt;2,#REF!&lt;-2),"",#REF!)</f>
        <v>#REF!</v>
      </c>
      <c r="GK5" s="7" t="e">
        <f>IF(OR(#REF!&gt;2,#REF!&lt;-2),"",#REF!)</f>
        <v>#REF!</v>
      </c>
      <c r="GL5" s="7" t="e">
        <f>IF(OR(#REF!&gt;2,#REF!&lt;-2),"",#REF!)</f>
        <v>#REF!</v>
      </c>
      <c r="GM5" s="7" t="e">
        <f>IF(OR(#REF!&gt;2,#REF!&lt;-2),"",#REF!)</f>
        <v>#REF!</v>
      </c>
      <c r="GN5" s="7" t="e">
        <f>IF(OR(#REF!&gt;2,#REF!&lt;-2),"",#REF!)</f>
        <v>#REF!</v>
      </c>
      <c r="GO5" s="7" t="e">
        <f>IF(OR(#REF!&gt;2,#REF!&lt;-2),"",#REF!)</f>
        <v>#REF!</v>
      </c>
      <c r="GP5" s="7" t="e">
        <f>IF(OR(#REF!&gt;2,#REF!&lt;-2),"",#REF!)</f>
        <v>#REF!</v>
      </c>
      <c r="GQ5" s="7" t="e">
        <f>IF(OR(#REF!&gt;2,#REF!&lt;-2),"",#REF!)</f>
        <v>#REF!</v>
      </c>
      <c r="GR5" s="7" t="e">
        <f>IF(OR(#REF!&gt;2,#REF!&lt;-2),"",#REF!)</f>
        <v>#REF!</v>
      </c>
      <c r="GS5" s="7" t="e">
        <f>IF(OR(#REF!&gt;2,#REF!&lt;-2),"",#REF!)</f>
        <v>#REF!</v>
      </c>
      <c r="GT5" s="7" t="e">
        <f>IF(OR(#REF!&gt;2,#REF!&lt;-2),"",#REF!)</f>
        <v>#REF!</v>
      </c>
      <c r="GU5" s="7" t="e">
        <f>IF(OR(#REF!&gt;2,#REF!&lt;-2),"",#REF!)</f>
        <v>#REF!</v>
      </c>
      <c r="GV5" s="7" t="e">
        <f>IF(OR(#REF!&gt;2,#REF!&lt;-2),"",#REF!)</f>
        <v>#REF!</v>
      </c>
      <c r="GW5" s="7" t="e">
        <f>IF(OR(#REF!&gt;2,#REF!&lt;-2),"",#REF!)</f>
        <v>#REF!</v>
      </c>
      <c r="GX5" s="7" t="e">
        <f>IF(OR(#REF!&gt;2,#REF!&lt;-2),"",#REF!)</f>
        <v>#REF!</v>
      </c>
      <c r="GY5" s="7" t="e">
        <f>IF(OR(#REF!&gt;2,#REF!&lt;-2),"",#REF!)</f>
        <v>#REF!</v>
      </c>
      <c r="GZ5" s="7" t="e">
        <f>IF(OR(#REF!&gt;2,#REF!&lt;-2),"",#REF!)</f>
        <v>#REF!</v>
      </c>
      <c r="HA5" s="7" t="e">
        <f>IF(OR(#REF!&gt;2,#REF!&lt;-2),"",#REF!)</f>
        <v>#REF!</v>
      </c>
      <c r="HB5" s="7" t="e">
        <f>IF(OR(#REF!&gt;2,#REF!&lt;-2),"",#REF!)</f>
        <v>#REF!</v>
      </c>
      <c r="HC5" s="7" t="e">
        <f>IF(OR(#REF!&gt;2,#REF!&lt;-2),"",#REF!)</f>
        <v>#REF!</v>
      </c>
      <c r="HD5" s="7" t="e">
        <f>IF(OR(#REF!&gt;2,#REF!&lt;-2),"",#REF!)</f>
        <v>#REF!</v>
      </c>
      <c r="HE5" s="7" t="e">
        <f>IF(OR(#REF!&gt;2,#REF!&lt;-2),"",#REF!)</f>
        <v>#REF!</v>
      </c>
      <c r="HF5" s="7" t="e">
        <f>IF(OR(#REF!&gt;2,#REF!&lt;-2),"",#REF!)</f>
        <v>#REF!</v>
      </c>
      <c r="HG5" s="7" t="e">
        <f>IF(OR(#REF!&gt;2,#REF!&lt;-2),"",#REF!)</f>
        <v>#REF!</v>
      </c>
      <c r="HH5" s="7" t="e">
        <f>IF(OR(#REF!&gt;2,#REF!&lt;-2),"",#REF!)</f>
        <v>#REF!</v>
      </c>
      <c r="HI5" s="7" t="e">
        <f>IF(OR(#REF!&gt;2,#REF!&lt;-2),"",#REF!)</f>
        <v>#REF!</v>
      </c>
      <c r="HJ5" s="7" t="e">
        <f>IF(OR(#REF!&gt;2,#REF!&lt;-2),"",#REF!)</f>
        <v>#REF!</v>
      </c>
      <c r="HK5" s="7" t="e">
        <f>IF(OR(#REF!&gt;2,#REF!&lt;-2),"",#REF!)</f>
        <v>#REF!</v>
      </c>
      <c r="HL5" s="7" t="e">
        <f>IF(OR(#REF!&gt;2,#REF!&lt;-2),"",#REF!)</f>
        <v>#REF!</v>
      </c>
      <c r="HM5" s="7" t="e">
        <f>IF(OR(#REF!&gt;2,#REF!&lt;-2),"",#REF!)</f>
        <v>#REF!</v>
      </c>
      <c r="HN5" s="7" t="e">
        <f>IF(OR(#REF!&gt;2,#REF!&lt;-2),"",#REF!)</f>
        <v>#REF!</v>
      </c>
      <c r="HO5" s="7" t="e">
        <f>IF(OR(#REF!&gt;2,#REF!&lt;-2),"",#REF!)</f>
        <v>#REF!</v>
      </c>
      <c r="HP5" s="7" t="e">
        <f>IF(OR(#REF!&gt;2,#REF!&lt;-2),"",#REF!)</f>
        <v>#REF!</v>
      </c>
      <c r="HQ5" s="7" t="e">
        <f>IF(OR(#REF!&gt;2,#REF!&lt;-2),"",#REF!)</f>
        <v>#REF!</v>
      </c>
      <c r="HR5" s="7" t="e">
        <f>IF(OR(#REF!&gt;2,#REF!&lt;-2),"",#REF!)</f>
        <v>#REF!</v>
      </c>
      <c r="HS5" s="7" t="e">
        <f>IF(OR(#REF!&gt;2,#REF!&lt;-2),"",#REF!)</f>
        <v>#REF!</v>
      </c>
      <c r="HT5" s="7" t="e">
        <f>IF(OR(#REF!&gt;2,#REF!&lt;-2),"",#REF!)</f>
        <v>#REF!</v>
      </c>
      <c r="HU5" s="7" t="e">
        <f>IF(OR(#REF!&gt;2,#REF!&lt;-2),"",#REF!)</f>
        <v>#REF!</v>
      </c>
      <c r="HV5" s="7" t="e">
        <f>IF(OR(#REF!&gt;2,#REF!&lt;-2),"",#REF!)</f>
        <v>#REF!</v>
      </c>
      <c r="HW5" s="7" t="e">
        <f>IF(OR(#REF!&gt;2,#REF!&lt;-2),"",#REF!)</f>
        <v>#REF!</v>
      </c>
      <c r="HX5" s="7" t="e">
        <f>IF(OR(#REF!&gt;2,#REF!&lt;-2),"",#REF!)</f>
        <v>#REF!</v>
      </c>
      <c r="HY5" s="7" t="e">
        <f>IF(OR(#REF!&gt;2,#REF!&lt;-2),"",#REF!)</f>
        <v>#REF!</v>
      </c>
      <c r="HZ5" s="7" t="e">
        <f>IF(OR(#REF!&gt;2,#REF!&lt;-2),"",#REF!)</f>
        <v>#REF!</v>
      </c>
      <c r="IA5" s="7" t="e">
        <f>IF(OR(#REF!&gt;2,#REF!&lt;-2),"",#REF!)</f>
        <v>#REF!</v>
      </c>
      <c r="IB5" s="7" t="e">
        <f>IF(OR(#REF!&gt;2,#REF!&lt;-2),"",#REF!)</f>
        <v>#REF!</v>
      </c>
      <c r="IC5" s="7" t="e">
        <f>IF(OR(#REF!&gt;2,#REF!&lt;-2),"",#REF!)</f>
        <v>#REF!</v>
      </c>
      <c r="ID5" s="7" t="e">
        <f>IF(OR(#REF!&gt;2,#REF!&lt;-2),"",#REF!)</f>
        <v>#REF!</v>
      </c>
      <c r="IE5" s="7" t="e">
        <f>IF(OR(#REF!&gt;2,#REF!&lt;-2),"",#REF!)</f>
        <v>#REF!</v>
      </c>
      <c r="IF5" s="7" t="e">
        <f>IF(OR(#REF!&gt;2,#REF!&lt;-2),"",#REF!)</f>
        <v>#REF!</v>
      </c>
      <c r="IG5" s="7" t="e">
        <f>IF(OR(#REF!&gt;2,#REF!&lt;-2),"",#REF!)</f>
        <v>#REF!</v>
      </c>
      <c r="IH5" s="7" t="e">
        <f>IF(OR(#REF!&gt;2,#REF!&lt;-2),"",#REF!)</f>
        <v>#REF!</v>
      </c>
      <c r="II5" s="7" t="e">
        <f>IF(OR(#REF!&gt;2,#REF!&lt;-2),"",#REF!)</f>
        <v>#REF!</v>
      </c>
      <c r="IJ5" s="7" t="e">
        <f>IF(OR(#REF!&gt;2,#REF!&lt;-2),"",#REF!)</f>
        <v>#REF!</v>
      </c>
      <c r="IK5" s="7" t="e">
        <f>IF(OR(#REF!&gt;2,#REF!&lt;-2),"",#REF!)</f>
        <v>#REF!</v>
      </c>
      <c r="IL5" s="7" t="e">
        <f>IF(OR(#REF!&gt;2,#REF!&lt;-2),"",#REF!)</f>
        <v>#REF!</v>
      </c>
      <c r="IM5" s="7" t="e">
        <f>IF(OR(#REF!&gt;2,#REF!&lt;-2),"",#REF!)</f>
        <v>#REF!</v>
      </c>
      <c r="IN5" s="7" t="e">
        <f>IF(OR(#REF!&gt;2,#REF!&lt;-2),"",#REF!)</f>
        <v>#REF!</v>
      </c>
      <c r="IO5" s="7" t="e">
        <f>IF(OR(#REF!&gt;2,#REF!&lt;-2),"",#REF!)</f>
        <v>#REF!</v>
      </c>
      <c r="IP5" s="7" t="e">
        <f>IF(OR(#REF!&gt;2,#REF!&lt;-2),"",#REF!)</f>
        <v>#REF!</v>
      </c>
      <c r="IQ5" s="7" t="e">
        <f>IF(OR(#REF!&gt;2,#REF!&lt;-2),"",#REF!)</f>
        <v>#REF!</v>
      </c>
      <c r="IR5" s="7" t="e">
        <f>IF(OR(#REF!&gt;2,#REF!&lt;-2),"",#REF!)</f>
        <v>#REF!</v>
      </c>
      <c r="IS5" s="7" t="e">
        <f>IF(OR(#REF!&gt;2,#REF!&lt;-2),"",#REF!)</f>
        <v>#REF!</v>
      </c>
      <c r="IT5" s="7" t="e">
        <f>IF(OR(#REF!&gt;2,#REF!&lt;-2),"",#REF!)</f>
        <v>#REF!</v>
      </c>
      <c r="IU5" s="7" t="e">
        <f>IF(OR(#REF!&gt;2,#REF!&lt;-2),"",#REF!)</f>
        <v>#REF!</v>
      </c>
      <c r="IV5" s="7" t="e">
        <f>IF(OR(#REF!&gt;2,#REF!&lt;-2),"",#REF!)</f>
        <v>#REF!</v>
      </c>
      <c r="IW5" s="7" t="e">
        <f>IF(OR(#REF!&gt;2,#REF!&lt;-2),"",#REF!)</f>
        <v>#REF!</v>
      </c>
      <c r="IX5" s="7" t="e">
        <f>IF(OR(#REF!&gt;2,#REF!&lt;-2),"",#REF!)</f>
        <v>#REF!</v>
      </c>
      <c r="IY5" s="7" t="e">
        <f>IF(OR(#REF!&gt;2,#REF!&lt;-2),"",#REF!)</f>
        <v>#REF!</v>
      </c>
      <c r="IZ5" s="7" t="e">
        <f>IF(OR(#REF!&gt;2,#REF!&lt;-2),"",#REF!)</f>
        <v>#REF!</v>
      </c>
      <c r="JA5" s="7" t="e">
        <f>IF(OR(#REF!&gt;2,#REF!&lt;-2),"",#REF!)</f>
        <v>#REF!</v>
      </c>
      <c r="JB5" s="7" t="e">
        <f>IF(OR(#REF!&gt;2,#REF!&lt;-2),"",#REF!)</f>
        <v>#REF!</v>
      </c>
      <c r="JC5" s="7" t="e">
        <f>IF(OR(#REF!&gt;2,#REF!&lt;-2),"",#REF!)</f>
        <v>#REF!</v>
      </c>
      <c r="JD5" s="7" t="e">
        <f>IF(OR(#REF!&gt;2,#REF!&lt;-2),"",#REF!)</f>
        <v>#REF!</v>
      </c>
      <c r="JE5" s="7" t="e">
        <f>IF(OR(#REF!&gt;2,#REF!&lt;-2),"",#REF!)</f>
        <v>#REF!</v>
      </c>
      <c r="JF5" s="7" t="e">
        <f>IF(OR(#REF!&gt;2,#REF!&lt;-2),"",#REF!)</f>
        <v>#REF!</v>
      </c>
      <c r="JG5" s="7" t="e">
        <f>IF(OR(#REF!&gt;2,#REF!&lt;-2),"",#REF!)</f>
        <v>#REF!</v>
      </c>
      <c r="JH5" s="7" t="e">
        <f>IF(OR(#REF!&gt;2,#REF!&lt;-2),"",#REF!)</f>
        <v>#REF!</v>
      </c>
      <c r="JI5" s="7" t="e">
        <f>IF(OR(#REF!&gt;2,#REF!&lt;-2),"",#REF!)</f>
        <v>#REF!</v>
      </c>
      <c r="JJ5" s="7" t="e">
        <f>IF(OR(#REF!&gt;2,#REF!&lt;-2),"",#REF!)</f>
        <v>#REF!</v>
      </c>
      <c r="JK5" s="7" t="e">
        <f>IF(OR(#REF!&gt;2,#REF!&lt;-2),"",#REF!)</f>
        <v>#REF!</v>
      </c>
      <c r="JL5" s="7" t="e">
        <f>IF(OR(#REF!&gt;2,#REF!&lt;-2),"",#REF!)</f>
        <v>#REF!</v>
      </c>
      <c r="JM5" s="7" t="e">
        <f>IF(OR(#REF!&gt;2,#REF!&lt;-2),"",#REF!)</f>
        <v>#REF!</v>
      </c>
      <c r="JN5" s="7" t="e">
        <f>IF(OR(#REF!&gt;2,#REF!&lt;-2),"",#REF!)</f>
        <v>#REF!</v>
      </c>
      <c r="JO5" s="7" t="e">
        <f>IF(OR(#REF!&gt;2,#REF!&lt;-2),"",#REF!)</f>
        <v>#REF!</v>
      </c>
      <c r="JP5" s="7" t="e">
        <f>IF(OR(#REF!&gt;2,#REF!&lt;-2),"",#REF!)</f>
        <v>#REF!</v>
      </c>
      <c r="JQ5" s="7" t="e">
        <f>IF(OR(#REF!&gt;2,#REF!&lt;-2),"",#REF!)</f>
        <v>#REF!</v>
      </c>
      <c r="JR5" s="7" t="e">
        <f>IF(OR(#REF!&gt;2,#REF!&lt;-2),"",#REF!)</f>
        <v>#REF!</v>
      </c>
      <c r="JS5" s="7" t="e">
        <f>IF(OR(#REF!&gt;2,#REF!&lt;-2),"",#REF!)</f>
        <v>#REF!</v>
      </c>
      <c r="JT5" s="7" t="e">
        <f>IF(OR(#REF!&gt;2,#REF!&lt;-2),"",#REF!)</f>
        <v>#REF!</v>
      </c>
      <c r="JU5" s="7" t="e">
        <f>IF(OR(#REF!&gt;2,#REF!&lt;-2),"",#REF!)</f>
        <v>#REF!</v>
      </c>
      <c r="JV5" s="7" t="e">
        <f>IF(OR(#REF!&gt;2,#REF!&lt;-2),"",#REF!)</f>
        <v>#REF!</v>
      </c>
      <c r="JW5" s="7" t="e">
        <f>IF(OR(#REF!&gt;2,#REF!&lt;-2),"",#REF!)</f>
        <v>#REF!</v>
      </c>
      <c r="JX5" s="7" t="e">
        <f>IF(OR(#REF!&gt;2,#REF!&lt;-2),"",#REF!)</f>
        <v>#REF!</v>
      </c>
      <c r="JY5" s="7" t="e">
        <f>IF(OR(#REF!&gt;2,#REF!&lt;-2),"",#REF!)</f>
        <v>#REF!</v>
      </c>
      <c r="JZ5" s="7" t="e">
        <f>IF(OR(#REF!&gt;2,#REF!&lt;-2),"",#REF!)</f>
        <v>#REF!</v>
      </c>
      <c r="KA5" s="7" t="e">
        <f>IF(OR(#REF!&gt;2,#REF!&lt;-2),"",#REF!)</f>
        <v>#REF!</v>
      </c>
      <c r="KB5" s="7" t="e">
        <f>IF(OR(#REF!&gt;2,#REF!&lt;-2),"",#REF!)</f>
        <v>#REF!</v>
      </c>
      <c r="KC5" s="7" t="e">
        <f>IF(OR(#REF!&gt;2,#REF!&lt;-2),"",#REF!)</f>
        <v>#REF!</v>
      </c>
      <c r="KD5" s="7" t="e">
        <f>IF(OR(#REF!&gt;2,#REF!&lt;-2),"",#REF!)</f>
        <v>#REF!</v>
      </c>
      <c r="KE5" s="7" t="e">
        <f>IF(OR(#REF!&gt;2,#REF!&lt;-2),"",#REF!)</f>
        <v>#REF!</v>
      </c>
      <c r="KF5" s="7" t="e">
        <f>IF(OR(#REF!&gt;2,#REF!&lt;-2),"",#REF!)</f>
        <v>#REF!</v>
      </c>
      <c r="KG5" s="7" t="e">
        <f>IF(OR(#REF!&gt;2,#REF!&lt;-2),"",#REF!)</f>
        <v>#REF!</v>
      </c>
      <c r="KH5" s="7" t="e">
        <f>IF(OR(#REF!&gt;2,#REF!&lt;-2),"",#REF!)</f>
        <v>#REF!</v>
      </c>
      <c r="KI5" s="7" t="e">
        <f>IF(OR(#REF!&gt;2,#REF!&lt;-2),"",#REF!)</f>
        <v>#REF!</v>
      </c>
      <c r="KJ5" s="7" t="e">
        <f>IF(OR(#REF!&gt;2,#REF!&lt;-2),"",#REF!)</f>
        <v>#REF!</v>
      </c>
      <c r="KK5" s="7" t="e">
        <f>IF(OR(#REF!&gt;2,#REF!&lt;-2),"",#REF!)</f>
        <v>#REF!</v>
      </c>
      <c r="KL5" s="7" t="e">
        <f>IF(OR(#REF!&gt;2,#REF!&lt;-2),"",#REF!)</f>
        <v>#REF!</v>
      </c>
      <c r="KM5" s="7" t="e">
        <f>IF(OR(#REF!&gt;2,#REF!&lt;-2),"",#REF!)</f>
        <v>#REF!</v>
      </c>
      <c r="KN5" s="7" t="e">
        <f>IF(OR(#REF!&gt;2,#REF!&lt;-2),"",#REF!)</f>
        <v>#REF!</v>
      </c>
      <c r="KO5" s="7" t="e">
        <f>IF(OR(#REF!&gt;2,#REF!&lt;-2),"",#REF!)</f>
        <v>#REF!</v>
      </c>
      <c r="KP5" s="7" t="e">
        <f>IF(OR(#REF!&gt;2,#REF!&lt;-2),"",#REF!)</f>
        <v>#REF!</v>
      </c>
      <c r="KQ5" s="7" t="e">
        <f>IF(OR(#REF!&gt;2,#REF!&lt;-2),"",#REF!)</f>
        <v>#REF!</v>
      </c>
      <c r="KR5" s="7" t="e">
        <f>IF(OR(#REF!&gt;2,#REF!&lt;-2),"",#REF!)</f>
        <v>#REF!</v>
      </c>
      <c r="KS5" s="7" t="e">
        <f>IF(OR(#REF!&gt;2,#REF!&lt;-2),"",#REF!)</f>
        <v>#REF!</v>
      </c>
      <c r="KT5" s="7" t="e">
        <f>IF(OR(#REF!&gt;2,#REF!&lt;-2),"",#REF!)</f>
        <v>#REF!</v>
      </c>
      <c r="KU5" s="7" t="e">
        <f>IF(OR(#REF!&gt;2,#REF!&lt;-2),"",#REF!)</f>
        <v>#REF!</v>
      </c>
      <c r="KV5" s="7" t="e">
        <f>IF(OR(#REF!&gt;2,#REF!&lt;-2),"",#REF!)</f>
        <v>#REF!</v>
      </c>
      <c r="KW5" s="7" t="e">
        <f>IF(OR(#REF!&gt;2,#REF!&lt;-2),"",#REF!)</f>
        <v>#REF!</v>
      </c>
      <c r="KX5" s="7" t="e">
        <f>IF(OR(#REF!&gt;2,#REF!&lt;-2),"",#REF!)</f>
        <v>#REF!</v>
      </c>
      <c r="KY5" s="7" t="e">
        <f>IF(OR(#REF!&gt;2,#REF!&lt;-2),"",#REF!)</f>
        <v>#REF!</v>
      </c>
      <c r="KZ5" s="7" t="e">
        <f>IF(OR(#REF!&gt;2,#REF!&lt;-2),"",#REF!)</f>
        <v>#REF!</v>
      </c>
      <c r="LA5" s="7" t="e">
        <f>IF(OR(#REF!&gt;2,#REF!&lt;-2),"",#REF!)</f>
        <v>#REF!</v>
      </c>
      <c r="LB5" s="7" t="e">
        <f>IF(OR(#REF!&gt;2,#REF!&lt;-2),"",#REF!)</f>
        <v>#REF!</v>
      </c>
      <c r="LC5" s="7" t="e">
        <f>IF(OR(#REF!&gt;2,#REF!&lt;-2),"",#REF!)</f>
        <v>#REF!</v>
      </c>
      <c r="LD5" s="7" t="e">
        <f>IF(OR(#REF!&gt;2,#REF!&lt;-2),"",#REF!)</f>
        <v>#REF!</v>
      </c>
      <c r="LE5" s="7" t="e">
        <f>IF(OR(#REF!&gt;2,#REF!&lt;-2),"",#REF!)</f>
        <v>#REF!</v>
      </c>
      <c r="LF5" s="7" t="e">
        <f>IF(OR(#REF!&gt;2,#REF!&lt;-2),"",#REF!)</f>
        <v>#REF!</v>
      </c>
      <c r="LG5" s="7" t="e">
        <f>IF(OR(#REF!&gt;2,#REF!&lt;-2),"",#REF!)</f>
        <v>#REF!</v>
      </c>
      <c r="LH5" s="7" t="e">
        <f>IF(OR(#REF!&gt;2,#REF!&lt;-2),"",#REF!)</f>
        <v>#REF!</v>
      </c>
      <c r="LI5" s="7" t="e">
        <f>IF(OR(#REF!&gt;2,#REF!&lt;-2),"",#REF!)</f>
        <v>#REF!</v>
      </c>
      <c r="LJ5" s="7" t="e">
        <f>IF(OR(#REF!&gt;2,#REF!&lt;-2),"",#REF!)</f>
        <v>#REF!</v>
      </c>
      <c r="LK5" s="7" t="e">
        <f>IF(OR(#REF!&gt;2,#REF!&lt;-2),"",#REF!)</f>
        <v>#REF!</v>
      </c>
      <c r="LL5" s="7" t="e">
        <f>IF(OR(#REF!&gt;2,#REF!&lt;-2),"",#REF!)</f>
        <v>#REF!</v>
      </c>
      <c r="LM5" s="7" t="e">
        <f>IF(OR(#REF!&gt;2,#REF!&lt;-2),"",#REF!)</f>
        <v>#REF!</v>
      </c>
      <c r="LN5" s="7" t="e">
        <f>IF(OR(#REF!&gt;2,#REF!&lt;-2),"",#REF!)</f>
        <v>#REF!</v>
      </c>
      <c r="LO5" s="7" t="e">
        <f>IF(OR(#REF!&gt;2,#REF!&lt;-2),"",#REF!)</f>
        <v>#REF!</v>
      </c>
      <c r="LP5" s="7" t="e">
        <f>IF(OR(#REF!&gt;2,#REF!&lt;-2),"",#REF!)</f>
        <v>#REF!</v>
      </c>
      <c r="LQ5" s="7" t="e">
        <f>IF(OR(#REF!&gt;2,#REF!&lt;-2),"",#REF!)</f>
        <v>#REF!</v>
      </c>
      <c r="LR5" s="7" t="e">
        <f>IF(OR(#REF!&gt;2,#REF!&lt;-2),"",#REF!)</f>
        <v>#REF!</v>
      </c>
      <c r="LS5" s="7" t="e">
        <f>IF(OR(#REF!&gt;2,#REF!&lt;-2),"",#REF!)</f>
        <v>#REF!</v>
      </c>
      <c r="LT5" s="7" t="e">
        <f>IF(OR(#REF!&gt;2,#REF!&lt;-2),"",#REF!)</f>
        <v>#REF!</v>
      </c>
      <c r="LU5" s="7" t="e">
        <f>IF(OR(#REF!&gt;2,#REF!&lt;-2),"",#REF!)</f>
        <v>#REF!</v>
      </c>
      <c r="LV5" s="7" t="e">
        <f>IF(OR(#REF!&gt;2,#REF!&lt;-2),"",#REF!)</f>
        <v>#REF!</v>
      </c>
      <c r="LW5" s="7" t="e">
        <f>IF(OR(#REF!&gt;2,#REF!&lt;-2),"",#REF!)</f>
        <v>#REF!</v>
      </c>
      <c r="LX5" s="7" t="e">
        <f>IF(OR(#REF!&gt;2,#REF!&lt;-2),"",#REF!)</f>
        <v>#REF!</v>
      </c>
      <c r="LY5" s="7" t="e">
        <f>IF(OR(#REF!&gt;2,#REF!&lt;-2),"",#REF!)</f>
        <v>#REF!</v>
      </c>
      <c r="LZ5" s="7" t="e">
        <f>IF(OR(#REF!&gt;2,#REF!&lt;-2),"",#REF!)</f>
        <v>#REF!</v>
      </c>
      <c r="MA5" s="7" t="e">
        <f>IF(OR(#REF!&gt;2,#REF!&lt;-2),"",#REF!)</f>
        <v>#REF!</v>
      </c>
      <c r="MB5" s="7" t="e">
        <f>IF(OR(#REF!&gt;2,#REF!&lt;-2),"",#REF!)</f>
        <v>#REF!</v>
      </c>
      <c r="MC5" s="7" t="e">
        <f>IF(OR(#REF!&gt;2,#REF!&lt;-2),"",#REF!)</f>
        <v>#REF!</v>
      </c>
      <c r="MD5" s="7" t="e">
        <f>IF(OR(#REF!&gt;2,#REF!&lt;-2),"",#REF!)</f>
        <v>#REF!</v>
      </c>
      <c r="ME5" s="7" t="e">
        <f>IF(OR(#REF!&gt;2,#REF!&lt;-2),"",#REF!)</f>
        <v>#REF!</v>
      </c>
      <c r="MF5" s="7" t="e">
        <f>IF(OR(#REF!&gt;2,#REF!&lt;-2),"",#REF!)</f>
        <v>#REF!</v>
      </c>
      <c r="MG5" s="7" t="e">
        <f>IF(OR(#REF!&gt;2,#REF!&lt;-2),"",#REF!)</f>
        <v>#REF!</v>
      </c>
      <c r="MH5" s="7" t="e">
        <f>IF(OR(#REF!&gt;2,#REF!&lt;-2),"",#REF!)</f>
        <v>#REF!</v>
      </c>
      <c r="MI5" s="7" t="e">
        <f>IF(OR(#REF!&gt;2,#REF!&lt;-2),"",#REF!)</f>
        <v>#REF!</v>
      </c>
      <c r="MJ5" s="7" t="e">
        <f>IF(OR(#REF!&gt;2,#REF!&lt;-2),"",#REF!)</f>
        <v>#REF!</v>
      </c>
      <c r="MK5" s="7" t="e">
        <f>IF(OR(#REF!&gt;2,#REF!&lt;-2),"",#REF!)</f>
        <v>#REF!</v>
      </c>
      <c r="ML5" s="7" t="e">
        <f>IF(OR(#REF!&gt;2,#REF!&lt;-2),"",#REF!)</f>
        <v>#REF!</v>
      </c>
      <c r="MM5" s="7" t="e">
        <f>IF(OR(#REF!&gt;2,#REF!&lt;-2),"",#REF!)</f>
        <v>#REF!</v>
      </c>
      <c r="MN5" s="7" t="e">
        <f>IF(OR(#REF!&gt;2,#REF!&lt;-2),"",#REF!)</f>
        <v>#REF!</v>
      </c>
      <c r="MO5" s="7" t="e">
        <f>IF(OR(#REF!&gt;2,#REF!&lt;-2),"",#REF!)</f>
        <v>#REF!</v>
      </c>
      <c r="MP5" s="7" t="e">
        <f>IF(OR(#REF!&gt;2,#REF!&lt;-2),"",#REF!)</f>
        <v>#REF!</v>
      </c>
      <c r="MQ5" s="7" t="e">
        <f>IF(OR(#REF!&gt;2,#REF!&lt;-2),"",#REF!)</f>
        <v>#REF!</v>
      </c>
      <c r="MR5" s="7" t="e">
        <f>IF(OR(#REF!&gt;2,#REF!&lt;-2),"",#REF!)</f>
        <v>#REF!</v>
      </c>
      <c r="MS5" s="7" t="e">
        <f>IF(OR(#REF!&gt;2,#REF!&lt;-2),"",#REF!)</f>
        <v>#REF!</v>
      </c>
      <c r="MT5" s="7" t="e">
        <f>IF(OR(#REF!&gt;2,#REF!&lt;-2),"",#REF!)</f>
        <v>#REF!</v>
      </c>
      <c r="MU5" s="7" t="e">
        <f>IF(OR(#REF!&gt;2,#REF!&lt;-2),"",#REF!)</f>
        <v>#REF!</v>
      </c>
      <c r="MV5" s="7" t="e">
        <f>IF(OR(#REF!&gt;2,#REF!&lt;-2),"",#REF!)</f>
        <v>#REF!</v>
      </c>
      <c r="MW5" s="7" t="e">
        <f>IF(OR(#REF!&gt;2,#REF!&lt;-2),"",#REF!)</f>
        <v>#REF!</v>
      </c>
      <c r="MX5" s="7" t="e">
        <f>IF(OR(#REF!&gt;2,#REF!&lt;-2),"",#REF!)</f>
        <v>#REF!</v>
      </c>
      <c r="MY5" s="7" t="e">
        <f>IF(OR(#REF!&gt;2,#REF!&lt;-2),"",#REF!)</f>
        <v>#REF!</v>
      </c>
      <c r="MZ5" s="7" t="e">
        <f>IF(OR(#REF!&gt;2,#REF!&lt;-2),"",#REF!)</f>
        <v>#REF!</v>
      </c>
      <c r="NA5" s="7" t="e">
        <f>IF(OR(#REF!&gt;2,#REF!&lt;-2),"",#REF!)</f>
        <v>#REF!</v>
      </c>
      <c r="NB5" s="7" t="e">
        <f>IF(OR(#REF!&gt;2,#REF!&lt;-2),"",#REF!)</f>
        <v>#REF!</v>
      </c>
      <c r="NC5" s="7" t="e">
        <f>IF(OR(#REF!&gt;2,#REF!&lt;-2),"",#REF!)</f>
        <v>#REF!</v>
      </c>
      <c r="ND5" s="7" t="e">
        <f>IF(OR(#REF!&gt;2,#REF!&lt;-2),"",#REF!)</f>
        <v>#REF!</v>
      </c>
      <c r="NE5" s="7" t="e">
        <f>IF(OR(#REF!&gt;2,#REF!&lt;-2),"",#REF!)</f>
        <v>#REF!</v>
      </c>
      <c r="NF5" s="7" t="e">
        <f>IF(OR(#REF!&gt;2,#REF!&lt;-2),"",#REF!)</f>
        <v>#REF!</v>
      </c>
      <c r="NG5" s="7" t="e">
        <f>IF(OR(#REF!&gt;2,#REF!&lt;-2),"",#REF!)</f>
        <v>#REF!</v>
      </c>
      <c r="NH5" s="7" t="e">
        <f>IF(OR(#REF!&gt;2,#REF!&lt;-2),"",#REF!)</f>
        <v>#REF!</v>
      </c>
      <c r="NI5" s="7" t="e">
        <f>IF(OR(#REF!&gt;2,#REF!&lt;-2),"",#REF!)</f>
        <v>#REF!</v>
      </c>
      <c r="NJ5" s="7" t="e">
        <f>IF(OR(#REF!&gt;2,#REF!&lt;-2),"",#REF!)</f>
        <v>#REF!</v>
      </c>
      <c r="NK5" s="7" t="e">
        <f>IF(OR(#REF!&gt;2,#REF!&lt;-2),"",#REF!)</f>
        <v>#REF!</v>
      </c>
      <c r="NL5" s="7" t="e">
        <f>IF(OR(#REF!&gt;2,#REF!&lt;-2),"",#REF!)</f>
        <v>#REF!</v>
      </c>
      <c r="NM5" s="7" t="e">
        <f>IF(OR(#REF!&gt;2,#REF!&lt;-2),"",#REF!)</f>
        <v>#REF!</v>
      </c>
      <c r="NN5" s="7" t="e">
        <f>IF(OR(#REF!&gt;2,#REF!&lt;-2),"",#REF!)</f>
        <v>#REF!</v>
      </c>
      <c r="NO5" s="7" t="e">
        <f>IF(OR(#REF!&gt;2,#REF!&lt;-2),"",#REF!)</f>
        <v>#REF!</v>
      </c>
      <c r="NP5" s="7" t="e">
        <f>IF(OR(#REF!&gt;2,#REF!&lt;-2),"",#REF!)</f>
        <v>#REF!</v>
      </c>
      <c r="NQ5" s="7" t="e">
        <f>IF(OR(#REF!&gt;2,#REF!&lt;-2),"",#REF!)</f>
        <v>#REF!</v>
      </c>
      <c r="NR5" s="7" t="e">
        <f>IF(OR(#REF!&gt;2,#REF!&lt;-2),"",#REF!)</f>
        <v>#REF!</v>
      </c>
      <c r="NS5" s="7" t="e">
        <f>IF(OR(#REF!&gt;2,#REF!&lt;-2),"",#REF!)</f>
        <v>#REF!</v>
      </c>
      <c r="NT5" s="7" t="e">
        <f>IF(OR(#REF!&gt;2,#REF!&lt;-2),"",#REF!)</f>
        <v>#REF!</v>
      </c>
      <c r="NU5" s="7" t="e">
        <f>IF(OR(#REF!&gt;2,#REF!&lt;-2),"",#REF!)</f>
        <v>#REF!</v>
      </c>
      <c r="NV5" s="7" t="e">
        <f>IF(OR(#REF!&gt;2,#REF!&lt;-2),"",#REF!)</f>
        <v>#REF!</v>
      </c>
      <c r="NW5" s="7" t="e">
        <f>IF(OR(#REF!&gt;2,#REF!&lt;-2),"",#REF!)</f>
        <v>#REF!</v>
      </c>
      <c r="NX5" s="7" t="e">
        <f>IF(OR(#REF!&gt;2,#REF!&lt;-2),"",#REF!)</f>
        <v>#REF!</v>
      </c>
      <c r="NY5" s="7" t="e">
        <f>IF(OR(#REF!&gt;2,#REF!&lt;-2),"",#REF!)</f>
        <v>#REF!</v>
      </c>
      <c r="NZ5" s="7" t="e">
        <f>IF(OR(#REF!&gt;2,#REF!&lt;-2),"",#REF!)</f>
        <v>#REF!</v>
      </c>
      <c r="OA5" s="7" t="e">
        <f>IF(OR(#REF!&gt;2,#REF!&lt;-2),"",#REF!)</f>
        <v>#REF!</v>
      </c>
      <c r="OB5" s="7" t="e">
        <f>IF(OR(#REF!&gt;2,#REF!&lt;-2),"",#REF!)</f>
        <v>#REF!</v>
      </c>
      <c r="OC5" s="7" t="e">
        <f>IF(OR(#REF!&gt;2,#REF!&lt;-2),"",#REF!)</f>
        <v>#REF!</v>
      </c>
      <c r="OD5" s="7" t="e">
        <f>IF(OR(#REF!&gt;2,#REF!&lt;-2),"",#REF!)</f>
        <v>#REF!</v>
      </c>
      <c r="OE5" s="7" t="e">
        <f>IF(OR(#REF!&gt;2,#REF!&lt;-2),"",#REF!)</f>
        <v>#REF!</v>
      </c>
      <c r="OF5" s="7" t="e">
        <f>IF(OR(#REF!&gt;2,#REF!&lt;-2),"",#REF!)</f>
        <v>#REF!</v>
      </c>
      <c r="OG5" s="7" t="e">
        <f>IF(OR(#REF!&gt;2,#REF!&lt;-2),"",#REF!)</f>
        <v>#REF!</v>
      </c>
      <c r="OH5" s="7" t="e">
        <f>IF(OR(#REF!&gt;2,#REF!&lt;-2),"",#REF!)</f>
        <v>#REF!</v>
      </c>
      <c r="OI5" s="7" t="e">
        <f>IF(OR(#REF!&gt;2,#REF!&lt;-2),"",#REF!)</f>
        <v>#REF!</v>
      </c>
      <c r="OJ5" s="7" t="e">
        <f>IF(OR(#REF!&gt;2,#REF!&lt;-2),"",#REF!)</f>
        <v>#REF!</v>
      </c>
      <c r="OK5" s="7" t="e">
        <f>IF(OR(#REF!&gt;2,#REF!&lt;-2),"",#REF!)</f>
        <v>#REF!</v>
      </c>
      <c r="OL5" s="7" t="e">
        <f>IF(OR(#REF!&gt;2,#REF!&lt;-2),"",#REF!)</f>
        <v>#REF!</v>
      </c>
      <c r="OM5" s="7" t="e">
        <f>IF(OR(#REF!&gt;2,#REF!&lt;-2),"",#REF!)</f>
        <v>#REF!</v>
      </c>
      <c r="ON5" s="7" t="e">
        <f>IF(OR(#REF!&gt;2,#REF!&lt;-2),"",#REF!)</f>
        <v>#REF!</v>
      </c>
      <c r="OO5" s="7" t="e">
        <f>IF(OR(#REF!&gt;2,#REF!&lt;-2),"",#REF!)</f>
        <v>#REF!</v>
      </c>
      <c r="OP5" s="7" t="e">
        <f>IF(OR(#REF!&gt;2,#REF!&lt;-2),"",#REF!)</f>
        <v>#REF!</v>
      </c>
      <c r="OQ5" s="7" t="e">
        <f>IF(OR(#REF!&gt;2,#REF!&lt;-2),"",#REF!)</f>
        <v>#REF!</v>
      </c>
      <c r="OR5" s="7" t="e">
        <f>IF(OR(#REF!&gt;2,#REF!&lt;-2),"",#REF!)</f>
        <v>#REF!</v>
      </c>
      <c r="OS5" s="7" t="e">
        <f>IF(OR(#REF!&gt;2,#REF!&lt;-2),"",#REF!)</f>
        <v>#REF!</v>
      </c>
      <c r="OT5" s="7" t="e">
        <f>IF(OR(#REF!&gt;2,#REF!&lt;-2),"",#REF!)</f>
        <v>#REF!</v>
      </c>
      <c r="OU5" s="7" t="e">
        <f>IF(OR(#REF!&gt;2,#REF!&lt;-2),"",#REF!)</f>
        <v>#REF!</v>
      </c>
      <c r="OV5" s="7" t="e">
        <f>IF(OR(#REF!&gt;2,#REF!&lt;-2),"",#REF!)</f>
        <v>#REF!</v>
      </c>
      <c r="OW5" s="7" t="e">
        <f>IF(OR(#REF!&gt;2,#REF!&lt;-2),"",#REF!)</f>
        <v>#REF!</v>
      </c>
      <c r="OX5" s="7" t="e">
        <f>IF(OR(#REF!&gt;2,#REF!&lt;-2),"",#REF!)</f>
        <v>#REF!</v>
      </c>
      <c r="OY5" s="7" t="e">
        <f>IF(OR(#REF!&gt;2,#REF!&lt;-2),"",#REF!)</f>
        <v>#REF!</v>
      </c>
      <c r="OZ5" s="7" t="e">
        <f>IF(OR(#REF!&gt;2,#REF!&lt;-2),"",#REF!)</f>
        <v>#REF!</v>
      </c>
      <c r="PA5" s="7" t="e">
        <f>IF(OR(#REF!&gt;2,#REF!&lt;-2),"",#REF!)</f>
        <v>#REF!</v>
      </c>
      <c r="PB5" s="7" t="e">
        <f>IF(OR(#REF!&gt;2,#REF!&lt;-2),"",#REF!)</f>
        <v>#REF!</v>
      </c>
      <c r="PC5" s="7" t="e">
        <f>IF(OR(#REF!&gt;2,#REF!&lt;-2),"",#REF!)</f>
        <v>#REF!</v>
      </c>
      <c r="PD5" s="7" t="e">
        <f>IF(OR(#REF!&gt;2,#REF!&lt;-2),"",#REF!)</f>
        <v>#REF!</v>
      </c>
      <c r="PE5" s="7" t="e">
        <f>IF(OR(#REF!&gt;2,#REF!&lt;-2),"",#REF!)</f>
        <v>#REF!</v>
      </c>
      <c r="PF5" s="7" t="e">
        <f>IF(OR(#REF!&gt;2,#REF!&lt;-2),"",#REF!)</f>
        <v>#REF!</v>
      </c>
      <c r="PG5" s="7" t="e">
        <f>IF(OR(#REF!&gt;2,#REF!&lt;-2),"",#REF!)</f>
        <v>#REF!</v>
      </c>
      <c r="PH5" s="7" t="e">
        <f>IF(OR(#REF!&gt;2,#REF!&lt;-2),"",#REF!)</f>
        <v>#REF!</v>
      </c>
      <c r="PI5" s="7" t="e">
        <f>IF(OR(#REF!&gt;2,#REF!&lt;-2),"",#REF!)</f>
        <v>#REF!</v>
      </c>
      <c r="PJ5" s="7" t="e">
        <f>IF(OR(#REF!&gt;2,#REF!&lt;-2),"",#REF!)</f>
        <v>#REF!</v>
      </c>
      <c r="PK5" s="7" t="e">
        <f>IF(OR(#REF!&gt;2,#REF!&lt;-2),"",#REF!)</f>
        <v>#REF!</v>
      </c>
      <c r="PL5" s="7" t="e">
        <f>IF(OR(#REF!&gt;2,#REF!&lt;-2),"",#REF!)</f>
        <v>#REF!</v>
      </c>
      <c r="PM5" s="7" t="e">
        <f>IF(OR(#REF!&gt;2,#REF!&lt;-2),"",#REF!)</f>
        <v>#REF!</v>
      </c>
      <c r="PN5" s="7" t="e">
        <f>IF(OR(#REF!&gt;2,#REF!&lt;-2),"",#REF!)</f>
        <v>#REF!</v>
      </c>
      <c r="PO5" s="7" t="e">
        <f>IF(OR(#REF!&gt;2,#REF!&lt;-2),"",#REF!)</f>
        <v>#REF!</v>
      </c>
      <c r="PP5" s="7" t="e">
        <f>IF(OR(#REF!&gt;2,#REF!&lt;-2),"",#REF!)</f>
        <v>#REF!</v>
      </c>
      <c r="PQ5" s="7" t="e">
        <f>IF(OR(#REF!&gt;2,#REF!&lt;-2),"",#REF!)</f>
        <v>#REF!</v>
      </c>
      <c r="PR5" s="7" t="e">
        <f>IF(OR(#REF!&gt;2,#REF!&lt;-2),"",#REF!)</f>
        <v>#REF!</v>
      </c>
      <c r="PS5" s="7" t="e">
        <f>IF(OR(#REF!&gt;2,#REF!&lt;-2),"",#REF!)</f>
        <v>#REF!</v>
      </c>
      <c r="PT5" s="7" t="e">
        <f>IF(OR(#REF!&gt;2,#REF!&lt;-2),"",#REF!)</f>
        <v>#REF!</v>
      </c>
      <c r="PU5" s="7" t="e">
        <f>IF(OR(#REF!&gt;2,#REF!&lt;-2),"",#REF!)</f>
        <v>#REF!</v>
      </c>
      <c r="PV5" s="7" t="e">
        <f>IF(OR(#REF!&gt;2,#REF!&lt;-2),"",#REF!)</f>
        <v>#REF!</v>
      </c>
      <c r="PW5" s="7" t="e">
        <f>IF(OR(#REF!&gt;2,#REF!&lt;-2),"",#REF!)</f>
        <v>#REF!</v>
      </c>
      <c r="PX5" s="7" t="e">
        <f>IF(OR(#REF!&gt;2,#REF!&lt;-2),"",#REF!)</f>
        <v>#REF!</v>
      </c>
      <c r="PY5" s="7" t="e">
        <f>IF(OR(#REF!&gt;2,#REF!&lt;-2),"",#REF!)</f>
        <v>#REF!</v>
      </c>
      <c r="PZ5" s="7" t="e">
        <f>IF(OR(#REF!&gt;2,#REF!&lt;-2),"",#REF!)</f>
        <v>#REF!</v>
      </c>
      <c r="QA5" s="7" t="e">
        <f>IF(OR(#REF!&gt;2,#REF!&lt;-2),"",#REF!)</f>
        <v>#REF!</v>
      </c>
      <c r="QB5" s="7" t="e">
        <f>IF(OR(#REF!&gt;2,#REF!&lt;-2),"",#REF!)</f>
        <v>#REF!</v>
      </c>
      <c r="QC5" s="7" t="e">
        <f>IF(OR(#REF!&gt;2,#REF!&lt;-2),"",#REF!)</f>
        <v>#REF!</v>
      </c>
      <c r="QD5" s="7" t="e">
        <f>IF(OR(#REF!&gt;2,#REF!&lt;-2),"",#REF!)</f>
        <v>#REF!</v>
      </c>
      <c r="QE5" s="7" t="e">
        <f>IF(OR(#REF!&gt;2,#REF!&lt;-2),"",#REF!)</f>
        <v>#REF!</v>
      </c>
      <c r="QF5" s="7" t="e">
        <f>IF(OR(#REF!&gt;2,#REF!&lt;-2),"",#REF!)</f>
        <v>#REF!</v>
      </c>
      <c r="QG5" s="7" t="e">
        <f>IF(OR(#REF!&gt;2,#REF!&lt;-2),"",#REF!)</f>
        <v>#REF!</v>
      </c>
      <c r="QH5" s="7" t="e">
        <f>IF(OR(#REF!&gt;2,#REF!&lt;-2),"",#REF!)</f>
        <v>#REF!</v>
      </c>
      <c r="QI5" s="7" t="e">
        <f>IF(OR(#REF!&gt;2,#REF!&lt;-2),"",#REF!)</f>
        <v>#REF!</v>
      </c>
      <c r="QJ5" s="7" t="e">
        <f>IF(OR(#REF!&gt;2,#REF!&lt;-2),"",#REF!)</f>
        <v>#REF!</v>
      </c>
      <c r="QK5" s="7" t="e">
        <f>IF(OR(#REF!&gt;2,#REF!&lt;-2),"",#REF!)</f>
        <v>#REF!</v>
      </c>
      <c r="QL5" s="7" t="e">
        <f>IF(OR(#REF!&gt;2,#REF!&lt;-2),"",#REF!)</f>
        <v>#REF!</v>
      </c>
      <c r="QM5" s="7" t="e">
        <f>IF(OR(#REF!&gt;2,#REF!&lt;-2),"",#REF!)</f>
        <v>#REF!</v>
      </c>
      <c r="QN5" s="7" t="e">
        <f>IF(OR(#REF!&gt;2,#REF!&lt;-2),"",#REF!)</f>
        <v>#REF!</v>
      </c>
      <c r="QO5" s="7" t="e">
        <f>IF(OR(#REF!&gt;2,#REF!&lt;-2),"",#REF!)</f>
        <v>#REF!</v>
      </c>
      <c r="QP5" s="7" t="e">
        <f>IF(OR(#REF!&gt;2,#REF!&lt;-2),"",#REF!)</f>
        <v>#REF!</v>
      </c>
      <c r="QQ5" s="7" t="e">
        <f>IF(OR(#REF!&gt;2,#REF!&lt;-2),"",#REF!)</f>
        <v>#REF!</v>
      </c>
      <c r="QR5" s="7" t="e">
        <f>IF(OR(#REF!&gt;2,#REF!&lt;-2),"",#REF!)</f>
        <v>#REF!</v>
      </c>
      <c r="QS5" s="7" t="e">
        <f>IF(OR(#REF!&gt;2,#REF!&lt;-2),"",#REF!)</f>
        <v>#REF!</v>
      </c>
      <c r="QT5" s="7" t="e">
        <f>IF(OR(#REF!&gt;2,#REF!&lt;-2),"",#REF!)</f>
        <v>#REF!</v>
      </c>
      <c r="QU5" s="7" t="e">
        <f>IF(OR(#REF!&gt;2,#REF!&lt;-2),"",#REF!)</f>
        <v>#REF!</v>
      </c>
      <c r="QV5" s="7" t="e">
        <f>IF(OR(#REF!&gt;2,#REF!&lt;-2),"",#REF!)</f>
        <v>#REF!</v>
      </c>
      <c r="QW5" s="7" t="e">
        <f>IF(OR(#REF!&gt;2,#REF!&lt;-2),"",#REF!)</f>
        <v>#REF!</v>
      </c>
      <c r="QX5" s="7" t="e">
        <f>IF(OR(#REF!&gt;2,#REF!&lt;-2),"",#REF!)</f>
        <v>#REF!</v>
      </c>
      <c r="QY5" s="7" t="e">
        <f>IF(OR(#REF!&gt;2,#REF!&lt;-2),"",#REF!)</f>
        <v>#REF!</v>
      </c>
      <c r="QZ5" s="7" t="e">
        <f>IF(OR(#REF!&gt;2,#REF!&lt;-2),"",#REF!)</f>
        <v>#REF!</v>
      </c>
      <c r="RA5" s="7" t="e">
        <f>IF(OR(#REF!&gt;2,#REF!&lt;-2),"",#REF!)</f>
        <v>#REF!</v>
      </c>
      <c r="RB5" s="7" t="e">
        <f>IF(OR(#REF!&gt;2,#REF!&lt;-2),"",#REF!)</f>
        <v>#REF!</v>
      </c>
      <c r="RC5" s="7" t="e">
        <f>IF(OR(#REF!&gt;2,#REF!&lt;-2),"",#REF!)</f>
        <v>#REF!</v>
      </c>
      <c r="RD5" s="7" t="e">
        <f>IF(OR(#REF!&gt;2,#REF!&lt;-2),"",#REF!)</f>
        <v>#REF!</v>
      </c>
      <c r="RE5" s="7" t="e">
        <f>IF(OR(#REF!&gt;2,#REF!&lt;-2),"",#REF!)</f>
        <v>#REF!</v>
      </c>
      <c r="RF5" s="7" t="e">
        <f>IF(OR(#REF!&gt;2,#REF!&lt;-2),"",#REF!)</f>
        <v>#REF!</v>
      </c>
      <c r="RG5" s="7" t="e">
        <f>IF(OR(#REF!&gt;2,#REF!&lt;-2),"",#REF!)</f>
        <v>#REF!</v>
      </c>
      <c r="RH5" s="7" t="e">
        <f>IF(OR(#REF!&gt;2,#REF!&lt;-2),"",#REF!)</f>
        <v>#REF!</v>
      </c>
      <c r="RI5" s="7" t="e">
        <f>IF(OR(#REF!&gt;2,#REF!&lt;-2),"",#REF!)</f>
        <v>#REF!</v>
      </c>
      <c r="RJ5" s="7" t="e">
        <f>IF(OR(#REF!&gt;2,#REF!&lt;-2),"",#REF!)</f>
        <v>#REF!</v>
      </c>
      <c r="RK5" s="7" t="e">
        <f>IF(OR(#REF!&gt;2,#REF!&lt;-2),"",#REF!)</f>
        <v>#REF!</v>
      </c>
      <c r="RL5" s="7" t="e">
        <f>IF(OR(#REF!&gt;2,#REF!&lt;-2),"",#REF!)</f>
        <v>#REF!</v>
      </c>
      <c r="RM5" s="7" t="e">
        <f>IF(OR(#REF!&gt;2,#REF!&lt;-2),"",#REF!)</f>
        <v>#REF!</v>
      </c>
      <c r="RN5" s="7" t="e">
        <f>IF(OR(#REF!&gt;2,#REF!&lt;-2),"",#REF!)</f>
        <v>#REF!</v>
      </c>
      <c r="RO5" s="7" t="e">
        <f>IF(OR(#REF!&gt;2,#REF!&lt;-2),"",#REF!)</f>
        <v>#REF!</v>
      </c>
      <c r="RP5" s="7" t="e">
        <f>IF(OR(#REF!&gt;2,#REF!&lt;-2),"",#REF!)</f>
        <v>#REF!</v>
      </c>
      <c r="RQ5" s="7" t="e">
        <f>IF(OR(#REF!&gt;2,#REF!&lt;-2),"",#REF!)</f>
        <v>#REF!</v>
      </c>
      <c r="RR5" s="7" t="e">
        <f>IF(OR(#REF!&gt;2,#REF!&lt;-2),"",#REF!)</f>
        <v>#REF!</v>
      </c>
      <c r="RS5" s="7" t="e">
        <f>IF(OR(#REF!&gt;2,#REF!&lt;-2),"",#REF!)</f>
        <v>#REF!</v>
      </c>
      <c r="RT5" s="7" t="e">
        <f>IF(OR(#REF!&gt;2,#REF!&lt;-2),"",#REF!)</f>
        <v>#REF!</v>
      </c>
      <c r="RU5" s="7" t="e">
        <f>IF(OR(#REF!&gt;2,#REF!&lt;-2),"",#REF!)</f>
        <v>#REF!</v>
      </c>
      <c r="RV5" s="7" t="e">
        <f>IF(OR(#REF!&gt;2,#REF!&lt;-2),"",#REF!)</f>
        <v>#REF!</v>
      </c>
      <c r="RW5" s="7" t="e">
        <f>IF(OR(#REF!&gt;2,#REF!&lt;-2),"",#REF!)</f>
        <v>#REF!</v>
      </c>
      <c r="RX5" s="7" t="e">
        <f>IF(OR(#REF!&gt;2,#REF!&lt;-2),"",#REF!)</f>
        <v>#REF!</v>
      </c>
      <c r="RY5" s="7" t="e">
        <f>IF(OR(#REF!&gt;2,#REF!&lt;-2),"",#REF!)</f>
        <v>#REF!</v>
      </c>
      <c r="RZ5" s="7" t="e">
        <f>IF(OR(#REF!&gt;2,#REF!&lt;-2),"",#REF!)</f>
        <v>#REF!</v>
      </c>
      <c r="SA5" s="7" t="e">
        <f>IF(OR(#REF!&gt;2,#REF!&lt;-2),"",#REF!)</f>
        <v>#REF!</v>
      </c>
      <c r="SB5" s="7" t="e">
        <f>IF(OR(#REF!&gt;2,#REF!&lt;-2),"",#REF!)</f>
        <v>#REF!</v>
      </c>
      <c r="SC5" s="7" t="e">
        <f>IF(OR(#REF!&gt;2,#REF!&lt;-2),"",#REF!)</f>
        <v>#REF!</v>
      </c>
      <c r="SD5" s="7" t="e">
        <f>IF(OR(#REF!&gt;2,#REF!&lt;-2),"",#REF!)</f>
        <v>#REF!</v>
      </c>
      <c r="SE5" s="7" t="e">
        <f>IF(OR(#REF!&gt;2,#REF!&lt;-2),"",#REF!)</f>
        <v>#REF!</v>
      </c>
      <c r="SF5" s="7" t="e">
        <f>IF(OR(#REF!&gt;2,#REF!&lt;-2),"",#REF!)</f>
        <v>#REF!</v>
      </c>
      <c r="SG5" s="7" t="e">
        <f>IF(OR(#REF!&gt;2,#REF!&lt;-2),"",#REF!)</f>
        <v>#REF!</v>
      </c>
      <c r="SH5" s="7" t="e">
        <f>IF(OR(#REF!&gt;2,#REF!&lt;-2),"",#REF!)</f>
        <v>#REF!</v>
      </c>
      <c r="SI5" s="7" t="e">
        <f>IF(OR(#REF!&gt;2,#REF!&lt;-2),"",#REF!)</f>
        <v>#REF!</v>
      </c>
      <c r="SJ5" s="7" t="e">
        <f>IF(OR(#REF!&gt;2,#REF!&lt;-2),"",#REF!)</f>
        <v>#REF!</v>
      </c>
      <c r="SK5" s="7" t="e">
        <f>IF(OR(#REF!&gt;2,#REF!&lt;-2),"",#REF!)</f>
        <v>#REF!</v>
      </c>
      <c r="SL5" s="7" t="e">
        <f>IF(OR(#REF!&gt;2,#REF!&lt;-2),"",#REF!)</f>
        <v>#REF!</v>
      </c>
      <c r="SM5" s="7" t="e">
        <f>IF(OR(#REF!&gt;2,#REF!&lt;-2),"",#REF!)</f>
        <v>#REF!</v>
      </c>
      <c r="SN5" s="7" t="e">
        <f>IF(OR(#REF!&gt;2,#REF!&lt;-2),"",#REF!)</f>
        <v>#REF!</v>
      </c>
      <c r="SO5" s="7" t="e">
        <f>IF(OR(#REF!&gt;2,#REF!&lt;-2),"",#REF!)</f>
        <v>#REF!</v>
      </c>
      <c r="SP5" s="7" t="e">
        <f>IF(OR(#REF!&gt;2,#REF!&lt;-2),"",#REF!)</f>
        <v>#REF!</v>
      </c>
      <c r="SQ5" s="7" t="e">
        <f>IF(OR(#REF!&gt;2,#REF!&lt;-2),"",#REF!)</f>
        <v>#REF!</v>
      </c>
      <c r="SR5" s="7" t="e">
        <f>IF(OR(#REF!&gt;2,#REF!&lt;-2),"",#REF!)</f>
        <v>#REF!</v>
      </c>
      <c r="SS5" s="7" t="e">
        <f>IF(OR(#REF!&gt;2,#REF!&lt;-2),"",#REF!)</f>
        <v>#REF!</v>
      </c>
      <c r="ST5" s="7" t="e">
        <f>IF(OR(#REF!&gt;2,#REF!&lt;-2),"",#REF!)</f>
        <v>#REF!</v>
      </c>
      <c r="SU5" s="7" t="e">
        <f>IF(OR(#REF!&gt;2,#REF!&lt;-2),"",#REF!)</f>
        <v>#REF!</v>
      </c>
      <c r="SV5" s="7" t="e">
        <f>IF(OR(#REF!&gt;2,#REF!&lt;-2),"",#REF!)</f>
        <v>#REF!</v>
      </c>
      <c r="SW5" s="7" t="e">
        <f>IF(OR(#REF!&gt;2,#REF!&lt;-2),"",#REF!)</f>
        <v>#REF!</v>
      </c>
      <c r="SX5" s="7" t="e">
        <f>IF(OR(#REF!&gt;2,#REF!&lt;-2),"",#REF!)</f>
        <v>#REF!</v>
      </c>
      <c r="SY5" s="7" t="e">
        <f>IF(OR(#REF!&gt;2,#REF!&lt;-2),"",#REF!)</f>
        <v>#REF!</v>
      </c>
      <c r="SZ5" s="7" t="e">
        <f>IF(OR(#REF!&gt;2,#REF!&lt;-2),"",#REF!)</f>
        <v>#REF!</v>
      </c>
      <c r="TA5" s="7" t="e">
        <f>IF(OR(#REF!&gt;2,#REF!&lt;-2),"",#REF!)</f>
        <v>#REF!</v>
      </c>
      <c r="TB5" s="7" t="e">
        <f>IF(OR(#REF!&gt;2,#REF!&lt;-2),"",#REF!)</f>
        <v>#REF!</v>
      </c>
      <c r="TC5" s="7" t="e">
        <f>IF(OR(#REF!&gt;2,#REF!&lt;-2),"",#REF!)</f>
        <v>#REF!</v>
      </c>
      <c r="TD5" s="7" t="e">
        <f>IF(OR(#REF!&gt;2,#REF!&lt;-2),"",#REF!)</f>
        <v>#REF!</v>
      </c>
      <c r="TE5" s="7" t="e">
        <f>IF(OR(#REF!&gt;2,#REF!&lt;-2),"",#REF!)</f>
        <v>#REF!</v>
      </c>
      <c r="TF5" s="7" t="e">
        <f>IF(OR(#REF!&gt;2,#REF!&lt;-2),"",#REF!)</f>
        <v>#REF!</v>
      </c>
      <c r="TG5" s="7" t="e">
        <f>IF(OR(#REF!&gt;2,#REF!&lt;-2),"",#REF!)</f>
        <v>#REF!</v>
      </c>
      <c r="TH5" s="7" t="e">
        <f>IF(OR(#REF!&gt;2,#REF!&lt;-2),"",#REF!)</f>
        <v>#REF!</v>
      </c>
      <c r="TI5" s="7" t="e">
        <f>IF(OR(#REF!&gt;2,#REF!&lt;-2),"",#REF!)</f>
        <v>#REF!</v>
      </c>
      <c r="TJ5" s="7" t="e">
        <f>IF(OR(#REF!&gt;2,#REF!&lt;-2),"",#REF!)</f>
        <v>#REF!</v>
      </c>
      <c r="TK5" s="7" t="e">
        <f>IF(OR(#REF!&gt;2,#REF!&lt;-2),"",#REF!)</f>
        <v>#REF!</v>
      </c>
      <c r="TL5" s="7" t="e">
        <f>IF(OR(#REF!&gt;2,#REF!&lt;-2),"",#REF!)</f>
        <v>#REF!</v>
      </c>
      <c r="TM5" s="7" t="e">
        <f>IF(OR(#REF!&gt;2,#REF!&lt;-2),"",#REF!)</f>
        <v>#REF!</v>
      </c>
      <c r="TN5" s="7" t="e">
        <f>IF(OR(#REF!&gt;2,#REF!&lt;-2),"",#REF!)</f>
        <v>#REF!</v>
      </c>
      <c r="TO5" s="7" t="e">
        <f>IF(OR(#REF!&gt;2,#REF!&lt;-2),"",#REF!)</f>
        <v>#REF!</v>
      </c>
      <c r="TP5" s="7" t="e">
        <f>IF(OR(#REF!&gt;2,#REF!&lt;-2),"",#REF!)</f>
        <v>#REF!</v>
      </c>
      <c r="TQ5" s="7" t="e">
        <f>IF(OR(#REF!&gt;2,#REF!&lt;-2),"",#REF!)</f>
        <v>#REF!</v>
      </c>
      <c r="TR5" s="7" t="e">
        <f>IF(OR(#REF!&gt;2,#REF!&lt;-2),"",#REF!)</f>
        <v>#REF!</v>
      </c>
      <c r="TS5" s="7" t="e">
        <f>IF(OR(#REF!&gt;2,#REF!&lt;-2),"",#REF!)</f>
        <v>#REF!</v>
      </c>
      <c r="TT5" s="7" t="e">
        <f>IF(OR(#REF!&gt;2,#REF!&lt;-2),"",#REF!)</f>
        <v>#REF!</v>
      </c>
      <c r="TU5" s="7" t="e">
        <f>IF(OR(#REF!&gt;2,#REF!&lt;-2),"",#REF!)</f>
        <v>#REF!</v>
      </c>
      <c r="TV5" s="7" t="e">
        <f>IF(OR(#REF!&gt;2,#REF!&lt;-2),"",#REF!)</f>
        <v>#REF!</v>
      </c>
      <c r="TW5" s="7" t="e">
        <f>IF(OR(#REF!&gt;2,#REF!&lt;-2),"",#REF!)</f>
        <v>#REF!</v>
      </c>
      <c r="TX5" s="7" t="e">
        <f>IF(OR(#REF!&gt;2,#REF!&lt;-2),"",#REF!)</f>
        <v>#REF!</v>
      </c>
      <c r="TY5" s="7" t="e">
        <f>IF(OR(#REF!&gt;2,#REF!&lt;-2),"",#REF!)</f>
        <v>#REF!</v>
      </c>
      <c r="TZ5" s="7" t="e">
        <f>IF(OR(#REF!&gt;2,#REF!&lt;-2),"",#REF!)</f>
        <v>#REF!</v>
      </c>
      <c r="UA5" s="7" t="e">
        <f>IF(OR(#REF!&gt;2,#REF!&lt;-2),"",#REF!)</f>
        <v>#REF!</v>
      </c>
      <c r="UB5" s="7" t="e">
        <f>IF(OR(#REF!&gt;2,#REF!&lt;-2),"",#REF!)</f>
        <v>#REF!</v>
      </c>
      <c r="UC5" s="7" t="e">
        <f>IF(OR(#REF!&gt;2,#REF!&lt;-2),"",#REF!)</f>
        <v>#REF!</v>
      </c>
      <c r="UD5" s="7" t="e">
        <f>IF(OR(#REF!&gt;2,#REF!&lt;-2),"",#REF!)</f>
        <v>#REF!</v>
      </c>
      <c r="UE5" s="7" t="e">
        <f>IF(OR(#REF!&gt;2,#REF!&lt;-2),"",#REF!)</f>
        <v>#REF!</v>
      </c>
      <c r="UF5" s="7" t="e">
        <f>IF(OR(#REF!&gt;2,#REF!&lt;-2),"",#REF!)</f>
        <v>#REF!</v>
      </c>
      <c r="UG5" s="7" t="e">
        <f>IF(OR(#REF!&gt;2,#REF!&lt;-2),"",#REF!)</f>
        <v>#REF!</v>
      </c>
      <c r="UH5" s="7" t="e">
        <f>IF(OR(#REF!&gt;2,#REF!&lt;-2),"",#REF!)</f>
        <v>#REF!</v>
      </c>
      <c r="UI5" s="7" t="e">
        <f>IF(OR(#REF!&gt;2,#REF!&lt;-2),"",#REF!)</f>
        <v>#REF!</v>
      </c>
      <c r="UJ5" s="7" t="e">
        <f>IF(OR(#REF!&gt;2,#REF!&lt;-2),"",#REF!)</f>
        <v>#REF!</v>
      </c>
      <c r="UK5" s="7" t="e">
        <f>IF(OR(#REF!&gt;2,#REF!&lt;-2),"",#REF!)</f>
        <v>#REF!</v>
      </c>
      <c r="UL5" s="7" t="e">
        <f>IF(OR(#REF!&gt;2,#REF!&lt;-2),"",#REF!)</f>
        <v>#REF!</v>
      </c>
      <c r="UM5" s="7" t="e">
        <f>IF(OR(#REF!&gt;2,#REF!&lt;-2),"",#REF!)</f>
        <v>#REF!</v>
      </c>
      <c r="UN5" s="7" t="e">
        <f>IF(OR(#REF!&gt;2,#REF!&lt;-2),"",#REF!)</f>
        <v>#REF!</v>
      </c>
      <c r="UO5" s="7" t="e">
        <f>IF(OR(#REF!&gt;2,#REF!&lt;-2),"",#REF!)</f>
        <v>#REF!</v>
      </c>
      <c r="UP5" s="7" t="e">
        <f>IF(OR(#REF!&gt;2,#REF!&lt;-2),"",#REF!)</f>
        <v>#REF!</v>
      </c>
    </row>
    <row r="6" spans="1:562" x14ac:dyDescent="0.35">
      <c r="A6">
        <v>146</v>
      </c>
      <c r="B6">
        <v>0</v>
      </c>
      <c r="C6" s="7" t="e">
        <f>IF(OR(#REF!&gt;2,#REF!&lt;-2),"",#REF!)</f>
        <v>#REF!</v>
      </c>
      <c r="D6" s="7" t="e">
        <f>IF(OR(#REF!&gt;2,#REF!&lt;-2),"",#REF!)</f>
        <v>#REF!</v>
      </c>
      <c r="E6" s="7" t="e">
        <f>IF(OR(#REF!&gt;2,#REF!&lt;-2),"",#REF!)</f>
        <v>#REF!</v>
      </c>
      <c r="F6" s="7" t="e">
        <f>IF(OR(#REF!&gt;2,#REF!&lt;-2),"",#REF!)</f>
        <v>#REF!</v>
      </c>
      <c r="G6" s="7" t="e">
        <f>IF(OR(#REF!&gt;2,#REF!&lt;-2),"",#REF!)</f>
        <v>#REF!</v>
      </c>
      <c r="H6" s="7" t="e">
        <f>IF(OR(#REF!&gt;2,#REF!&lt;-2),"",#REF!)</f>
        <v>#REF!</v>
      </c>
      <c r="I6" s="7" t="e">
        <f>IF(OR(#REF!&gt;2,#REF!&lt;-2),"",#REF!)</f>
        <v>#REF!</v>
      </c>
      <c r="J6" s="7" t="e">
        <f>IF(OR(#REF!&gt;2,#REF!&lt;-2),"",#REF!)</f>
        <v>#REF!</v>
      </c>
      <c r="K6" s="7" t="e">
        <f>IF(OR(#REF!&gt;2,#REF!&lt;-2),"",#REF!)</f>
        <v>#REF!</v>
      </c>
      <c r="L6" s="7" t="e">
        <f>IF(OR(#REF!&gt;2,#REF!&lt;-2),"",#REF!)</f>
        <v>#REF!</v>
      </c>
      <c r="M6" s="7" t="e">
        <f>IF(OR(#REF!&gt;2,#REF!&lt;-2),"",#REF!)</f>
        <v>#REF!</v>
      </c>
      <c r="N6" s="7" t="e">
        <f>IF(OR(#REF!&gt;2,#REF!&lt;-2),"",#REF!)</f>
        <v>#REF!</v>
      </c>
      <c r="O6" s="7" t="e">
        <f>IF(OR(#REF!&gt;2,#REF!&lt;-2),"",#REF!)</f>
        <v>#REF!</v>
      </c>
      <c r="P6" s="7" t="e">
        <f>IF(OR(#REF!&gt;2,#REF!&lt;-2),"",#REF!)</f>
        <v>#REF!</v>
      </c>
      <c r="Q6" s="7" t="e">
        <f>IF(OR(#REF!&gt;2,#REF!&lt;-2),"",#REF!)</f>
        <v>#REF!</v>
      </c>
      <c r="R6" s="7" t="e">
        <f>IF(OR(#REF!&gt;2,#REF!&lt;-2),"",#REF!)</f>
        <v>#REF!</v>
      </c>
      <c r="S6" s="7" t="e">
        <f>IF(OR(#REF!&gt;2,#REF!&lt;-2),"",#REF!)</f>
        <v>#REF!</v>
      </c>
      <c r="T6" s="7" t="e">
        <f>IF(OR(#REF!&gt;2,#REF!&lt;-2),"",#REF!)</f>
        <v>#REF!</v>
      </c>
      <c r="U6" s="7" t="e">
        <f>IF(OR(#REF!&gt;2,#REF!&lt;-2),"",#REF!)</f>
        <v>#REF!</v>
      </c>
      <c r="V6" s="7" t="e">
        <f>IF(OR(#REF!&gt;2,#REF!&lt;-2),"",#REF!)</f>
        <v>#REF!</v>
      </c>
      <c r="W6" s="7" t="e">
        <f>IF(OR(#REF!&gt;2,#REF!&lt;-2),"",#REF!)</f>
        <v>#REF!</v>
      </c>
      <c r="X6" s="7" t="e">
        <f>IF(OR(#REF!&gt;2,#REF!&lt;-2),"",#REF!)</f>
        <v>#REF!</v>
      </c>
      <c r="Y6" s="7" t="e">
        <f>IF(OR(#REF!&gt;2,#REF!&lt;-2),"",#REF!)</f>
        <v>#REF!</v>
      </c>
      <c r="Z6" s="7" t="e">
        <f>IF(OR(#REF!&gt;2,#REF!&lt;-2),"",#REF!)</f>
        <v>#REF!</v>
      </c>
      <c r="AA6" s="7" t="e">
        <f>IF(OR(#REF!&gt;2,#REF!&lt;-2),"",#REF!)</f>
        <v>#REF!</v>
      </c>
      <c r="AB6" s="7" t="e">
        <f>IF(OR(#REF!&gt;2,#REF!&lt;-2),"",#REF!)</f>
        <v>#REF!</v>
      </c>
      <c r="AC6" s="7" t="e">
        <f>IF(OR(#REF!&gt;2,#REF!&lt;-2),"",#REF!)</f>
        <v>#REF!</v>
      </c>
      <c r="AD6" s="7" t="e">
        <f>IF(OR(#REF!&gt;2,#REF!&lt;-2),"",#REF!)</f>
        <v>#REF!</v>
      </c>
      <c r="AE6" s="7" t="e">
        <f>IF(OR(#REF!&gt;2,#REF!&lt;-2),"",#REF!)</f>
        <v>#REF!</v>
      </c>
      <c r="AF6" s="7" t="e">
        <f>IF(OR(#REF!&gt;2,#REF!&lt;-2),"",#REF!)</f>
        <v>#REF!</v>
      </c>
      <c r="AG6" s="7" t="e">
        <f>IF(OR(#REF!&gt;2,#REF!&lt;-2),"",#REF!)</f>
        <v>#REF!</v>
      </c>
      <c r="AH6" s="7" t="e">
        <f>IF(OR(#REF!&gt;2,#REF!&lt;-2),"",#REF!)</f>
        <v>#REF!</v>
      </c>
      <c r="AI6" s="7" t="e">
        <f>IF(OR(#REF!&gt;2,#REF!&lt;-2),"",#REF!)</f>
        <v>#REF!</v>
      </c>
      <c r="AJ6" s="7" t="e">
        <f>IF(OR(#REF!&gt;2,#REF!&lt;-2),"",#REF!)</f>
        <v>#REF!</v>
      </c>
      <c r="AK6" s="7" t="e">
        <f>IF(OR(#REF!&gt;2,#REF!&lt;-2),"",#REF!)</f>
        <v>#REF!</v>
      </c>
      <c r="AL6" s="7" t="e">
        <f>IF(OR(#REF!&gt;2,#REF!&lt;-2),"",#REF!)</f>
        <v>#REF!</v>
      </c>
      <c r="AM6" s="7" t="e">
        <f>IF(OR(#REF!&gt;2,#REF!&lt;-2),"",#REF!)</f>
        <v>#REF!</v>
      </c>
      <c r="AN6" s="7" t="e">
        <f>IF(OR(#REF!&gt;2,#REF!&lt;-2),"",#REF!)</f>
        <v>#REF!</v>
      </c>
      <c r="AO6" s="7" t="e">
        <f>IF(OR(#REF!&gt;2,#REF!&lt;-2),"",#REF!)</f>
        <v>#REF!</v>
      </c>
      <c r="AP6" s="7" t="e">
        <f>IF(OR(#REF!&gt;2,#REF!&lt;-2),"",#REF!)</f>
        <v>#REF!</v>
      </c>
      <c r="AQ6" s="7" t="e">
        <f>IF(OR(#REF!&gt;2,#REF!&lt;-2),"",#REF!)</f>
        <v>#REF!</v>
      </c>
      <c r="AR6" s="7" t="e">
        <f>IF(OR(#REF!&gt;2,#REF!&lt;-2),"",#REF!)</f>
        <v>#REF!</v>
      </c>
      <c r="AS6" s="7" t="e">
        <f>IF(OR(#REF!&gt;2,#REF!&lt;-2),"",#REF!)</f>
        <v>#REF!</v>
      </c>
      <c r="AT6" s="7" t="e">
        <f>IF(OR(#REF!&gt;2,#REF!&lt;-2),"",#REF!)</f>
        <v>#REF!</v>
      </c>
      <c r="AU6" s="7" t="e">
        <f>IF(OR(#REF!&gt;2,#REF!&lt;-2),"",#REF!)</f>
        <v>#REF!</v>
      </c>
      <c r="AV6" s="7" t="e">
        <f>IF(OR(#REF!&gt;2,#REF!&lt;-2),"",#REF!)</f>
        <v>#REF!</v>
      </c>
      <c r="AW6" s="7" t="e">
        <f>IF(OR(#REF!&gt;2,#REF!&lt;-2),"",#REF!)</f>
        <v>#REF!</v>
      </c>
      <c r="AX6" s="7" t="e">
        <f>IF(OR(#REF!&gt;2,#REF!&lt;-2),"",#REF!)</f>
        <v>#REF!</v>
      </c>
      <c r="AY6" s="7" t="e">
        <f>IF(OR(#REF!&gt;2,#REF!&lt;-2),"",#REF!)</f>
        <v>#REF!</v>
      </c>
      <c r="AZ6" s="7" t="e">
        <f>IF(OR(#REF!&gt;2,#REF!&lt;-2),"",#REF!)</f>
        <v>#REF!</v>
      </c>
      <c r="BA6" s="7" t="e">
        <f>IF(OR(#REF!&gt;2,#REF!&lt;-2),"",#REF!)</f>
        <v>#REF!</v>
      </c>
      <c r="BB6" s="7" t="e">
        <f>IF(OR(#REF!&gt;2,#REF!&lt;-2),"",#REF!)</f>
        <v>#REF!</v>
      </c>
      <c r="BC6" s="7" t="e">
        <f>IF(OR(#REF!&gt;2,#REF!&lt;-2),"",#REF!)</f>
        <v>#REF!</v>
      </c>
      <c r="BD6" s="7" t="e">
        <f>IF(OR(#REF!&gt;2,#REF!&lt;-2),"",#REF!)</f>
        <v>#REF!</v>
      </c>
      <c r="BE6" s="7" t="e">
        <f>IF(OR(#REF!&gt;2,#REF!&lt;-2),"",#REF!)</f>
        <v>#REF!</v>
      </c>
      <c r="BF6" s="7" t="e">
        <f>IF(OR(#REF!&gt;2,#REF!&lt;-2),"",#REF!)</f>
        <v>#REF!</v>
      </c>
      <c r="BG6" s="7" t="e">
        <f>IF(OR(#REF!&gt;2,#REF!&lt;-2),"",#REF!)</f>
        <v>#REF!</v>
      </c>
      <c r="BH6" s="7" t="e">
        <f>IF(OR(#REF!&gt;2,#REF!&lt;-2),"",#REF!)</f>
        <v>#REF!</v>
      </c>
      <c r="BI6" s="7" t="e">
        <f>IF(OR(#REF!&gt;2,#REF!&lt;-2),"",#REF!)</f>
        <v>#REF!</v>
      </c>
      <c r="BJ6" s="7" t="e">
        <f>IF(OR(#REF!&gt;2,#REF!&lt;-2),"",#REF!)</f>
        <v>#REF!</v>
      </c>
      <c r="BK6" s="7" t="e">
        <f>IF(OR(#REF!&gt;2,#REF!&lt;-2),"",#REF!)</f>
        <v>#REF!</v>
      </c>
      <c r="BL6" s="7" t="e">
        <f>IF(OR(#REF!&gt;2,#REF!&lt;-2),"",#REF!)</f>
        <v>#REF!</v>
      </c>
      <c r="BM6" s="7" t="e">
        <f>IF(OR(#REF!&gt;2,#REF!&lt;-2),"",#REF!)</f>
        <v>#REF!</v>
      </c>
      <c r="BN6" s="7" t="e">
        <f>IF(OR(#REF!&gt;2,#REF!&lt;-2),"",#REF!)</f>
        <v>#REF!</v>
      </c>
      <c r="BO6" s="7" t="e">
        <f>IF(OR(#REF!&gt;2,#REF!&lt;-2),"",#REF!)</f>
        <v>#REF!</v>
      </c>
      <c r="BP6" s="7" t="e">
        <f>IF(OR(#REF!&gt;2,#REF!&lt;-2),"",#REF!)</f>
        <v>#REF!</v>
      </c>
      <c r="BQ6" s="7" t="e">
        <f>IF(OR(#REF!&gt;2,#REF!&lt;-2),"",#REF!)</f>
        <v>#REF!</v>
      </c>
      <c r="BR6" s="7" t="e">
        <f>IF(OR(#REF!&gt;2,#REF!&lt;-2),"",#REF!)</f>
        <v>#REF!</v>
      </c>
      <c r="BS6" s="7" t="e">
        <f>IF(OR(#REF!&gt;2,#REF!&lt;-2),"",#REF!)</f>
        <v>#REF!</v>
      </c>
      <c r="BT6" s="7" t="e">
        <f>IF(OR(#REF!&gt;2,#REF!&lt;-2),"",#REF!)</f>
        <v>#REF!</v>
      </c>
      <c r="BU6" s="7" t="e">
        <f>IF(OR(#REF!&gt;2,#REF!&lt;-2),"",#REF!)</f>
        <v>#REF!</v>
      </c>
      <c r="BV6" s="7" t="e">
        <f>IF(OR(#REF!&gt;2,#REF!&lt;-2),"",#REF!)</f>
        <v>#REF!</v>
      </c>
      <c r="BW6" s="7" t="e">
        <f>IF(OR(#REF!&gt;2,#REF!&lt;-2),"",#REF!)</f>
        <v>#REF!</v>
      </c>
      <c r="BX6" s="7" t="e">
        <f>IF(OR(#REF!&gt;2,#REF!&lt;-2),"",#REF!)</f>
        <v>#REF!</v>
      </c>
      <c r="BY6" s="7" t="e">
        <f>IF(OR(#REF!&gt;2,#REF!&lt;-2),"",#REF!)</f>
        <v>#REF!</v>
      </c>
      <c r="BZ6" s="7" t="e">
        <f>IF(OR(#REF!&gt;2,#REF!&lt;-2),"",#REF!)</f>
        <v>#REF!</v>
      </c>
      <c r="CA6" s="7" t="e">
        <f>IF(OR(#REF!&gt;2,#REF!&lt;-2),"",#REF!)</f>
        <v>#REF!</v>
      </c>
      <c r="CB6" s="7" t="e">
        <f>IF(OR(#REF!&gt;2,#REF!&lt;-2),"",#REF!)</f>
        <v>#REF!</v>
      </c>
      <c r="CC6" s="7" t="e">
        <f>IF(OR(#REF!&gt;2,#REF!&lt;-2),"",#REF!)</f>
        <v>#REF!</v>
      </c>
      <c r="CD6" s="7" t="e">
        <f>IF(OR(#REF!&gt;2,#REF!&lt;-2),"",#REF!)</f>
        <v>#REF!</v>
      </c>
      <c r="CE6" s="7" t="e">
        <f>IF(OR(#REF!&gt;2,#REF!&lt;-2),"",#REF!)</f>
        <v>#REF!</v>
      </c>
      <c r="CF6" s="7" t="e">
        <f>IF(OR(#REF!&gt;2,#REF!&lt;-2),"",#REF!)</f>
        <v>#REF!</v>
      </c>
      <c r="CG6" s="7" t="e">
        <f>IF(OR(#REF!&gt;2,#REF!&lt;-2),"",#REF!)</f>
        <v>#REF!</v>
      </c>
      <c r="CH6" s="7" t="e">
        <f>IF(OR(#REF!&gt;2,#REF!&lt;-2),"",#REF!)</f>
        <v>#REF!</v>
      </c>
      <c r="CI6" s="7" t="e">
        <f>IF(OR(#REF!&gt;2,#REF!&lt;-2),"",#REF!)</f>
        <v>#REF!</v>
      </c>
      <c r="CJ6" s="7" t="e">
        <f>IF(OR(#REF!&gt;2,#REF!&lt;-2),"",#REF!)</f>
        <v>#REF!</v>
      </c>
      <c r="CK6" s="7" t="e">
        <f>IF(OR(#REF!&gt;2,#REF!&lt;-2),"",#REF!)</f>
        <v>#REF!</v>
      </c>
      <c r="CL6" s="7" t="e">
        <f>IF(OR(#REF!&gt;2,#REF!&lt;-2),"",#REF!)</f>
        <v>#REF!</v>
      </c>
      <c r="CM6" s="7" t="e">
        <f>IF(OR(#REF!&gt;2,#REF!&lt;-2),"",#REF!)</f>
        <v>#REF!</v>
      </c>
      <c r="CN6" s="7" t="e">
        <f>IF(OR(#REF!&gt;2,#REF!&lt;-2),"",#REF!)</f>
        <v>#REF!</v>
      </c>
      <c r="CO6" s="7" t="e">
        <f>IF(OR(#REF!&gt;2,#REF!&lt;-2),"",#REF!)</f>
        <v>#REF!</v>
      </c>
      <c r="CP6" s="7" t="e">
        <f>IF(OR(#REF!&gt;2,#REF!&lt;-2),"",#REF!)</f>
        <v>#REF!</v>
      </c>
      <c r="CQ6" s="7" t="e">
        <f>IF(OR(#REF!&gt;2,#REF!&lt;-2),"",#REF!)</f>
        <v>#REF!</v>
      </c>
      <c r="CR6" s="7" t="e">
        <f>IF(OR(#REF!&gt;2,#REF!&lt;-2),"",#REF!)</f>
        <v>#REF!</v>
      </c>
      <c r="CS6" s="7" t="e">
        <f>IF(OR(#REF!&gt;2,#REF!&lt;-2),"",#REF!)</f>
        <v>#REF!</v>
      </c>
      <c r="CT6" s="7" t="e">
        <f>IF(OR(#REF!&gt;2,#REF!&lt;-2),"",#REF!)</f>
        <v>#REF!</v>
      </c>
      <c r="CU6" s="7" t="e">
        <f>IF(OR(#REF!&gt;2,#REF!&lt;-2),"",#REF!)</f>
        <v>#REF!</v>
      </c>
      <c r="CV6" s="7" t="e">
        <f>IF(OR(#REF!&gt;2,#REF!&lt;-2),"",#REF!)</f>
        <v>#REF!</v>
      </c>
      <c r="CW6" s="7" t="e">
        <f>IF(OR(#REF!&gt;2,#REF!&lt;-2),"",#REF!)</f>
        <v>#REF!</v>
      </c>
      <c r="CX6" s="7" t="e">
        <f>IF(OR(#REF!&gt;2,#REF!&lt;-2),"",#REF!)</f>
        <v>#REF!</v>
      </c>
      <c r="CY6" s="7" t="e">
        <f>IF(OR(#REF!&gt;2,#REF!&lt;-2),"",#REF!)</f>
        <v>#REF!</v>
      </c>
      <c r="CZ6" s="7" t="e">
        <f>IF(OR(#REF!&gt;2,#REF!&lt;-2),"",#REF!)</f>
        <v>#REF!</v>
      </c>
      <c r="DA6" s="7" t="e">
        <f>IF(OR(#REF!&gt;2,#REF!&lt;-2),"",#REF!)</f>
        <v>#REF!</v>
      </c>
      <c r="DB6" s="7" t="e">
        <f>IF(OR(#REF!&gt;2,#REF!&lt;-2),"",#REF!)</f>
        <v>#REF!</v>
      </c>
      <c r="DC6" s="7" t="e">
        <f>IF(OR(#REF!&gt;2,#REF!&lt;-2),"",#REF!)</f>
        <v>#REF!</v>
      </c>
      <c r="DD6" s="7" t="e">
        <f>IF(OR(#REF!&gt;2,#REF!&lt;-2),"",#REF!)</f>
        <v>#REF!</v>
      </c>
      <c r="DE6" s="7" t="e">
        <f>IF(OR(#REF!&gt;2,#REF!&lt;-2),"",#REF!)</f>
        <v>#REF!</v>
      </c>
      <c r="DF6" s="7" t="e">
        <f>IF(OR(#REF!&gt;2,#REF!&lt;-2),"",#REF!)</f>
        <v>#REF!</v>
      </c>
      <c r="DG6" s="7" t="e">
        <f>IF(OR(#REF!&gt;2,#REF!&lt;-2),"",#REF!)</f>
        <v>#REF!</v>
      </c>
      <c r="DH6" s="7" t="e">
        <f>IF(OR(#REF!&gt;2,#REF!&lt;-2),"",#REF!)</f>
        <v>#REF!</v>
      </c>
      <c r="DI6" s="7" t="e">
        <f>IF(OR(#REF!&gt;2,#REF!&lt;-2),"",#REF!)</f>
        <v>#REF!</v>
      </c>
      <c r="DJ6" s="7" t="e">
        <f>IF(OR(#REF!&gt;2,#REF!&lt;-2),"",#REF!)</f>
        <v>#REF!</v>
      </c>
      <c r="DK6" s="7" t="e">
        <f>IF(OR(#REF!&gt;2,#REF!&lt;-2),"",#REF!)</f>
        <v>#REF!</v>
      </c>
      <c r="DL6" s="7" t="e">
        <f>IF(OR(#REF!&gt;2,#REF!&lt;-2),"",#REF!)</f>
        <v>#REF!</v>
      </c>
      <c r="DM6" s="7" t="e">
        <f>IF(OR(#REF!&gt;2,#REF!&lt;-2),"",#REF!)</f>
        <v>#REF!</v>
      </c>
      <c r="DN6" s="7" t="e">
        <f>IF(OR(#REF!&gt;2,#REF!&lt;-2),"",#REF!)</f>
        <v>#REF!</v>
      </c>
      <c r="DO6" s="7" t="e">
        <f>IF(OR(#REF!&gt;2,#REF!&lt;-2),"",#REF!)</f>
        <v>#REF!</v>
      </c>
      <c r="DP6" s="7" t="e">
        <f>IF(OR(#REF!&gt;2,#REF!&lt;-2),"",#REF!)</f>
        <v>#REF!</v>
      </c>
      <c r="DQ6" s="7" t="e">
        <f>IF(OR(#REF!&gt;2,#REF!&lt;-2),"",#REF!)</f>
        <v>#REF!</v>
      </c>
      <c r="DR6" s="7" t="e">
        <f>IF(OR(#REF!&gt;2,#REF!&lt;-2),"",#REF!)</f>
        <v>#REF!</v>
      </c>
      <c r="DS6" s="7" t="e">
        <f>IF(OR(#REF!&gt;2,#REF!&lt;-2),"",#REF!)</f>
        <v>#REF!</v>
      </c>
      <c r="DT6" s="7" t="e">
        <f>IF(OR(#REF!&gt;2,#REF!&lt;-2),"",#REF!)</f>
        <v>#REF!</v>
      </c>
      <c r="DU6" s="7" t="e">
        <f>IF(OR(#REF!&gt;2,#REF!&lt;-2),"",#REF!)</f>
        <v>#REF!</v>
      </c>
      <c r="DV6" s="7" t="e">
        <f>IF(OR(#REF!&gt;2,#REF!&lt;-2),"",#REF!)</f>
        <v>#REF!</v>
      </c>
      <c r="DW6" s="7" t="e">
        <f>IF(OR(#REF!&gt;2,#REF!&lt;-2),"",#REF!)</f>
        <v>#REF!</v>
      </c>
      <c r="DX6" s="7" t="e">
        <f>IF(OR(#REF!&gt;2,#REF!&lt;-2),"",#REF!)</f>
        <v>#REF!</v>
      </c>
      <c r="DY6" s="7" t="e">
        <f>IF(OR(#REF!&gt;2,#REF!&lt;-2),"",#REF!)</f>
        <v>#REF!</v>
      </c>
      <c r="DZ6" s="7" t="e">
        <f>IF(OR(#REF!&gt;2,#REF!&lt;-2),"",#REF!)</f>
        <v>#REF!</v>
      </c>
      <c r="EA6" s="7" t="e">
        <f>IF(OR(#REF!&gt;2,#REF!&lt;-2),"",#REF!)</f>
        <v>#REF!</v>
      </c>
      <c r="EB6" s="7" t="e">
        <f>IF(OR(#REF!&gt;2,#REF!&lt;-2),"",#REF!)</f>
        <v>#REF!</v>
      </c>
      <c r="EC6" s="7" t="e">
        <f>IF(OR(#REF!&gt;2,#REF!&lt;-2),"",#REF!)</f>
        <v>#REF!</v>
      </c>
      <c r="ED6" s="7" t="e">
        <f>IF(OR(#REF!&gt;2,#REF!&lt;-2),"",#REF!)</f>
        <v>#REF!</v>
      </c>
      <c r="EE6" s="7" t="e">
        <f>IF(OR(#REF!&gt;2,#REF!&lt;-2),"",#REF!)</f>
        <v>#REF!</v>
      </c>
      <c r="EF6" s="7" t="e">
        <f>IF(OR(#REF!&gt;2,#REF!&lt;-2),"",#REF!)</f>
        <v>#REF!</v>
      </c>
      <c r="EG6" s="7" t="e">
        <f>IF(OR(#REF!&gt;2,#REF!&lt;-2),"",#REF!)</f>
        <v>#REF!</v>
      </c>
      <c r="EH6" s="7" t="e">
        <f>IF(OR(#REF!&gt;2,#REF!&lt;-2),"",#REF!)</f>
        <v>#REF!</v>
      </c>
      <c r="EI6" s="7" t="e">
        <f>IF(OR(#REF!&gt;2,#REF!&lt;-2),"",#REF!)</f>
        <v>#REF!</v>
      </c>
      <c r="EJ6" s="7" t="e">
        <f>IF(OR(#REF!&gt;2,#REF!&lt;-2),"",#REF!)</f>
        <v>#REF!</v>
      </c>
      <c r="EK6" s="7" t="e">
        <f>IF(OR(#REF!&gt;2,#REF!&lt;-2),"",#REF!)</f>
        <v>#REF!</v>
      </c>
      <c r="EL6" s="7" t="e">
        <f>IF(OR(#REF!&gt;2,#REF!&lt;-2),"",#REF!)</f>
        <v>#REF!</v>
      </c>
      <c r="EM6" s="7" t="e">
        <f>IF(OR(#REF!&gt;2,#REF!&lt;-2),"",#REF!)</f>
        <v>#REF!</v>
      </c>
      <c r="EN6" s="7" t="e">
        <f>IF(OR(#REF!&gt;2,#REF!&lt;-2),"",#REF!)</f>
        <v>#REF!</v>
      </c>
      <c r="EO6" s="7" t="e">
        <f>IF(OR(#REF!&gt;2,#REF!&lt;-2),"",#REF!)</f>
        <v>#REF!</v>
      </c>
      <c r="EP6" s="7" t="e">
        <f>IF(OR(#REF!&gt;2,#REF!&lt;-2),"",#REF!)</f>
        <v>#REF!</v>
      </c>
      <c r="EQ6" s="7" t="e">
        <f>IF(OR(#REF!&gt;2,#REF!&lt;-2),"",#REF!)</f>
        <v>#REF!</v>
      </c>
      <c r="ER6" s="7" t="e">
        <f>IF(OR(#REF!&gt;2,#REF!&lt;-2),"",#REF!)</f>
        <v>#REF!</v>
      </c>
      <c r="ES6" s="7" t="e">
        <f>IF(OR(#REF!&gt;2,#REF!&lt;-2),"",#REF!)</f>
        <v>#REF!</v>
      </c>
      <c r="ET6" s="7" t="e">
        <f>IF(OR(#REF!&gt;2,#REF!&lt;-2),"",#REF!)</f>
        <v>#REF!</v>
      </c>
      <c r="EU6" s="7" t="e">
        <f>IF(OR(#REF!&gt;2,#REF!&lt;-2),"",#REF!)</f>
        <v>#REF!</v>
      </c>
      <c r="EV6" s="7" t="e">
        <f>IF(OR(#REF!&gt;2,#REF!&lt;-2),"",#REF!)</f>
        <v>#REF!</v>
      </c>
      <c r="EW6" s="7" t="e">
        <f>IF(OR(#REF!&gt;2,#REF!&lt;-2),"",#REF!)</f>
        <v>#REF!</v>
      </c>
      <c r="EX6" s="7" t="e">
        <f>IF(OR(#REF!&gt;2,#REF!&lt;-2),"",#REF!)</f>
        <v>#REF!</v>
      </c>
      <c r="EY6" s="7" t="e">
        <f>IF(OR(#REF!&gt;2,#REF!&lt;-2),"",#REF!)</f>
        <v>#REF!</v>
      </c>
      <c r="EZ6" s="7" t="e">
        <f>IF(OR(#REF!&gt;2,#REF!&lt;-2),"",#REF!)</f>
        <v>#REF!</v>
      </c>
      <c r="FA6" s="7" t="e">
        <f>IF(OR(#REF!&gt;2,#REF!&lt;-2),"",#REF!)</f>
        <v>#REF!</v>
      </c>
      <c r="FB6" s="7" t="e">
        <f>IF(OR(#REF!&gt;2,#REF!&lt;-2),"",#REF!)</f>
        <v>#REF!</v>
      </c>
      <c r="FC6" s="7" t="e">
        <f>IF(OR(#REF!&gt;2,#REF!&lt;-2),"",#REF!)</f>
        <v>#REF!</v>
      </c>
      <c r="FD6" s="7" t="e">
        <f>IF(OR(#REF!&gt;2,#REF!&lt;-2),"",#REF!)</f>
        <v>#REF!</v>
      </c>
      <c r="FE6" s="7" t="e">
        <f>IF(OR(#REF!&gt;2,#REF!&lt;-2),"",#REF!)</f>
        <v>#REF!</v>
      </c>
      <c r="FF6" s="7" t="e">
        <f>IF(OR(#REF!&gt;2,#REF!&lt;-2),"",#REF!)</f>
        <v>#REF!</v>
      </c>
      <c r="FG6" s="7" t="e">
        <f>IF(OR(#REF!&gt;2,#REF!&lt;-2),"",#REF!)</f>
        <v>#REF!</v>
      </c>
      <c r="FH6" s="7" t="e">
        <f>IF(OR(#REF!&gt;2,#REF!&lt;-2),"",#REF!)</f>
        <v>#REF!</v>
      </c>
      <c r="FI6" s="7" t="e">
        <f>IF(OR(#REF!&gt;2,#REF!&lt;-2),"",#REF!)</f>
        <v>#REF!</v>
      </c>
      <c r="FJ6" s="7" t="e">
        <f>IF(OR(#REF!&gt;2,#REF!&lt;-2),"",#REF!)</f>
        <v>#REF!</v>
      </c>
      <c r="FK6" s="7" t="e">
        <f>IF(OR(#REF!&gt;2,#REF!&lt;-2),"",#REF!)</f>
        <v>#REF!</v>
      </c>
      <c r="FL6" s="7" t="e">
        <f>IF(OR(#REF!&gt;2,#REF!&lt;-2),"",#REF!)</f>
        <v>#REF!</v>
      </c>
      <c r="FM6" s="7" t="e">
        <f>IF(OR(#REF!&gt;2,#REF!&lt;-2),"",#REF!)</f>
        <v>#REF!</v>
      </c>
      <c r="FN6" s="7" t="e">
        <f>IF(OR(#REF!&gt;2,#REF!&lt;-2),"",#REF!)</f>
        <v>#REF!</v>
      </c>
      <c r="FO6" s="7" t="e">
        <f>IF(OR(#REF!&gt;2,#REF!&lt;-2),"",#REF!)</f>
        <v>#REF!</v>
      </c>
      <c r="FP6" s="7" t="e">
        <f>IF(OR(#REF!&gt;2,#REF!&lt;-2),"",#REF!)</f>
        <v>#REF!</v>
      </c>
      <c r="FQ6" s="7" t="e">
        <f>IF(OR(#REF!&gt;2,#REF!&lt;-2),"",#REF!)</f>
        <v>#REF!</v>
      </c>
      <c r="FR6" s="7" t="e">
        <f>IF(OR(#REF!&gt;2,#REF!&lt;-2),"",#REF!)</f>
        <v>#REF!</v>
      </c>
      <c r="FS6" s="7" t="e">
        <f>IF(OR(#REF!&gt;2,#REF!&lt;-2),"",#REF!)</f>
        <v>#REF!</v>
      </c>
      <c r="FT6" s="7" t="e">
        <f>IF(OR(#REF!&gt;2,#REF!&lt;-2),"",#REF!)</f>
        <v>#REF!</v>
      </c>
      <c r="FU6" s="7" t="e">
        <f>IF(OR(#REF!&gt;2,#REF!&lt;-2),"",#REF!)</f>
        <v>#REF!</v>
      </c>
      <c r="FV6" s="7" t="e">
        <f>IF(OR(#REF!&gt;2,#REF!&lt;-2),"",#REF!)</f>
        <v>#REF!</v>
      </c>
      <c r="FW6" s="7" t="e">
        <f>IF(OR(#REF!&gt;2,#REF!&lt;-2),"",#REF!)</f>
        <v>#REF!</v>
      </c>
      <c r="FX6" s="7" t="e">
        <f>IF(OR(#REF!&gt;2,#REF!&lt;-2),"",#REF!)</f>
        <v>#REF!</v>
      </c>
      <c r="FY6" s="7" t="e">
        <f>IF(OR(#REF!&gt;2,#REF!&lt;-2),"",#REF!)</f>
        <v>#REF!</v>
      </c>
      <c r="FZ6" s="7" t="e">
        <f>IF(OR(#REF!&gt;2,#REF!&lt;-2),"",#REF!)</f>
        <v>#REF!</v>
      </c>
      <c r="GA6" s="7" t="e">
        <f>IF(OR(#REF!&gt;2,#REF!&lt;-2),"",#REF!)</f>
        <v>#REF!</v>
      </c>
      <c r="GB6" s="7" t="e">
        <f>IF(OR(#REF!&gt;2,#REF!&lt;-2),"",#REF!)</f>
        <v>#REF!</v>
      </c>
      <c r="GC6" s="7" t="e">
        <f>IF(OR(#REF!&gt;2,#REF!&lt;-2),"",#REF!)</f>
        <v>#REF!</v>
      </c>
      <c r="GD6" s="7" t="e">
        <f>IF(OR(#REF!&gt;2,#REF!&lt;-2),"",#REF!)</f>
        <v>#REF!</v>
      </c>
      <c r="GE6" s="7" t="e">
        <f>IF(OR(#REF!&gt;2,#REF!&lt;-2),"",#REF!)</f>
        <v>#REF!</v>
      </c>
      <c r="GF6" s="7" t="e">
        <f>IF(OR(#REF!&gt;2,#REF!&lt;-2),"",#REF!)</f>
        <v>#REF!</v>
      </c>
      <c r="GG6" s="7" t="e">
        <f>IF(OR(#REF!&gt;2,#REF!&lt;-2),"",#REF!)</f>
        <v>#REF!</v>
      </c>
      <c r="GH6" s="7" t="e">
        <f>IF(OR(#REF!&gt;2,#REF!&lt;-2),"",#REF!)</f>
        <v>#REF!</v>
      </c>
      <c r="GI6" s="7" t="e">
        <f>IF(OR(#REF!&gt;2,#REF!&lt;-2),"",#REF!)</f>
        <v>#REF!</v>
      </c>
      <c r="GJ6" s="7" t="e">
        <f>IF(OR(#REF!&gt;2,#REF!&lt;-2),"",#REF!)</f>
        <v>#REF!</v>
      </c>
      <c r="GK6" s="7" t="e">
        <f>IF(OR(#REF!&gt;2,#REF!&lt;-2),"",#REF!)</f>
        <v>#REF!</v>
      </c>
      <c r="GL6" s="7" t="e">
        <f>IF(OR(#REF!&gt;2,#REF!&lt;-2),"",#REF!)</f>
        <v>#REF!</v>
      </c>
      <c r="GM6" s="7" t="e">
        <f>IF(OR(#REF!&gt;2,#REF!&lt;-2),"",#REF!)</f>
        <v>#REF!</v>
      </c>
      <c r="GN6" s="7" t="e">
        <f>IF(OR(#REF!&gt;2,#REF!&lt;-2),"",#REF!)</f>
        <v>#REF!</v>
      </c>
      <c r="GO6" s="7" t="e">
        <f>IF(OR(#REF!&gt;2,#REF!&lt;-2),"",#REF!)</f>
        <v>#REF!</v>
      </c>
      <c r="GP6" s="7" t="e">
        <f>IF(OR(#REF!&gt;2,#REF!&lt;-2),"",#REF!)</f>
        <v>#REF!</v>
      </c>
      <c r="GQ6" s="7" t="e">
        <f>IF(OR(#REF!&gt;2,#REF!&lt;-2),"",#REF!)</f>
        <v>#REF!</v>
      </c>
      <c r="GR6" s="7" t="e">
        <f>IF(OR(#REF!&gt;2,#REF!&lt;-2),"",#REF!)</f>
        <v>#REF!</v>
      </c>
      <c r="GS6" s="7" t="e">
        <f>IF(OR(#REF!&gt;2,#REF!&lt;-2),"",#REF!)</f>
        <v>#REF!</v>
      </c>
      <c r="GT6" s="7" t="e">
        <f>IF(OR(#REF!&gt;2,#REF!&lt;-2),"",#REF!)</f>
        <v>#REF!</v>
      </c>
      <c r="GU6" s="7" t="e">
        <f>IF(OR(#REF!&gt;2,#REF!&lt;-2),"",#REF!)</f>
        <v>#REF!</v>
      </c>
      <c r="GV6" s="7" t="e">
        <f>IF(OR(#REF!&gt;2,#REF!&lt;-2),"",#REF!)</f>
        <v>#REF!</v>
      </c>
      <c r="GW6" s="7" t="e">
        <f>IF(OR(#REF!&gt;2,#REF!&lt;-2),"",#REF!)</f>
        <v>#REF!</v>
      </c>
      <c r="GX6" s="7" t="e">
        <f>IF(OR(#REF!&gt;2,#REF!&lt;-2),"",#REF!)</f>
        <v>#REF!</v>
      </c>
      <c r="GY6" s="7" t="e">
        <f>IF(OR(#REF!&gt;2,#REF!&lt;-2),"",#REF!)</f>
        <v>#REF!</v>
      </c>
      <c r="GZ6" s="7" t="e">
        <f>IF(OR(#REF!&gt;2,#REF!&lt;-2),"",#REF!)</f>
        <v>#REF!</v>
      </c>
      <c r="HA6" s="7" t="e">
        <f>IF(OR(#REF!&gt;2,#REF!&lt;-2),"",#REF!)</f>
        <v>#REF!</v>
      </c>
      <c r="HB6" s="7" t="e">
        <f>IF(OR(#REF!&gt;2,#REF!&lt;-2),"",#REF!)</f>
        <v>#REF!</v>
      </c>
      <c r="HC6" s="7" t="e">
        <f>IF(OR(#REF!&gt;2,#REF!&lt;-2),"",#REF!)</f>
        <v>#REF!</v>
      </c>
      <c r="HD6" s="7" t="e">
        <f>IF(OR(#REF!&gt;2,#REF!&lt;-2),"",#REF!)</f>
        <v>#REF!</v>
      </c>
      <c r="HE6" s="7" t="e">
        <f>IF(OR(#REF!&gt;2,#REF!&lt;-2),"",#REF!)</f>
        <v>#REF!</v>
      </c>
      <c r="HF6" s="7" t="e">
        <f>IF(OR(#REF!&gt;2,#REF!&lt;-2),"",#REF!)</f>
        <v>#REF!</v>
      </c>
      <c r="HG6" s="7" t="e">
        <f>IF(OR(#REF!&gt;2,#REF!&lt;-2),"",#REF!)</f>
        <v>#REF!</v>
      </c>
      <c r="HH6" s="7" t="e">
        <f>IF(OR(#REF!&gt;2,#REF!&lt;-2),"",#REF!)</f>
        <v>#REF!</v>
      </c>
      <c r="HI6" s="7" t="e">
        <f>IF(OR(#REF!&gt;2,#REF!&lt;-2),"",#REF!)</f>
        <v>#REF!</v>
      </c>
      <c r="HJ6" s="7" t="e">
        <f>IF(OR(#REF!&gt;2,#REF!&lt;-2),"",#REF!)</f>
        <v>#REF!</v>
      </c>
      <c r="HK6" s="7" t="e">
        <f>IF(OR(#REF!&gt;2,#REF!&lt;-2),"",#REF!)</f>
        <v>#REF!</v>
      </c>
      <c r="HL6" s="7" t="e">
        <f>IF(OR(#REF!&gt;2,#REF!&lt;-2),"",#REF!)</f>
        <v>#REF!</v>
      </c>
      <c r="HM6" s="7" t="e">
        <f>IF(OR(#REF!&gt;2,#REF!&lt;-2),"",#REF!)</f>
        <v>#REF!</v>
      </c>
      <c r="HN6" s="7" t="e">
        <f>IF(OR(#REF!&gt;2,#REF!&lt;-2),"",#REF!)</f>
        <v>#REF!</v>
      </c>
      <c r="HO6" s="7" t="e">
        <f>IF(OR(#REF!&gt;2,#REF!&lt;-2),"",#REF!)</f>
        <v>#REF!</v>
      </c>
      <c r="HP6" s="7" t="e">
        <f>IF(OR(#REF!&gt;2,#REF!&lt;-2),"",#REF!)</f>
        <v>#REF!</v>
      </c>
      <c r="HQ6" s="7" t="e">
        <f>IF(OR(#REF!&gt;2,#REF!&lt;-2),"",#REF!)</f>
        <v>#REF!</v>
      </c>
      <c r="HR6" s="7" t="e">
        <f>IF(OR(#REF!&gt;2,#REF!&lt;-2),"",#REF!)</f>
        <v>#REF!</v>
      </c>
      <c r="HS6" s="7" t="e">
        <f>IF(OR(#REF!&gt;2,#REF!&lt;-2),"",#REF!)</f>
        <v>#REF!</v>
      </c>
      <c r="HT6" s="7" t="e">
        <f>IF(OR(#REF!&gt;2,#REF!&lt;-2),"",#REF!)</f>
        <v>#REF!</v>
      </c>
      <c r="HU6" s="7" t="e">
        <f>IF(OR(#REF!&gt;2,#REF!&lt;-2),"",#REF!)</f>
        <v>#REF!</v>
      </c>
      <c r="HV6" s="7" t="e">
        <f>IF(OR(#REF!&gt;2,#REF!&lt;-2),"",#REF!)</f>
        <v>#REF!</v>
      </c>
      <c r="HW6" s="7" t="e">
        <f>IF(OR(#REF!&gt;2,#REF!&lt;-2),"",#REF!)</f>
        <v>#REF!</v>
      </c>
      <c r="HX6" s="7" t="e">
        <f>IF(OR(#REF!&gt;2,#REF!&lt;-2),"",#REF!)</f>
        <v>#REF!</v>
      </c>
      <c r="HY6" s="7" t="e">
        <f>IF(OR(#REF!&gt;2,#REF!&lt;-2),"",#REF!)</f>
        <v>#REF!</v>
      </c>
      <c r="HZ6" s="7" t="e">
        <f>IF(OR(#REF!&gt;2,#REF!&lt;-2),"",#REF!)</f>
        <v>#REF!</v>
      </c>
      <c r="IA6" s="7" t="e">
        <f>IF(OR(#REF!&gt;2,#REF!&lt;-2),"",#REF!)</f>
        <v>#REF!</v>
      </c>
      <c r="IB6" s="7" t="e">
        <f>IF(OR(#REF!&gt;2,#REF!&lt;-2),"",#REF!)</f>
        <v>#REF!</v>
      </c>
      <c r="IC6" s="7" t="e">
        <f>IF(OR(#REF!&gt;2,#REF!&lt;-2),"",#REF!)</f>
        <v>#REF!</v>
      </c>
      <c r="ID6" s="7" t="e">
        <f>IF(OR(#REF!&gt;2,#REF!&lt;-2),"",#REF!)</f>
        <v>#REF!</v>
      </c>
      <c r="IE6" s="7" t="e">
        <f>IF(OR(#REF!&gt;2,#REF!&lt;-2),"",#REF!)</f>
        <v>#REF!</v>
      </c>
      <c r="IF6" s="7" t="e">
        <f>IF(OR(#REF!&gt;2,#REF!&lt;-2),"",#REF!)</f>
        <v>#REF!</v>
      </c>
      <c r="IG6" s="7" t="e">
        <f>IF(OR(#REF!&gt;2,#REF!&lt;-2),"",#REF!)</f>
        <v>#REF!</v>
      </c>
      <c r="IH6" s="7" t="e">
        <f>IF(OR(#REF!&gt;2,#REF!&lt;-2),"",#REF!)</f>
        <v>#REF!</v>
      </c>
      <c r="II6" s="7" t="e">
        <f>IF(OR(#REF!&gt;2,#REF!&lt;-2),"",#REF!)</f>
        <v>#REF!</v>
      </c>
      <c r="IJ6" s="7" t="e">
        <f>IF(OR(#REF!&gt;2,#REF!&lt;-2),"",#REF!)</f>
        <v>#REF!</v>
      </c>
      <c r="IK6" s="7" t="e">
        <f>IF(OR(#REF!&gt;2,#REF!&lt;-2),"",#REF!)</f>
        <v>#REF!</v>
      </c>
      <c r="IL6" s="7" t="e">
        <f>IF(OR(#REF!&gt;2,#REF!&lt;-2),"",#REF!)</f>
        <v>#REF!</v>
      </c>
      <c r="IM6" s="7" t="e">
        <f>IF(OR(#REF!&gt;2,#REF!&lt;-2),"",#REF!)</f>
        <v>#REF!</v>
      </c>
      <c r="IN6" s="7" t="e">
        <f>IF(OR(#REF!&gt;2,#REF!&lt;-2),"",#REF!)</f>
        <v>#REF!</v>
      </c>
      <c r="IO6" s="7" t="e">
        <f>IF(OR(#REF!&gt;2,#REF!&lt;-2),"",#REF!)</f>
        <v>#REF!</v>
      </c>
      <c r="IP6" s="7" t="e">
        <f>IF(OR(#REF!&gt;2,#REF!&lt;-2),"",#REF!)</f>
        <v>#REF!</v>
      </c>
      <c r="IQ6" s="7" t="e">
        <f>IF(OR(#REF!&gt;2,#REF!&lt;-2),"",#REF!)</f>
        <v>#REF!</v>
      </c>
      <c r="IR6" s="7" t="e">
        <f>IF(OR(#REF!&gt;2,#REF!&lt;-2),"",#REF!)</f>
        <v>#REF!</v>
      </c>
      <c r="IS6" s="7" t="e">
        <f>IF(OR(#REF!&gt;2,#REF!&lt;-2),"",#REF!)</f>
        <v>#REF!</v>
      </c>
      <c r="IT6" s="7" t="e">
        <f>IF(OR(#REF!&gt;2,#REF!&lt;-2),"",#REF!)</f>
        <v>#REF!</v>
      </c>
      <c r="IU6" s="7" t="e">
        <f>IF(OR(#REF!&gt;2,#REF!&lt;-2),"",#REF!)</f>
        <v>#REF!</v>
      </c>
      <c r="IV6" s="7" t="e">
        <f>IF(OR(#REF!&gt;2,#REF!&lt;-2),"",#REF!)</f>
        <v>#REF!</v>
      </c>
      <c r="IW6" s="7" t="e">
        <f>IF(OR(#REF!&gt;2,#REF!&lt;-2),"",#REF!)</f>
        <v>#REF!</v>
      </c>
      <c r="IX6" s="7" t="e">
        <f>IF(OR(#REF!&gt;2,#REF!&lt;-2),"",#REF!)</f>
        <v>#REF!</v>
      </c>
      <c r="IY6" s="7" t="e">
        <f>IF(OR(#REF!&gt;2,#REF!&lt;-2),"",#REF!)</f>
        <v>#REF!</v>
      </c>
      <c r="IZ6" s="7" t="e">
        <f>IF(OR(#REF!&gt;2,#REF!&lt;-2),"",#REF!)</f>
        <v>#REF!</v>
      </c>
      <c r="JA6" s="7" t="e">
        <f>IF(OR(#REF!&gt;2,#REF!&lt;-2),"",#REF!)</f>
        <v>#REF!</v>
      </c>
      <c r="JB6" s="7" t="e">
        <f>IF(OR(#REF!&gt;2,#REF!&lt;-2),"",#REF!)</f>
        <v>#REF!</v>
      </c>
      <c r="JC6" s="7" t="e">
        <f>IF(OR(#REF!&gt;2,#REF!&lt;-2),"",#REF!)</f>
        <v>#REF!</v>
      </c>
      <c r="JD6" s="7" t="e">
        <f>IF(OR(#REF!&gt;2,#REF!&lt;-2),"",#REF!)</f>
        <v>#REF!</v>
      </c>
      <c r="JE6" s="7" t="e">
        <f>IF(OR(#REF!&gt;2,#REF!&lt;-2),"",#REF!)</f>
        <v>#REF!</v>
      </c>
      <c r="JF6" s="7" t="e">
        <f>IF(OR(#REF!&gt;2,#REF!&lt;-2),"",#REF!)</f>
        <v>#REF!</v>
      </c>
      <c r="JG6" s="7" t="e">
        <f>IF(OR(#REF!&gt;2,#REF!&lt;-2),"",#REF!)</f>
        <v>#REF!</v>
      </c>
      <c r="JH6" s="7" t="e">
        <f>IF(OR(#REF!&gt;2,#REF!&lt;-2),"",#REF!)</f>
        <v>#REF!</v>
      </c>
      <c r="JI6" s="7" t="e">
        <f>IF(OR(#REF!&gt;2,#REF!&lt;-2),"",#REF!)</f>
        <v>#REF!</v>
      </c>
      <c r="JJ6" s="7" t="e">
        <f>IF(OR(#REF!&gt;2,#REF!&lt;-2),"",#REF!)</f>
        <v>#REF!</v>
      </c>
      <c r="JK6" s="7" t="e">
        <f>IF(OR(#REF!&gt;2,#REF!&lt;-2),"",#REF!)</f>
        <v>#REF!</v>
      </c>
      <c r="JL6" s="7" t="e">
        <f>IF(OR(#REF!&gt;2,#REF!&lt;-2),"",#REF!)</f>
        <v>#REF!</v>
      </c>
      <c r="JM6" s="7" t="e">
        <f>IF(OR(#REF!&gt;2,#REF!&lt;-2),"",#REF!)</f>
        <v>#REF!</v>
      </c>
      <c r="JN6" s="7" t="e">
        <f>IF(OR(#REF!&gt;2,#REF!&lt;-2),"",#REF!)</f>
        <v>#REF!</v>
      </c>
      <c r="JO6" s="7" t="e">
        <f>IF(OR(#REF!&gt;2,#REF!&lt;-2),"",#REF!)</f>
        <v>#REF!</v>
      </c>
      <c r="JP6" s="7" t="e">
        <f>IF(OR(#REF!&gt;2,#REF!&lt;-2),"",#REF!)</f>
        <v>#REF!</v>
      </c>
      <c r="JQ6" s="7" t="e">
        <f>IF(OR(#REF!&gt;2,#REF!&lt;-2),"",#REF!)</f>
        <v>#REF!</v>
      </c>
      <c r="JR6" s="7" t="e">
        <f>IF(OR(#REF!&gt;2,#REF!&lt;-2),"",#REF!)</f>
        <v>#REF!</v>
      </c>
      <c r="JS6" s="7" t="e">
        <f>IF(OR(#REF!&gt;2,#REF!&lt;-2),"",#REF!)</f>
        <v>#REF!</v>
      </c>
      <c r="JT6" s="7" t="e">
        <f>IF(OR(#REF!&gt;2,#REF!&lt;-2),"",#REF!)</f>
        <v>#REF!</v>
      </c>
      <c r="JU6" s="7" t="e">
        <f>IF(OR(#REF!&gt;2,#REF!&lt;-2),"",#REF!)</f>
        <v>#REF!</v>
      </c>
      <c r="JV6" s="7" t="e">
        <f>IF(OR(#REF!&gt;2,#REF!&lt;-2),"",#REF!)</f>
        <v>#REF!</v>
      </c>
      <c r="JW6" s="7" t="e">
        <f>IF(OR(#REF!&gt;2,#REF!&lt;-2),"",#REF!)</f>
        <v>#REF!</v>
      </c>
      <c r="JX6" s="7" t="e">
        <f>IF(OR(#REF!&gt;2,#REF!&lt;-2),"",#REF!)</f>
        <v>#REF!</v>
      </c>
      <c r="JY6" s="7" t="e">
        <f>IF(OR(#REF!&gt;2,#REF!&lt;-2),"",#REF!)</f>
        <v>#REF!</v>
      </c>
      <c r="JZ6" s="7" t="e">
        <f>IF(OR(#REF!&gt;2,#REF!&lt;-2),"",#REF!)</f>
        <v>#REF!</v>
      </c>
      <c r="KA6" s="7" t="e">
        <f>IF(OR(#REF!&gt;2,#REF!&lt;-2),"",#REF!)</f>
        <v>#REF!</v>
      </c>
      <c r="KB6" s="7" t="e">
        <f>IF(OR(#REF!&gt;2,#REF!&lt;-2),"",#REF!)</f>
        <v>#REF!</v>
      </c>
      <c r="KC6" s="7" t="e">
        <f>IF(OR(#REF!&gt;2,#REF!&lt;-2),"",#REF!)</f>
        <v>#REF!</v>
      </c>
      <c r="KD6" s="7" t="e">
        <f>IF(OR(#REF!&gt;2,#REF!&lt;-2),"",#REF!)</f>
        <v>#REF!</v>
      </c>
      <c r="KE6" s="7" t="e">
        <f>IF(OR(#REF!&gt;2,#REF!&lt;-2),"",#REF!)</f>
        <v>#REF!</v>
      </c>
      <c r="KF6" s="7" t="e">
        <f>IF(OR(#REF!&gt;2,#REF!&lt;-2),"",#REF!)</f>
        <v>#REF!</v>
      </c>
      <c r="KG6" s="7" t="e">
        <f>IF(OR(#REF!&gt;2,#REF!&lt;-2),"",#REF!)</f>
        <v>#REF!</v>
      </c>
      <c r="KH6" s="7" t="e">
        <f>IF(OR(#REF!&gt;2,#REF!&lt;-2),"",#REF!)</f>
        <v>#REF!</v>
      </c>
      <c r="KI6" s="7" t="e">
        <f>IF(OR(#REF!&gt;2,#REF!&lt;-2),"",#REF!)</f>
        <v>#REF!</v>
      </c>
      <c r="KJ6" s="7" t="e">
        <f>IF(OR(#REF!&gt;2,#REF!&lt;-2),"",#REF!)</f>
        <v>#REF!</v>
      </c>
      <c r="KK6" s="7" t="e">
        <f>IF(OR(#REF!&gt;2,#REF!&lt;-2),"",#REF!)</f>
        <v>#REF!</v>
      </c>
      <c r="KL6" s="7" t="e">
        <f>IF(OR(#REF!&gt;2,#REF!&lt;-2),"",#REF!)</f>
        <v>#REF!</v>
      </c>
      <c r="KM6" s="7" t="e">
        <f>IF(OR(#REF!&gt;2,#REF!&lt;-2),"",#REF!)</f>
        <v>#REF!</v>
      </c>
      <c r="KN6" s="7" t="e">
        <f>IF(OR(#REF!&gt;2,#REF!&lt;-2),"",#REF!)</f>
        <v>#REF!</v>
      </c>
      <c r="KO6" s="7" t="e">
        <f>IF(OR(#REF!&gt;2,#REF!&lt;-2),"",#REF!)</f>
        <v>#REF!</v>
      </c>
      <c r="KP6" s="7" t="e">
        <f>IF(OR(#REF!&gt;2,#REF!&lt;-2),"",#REF!)</f>
        <v>#REF!</v>
      </c>
      <c r="KQ6" s="7" t="e">
        <f>IF(OR(#REF!&gt;2,#REF!&lt;-2),"",#REF!)</f>
        <v>#REF!</v>
      </c>
      <c r="KR6" s="7" t="e">
        <f>IF(OR(#REF!&gt;2,#REF!&lt;-2),"",#REF!)</f>
        <v>#REF!</v>
      </c>
      <c r="KS6" s="7" t="e">
        <f>IF(OR(#REF!&gt;2,#REF!&lt;-2),"",#REF!)</f>
        <v>#REF!</v>
      </c>
      <c r="KT6" s="7" t="e">
        <f>IF(OR(#REF!&gt;2,#REF!&lt;-2),"",#REF!)</f>
        <v>#REF!</v>
      </c>
      <c r="KU6" s="7" t="e">
        <f>IF(OR(#REF!&gt;2,#REF!&lt;-2),"",#REF!)</f>
        <v>#REF!</v>
      </c>
      <c r="KV6" s="7" t="e">
        <f>IF(OR(#REF!&gt;2,#REF!&lt;-2),"",#REF!)</f>
        <v>#REF!</v>
      </c>
      <c r="KW6" s="7" t="e">
        <f>IF(OR(#REF!&gt;2,#REF!&lt;-2),"",#REF!)</f>
        <v>#REF!</v>
      </c>
      <c r="KX6" s="7" t="e">
        <f>IF(OR(#REF!&gt;2,#REF!&lt;-2),"",#REF!)</f>
        <v>#REF!</v>
      </c>
      <c r="KY6" s="7" t="e">
        <f>IF(OR(#REF!&gt;2,#REF!&lt;-2),"",#REF!)</f>
        <v>#REF!</v>
      </c>
      <c r="KZ6" s="7" t="e">
        <f>IF(OR(#REF!&gt;2,#REF!&lt;-2),"",#REF!)</f>
        <v>#REF!</v>
      </c>
      <c r="LA6" s="7" t="e">
        <f>IF(OR(#REF!&gt;2,#REF!&lt;-2),"",#REF!)</f>
        <v>#REF!</v>
      </c>
      <c r="LB6" s="7" t="e">
        <f>IF(OR(#REF!&gt;2,#REF!&lt;-2),"",#REF!)</f>
        <v>#REF!</v>
      </c>
      <c r="LC6" s="7" t="e">
        <f>IF(OR(#REF!&gt;2,#REF!&lt;-2),"",#REF!)</f>
        <v>#REF!</v>
      </c>
      <c r="LD6" s="7" t="e">
        <f>IF(OR(#REF!&gt;2,#REF!&lt;-2),"",#REF!)</f>
        <v>#REF!</v>
      </c>
      <c r="LE6" s="7" t="e">
        <f>IF(OR(#REF!&gt;2,#REF!&lt;-2),"",#REF!)</f>
        <v>#REF!</v>
      </c>
      <c r="LF6" s="7" t="e">
        <f>IF(OR(#REF!&gt;2,#REF!&lt;-2),"",#REF!)</f>
        <v>#REF!</v>
      </c>
      <c r="LG6" s="7" t="e">
        <f>IF(OR(#REF!&gt;2,#REF!&lt;-2),"",#REF!)</f>
        <v>#REF!</v>
      </c>
      <c r="LH6" s="7" t="e">
        <f>IF(OR(#REF!&gt;2,#REF!&lt;-2),"",#REF!)</f>
        <v>#REF!</v>
      </c>
      <c r="LI6" s="7" t="e">
        <f>IF(OR(#REF!&gt;2,#REF!&lt;-2),"",#REF!)</f>
        <v>#REF!</v>
      </c>
      <c r="LJ6" s="7" t="e">
        <f>IF(OR(#REF!&gt;2,#REF!&lt;-2),"",#REF!)</f>
        <v>#REF!</v>
      </c>
      <c r="LK6" s="7" t="e">
        <f>IF(OR(#REF!&gt;2,#REF!&lt;-2),"",#REF!)</f>
        <v>#REF!</v>
      </c>
      <c r="LL6" s="7" t="e">
        <f>IF(OR(#REF!&gt;2,#REF!&lt;-2),"",#REF!)</f>
        <v>#REF!</v>
      </c>
      <c r="LM6" s="7" t="e">
        <f>IF(OR(#REF!&gt;2,#REF!&lt;-2),"",#REF!)</f>
        <v>#REF!</v>
      </c>
      <c r="LN6" s="7" t="e">
        <f>IF(OR(#REF!&gt;2,#REF!&lt;-2),"",#REF!)</f>
        <v>#REF!</v>
      </c>
      <c r="LO6" s="7" t="e">
        <f>IF(OR(#REF!&gt;2,#REF!&lt;-2),"",#REF!)</f>
        <v>#REF!</v>
      </c>
      <c r="LP6" s="7" t="e">
        <f>IF(OR(#REF!&gt;2,#REF!&lt;-2),"",#REF!)</f>
        <v>#REF!</v>
      </c>
      <c r="LQ6" s="7" t="e">
        <f>IF(OR(#REF!&gt;2,#REF!&lt;-2),"",#REF!)</f>
        <v>#REF!</v>
      </c>
      <c r="LR6" s="7" t="e">
        <f>IF(OR(#REF!&gt;2,#REF!&lt;-2),"",#REF!)</f>
        <v>#REF!</v>
      </c>
      <c r="LS6" s="7" t="e">
        <f>IF(OR(#REF!&gt;2,#REF!&lt;-2),"",#REF!)</f>
        <v>#REF!</v>
      </c>
      <c r="LT6" s="7" t="e">
        <f>IF(OR(#REF!&gt;2,#REF!&lt;-2),"",#REF!)</f>
        <v>#REF!</v>
      </c>
      <c r="LU6" s="7" t="e">
        <f>IF(OR(#REF!&gt;2,#REF!&lt;-2),"",#REF!)</f>
        <v>#REF!</v>
      </c>
      <c r="LV6" s="7" t="e">
        <f>IF(OR(#REF!&gt;2,#REF!&lt;-2),"",#REF!)</f>
        <v>#REF!</v>
      </c>
      <c r="LW6" s="7" t="e">
        <f>IF(OR(#REF!&gt;2,#REF!&lt;-2),"",#REF!)</f>
        <v>#REF!</v>
      </c>
      <c r="LX6" s="7" t="e">
        <f>IF(OR(#REF!&gt;2,#REF!&lt;-2),"",#REF!)</f>
        <v>#REF!</v>
      </c>
      <c r="LY6" s="7" t="e">
        <f>IF(OR(#REF!&gt;2,#REF!&lt;-2),"",#REF!)</f>
        <v>#REF!</v>
      </c>
      <c r="LZ6" s="7" t="e">
        <f>IF(OR(#REF!&gt;2,#REF!&lt;-2),"",#REF!)</f>
        <v>#REF!</v>
      </c>
      <c r="MA6" s="7" t="e">
        <f>IF(OR(#REF!&gt;2,#REF!&lt;-2),"",#REF!)</f>
        <v>#REF!</v>
      </c>
      <c r="MB6" s="7" t="e">
        <f>IF(OR(#REF!&gt;2,#REF!&lt;-2),"",#REF!)</f>
        <v>#REF!</v>
      </c>
      <c r="MC6" s="7" t="e">
        <f>IF(OR(#REF!&gt;2,#REF!&lt;-2),"",#REF!)</f>
        <v>#REF!</v>
      </c>
      <c r="MD6" s="7" t="e">
        <f>IF(OR(#REF!&gt;2,#REF!&lt;-2),"",#REF!)</f>
        <v>#REF!</v>
      </c>
      <c r="ME6" s="7" t="e">
        <f>IF(OR(#REF!&gt;2,#REF!&lt;-2),"",#REF!)</f>
        <v>#REF!</v>
      </c>
      <c r="MF6" s="7" t="e">
        <f>IF(OR(#REF!&gt;2,#REF!&lt;-2),"",#REF!)</f>
        <v>#REF!</v>
      </c>
      <c r="MG6" s="7" t="e">
        <f>IF(OR(#REF!&gt;2,#REF!&lt;-2),"",#REF!)</f>
        <v>#REF!</v>
      </c>
      <c r="MH6" s="7" t="e">
        <f>IF(OR(#REF!&gt;2,#REF!&lt;-2),"",#REF!)</f>
        <v>#REF!</v>
      </c>
      <c r="MI6" s="7" t="e">
        <f>IF(OR(#REF!&gt;2,#REF!&lt;-2),"",#REF!)</f>
        <v>#REF!</v>
      </c>
      <c r="MJ6" s="7" t="e">
        <f>IF(OR(#REF!&gt;2,#REF!&lt;-2),"",#REF!)</f>
        <v>#REF!</v>
      </c>
      <c r="MK6" s="7" t="e">
        <f>IF(OR(#REF!&gt;2,#REF!&lt;-2),"",#REF!)</f>
        <v>#REF!</v>
      </c>
      <c r="ML6" s="7" t="e">
        <f>IF(OR(#REF!&gt;2,#REF!&lt;-2),"",#REF!)</f>
        <v>#REF!</v>
      </c>
      <c r="MM6" s="7" t="e">
        <f>IF(OR(#REF!&gt;2,#REF!&lt;-2),"",#REF!)</f>
        <v>#REF!</v>
      </c>
      <c r="MN6" s="7" t="e">
        <f>IF(OR(#REF!&gt;2,#REF!&lt;-2),"",#REF!)</f>
        <v>#REF!</v>
      </c>
      <c r="MO6" s="7" t="e">
        <f>IF(OR(#REF!&gt;2,#REF!&lt;-2),"",#REF!)</f>
        <v>#REF!</v>
      </c>
      <c r="MP6" s="7" t="e">
        <f>IF(OR(#REF!&gt;2,#REF!&lt;-2),"",#REF!)</f>
        <v>#REF!</v>
      </c>
      <c r="MQ6" s="7" t="e">
        <f>IF(OR(#REF!&gt;2,#REF!&lt;-2),"",#REF!)</f>
        <v>#REF!</v>
      </c>
      <c r="MR6" s="7" t="e">
        <f>IF(OR(#REF!&gt;2,#REF!&lt;-2),"",#REF!)</f>
        <v>#REF!</v>
      </c>
      <c r="MS6" s="7" t="e">
        <f>IF(OR(#REF!&gt;2,#REF!&lt;-2),"",#REF!)</f>
        <v>#REF!</v>
      </c>
      <c r="MT6" s="7" t="e">
        <f>IF(OR(#REF!&gt;2,#REF!&lt;-2),"",#REF!)</f>
        <v>#REF!</v>
      </c>
      <c r="MU6" s="7" t="e">
        <f>IF(OR(#REF!&gt;2,#REF!&lt;-2),"",#REF!)</f>
        <v>#REF!</v>
      </c>
      <c r="MV6" s="7" t="e">
        <f>IF(OR(#REF!&gt;2,#REF!&lt;-2),"",#REF!)</f>
        <v>#REF!</v>
      </c>
      <c r="MW6" s="7" t="e">
        <f>IF(OR(#REF!&gt;2,#REF!&lt;-2),"",#REF!)</f>
        <v>#REF!</v>
      </c>
      <c r="MX6" s="7" t="e">
        <f>IF(OR(#REF!&gt;2,#REF!&lt;-2),"",#REF!)</f>
        <v>#REF!</v>
      </c>
      <c r="MY6" s="7" t="e">
        <f>IF(OR(#REF!&gt;2,#REF!&lt;-2),"",#REF!)</f>
        <v>#REF!</v>
      </c>
      <c r="MZ6" s="7" t="e">
        <f>IF(OR(#REF!&gt;2,#REF!&lt;-2),"",#REF!)</f>
        <v>#REF!</v>
      </c>
      <c r="NA6" s="7" t="e">
        <f>IF(OR(#REF!&gt;2,#REF!&lt;-2),"",#REF!)</f>
        <v>#REF!</v>
      </c>
      <c r="NB6" s="7" t="e">
        <f>IF(OR(#REF!&gt;2,#REF!&lt;-2),"",#REF!)</f>
        <v>#REF!</v>
      </c>
      <c r="NC6" s="7" t="e">
        <f>IF(OR(#REF!&gt;2,#REF!&lt;-2),"",#REF!)</f>
        <v>#REF!</v>
      </c>
      <c r="ND6" s="7" t="e">
        <f>IF(OR(#REF!&gt;2,#REF!&lt;-2),"",#REF!)</f>
        <v>#REF!</v>
      </c>
      <c r="NE6" s="7" t="e">
        <f>IF(OR(#REF!&gt;2,#REF!&lt;-2),"",#REF!)</f>
        <v>#REF!</v>
      </c>
      <c r="NF6" s="7" t="e">
        <f>IF(OR(#REF!&gt;2,#REF!&lt;-2),"",#REF!)</f>
        <v>#REF!</v>
      </c>
      <c r="NG6" s="7" t="e">
        <f>IF(OR(#REF!&gt;2,#REF!&lt;-2),"",#REF!)</f>
        <v>#REF!</v>
      </c>
      <c r="NH6" s="7" t="e">
        <f>IF(OR(#REF!&gt;2,#REF!&lt;-2),"",#REF!)</f>
        <v>#REF!</v>
      </c>
      <c r="NI6" s="7" t="e">
        <f>IF(OR(#REF!&gt;2,#REF!&lt;-2),"",#REF!)</f>
        <v>#REF!</v>
      </c>
      <c r="NJ6" s="7" t="e">
        <f>IF(OR(#REF!&gt;2,#REF!&lt;-2),"",#REF!)</f>
        <v>#REF!</v>
      </c>
      <c r="NK6" s="7" t="e">
        <f>IF(OR(#REF!&gt;2,#REF!&lt;-2),"",#REF!)</f>
        <v>#REF!</v>
      </c>
      <c r="NL6" s="7" t="e">
        <f>IF(OR(#REF!&gt;2,#REF!&lt;-2),"",#REF!)</f>
        <v>#REF!</v>
      </c>
      <c r="NM6" s="7" t="e">
        <f>IF(OR(#REF!&gt;2,#REF!&lt;-2),"",#REF!)</f>
        <v>#REF!</v>
      </c>
      <c r="NN6" s="7" t="e">
        <f>IF(OR(#REF!&gt;2,#REF!&lt;-2),"",#REF!)</f>
        <v>#REF!</v>
      </c>
      <c r="NO6" s="7" t="e">
        <f>IF(OR(#REF!&gt;2,#REF!&lt;-2),"",#REF!)</f>
        <v>#REF!</v>
      </c>
      <c r="NP6" s="7" t="e">
        <f>IF(OR(#REF!&gt;2,#REF!&lt;-2),"",#REF!)</f>
        <v>#REF!</v>
      </c>
      <c r="NQ6" s="7" t="e">
        <f>IF(OR(#REF!&gt;2,#REF!&lt;-2),"",#REF!)</f>
        <v>#REF!</v>
      </c>
      <c r="NR6" s="7" t="e">
        <f>IF(OR(#REF!&gt;2,#REF!&lt;-2),"",#REF!)</f>
        <v>#REF!</v>
      </c>
      <c r="NS6" s="7" t="e">
        <f>IF(OR(#REF!&gt;2,#REF!&lt;-2),"",#REF!)</f>
        <v>#REF!</v>
      </c>
      <c r="NT6" s="7" t="e">
        <f>IF(OR(#REF!&gt;2,#REF!&lt;-2),"",#REF!)</f>
        <v>#REF!</v>
      </c>
      <c r="NU6" s="7" t="e">
        <f>IF(OR(#REF!&gt;2,#REF!&lt;-2),"",#REF!)</f>
        <v>#REF!</v>
      </c>
      <c r="NV6" s="7" t="e">
        <f>IF(OR(#REF!&gt;2,#REF!&lt;-2),"",#REF!)</f>
        <v>#REF!</v>
      </c>
      <c r="NW6" s="7" t="e">
        <f>IF(OR(#REF!&gt;2,#REF!&lt;-2),"",#REF!)</f>
        <v>#REF!</v>
      </c>
      <c r="NX6" s="7" t="e">
        <f>IF(OR(#REF!&gt;2,#REF!&lt;-2),"",#REF!)</f>
        <v>#REF!</v>
      </c>
      <c r="NY6" s="7" t="e">
        <f>IF(OR(#REF!&gt;2,#REF!&lt;-2),"",#REF!)</f>
        <v>#REF!</v>
      </c>
      <c r="NZ6" s="7" t="e">
        <f>IF(OR(#REF!&gt;2,#REF!&lt;-2),"",#REF!)</f>
        <v>#REF!</v>
      </c>
      <c r="OA6" s="7" t="e">
        <f>IF(OR(#REF!&gt;2,#REF!&lt;-2),"",#REF!)</f>
        <v>#REF!</v>
      </c>
      <c r="OB6" s="7" t="e">
        <f>IF(OR(#REF!&gt;2,#REF!&lt;-2),"",#REF!)</f>
        <v>#REF!</v>
      </c>
      <c r="OC6" s="7" t="e">
        <f>IF(OR(#REF!&gt;2,#REF!&lt;-2),"",#REF!)</f>
        <v>#REF!</v>
      </c>
      <c r="OD6" s="7" t="e">
        <f>IF(OR(#REF!&gt;2,#REF!&lt;-2),"",#REF!)</f>
        <v>#REF!</v>
      </c>
      <c r="OE6" s="7" t="e">
        <f>IF(OR(#REF!&gt;2,#REF!&lt;-2),"",#REF!)</f>
        <v>#REF!</v>
      </c>
      <c r="OF6" s="7" t="e">
        <f>IF(OR(#REF!&gt;2,#REF!&lt;-2),"",#REF!)</f>
        <v>#REF!</v>
      </c>
      <c r="OG6" s="7" t="e">
        <f>IF(OR(#REF!&gt;2,#REF!&lt;-2),"",#REF!)</f>
        <v>#REF!</v>
      </c>
      <c r="OH6" s="7" t="e">
        <f>IF(OR(#REF!&gt;2,#REF!&lt;-2),"",#REF!)</f>
        <v>#REF!</v>
      </c>
      <c r="OI6" s="7" t="e">
        <f>IF(OR(#REF!&gt;2,#REF!&lt;-2),"",#REF!)</f>
        <v>#REF!</v>
      </c>
      <c r="OJ6" s="7" t="e">
        <f>IF(OR(#REF!&gt;2,#REF!&lt;-2),"",#REF!)</f>
        <v>#REF!</v>
      </c>
      <c r="OK6" s="7" t="e">
        <f>IF(OR(#REF!&gt;2,#REF!&lt;-2),"",#REF!)</f>
        <v>#REF!</v>
      </c>
      <c r="OL6" s="7" t="e">
        <f>IF(OR(#REF!&gt;2,#REF!&lt;-2),"",#REF!)</f>
        <v>#REF!</v>
      </c>
      <c r="OM6" s="7" t="e">
        <f>IF(OR(#REF!&gt;2,#REF!&lt;-2),"",#REF!)</f>
        <v>#REF!</v>
      </c>
      <c r="ON6" s="7" t="e">
        <f>IF(OR(#REF!&gt;2,#REF!&lt;-2),"",#REF!)</f>
        <v>#REF!</v>
      </c>
      <c r="OO6" s="7" t="e">
        <f>IF(OR(#REF!&gt;2,#REF!&lt;-2),"",#REF!)</f>
        <v>#REF!</v>
      </c>
      <c r="OP6" s="7" t="e">
        <f>IF(OR(#REF!&gt;2,#REF!&lt;-2),"",#REF!)</f>
        <v>#REF!</v>
      </c>
      <c r="OQ6" s="7" t="e">
        <f>IF(OR(#REF!&gt;2,#REF!&lt;-2),"",#REF!)</f>
        <v>#REF!</v>
      </c>
      <c r="OR6" s="7" t="e">
        <f>IF(OR(#REF!&gt;2,#REF!&lt;-2),"",#REF!)</f>
        <v>#REF!</v>
      </c>
      <c r="OS6" s="7" t="e">
        <f>IF(OR(#REF!&gt;2,#REF!&lt;-2),"",#REF!)</f>
        <v>#REF!</v>
      </c>
      <c r="OT6" s="7" t="e">
        <f>IF(OR(#REF!&gt;2,#REF!&lt;-2),"",#REF!)</f>
        <v>#REF!</v>
      </c>
      <c r="OU6" s="7" t="e">
        <f>IF(OR(#REF!&gt;2,#REF!&lt;-2),"",#REF!)</f>
        <v>#REF!</v>
      </c>
      <c r="OV6" s="7" t="e">
        <f>IF(OR(#REF!&gt;2,#REF!&lt;-2),"",#REF!)</f>
        <v>#REF!</v>
      </c>
      <c r="OW6" s="7" t="e">
        <f>IF(OR(#REF!&gt;2,#REF!&lt;-2),"",#REF!)</f>
        <v>#REF!</v>
      </c>
      <c r="OX6" s="7" t="e">
        <f>IF(OR(#REF!&gt;2,#REF!&lt;-2),"",#REF!)</f>
        <v>#REF!</v>
      </c>
      <c r="OY6" s="7" t="e">
        <f>IF(OR(#REF!&gt;2,#REF!&lt;-2),"",#REF!)</f>
        <v>#REF!</v>
      </c>
      <c r="OZ6" s="7" t="e">
        <f>IF(OR(#REF!&gt;2,#REF!&lt;-2),"",#REF!)</f>
        <v>#REF!</v>
      </c>
      <c r="PA6" s="7" t="e">
        <f>IF(OR(#REF!&gt;2,#REF!&lt;-2),"",#REF!)</f>
        <v>#REF!</v>
      </c>
      <c r="PB6" s="7" t="e">
        <f>IF(OR(#REF!&gt;2,#REF!&lt;-2),"",#REF!)</f>
        <v>#REF!</v>
      </c>
      <c r="PC6" s="7" t="e">
        <f>IF(OR(#REF!&gt;2,#REF!&lt;-2),"",#REF!)</f>
        <v>#REF!</v>
      </c>
      <c r="PD6" s="7" t="e">
        <f>IF(OR(#REF!&gt;2,#REF!&lt;-2),"",#REF!)</f>
        <v>#REF!</v>
      </c>
      <c r="PE6" s="7" t="e">
        <f>IF(OR(#REF!&gt;2,#REF!&lt;-2),"",#REF!)</f>
        <v>#REF!</v>
      </c>
      <c r="PF6" s="7" t="e">
        <f>IF(OR(#REF!&gt;2,#REF!&lt;-2),"",#REF!)</f>
        <v>#REF!</v>
      </c>
      <c r="PG6" s="7" t="e">
        <f>IF(OR(#REF!&gt;2,#REF!&lt;-2),"",#REF!)</f>
        <v>#REF!</v>
      </c>
      <c r="PH6" s="7" t="e">
        <f>IF(OR(#REF!&gt;2,#REF!&lt;-2),"",#REF!)</f>
        <v>#REF!</v>
      </c>
      <c r="PI6" s="7" t="e">
        <f>IF(OR(#REF!&gt;2,#REF!&lt;-2),"",#REF!)</f>
        <v>#REF!</v>
      </c>
      <c r="PJ6" s="7" t="e">
        <f>IF(OR(#REF!&gt;2,#REF!&lt;-2),"",#REF!)</f>
        <v>#REF!</v>
      </c>
      <c r="PK6" s="7" t="e">
        <f>IF(OR(#REF!&gt;2,#REF!&lt;-2),"",#REF!)</f>
        <v>#REF!</v>
      </c>
      <c r="PL6" s="7" t="e">
        <f>IF(OR(#REF!&gt;2,#REF!&lt;-2),"",#REF!)</f>
        <v>#REF!</v>
      </c>
      <c r="PM6" s="7" t="e">
        <f>IF(OR(#REF!&gt;2,#REF!&lt;-2),"",#REF!)</f>
        <v>#REF!</v>
      </c>
      <c r="PN6" s="7" t="e">
        <f>IF(OR(#REF!&gt;2,#REF!&lt;-2),"",#REF!)</f>
        <v>#REF!</v>
      </c>
      <c r="PO6" s="7" t="e">
        <f>IF(OR(#REF!&gt;2,#REF!&lt;-2),"",#REF!)</f>
        <v>#REF!</v>
      </c>
      <c r="PP6" s="7" t="e">
        <f>IF(OR(#REF!&gt;2,#REF!&lt;-2),"",#REF!)</f>
        <v>#REF!</v>
      </c>
      <c r="PQ6" s="7" t="e">
        <f>IF(OR(#REF!&gt;2,#REF!&lt;-2),"",#REF!)</f>
        <v>#REF!</v>
      </c>
      <c r="PR6" s="7" t="e">
        <f>IF(OR(#REF!&gt;2,#REF!&lt;-2),"",#REF!)</f>
        <v>#REF!</v>
      </c>
      <c r="PS6" s="7" t="e">
        <f>IF(OR(#REF!&gt;2,#REF!&lt;-2),"",#REF!)</f>
        <v>#REF!</v>
      </c>
      <c r="PT6" s="7" t="e">
        <f>IF(OR(#REF!&gt;2,#REF!&lt;-2),"",#REF!)</f>
        <v>#REF!</v>
      </c>
      <c r="PU6" s="7" t="e">
        <f>IF(OR(#REF!&gt;2,#REF!&lt;-2),"",#REF!)</f>
        <v>#REF!</v>
      </c>
      <c r="PV6" s="7" t="e">
        <f>IF(OR(#REF!&gt;2,#REF!&lt;-2),"",#REF!)</f>
        <v>#REF!</v>
      </c>
      <c r="PW6" s="7" t="e">
        <f>IF(OR(#REF!&gt;2,#REF!&lt;-2),"",#REF!)</f>
        <v>#REF!</v>
      </c>
      <c r="PX6" s="7" t="e">
        <f>IF(OR(#REF!&gt;2,#REF!&lt;-2),"",#REF!)</f>
        <v>#REF!</v>
      </c>
      <c r="PY6" s="7" t="e">
        <f>IF(OR(#REF!&gt;2,#REF!&lt;-2),"",#REF!)</f>
        <v>#REF!</v>
      </c>
      <c r="PZ6" s="7" t="e">
        <f>IF(OR(#REF!&gt;2,#REF!&lt;-2),"",#REF!)</f>
        <v>#REF!</v>
      </c>
      <c r="QA6" s="7" t="e">
        <f>IF(OR(#REF!&gt;2,#REF!&lt;-2),"",#REF!)</f>
        <v>#REF!</v>
      </c>
      <c r="QB6" s="7" t="e">
        <f>IF(OR(#REF!&gt;2,#REF!&lt;-2),"",#REF!)</f>
        <v>#REF!</v>
      </c>
      <c r="QC6" s="7" t="e">
        <f>IF(OR(#REF!&gt;2,#REF!&lt;-2),"",#REF!)</f>
        <v>#REF!</v>
      </c>
      <c r="QD6" s="7" t="e">
        <f>IF(OR(#REF!&gt;2,#REF!&lt;-2),"",#REF!)</f>
        <v>#REF!</v>
      </c>
      <c r="QE6" s="7" t="e">
        <f>IF(OR(#REF!&gt;2,#REF!&lt;-2),"",#REF!)</f>
        <v>#REF!</v>
      </c>
      <c r="QF6" s="7" t="e">
        <f>IF(OR(#REF!&gt;2,#REF!&lt;-2),"",#REF!)</f>
        <v>#REF!</v>
      </c>
      <c r="QG6" s="7" t="e">
        <f>IF(OR(#REF!&gt;2,#REF!&lt;-2),"",#REF!)</f>
        <v>#REF!</v>
      </c>
      <c r="QH6" s="7" t="e">
        <f>IF(OR(#REF!&gt;2,#REF!&lt;-2),"",#REF!)</f>
        <v>#REF!</v>
      </c>
      <c r="QI6" s="7" t="e">
        <f>IF(OR(#REF!&gt;2,#REF!&lt;-2),"",#REF!)</f>
        <v>#REF!</v>
      </c>
      <c r="QJ6" s="7" t="e">
        <f>IF(OR(#REF!&gt;2,#REF!&lt;-2),"",#REF!)</f>
        <v>#REF!</v>
      </c>
      <c r="QK6" s="7" t="e">
        <f>IF(OR(#REF!&gt;2,#REF!&lt;-2),"",#REF!)</f>
        <v>#REF!</v>
      </c>
      <c r="QL6" s="7" t="e">
        <f>IF(OR(#REF!&gt;2,#REF!&lt;-2),"",#REF!)</f>
        <v>#REF!</v>
      </c>
      <c r="QM6" s="7" t="e">
        <f>IF(OR(#REF!&gt;2,#REF!&lt;-2),"",#REF!)</f>
        <v>#REF!</v>
      </c>
      <c r="QN6" s="7" t="e">
        <f>IF(OR(#REF!&gt;2,#REF!&lt;-2),"",#REF!)</f>
        <v>#REF!</v>
      </c>
      <c r="QO6" s="7" t="e">
        <f>IF(OR(#REF!&gt;2,#REF!&lt;-2),"",#REF!)</f>
        <v>#REF!</v>
      </c>
      <c r="QP6" s="7" t="e">
        <f>IF(OR(#REF!&gt;2,#REF!&lt;-2),"",#REF!)</f>
        <v>#REF!</v>
      </c>
      <c r="QQ6" s="7" t="e">
        <f>IF(OR(#REF!&gt;2,#REF!&lt;-2),"",#REF!)</f>
        <v>#REF!</v>
      </c>
      <c r="QR6" s="7" t="e">
        <f>IF(OR(#REF!&gt;2,#REF!&lt;-2),"",#REF!)</f>
        <v>#REF!</v>
      </c>
      <c r="QS6" s="7" t="e">
        <f>IF(OR(#REF!&gt;2,#REF!&lt;-2),"",#REF!)</f>
        <v>#REF!</v>
      </c>
      <c r="QT6" s="7" t="e">
        <f>IF(OR(#REF!&gt;2,#REF!&lt;-2),"",#REF!)</f>
        <v>#REF!</v>
      </c>
      <c r="QU6" s="7" t="e">
        <f>IF(OR(#REF!&gt;2,#REF!&lt;-2),"",#REF!)</f>
        <v>#REF!</v>
      </c>
      <c r="QV6" s="7" t="e">
        <f>IF(OR(#REF!&gt;2,#REF!&lt;-2),"",#REF!)</f>
        <v>#REF!</v>
      </c>
      <c r="QW6" s="7" t="e">
        <f>IF(OR(#REF!&gt;2,#REF!&lt;-2),"",#REF!)</f>
        <v>#REF!</v>
      </c>
      <c r="QX6" s="7" t="e">
        <f>IF(OR(#REF!&gt;2,#REF!&lt;-2),"",#REF!)</f>
        <v>#REF!</v>
      </c>
      <c r="QY6" s="7" t="e">
        <f>IF(OR(#REF!&gt;2,#REF!&lt;-2),"",#REF!)</f>
        <v>#REF!</v>
      </c>
      <c r="QZ6" s="7" t="e">
        <f>IF(OR(#REF!&gt;2,#REF!&lt;-2),"",#REF!)</f>
        <v>#REF!</v>
      </c>
      <c r="RA6" s="7" t="e">
        <f>IF(OR(#REF!&gt;2,#REF!&lt;-2),"",#REF!)</f>
        <v>#REF!</v>
      </c>
      <c r="RB6" s="7" t="e">
        <f>IF(OR(#REF!&gt;2,#REF!&lt;-2),"",#REF!)</f>
        <v>#REF!</v>
      </c>
      <c r="RC6" s="7" t="e">
        <f>IF(OR(#REF!&gt;2,#REF!&lt;-2),"",#REF!)</f>
        <v>#REF!</v>
      </c>
      <c r="RD6" s="7" t="e">
        <f>IF(OR(#REF!&gt;2,#REF!&lt;-2),"",#REF!)</f>
        <v>#REF!</v>
      </c>
      <c r="RE6" s="7" t="e">
        <f>IF(OR(#REF!&gt;2,#REF!&lt;-2),"",#REF!)</f>
        <v>#REF!</v>
      </c>
      <c r="RF6" s="7" t="e">
        <f>IF(OR(#REF!&gt;2,#REF!&lt;-2),"",#REF!)</f>
        <v>#REF!</v>
      </c>
      <c r="RG6" s="7" t="e">
        <f>IF(OR(#REF!&gt;2,#REF!&lt;-2),"",#REF!)</f>
        <v>#REF!</v>
      </c>
      <c r="RH6" s="7" t="e">
        <f>IF(OR(#REF!&gt;2,#REF!&lt;-2),"",#REF!)</f>
        <v>#REF!</v>
      </c>
      <c r="RI6" s="7" t="e">
        <f>IF(OR(#REF!&gt;2,#REF!&lt;-2),"",#REF!)</f>
        <v>#REF!</v>
      </c>
      <c r="RJ6" s="7" t="e">
        <f>IF(OR(#REF!&gt;2,#REF!&lt;-2),"",#REF!)</f>
        <v>#REF!</v>
      </c>
      <c r="RK6" s="7" t="e">
        <f>IF(OR(#REF!&gt;2,#REF!&lt;-2),"",#REF!)</f>
        <v>#REF!</v>
      </c>
      <c r="RL6" s="7" t="e">
        <f>IF(OR(#REF!&gt;2,#REF!&lt;-2),"",#REF!)</f>
        <v>#REF!</v>
      </c>
      <c r="RM6" s="7" t="e">
        <f>IF(OR(#REF!&gt;2,#REF!&lt;-2),"",#REF!)</f>
        <v>#REF!</v>
      </c>
      <c r="RN6" s="7" t="e">
        <f>IF(OR(#REF!&gt;2,#REF!&lt;-2),"",#REF!)</f>
        <v>#REF!</v>
      </c>
      <c r="RO6" s="7" t="e">
        <f>IF(OR(#REF!&gt;2,#REF!&lt;-2),"",#REF!)</f>
        <v>#REF!</v>
      </c>
      <c r="RP6" s="7" t="e">
        <f>IF(OR(#REF!&gt;2,#REF!&lt;-2),"",#REF!)</f>
        <v>#REF!</v>
      </c>
      <c r="RQ6" s="7" t="e">
        <f>IF(OR(#REF!&gt;2,#REF!&lt;-2),"",#REF!)</f>
        <v>#REF!</v>
      </c>
      <c r="RR6" s="7" t="e">
        <f>IF(OR(#REF!&gt;2,#REF!&lt;-2),"",#REF!)</f>
        <v>#REF!</v>
      </c>
      <c r="RS6" s="7" t="e">
        <f>IF(OR(#REF!&gt;2,#REF!&lt;-2),"",#REF!)</f>
        <v>#REF!</v>
      </c>
      <c r="RT6" s="7" t="e">
        <f>IF(OR(#REF!&gt;2,#REF!&lt;-2),"",#REF!)</f>
        <v>#REF!</v>
      </c>
      <c r="RU6" s="7" t="e">
        <f>IF(OR(#REF!&gt;2,#REF!&lt;-2),"",#REF!)</f>
        <v>#REF!</v>
      </c>
      <c r="RV6" s="7" t="e">
        <f>IF(OR(#REF!&gt;2,#REF!&lt;-2),"",#REF!)</f>
        <v>#REF!</v>
      </c>
      <c r="RW6" s="7" t="e">
        <f>IF(OR(#REF!&gt;2,#REF!&lt;-2),"",#REF!)</f>
        <v>#REF!</v>
      </c>
      <c r="RX6" s="7" t="e">
        <f>IF(OR(#REF!&gt;2,#REF!&lt;-2),"",#REF!)</f>
        <v>#REF!</v>
      </c>
      <c r="RY6" s="7" t="e">
        <f>IF(OR(#REF!&gt;2,#REF!&lt;-2),"",#REF!)</f>
        <v>#REF!</v>
      </c>
      <c r="RZ6" s="7" t="e">
        <f>IF(OR(#REF!&gt;2,#REF!&lt;-2),"",#REF!)</f>
        <v>#REF!</v>
      </c>
      <c r="SA6" s="7" t="e">
        <f>IF(OR(#REF!&gt;2,#REF!&lt;-2),"",#REF!)</f>
        <v>#REF!</v>
      </c>
      <c r="SB6" s="7" t="e">
        <f>IF(OR(#REF!&gt;2,#REF!&lt;-2),"",#REF!)</f>
        <v>#REF!</v>
      </c>
      <c r="SC6" s="7" t="e">
        <f>IF(OR(#REF!&gt;2,#REF!&lt;-2),"",#REF!)</f>
        <v>#REF!</v>
      </c>
      <c r="SD6" s="7" t="e">
        <f>IF(OR(#REF!&gt;2,#REF!&lt;-2),"",#REF!)</f>
        <v>#REF!</v>
      </c>
      <c r="SE6" s="7" t="e">
        <f>IF(OR(#REF!&gt;2,#REF!&lt;-2),"",#REF!)</f>
        <v>#REF!</v>
      </c>
      <c r="SF6" s="7" t="e">
        <f>IF(OR(#REF!&gt;2,#REF!&lt;-2),"",#REF!)</f>
        <v>#REF!</v>
      </c>
      <c r="SG6" s="7" t="e">
        <f>IF(OR(#REF!&gt;2,#REF!&lt;-2),"",#REF!)</f>
        <v>#REF!</v>
      </c>
      <c r="SH6" s="7" t="e">
        <f>IF(OR(#REF!&gt;2,#REF!&lt;-2),"",#REF!)</f>
        <v>#REF!</v>
      </c>
      <c r="SI6" s="7" t="e">
        <f>IF(OR(#REF!&gt;2,#REF!&lt;-2),"",#REF!)</f>
        <v>#REF!</v>
      </c>
      <c r="SJ6" s="7" t="e">
        <f>IF(OR(#REF!&gt;2,#REF!&lt;-2),"",#REF!)</f>
        <v>#REF!</v>
      </c>
      <c r="SK6" s="7" t="e">
        <f>IF(OR(#REF!&gt;2,#REF!&lt;-2),"",#REF!)</f>
        <v>#REF!</v>
      </c>
      <c r="SL6" s="7" t="e">
        <f>IF(OR(#REF!&gt;2,#REF!&lt;-2),"",#REF!)</f>
        <v>#REF!</v>
      </c>
      <c r="SM6" s="7" t="e">
        <f>IF(OR(#REF!&gt;2,#REF!&lt;-2),"",#REF!)</f>
        <v>#REF!</v>
      </c>
      <c r="SN6" s="7" t="e">
        <f>IF(OR(#REF!&gt;2,#REF!&lt;-2),"",#REF!)</f>
        <v>#REF!</v>
      </c>
      <c r="SO6" s="7" t="e">
        <f>IF(OR(#REF!&gt;2,#REF!&lt;-2),"",#REF!)</f>
        <v>#REF!</v>
      </c>
      <c r="SP6" s="7" t="e">
        <f>IF(OR(#REF!&gt;2,#REF!&lt;-2),"",#REF!)</f>
        <v>#REF!</v>
      </c>
      <c r="SQ6" s="7" t="e">
        <f>IF(OR(#REF!&gt;2,#REF!&lt;-2),"",#REF!)</f>
        <v>#REF!</v>
      </c>
      <c r="SR6" s="7" t="e">
        <f>IF(OR(#REF!&gt;2,#REF!&lt;-2),"",#REF!)</f>
        <v>#REF!</v>
      </c>
      <c r="SS6" s="7" t="e">
        <f>IF(OR(#REF!&gt;2,#REF!&lt;-2),"",#REF!)</f>
        <v>#REF!</v>
      </c>
      <c r="ST6" s="7" t="e">
        <f>IF(OR(#REF!&gt;2,#REF!&lt;-2),"",#REF!)</f>
        <v>#REF!</v>
      </c>
      <c r="SU6" s="7" t="e">
        <f>IF(OR(#REF!&gt;2,#REF!&lt;-2),"",#REF!)</f>
        <v>#REF!</v>
      </c>
      <c r="SV6" s="7" t="e">
        <f>IF(OR(#REF!&gt;2,#REF!&lt;-2),"",#REF!)</f>
        <v>#REF!</v>
      </c>
      <c r="SW6" s="7" t="e">
        <f>IF(OR(#REF!&gt;2,#REF!&lt;-2),"",#REF!)</f>
        <v>#REF!</v>
      </c>
      <c r="SX6" s="7" t="e">
        <f>IF(OR(#REF!&gt;2,#REF!&lt;-2),"",#REF!)</f>
        <v>#REF!</v>
      </c>
      <c r="SY6" s="7" t="e">
        <f>IF(OR(#REF!&gt;2,#REF!&lt;-2),"",#REF!)</f>
        <v>#REF!</v>
      </c>
      <c r="SZ6" s="7" t="e">
        <f>IF(OR(#REF!&gt;2,#REF!&lt;-2),"",#REF!)</f>
        <v>#REF!</v>
      </c>
      <c r="TA6" s="7" t="e">
        <f>IF(OR(#REF!&gt;2,#REF!&lt;-2),"",#REF!)</f>
        <v>#REF!</v>
      </c>
      <c r="TB6" s="7" t="e">
        <f>IF(OR(#REF!&gt;2,#REF!&lt;-2),"",#REF!)</f>
        <v>#REF!</v>
      </c>
      <c r="TC6" s="7" t="e">
        <f>IF(OR(#REF!&gt;2,#REF!&lt;-2),"",#REF!)</f>
        <v>#REF!</v>
      </c>
      <c r="TD6" s="7" t="e">
        <f>IF(OR(#REF!&gt;2,#REF!&lt;-2),"",#REF!)</f>
        <v>#REF!</v>
      </c>
      <c r="TE6" s="7" t="e">
        <f>IF(OR(#REF!&gt;2,#REF!&lt;-2),"",#REF!)</f>
        <v>#REF!</v>
      </c>
      <c r="TF6" s="7" t="e">
        <f>IF(OR(#REF!&gt;2,#REF!&lt;-2),"",#REF!)</f>
        <v>#REF!</v>
      </c>
      <c r="TG6" s="7" t="e">
        <f>IF(OR(#REF!&gt;2,#REF!&lt;-2),"",#REF!)</f>
        <v>#REF!</v>
      </c>
      <c r="TH6" s="7" t="e">
        <f>IF(OR(#REF!&gt;2,#REF!&lt;-2),"",#REF!)</f>
        <v>#REF!</v>
      </c>
      <c r="TI6" s="7" t="e">
        <f>IF(OR(#REF!&gt;2,#REF!&lt;-2),"",#REF!)</f>
        <v>#REF!</v>
      </c>
      <c r="TJ6" s="7" t="e">
        <f>IF(OR(#REF!&gt;2,#REF!&lt;-2),"",#REF!)</f>
        <v>#REF!</v>
      </c>
      <c r="TK6" s="7" t="e">
        <f>IF(OR(#REF!&gt;2,#REF!&lt;-2),"",#REF!)</f>
        <v>#REF!</v>
      </c>
      <c r="TL6" s="7" t="e">
        <f>IF(OR(#REF!&gt;2,#REF!&lt;-2),"",#REF!)</f>
        <v>#REF!</v>
      </c>
      <c r="TM6" s="7" t="e">
        <f>IF(OR(#REF!&gt;2,#REF!&lt;-2),"",#REF!)</f>
        <v>#REF!</v>
      </c>
      <c r="TN6" s="7" t="e">
        <f>IF(OR(#REF!&gt;2,#REF!&lt;-2),"",#REF!)</f>
        <v>#REF!</v>
      </c>
      <c r="TO6" s="7" t="e">
        <f>IF(OR(#REF!&gt;2,#REF!&lt;-2),"",#REF!)</f>
        <v>#REF!</v>
      </c>
      <c r="TP6" s="7" t="e">
        <f>IF(OR(#REF!&gt;2,#REF!&lt;-2),"",#REF!)</f>
        <v>#REF!</v>
      </c>
      <c r="TQ6" s="7" t="e">
        <f>IF(OR(#REF!&gt;2,#REF!&lt;-2),"",#REF!)</f>
        <v>#REF!</v>
      </c>
      <c r="TR6" s="7" t="e">
        <f>IF(OR(#REF!&gt;2,#REF!&lt;-2),"",#REF!)</f>
        <v>#REF!</v>
      </c>
      <c r="TS6" s="7" t="e">
        <f>IF(OR(#REF!&gt;2,#REF!&lt;-2),"",#REF!)</f>
        <v>#REF!</v>
      </c>
      <c r="TT6" s="7" t="e">
        <f>IF(OR(#REF!&gt;2,#REF!&lt;-2),"",#REF!)</f>
        <v>#REF!</v>
      </c>
      <c r="TU6" s="7" t="e">
        <f>IF(OR(#REF!&gt;2,#REF!&lt;-2),"",#REF!)</f>
        <v>#REF!</v>
      </c>
      <c r="TV6" s="7" t="e">
        <f>IF(OR(#REF!&gt;2,#REF!&lt;-2),"",#REF!)</f>
        <v>#REF!</v>
      </c>
      <c r="TW6" s="7" t="e">
        <f>IF(OR(#REF!&gt;2,#REF!&lt;-2),"",#REF!)</f>
        <v>#REF!</v>
      </c>
      <c r="TX6" s="7" t="e">
        <f>IF(OR(#REF!&gt;2,#REF!&lt;-2),"",#REF!)</f>
        <v>#REF!</v>
      </c>
      <c r="TY6" s="7" t="e">
        <f>IF(OR(#REF!&gt;2,#REF!&lt;-2),"",#REF!)</f>
        <v>#REF!</v>
      </c>
      <c r="TZ6" s="7" t="e">
        <f>IF(OR(#REF!&gt;2,#REF!&lt;-2),"",#REF!)</f>
        <v>#REF!</v>
      </c>
      <c r="UA6" s="7" t="e">
        <f>IF(OR(#REF!&gt;2,#REF!&lt;-2),"",#REF!)</f>
        <v>#REF!</v>
      </c>
      <c r="UB6" s="7" t="e">
        <f>IF(OR(#REF!&gt;2,#REF!&lt;-2),"",#REF!)</f>
        <v>#REF!</v>
      </c>
      <c r="UC6" s="7" t="e">
        <f>IF(OR(#REF!&gt;2,#REF!&lt;-2),"",#REF!)</f>
        <v>#REF!</v>
      </c>
      <c r="UD6" s="7" t="e">
        <f>IF(OR(#REF!&gt;2,#REF!&lt;-2),"",#REF!)</f>
        <v>#REF!</v>
      </c>
      <c r="UE6" s="7" t="e">
        <f>IF(OR(#REF!&gt;2,#REF!&lt;-2),"",#REF!)</f>
        <v>#REF!</v>
      </c>
      <c r="UF6" s="7" t="e">
        <f>IF(OR(#REF!&gt;2,#REF!&lt;-2),"",#REF!)</f>
        <v>#REF!</v>
      </c>
      <c r="UG6" s="7" t="e">
        <f>IF(OR(#REF!&gt;2,#REF!&lt;-2),"",#REF!)</f>
        <v>#REF!</v>
      </c>
      <c r="UH6" s="7" t="e">
        <f>IF(OR(#REF!&gt;2,#REF!&lt;-2),"",#REF!)</f>
        <v>#REF!</v>
      </c>
      <c r="UI6" s="7" t="e">
        <f>IF(OR(#REF!&gt;2,#REF!&lt;-2),"",#REF!)</f>
        <v>#REF!</v>
      </c>
      <c r="UJ6" s="7" t="e">
        <f>IF(OR(#REF!&gt;2,#REF!&lt;-2),"",#REF!)</f>
        <v>#REF!</v>
      </c>
      <c r="UK6" s="7" t="e">
        <f>IF(OR(#REF!&gt;2,#REF!&lt;-2),"",#REF!)</f>
        <v>#REF!</v>
      </c>
      <c r="UL6" s="7" t="e">
        <f>IF(OR(#REF!&gt;2,#REF!&lt;-2),"",#REF!)</f>
        <v>#REF!</v>
      </c>
      <c r="UM6" s="7" t="e">
        <f>IF(OR(#REF!&gt;2,#REF!&lt;-2),"",#REF!)</f>
        <v>#REF!</v>
      </c>
      <c r="UN6" s="7" t="e">
        <f>IF(OR(#REF!&gt;2,#REF!&lt;-2),"",#REF!)</f>
        <v>#REF!</v>
      </c>
      <c r="UO6" s="7" t="e">
        <f>IF(OR(#REF!&gt;2,#REF!&lt;-2),"",#REF!)</f>
        <v>#REF!</v>
      </c>
      <c r="UP6" s="7" t="e">
        <f>IF(OR(#REF!&gt;2,#REF!&lt;-2),"",#REF!)</f>
        <v>#REF!</v>
      </c>
    </row>
    <row r="7" spans="1:562" x14ac:dyDescent="0.35">
      <c r="A7">
        <v>152</v>
      </c>
      <c r="B7">
        <v>0</v>
      </c>
      <c r="C7" s="7" t="e">
        <f>IF(OR(#REF!&gt;2,#REF!&lt;-2),"",#REF!)</f>
        <v>#REF!</v>
      </c>
      <c r="D7" s="7" t="e">
        <f>IF(OR(#REF!&gt;2,#REF!&lt;-2),"",#REF!)</f>
        <v>#REF!</v>
      </c>
      <c r="E7" s="7" t="e">
        <f>IF(OR(#REF!&gt;2,#REF!&lt;-2),"",#REF!)</f>
        <v>#REF!</v>
      </c>
      <c r="F7" s="7" t="e">
        <f>IF(OR(#REF!&gt;2,#REF!&lt;-2),"",#REF!)</f>
        <v>#REF!</v>
      </c>
      <c r="G7" s="7" t="e">
        <f>IF(OR(#REF!&gt;2,#REF!&lt;-2),"",#REF!)</f>
        <v>#REF!</v>
      </c>
      <c r="H7" s="7" t="e">
        <f>IF(OR(#REF!&gt;2,#REF!&lt;-2),"",#REF!)</f>
        <v>#REF!</v>
      </c>
      <c r="I7" s="7" t="e">
        <f>IF(OR(#REF!&gt;2,#REF!&lt;-2),"",#REF!)</f>
        <v>#REF!</v>
      </c>
      <c r="J7" s="7" t="e">
        <f>IF(OR(#REF!&gt;2,#REF!&lt;-2),"",#REF!)</f>
        <v>#REF!</v>
      </c>
      <c r="K7" s="7" t="e">
        <f>IF(OR(#REF!&gt;2,#REF!&lt;-2),"",#REF!)</f>
        <v>#REF!</v>
      </c>
      <c r="L7" s="7" t="e">
        <f>IF(OR(#REF!&gt;2,#REF!&lt;-2),"",#REF!)</f>
        <v>#REF!</v>
      </c>
      <c r="M7" s="7" t="e">
        <f>IF(OR(#REF!&gt;2,#REF!&lt;-2),"",#REF!)</f>
        <v>#REF!</v>
      </c>
      <c r="N7" s="7" t="e">
        <f>IF(OR(#REF!&gt;2,#REF!&lt;-2),"",#REF!)</f>
        <v>#REF!</v>
      </c>
      <c r="O7" s="7" t="e">
        <f>IF(OR(#REF!&gt;2,#REF!&lt;-2),"",#REF!)</f>
        <v>#REF!</v>
      </c>
      <c r="P7" s="7" t="e">
        <f>IF(OR(#REF!&gt;2,#REF!&lt;-2),"",#REF!)</f>
        <v>#REF!</v>
      </c>
      <c r="Q7" s="7" t="e">
        <f>IF(OR(#REF!&gt;2,#REF!&lt;-2),"",#REF!)</f>
        <v>#REF!</v>
      </c>
      <c r="R7" s="7" t="e">
        <f>IF(OR(#REF!&gt;2,#REF!&lt;-2),"",#REF!)</f>
        <v>#REF!</v>
      </c>
      <c r="S7" s="7" t="e">
        <f>IF(OR(#REF!&gt;2,#REF!&lt;-2),"",#REF!)</f>
        <v>#REF!</v>
      </c>
      <c r="T7" s="7" t="e">
        <f>IF(OR(#REF!&gt;2,#REF!&lt;-2),"",#REF!)</f>
        <v>#REF!</v>
      </c>
      <c r="U7" s="7" t="e">
        <f>IF(OR(#REF!&gt;2,#REF!&lt;-2),"",#REF!)</f>
        <v>#REF!</v>
      </c>
      <c r="V7" s="7" t="e">
        <f>IF(OR(#REF!&gt;2,#REF!&lt;-2),"",#REF!)</f>
        <v>#REF!</v>
      </c>
      <c r="W7" s="7" t="e">
        <f>IF(OR(#REF!&gt;2,#REF!&lt;-2),"",#REF!)</f>
        <v>#REF!</v>
      </c>
      <c r="X7" s="7" t="e">
        <f>IF(OR(#REF!&gt;2,#REF!&lt;-2),"",#REF!)</f>
        <v>#REF!</v>
      </c>
      <c r="Y7" s="7" t="e">
        <f>IF(OR(#REF!&gt;2,#REF!&lt;-2),"",#REF!)</f>
        <v>#REF!</v>
      </c>
      <c r="Z7" s="7" t="e">
        <f>IF(OR(#REF!&gt;2,#REF!&lt;-2),"",#REF!)</f>
        <v>#REF!</v>
      </c>
      <c r="AA7" s="7" t="e">
        <f>IF(OR(#REF!&gt;2,#REF!&lt;-2),"",#REF!)</f>
        <v>#REF!</v>
      </c>
      <c r="AB7" s="7" t="e">
        <f>IF(OR(#REF!&gt;2,#REF!&lt;-2),"",#REF!)</f>
        <v>#REF!</v>
      </c>
      <c r="AC7" s="7" t="e">
        <f>IF(OR(#REF!&gt;2,#REF!&lt;-2),"",#REF!)</f>
        <v>#REF!</v>
      </c>
      <c r="AD7" s="7" t="e">
        <f>IF(OR(#REF!&gt;2,#REF!&lt;-2),"",#REF!)</f>
        <v>#REF!</v>
      </c>
      <c r="AE7" s="7" t="e">
        <f>IF(OR(#REF!&gt;2,#REF!&lt;-2),"",#REF!)</f>
        <v>#REF!</v>
      </c>
      <c r="AF7" s="7" t="e">
        <f>IF(OR(#REF!&gt;2,#REF!&lt;-2),"",#REF!)</f>
        <v>#REF!</v>
      </c>
      <c r="AG7" s="7" t="e">
        <f>IF(OR(#REF!&gt;2,#REF!&lt;-2),"",#REF!)</f>
        <v>#REF!</v>
      </c>
      <c r="AH7" s="7" t="e">
        <f>IF(OR(#REF!&gt;2,#REF!&lt;-2),"",#REF!)</f>
        <v>#REF!</v>
      </c>
      <c r="AI7" s="7" t="e">
        <f>IF(OR(#REF!&gt;2,#REF!&lt;-2),"",#REF!)</f>
        <v>#REF!</v>
      </c>
      <c r="AJ7" s="7" t="e">
        <f>IF(OR(#REF!&gt;2,#REF!&lt;-2),"",#REF!)</f>
        <v>#REF!</v>
      </c>
      <c r="AK7" s="7" t="e">
        <f>IF(OR(#REF!&gt;2,#REF!&lt;-2),"",#REF!)</f>
        <v>#REF!</v>
      </c>
      <c r="AL7" s="7" t="e">
        <f>IF(OR(#REF!&gt;2,#REF!&lt;-2),"",#REF!)</f>
        <v>#REF!</v>
      </c>
      <c r="AM7" s="7" t="e">
        <f>IF(OR(#REF!&gt;2,#REF!&lt;-2),"",#REF!)</f>
        <v>#REF!</v>
      </c>
      <c r="AN7" s="7" t="e">
        <f>IF(OR(#REF!&gt;2,#REF!&lt;-2),"",#REF!)</f>
        <v>#REF!</v>
      </c>
      <c r="AO7" s="7" t="e">
        <f>IF(OR(#REF!&gt;2,#REF!&lt;-2),"",#REF!)</f>
        <v>#REF!</v>
      </c>
      <c r="AP7" s="7" t="e">
        <f>IF(OR(#REF!&gt;2,#REF!&lt;-2),"",#REF!)</f>
        <v>#REF!</v>
      </c>
      <c r="AQ7" s="7" t="e">
        <f>IF(OR(#REF!&gt;2,#REF!&lt;-2),"",#REF!)</f>
        <v>#REF!</v>
      </c>
      <c r="AR7" s="7" t="e">
        <f>IF(OR(#REF!&gt;2,#REF!&lt;-2),"",#REF!)</f>
        <v>#REF!</v>
      </c>
      <c r="AS7" s="7" t="e">
        <f>IF(OR(#REF!&gt;2,#REF!&lt;-2),"",#REF!)</f>
        <v>#REF!</v>
      </c>
      <c r="AT7" s="7" t="e">
        <f>IF(OR(#REF!&gt;2,#REF!&lt;-2),"",#REF!)</f>
        <v>#REF!</v>
      </c>
      <c r="AU7" s="7" t="e">
        <f>IF(OR(#REF!&gt;2,#REF!&lt;-2),"",#REF!)</f>
        <v>#REF!</v>
      </c>
      <c r="AV7" s="7" t="e">
        <f>IF(OR(#REF!&gt;2,#REF!&lt;-2),"",#REF!)</f>
        <v>#REF!</v>
      </c>
      <c r="AW7" s="7" t="e">
        <f>IF(OR(#REF!&gt;2,#REF!&lt;-2),"",#REF!)</f>
        <v>#REF!</v>
      </c>
      <c r="AX7" s="7" t="e">
        <f>IF(OR(#REF!&gt;2,#REF!&lt;-2),"",#REF!)</f>
        <v>#REF!</v>
      </c>
      <c r="AY7" s="7" t="e">
        <f>IF(OR(#REF!&gt;2,#REF!&lt;-2),"",#REF!)</f>
        <v>#REF!</v>
      </c>
      <c r="AZ7" s="7" t="e">
        <f>IF(OR(#REF!&gt;2,#REF!&lt;-2),"",#REF!)</f>
        <v>#REF!</v>
      </c>
      <c r="BA7" s="7" t="e">
        <f>IF(OR(#REF!&gt;2,#REF!&lt;-2),"",#REF!)</f>
        <v>#REF!</v>
      </c>
      <c r="BB7" s="7" t="e">
        <f>IF(OR(#REF!&gt;2,#REF!&lt;-2),"",#REF!)</f>
        <v>#REF!</v>
      </c>
      <c r="BC7" s="7" t="e">
        <f>IF(OR(#REF!&gt;2,#REF!&lt;-2),"",#REF!)</f>
        <v>#REF!</v>
      </c>
      <c r="BD7" s="7" t="e">
        <f>IF(OR(#REF!&gt;2,#REF!&lt;-2),"",#REF!)</f>
        <v>#REF!</v>
      </c>
      <c r="BE7" s="7" t="e">
        <f>IF(OR(#REF!&gt;2,#REF!&lt;-2),"",#REF!)</f>
        <v>#REF!</v>
      </c>
      <c r="BF7" s="7" t="e">
        <f>IF(OR(#REF!&gt;2,#REF!&lt;-2),"",#REF!)</f>
        <v>#REF!</v>
      </c>
      <c r="BG7" s="7" t="e">
        <f>IF(OR(#REF!&gt;2,#REF!&lt;-2),"",#REF!)</f>
        <v>#REF!</v>
      </c>
      <c r="BH7" s="7" t="e">
        <f>IF(OR(#REF!&gt;2,#REF!&lt;-2),"",#REF!)</f>
        <v>#REF!</v>
      </c>
      <c r="BI7" s="7" t="e">
        <f>IF(OR(#REF!&gt;2,#REF!&lt;-2),"",#REF!)</f>
        <v>#REF!</v>
      </c>
      <c r="BJ7" s="7" t="e">
        <f>IF(OR(#REF!&gt;2,#REF!&lt;-2),"",#REF!)</f>
        <v>#REF!</v>
      </c>
      <c r="BK7" s="7" t="e">
        <f>IF(OR(#REF!&gt;2,#REF!&lt;-2),"",#REF!)</f>
        <v>#REF!</v>
      </c>
      <c r="BL7" s="7" t="e">
        <f>IF(OR(#REF!&gt;2,#REF!&lt;-2),"",#REF!)</f>
        <v>#REF!</v>
      </c>
      <c r="BM7" s="7" t="e">
        <f>IF(OR(#REF!&gt;2,#REF!&lt;-2),"",#REF!)</f>
        <v>#REF!</v>
      </c>
      <c r="BN7" s="7" t="e">
        <f>IF(OR(#REF!&gt;2,#REF!&lt;-2),"",#REF!)</f>
        <v>#REF!</v>
      </c>
      <c r="BO7" s="7" t="e">
        <f>IF(OR(#REF!&gt;2,#REF!&lt;-2),"",#REF!)</f>
        <v>#REF!</v>
      </c>
      <c r="BP7" s="7" t="e">
        <f>IF(OR(#REF!&gt;2,#REF!&lt;-2),"",#REF!)</f>
        <v>#REF!</v>
      </c>
      <c r="BQ7" s="7" t="e">
        <f>IF(OR(#REF!&gt;2,#REF!&lt;-2),"",#REF!)</f>
        <v>#REF!</v>
      </c>
      <c r="BR7" s="7" t="e">
        <f>IF(OR(#REF!&gt;2,#REF!&lt;-2),"",#REF!)</f>
        <v>#REF!</v>
      </c>
      <c r="BS7" s="7" t="e">
        <f>IF(OR(#REF!&gt;2,#REF!&lt;-2),"",#REF!)</f>
        <v>#REF!</v>
      </c>
      <c r="BT7" s="7" t="e">
        <f>IF(OR(#REF!&gt;2,#REF!&lt;-2),"",#REF!)</f>
        <v>#REF!</v>
      </c>
      <c r="BU7" s="7" t="e">
        <f>IF(OR(#REF!&gt;2,#REF!&lt;-2),"",#REF!)</f>
        <v>#REF!</v>
      </c>
      <c r="BV7" s="7" t="e">
        <f>IF(OR(#REF!&gt;2,#REF!&lt;-2),"",#REF!)</f>
        <v>#REF!</v>
      </c>
      <c r="BW7" s="7" t="e">
        <f>IF(OR(#REF!&gt;2,#REF!&lt;-2),"",#REF!)</f>
        <v>#REF!</v>
      </c>
      <c r="BX7" s="7" t="e">
        <f>IF(OR(#REF!&gt;2,#REF!&lt;-2),"",#REF!)</f>
        <v>#REF!</v>
      </c>
      <c r="BY7" s="7" t="e">
        <f>IF(OR(#REF!&gt;2,#REF!&lt;-2),"",#REF!)</f>
        <v>#REF!</v>
      </c>
      <c r="BZ7" s="7" t="e">
        <f>IF(OR(#REF!&gt;2,#REF!&lt;-2),"",#REF!)</f>
        <v>#REF!</v>
      </c>
      <c r="CA7" s="7" t="e">
        <f>IF(OR(#REF!&gt;2,#REF!&lt;-2),"",#REF!)</f>
        <v>#REF!</v>
      </c>
      <c r="CB7" s="7" t="e">
        <f>IF(OR(#REF!&gt;2,#REF!&lt;-2),"",#REF!)</f>
        <v>#REF!</v>
      </c>
      <c r="CC7" s="7" t="e">
        <f>IF(OR(#REF!&gt;2,#REF!&lt;-2),"",#REF!)</f>
        <v>#REF!</v>
      </c>
      <c r="CD7" s="7" t="e">
        <f>IF(OR(#REF!&gt;2,#REF!&lt;-2),"",#REF!)</f>
        <v>#REF!</v>
      </c>
      <c r="CE7" s="7" t="e">
        <f>IF(OR(#REF!&gt;2,#REF!&lt;-2),"",#REF!)</f>
        <v>#REF!</v>
      </c>
      <c r="CF7" s="7" t="e">
        <f>IF(OR(#REF!&gt;2,#REF!&lt;-2),"",#REF!)</f>
        <v>#REF!</v>
      </c>
      <c r="CG7" s="7" t="e">
        <f>IF(OR(#REF!&gt;2,#REF!&lt;-2),"",#REF!)</f>
        <v>#REF!</v>
      </c>
      <c r="CH7" s="7" t="e">
        <f>IF(OR(#REF!&gt;2,#REF!&lt;-2),"",#REF!)</f>
        <v>#REF!</v>
      </c>
      <c r="CI7" s="7" t="e">
        <f>IF(OR(#REF!&gt;2,#REF!&lt;-2),"",#REF!)</f>
        <v>#REF!</v>
      </c>
      <c r="CJ7" s="7" t="e">
        <f>IF(OR(#REF!&gt;2,#REF!&lt;-2),"",#REF!)</f>
        <v>#REF!</v>
      </c>
      <c r="CK7" s="7" t="e">
        <f>IF(OR(#REF!&gt;2,#REF!&lt;-2),"",#REF!)</f>
        <v>#REF!</v>
      </c>
      <c r="CL7" s="7" t="e">
        <f>IF(OR(#REF!&gt;2,#REF!&lt;-2),"",#REF!)</f>
        <v>#REF!</v>
      </c>
      <c r="CM7" s="7" t="e">
        <f>IF(OR(#REF!&gt;2,#REF!&lt;-2),"",#REF!)</f>
        <v>#REF!</v>
      </c>
      <c r="CN7" s="7" t="e">
        <f>IF(OR(#REF!&gt;2,#REF!&lt;-2),"",#REF!)</f>
        <v>#REF!</v>
      </c>
      <c r="CO7" s="7" t="e">
        <f>IF(OR(#REF!&gt;2,#REF!&lt;-2),"",#REF!)</f>
        <v>#REF!</v>
      </c>
      <c r="CP7" s="7" t="e">
        <f>IF(OR(#REF!&gt;2,#REF!&lt;-2),"",#REF!)</f>
        <v>#REF!</v>
      </c>
      <c r="CQ7" s="7" t="e">
        <f>IF(OR(#REF!&gt;2,#REF!&lt;-2),"",#REF!)</f>
        <v>#REF!</v>
      </c>
      <c r="CR7" s="7" t="e">
        <f>IF(OR(#REF!&gt;2,#REF!&lt;-2),"",#REF!)</f>
        <v>#REF!</v>
      </c>
      <c r="CS7" s="7" t="e">
        <f>IF(OR(#REF!&gt;2,#REF!&lt;-2),"",#REF!)</f>
        <v>#REF!</v>
      </c>
      <c r="CT7" s="7" t="e">
        <f>IF(OR(#REF!&gt;2,#REF!&lt;-2),"",#REF!)</f>
        <v>#REF!</v>
      </c>
      <c r="CU7" s="7" t="e">
        <f>IF(OR(#REF!&gt;2,#REF!&lt;-2),"",#REF!)</f>
        <v>#REF!</v>
      </c>
      <c r="CV7" s="7" t="e">
        <f>IF(OR(#REF!&gt;2,#REF!&lt;-2),"",#REF!)</f>
        <v>#REF!</v>
      </c>
      <c r="CW7" s="7" t="e">
        <f>IF(OR(#REF!&gt;2,#REF!&lt;-2),"",#REF!)</f>
        <v>#REF!</v>
      </c>
      <c r="CX7" s="7" t="e">
        <f>IF(OR(#REF!&gt;2,#REF!&lt;-2),"",#REF!)</f>
        <v>#REF!</v>
      </c>
      <c r="CY7" s="7" t="e">
        <f>IF(OR(#REF!&gt;2,#REF!&lt;-2),"",#REF!)</f>
        <v>#REF!</v>
      </c>
      <c r="CZ7" s="7" t="e">
        <f>IF(OR(#REF!&gt;2,#REF!&lt;-2),"",#REF!)</f>
        <v>#REF!</v>
      </c>
      <c r="DA7" s="7" t="e">
        <f>IF(OR(#REF!&gt;2,#REF!&lt;-2),"",#REF!)</f>
        <v>#REF!</v>
      </c>
      <c r="DB7" s="7" t="e">
        <f>IF(OR(#REF!&gt;2,#REF!&lt;-2),"",#REF!)</f>
        <v>#REF!</v>
      </c>
      <c r="DC7" s="7" t="e">
        <f>IF(OR(#REF!&gt;2,#REF!&lt;-2),"",#REF!)</f>
        <v>#REF!</v>
      </c>
      <c r="DD7" s="7" t="e">
        <f>IF(OR(#REF!&gt;2,#REF!&lt;-2),"",#REF!)</f>
        <v>#REF!</v>
      </c>
      <c r="DE7" s="7" t="e">
        <f>IF(OR(#REF!&gt;2,#REF!&lt;-2),"",#REF!)</f>
        <v>#REF!</v>
      </c>
      <c r="DF7" s="7" t="e">
        <f>IF(OR(#REF!&gt;2,#REF!&lt;-2),"",#REF!)</f>
        <v>#REF!</v>
      </c>
      <c r="DG7" s="7" t="e">
        <f>IF(OR(#REF!&gt;2,#REF!&lt;-2),"",#REF!)</f>
        <v>#REF!</v>
      </c>
      <c r="DH7" s="7" t="e">
        <f>IF(OR(#REF!&gt;2,#REF!&lt;-2),"",#REF!)</f>
        <v>#REF!</v>
      </c>
      <c r="DI7" s="7" t="e">
        <f>IF(OR(#REF!&gt;2,#REF!&lt;-2),"",#REF!)</f>
        <v>#REF!</v>
      </c>
      <c r="DJ7" s="7" t="e">
        <f>IF(OR(#REF!&gt;2,#REF!&lt;-2),"",#REF!)</f>
        <v>#REF!</v>
      </c>
      <c r="DK7" s="7" t="e">
        <f>IF(OR(#REF!&gt;2,#REF!&lt;-2),"",#REF!)</f>
        <v>#REF!</v>
      </c>
      <c r="DL7" s="7" t="e">
        <f>IF(OR(#REF!&gt;2,#REF!&lt;-2),"",#REF!)</f>
        <v>#REF!</v>
      </c>
      <c r="DM7" s="7" t="e">
        <f>IF(OR(#REF!&gt;2,#REF!&lt;-2),"",#REF!)</f>
        <v>#REF!</v>
      </c>
      <c r="DN7" s="7" t="e">
        <f>IF(OR(#REF!&gt;2,#REF!&lt;-2),"",#REF!)</f>
        <v>#REF!</v>
      </c>
      <c r="DO7" s="7" t="e">
        <f>IF(OR(#REF!&gt;2,#REF!&lt;-2),"",#REF!)</f>
        <v>#REF!</v>
      </c>
      <c r="DP7" s="7" t="e">
        <f>IF(OR(#REF!&gt;2,#REF!&lt;-2),"",#REF!)</f>
        <v>#REF!</v>
      </c>
      <c r="DQ7" s="7" t="e">
        <f>IF(OR(#REF!&gt;2,#REF!&lt;-2),"",#REF!)</f>
        <v>#REF!</v>
      </c>
      <c r="DR7" s="7" t="e">
        <f>IF(OR(#REF!&gt;2,#REF!&lt;-2),"",#REF!)</f>
        <v>#REF!</v>
      </c>
      <c r="DS7" s="7" t="e">
        <f>IF(OR(#REF!&gt;2,#REF!&lt;-2),"",#REF!)</f>
        <v>#REF!</v>
      </c>
      <c r="DT7" s="7" t="e">
        <f>IF(OR(#REF!&gt;2,#REF!&lt;-2),"",#REF!)</f>
        <v>#REF!</v>
      </c>
      <c r="DU7" s="7" t="e">
        <f>IF(OR(#REF!&gt;2,#REF!&lt;-2),"",#REF!)</f>
        <v>#REF!</v>
      </c>
      <c r="DV7" s="7" t="e">
        <f>IF(OR(#REF!&gt;2,#REF!&lt;-2),"",#REF!)</f>
        <v>#REF!</v>
      </c>
      <c r="DW7" s="7" t="e">
        <f>IF(OR(#REF!&gt;2,#REF!&lt;-2),"",#REF!)</f>
        <v>#REF!</v>
      </c>
      <c r="DX7" s="7" t="e">
        <f>IF(OR(#REF!&gt;2,#REF!&lt;-2),"",#REF!)</f>
        <v>#REF!</v>
      </c>
      <c r="DY7" s="7" t="e">
        <f>IF(OR(#REF!&gt;2,#REF!&lt;-2),"",#REF!)</f>
        <v>#REF!</v>
      </c>
      <c r="DZ7" s="7" t="e">
        <f>IF(OR(#REF!&gt;2,#REF!&lt;-2),"",#REF!)</f>
        <v>#REF!</v>
      </c>
      <c r="EA7" s="7" t="e">
        <f>IF(OR(#REF!&gt;2,#REF!&lt;-2),"",#REF!)</f>
        <v>#REF!</v>
      </c>
      <c r="EB7" s="7" t="e">
        <f>IF(OR(#REF!&gt;2,#REF!&lt;-2),"",#REF!)</f>
        <v>#REF!</v>
      </c>
      <c r="EC7" s="7" t="e">
        <f>IF(OR(#REF!&gt;2,#REF!&lt;-2),"",#REF!)</f>
        <v>#REF!</v>
      </c>
      <c r="ED7" s="7" t="e">
        <f>IF(OR(#REF!&gt;2,#REF!&lt;-2),"",#REF!)</f>
        <v>#REF!</v>
      </c>
      <c r="EE7" s="7" t="e">
        <f>IF(OR(#REF!&gt;2,#REF!&lt;-2),"",#REF!)</f>
        <v>#REF!</v>
      </c>
      <c r="EF7" s="7" t="e">
        <f>IF(OR(#REF!&gt;2,#REF!&lt;-2),"",#REF!)</f>
        <v>#REF!</v>
      </c>
      <c r="EG7" s="7" t="e">
        <f>IF(OR(#REF!&gt;2,#REF!&lt;-2),"",#REF!)</f>
        <v>#REF!</v>
      </c>
      <c r="EH7" s="7" t="e">
        <f>IF(OR(#REF!&gt;2,#REF!&lt;-2),"",#REF!)</f>
        <v>#REF!</v>
      </c>
      <c r="EI7" s="7" t="e">
        <f>IF(OR(#REF!&gt;2,#REF!&lt;-2),"",#REF!)</f>
        <v>#REF!</v>
      </c>
      <c r="EJ7" s="7" t="e">
        <f>IF(OR(#REF!&gt;2,#REF!&lt;-2),"",#REF!)</f>
        <v>#REF!</v>
      </c>
      <c r="EK7" s="7" t="e">
        <f>IF(OR(#REF!&gt;2,#REF!&lt;-2),"",#REF!)</f>
        <v>#REF!</v>
      </c>
      <c r="EL7" s="7" t="e">
        <f>IF(OR(#REF!&gt;2,#REF!&lt;-2),"",#REF!)</f>
        <v>#REF!</v>
      </c>
      <c r="EM7" s="7" t="e">
        <f>IF(OR(#REF!&gt;2,#REF!&lt;-2),"",#REF!)</f>
        <v>#REF!</v>
      </c>
      <c r="EN7" s="7" t="e">
        <f>IF(OR(#REF!&gt;2,#REF!&lt;-2),"",#REF!)</f>
        <v>#REF!</v>
      </c>
      <c r="EO7" s="7" t="e">
        <f>IF(OR(#REF!&gt;2,#REF!&lt;-2),"",#REF!)</f>
        <v>#REF!</v>
      </c>
      <c r="EP7" s="7" t="e">
        <f>IF(OR(#REF!&gt;2,#REF!&lt;-2),"",#REF!)</f>
        <v>#REF!</v>
      </c>
      <c r="EQ7" s="7" t="e">
        <f>IF(OR(#REF!&gt;2,#REF!&lt;-2),"",#REF!)</f>
        <v>#REF!</v>
      </c>
      <c r="ER7" s="7" t="e">
        <f>IF(OR(#REF!&gt;2,#REF!&lt;-2),"",#REF!)</f>
        <v>#REF!</v>
      </c>
      <c r="ES7" s="7" t="e">
        <f>IF(OR(#REF!&gt;2,#REF!&lt;-2),"",#REF!)</f>
        <v>#REF!</v>
      </c>
      <c r="ET7" s="7" t="e">
        <f>IF(OR(#REF!&gt;2,#REF!&lt;-2),"",#REF!)</f>
        <v>#REF!</v>
      </c>
      <c r="EU7" s="7" t="e">
        <f>IF(OR(#REF!&gt;2,#REF!&lt;-2),"",#REF!)</f>
        <v>#REF!</v>
      </c>
      <c r="EV7" s="7" t="e">
        <f>IF(OR(#REF!&gt;2,#REF!&lt;-2),"",#REF!)</f>
        <v>#REF!</v>
      </c>
      <c r="EW7" s="7" t="e">
        <f>IF(OR(#REF!&gt;2,#REF!&lt;-2),"",#REF!)</f>
        <v>#REF!</v>
      </c>
      <c r="EX7" s="7" t="e">
        <f>IF(OR(#REF!&gt;2,#REF!&lt;-2),"",#REF!)</f>
        <v>#REF!</v>
      </c>
      <c r="EY7" s="7" t="e">
        <f>IF(OR(#REF!&gt;2,#REF!&lt;-2),"",#REF!)</f>
        <v>#REF!</v>
      </c>
      <c r="EZ7" s="7" t="e">
        <f>IF(OR(#REF!&gt;2,#REF!&lt;-2),"",#REF!)</f>
        <v>#REF!</v>
      </c>
      <c r="FA7" s="7" t="e">
        <f>IF(OR(#REF!&gt;2,#REF!&lt;-2),"",#REF!)</f>
        <v>#REF!</v>
      </c>
      <c r="FB7" s="7" t="e">
        <f>IF(OR(#REF!&gt;2,#REF!&lt;-2),"",#REF!)</f>
        <v>#REF!</v>
      </c>
      <c r="FC7" s="7" t="e">
        <f>IF(OR(#REF!&gt;2,#REF!&lt;-2),"",#REF!)</f>
        <v>#REF!</v>
      </c>
      <c r="FD7" s="7" t="e">
        <f>IF(OR(#REF!&gt;2,#REF!&lt;-2),"",#REF!)</f>
        <v>#REF!</v>
      </c>
      <c r="FE7" s="7" t="e">
        <f>IF(OR(#REF!&gt;2,#REF!&lt;-2),"",#REF!)</f>
        <v>#REF!</v>
      </c>
      <c r="FF7" s="7" t="e">
        <f>IF(OR(#REF!&gt;2,#REF!&lt;-2),"",#REF!)</f>
        <v>#REF!</v>
      </c>
      <c r="FG7" s="7" t="e">
        <f>IF(OR(#REF!&gt;2,#REF!&lt;-2),"",#REF!)</f>
        <v>#REF!</v>
      </c>
      <c r="FH7" s="7" t="e">
        <f>IF(OR(#REF!&gt;2,#REF!&lt;-2),"",#REF!)</f>
        <v>#REF!</v>
      </c>
      <c r="FI7" s="7" t="e">
        <f>IF(OR(#REF!&gt;2,#REF!&lt;-2),"",#REF!)</f>
        <v>#REF!</v>
      </c>
      <c r="FJ7" s="7" t="e">
        <f>IF(OR(#REF!&gt;2,#REF!&lt;-2),"",#REF!)</f>
        <v>#REF!</v>
      </c>
      <c r="FK7" s="7" t="e">
        <f>IF(OR(#REF!&gt;2,#REF!&lt;-2),"",#REF!)</f>
        <v>#REF!</v>
      </c>
      <c r="FL7" s="7" t="e">
        <f>IF(OR(#REF!&gt;2,#REF!&lt;-2),"",#REF!)</f>
        <v>#REF!</v>
      </c>
      <c r="FM7" s="7" t="e">
        <f>IF(OR(#REF!&gt;2,#REF!&lt;-2),"",#REF!)</f>
        <v>#REF!</v>
      </c>
      <c r="FN7" s="7" t="e">
        <f>IF(OR(#REF!&gt;2,#REF!&lt;-2),"",#REF!)</f>
        <v>#REF!</v>
      </c>
      <c r="FO7" s="7" t="e">
        <f>IF(OR(#REF!&gt;2,#REF!&lt;-2),"",#REF!)</f>
        <v>#REF!</v>
      </c>
      <c r="FP7" s="7" t="e">
        <f>IF(OR(#REF!&gt;2,#REF!&lt;-2),"",#REF!)</f>
        <v>#REF!</v>
      </c>
      <c r="FQ7" s="7" t="e">
        <f>IF(OR(#REF!&gt;2,#REF!&lt;-2),"",#REF!)</f>
        <v>#REF!</v>
      </c>
      <c r="FR7" s="7" t="e">
        <f>IF(OR(#REF!&gt;2,#REF!&lt;-2),"",#REF!)</f>
        <v>#REF!</v>
      </c>
      <c r="FS7" s="7" t="e">
        <f>IF(OR(#REF!&gt;2,#REF!&lt;-2),"",#REF!)</f>
        <v>#REF!</v>
      </c>
      <c r="FT7" s="7" t="e">
        <f>IF(OR(#REF!&gt;2,#REF!&lt;-2),"",#REF!)</f>
        <v>#REF!</v>
      </c>
      <c r="FU7" s="7" t="e">
        <f>IF(OR(#REF!&gt;2,#REF!&lt;-2),"",#REF!)</f>
        <v>#REF!</v>
      </c>
      <c r="FV7" s="7" t="e">
        <f>IF(OR(#REF!&gt;2,#REF!&lt;-2),"",#REF!)</f>
        <v>#REF!</v>
      </c>
      <c r="FW7" s="7" t="e">
        <f>IF(OR(#REF!&gt;2,#REF!&lt;-2),"",#REF!)</f>
        <v>#REF!</v>
      </c>
      <c r="FX7" s="7" t="e">
        <f>IF(OR(#REF!&gt;2,#REF!&lt;-2),"",#REF!)</f>
        <v>#REF!</v>
      </c>
      <c r="FY7" s="7" t="e">
        <f>IF(OR(#REF!&gt;2,#REF!&lt;-2),"",#REF!)</f>
        <v>#REF!</v>
      </c>
      <c r="FZ7" s="7" t="e">
        <f>IF(OR(#REF!&gt;2,#REF!&lt;-2),"",#REF!)</f>
        <v>#REF!</v>
      </c>
      <c r="GA7" s="7" t="e">
        <f>IF(OR(#REF!&gt;2,#REF!&lt;-2),"",#REF!)</f>
        <v>#REF!</v>
      </c>
      <c r="GB7" s="7" t="e">
        <f>IF(OR(#REF!&gt;2,#REF!&lt;-2),"",#REF!)</f>
        <v>#REF!</v>
      </c>
      <c r="GC7" s="7" t="e">
        <f>IF(OR(#REF!&gt;2,#REF!&lt;-2),"",#REF!)</f>
        <v>#REF!</v>
      </c>
      <c r="GD7" s="7" t="e">
        <f>IF(OR(#REF!&gt;2,#REF!&lt;-2),"",#REF!)</f>
        <v>#REF!</v>
      </c>
      <c r="GE7" s="7" t="e">
        <f>IF(OR(#REF!&gt;2,#REF!&lt;-2),"",#REF!)</f>
        <v>#REF!</v>
      </c>
      <c r="GF7" s="7" t="e">
        <f>IF(OR(#REF!&gt;2,#REF!&lt;-2),"",#REF!)</f>
        <v>#REF!</v>
      </c>
      <c r="GG7" s="7" t="e">
        <f>IF(OR(#REF!&gt;2,#REF!&lt;-2),"",#REF!)</f>
        <v>#REF!</v>
      </c>
      <c r="GH7" s="7" t="e">
        <f>IF(OR(#REF!&gt;2,#REF!&lt;-2),"",#REF!)</f>
        <v>#REF!</v>
      </c>
      <c r="GI7" s="7" t="e">
        <f>IF(OR(#REF!&gt;2,#REF!&lt;-2),"",#REF!)</f>
        <v>#REF!</v>
      </c>
      <c r="GJ7" s="7" t="e">
        <f>IF(OR(#REF!&gt;2,#REF!&lt;-2),"",#REF!)</f>
        <v>#REF!</v>
      </c>
      <c r="GK7" s="7" t="e">
        <f>IF(OR(#REF!&gt;2,#REF!&lt;-2),"",#REF!)</f>
        <v>#REF!</v>
      </c>
      <c r="GL7" s="7" t="e">
        <f>IF(OR(#REF!&gt;2,#REF!&lt;-2),"",#REF!)</f>
        <v>#REF!</v>
      </c>
      <c r="GM7" s="7" t="e">
        <f>IF(OR(#REF!&gt;2,#REF!&lt;-2),"",#REF!)</f>
        <v>#REF!</v>
      </c>
      <c r="GN7" s="7" t="e">
        <f>IF(OR(#REF!&gt;2,#REF!&lt;-2),"",#REF!)</f>
        <v>#REF!</v>
      </c>
      <c r="GO7" s="7" t="e">
        <f>IF(OR(#REF!&gt;2,#REF!&lt;-2),"",#REF!)</f>
        <v>#REF!</v>
      </c>
      <c r="GP7" s="7" t="e">
        <f>IF(OR(#REF!&gt;2,#REF!&lt;-2),"",#REF!)</f>
        <v>#REF!</v>
      </c>
      <c r="GQ7" s="7" t="e">
        <f>IF(OR(#REF!&gt;2,#REF!&lt;-2),"",#REF!)</f>
        <v>#REF!</v>
      </c>
      <c r="GR7" s="7" t="e">
        <f>IF(OR(#REF!&gt;2,#REF!&lt;-2),"",#REF!)</f>
        <v>#REF!</v>
      </c>
      <c r="GS7" s="7" t="e">
        <f>IF(OR(#REF!&gt;2,#REF!&lt;-2),"",#REF!)</f>
        <v>#REF!</v>
      </c>
      <c r="GT7" s="7" t="e">
        <f>IF(OR(#REF!&gt;2,#REF!&lt;-2),"",#REF!)</f>
        <v>#REF!</v>
      </c>
      <c r="GU7" s="7" t="e">
        <f>IF(OR(#REF!&gt;2,#REF!&lt;-2),"",#REF!)</f>
        <v>#REF!</v>
      </c>
      <c r="GV7" s="7" t="e">
        <f>IF(OR(#REF!&gt;2,#REF!&lt;-2),"",#REF!)</f>
        <v>#REF!</v>
      </c>
      <c r="GW7" s="7" t="e">
        <f>IF(OR(#REF!&gt;2,#REF!&lt;-2),"",#REF!)</f>
        <v>#REF!</v>
      </c>
      <c r="GX7" s="7" t="e">
        <f>IF(OR(#REF!&gt;2,#REF!&lt;-2),"",#REF!)</f>
        <v>#REF!</v>
      </c>
      <c r="GY7" s="7" t="e">
        <f>IF(OR(#REF!&gt;2,#REF!&lt;-2),"",#REF!)</f>
        <v>#REF!</v>
      </c>
      <c r="GZ7" s="7" t="e">
        <f>IF(OR(#REF!&gt;2,#REF!&lt;-2),"",#REF!)</f>
        <v>#REF!</v>
      </c>
      <c r="HA7" s="7" t="e">
        <f>IF(OR(#REF!&gt;2,#REF!&lt;-2),"",#REF!)</f>
        <v>#REF!</v>
      </c>
      <c r="HB7" s="7" t="e">
        <f>IF(OR(#REF!&gt;2,#REF!&lt;-2),"",#REF!)</f>
        <v>#REF!</v>
      </c>
      <c r="HC7" s="7" t="e">
        <f>IF(OR(#REF!&gt;2,#REF!&lt;-2),"",#REF!)</f>
        <v>#REF!</v>
      </c>
      <c r="HD7" s="7" t="e">
        <f>IF(OR(#REF!&gt;2,#REF!&lt;-2),"",#REF!)</f>
        <v>#REF!</v>
      </c>
      <c r="HE7" s="7" t="e">
        <f>IF(OR(#REF!&gt;2,#REF!&lt;-2),"",#REF!)</f>
        <v>#REF!</v>
      </c>
      <c r="HF7" s="7" t="e">
        <f>IF(OR(#REF!&gt;2,#REF!&lt;-2),"",#REF!)</f>
        <v>#REF!</v>
      </c>
      <c r="HG7" s="7" t="e">
        <f>IF(OR(#REF!&gt;2,#REF!&lt;-2),"",#REF!)</f>
        <v>#REF!</v>
      </c>
      <c r="HH7" s="7" t="e">
        <f>IF(OR(#REF!&gt;2,#REF!&lt;-2),"",#REF!)</f>
        <v>#REF!</v>
      </c>
      <c r="HI7" s="7" t="e">
        <f>IF(OR(#REF!&gt;2,#REF!&lt;-2),"",#REF!)</f>
        <v>#REF!</v>
      </c>
      <c r="HJ7" s="7" t="e">
        <f>IF(OR(#REF!&gt;2,#REF!&lt;-2),"",#REF!)</f>
        <v>#REF!</v>
      </c>
      <c r="HK7" s="7" t="e">
        <f>IF(OR(#REF!&gt;2,#REF!&lt;-2),"",#REF!)</f>
        <v>#REF!</v>
      </c>
      <c r="HL7" s="7" t="e">
        <f>IF(OR(#REF!&gt;2,#REF!&lt;-2),"",#REF!)</f>
        <v>#REF!</v>
      </c>
      <c r="HM7" s="7" t="e">
        <f>IF(OR(#REF!&gt;2,#REF!&lt;-2),"",#REF!)</f>
        <v>#REF!</v>
      </c>
      <c r="HN7" s="7" t="e">
        <f>IF(OR(#REF!&gt;2,#REF!&lt;-2),"",#REF!)</f>
        <v>#REF!</v>
      </c>
      <c r="HO7" s="7" t="e">
        <f>IF(OR(#REF!&gt;2,#REF!&lt;-2),"",#REF!)</f>
        <v>#REF!</v>
      </c>
      <c r="HP7" s="7" t="e">
        <f>IF(OR(#REF!&gt;2,#REF!&lt;-2),"",#REF!)</f>
        <v>#REF!</v>
      </c>
      <c r="HQ7" s="7" t="e">
        <f>IF(OR(#REF!&gt;2,#REF!&lt;-2),"",#REF!)</f>
        <v>#REF!</v>
      </c>
      <c r="HR7" s="7" t="e">
        <f>IF(OR(#REF!&gt;2,#REF!&lt;-2),"",#REF!)</f>
        <v>#REF!</v>
      </c>
      <c r="HS7" s="7" t="e">
        <f>IF(OR(#REF!&gt;2,#REF!&lt;-2),"",#REF!)</f>
        <v>#REF!</v>
      </c>
      <c r="HT7" s="7" t="e">
        <f>IF(OR(#REF!&gt;2,#REF!&lt;-2),"",#REF!)</f>
        <v>#REF!</v>
      </c>
      <c r="HU7" s="7" t="e">
        <f>IF(OR(#REF!&gt;2,#REF!&lt;-2),"",#REF!)</f>
        <v>#REF!</v>
      </c>
      <c r="HV7" s="7" t="e">
        <f>IF(OR(#REF!&gt;2,#REF!&lt;-2),"",#REF!)</f>
        <v>#REF!</v>
      </c>
      <c r="HW7" s="7" t="e">
        <f>IF(OR(#REF!&gt;2,#REF!&lt;-2),"",#REF!)</f>
        <v>#REF!</v>
      </c>
      <c r="HX7" s="7" t="e">
        <f>IF(OR(#REF!&gt;2,#REF!&lt;-2),"",#REF!)</f>
        <v>#REF!</v>
      </c>
      <c r="HY7" s="7" t="e">
        <f>IF(OR(#REF!&gt;2,#REF!&lt;-2),"",#REF!)</f>
        <v>#REF!</v>
      </c>
      <c r="HZ7" s="7" t="e">
        <f>IF(OR(#REF!&gt;2,#REF!&lt;-2),"",#REF!)</f>
        <v>#REF!</v>
      </c>
      <c r="IA7" s="7" t="e">
        <f>IF(OR(#REF!&gt;2,#REF!&lt;-2),"",#REF!)</f>
        <v>#REF!</v>
      </c>
      <c r="IB7" s="7" t="e">
        <f>IF(OR(#REF!&gt;2,#REF!&lt;-2),"",#REF!)</f>
        <v>#REF!</v>
      </c>
      <c r="IC7" s="7" t="e">
        <f>IF(OR(#REF!&gt;2,#REF!&lt;-2),"",#REF!)</f>
        <v>#REF!</v>
      </c>
      <c r="ID7" s="7" t="e">
        <f>IF(OR(#REF!&gt;2,#REF!&lt;-2),"",#REF!)</f>
        <v>#REF!</v>
      </c>
      <c r="IE7" s="7" t="e">
        <f>IF(OR(#REF!&gt;2,#REF!&lt;-2),"",#REF!)</f>
        <v>#REF!</v>
      </c>
      <c r="IF7" s="7" t="e">
        <f>IF(OR(#REF!&gt;2,#REF!&lt;-2),"",#REF!)</f>
        <v>#REF!</v>
      </c>
      <c r="IG7" s="7" t="e">
        <f>IF(OR(#REF!&gt;2,#REF!&lt;-2),"",#REF!)</f>
        <v>#REF!</v>
      </c>
      <c r="IH7" s="7" t="e">
        <f>IF(OR(#REF!&gt;2,#REF!&lt;-2),"",#REF!)</f>
        <v>#REF!</v>
      </c>
      <c r="II7" s="7" t="e">
        <f>IF(OR(#REF!&gt;2,#REF!&lt;-2),"",#REF!)</f>
        <v>#REF!</v>
      </c>
      <c r="IJ7" s="7" t="e">
        <f>IF(OR(#REF!&gt;2,#REF!&lt;-2),"",#REF!)</f>
        <v>#REF!</v>
      </c>
      <c r="IK7" s="7" t="e">
        <f>IF(OR(#REF!&gt;2,#REF!&lt;-2),"",#REF!)</f>
        <v>#REF!</v>
      </c>
      <c r="IL7" s="7" t="e">
        <f>IF(OR(#REF!&gt;2,#REF!&lt;-2),"",#REF!)</f>
        <v>#REF!</v>
      </c>
      <c r="IM7" s="7" t="e">
        <f>IF(OR(#REF!&gt;2,#REF!&lt;-2),"",#REF!)</f>
        <v>#REF!</v>
      </c>
      <c r="IN7" s="7" t="e">
        <f>IF(OR(#REF!&gt;2,#REF!&lt;-2),"",#REF!)</f>
        <v>#REF!</v>
      </c>
      <c r="IO7" s="7" t="e">
        <f>IF(OR(#REF!&gt;2,#REF!&lt;-2),"",#REF!)</f>
        <v>#REF!</v>
      </c>
      <c r="IP7" s="7" t="e">
        <f>IF(OR(#REF!&gt;2,#REF!&lt;-2),"",#REF!)</f>
        <v>#REF!</v>
      </c>
      <c r="IQ7" s="7" t="e">
        <f>IF(OR(#REF!&gt;2,#REF!&lt;-2),"",#REF!)</f>
        <v>#REF!</v>
      </c>
      <c r="IR7" s="7" t="e">
        <f>IF(OR(#REF!&gt;2,#REF!&lt;-2),"",#REF!)</f>
        <v>#REF!</v>
      </c>
      <c r="IS7" s="7" t="e">
        <f>IF(OR(#REF!&gt;2,#REF!&lt;-2),"",#REF!)</f>
        <v>#REF!</v>
      </c>
      <c r="IT7" s="7" t="e">
        <f>IF(OR(#REF!&gt;2,#REF!&lt;-2),"",#REF!)</f>
        <v>#REF!</v>
      </c>
      <c r="IU7" s="7" t="e">
        <f>IF(OR(#REF!&gt;2,#REF!&lt;-2),"",#REF!)</f>
        <v>#REF!</v>
      </c>
      <c r="IV7" s="7" t="e">
        <f>IF(OR(#REF!&gt;2,#REF!&lt;-2),"",#REF!)</f>
        <v>#REF!</v>
      </c>
      <c r="IW7" s="7" t="e">
        <f>IF(OR(#REF!&gt;2,#REF!&lt;-2),"",#REF!)</f>
        <v>#REF!</v>
      </c>
      <c r="IX7" s="7" t="e">
        <f>IF(OR(#REF!&gt;2,#REF!&lt;-2),"",#REF!)</f>
        <v>#REF!</v>
      </c>
      <c r="IY7" s="7" t="e">
        <f>IF(OR(#REF!&gt;2,#REF!&lt;-2),"",#REF!)</f>
        <v>#REF!</v>
      </c>
      <c r="IZ7" s="7" t="e">
        <f>IF(OR(#REF!&gt;2,#REF!&lt;-2),"",#REF!)</f>
        <v>#REF!</v>
      </c>
      <c r="JA7" s="7" t="e">
        <f>IF(OR(#REF!&gt;2,#REF!&lt;-2),"",#REF!)</f>
        <v>#REF!</v>
      </c>
      <c r="JB7" s="7" t="e">
        <f>IF(OR(#REF!&gt;2,#REF!&lt;-2),"",#REF!)</f>
        <v>#REF!</v>
      </c>
      <c r="JC7" s="7" t="e">
        <f>IF(OR(#REF!&gt;2,#REF!&lt;-2),"",#REF!)</f>
        <v>#REF!</v>
      </c>
      <c r="JD7" s="7" t="e">
        <f>IF(OR(#REF!&gt;2,#REF!&lt;-2),"",#REF!)</f>
        <v>#REF!</v>
      </c>
      <c r="JE7" s="7" t="e">
        <f>IF(OR(#REF!&gt;2,#REF!&lt;-2),"",#REF!)</f>
        <v>#REF!</v>
      </c>
      <c r="JF7" s="7" t="e">
        <f>IF(OR(#REF!&gt;2,#REF!&lt;-2),"",#REF!)</f>
        <v>#REF!</v>
      </c>
      <c r="JG7" s="7" t="e">
        <f>IF(OR(#REF!&gt;2,#REF!&lt;-2),"",#REF!)</f>
        <v>#REF!</v>
      </c>
      <c r="JH7" s="7" t="e">
        <f>IF(OR(#REF!&gt;2,#REF!&lt;-2),"",#REF!)</f>
        <v>#REF!</v>
      </c>
      <c r="JI7" s="7" t="e">
        <f>IF(OR(#REF!&gt;2,#REF!&lt;-2),"",#REF!)</f>
        <v>#REF!</v>
      </c>
      <c r="JJ7" s="7" t="e">
        <f>IF(OR(#REF!&gt;2,#REF!&lt;-2),"",#REF!)</f>
        <v>#REF!</v>
      </c>
      <c r="JK7" s="7" t="e">
        <f>IF(OR(#REF!&gt;2,#REF!&lt;-2),"",#REF!)</f>
        <v>#REF!</v>
      </c>
      <c r="JL7" s="7" t="e">
        <f>IF(OR(#REF!&gt;2,#REF!&lt;-2),"",#REF!)</f>
        <v>#REF!</v>
      </c>
      <c r="JM7" s="7" t="e">
        <f>IF(OR(#REF!&gt;2,#REF!&lt;-2),"",#REF!)</f>
        <v>#REF!</v>
      </c>
      <c r="JN7" s="7" t="e">
        <f>IF(OR(#REF!&gt;2,#REF!&lt;-2),"",#REF!)</f>
        <v>#REF!</v>
      </c>
      <c r="JO7" s="7" t="e">
        <f>IF(OR(#REF!&gt;2,#REF!&lt;-2),"",#REF!)</f>
        <v>#REF!</v>
      </c>
      <c r="JP7" s="7" t="e">
        <f>IF(OR(#REF!&gt;2,#REF!&lt;-2),"",#REF!)</f>
        <v>#REF!</v>
      </c>
      <c r="JQ7" s="7" t="e">
        <f>IF(OR(#REF!&gt;2,#REF!&lt;-2),"",#REF!)</f>
        <v>#REF!</v>
      </c>
      <c r="JR7" s="7" t="e">
        <f>IF(OR(#REF!&gt;2,#REF!&lt;-2),"",#REF!)</f>
        <v>#REF!</v>
      </c>
      <c r="JS7" s="7" t="e">
        <f>IF(OR(#REF!&gt;2,#REF!&lt;-2),"",#REF!)</f>
        <v>#REF!</v>
      </c>
      <c r="JT7" s="7" t="e">
        <f>IF(OR(#REF!&gt;2,#REF!&lt;-2),"",#REF!)</f>
        <v>#REF!</v>
      </c>
      <c r="JU7" s="7" t="e">
        <f>IF(OR(#REF!&gt;2,#REF!&lt;-2),"",#REF!)</f>
        <v>#REF!</v>
      </c>
      <c r="JV7" s="7" t="e">
        <f>IF(OR(#REF!&gt;2,#REF!&lt;-2),"",#REF!)</f>
        <v>#REF!</v>
      </c>
      <c r="JW7" s="7" t="e">
        <f>IF(OR(#REF!&gt;2,#REF!&lt;-2),"",#REF!)</f>
        <v>#REF!</v>
      </c>
      <c r="JX7" s="7" t="e">
        <f>IF(OR(#REF!&gt;2,#REF!&lt;-2),"",#REF!)</f>
        <v>#REF!</v>
      </c>
      <c r="JY7" s="7" t="e">
        <f>IF(OR(#REF!&gt;2,#REF!&lt;-2),"",#REF!)</f>
        <v>#REF!</v>
      </c>
      <c r="JZ7" s="7" t="e">
        <f>IF(OR(#REF!&gt;2,#REF!&lt;-2),"",#REF!)</f>
        <v>#REF!</v>
      </c>
      <c r="KA7" s="7" t="e">
        <f>IF(OR(#REF!&gt;2,#REF!&lt;-2),"",#REF!)</f>
        <v>#REF!</v>
      </c>
      <c r="KB7" s="7" t="e">
        <f>IF(OR(#REF!&gt;2,#REF!&lt;-2),"",#REF!)</f>
        <v>#REF!</v>
      </c>
      <c r="KC7" s="7" t="e">
        <f>IF(OR(#REF!&gt;2,#REF!&lt;-2),"",#REF!)</f>
        <v>#REF!</v>
      </c>
      <c r="KD7" s="7" t="e">
        <f>IF(OR(#REF!&gt;2,#REF!&lt;-2),"",#REF!)</f>
        <v>#REF!</v>
      </c>
      <c r="KE7" s="7" t="e">
        <f>IF(OR(#REF!&gt;2,#REF!&lt;-2),"",#REF!)</f>
        <v>#REF!</v>
      </c>
      <c r="KF7" s="7" t="e">
        <f>IF(OR(#REF!&gt;2,#REF!&lt;-2),"",#REF!)</f>
        <v>#REF!</v>
      </c>
      <c r="KG7" s="7" t="e">
        <f>IF(OR(#REF!&gt;2,#REF!&lt;-2),"",#REF!)</f>
        <v>#REF!</v>
      </c>
      <c r="KH7" s="7" t="e">
        <f>IF(OR(#REF!&gt;2,#REF!&lt;-2),"",#REF!)</f>
        <v>#REF!</v>
      </c>
      <c r="KI7" s="7" t="e">
        <f>IF(OR(#REF!&gt;2,#REF!&lt;-2),"",#REF!)</f>
        <v>#REF!</v>
      </c>
      <c r="KJ7" s="7" t="e">
        <f>IF(OR(#REF!&gt;2,#REF!&lt;-2),"",#REF!)</f>
        <v>#REF!</v>
      </c>
      <c r="KK7" s="7" t="e">
        <f>IF(OR(#REF!&gt;2,#REF!&lt;-2),"",#REF!)</f>
        <v>#REF!</v>
      </c>
      <c r="KL7" s="7" t="e">
        <f>IF(OR(#REF!&gt;2,#REF!&lt;-2),"",#REF!)</f>
        <v>#REF!</v>
      </c>
      <c r="KM7" s="7" t="e">
        <f>IF(OR(#REF!&gt;2,#REF!&lt;-2),"",#REF!)</f>
        <v>#REF!</v>
      </c>
      <c r="KN7" s="7" t="e">
        <f>IF(OR(#REF!&gt;2,#REF!&lt;-2),"",#REF!)</f>
        <v>#REF!</v>
      </c>
      <c r="KO7" s="7" t="e">
        <f>IF(OR(#REF!&gt;2,#REF!&lt;-2),"",#REF!)</f>
        <v>#REF!</v>
      </c>
      <c r="KP7" s="7" t="e">
        <f>IF(OR(#REF!&gt;2,#REF!&lt;-2),"",#REF!)</f>
        <v>#REF!</v>
      </c>
      <c r="KQ7" s="7" t="e">
        <f>IF(OR(#REF!&gt;2,#REF!&lt;-2),"",#REF!)</f>
        <v>#REF!</v>
      </c>
      <c r="KR7" s="7" t="e">
        <f>IF(OR(#REF!&gt;2,#REF!&lt;-2),"",#REF!)</f>
        <v>#REF!</v>
      </c>
      <c r="KS7" s="7" t="e">
        <f>IF(OR(#REF!&gt;2,#REF!&lt;-2),"",#REF!)</f>
        <v>#REF!</v>
      </c>
      <c r="KT7" s="7" t="e">
        <f>IF(OR(#REF!&gt;2,#REF!&lt;-2),"",#REF!)</f>
        <v>#REF!</v>
      </c>
      <c r="KU7" s="7" t="e">
        <f>IF(OR(#REF!&gt;2,#REF!&lt;-2),"",#REF!)</f>
        <v>#REF!</v>
      </c>
      <c r="KV7" s="7" t="e">
        <f>IF(OR(#REF!&gt;2,#REF!&lt;-2),"",#REF!)</f>
        <v>#REF!</v>
      </c>
      <c r="KW7" s="7" t="e">
        <f>IF(OR(#REF!&gt;2,#REF!&lt;-2),"",#REF!)</f>
        <v>#REF!</v>
      </c>
      <c r="KX7" s="7" t="e">
        <f>IF(OR(#REF!&gt;2,#REF!&lt;-2),"",#REF!)</f>
        <v>#REF!</v>
      </c>
      <c r="KY7" s="7" t="e">
        <f>IF(OR(#REF!&gt;2,#REF!&lt;-2),"",#REF!)</f>
        <v>#REF!</v>
      </c>
      <c r="KZ7" s="7" t="e">
        <f>IF(OR(#REF!&gt;2,#REF!&lt;-2),"",#REF!)</f>
        <v>#REF!</v>
      </c>
      <c r="LA7" s="7" t="e">
        <f>IF(OR(#REF!&gt;2,#REF!&lt;-2),"",#REF!)</f>
        <v>#REF!</v>
      </c>
      <c r="LB7" s="7" t="e">
        <f>IF(OR(#REF!&gt;2,#REF!&lt;-2),"",#REF!)</f>
        <v>#REF!</v>
      </c>
      <c r="LC7" s="7" t="e">
        <f>IF(OR(#REF!&gt;2,#REF!&lt;-2),"",#REF!)</f>
        <v>#REF!</v>
      </c>
      <c r="LD7" s="7" t="e">
        <f>IF(OR(#REF!&gt;2,#REF!&lt;-2),"",#REF!)</f>
        <v>#REF!</v>
      </c>
      <c r="LE7" s="7" t="e">
        <f>IF(OR(#REF!&gt;2,#REF!&lt;-2),"",#REF!)</f>
        <v>#REF!</v>
      </c>
      <c r="LF7" s="7" t="e">
        <f>IF(OR(#REF!&gt;2,#REF!&lt;-2),"",#REF!)</f>
        <v>#REF!</v>
      </c>
      <c r="LG7" s="7" t="e">
        <f>IF(OR(#REF!&gt;2,#REF!&lt;-2),"",#REF!)</f>
        <v>#REF!</v>
      </c>
      <c r="LH7" s="7" t="e">
        <f>IF(OR(#REF!&gt;2,#REF!&lt;-2),"",#REF!)</f>
        <v>#REF!</v>
      </c>
      <c r="LI7" s="7" t="e">
        <f>IF(OR(#REF!&gt;2,#REF!&lt;-2),"",#REF!)</f>
        <v>#REF!</v>
      </c>
      <c r="LJ7" s="7" t="e">
        <f>IF(OR(#REF!&gt;2,#REF!&lt;-2),"",#REF!)</f>
        <v>#REF!</v>
      </c>
      <c r="LK7" s="7" t="e">
        <f>IF(OR(#REF!&gt;2,#REF!&lt;-2),"",#REF!)</f>
        <v>#REF!</v>
      </c>
      <c r="LL7" s="7" t="e">
        <f>IF(OR(#REF!&gt;2,#REF!&lt;-2),"",#REF!)</f>
        <v>#REF!</v>
      </c>
      <c r="LM7" s="7" t="e">
        <f>IF(OR(#REF!&gt;2,#REF!&lt;-2),"",#REF!)</f>
        <v>#REF!</v>
      </c>
      <c r="LN7" s="7" t="e">
        <f>IF(OR(#REF!&gt;2,#REF!&lt;-2),"",#REF!)</f>
        <v>#REF!</v>
      </c>
      <c r="LO7" s="7" t="e">
        <f>IF(OR(#REF!&gt;2,#REF!&lt;-2),"",#REF!)</f>
        <v>#REF!</v>
      </c>
      <c r="LP7" s="7" t="e">
        <f>IF(OR(#REF!&gt;2,#REF!&lt;-2),"",#REF!)</f>
        <v>#REF!</v>
      </c>
      <c r="LQ7" s="7" t="e">
        <f>IF(OR(#REF!&gt;2,#REF!&lt;-2),"",#REF!)</f>
        <v>#REF!</v>
      </c>
      <c r="LR7" s="7" t="e">
        <f>IF(OR(#REF!&gt;2,#REF!&lt;-2),"",#REF!)</f>
        <v>#REF!</v>
      </c>
      <c r="LS7" s="7" t="e">
        <f>IF(OR(#REF!&gt;2,#REF!&lt;-2),"",#REF!)</f>
        <v>#REF!</v>
      </c>
      <c r="LT7" s="7" t="e">
        <f>IF(OR(#REF!&gt;2,#REF!&lt;-2),"",#REF!)</f>
        <v>#REF!</v>
      </c>
      <c r="LU7" s="7" t="e">
        <f>IF(OR(#REF!&gt;2,#REF!&lt;-2),"",#REF!)</f>
        <v>#REF!</v>
      </c>
      <c r="LV7" s="7" t="e">
        <f>IF(OR(#REF!&gt;2,#REF!&lt;-2),"",#REF!)</f>
        <v>#REF!</v>
      </c>
      <c r="LW7" s="7" t="e">
        <f>IF(OR(#REF!&gt;2,#REF!&lt;-2),"",#REF!)</f>
        <v>#REF!</v>
      </c>
      <c r="LX7" s="7" t="e">
        <f>IF(OR(#REF!&gt;2,#REF!&lt;-2),"",#REF!)</f>
        <v>#REF!</v>
      </c>
      <c r="LY7" s="7" t="e">
        <f>IF(OR(#REF!&gt;2,#REF!&lt;-2),"",#REF!)</f>
        <v>#REF!</v>
      </c>
      <c r="LZ7" s="7" t="e">
        <f>IF(OR(#REF!&gt;2,#REF!&lt;-2),"",#REF!)</f>
        <v>#REF!</v>
      </c>
      <c r="MA7" s="7" t="e">
        <f>IF(OR(#REF!&gt;2,#REF!&lt;-2),"",#REF!)</f>
        <v>#REF!</v>
      </c>
      <c r="MB7" s="7" t="e">
        <f>IF(OR(#REF!&gt;2,#REF!&lt;-2),"",#REF!)</f>
        <v>#REF!</v>
      </c>
      <c r="MC7" s="7" t="e">
        <f>IF(OR(#REF!&gt;2,#REF!&lt;-2),"",#REF!)</f>
        <v>#REF!</v>
      </c>
      <c r="MD7" s="7" t="e">
        <f>IF(OR(#REF!&gt;2,#REF!&lt;-2),"",#REF!)</f>
        <v>#REF!</v>
      </c>
      <c r="ME7" s="7" t="e">
        <f>IF(OR(#REF!&gt;2,#REF!&lt;-2),"",#REF!)</f>
        <v>#REF!</v>
      </c>
      <c r="MF7" s="7" t="e">
        <f>IF(OR(#REF!&gt;2,#REF!&lt;-2),"",#REF!)</f>
        <v>#REF!</v>
      </c>
      <c r="MG7" s="7" t="e">
        <f>IF(OR(#REF!&gt;2,#REF!&lt;-2),"",#REF!)</f>
        <v>#REF!</v>
      </c>
      <c r="MH7" s="7" t="e">
        <f>IF(OR(#REF!&gt;2,#REF!&lt;-2),"",#REF!)</f>
        <v>#REF!</v>
      </c>
      <c r="MI7" s="7" t="e">
        <f>IF(OR(#REF!&gt;2,#REF!&lt;-2),"",#REF!)</f>
        <v>#REF!</v>
      </c>
      <c r="MJ7" s="7" t="e">
        <f>IF(OR(#REF!&gt;2,#REF!&lt;-2),"",#REF!)</f>
        <v>#REF!</v>
      </c>
      <c r="MK7" s="7" t="e">
        <f>IF(OR(#REF!&gt;2,#REF!&lt;-2),"",#REF!)</f>
        <v>#REF!</v>
      </c>
      <c r="ML7" s="7" t="e">
        <f>IF(OR(#REF!&gt;2,#REF!&lt;-2),"",#REF!)</f>
        <v>#REF!</v>
      </c>
      <c r="MM7" s="7" t="e">
        <f>IF(OR(#REF!&gt;2,#REF!&lt;-2),"",#REF!)</f>
        <v>#REF!</v>
      </c>
      <c r="MN7" s="7" t="e">
        <f>IF(OR(#REF!&gt;2,#REF!&lt;-2),"",#REF!)</f>
        <v>#REF!</v>
      </c>
      <c r="MO7" s="7" t="e">
        <f>IF(OR(#REF!&gt;2,#REF!&lt;-2),"",#REF!)</f>
        <v>#REF!</v>
      </c>
      <c r="MP7" s="7" t="e">
        <f>IF(OR(#REF!&gt;2,#REF!&lt;-2),"",#REF!)</f>
        <v>#REF!</v>
      </c>
      <c r="MQ7" s="7" t="e">
        <f>IF(OR(#REF!&gt;2,#REF!&lt;-2),"",#REF!)</f>
        <v>#REF!</v>
      </c>
      <c r="MR7" s="7" t="e">
        <f>IF(OR(#REF!&gt;2,#REF!&lt;-2),"",#REF!)</f>
        <v>#REF!</v>
      </c>
      <c r="MS7" s="7" t="e">
        <f>IF(OR(#REF!&gt;2,#REF!&lt;-2),"",#REF!)</f>
        <v>#REF!</v>
      </c>
      <c r="MT7" s="7" t="e">
        <f>IF(OR(#REF!&gt;2,#REF!&lt;-2),"",#REF!)</f>
        <v>#REF!</v>
      </c>
      <c r="MU7" s="7" t="e">
        <f>IF(OR(#REF!&gt;2,#REF!&lt;-2),"",#REF!)</f>
        <v>#REF!</v>
      </c>
      <c r="MV7" s="7" t="e">
        <f>IF(OR(#REF!&gt;2,#REF!&lt;-2),"",#REF!)</f>
        <v>#REF!</v>
      </c>
      <c r="MW7" s="7" t="e">
        <f>IF(OR(#REF!&gt;2,#REF!&lt;-2),"",#REF!)</f>
        <v>#REF!</v>
      </c>
      <c r="MX7" s="7" t="e">
        <f>IF(OR(#REF!&gt;2,#REF!&lt;-2),"",#REF!)</f>
        <v>#REF!</v>
      </c>
      <c r="MY7" s="7" t="e">
        <f>IF(OR(#REF!&gt;2,#REF!&lt;-2),"",#REF!)</f>
        <v>#REF!</v>
      </c>
      <c r="MZ7" s="7" t="e">
        <f>IF(OR(#REF!&gt;2,#REF!&lt;-2),"",#REF!)</f>
        <v>#REF!</v>
      </c>
      <c r="NA7" s="7" t="e">
        <f>IF(OR(#REF!&gt;2,#REF!&lt;-2),"",#REF!)</f>
        <v>#REF!</v>
      </c>
      <c r="NB7" s="7" t="e">
        <f>IF(OR(#REF!&gt;2,#REF!&lt;-2),"",#REF!)</f>
        <v>#REF!</v>
      </c>
      <c r="NC7" s="7" t="e">
        <f>IF(OR(#REF!&gt;2,#REF!&lt;-2),"",#REF!)</f>
        <v>#REF!</v>
      </c>
      <c r="ND7" s="7" t="e">
        <f>IF(OR(#REF!&gt;2,#REF!&lt;-2),"",#REF!)</f>
        <v>#REF!</v>
      </c>
      <c r="NE7" s="7" t="e">
        <f>IF(OR(#REF!&gt;2,#REF!&lt;-2),"",#REF!)</f>
        <v>#REF!</v>
      </c>
      <c r="NF7" s="7" t="e">
        <f>IF(OR(#REF!&gt;2,#REF!&lt;-2),"",#REF!)</f>
        <v>#REF!</v>
      </c>
      <c r="NG7" s="7" t="e">
        <f>IF(OR(#REF!&gt;2,#REF!&lt;-2),"",#REF!)</f>
        <v>#REF!</v>
      </c>
      <c r="NH7" s="7" t="e">
        <f>IF(OR(#REF!&gt;2,#REF!&lt;-2),"",#REF!)</f>
        <v>#REF!</v>
      </c>
      <c r="NI7" s="7" t="e">
        <f>IF(OR(#REF!&gt;2,#REF!&lt;-2),"",#REF!)</f>
        <v>#REF!</v>
      </c>
      <c r="NJ7" s="7" t="e">
        <f>IF(OR(#REF!&gt;2,#REF!&lt;-2),"",#REF!)</f>
        <v>#REF!</v>
      </c>
      <c r="NK7" s="7" t="e">
        <f>IF(OR(#REF!&gt;2,#REF!&lt;-2),"",#REF!)</f>
        <v>#REF!</v>
      </c>
      <c r="NL7" s="7" t="e">
        <f>IF(OR(#REF!&gt;2,#REF!&lt;-2),"",#REF!)</f>
        <v>#REF!</v>
      </c>
      <c r="NM7" s="7" t="e">
        <f>IF(OR(#REF!&gt;2,#REF!&lt;-2),"",#REF!)</f>
        <v>#REF!</v>
      </c>
      <c r="NN7" s="7" t="e">
        <f>IF(OR(#REF!&gt;2,#REF!&lt;-2),"",#REF!)</f>
        <v>#REF!</v>
      </c>
      <c r="NO7" s="7" t="e">
        <f>IF(OR(#REF!&gt;2,#REF!&lt;-2),"",#REF!)</f>
        <v>#REF!</v>
      </c>
      <c r="NP7" s="7" t="e">
        <f>IF(OR(#REF!&gt;2,#REF!&lt;-2),"",#REF!)</f>
        <v>#REF!</v>
      </c>
      <c r="NQ7" s="7" t="e">
        <f>IF(OR(#REF!&gt;2,#REF!&lt;-2),"",#REF!)</f>
        <v>#REF!</v>
      </c>
      <c r="NR7" s="7" t="e">
        <f>IF(OR(#REF!&gt;2,#REF!&lt;-2),"",#REF!)</f>
        <v>#REF!</v>
      </c>
      <c r="NS7" s="7" t="e">
        <f>IF(OR(#REF!&gt;2,#REF!&lt;-2),"",#REF!)</f>
        <v>#REF!</v>
      </c>
      <c r="NT7" s="7" t="e">
        <f>IF(OR(#REF!&gt;2,#REF!&lt;-2),"",#REF!)</f>
        <v>#REF!</v>
      </c>
      <c r="NU7" s="7" t="e">
        <f>IF(OR(#REF!&gt;2,#REF!&lt;-2),"",#REF!)</f>
        <v>#REF!</v>
      </c>
      <c r="NV7" s="7" t="e">
        <f>IF(OR(#REF!&gt;2,#REF!&lt;-2),"",#REF!)</f>
        <v>#REF!</v>
      </c>
      <c r="NW7" s="7" t="e">
        <f>IF(OR(#REF!&gt;2,#REF!&lt;-2),"",#REF!)</f>
        <v>#REF!</v>
      </c>
      <c r="NX7" s="7" t="e">
        <f>IF(OR(#REF!&gt;2,#REF!&lt;-2),"",#REF!)</f>
        <v>#REF!</v>
      </c>
      <c r="NY7" s="7" t="e">
        <f>IF(OR(#REF!&gt;2,#REF!&lt;-2),"",#REF!)</f>
        <v>#REF!</v>
      </c>
      <c r="NZ7" s="7" t="e">
        <f>IF(OR(#REF!&gt;2,#REF!&lt;-2),"",#REF!)</f>
        <v>#REF!</v>
      </c>
      <c r="OA7" s="7" t="e">
        <f>IF(OR(#REF!&gt;2,#REF!&lt;-2),"",#REF!)</f>
        <v>#REF!</v>
      </c>
      <c r="OB7" s="7" t="e">
        <f>IF(OR(#REF!&gt;2,#REF!&lt;-2),"",#REF!)</f>
        <v>#REF!</v>
      </c>
      <c r="OC7" s="7" t="e">
        <f>IF(OR(#REF!&gt;2,#REF!&lt;-2),"",#REF!)</f>
        <v>#REF!</v>
      </c>
      <c r="OD7" s="7" t="e">
        <f>IF(OR(#REF!&gt;2,#REF!&lt;-2),"",#REF!)</f>
        <v>#REF!</v>
      </c>
      <c r="OE7" s="7" t="e">
        <f>IF(OR(#REF!&gt;2,#REF!&lt;-2),"",#REF!)</f>
        <v>#REF!</v>
      </c>
      <c r="OF7" s="7" t="e">
        <f>IF(OR(#REF!&gt;2,#REF!&lt;-2),"",#REF!)</f>
        <v>#REF!</v>
      </c>
      <c r="OG7" s="7" t="e">
        <f>IF(OR(#REF!&gt;2,#REF!&lt;-2),"",#REF!)</f>
        <v>#REF!</v>
      </c>
      <c r="OH7" s="7" t="e">
        <f>IF(OR(#REF!&gt;2,#REF!&lt;-2),"",#REF!)</f>
        <v>#REF!</v>
      </c>
      <c r="OI7" s="7" t="e">
        <f>IF(OR(#REF!&gt;2,#REF!&lt;-2),"",#REF!)</f>
        <v>#REF!</v>
      </c>
      <c r="OJ7" s="7" t="e">
        <f>IF(OR(#REF!&gt;2,#REF!&lt;-2),"",#REF!)</f>
        <v>#REF!</v>
      </c>
      <c r="OK7" s="7" t="e">
        <f>IF(OR(#REF!&gt;2,#REF!&lt;-2),"",#REF!)</f>
        <v>#REF!</v>
      </c>
      <c r="OL7" s="7" t="e">
        <f>IF(OR(#REF!&gt;2,#REF!&lt;-2),"",#REF!)</f>
        <v>#REF!</v>
      </c>
      <c r="OM7" s="7" t="e">
        <f>IF(OR(#REF!&gt;2,#REF!&lt;-2),"",#REF!)</f>
        <v>#REF!</v>
      </c>
      <c r="ON7" s="7" t="e">
        <f>IF(OR(#REF!&gt;2,#REF!&lt;-2),"",#REF!)</f>
        <v>#REF!</v>
      </c>
      <c r="OO7" s="7" t="e">
        <f>IF(OR(#REF!&gt;2,#REF!&lt;-2),"",#REF!)</f>
        <v>#REF!</v>
      </c>
      <c r="OP7" s="7" t="e">
        <f>IF(OR(#REF!&gt;2,#REF!&lt;-2),"",#REF!)</f>
        <v>#REF!</v>
      </c>
      <c r="OQ7" s="7" t="e">
        <f>IF(OR(#REF!&gt;2,#REF!&lt;-2),"",#REF!)</f>
        <v>#REF!</v>
      </c>
      <c r="OR7" s="7" t="e">
        <f>IF(OR(#REF!&gt;2,#REF!&lt;-2),"",#REF!)</f>
        <v>#REF!</v>
      </c>
      <c r="OS7" s="7" t="e">
        <f>IF(OR(#REF!&gt;2,#REF!&lt;-2),"",#REF!)</f>
        <v>#REF!</v>
      </c>
      <c r="OT7" s="7" t="e">
        <f>IF(OR(#REF!&gt;2,#REF!&lt;-2),"",#REF!)</f>
        <v>#REF!</v>
      </c>
      <c r="OU7" s="7" t="e">
        <f>IF(OR(#REF!&gt;2,#REF!&lt;-2),"",#REF!)</f>
        <v>#REF!</v>
      </c>
      <c r="OV7" s="7" t="e">
        <f>IF(OR(#REF!&gt;2,#REF!&lt;-2),"",#REF!)</f>
        <v>#REF!</v>
      </c>
      <c r="OW7" s="7" t="e">
        <f>IF(OR(#REF!&gt;2,#REF!&lt;-2),"",#REF!)</f>
        <v>#REF!</v>
      </c>
      <c r="OX7" s="7" t="e">
        <f>IF(OR(#REF!&gt;2,#REF!&lt;-2),"",#REF!)</f>
        <v>#REF!</v>
      </c>
      <c r="OY7" s="7" t="e">
        <f>IF(OR(#REF!&gt;2,#REF!&lt;-2),"",#REF!)</f>
        <v>#REF!</v>
      </c>
      <c r="OZ7" s="7" t="e">
        <f>IF(OR(#REF!&gt;2,#REF!&lt;-2),"",#REF!)</f>
        <v>#REF!</v>
      </c>
      <c r="PA7" s="7" t="e">
        <f>IF(OR(#REF!&gt;2,#REF!&lt;-2),"",#REF!)</f>
        <v>#REF!</v>
      </c>
      <c r="PB7" s="7" t="e">
        <f>IF(OR(#REF!&gt;2,#REF!&lt;-2),"",#REF!)</f>
        <v>#REF!</v>
      </c>
      <c r="PC7" s="7" t="e">
        <f>IF(OR(#REF!&gt;2,#REF!&lt;-2),"",#REF!)</f>
        <v>#REF!</v>
      </c>
      <c r="PD7" s="7" t="e">
        <f>IF(OR(#REF!&gt;2,#REF!&lt;-2),"",#REF!)</f>
        <v>#REF!</v>
      </c>
      <c r="PE7" s="7" t="e">
        <f>IF(OR(#REF!&gt;2,#REF!&lt;-2),"",#REF!)</f>
        <v>#REF!</v>
      </c>
      <c r="PF7" s="7" t="e">
        <f>IF(OR(#REF!&gt;2,#REF!&lt;-2),"",#REF!)</f>
        <v>#REF!</v>
      </c>
      <c r="PG7" s="7" t="e">
        <f>IF(OR(#REF!&gt;2,#REF!&lt;-2),"",#REF!)</f>
        <v>#REF!</v>
      </c>
      <c r="PH7" s="7" t="e">
        <f>IF(OR(#REF!&gt;2,#REF!&lt;-2),"",#REF!)</f>
        <v>#REF!</v>
      </c>
      <c r="PI7" s="7" t="e">
        <f>IF(OR(#REF!&gt;2,#REF!&lt;-2),"",#REF!)</f>
        <v>#REF!</v>
      </c>
      <c r="PJ7" s="7" t="e">
        <f>IF(OR(#REF!&gt;2,#REF!&lt;-2),"",#REF!)</f>
        <v>#REF!</v>
      </c>
      <c r="PK7" s="7" t="e">
        <f>IF(OR(#REF!&gt;2,#REF!&lt;-2),"",#REF!)</f>
        <v>#REF!</v>
      </c>
      <c r="PL7" s="7" t="e">
        <f>IF(OR(#REF!&gt;2,#REF!&lt;-2),"",#REF!)</f>
        <v>#REF!</v>
      </c>
      <c r="PM7" s="7" t="e">
        <f>IF(OR(#REF!&gt;2,#REF!&lt;-2),"",#REF!)</f>
        <v>#REF!</v>
      </c>
      <c r="PN7" s="7" t="e">
        <f>IF(OR(#REF!&gt;2,#REF!&lt;-2),"",#REF!)</f>
        <v>#REF!</v>
      </c>
      <c r="PO7" s="7" t="e">
        <f>IF(OR(#REF!&gt;2,#REF!&lt;-2),"",#REF!)</f>
        <v>#REF!</v>
      </c>
      <c r="PP7" s="7" t="e">
        <f>IF(OR(#REF!&gt;2,#REF!&lt;-2),"",#REF!)</f>
        <v>#REF!</v>
      </c>
      <c r="PQ7" s="7" t="e">
        <f>IF(OR(#REF!&gt;2,#REF!&lt;-2),"",#REF!)</f>
        <v>#REF!</v>
      </c>
      <c r="PR7" s="7" t="e">
        <f>IF(OR(#REF!&gt;2,#REF!&lt;-2),"",#REF!)</f>
        <v>#REF!</v>
      </c>
      <c r="PS7" s="7" t="e">
        <f>IF(OR(#REF!&gt;2,#REF!&lt;-2),"",#REF!)</f>
        <v>#REF!</v>
      </c>
      <c r="PT7" s="7" t="e">
        <f>IF(OR(#REF!&gt;2,#REF!&lt;-2),"",#REF!)</f>
        <v>#REF!</v>
      </c>
      <c r="PU7" s="7" t="e">
        <f>IF(OR(#REF!&gt;2,#REF!&lt;-2),"",#REF!)</f>
        <v>#REF!</v>
      </c>
      <c r="PV7" s="7" t="e">
        <f>IF(OR(#REF!&gt;2,#REF!&lt;-2),"",#REF!)</f>
        <v>#REF!</v>
      </c>
      <c r="PW7" s="7" t="e">
        <f>IF(OR(#REF!&gt;2,#REF!&lt;-2),"",#REF!)</f>
        <v>#REF!</v>
      </c>
      <c r="PX7" s="7" t="e">
        <f>IF(OR(#REF!&gt;2,#REF!&lt;-2),"",#REF!)</f>
        <v>#REF!</v>
      </c>
      <c r="PY7" s="7" t="e">
        <f>IF(OR(#REF!&gt;2,#REF!&lt;-2),"",#REF!)</f>
        <v>#REF!</v>
      </c>
      <c r="PZ7" s="7" t="e">
        <f>IF(OR(#REF!&gt;2,#REF!&lt;-2),"",#REF!)</f>
        <v>#REF!</v>
      </c>
      <c r="QA7" s="7" t="e">
        <f>IF(OR(#REF!&gt;2,#REF!&lt;-2),"",#REF!)</f>
        <v>#REF!</v>
      </c>
      <c r="QB7" s="7" t="e">
        <f>IF(OR(#REF!&gt;2,#REF!&lt;-2),"",#REF!)</f>
        <v>#REF!</v>
      </c>
      <c r="QC7" s="7" t="e">
        <f>IF(OR(#REF!&gt;2,#REF!&lt;-2),"",#REF!)</f>
        <v>#REF!</v>
      </c>
      <c r="QD7" s="7" t="e">
        <f>IF(OR(#REF!&gt;2,#REF!&lt;-2),"",#REF!)</f>
        <v>#REF!</v>
      </c>
      <c r="QE7" s="7" t="e">
        <f>IF(OR(#REF!&gt;2,#REF!&lt;-2),"",#REF!)</f>
        <v>#REF!</v>
      </c>
      <c r="QF7" s="7" t="e">
        <f>IF(OR(#REF!&gt;2,#REF!&lt;-2),"",#REF!)</f>
        <v>#REF!</v>
      </c>
      <c r="QG7" s="7" t="e">
        <f>IF(OR(#REF!&gt;2,#REF!&lt;-2),"",#REF!)</f>
        <v>#REF!</v>
      </c>
      <c r="QH7" s="7" t="e">
        <f>IF(OR(#REF!&gt;2,#REF!&lt;-2),"",#REF!)</f>
        <v>#REF!</v>
      </c>
      <c r="QI7" s="7" t="e">
        <f>IF(OR(#REF!&gt;2,#REF!&lt;-2),"",#REF!)</f>
        <v>#REF!</v>
      </c>
      <c r="QJ7" s="7" t="e">
        <f>IF(OR(#REF!&gt;2,#REF!&lt;-2),"",#REF!)</f>
        <v>#REF!</v>
      </c>
      <c r="QK7" s="7" t="e">
        <f>IF(OR(#REF!&gt;2,#REF!&lt;-2),"",#REF!)</f>
        <v>#REF!</v>
      </c>
      <c r="QL7" s="7" t="e">
        <f>IF(OR(#REF!&gt;2,#REF!&lt;-2),"",#REF!)</f>
        <v>#REF!</v>
      </c>
      <c r="QM7" s="7" t="e">
        <f>IF(OR(#REF!&gt;2,#REF!&lt;-2),"",#REF!)</f>
        <v>#REF!</v>
      </c>
      <c r="QN7" s="7" t="e">
        <f>IF(OR(#REF!&gt;2,#REF!&lt;-2),"",#REF!)</f>
        <v>#REF!</v>
      </c>
      <c r="QO7" s="7" t="e">
        <f>IF(OR(#REF!&gt;2,#REF!&lt;-2),"",#REF!)</f>
        <v>#REF!</v>
      </c>
      <c r="QP7" s="7" t="e">
        <f>IF(OR(#REF!&gt;2,#REF!&lt;-2),"",#REF!)</f>
        <v>#REF!</v>
      </c>
      <c r="QQ7" s="7" t="e">
        <f>IF(OR(#REF!&gt;2,#REF!&lt;-2),"",#REF!)</f>
        <v>#REF!</v>
      </c>
      <c r="QR7" s="7" t="e">
        <f>IF(OR(#REF!&gt;2,#REF!&lt;-2),"",#REF!)</f>
        <v>#REF!</v>
      </c>
      <c r="QS7" s="7" t="e">
        <f>IF(OR(#REF!&gt;2,#REF!&lt;-2),"",#REF!)</f>
        <v>#REF!</v>
      </c>
      <c r="QT7" s="7" t="e">
        <f>IF(OR(#REF!&gt;2,#REF!&lt;-2),"",#REF!)</f>
        <v>#REF!</v>
      </c>
      <c r="QU7" s="7" t="e">
        <f>IF(OR(#REF!&gt;2,#REF!&lt;-2),"",#REF!)</f>
        <v>#REF!</v>
      </c>
      <c r="QV7" s="7" t="e">
        <f>IF(OR(#REF!&gt;2,#REF!&lt;-2),"",#REF!)</f>
        <v>#REF!</v>
      </c>
      <c r="QW7" s="7" t="e">
        <f>IF(OR(#REF!&gt;2,#REF!&lt;-2),"",#REF!)</f>
        <v>#REF!</v>
      </c>
      <c r="QX7" s="7" t="e">
        <f>IF(OR(#REF!&gt;2,#REF!&lt;-2),"",#REF!)</f>
        <v>#REF!</v>
      </c>
      <c r="QY7" s="7" t="e">
        <f>IF(OR(#REF!&gt;2,#REF!&lt;-2),"",#REF!)</f>
        <v>#REF!</v>
      </c>
      <c r="QZ7" s="7" t="e">
        <f>IF(OR(#REF!&gt;2,#REF!&lt;-2),"",#REF!)</f>
        <v>#REF!</v>
      </c>
      <c r="RA7" s="7" t="e">
        <f>IF(OR(#REF!&gt;2,#REF!&lt;-2),"",#REF!)</f>
        <v>#REF!</v>
      </c>
      <c r="RB7" s="7" t="e">
        <f>IF(OR(#REF!&gt;2,#REF!&lt;-2),"",#REF!)</f>
        <v>#REF!</v>
      </c>
      <c r="RC7" s="7" t="e">
        <f>IF(OR(#REF!&gt;2,#REF!&lt;-2),"",#REF!)</f>
        <v>#REF!</v>
      </c>
      <c r="RD7" s="7" t="e">
        <f>IF(OR(#REF!&gt;2,#REF!&lt;-2),"",#REF!)</f>
        <v>#REF!</v>
      </c>
      <c r="RE7" s="7" t="e">
        <f>IF(OR(#REF!&gt;2,#REF!&lt;-2),"",#REF!)</f>
        <v>#REF!</v>
      </c>
      <c r="RF7" s="7" t="e">
        <f>IF(OR(#REF!&gt;2,#REF!&lt;-2),"",#REF!)</f>
        <v>#REF!</v>
      </c>
      <c r="RG7" s="7" t="e">
        <f>IF(OR(#REF!&gt;2,#REF!&lt;-2),"",#REF!)</f>
        <v>#REF!</v>
      </c>
      <c r="RH7" s="7" t="e">
        <f>IF(OR(#REF!&gt;2,#REF!&lt;-2),"",#REF!)</f>
        <v>#REF!</v>
      </c>
      <c r="RI7" s="7" t="e">
        <f>IF(OR(#REF!&gt;2,#REF!&lt;-2),"",#REF!)</f>
        <v>#REF!</v>
      </c>
      <c r="RJ7" s="7" t="e">
        <f>IF(OR(#REF!&gt;2,#REF!&lt;-2),"",#REF!)</f>
        <v>#REF!</v>
      </c>
      <c r="RK7" s="7" t="e">
        <f>IF(OR(#REF!&gt;2,#REF!&lt;-2),"",#REF!)</f>
        <v>#REF!</v>
      </c>
      <c r="RL7" s="7" t="e">
        <f>IF(OR(#REF!&gt;2,#REF!&lt;-2),"",#REF!)</f>
        <v>#REF!</v>
      </c>
      <c r="RM7" s="7" t="e">
        <f>IF(OR(#REF!&gt;2,#REF!&lt;-2),"",#REF!)</f>
        <v>#REF!</v>
      </c>
      <c r="RN7" s="7" t="e">
        <f>IF(OR(#REF!&gt;2,#REF!&lt;-2),"",#REF!)</f>
        <v>#REF!</v>
      </c>
      <c r="RO7" s="7" t="e">
        <f>IF(OR(#REF!&gt;2,#REF!&lt;-2),"",#REF!)</f>
        <v>#REF!</v>
      </c>
      <c r="RP7" s="7" t="e">
        <f>IF(OR(#REF!&gt;2,#REF!&lt;-2),"",#REF!)</f>
        <v>#REF!</v>
      </c>
      <c r="RQ7" s="7" t="e">
        <f>IF(OR(#REF!&gt;2,#REF!&lt;-2),"",#REF!)</f>
        <v>#REF!</v>
      </c>
      <c r="RR7" s="7" t="e">
        <f>IF(OR(#REF!&gt;2,#REF!&lt;-2),"",#REF!)</f>
        <v>#REF!</v>
      </c>
      <c r="RS7" s="7" t="e">
        <f>IF(OR(#REF!&gt;2,#REF!&lt;-2),"",#REF!)</f>
        <v>#REF!</v>
      </c>
      <c r="RT7" s="7" t="e">
        <f>IF(OR(#REF!&gt;2,#REF!&lt;-2),"",#REF!)</f>
        <v>#REF!</v>
      </c>
      <c r="RU7" s="7" t="e">
        <f>IF(OR(#REF!&gt;2,#REF!&lt;-2),"",#REF!)</f>
        <v>#REF!</v>
      </c>
      <c r="RV7" s="7" t="e">
        <f>IF(OR(#REF!&gt;2,#REF!&lt;-2),"",#REF!)</f>
        <v>#REF!</v>
      </c>
      <c r="RW7" s="7" t="e">
        <f>IF(OR(#REF!&gt;2,#REF!&lt;-2),"",#REF!)</f>
        <v>#REF!</v>
      </c>
      <c r="RX7" s="7" t="e">
        <f>IF(OR(#REF!&gt;2,#REF!&lt;-2),"",#REF!)</f>
        <v>#REF!</v>
      </c>
      <c r="RY7" s="7" t="e">
        <f>IF(OR(#REF!&gt;2,#REF!&lt;-2),"",#REF!)</f>
        <v>#REF!</v>
      </c>
      <c r="RZ7" s="7" t="e">
        <f>IF(OR(#REF!&gt;2,#REF!&lt;-2),"",#REF!)</f>
        <v>#REF!</v>
      </c>
      <c r="SA7" s="7" t="e">
        <f>IF(OR(#REF!&gt;2,#REF!&lt;-2),"",#REF!)</f>
        <v>#REF!</v>
      </c>
      <c r="SB7" s="7" t="e">
        <f>IF(OR(#REF!&gt;2,#REF!&lt;-2),"",#REF!)</f>
        <v>#REF!</v>
      </c>
      <c r="SC7" s="7" t="e">
        <f>IF(OR(#REF!&gt;2,#REF!&lt;-2),"",#REF!)</f>
        <v>#REF!</v>
      </c>
      <c r="SD7" s="7" t="e">
        <f>IF(OR(#REF!&gt;2,#REF!&lt;-2),"",#REF!)</f>
        <v>#REF!</v>
      </c>
      <c r="SE7" s="7" t="e">
        <f>IF(OR(#REF!&gt;2,#REF!&lt;-2),"",#REF!)</f>
        <v>#REF!</v>
      </c>
      <c r="SF7" s="7" t="e">
        <f>IF(OR(#REF!&gt;2,#REF!&lt;-2),"",#REF!)</f>
        <v>#REF!</v>
      </c>
      <c r="SG7" s="7" t="e">
        <f>IF(OR(#REF!&gt;2,#REF!&lt;-2),"",#REF!)</f>
        <v>#REF!</v>
      </c>
      <c r="SH7" s="7" t="e">
        <f>IF(OR(#REF!&gt;2,#REF!&lt;-2),"",#REF!)</f>
        <v>#REF!</v>
      </c>
      <c r="SI7" s="7" t="e">
        <f>IF(OR(#REF!&gt;2,#REF!&lt;-2),"",#REF!)</f>
        <v>#REF!</v>
      </c>
      <c r="SJ7" s="7" t="e">
        <f>IF(OR(#REF!&gt;2,#REF!&lt;-2),"",#REF!)</f>
        <v>#REF!</v>
      </c>
      <c r="SK7" s="7" t="e">
        <f>IF(OR(#REF!&gt;2,#REF!&lt;-2),"",#REF!)</f>
        <v>#REF!</v>
      </c>
      <c r="SL7" s="7" t="e">
        <f>IF(OR(#REF!&gt;2,#REF!&lt;-2),"",#REF!)</f>
        <v>#REF!</v>
      </c>
      <c r="SM7" s="7" t="e">
        <f>IF(OR(#REF!&gt;2,#REF!&lt;-2),"",#REF!)</f>
        <v>#REF!</v>
      </c>
      <c r="SN7" s="7" t="e">
        <f>IF(OR(#REF!&gt;2,#REF!&lt;-2),"",#REF!)</f>
        <v>#REF!</v>
      </c>
      <c r="SO7" s="7" t="e">
        <f>IF(OR(#REF!&gt;2,#REF!&lt;-2),"",#REF!)</f>
        <v>#REF!</v>
      </c>
      <c r="SP7" s="7" t="e">
        <f>IF(OR(#REF!&gt;2,#REF!&lt;-2),"",#REF!)</f>
        <v>#REF!</v>
      </c>
      <c r="SQ7" s="7" t="e">
        <f>IF(OR(#REF!&gt;2,#REF!&lt;-2),"",#REF!)</f>
        <v>#REF!</v>
      </c>
      <c r="SR7" s="7" t="e">
        <f>IF(OR(#REF!&gt;2,#REF!&lt;-2),"",#REF!)</f>
        <v>#REF!</v>
      </c>
      <c r="SS7" s="7" t="e">
        <f>IF(OR(#REF!&gt;2,#REF!&lt;-2),"",#REF!)</f>
        <v>#REF!</v>
      </c>
      <c r="ST7" s="7" t="e">
        <f>IF(OR(#REF!&gt;2,#REF!&lt;-2),"",#REF!)</f>
        <v>#REF!</v>
      </c>
      <c r="SU7" s="7" t="e">
        <f>IF(OR(#REF!&gt;2,#REF!&lt;-2),"",#REF!)</f>
        <v>#REF!</v>
      </c>
      <c r="SV7" s="7" t="e">
        <f>IF(OR(#REF!&gt;2,#REF!&lt;-2),"",#REF!)</f>
        <v>#REF!</v>
      </c>
      <c r="SW7" s="7" t="e">
        <f>IF(OR(#REF!&gt;2,#REF!&lt;-2),"",#REF!)</f>
        <v>#REF!</v>
      </c>
      <c r="SX7" s="7" t="e">
        <f>IF(OR(#REF!&gt;2,#REF!&lt;-2),"",#REF!)</f>
        <v>#REF!</v>
      </c>
      <c r="SY7" s="7" t="e">
        <f>IF(OR(#REF!&gt;2,#REF!&lt;-2),"",#REF!)</f>
        <v>#REF!</v>
      </c>
      <c r="SZ7" s="7" t="e">
        <f>IF(OR(#REF!&gt;2,#REF!&lt;-2),"",#REF!)</f>
        <v>#REF!</v>
      </c>
      <c r="TA7" s="7" t="e">
        <f>IF(OR(#REF!&gt;2,#REF!&lt;-2),"",#REF!)</f>
        <v>#REF!</v>
      </c>
      <c r="TB7" s="7" t="e">
        <f>IF(OR(#REF!&gt;2,#REF!&lt;-2),"",#REF!)</f>
        <v>#REF!</v>
      </c>
      <c r="TC7" s="7" t="e">
        <f>IF(OR(#REF!&gt;2,#REF!&lt;-2),"",#REF!)</f>
        <v>#REF!</v>
      </c>
      <c r="TD7" s="7" t="e">
        <f>IF(OR(#REF!&gt;2,#REF!&lt;-2),"",#REF!)</f>
        <v>#REF!</v>
      </c>
      <c r="TE7" s="7" t="e">
        <f>IF(OR(#REF!&gt;2,#REF!&lt;-2),"",#REF!)</f>
        <v>#REF!</v>
      </c>
      <c r="TF7" s="7" t="e">
        <f>IF(OR(#REF!&gt;2,#REF!&lt;-2),"",#REF!)</f>
        <v>#REF!</v>
      </c>
      <c r="TG7" s="7" t="e">
        <f>IF(OR(#REF!&gt;2,#REF!&lt;-2),"",#REF!)</f>
        <v>#REF!</v>
      </c>
      <c r="TH7" s="7" t="e">
        <f>IF(OR(#REF!&gt;2,#REF!&lt;-2),"",#REF!)</f>
        <v>#REF!</v>
      </c>
      <c r="TI7" s="7" t="e">
        <f>IF(OR(#REF!&gt;2,#REF!&lt;-2),"",#REF!)</f>
        <v>#REF!</v>
      </c>
      <c r="TJ7" s="7" t="e">
        <f>IF(OR(#REF!&gt;2,#REF!&lt;-2),"",#REF!)</f>
        <v>#REF!</v>
      </c>
      <c r="TK7" s="7" t="e">
        <f>IF(OR(#REF!&gt;2,#REF!&lt;-2),"",#REF!)</f>
        <v>#REF!</v>
      </c>
      <c r="TL7" s="7" t="e">
        <f>IF(OR(#REF!&gt;2,#REF!&lt;-2),"",#REF!)</f>
        <v>#REF!</v>
      </c>
      <c r="TM7" s="7" t="e">
        <f>IF(OR(#REF!&gt;2,#REF!&lt;-2),"",#REF!)</f>
        <v>#REF!</v>
      </c>
      <c r="TN7" s="7" t="e">
        <f>IF(OR(#REF!&gt;2,#REF!&lt;-2),"",#REF!)</f>
        <v>#REF!</v>
      </c>
      <c r="TO7" s="7" t="e">
        <f>IF(OR(#REF!&gt;2,#REF!&lt;-2),"",#REF!)</f>
        <v>#REF!</v>
      </c>
      <c r="TP7" s="7" t="e">
        <f>IF(OR(#REF!&gt;2,#REF!&lt;-2),"",#REF!)</f>
        <v>#REF!</v>
      </c>
      <c r="TQ7" s="7" t="e">
        <f>IF(OR(#REF!&gt;2,#REF!&lt;-2),"",#REF!)</f>
        <v>#REF!</v>
      </c>
      <c r="TR7" s="7" t="e">
        <f>IF(OR(#REF!&gt;2,#REF!&lt;-2),"",#REF!)</f>
        <v>#REF!</v>
      </c>
      <c r="TS7" s="7" t="e">
        <f>IF(OR(#REF!&gt;2,#REF!&lt;-2),"",#REF!)</f>
        <v>#REF!</v>
      </c>
      <c r="TT7" s="7" t="e">
        <f>IF(OR(#REF!&gt;2,#REF!&lt;-2),"",#REF!)</f>
        <v>#REF!</v>
      </c>
      <c r="TU7" s="7" t="e">
        <f>IF(OR(#REF!&gt;2,#REF!&lt;-2),"",#REF!)</f>
        <v>#REF!</v>
      </c>
      <c r="TV7" s="7" t="e">
        <f>IF(OR(#REF!&gt;2,#REF!&lt;-2),"",#REF!)</f>
        <v>#REF!</v>
      </c>
      <c r="TW7" s="7" t="e">
        <f>IF(OR(#REF!&gt;2,#REF!&lt;-2),"",#REF!)</f>
        <v>#REF!</v>
      </c>
      <c r="TX7" s="7" t="e">
        <f>IF(OR(#REF!&gt;2,#REF!&lt;-2),"",#REF!)</f>
        <v>#REF!</v>
      </c>
      <c r="TY7" s="7" t="e">
        <f>IF(OR(#REF!&gt;2,#REF!&lt;-2),"",#REF!)</f>
        <v>#REF!</v>
      </c>
      <c r="TZ7" s="7" t="e">
        <f>IF(OR(#REF!&gt;2,#REF!&lt;-2),"",#REF!)</f>
        <v>#REF!</v>
      </c>
      <c r="UA7" s="7" t="e">
        <f>IF(OR(#REF!&gt;2,#REF!&lt;-2),"",#REF!)</f>
        <v>#REF!</v>
      </c>
      <c r="UB7" s="7" t="e">
        <f>IF(OR(#REF!&gt;2,#REF!&lt;-2),"",#REF!)</f>
        <v>#REF!</v>
      </c>
      <c r="UC7" s="7" t="e">
        <f>IF(OR(#REF!&gt;2,#REF!&lt;-2),"",#REF!)</f>
        <v>#REF!</v>
      </c>
      <c r="UD7" s="7" t="e">
        <f>IF(OR(#REF!&gt;2,#REF!&lt;-2),"",#REF!)</f>
        <v>#REF!</v>
      </c>
      <c r="UE7" s="7" t="e">
        <f>IF(OR(#REF!&gt;2,#REF!&lt;-2),"",#REF!)</f>
        <v>#REF!</v>
      </c>
      <c r="UF7" s="7" t="e">
        <f>IF(OR(#REF!&gt;2,#REF!&lt;-2),"",#REF!)</f>
        <v>#REF!</v>
      </c>
      <c r="UG7" s="7" t="e">
        <f>IF(OR(#REF!&gt;2,#REF!&lt;-2),"",#REF!)</f>
        <v>#REF!</v>
      </c>
      <c r="UH7" s="7" t="e">
        <f>IF(OR(#REF!&gt;2,#REF!&lt;-2),"",#REF!)</f>
        <v>#REF!</v>
      </c>
      <c r="UI7" s="7" t="e">
        <f>IF(OR(#REF!&gt;2,#REF!&lt;-2),"",#REF!)</f>
        <v>#REF!</v>
      </c>
      <c r="UJ7" s="7" t="e">
        <f>IF(OR(#REF!&gt;2,#REF!&lt;-2),"",#REF!)</f>
        <v>#REF!</v>
      </c>
      <c r="UK7" s="7" t="e">
        <f>IF(OR(#REF!&gt;2,#REF!&lt;-2),"",#REF!)</f>
        <v>#REF!</v>
      </c>
      <c r="UL7" s="7" t="e">
        <f>IF(OR(#REF!&gt;2,#REF!&lt;-2),"",#REF!)</f>
        <v>#REF!</v>
      </c>
      <c r="UM7" s="7" t="e">
        <f>IF(OR(#REF!&gt;2,#REF!&lt;-2),"",#REF!)</f>
        <v>#REF!</v>
      </c>
      <c r="UN7" s="7" t="e">
        <f>IF(OR(#REF!&gt;2,#REF!&lt;-2),"",#REF!)</f>
        <v>#REF!</v>
      </c>
      <c r="UO7" s="7" t="e">
        <f>IF(OR(#REF!&gt;2,#REF!&lt;-2),"",#REF!)</f>
        <v>#REF!</v>
      </c>
      <c r="UP7" s="7" t="e">
        <f>IF(OR(#REF!&gt;2,#REF!&lt;-2),"",#REF!)</f>
        <v>#REF!</v>
      </c>
    </row>
    <row r="8" spans="1:562" x14ac:dyDescent="0.35">
      <c r="A8">
        <v>170</v>
      </c>
      <c r="B8">
        <v>0</v>
      </c>
      <c r="C8" s="7" t="e">
        <f>IF(OR(#REF!&gt;2,#REF!&lt;-2),"",#REF!)</f>
        <v>#REF!</v>
      </c>
      <c r="D8" s="7" t="e">
        <f>IF(OR(#REF!&gt;2,#REF!&lt;-2),"",#REF!)</f>
        <v>#REF!</v>
      </c>
      <c r="E8" s="7" t="e">
        <f>IF(OR(#REF!&gt;2,#REF!&lt;-2),"",#REF!)</f>
        <v>#REF!</v>
      </c>
      <c r="F8" s="7" t="e">
        <f>IF(OR(#REF!&gt;2,#REF!&lt;-2),"",#REF!)</f>
        <v>#REF!</v>
      </c>
      <c r="G8" s="7" t="e">
        <f>IF(OR(#REF!&gt;2,#REF!&lt;-2),"",#REF!)</f>
        <v>#REF!</v>
      </c>
      <c r="H8" s="7" t="e">
        <f>IF(OR(#REF!&gt;2,#REF!&lt;-2),"",#REF!)</f>
        <v>#REF!</v>
      </c>
      <c r="I8" s="7" t="e">
        <f>IF(OR(#REF!&gt;2,#REF!&lt;-2),"",#REF!)</f>
        <v>#REF!</v>
      </c>
      <c r="J8" s="7" t="e">
        <f>IF(OR(#REF!&gt;2,#REF!&lt;-2),"",#REF!)</f>
        <v>#REF!</v>
      </c>
      <c r="K8" s="7" t="e">
        <f>IF(OR(#REF!&gt;2,#REF!&lt;-2),"",#REF!)</f>
        <v>#REF!</v>
      </c>
      <c r="L8" s="7" t="e">
        <f>IF(OR(#REF!&gt;2,#REF!&lt;-2),"",#REF!)</f>
        <v>#REF!</v>
      </c>
      <c r="M8" s="7" t="e">
        <f>IF(OR(#REF!&gt;2,#REF!&lt;-2),"",#REF!)</f>
        <v>#REF!</v>
      </c>
      <c r="N8" s="7" t="e">
        <f>IF(OR(#REF!&gt;2,#REF!&lt;-2),"",#REF!)</f>
        <v>#REF!</v>
      </c>
      <c r="O8" s="7" t="e">
        <f>IF(OR(#REF!&gt;2,#REF!&lt;-2),"",#REF!)</f>
        <v>#REF!</v>
      </c>
      <c r="P8" s="7" t="e">
        <f>IF(OR(#REF!&gt;2,#REF!&lt;-2),"",#REF!)</f>
        <v>#REF!</v>
      </c>
      <c r="Q8" s="7" t="e">
        <f>IF(OR(#REF!&gt;2,#REF!&lt;-2),"",#REF!)</f>
        <v>#REF!</v>
      </c>
      <c r="R8" s="7" t="e">
        <f>IF(OR(#REF!&gt;2,#REF!&lt;-2),"",#REF!)</f>
        <v>#REF!</v>
      </c>
      <c r="S8" s="7" t="e">
        <f>IF(OR(#REF!&gt;2,#REF!&lt;-2),"",#REF!)</f>
        <v>#REF!</v>
      </c>
      <c r="T8" s="7" t="e">
        <f>IF(OR(#REF!&gt;2,#REF!&lt;-2),"",#REF!)</f>
        <v>#REF!</v>
      </c>
      <c r="U8" s="7" t="e">
        <f>IF(OR(#REF!&gt;2,#REF!&lt;-2),"",#REF!)</f>
        <v>#REF!</v>
      </c>
      <c r="V8" s="7" t="e">
        <f>IF(OR(#REF!&gt;2,#REF!&lt;-2),"",#REF!)</f>
        <v>#REF!</v>
      </c>
      <c r="W8" s="7" t="e">
        <f>IF(OR(#REF!&gt;2,#REF!&lt;-2),"",#REF!)</f>
        <v>#REF!</v>
      </c>
      <c r="X8" s="7" t="e">
        <f>IF(OR(#REF!&gt;2,#REF!&lt;-2),"",#REF!)</f>
        <v>#REF!</v>
      </c>
      <c r="Y8" s="7" t="e">
        <f>IF(OR(#REF!&gt;2,#REF!&lt;-2),"",#REF!)</f>
        <v>#REF!</v>
      </c>
      <c r="Z8" s="7" t="e">
        <f>IF(OR(#REF!&gt;2,#REF!&lt;-2),"",#REF!)</f>
        <v>#REF!</v>
      </c>
      <c r="AA8" s="7" t="e">
        <f>IF(OR(#REF!&gt;2,#REF!&lt;-2),"",#REF!)</f>
        <v>#REF!</v>
      </c>
      <c r="AB8" s="7" t="e">
        <f>IF(OR(#REF!&gt;2,#REF!&lt;-2),"",#REF!)</f>
        <v>#REF!</v>
      </c>
      <c r="AC8" s="7" t="e">
        <f>IF(OR(#REF!&gt;2,#REF!&lt;-2),"",#REF!)</f>
        <v>#REF!</v>
      </c>
      <c r="AD8" s="7" t="e">
        <f>IF(OR(#REF!&gt;2,#REF!&lt;-2),"",#REF!)</f>
        <v>#REF!</v>
      </c>
      <c r="AE8" s="7" t="e">
        <f>IF(OR(#REF!&gt;2,#REF!&lt;-2),"",#REF!)</f>
        <v>#REF!</v>
      </c>
      <c r="AF8" s="7" t="e">
        <f>IF(OR(#REF!&gt;2,#REF!&lt;-2),"",#REF!)</f>
        <v>#REF!</v>
      </c>
      <c r="AG8" s="7" t="e">
        <f>IF(OR(#REF!&gt;2,#REF!&lt;-2),"",#REF!)</f>
        <v>#REF!</v>
      </c>
      <c r="AH8" s="7" t="e">
        <f>IF(OR(#REF!&gt;2,#REF!&lt;-2),"",#REF!)</f>
        <v>#REF!</v>
      </c>
      <c r="AI8" s="7" t="e">
        <f>IF(OR(#REF!&gt;2,#REF!&lt;-2),"",#REF!)</f>
        <v>#REF!</v>
      </c>
      <c r="AJ8" s="7" t="e">
        <f>IF(OR(#REF!&gt;2,#REF!&lt;-2),"",#REF!)</f>
        <v>#REF!</v>
      </c>
      <c r="AK8" s="7" t="e">
        <f>IF(OR(#REF!&gt;2,#REF!&lt;-2),"",#REF!)</f>
        <v>#REF!</v>
      </c>
      <c r="AL8" s="7" t="e">
        <f>IF(OR(#REF!&gt;2,#REF!&lt;-2),"",#REF!)</f>
        <v>#REF!</v>
      </c>
      <c r="AM8" s="7" t="e">
        <f>IF(OR(#REF!&gt;2,#REF!&lt;-2),"",#REF!)</f>
        <v>#REF!</v>
      </c>
      <c r="AN8" s="7" t="e">
        <f>IF(OR(#REF!&gt;2,#REF!&lt;-2),"",#REF!)</f>
        <v>#REF!</v>
      </c>
      <c r="AO8" s="7" t="e">
        <f>IF(OR(#REF!&gt;2,#REF!&lt;-2),"",#REF!)</f>
        <v>#REF!</v>
      </c>
      <c r="AP8" s="7" t="e">
        <f>IF(OR(#REF!&gt;2,#REF!&lt;-2),"",#REF!)</f>
        <v>#REF!</v>
      </c>
      <c r="AQ8" s="7" t="e">
        <f>IF(OR(#REF!&gt;2,#REF!&lt;-2),"",#REF!)</f>
        <v>#REF!</v>
      </c>
      <c r="AR8" s="7" t="e">
        <f>IF(OR(#REF!&gt;2,#REF!&lt;-2),"",#REF!)</f>
        <v>#REF!</v>
      </c>
      <c r="AS8" s="7" t="e">
        <f>IF(OR(#REF!&gt;2,#REF!&lt;-2),"",#REF!)</f>
        <v>#REF!</v>
      </c>
      <c r="AT8" s="7" t="e">
        <f>IF(OR(#REF!&gt;2,#REF!&lt;-2),"",#REF!)</f>
        <v>#REF!</v>
      </c>
      <c r="AU8" s="7" t="e">
        <f>IF(OR(#REF!&gt;2,#REF!&lt;-2),"",#REF!)</f>
        <v>#REF!</v>
      </c>
      <c r="AV8" s="7" t="e">
        <f>IF(OR(#REF!&gt;2,#REF!&lt;-2),"",#REF!)</f>
        <v>#REF!</v>
      </c>
      <c r="AW8" s="7" t="e">
        <f>IF(OR(#REF!&gt;2,#REF!&lt;-2),"",#REF!)</f>
        <v>#REF!</v>
      </c>
      <c r="AX8" s="7" t="e">
        <f>IF(OR(#REF!&gt;2,#REF!&lt;-2),"",#REF!)</f>
        <v>#REF!</v>
      </c>
      <c r="AY8" s="7" t="e">
        <f>IF(OR(#REF!&gt;2,#REF!&lt;-2),"",#REF!)</f>
        <v>#REF!</v>
      </c>
      <c r="AZ8" s="7" t="e">
        <f>IF(OR(#REF!&gt;2,#REF!&lt;-2),"",#REF!)</f>
        <v>#REF!</v>
      </c>
      <c r="BA8" s="7" t="e">
        <f>IF(OR(#REF!&gt;2,#REF!&lt;-2),"",#REF!)</f>
        <v>#REF!</v>
      </c>
      <c r="BB8" s="7" t="e">
        <f>IF(OR(#REF!&gt;2,#REF!&lt;-2),"",#REF!)</f>
        <v>#REF!</v>
      </c>
      <c r="BC8" s="7" t="e">
        <f>IF(OR(#REF!&gt;2,#REF!&lt;-2),"",#REF!)</f>
        <v>#REF!</v>
      </c>
      <c r="BD8" s="7" t="e">
        <f>IF(OR(#REF!&gt;2,#REF!&lt;-2),"",#REF!)</f>
        <v>#REF!</v>
      </c>
      <c r="BE8" s="7" t="e">
        <f>IF(OR(#REF!&gt;2,#REF!&lt;-2),"",#REF!)</f>
        <v>#REF!</v>
      </c>
      <c r="BF8" s="7" t="e">
        <f>IF(OR(#REF!&gt;2,#REF!&lt;-2),"",#REF!)</f>
        <v>#REF!</v>
      </c>
      <c r="BG8" s="7" t="e">
        <f>IF(OR(#REF!&gt;2,#REF!&lt;-2),"",#REF!)</f>
        <v>#REF!</v>
      </c>
      <c r="BH8" s="7" t="e">
        <f>IF(OR(#REF!&gt;2,#REF!&lt;-2),"",#REF!)</f>
        <v>#REF!</v>
      </c>
      <c r="BI8" s="7" t="e">
        <f>IF(OR(#REF!&gt;2,#REF!&lt;-2),"",#REF!)</f>
        <v>#REF!</v>
      </c>
      <c r="BJ8" s="7" t="e">
        <f>IF(OR(#REF!&gt;2,#REF!&lt;-2),"",#REF!)</f>
        <v>#REF!</v>
      </c>
      <c r="BK8" s="7" t="e">
        <f>IF(OR(#REF!&gt;2,#REF!&lt;-2),"",#REF!)</f>
        <v>#REF!</v>
      </c>
      <c r="BL8" s="7" t="e">
        <f>IF(OR(#REF!&gt;2,#REF!&lt;-2),"",#REF!)</f>
        <v>#REF!</v>
      </c>
      <c r="BM8" s="7" t="e">
        <f>IF(OR(#REF!&gt;2,#REF!&lt;-2),"",#REF!)</f>
        <v>#REF!</v>
      </c>
      <c r="BN8" s="7" t="e">
        <f>IF(OR(#REF!&gt;2,#REF!&lt;-2),"",#REF!)</f>
        <v>#REF!</v>
      </c>
      <c r="BO8" s="7" t="e">
        <f>IF(OR(#REF!&gt;2,#REF!&lt;-2),"",#REF!)</f>
        <v>#REF!</v>
      </c>
      <c r="BP8" s="7" t="e">
        <f>IF(OR(#REF!&gt;2,#REF!&lt;-2),"",#REF!)</f>
        <v>#REF!</v>
      </c>
      <c r="BQ8" s="7" t="e">
        <f>IF(OR(#REF!&gt;2,#REF!&lt;-2),"",#REF!)</f>
        <v>#REF!</v>
      </c>
      <c r="BR8" s="7" t="e">
        <f>IF(OR(#REF!&gt;2,#REF!&lt;-2),"",#REF!)</f>
        <v>#REF!</v>
      </c>
      <c r="BS8" s="7" t="e">
        <f>IF(OR(#REF!&gt;2,#REF!&lt;-2),"",#REF!)</f>
        <v>#REF!</v>
      </c>
      <c r="BT8" s="7" t="e">
        <f>IF(OR(#REF!&gt;2,#REF!&lt;-2),"",#REF!)</f>
        <v>#REF!</v>
      </c>
      <c r="BU8" s="7" t="e">
        <f>IF(OR(#REF!&gt;2,#REF!&lt;-2),"",#REF!)</f>
        <v>#REF!</v>
      </c>
      <c r="BV8" s="7" t="e">
        <f>IF(OR(#REF!&gt;2,#REF!&lt;-2),"",#REF!)</f>
        <v>#REF!</v>
      </c>
      <c r="BW8" s="7" t="e">
        <f>IF(OR(#REF!&gt;2,#REF!&lt;-2),"",#REF!)</f>
        <v>#REF!</v>
      </c>
      <c r="BX8" s="7" t="e">
        <f>IF(OR(#REF!&gt;2,#REF!&lt;-2),"",#REF!)</f>
        <v>#REF!</v>
      </c>
      <c r="BY8" s="7" t="e">
        <f>IF(OR(#REF!&gt;2,#REF!&lt;-2),"",#REF!)</f>
        <v>#REF!</v>
      </c>
      <c r="BZ8" s="7" t="e">
        <f>IF(OR(#REF!&gt;2,#REF!&lt;-2),"",#REF!)</f>
        <v>#REF!</v>
      </c>
      <c r="CA8" s="7" t="e">
        <f>IF(OR(#REF!&gt;2,#REF!&lt;-2),"",#REF!)</f>
        <v>#REF!</v>
      </c>
      <c r="CB8" s="7" t="e">
        <f>IF(OR(#REF!&gt;2,#REF!&lt;-2),"",#REF!)</f>
        <v>#REF!</v>
      </c>
      <c r="CC8" s="7" t="e">
        <f>IF(OR(#REF!&gt;2,#REF!&lt;-2),"",#REF!)</f>
        <v>#REF!</v>
      </c>
      <c r="CD8" s="7" t="e">
        <f>IF(OR(#REF!&gt;2,#REF!&lt;-2),"",#REF!)</f>
        <v>#REF!</v>
      </c>
      <c r="CE8" s="7" t="e">
        <f>IF(OR(#REF!&gt;2,#REF!&lt;-2),"",#REF!)</f>
        <v>#REF!</v>
      </c>
      <c r="CF8" s="7" t="e">
        <f>IF(OR(#REF!&gt;2,#REF!&lt;-2),"",#REF!)</f>
        <v>#REF!</v>
      </c>
      <c r="CG8" s="7" t="e">
        <f>IF(OR(#REF!&gt;2,#REF!&lt;-2),"",#REF!)</f>
        <v>#REF!</v>
      </c>
      <c r="CH8" s="7" t="e">
        <f>IF(OR(#REF!&gt;2,#REF!&lt;-2),"",#REF!)</f>
        <v>#REF!</v>
      </c>
      <c r="CI8" s="7" t="e">
        <f>IF(OR(#REF!&gt;2,#REF!&lt;-2),"",#REF!)</f>
        <v>#REF!</v>
      </c>
      <c r="CJ8" s="7" t="e">
        <f>IF(OR(#REF!&gt;2,#REF!&lt;-2),"",#REF!)</f>
        <v>#REF!</v>
      </c>
      <c r="CK8" s="7" t="e">
        <f>IF(OR(#REF!&gt;2,#REF!&lt;-2),"",#REF!)</f>
        <v>#REF!</v>
      </c>
      <c r="CL8" s="7" t="e">
        <f>IF(OR(#REF!&gt;2,#REF!&lt;-2),"",#REF!)</f>
        <v>#REF!</v>
      </c>
      <c r="CM8" s="7" t="e">
        <f>IF(OR(#REF!&gt;2,#REF!&lt;-2),"",#REF!)</f>
        <v>#REF!</v>
      </c>
      <c r="CN8" s="7" t="e">
        <f>IF(OR(#REF!&gt;2,#REF!&lt;-2),"",#REF!)</f>
        <v>#REF!</v>
      </c>
      <c r="CO8" s="7" t="e">
        <f>IF(OR(#REF!&gt;2,#REF!&lt;-2),"",#REF!)</f>
        <v>#REF!</v>
      </c>
      <c r="CP8" s="7" t="e">
        <f>IF(OR(#REF!&gt;2,#REF!&lt;-2),"",#REF!)</f>
        <v>#REF!</v>
      </c>
      <c r="CQ8" s="7" t="e">
        <f>IF(OR(#REF!&gt;2,#REF!&lt;-2),"",#REF!)</f>
        <v>#REF!</v>
      </c>
      <c r="CR8" s="7" t="e">
        <f>IF(OR(#REF!&gt;2,#REF!&lt;-2),"",#REF!)</f>
        <v>#REF!</v>
      </c>
      <c r="CS8" s="7" t="e">
        <f>IF(OR(#REF!&gt;2,#REF!&lt;-2),"",#REF!)</f>
        <v>#REF!</v>
      </c>
      <c r="CT8" s="7" t="e">
        <f>IF(OR(#REF!&gt;2,#REF!&lt;-2),"",#REF!)</f>
        <v>#REF!</v>
      </c>
      <c r="CU8" s="7" t="e">
        <f>IF(OR(#REF!&gt;2,#REF!&lt;-2),"",#REF!)</f>
        <v>#REF!</v>
      </c>
      <c r="CV8" s="7" t="e">
        <f>IF(OR(#REF!&gt;2,#REF!&lt;-2),"",#REF!)</f>
        <v>#REF!</v>
      </c>
      <c r="CW8" s="7" t="e">
        <f>IF(OR(#REF!&gt;2,#REF!&lt;-2),"",#REF!)</f>
        <v>#REF!</v>
      </c>
      <c r="CX8" s="7" t="e">
        <f>IF(OR(#REF!&gt;2,#REF!&lt;-2),"",#REF!)</f>
        <v>#REF!</v>
      </c>
      <c r="CY8" s="7" t="e">
        <f>IF(OR(#REF!&gt;2,#REF!&lt;-2),"",#REF!)</f>
        <v>#REF!</v>
      </c>
      <c r="CZ8" s="7" t="e">
        <f>IF(OR(#REF!&gt;2,#REF!&lt;-2),"",#REF!)</f>
        <v>#REF!</v>
      </c>
      <c r="DA8" s="7" t="e">
        <f>IF(OR(#REF!&gt;2,#REF!&lt;-2),"",#REF!)</f>
        <v>#REF!</v>
      </c>
      <c r="DB8" s="7" t="e">
        <f>IF(OR(#REF!&gt;2,#REF!&lt;-2),"",#REF!)</f>
        <v>#REF!</v>
      </c>
      <c r="DC8" s="7" t="e">
        <f>IF(OR(#REF!&gt;2,#REF!&lt;-2),"",#REF!)</f>
        <v>#REF!</v>
      </c>
      <c r="DD8" s="7" t="e">
        <f>IF(OR(#REF!&gt;2,#REF!&lt;-2),"",#REF!)</f>
        <v>#REF!</v>
      </c>
      <c r="DE8" s="7" t="e">
        <f>IF(OR(#REF!&gt;2,#REF!&lt;-2),"",#REF!)</f>
        <v>#REF!</v>
      </c>
      <c r="DF8" s="7" t="e">
        <f>IF(OR(#REF!&gt;2,#REF!&lt;-2),"",#REF!)</f>
        <v>#REF!</v>
      </c>
      <c r="DG8" s="7" t="e">
        <f>IF(OR(#REF!&gt;2,#REF!&lt;-2),"",#REF!)</f>
        <v>#REF!</v>
      </c>
      <c r="DH8" s="7" t="e">
        <f>IF(OR(#REF!&gt;2,#REF!&lt;-2),"",#REF!)</f>
        <v>#REF!</v>
      </c>
      <c r="DI8" s="7" t="e">
        <f>IF(OR(#REF!&gt;2,#REF!&lt;-2),"",#REF!)</f>
        <v>#REF!</v>
      </c>
      <c r="DJ8" s="7" t="e">
        <f>IF(OR(#REF!&gt;2,#REF!&lt;-2),"",#REF!)</f>
        <v>#REF!</v>
      </c>
      <c r="DK8" s="7" t="e">
        <f>IF(OR(#REF!&gt;2,#REF!&lt;-2),"",#REF!)</f>
        <v>#REF!</v>
      </c>
      <c r="DL8" s="7" t="e">
        <f>IF(OR(#REF!&gt;2,#REF!&lt;-2),"",#REF!)</f>
        <v>#REF!</v>
      </c>
      <c r="DM8" s="7" t="e">
        <f>IF(OR(#REF!&gt;2,#REF!&lt;-2),"",#REF!)</f>
        <v>#REF!</v>
      </c>
      <c r="DN8" s="7" t="e">
        <f>IF(OR(#REF!&gt;2,#REF!&lt;-2),"",#REF!)</f>
        <v>#REF!</v>
      </c>
      <c r="DO8" s="7" t="e">
        <f>IF(OR(#REF!&gt;2,#REF!&lt;-2),"",#REF!)</f>
        <v>#REF!</v>
      </c>
      <c r="DP8" s="7" t="e">
        <f>IF(OR(#REF!&gt;2,#REF!&lt;-2),"",#REF!)</f>
        <v>#REF!</v>
      </c>
      <c r="DQ8" s="7" t="e">
        <f>IF(OR(#REF!&gt;2,#REF!&lt;-2),"",#REF!)</f>
        <v>#REF!</v>
      </c>
      <c r="DR8" s="7" t="e">
        <f>IF(OR(#REF!&gt;2,#REF!&lt;-2),"",#REF!)</f>
        <v>#REF!</v>
      </c>
      <c r="DS8" s="7" t="e">
        <f>IF(OR(#REF!&gt;2,#REF!&lt;-2),"",#REF!)</f>
        <v>#REF!</v>
      </c>
      <c r="DT8" s="7" t="e">
        <f>IF(OR(#REF!&gt;2,#REF!&lt;-2),"",#REF!)</f>
        <v>#REF!</v>
      </c>
      <c r="DU8" s="7" t="e">
        <f>IF(OR(#REF!&gt;2,#REF!&lt;-2),"",#REF!)</f>
        <v>#REF!</v>
      </c>
      <c r="DV8" s="7" t="e">
        <f>IF(OR(#REF!&gt;2,#REF!&lt;-2),"",#REF!)</f>
        <v>#REF!</v>
      </c>
      <c r="DW8" s="7" t="e">
        <f>IF(OR(#REF!&gt;2,#REF!&lt;-2),"",#REF!)</f>
        <v>#REF!</v>
      </c>
      <c r="DX8" s="7" t="e">
        <f>IF(OR(#REF!&gt;2,#REF!&lt;-2),"",#REF!)</f>
        <v>#REF!</v>
      </c>
      <c r="DY8" s="7" t="e">
        <f>IF(OR(#REF!&gt;2,#REF!&lt;-2),"",#REF!)</f>
        <v>#REF!</v>
      </c>
      <c r="DZ8" s="7" t="e">
        <f>IF(OR(#REF!&gt;2,#REF!&lt;-2),"",#REF!)</f>
        <v>#REF!</v>
      </c>
      <c r="EA8" s="7" t="e">
        <f>IF(OR(#REF!&gt;2,#REF!&lt;-2),"",#REF!)</f>
        <v>#REF!</v>
      </c>
      <c r="EB8" s="7" t="e">
        <f>IF(OR(#REF!&gt;2,#REF!&lt;-2),"",#REF!)</f>
        <v>#REF!</v>
      </c>
      <c r="EC8" s="7" t="e">
        <f>IF(OR(#REF!&gt;2,#REF!&lt;-2),"",#REF!)</f>
        <v>#REF!</v>
      </c>
      <c r="ED8" s="7" t="e">
        <f>IF(OR(#REF!&gt;2,#REF!&lt;-2),"",#REF!)</f>
        <v>#REF!</v>
      </c>
      <c r="EE8" s="7" t="e">
        <f>IF(OR(#REF!&gt;2,#REF!&lt;-2),"",#REF!)</f>
        <v>#REF!</v>
      </c>
      <c r="EF8" s="7" t="e">
        <f>IF(OR(#REF!&gt;2,#REF!&lt;-2),"",#REF!)</f>
        <v>#REF!</v>
      </c>
      <c r="EG8" s="7" t="e">
        <f>IF(OR(#REF!&gt;2,#REF!&lt;-2),"",#REF!)</f>
        <v>#REF!</v>
      </c>
      <c r="EH8" s="7" t="e">
        <f>IF(OR(#REF!&gt;2,#REF!&lt;-2),"",#REF!)</f>
        <v>#REF!</v>
      </c>
      <c r="EI8" s="7" t="e">
        <f>IF(OR(#REF!&gt;2,#REF!&lt;-2),"",#REF!)</f>
        <v>#REF!</v>
      </c>
      <c r="EJ8" s="7" t="e">
        <f>IF(OR(#REF!&gt;2,#REF!&lt;-2),"",#REF!)</f>
        <v>#REF!</v>
      </c>
      <c r="EK8" s="7" t="e">
        <f>IF(OR(#REF!&gt;2,#REF!&lt;-2),"",#REF!)</f>
        <v>#REF!</v>
      </c>
      <c r="EL8" s="7" t="e">
        <f>IF(OR(#REF!&gt;2,#REF!&lt;-2),"",#REF!)</f>
        <v>#REF!</v>
      </c>
      <c r="EM8" s="7" t="e">
        <f>IF(OR(#REF!&gt;2,#REF!&lt;-2),"",#REF!)</f>
        <v>#REF!</v>
      </c>
      <c r="EN8" s="7" t="e">
        <f>IF(OR(#REF!&gt;2,#REF!&lt;-2),"",#REF!)</f>
        <v>#REF!</v>
      </c>
      <c r="EO8" s="7" t="e">
        <f>IF(OR(#REF!&gt;2,#REF!&lt;-2),"",#REF!)</f>
        <v>#REF!</v>
      </c>
      <c r="EP8" s="7" t="e">
        <f>IF(OR(#REF!&gt;2,#REF!&lt;-2),"",#REF!)</f>
        <v>#REF!</v>
      </c>
      <c r="EQ8" s="7" t="e">
        <f>IF(OR(#REF!&gt;2,#REF!&lt;-2),"",#REF!)</f>
        <v>#REF!</v>
      </c>
      <c r="ER8" s="7" t="e">
        <f>IF(OR(#REF!&gt;2,#REF!&lt;-2),"",#REF!)</f>
        <v>#REF!</v>
      </c>
      <c r="ES8" s="7" t="e">
        <f>IF(OR(#REF!&gt;2,#REF!&lt;-2),"",#REF!)</f>
        <v>#REF!</v>
      </c>
      <c r="ET8" s="7" t="e">
        <f>IF(OR(#REF!&gt;2,#REF!&lt;-2),"",#REF!)</f>
        <v>#REF!</v>
      </c>
      <c r="EU8" s="7" t="e">
        <f>IF(OR(#REF!&gt;2,#REF!&lt;-2),"",#REF!)</f>
        <v>#REF!</v>
      </c>
      <c r="EV8" s="7" t="e">
        <f>IF(OR(#REF!&gt;2,#REF!&lt;-2),"",#REF!)</f>
        <v>#REF!</v>
      </c>
      <c r="EW8" s="7" t="e">
        <f>IF(OR(#REF!&gt;2,#REF!&lt;-2),"",#REF!)</f>
        <v>#REF!</v>
      </c>
      <c r="EX8" s="7" t="e">
        <f>IF(OR(#REF!&gt;2,#REF!&lt;-2),"",#REF!)</f>
        <v>#REF!</v>
      </c>
      <c r="EY8" s="7" t="e">
        <f>IF(OR(#REF!&gt;2,#REF!&lt;-2),"",#REF!)</f>
        <v>#REF!</v>
      </c>
      <c r="EZ8" s="7" t="e">
        <f>IF(OR(#REF!&gt;2,#REF!&lt;-2),"",#REF!)</f>
        <v>#REF!</v>
      </c>
      <c r="FA8" s="7" t="e">
        <f>IF(OR(#REF!&gt;2,#REF!&lt;-2),"",#REF!)</f>
        <v>#REF!</v>
      </c>
      <c r="FB8" s="7" t="e">
        <f>IF(OR(#REF!&gt;2,#REF!&lt;-2),"",#REF!)</f>
        <v>#REF!</v>
      </c>
      <c r="FC8" s="7" t="e">
        <f>IF(OR(#REF!&gt;2,#REF!&lt;-2),"",#REF!)</f>
        <v>#REF!</v>
      </c>
      <c r="FD8" s="7" t="e">
        <f>IF(OR(#REF!&gt;2,#REF!&lt;-2),"",#REF!)</f>
        <v>#REF!</v>
      </c>
      <c r="FE8" s="7" t="e">
        <f>IF(OR(#REF!&gt;2,#REF!&lt;-2),"",#REF!)</f>
        <v>#REF!</v>
      </c>
      <c r="FF8" s="7" t="e">
        <f>IF(OR(#REF!&gt;2,#REF!&lt;-2),"",#REF!)</f>
        <v>#REF!</v>
      </c>
      <c r="FG8" s="7" t="e">
        <f>IF(OR(#REF!&gt;2,#REF!&lt;-2),"",#REF!)</f>
        <v>#REF!</v>
      </c>
      <c r="FH8" s="7" t="e">
        <f>IF(OR(#REF!&gt;2,#REF!&lt;-2),"",#REF!)</f>
        <v>#REF!</v>
      </c>
      <c r="FI8" s="7" t="e">
        <f>IF(OR(#REF!&gt;2,#REF!&lt;-2),"",#REF!)</f>
        <v>#REF!</v>
      </c>
      <c r="FJ8" s="7" t="e">
        <f>IF(OR(#REF!&gt;2,#REF!&lt;-2),"",#REF!)</f>
        <v>#REF!</v>
      </c>
      <c r="FK8" s="7" t="e">
        <f>IF(OR(#REF!&gt;2,#REF!&lt;-2),"",#REF!)</f>
        <v>#REF!</v>
      </c>
      <c r="FL8" s="7" t="e">
        <f>IF(OR(#REF!&gt;2,#REF!&lt;-2),"",#REF!)</f>
        <v>#REF!</v>
      </c>
      <c r="FM8" s="7" t="e">
        <f>IF(OR(#REF!&gt;2,#REF!&lt;-2),"",#REF!)</f>
        <v>#REF!</v>
      </c>
      <c r="FN8" s="7" t="e">
        <f>IF(OR(#REF!&gt;2,#REF!&lt;-2),"",#REF!)</f>
        <v>#REF!</v>
      </c>
      <c r="FO8" s="7" t="e">
        <f>IF(OR(#REF!&gt;2,#REF!&lt;-2),"",#REF!)</f>
        <v>#REF!</v>
      </c>
      <c r="FP8" s="7" t="e">
        <f>IF(OR(#REF!&gt;2,#REF!&lt;-2),"",#REF!)</f>
        <v>#REF!</v>
      </c>
      <c r="FQ8" s="7" t="e">
        <f>IF(OR(#REF!&gt;2,#REF!&lt;-2),"",#REF!)</f>
        <v>#REF!</v>
      </c>
      <c r="FR8" s="7" t="e">
        <f>IF(OR(#REF!&gt;2,#REF!&lt;-2),"",#REF!)</f>
        <v>#REF!</v>
      </c>
      <c r="FS8" s="7" t="e">
        <f>IF(OR(#REF!&gt;2,#REF!&lt;-2),"",#REF!)</f>
        <v>#REF!</v>
      </c>
      <c r="FT8" s="7" t="e">
        <f>IF(OR(#REF!&gt;2,#REF!&lt;-2),"",#REF!)</f>
        <v>#REF!</v>
      </c>
      <c r="FU8" s="7" t="e">
        <f>IF(OR(#REF!&gt;2,#REF!&lt;-2),"",#REF!)</f>
        <v>#REF!</v>
      </c>
      <c r="FV8" s="7" t="e">
        <f>IF(OR(#REF!&gt;2,#REF!&lt;-2),"",#REF!)</f>
        <v>#REF!</v>
      </c>
      <c r="FW8" s="7" t="e">
        <f>IF(OR(#REF!&gt;2,#REF!&lt;-2),"",#REF!)</f>
        <v>#REF!</v>
      </c>
      <c r="FX8" s="7" t="e">
        <f>IF(OR(#REF!&gt;2,#REF!&lt;-2),"",#REF!)</f>
        <v>#REF!</v>
      </c>
      <c r="FY8" s="7" t="e">
        <f>IF(OR(#REF!&gt;2,#REF!&lt;-2),"",#REF!)</f>
        <v>#REF!</v>
      </c>
      <c r="FZ8" s="7" t="e">
        <f>IF(OR(#REF!&gt;2,#REF!&lt;-2),"",#REF!)</f>
        <v>#REF!</v>
      </c>
      <c r="GA8" s="7" t="e">
        <f>IF(OR(#REF!&gt;2,#REF!&lt;-2),"",#REF!)</f>
        <v>#REF!</v>
      </c>
      <c r="GB8" s="7" t="e">
        <f>IF(OR(#REF!&gt;2,#REF!&lt;-2),"",#REF!)</f>
        <v>#REF!</v>
      </c>
      <c r="GC8" s="7" t="e">
        <f>IF(OR(#REF!&gt;2,#REF!&lt;-2),"",#REF!)</f>
        <v>#REF!</v>
      </c>
      <c r="GD8" s="7" t="e">
        <f>IF(OR(#REF!&gt;2,#REF!&lt;-2),"",#REF!)</f>
        <v>#REF!</v>
      </c>
      <c r="GE8" s="7" t="e">
        <f>IF(OR(#REF!&gt;2,#REF!&lt;-2),"",#REF!)</f>
        <v>#REF!</v>
      </c>
      <c r="GF8" s="7" t="e">
        <f>IF(OR(#REF!&gt;2,#REF!&lt;-2),"",#REF!)</f>
        <v>#REF!</v>
      </c>
      <c r="GG8" s="7" t="e">
        <f>IF(OR(#REF!&gt;2,#REF!&lt;-2),"",#REF!)</f>
        <v>#REF!</v>
      </c>
      <c r="GH8" s="7" t="e">
        <f>IF(OR(#REF!&gt;2,#REF!&lt;-2),"",#REF!)</f>
        <v>#REF!</v>
      </c>
      <c r="GI8" s="7" t="e">
        <f>IF(OR(#REF!&gt;2,#REF!&lt;-2),"",#REF!)</f>
        <v>#REF!</v>
      </c>
      <c r="GJ8" s="7" t="e">
        <f>IF(OR(#REF!&gt;2,#REF!&lt;-2),"",#REF!)</f>
        <v>#REF!</v>
      </c>
      <c r="GK8" s="7" t="e">
        <f>IF(OR(#REF!&gt;2,#REF!&lt;-2),"",#REF!)</f>
        <v>#REF!</v>
      </c>
      <c r="GL8" s="7" t="e">
        <f>IF(OR(#REF!&gt;2,#REF!&lt;-2),"",#REF!)</f>
        <v>#REF!</v>
      </c>
      <c r="GM8" s="7" t="e">
        <f>IF(OR(#REF!&gt;2,#REF!&lt;-2),"",#REF!)</f>
        <v>#REF!</v>
      </c>
      <c r="GN8" s="7" t="e">
        <f>IF(OR(#REF!&gt;2,#REF!&lt;-2),"",#REF!)</f>
        <v>#REF!</v>
      </c>
      <c r="GO8" s="7" t="e">
        <f>IF(OR(#REF!&gt;2,#REF!&lt;-2),"",#REF!)</f>
        <v>#REF!</v>
      </c>
      <c r="GP8" s="7" t="e">
        <f>IF(OR(#REF!&gt;2,#REF!&lt;-2),"",#REF!)</f>
        <v>#REF!</v>
      </c>
      <c r="GQ8" s="7" t="e">
        <f>IF(OR(#REF!&gt;2,#REF!&lt;-2),"",#REF!)</f>
        <v>#REF!</v>
      </c>
      <c r="GR8" s="7" t="e">
        <f>IF(OR(#REF!&gt;2,#REF!&lt;-2),"",#REF!)</f>
        <v>#REF!</v>
      </c>
      <c r="GS8" s="7" t="e">
        <f>IF(OR(#REF!&gt;2,#REF!&lt;-2),"",#REF!)</f>
        <v>#REF!</v>
      </c>
      <c r="GT8" s="7" t="e">
        <f>IF(OR(#REF!&gt;2,#REF!&lt;-2),"",#REF!)</f>
        <v>#REF!</v>
      </c>
      <c r="GU8" s="7" t="e">
        <f>IF(OR(#REF!&gt;2,#REF!&lt;-2),"",#REF!)</f>
        <v>#REF!</v>
      </c>
      <c r="GV8" s="7" t="e">
        <f>IF(OR(#REF!&gt;2,#REF!&lt;-2),"",#REF!)</f>
        <v>#REF!</v>
      </c>
      <c r="GW8" s="7" t="e">
        <f>IF(OR(#REF!&gt;2,#REF!&lt;-2),"",#REF!)</f>
        <v>#REF!</v>
      </c>
      <c r="GX8" s="7" t="e">
        <f>IF(OR(#REF!&gt;2,#REF!&lt;-2),"",#REF!)</f>
        <v>#REF!</v>
      </c>
      <c r="GY8" s="7" t="e">
        <f>IF(OR(#REF!&gt;2,#REF!&lt;-2),"",#REF!)</f>
        <v>#REF!</v>
      </c>
      <c r="GZ8" s="7" t="e">
        <f>IF(OR(#REF!&gt;2,#REF!&lt;-2),"",#REF!)</f>
        <v>#REF!</v>
      </c>
      <c r="HA8" s="7" t="e">
        <f>IF(OR(#REF!&gt;2,#REF!&lt;-2),"",#REF!)</f>
        <v>#REF!</v>
      </c>
      <c r="HB8" s="7" t="e">
        <f>IF(OR(#REF!&gt;2,#REF!&lt;-2),"",#REF!)</f>
        <v>#REF!</v>
      </c>
      <c r="HC8" s="7" t="e">
        <f>IF(OR(#REF!&gt;2,#REF!&lt;-2),"",#REF!)</f>
        <v>#REF!</v>
      </c>
      <c r="HD8" s="7" t="e">
        <f>IF(OR(#REF!&gt;2,#REF!&lt;-2),"",#REF!)</f>
        <v>#REF!</v>
      </c>
      <c r="HE8" s="7" t="e">
        <f>IF(OR(#REF!&gt;2,#REF!&lt;-2),"",#REF!)</f>
        <v>#REF!</v>
      </c>
      <c r="HF8" s="7" t="e">
        <f>IF(OR(#REF!&gt;2,#REF!&lt;-2),"",#REF!)</f>
        <v>#REF!</v>
      </c>
      <c r="HG8" s="7" t="e">
        <f>IF(OR(#REF!&gt;2,#REF!&lt;-2),"",#REF!)</f>
        <v>#REF!</v>
      </c>
      <c r="HH8" s="7" t="e">
        <f>IF(OR(#REF!&gt;2,#REF!&lt;-2),"",#REF!)</f>
        <v>#REF!</v>
      </c>
      <c r="HI8" s="7" t="e">
        <f>IF(OR(#REF!&gt;2,#REF!&lt;-2),"",#REF!)</f>
        <v>#REF!</v>
      </c>
      <c r="HJ8" s="7" t="e">
        <f>IF(OR(#REF!&gt;2,#REF!&lt;-2),"",#REF!)</f>
        <v>#REF!</v>
      </c>
      <c r="HK8" s="7" t="e">
        <f>IF(OR(#REF!&gt;2,#REF!&lt;-2),"",#REF!)</f>
        <v>#REF!</v>
      </c>
      <c r="HL8" s="7" t="e">
        <f>IF(OR(#REF!&gt;2,#REF!&lt;-2),"",#REF!)</f>
        <v>#REF!</v>
      </c>
      <c r="HM8" s="7" t="e">
        <f>IF(OR(#REF!&gt;2,#REF!&lt;-2),"",#REF!)</f>
        <v>#REF!</v>
      </c>
      <c r="HN8" s="7" t="e">
        <f>IF(OR(#REF!&gt;2,#REF!&lt;-2),"",#REF!)</f>
        <v>#REF!</v>
      </c>
      <c r="HO8" s="7" t="e">
        <f>IF(OR(#REF!&gt;2,#REF!&lt;-2),"",#REF!)</f>
        <v>#REF!</v>
      </c>
      <c r="HP8" s="7" t="e">
        <f>IF(OR(#REF!&gt;2,#REF!&lt;-2),"",#REF!)</f>
        <v>#REF!</v>
      </c>
      <c r="HQ8" s="7" t="e">
        <f>IF(OR(#REF!&gt;2,#REF!&lt;-2),"",#REF!)</f>
        <v>#REF!</v>
      </c>
      <c r="HR8" s="7" t="e">
        <f>IF(OR(#REF!&gt;2,#REF!&lt;-2),"",#REF!)</f>
        <v>#REF!</v>
      </c>
      <c r="HS8" s="7" t="e">
        <f>IF(OR(#REF!&gt;2,#REF!&lt;-2),"",#REF!)</f>
        <v>#REF!</v>
      </c>
      <c r="HT8" s="7" t="e">
        <f>IF(OR(#REF!&gt;2,#REF!&lt;-2),"",#REF!)</f>
        <v>#REF!</v>
      </c>
      <c r="HU8" s="7" t="e">
        <f>IF(OR(#REF!&gt;2,#REF!&lt;-2),"",#REF!)</f>
        <v>#REF!</v>
      </c>
      <c r="HV8" s="7" t="e">
        <f>IF(OR(#REF!&gt;2,#REF!&lt;-2),"",#REF!)</f>
        <v>#REF!</v>
      </c>
      <c r="HW8" s="7" t="e">
        <f>IF(OR(#REF!&gt;2,#REF!&lt;-2),"",#REF!)</f>
        <v>#REF!</v>
      </c>
      <c r="HX8" s="7" t="e">
        <f>IF(OR(#REF!&gt;2,#REF!&lt;-2),"",#REF!)</f>
        <v>#REF!</v>
      </c>
      <c r="HY8" s="7" t="e">
        <f>IF(OR(#REF!&gt;2,#REF!&lt;-2),"",#REF!)</f>
        <v>#REF!</v>
      </c>
      <c r="HZ8" s="7" t="e">
        <f>IF(OR(#REF!&gt;2,#REF!&lt;-2),"",#REF!)</f>
        <v>#REF!</v>
      </c>
      <c r="IA8" s="7" t="e">
        <f>IF(OR(#REF!&gt;2,#REF!&lt;-2),"",#REF!)</f>
        <v>#REF!</v>
      </c>
      <c r="IB8" s="7" t="e">
        <f>IF(OR(#REF!&gt;2,#REF!&lt;-2),"",#REF!)</f>
        <v>#REF!</v>
      </c>
      <c r="IC8" s="7" t="e">
        <f>IF(OR(#REF!&gt;2,#REF!&lt;-2),"",#REF!)</f>
        <v>#REF!</v>
      </c>
      <c r="ID8" s="7" t="e">
        <f>IF(OR(#REF!&gt;2,#REF!&lt;-2),"",#REF!)</f>
        <v>#REF!</v>
      </c>
      <c r="IE8" s="7" t="e">
        <f>IF(OR(#REF!&gt;2,#REF!&lt;-2),"",#REF!)</f>
        <v>#REF!</v>
      </c>
      <c r="IF8" s="7" t="e">
        <f>IF(OR(#REF!&gt;2,#REF!&lt;-2),"",#REF!)</f>
        <v>#REF!</v>
      </c>
      <c r="IG8" s="7" t="e">
        <f>IF(OR(#REF!&gt;2,#REF!&lt;-2),"",#REF!)</f>
        <v>#REF!</v>
      </c>
      <c r="IH8" s="7" t="e">
        <f>IF(OR(#REF!&gt;2,#REF!&lt;-2),"",#REF!)</f>
        <v>#REF!</v>
      </c>
      <c r="II8" s="7" t="e">
        <f>IF(OR(#REF!&gt;2,#REF!&lt;-2),"",#REF!)</f>
        <v>#REF!</v>
      </c>
      <c r="IJ8" s="7" t="e">
        <f>IF(OR(#REF!&gt;2,#REF!&lt;-2),"",#REF!)</f>
        <v>#REF!</v>
      </c>
      <c r="IK8" s="7" t="e">
        <f>IF(OR(#REF!&gt;2,#REF!&lt;-2),"",#REF!)</f>
        <v>#REF!</v>
      </c>
      <c r="IL8" s="7" t="e">
        <f>IF(OR(#REF!&gt;2,#REF!&lt;-2),"",#REF!)</f>
        <v>#REF!</v>
      </c>
      <c r="IM8" s="7" t="e">
        <f>IF(OR(#REF!&gt;2,#REF!&lt;-2),"",#REF!)</f>
        <v>#REF!</v>
      </c>
      <c r="IN8" s="7" t="e">
        <f>IF(OR(#REF!&gt;2,#REF!&lt;-2),"",#REF!)</f>
        <v>#REF!</v>
      </c>
      <c r="IO8" s="7" t="e">
        <f>IF(OR(#REF!&gt;2,#REF!&lt;-2),"",#REF!)</f>
        <v>#REF!</v>
      </c>
      <c r="IP8" s="7" t="e">
        <f>IF(OR(#REF!&gt;2,#REF!&lt;-2),"",#REF!)</f>
        <v>#REF!</v>
      </c>
      <c r="IQ8" s="7" t="e">
        <f>IF(OR(#REF!&gt;2,#REF!&lt;-2),"",#REF!)</f>
        <v>#REF!</v>
      </c>
      <c r="IR8" s="7" t="e">
        <f>IF(OR(#REF!&gt;2,#REF!&lt;-2),"",#REF!)</f>
        <v>#REF!</v>
      </c>
      <c r="IS8" s="7" t="e">
        <f>IF(OR(#REF!&gt;2,#REF!&lt;-2),"",#REF!)</f>
        <v>#REF!</v>
      </c>
      <c r="IT8" s="7" t="e">
        <f>IF(OR(#REF!&gt;2,#REF!&lt;-2),"",#REF!)</f>
        <v>#REF!</v>
      </c>
      <c r="IU8" s="7" t="e">
        <f>IF(OR(#REF!&gt;2,#REF!&lt;-2),"",#REF!)</f>
        <v>#REF!</v>
      </c>
      <c r="IV8" s="7" t="e">
        <f>IF(OR(#REF!&gt;2,#REF!&lt;-2),"",#REF!)</f>
        <v>#REF!</v>
      </c>
      <c r="IW8" s="7" t="e">
        <f>IF(OR(#REF!&gt;2,#REF!&lt;-2),"",#REF!)</f>
        <v>#REF!</v>
      </c>
      <c r="IX8" s="7" t="e">
        <f>IF(OR(#REF!&gt;2,#REF!&lt;-2),"",#REF!)</f>
        <v>#REF!</v>
      </c>
      <c r="IY8" s="7" t="e">
        <f>IF(OR(#REF!&gt;2,#REF!&lt;-2),"",#REF!)</f>
        <v>#REF!</v>
      </c>
      <c r="IZ8" s="7" t="e">
        <f>IF(OR(#REF!&gt;2,#REF!&lt;-2),"",#REF!)</f>
        <v>#REF!</v>
      </c>
      <c r="JA8" s="7" t="e">
        <f>IF(OR(#REF!&gt;2,#REF!&lt;-2),"",#REF!)</f>
        <v>#REF!</v>
      </c>
      <c r="JB8" s="7" t="e">
        <f>IF(OR(#REF!&gt;2,#REF!&lt;-2),"",#REF!)</f>
        <v>#REF!</v>
      </c>
      <c r="JC8" s="7" t="e">
        <f>IF(OR(#REF!&gt;2,#REF!&lt;-2),"",#REF!)</f>
        <v>#REF!</v>
      </c>
      <c r="JD8" s="7" t="e">
        <f>IF(OR(#REF!&gt;2,#REF!&lt;-2),"",#REF!)</f>
        <v>#REF!</v>
      </c>
      <c r="JE8" s="7" t="e">
        <f>IF(OR(#REF!&gt;2,#REF!&lt;-2),"",#REF!)</f>
        <v>#REF!</v>
      </c>
      <c r="JF8" s="7" t="e">
        <f>IF(OR(#REF!&gt;2,#REF!&lt;-2),"",#REF!)</f>
        <v>#REF!</v>
      </c>
      <c r="JG8" s="7" t="e">
        <f>IF(OR(#REF!&gt;2,#REF!&lt;-2),"",#REF!)</f>
        <v>#REF!</v>
      </c>
      <c r="JH8" s="7" t="e">
        <f>IF(OR(#REF!&gt;2,#REF!&lt;-2),"",#REF!)</f>
        <v>#REF!</v>
      </c>
      <c r="JI8" s="7" t="e">
        <f>IF(OR(#REF!&gt;2,#REF!&lt;-2),"",#REF!)</f>
        <v>#REF!</v>
      </c>
      <c r="JJ8" s="7" t="e">
        <f>IF(OR(#REF!&gt;2,#REF!&lt;-2),"",#REF!)</f>
        <v>#REF!</v>
      </c>
      <c r="JK8" s="7" t="e">
        <f>IF(OR(#REF!&gt;2,#REF!&lt;-2),"",#REF!)</f>
        <v>#REF!</v>
      </c>
      <c r="JL8" s="7" t="e">
        <f>IF(OR(#REF!&gt;2,#REF!&lt;-2),"",#REF!)</f>
        <v>#REF!</v>
      </c>
      <c r="JM8" s="7" t="e">
        <f>IF(OR(#REF!&gt;2,#REF!&lt;-2),"",#REF!)</f>
        <v>#REF!</v>
      </c>
      <c r="JN8" s="7" t="e">
        <f>IF(OR(#REF!&gt;2,#REF!&lt;-2),"",#REF!)</f>
        <v>#REF!</v>
      </c>
      <c r="JO8" s="7" t="e">
        <f>IF(OR(#REF!&gt;2,#REF!&lt;-2),"",#REF!)</f>
        <v>#REF!</v>
      </c>
      <c r="JP8" s="7" t="e">
        <f>IF(OR(#REF!&gt;2,#REF!&lt;-2),"",#REF!)</f>
        <v>#REF!</v>
      </c>
      <c r="JQ8" s="7" t="e">
        <f>IF(OR(#REF!&gt;2,#REF!&lt;-2),"",#REF!)</f>
        <v>#REF!</v>
      </c>
      <c r="JR8" s="7" t="e">
        <f>IF(OR(#REF!&gt;2,#REF!&lt;-2),"",#REF!)</f>
        <v>#REF!</v>
      </c>
      <c r="JS8" s="7" t="e">
        <f>IF(OR(#REF!&gt;2,#REF!&lt;-2),"",#REF!)</f>
        <v>#REF!</v>
      </c>
      <c r="JT8" s="7" t="e">
        <f>IF(OR(#REF!&gt;2,#REF!&lt;-2),"",#REF!)</f>
        <v>#REF!</v>
      </c>
      <c r="JU8" s="7" t="e">
        <f>IF(OR(#REF!&gt;2,#REF!&lt;-2),"",#REF!)</f>
        <v>#REF!</v>
      </c>
      <c r="JV8" s="7" t="e">
        <f>IF(OR(#REF!&gt;2,#REF!&lt;-2),"",#REF!)</f>
        <v>#REF!</v>
      </c>
      <c r="JW8" s="7" t="e">
        <f>IF(OR(#REF!&gt;2,#REF!&lt;-2),"",#REF!)</f>
        <v>#REF!</v>
      </c>
      <c r="JX8" s="7" t="e">
        <f>IF(OR(#REF!&gt;2,#REF!&lt;-2),"",#REF!)</f>
        <v>#REF!</v>
      </c>
      <c r="JY8" s="7" t="e">
        <f>IF(OR(#REF!&gt;2,#REF!&lt;-2),"",#REF!)</f>
        <v>#REF!</v>
      </c>
      <c r="JZ8" s="7" t="e">
        <f>IF(OR(#REF!&gt;2,#REF!&lt;-2),"",#REF!)</f>
        <v>#REF!</v>
      </c>
      <c r="KA8" s="7" t="e">
        <f>IF(OR(#REF!&gt;2,#REF!&lt;-2),"",#REF!)</f>
        <v>#REF!</v>
      </c>
      <c r="KB8" s="7" t="e">
        <f>IF(OR(#REF!&gt;2,#REF!&lt;-2),"",#REF!)</f>
        <v>#REF!</v>
      </c>
      <c r="KC8" s="7" t="e">
        <f>IF(OR(#REF!&gt;2,#REF!&lt;-2),"",#REF!)</f>
        <v>#REF!</v>
      </c>
      <c r="KD8" s="7" t="e">
        <f>IF(OR(#REF!&gt;2,#REF!&lt;-2),"",#REF!)</f>
        <v>#REF!</v>
      </c>
      <c r="KE8" s="7" t="e">
        <f>IF(OR(#REF!&gt;2,#REF!&lt;-2),"",#REF!)</f>
        <v>#REF!</v>
      </c>
      <c r="KF8" s="7" t="e">
        <f>IF(OR(#REF!&gt;2,#REF!&lt;-2),"",#REF!)</f>
        <v>#REF!</v>
      </c>
      <c r="KG8" s="7" t="e">
        <f>IF(OR(#REF!&gt;2,#REF!&lt;-2),"",#REF!)</f>
        <v>#REF!</v>
      </c>
      <c r="KH8" s="7" t="e">
        <f>IF(OR(#REF!&gt;2,#REF!&lt;-2),"",#REF!)</f>
        <v>#REF!</v>
      </c>
      <c r="KI8" s="7" t="e">
        <f>IF(OR(#REF!&gt;2,#REF!&lt;-2),"",#REF!)</f>
        <v>#REF!</v>
      </c>
      <c r="KJ8" s="7" t="e">
        <f>IF(OR(#REF!&gt;2,#REF!&lt;-2),"",#REF!)</f>
        <v>#REF!</v>
      </c>
      <c r="KK8" s="7" t="e">
        <f>IF(OR(#REF!&gt;2,#REF!&lt;-2),"",#REF!)</f>
        <v>#REF!</v>
      </c>
      <c r="KL8" s="7" t="e">
        <f>IF(OR(#REF!&gt;2,#REF!&lt;-2),"",#REF!)</f>
        <v>#REF!</v>
      </c>
      <c r="KM8" s="7" t="e">
        <f>IF(OR(#REF!&gt;2,#REF!&lt;-2),"",#REF!)</f>
        <v>#REF!</v>
      </c>
      <c r="KN8" s="7" t="e">
        <f>IF(OR(#REF!&gt;2,#REF!&lt;-2),"",#REF!)</f>
        <v>#REF!</v>
      </c>
      <c r="KO8" s="7" t="e">
        <f>IF(OR(#REF!&gt;2,#REF!&lt;-2),"",#REF!)</f>
        <v>#REF!</v>
      </c>
      <c r="KP8" s="7" t="e">
        <f>IF(OR(#REF!&gt;2,#REF!&lt;-2),"",#REF!)</f>
        <v>#REF!</v>
      </c>
      <c r="KQ8" s="7" t="e">
        <f>IF(OR(#REF!&gt;2,#REF!&lt;-2),"",#REF!)</f>
        <v>#REF!</v>
      </c>
      <c r="KR8" s="7" t="e">
        <f>IF(OR(#REF!&gt;2,#REF!&lt;-2),"",#REF!)</f>
        <v>#REF!</v>
      </c>
      <c r="KS8" s="7" t="e">
        <f>IF(OR(#REF!&gt;2,#REF!&lt;-2),"",#REF!)</f>
        <v>#REF!</v>
      </c>
      <c r="KT8" s="7" t="e">
        <f>IF(OR(#REF!&gt;2,#REF!&lt;-2),"",#REF!)</f>
        <v>#REF!</v>
      </c>
      <c r="KU8" s="7" t="e">
        <f>IF(OR(#REF!&gt;2,#REF!&lt;-2),"",#REF!)</f>
        <v>#REF!</v>
      </c>
      <c r="KV8" s="7" t="e">
        <f>IF(OR(#REF!&gt;2,#REF!&lt;-2),"",#REF!)</f>
        <v>#REF!</v>
      </c>
      <c r="KW8" s="7" t="e">
        <f>IF(OR(#REF!&gt;2,#REF!&lt;-2),"",#REF!)</f>
        <v>#REF!</v>
      </c>
      <c r="KX8" s="7" t="e">
        <f>IF(OR(#REF!&gt;2,#REF!&lt;-2),"",#REF!)</f>
        <v>#REF!</v>
      </c>
      <c r="KY8" s="7" t="e">
        <f>IF(OR(#REF!&gt;2,#REF!&lt;-2),"",#REF!)</f>
        <v>#REF!</v>
      </c>
      <c r="KZ8" s="7" t="e">
        <f>IF(OR(#REF!&gt;2,#REF!&lt;-2),"",#REF!)</f>
        <v>#REF!</v>
      </c>
      <c r="LA8" s="7" t="e">
        <f>IF(OR(#REF!&gt;2,#REF!&lt;-2),"",#REF!)</f>
        <v>#REF!</v>
      </c>
      <c r="LB8" s="7" t="e">
        <f>IF(OR(#REF!&gt;2,#REF!&lt;-2),"",#REF!)</f>
        <v>#REF!</v>
      </c>
      <c r="LC8" s="7" t="e">
        <f>IF(OR(#REF!&gt;2,#REF!&lt;-2),"",#REF!)</f>
        <v>#REF!</v>
      </c>
      <c r="LD8" s="7" t="e">
        <f>IF(OR(#REF!&gt;2,#REF!&lt;-2),"",#REF!)</f>
        <v>#REF!</v>
      </c>
      <c r="LE8" s="7" t="e">
        <f>IF(OR(#REF!&gt;2,#REF!&lt;-2),"",#REF!)</f>
        <v>#REF!</v>
      </c>
      <c r="LF8" s="7" t="e">
        <f>IF(OR(#REF!&gt;2,#REF!&lt;-2),"",#REF!)</f>
        <v>#REF!</v>
      </c>
      <c r="LG8" s="7" t="e">
        <f>IF(OR(#REF!&gt;2,#REF!&lt;-2),"",#REF!)</f>
        <v>#REF!</v>
      </c>
      <c r="LH8" s="7" t="e">
        <f>IF(OR(#REF!&gt;2,#REF!&lt;-2),"",#REF!)</f>
        <v>#REF!</v>
      </c>
      <c r="LI8" s="7" t="e">
        <f>IF(OR(#REF!&gt;2,#REF!&lt;-2),"",#REF!)</f>
        <v>#REF!</v>
      </c>
      <c r="LJ8" s="7" t="e">
        <f>IF(OR(#REF!&gt;2,#REF!&lt;-2),"",#REF!)</f>
        <v>#REF!</v>
      </c>
      <c r="LK8" s="7" t="e">
        <f>IF(OR(#REF!&gt;2,#REF!&lt;-2),"",#REF!)</f>
        <v>#REF!</v>
      </c>
      <c r="LL8" s="7" t="e">
        <f>IF(OR(#REF!&gt;2,#REF!&lt;-2),"",#REF!)</f>
        <v>#REF!</v>
      </c>
      <c r="LM8" s="7" t="e">
        <f>IF(OR(#REF!&gt;2,#REF!&lt;-2),"",#REF!)</f>
        <v>#REF!</v>
      </c>
      <c r="LN8" s="7" t="e">
        <f>IF(OR(#REF!&gt;2,#REF!&lt;-2),"",#REF!)</f>
        <v>#REF!</v>
      </c>
      <c r="LO8" s="7" t="e">
        <f>IF(OR(#REF!&gt;2,#REF!&lt;-2),"",#REF!)</f>
        <v>#REF!</v>
      </c>
      <c r="LP8" s="7" t="e">
        <f>IF(OR(#REF!&gt;2,#REF!&lt;-2),"",#REF!)</f>
        <v>#REF!</v>
      </c>
      <c r="LQ8" s="7" t="e">
        <f>IF(OR(#REF!&gt;2,#REF!&lt;-2),"",#REF!)</f>
        <v>#REF!</v>
      </c>
      <c r="LR8" s="7" t="e">
        <f>IF(OR(#REF!&gt;2,#REF!&lt;-2),"",#REF!)</f>
        <v>#REF!</v>
      </c>
      <c r="LS8" s="7" t="e">
        <f>IF(OR(#REF!&gt;2,#REF!&lt;-2),"",#REF!)</f>
        <v>#REF!</v>
      </c>
      <c r="LT8" s="7" t="e">
        <f>IF(OR(#REF!&gt;2,#REF!&lt;-2),"",#REF!)</f>
        <v>#REF!</v>
      </c>
      <c r="LU8" s="7" t="e">
        <f>IF(OR(#REF!&gt;2,#REF!&lt;-2),"",#REF!)</f>
        <v>#REF!</v>
      </c>
      <c r="LV8" s="7" t="e">
        <f>IF(OR(#REF!&gt;2,#REF!&lt;-2),"",#REF!)</f>
        <v>#REF!</v>
      </c>
      <c r="LW8" s="7" t="e">
        <f>IF(OR(#REF!&gt;2,#REF!&lt;-2),"",#REF!)</f>
        <v>#REF!</v>
      </c>
      <c r="LX8" s="7" t="e">
        <f>IF(OR(#REF!&gt;2,#REF!&lt;-2),"",#REF!)</f>
        <v>#REF!</v>
      </c>
      <c r="LY8" s="7" t="e">
        <f>IF(OR(#REF!&gt;2,#REF!&lt;-2),"",#REF!)</f>
        <v>#REF!</v>
      </c>
      <c r="LZ8" s="7" t="e">
        <f>IF(OR(#REF!&gt;2,#REF!&lt;-2),"",#REF!)</f>
        <v>#REF!</v>
      </c>
      <c r="MA8" s="7" t="e">
        <f>IF(OR(#REF!&gt;2,#REF!&lt;-2),"",#REF!)</f>
        <v>#REF!</v>
      </c>
      <c r="MB8" s="7" t="e">
        <f>IF(OR(#REF!&gt;2,#REF!&lt;-2),"",#REF!)</f>
        <v>#REF!</v>
      </c>
      <c r="MC8" s="7" t="e">
        <f>IF(OR(#REF!&gt;2,#REF!&lt;-2),"",#REF!)</f>
        <v>#REF!</v>
      </c>
      <c r="MD8" s="7" t="e">
        <f>IF(OR(#REF!&gt;2,#REF!&lt;-2),"",#REF!)</f>
        <v>#REF!</v>
      </c>
      <c r="ME8" s="7" t="e">
        <f>IF(OR(#REF!&gt;2,#REF!&lt;-2),"",#REF!)</f>
        <v>#REF!</v>
      </c>
      <c r="MF8" s="7" t="e">
        <f>IF(OR(#REF!&gt;2,#REF!&lt;-2),"",#REF!)</f>
        <v>#REF!</v>
      </c>
      <c r="MG8" s="7" t="e">
        <f>IF(OR(#REF!&gt;2,#REF!&lt;-2),"",#REF!)</f>
        <v>#REF!</v>
      </c>
      <c r="MH8" s="7" t="e">
        <f>IF(OR(#REF!&gt;2,#REF!&lt;-2),"",#REF!)</f>
        <v>#REF!</v>
      </c>
      <c r="MI8" s="7" t="e">
        <f>IF(OR(#REF!&gt;2,#REF!&lt;-2),"",#REF!)</f>
        <v>#REF!</v>
      </c>
      <c r="MJ8" s="7" t="e">
        <f>IF(OR(#REF!&gt;2,#REF!&lt;-2),"",#REF!)</f>
        <v>#REF!</v>
      </c>
      <c r="MK8" s="7" t="e">
        <f>IF(OR(#REF!&gt;2,#REF!&lt;-2),"",#REF!)</f>
        <v>#REF!</v>
      </c>
      <c r="ML8" s="7" t="e">
        <f>IF(OR(#REF!&gt;2,#REF!&lt;-2),"",#REF!)</f>
        <v>#REF!</v>
      </c>
      <c r="MM8" s="7" t="e">
        <f>IF(OR(#REF!&gt;2,#REF!&lt;-2),"",#REF!)</f>
        <v>#REF!</v>
      </c>
      <c r="MN8" s="7" t="e">
        <f>IF(OR(#REF!&gt;2,#REF!&lt;-2),"",#REF!)</f>
        <v>#REF!</v>
      </c>
      <c r="MO8" s="7" t="e">
        <f>IF(OR(#REF!&gt;2,#REF!&lt;-2),"",#REF!)</f>
        <v>#REF!</v>
      </c>
      <c r="MP8" s="7" t="e">
        <f>IF(OR(#REF!&gt;2,#REF!&lt;-2),"",#REF!)</f>
        <v>#REF!</v>
      </c>
      <c r="MQ8" s="7" t="e">
        <f>IF(OR(#REF!&gt;2,#REF!&lt;-2),"",#REF!)</f>
        <v>#REF!</v>
      </c>
      <c r="MR8" s="7" t="e">
        <f>IF(OR(#REF!&gt;2,#REF!&lt;-2),"",#REF!)</f>
        <v>#REF!</v>
      </c>
      <c r="MS8" s="7" t="e">
        <f>IF(OR(#REF!&gt;2,#REF!&lt;-2),"",#REF!)</f>
        <v>#REF!</v>
      </c>
      <c r="MT8" s="7" t="e">
        <f>IF(OR(#REF!&gt;2,#REF!&lt;-2),"",#REF!)</f>
        <v>#REF!</v>
      </c>
      <c r="MU8" s="7" t="e">
        <f>IF(OR(#REF!&gt;2,#REF!&lt;-2),"",#REF!)</f>
        <v>#REF!</v>
      </c>
      <c r="MV8" s="7" t="e">
        <f>IF(OR(#REF!&gt;2,#REF!&lt;-2),"",#REF!)</f>
        <v>#REF!</v>
      </c>
      <c r="MW8" s="7" t="e">
        <f>IF(OR(#REF!&gt;2,#REF!&lt;-2),"",#REF!)</f>
        <v>#REF!</v>
      </c>
      <c r="MX8" s="7" t="e">
        <f>IF(OR(#REF!&gt;2,#REF!&lt;-2),"",#REF!)</f>
        <v>#REF!</v>
      </c>
      <c r="MY8" s="7" t="e">
        <f>IF(OR(#REF!&gt;2,#REF!&lt;-2),"",#REF!)</f>
        <v>#REF!</v>
      </c>
      <c r="MZ8" s="7" t="e">
        <f>IF(OR(#REF!&gt;2,#REF!&lt;-2),"",#REF!)</f>
        <v>#REF!</v>
      </c>
      <c r="NA8" s="7" t="e">
        <f>IF(OR(#REF!&gt;2,#REF!&lt;-2),"",#REF!)</f>
        <v>#REF!</v>
      </c>
      <c r="NB8" s="7" t="e">
        <f>IF(OR(#REF!&gt;2,#REF!&lt;-2),"",#REF!)</f>
        <v>#REF!</v>
      </c>
      <c r="NC8" s="7" t="e">
        <f>IF(OR(#REF!&gt;2,#REF!&lt;-2),"",#REF!)</f>
        <v>#REF!</v>
      </c>
      <c r="ND8" s="7" t="e">
        <f>IF(OR(#REF!&gt;2,#REF!&lt;-2),"",#REF!)</f>
        <v>#REF!</v>
      </c>
      <c r="NE8" s="7" t="e">
        <f>IF(OR(#REF!&gt;2,#REF!&lt;-2),"",#REF!)</f>
        <v>#REF!</v>
      </c>
      <c r="NF8" s="7" t="e">
        <f>IF(OR(#REF!&gt;2,#REF!&lt;-2),"",#REF!)</f>
        <v>#REF!</v>
      </c>
      <c r="NG8" s="7" t="e">
        <f>IF(OR(#REF!&gt;2,#REF!&lt;-2),"",#REF!)</f>
        <v>#REF!</v>
      </c>
      <c r="NH8" s="7" t="e">
        <f>IF(OR(#REF!&gt;2,#REF!&lt;-2),"",#REF!)</f>
        <v>#REF!</v>
      </c>
      <c r="NI8" s="7" t="e">
        <f>IF(OR(#REF!&gt;2,#REF!&lt;-2),"",#REF!)</f>
        <v>#REF!</v>
      </c>
      <c r="NJ8" s="7" t="e">
        <f>IF(OR(#REF!&gt;2,#REF!&lt;-2),"",#REF!)</f>
        <v>#REF!</v>
      </c>
      <c r="NK8" s="7" t="e">
        <f>IF(OR(#REF!&gt;2,#REF!&lt;-2),"",#REF!)</f>
        <v>#REF!</v>
      </c>
      <c r="NL8" s="7" t="e">
        <f>IF(OR(#REF!&gt;2,#REF!&lt;-2),"",#REF!)</f>
        <v>#REF!</v>
      </c>
      <c r="NM8" s="7" t="e">
        <f>IF(OR(#REF!&gt;2,#REF!&lt;-2),"",#REF!)</f>
        <v>#REF!</v>
      </c>
      <c r="NN8" s="7" t="e">
        <f>IF(OR(#REF!&gt;2,#REF!&lt;-2),"",#REF!)</f>
        <v>#REF!</v>
      </c>
      <c r="NO8" s="7" t="e">
        <f>IF(OR(#REF!&gt;2,#REF!&lt;-2),"",#REF!)</f>
        <v>#REF!</v>
      </c>
      <c r="NP8" s="7" t="e">
        <f>IF(OR(#REF!&gt;2,#REF!&lt;-2),"",#REF!)</f>
        <v>#REF!</v>
      </c>
      <c r="NQ8" s="7" t="e">
        <f>IF(OR(#REF!&gt;2,#REF!&lt;-2),"",#REF!)</f>
        <v>#REF!</v>
      </c>
      <c r="NR8" s="7" t="e">
        <f>IF(OR(#REF!&gt;2,#REF!&lt;-2),"",#REF!)</f>
        <v>#REF!</v>
      </c>
      <c r="NS8" s="7" t="e">
        <f>IF(OR(#REF!&gt;2,#REF!&lt;-2),"",#REF!)</f>
        <v>#REF!</v>
      </c>
      <c r="NT8" s="7" t="e">
        <f>IF(OR(#REF!&gt;2,#REF!&lt;-2),"",#REF!)</f>
        <v>#REF!</v>
      </c>
      <c r="NU8" s="7" t="e">
        <f>IF(OR(#REF!&gt;2,#REF!&lt;-2),"",#REF!)</f>
        <v>#REF!</v>
      </c>
      <c r="NV8" s="7" t="e">
        <f>IF(OR(#REF!&gt;2,#REF!&lt;-2),"",#REF!)</f>
        <v>#REF!</v>
      </c>
      <c r="NW8" s="7" t="e">
        <f>IF(OR(#REF!&gt;2,#REF!&lt;-2),"",#REF!)</f>
        <v>#REF!</v>
      </c>
      <c r="NX8" s="7" t="e">
        <f>IF(OR(#REF!&gt;2,#REF!&lt;-2),"",#REF!)</f>
        <v>#REF!</v>
      </c>
      <c r="NY8" s="7" t="e">
        <f>IF(OR(#REF!&gt;2,#REF!&lt;-2),"",#REF!)</f>
        <v>#REF!</v>
      </c>
      <c r="NZ8" s="7" t="e">
        <f>IF(OR(#REF!&gt;2,#REF!&lt;-2),"",#REF!)</f>
        <v>#REF!</v>
      </c>
      <c r="OA8" s="7" t="e">
        <f>IF(OR(#REF!&gt;2,#REF!&lt;-2),"",#REF!)</f>
        <v>#REF!</v>
      </c>
      <c r="OB8" s="7" t="e">
        <f>IF(OR(#REF!&gt;2,#REF!&lt;-2),"",#REF!)</f>
        <v>#REF!</v>
      </c>
      <c r="OC8" s="7" t="e">
        <f>IF(OR(#REF!&gt;2,#REF!&lt;-2),"",#REF!)</f>
        <v>#REF!</v>
      </c>
      <c r="OD8" s="7" t="e">
        <f>IF(OR(#REF!&gt;2,#REF!&lt;-2),"",#REF!)</f>
        <v>#REF!</v>
      </c>
      <c r="OE8" s="7" t="e">
        <f>IF(OR(#REF!&gt;2,#REF!&lt;-2),"",#REF!)</f>
        <v>#REF!</v>
      </c>
      <c r="OF8" s="7" t="e">
        <f>IF(OR(#REF!&gt;2,#REF!&lt;-2),"",#REF!)</f>
        <v>#REF!</v>
      </c>
      <c r="OG8" s="7" t="e">
        <f>IF(OR(#REF!&gt;2,#REF!&lt;-2),"",#REF!)</f>
        <v>#REF!</v>
      </c>
      <c r="OH8" s="7" t="e">
        <f>IF(OR(#REF!&gt;2,#REF!&lt;-2),"",#REF!)</f>
        <v>#REF!</v>
      </c>
      <c r="OI8" s="7" t="e">
        <f>IF(OR(#REF!&gt;2,#REF!&lt;-2),"",#REF!)</f>
        <v>#REF!</v>
      </c>
      <c r="OJ8" s="7" t="e">
        <f>IF(OR(#REF!&gt;2,#REF!&lt;-2),"",#REF!)</f>
        <v>#REF!</v>
      </c>
      <c r="OK8" s="7" t="e">
        <f>IF(OR(#REF!&gt;2,#REF!&lt;-2),"",#REF!)</f>
        <v>#REF!</v>
      </c>
      <c r="OL8" s="7" t="e">
        <f>IF(OR(#REF!&gt;2,#REF!&lt;-2),"",#REF!)</f>
        <v>#REF!</v>
      </c>
      <c r="OM8" s="7" t="e">
        <f>IF(OR(#REF!&gt;2,#REF!&lt;-2),"",#REF!)</f>
        <v>#REF!</v>
      </c>
      <c r="ON8" s="7" t="e">
        <f>IF(OR(#REF!&gt;2,#REF!&lt;-2),"",#REF!)</f>
        <v>#REF!</v>
      </c>
      <c r="OO8" s="7" t="e">
        <f>IF(OR(#REF!&gt;2,#REF!&lt;-2),"",#REF!)</f>
        <v>#REF!</v>
      </c>
      <c r="OP8" s="7" t="e">
        <f>IF(OR(#REF!&gt;2,#REF!&lt;-2),"",#REF!)</f>
        <v>#REF!</v>
      </c>
      <c r="OQ8" s="7" t="e">
        <f>IF(OR(#REF!&gt;2,#REF!&lt;-2),"",#REF!)</f>
        <v>#REF!</v>
      </c>
      <c r="OR8" s="7" t="e">
        <f>IF(OR(#REF!&gt;2,#REF!&lt;-2),"",#REF!)</f>
        <v>#REF!</v>
      </c>
      <c r="OS8" s="7" t="e">
        <f>IF(OR(#REF!&gt;2,#REF!&lt;-2),"",#REF!)</f>
        <v>#REF!</v>
      </c>
      <c r="OT8" s="7" t="e">
        <f>IF(OR(#REF!&gt;2,#REF!&lt;-2),"",#REF!)</f>
        <v>#REF!</v>
      </c>
      <c r="OU8" s="7" t="e">
        <f>IF(OR(#REF!&gt;2,#REF!&lt;-2),"",#REF!)</f>
        <v>#REF!</v>
      </c>
      <c r="OV8" s="7" t="e">
        <f>IF(OR(#REF!&gt;2,#REF!&lt;-2),"",#REF!)</f>
        <v>#REF!</v>
      </c>
      <c r="OW8" s="7" t="e">
        <f>IF(OR(#REF!&gt;2,#REF!&lt;-2),"",#REF!)</f>
        <v>#REF!</v>
      </c>
      <c r="OX8" s="7" t="e">
        <f>IF(OR(#REF!&gt;2,#REF!&lt;-2),"",#REF!)</f>
        <v>#REF!</v>
      </c>
      <c r="OY8" s="7" t="e">
        <f>IF(OR(#REF!&gt;2,#REF!&lt;-2),"",#REF!)</f>
        <v>#REF!</v>
      </c>
      <c r="OZ8" s="7" t="e">
        <f>IF(OR(#REF!&gt;2,#REF!&lt;-2),"",#REF!)</f>
        <v>#REF!</v>
      </c>
      <c r="PA8" s="7" t="e">
        <f>IF(OR(#REF!&gt;2,#REF!&lt;-2),"",#REF!)</f>
        <v>#REF!</v>
      </c>
      <c r="PB8" s="7" t="e">
        <f>IF(OR(#REF!&gt;2,#REF!&lt;-2),"",#REF!)</f>
        <v>#REF!</v>
      </c>
      <c r="PC8" s="7" t="e">
        <f>IF(OR(#REF!&gt;2,#REF!&lt;-2),"",#REF!)</f>
        <v>#REF!</v>
      </c>
      <c r="PD8" s="7" t="e">
        <f>IF(OR(#REF!&gt;2,#REF!&lt;-2),"",#REF!)</f>
        <v>#REF!</v>
      </c>
      <c r="PE8" s="7" t="e">
        <f>IF(OR(#REF!&gt;2,#REF!&lt;-2),"",#REF!)</f>
        <v>#REF!</v>
      </c>
      <c r="PF8" s="7" t="e">
        <f>IF(OR(#REF!&gt;2,#REF!&lt;-2),"",#REF!)</f>
        <v>#REF!</v>
      </c>
      <c r="PG8" s="7" t="e">
        <f>IF(OR(#REF!&gt;2,#REF!&lt;-2),"",#REF!)</f>
        <v>#REF!</v>
      </c>
      <c r="PH8" s="7" t="e">
        <f>IF(OR(#REF!&gt;2,#REF!&lt;-2),"",#REF!)</f>
        <v>#REF!</v>
      </c>
      <c r="PI8" s="7" t="e">
        <f>IF(OR(#REF!&gt;2,#REF!&lt;-2),"",#REF!)</f>
        <v>#REF!</v>
      </c>
      <c r="PJ8" s="7" t="e">
        <f>IF(OR(#REF!&gt;2,#REF!&lt;-2),"",#REF!)</f>
        <v>#REF!</v>
      </c>
      <c r="PK8" s="7" t="e">
        <f>IF(OR(#REF!&gt;2,#REF!&lt;-2),"",#REF!)</f>
        <v>#REF!</v>
      </c>
      <c r="PL8" s="7" t="e">
        <f>IF(OR(#REF!&gt;2,#REF!&lt;-2),"",#REF!)</f>
        <v>#REF!</v>
      </c>
      <c r="PM8" s="7" t="e">
        <f>IF(OR(#REF!&gt;2,#REF!&lt;-2),"",#REF!)</f>
        <v>#REF!</v>
      </c>
      <c r="PN8" s="7" t="e">
        <f>IF(OR(#REF!&gt;2,#REF!&lt;-2),"",#REF!)</f>
        <v>#REF!</v>
      </c>
      <c r="PO8" s="7" t="e">
        <f>IF(OR(#REF!&gt;2,#REF!&lt;-2),"",#REF!)</f>
        <v>#REF!</v>
      </c>
      <c r="PP8" s="7" t="e">
        <f>IF(OR(#REF!&gt;2,#REF!&lt;-2),"",#REF!)</f>
        <v>#REF!</v>
      </c>
      <c r="PQ8" s="7" t="e">
        <f>IF(OR(#REF!&gt;2,#REF!&lt;-2),"",#REF!)</f>
        <v>#REF!</v>
      </c>
      <c r="PR8" s="7" t="e">
        <f>IF(OR(#REF!&gt;2,#REF!&lt;-2),"",#REF!)</f>
        <v>#REF!</v>
      </c>
      <c r="PS8" s="7" t="e">
        <f>IF(OR(#REF!&gt;2,#REF!&lt;-2),"",#REF!)</f>
        <v>#REF!</v>
      </c>
      <c r="PT8" s="7" t="e">
        <f>IF(OR(#REF!&gt;2,#REF!&lt;-2),"",#REF!)</f>
        <v>#REF!</v>
      </c>
      <c r="PU8" s="7" t="e">
        <f>IF(OR(#REF!&gt;2,#REF!&lt;-2),"",#REF!)</f>
        <v>#REF!</v>
      </c>
      <c r="PV8" s="7" t="e">
        <f>IF(OR(#REF!&gt;2,#REF!&lt;-2),"",#REF!)</f>
        <v>#REF!</v>
      </c>
      <c r="PW8" s="7" t="e">
        <f>IF(OR(#REF!&gt;2,#REF!&lt;-2),"",#REF!)</f>
        <v>#REF!</v>
      </c>
      <c r="PX8" s="7" t="e">
        <f>IF(OR(#REF!&gt;2,#REF!&lt;-2),"",#REF!)</f>
        <v>#REF!</v>
      </c>
      <c r="PY8" s="7" t="e">
        <f>IF(OR(#REF!&gt;2,#REF!&lt;-2),"",#REF!)</f>
        <v>#REF!</v>
      </c>
      <c r="PZ8" s="7" t="e">
        <f>IF(OR(#REF!&gt;2,#REF!&lt;-2),"",#REF!)</f>
        <v>#REF!</v>
      </c>
      <c r="QA8" s="7" t="e">
        <f>IF(OR(#REF!&gt;2,#REF!&lt;-2),"",#REF!)</f>
        <v>#REF!</v>
      </c>
      <c r="QB8" s="7" t="e">
        <f>IF(OR(#REF!&gt;2,#REF!&lt;-2),"",#REF!)</f>
        <v>#REF!</v>
      </c>
      <c r="QC8" s="7" t="e">
        <f>IF(OR(#REF!&gt;2,#REF!&lt;-2),"",#REF!)</f>
        <v>#REF!</v>
      </c>
      <c r="QD8" s="7" t="e">
        <f>IF(OR(#REF!&gt;2,#REF!&lt;-2),"",#REF!)</f>
        <v>#REF!</v>
      </c>
      <c r="QE8" s="7" t="e">
        <f>IF(OR(#REF!&gt;2,#REF!&lt;-2),"",#REF!)</f>
        <v>#REF!</v>
      </c>
      <c r="QF8" s="7" t="e">
        <f>IF(OR(#REF!&gt;2,#REF!&lt;-2),"",#REF!)</f>
        <v>#REF!</v>
      </c>
      <c r="QG8" s="7" t="e">
        <f>IF(OR(#REF!&gt;2,#REF!&lt;-2),"",#REF!)</f>
        <v>#REF!</v>
      </c>
      <c r="QH8" s="7" t="e">
        <f>IF(OR(#REF!&gt;2,#REF!&lt;-2),"",#REF!)</f>
        <v>#REF!</v>
      </c>
      <c r="QI8" s="7" t="e">
        <f>IF(OR(#REF!&gt;2,#REF!&lt;-2),"",#REF!)</f>
        <v>#REF!</v>
      </c>
      <c r="QJ8" s="7" t="e">
        <f>IF(OR(#REF!&gt;2,#REF!&lt;-2),"",#REF!)</f>
        <v>#REF!</v>
      </c>
      <c r="QK8" s="7" t="e">
        <f>IF(OR(#REF!&gt;2,#REF!&lt;-2),"",#REF!)</f>
        <v>#REF!</v>
      </c>
      <c r="QL8" s="7" t="e">
        <f>IF(OR(#REF!&gt;2,#REF!&lt;-2),"",#REF!)</f>
        <v>#REF!</v>
      </c>
      <c r="QM8" s="7" t="e">
        <f>IF(OR(#REF!&gt;2,#REF!&lt;-2),"",#REF!)</f>
        <v>#REF!</v>
      </c>
      <c r="QN8" s="7" t="e">
        <f>IF(OR(#REF!&gt;2,#REF!&lt;-2),"",#REF!)</f>
        <v>#REF!</v>
      </c>
      <c r="QO8" s="7" t="e">
        <f>IF(OR(#REF!&gt;2,#REF!&lt;-2),"",#REF!)</f>
        <v>#REF!</v>
      </c>
      <c r="QP8" s="7" t="e">
        <f>IF(OR(#REF!&gt;2,#REF!&lt;-2),"",#REF!)</f>
        <v>#REF!</v>
      </c>
      <c r="QQ8" s="7" t="e">
        <f>IF(OR(#REF!&gt;2,#REF!&lt;-2),"",#REF!)</f>
        <v>#REF!</v>
      </c>
      <c r="QR8" s="7" t="e">
        <f>IF(OR(#REF!&gt;2,#REF!&lt;-2),"",#REF!)</f>
        <v>#REF!</v>
      </c>
      <c r="QS8" s="7" t="e">
        <f>IF(OR(#REF!&gt;2,#REF!&lt;-2),"",#REF!)</f>
        <v>#REF!</v>
      </c>
      <c r="QT8" s="7" t="e">
        <f>IF(OR(#REF!&gt;2,#REF!&lt;-2),"",#REF!)</f>
        <v>#REF!</v>
      </c>
      <c r="QU8" s="7" t="e">
        <f>IF(OR(#REF!&gt;2,#REF!&lt;-2),"",#REF!)</f>
        <v>#REF!</v>
      </c>
      <c r="QV8" s="7" t="e">
        <f>IF(OR(#REF!&gt;2,#REF!&lt;-2),"",#REF!)</f>
        <v>#REF!</v>
      </c>
      <c r="QW8" s="7" t="e">
        <f>IF(OR(#REF!&gt;2,#REF!&lt;-2),"",#REF!)</f>
        <v>#REF!</v>
      </c>
      <c r="QX8" s="7" t="e">
        <f>IF(OR(#REF!&gt;2,#REF!&lt;-2),"",#REF!)</f>
        <v>#REF!</v>
      </c>
      <c r="QY8" s="7" t="e">
        <f>IF(OR(#REF!&gt;2,#REF!&lt;-2),"",#REF!)</f>
        <v>#REF!</v>
      </c>
      <c r="QZ8" s="7" t="e">
        <f>IF(OR(#REF!&gt;2,#REF!&lt;-2),"",#REF!)</f>
        <v>#REF!</v>
      </c>
      <c r="RA8" s="7" t="e">
        <f>IF(OR(#REF!&gt;2,#REF!&lt;-2),"",#REF!)</f>
        <v>#REF!</v>
      </c>
      <c r="RB8" s="7" t="e">
        <f>IF(OR(#REF!&gt;2,#REF!&lt;-2),"",#REF!)</f>
        <v>#REF!</v>
      </c>
      <c r="RC8" s="7" t="e">
        <f>IF(OR(#REF!&gt;2,#REF!&lt;-2),"",#REF!)</f>
        <v>#REF!</v>
      </c>
      <c r="RD8" s="7" t="e">
        <f>IF(OR(#REF!&gt;2,#REF!&lt;-2),"",#REF!)</f>
        <v>#REF!</v>
      </c>
      <c r="RE8" s="7" t="e">
        <f>IF(OR(#REF!&gt;2,#REF!&lt;-2),"",#REF!)</f>
        <v>#REF!</v>
      </c>
      <c r="RF8" s="7" t="e">
        <f>IF(OR(#REF!&gt;2,#REF!&lt;-2),"",#REF!)</f>
        <v>#REF!</v>
      </c>
      <c r="RG8" s="7" t="e">
        <f>IF(OR(#REF!&gt;2,#REF!&lt;-2),"",#REF!)</f>
        <v>#REF!</v>
      </c>
      <c r="RH8" s="7" t="e">
        <f>IF(OR(#REF!&gt;2,#REF!&lt;-2),"",#REF!)</f>
        <v>#REF!</v>
      </c>
      <c r="RI8" s="7" t="e">
        <f>IF(OR(#REF!&gt;2,#REF!&lt;-2),"",#REF!)</f>
        <v>#REF!</v>
      </c>
      <c r="RJ8" s="7" t="e">
        <f>IF(OR(#REF!&gt;2,#REF!&lt;-2),"",#REF!)</f>
        <v>#REF!</v>
      </c>
      <c r="RK8" s="7" t="e">
        <f>IF(OR(#REF!&gt;2,#REF!&lt;-2),"",#REF!)</f>
        <v>#REF!</v>
      </c>
      <c r="RL8" s="7" t="e">
        <f>IF(OR(#REF!&gt;2,#REF!&lt;-2),"",#REF!)</f>
        <v>#REF!</v>
      </c>
      <c r="RM8" s="7" t="e">
        <f>IF(OR(#REF!&gt;2,#REF!&lt;-2),"",#REF!)</f>
        <v>#REF!</v>
      </c>
      <c r="RN8" s="7" t="e">
        <f>IF(OR(#REF!&gt;2,#REF!&lt;-2),"",#REF!)</f>
        <v>#REF!</v>
      </c>
      <c r="RO8" s="7" t="e">
        <f>IF(OR(#REF!&gt;2,#REF!&lt;-2),"",#REF!)</f>
        <v>#REF!</v>
      </c>
      <c r="RP8" s="7" t="e">
        <f>IF(OR(#REF!&gt;2,#REF!&lt;-2),"",#REF!)</f>
        <v>#REF!</v>
      </c>
      <c r="RQ8" s="7" t="e">
        <f>IF(OR(#REF!&gt;2,#REF!&lt;-2),"",#REF!)</f>
        <v>#REF!</v>
      </c>
      <c r="RR8" s="7" t="e">
        <f>IF(OR(#REF!&gt;2,#REF!&lt;-2),"",#REF!)</f>
        <v>#REF!</v>
      </c>
      <c r="RS8" s="7" t="e">
        <f>IF(OR(#REF!&gt;2,#REF!&lt;-2),"",#REF!)</f>
        <v>#REF!</v>
      </c>
      <c r="RT8" s="7" t="e">
        <f>IF(OR(#REF!&gt;2,#REF!&lt;-2),"",#REF!)</f>
        <v>#REF!</v>
      </c>
      <c r="RU8" s="7" t="e">
        <f>IF(OR(#REF!&gt;2,#REF!&lt;-2),"",#REF!)</f>
        <v>#REF!</v>
      </c>
      <c r="RV8" s="7" t="e">
        <f>IF(OR(#REF!&gt;2,#REF!&lt;-2),"",#REF!)</f>
        <v>#REF!</v>
      </c>
      <c r="RW8" s="7" t="e">
        <f>IF(OR(#REF!&gt;2,#REF!&lt;-2),"",#REF!)</f>
        <v>#REF!</v>
      </c>
      <c r="RX8" s="7" t="e">
        <f>IF(OR(#REF!&gt;2,#REF!&lt;-2),"",#REF!)</f>
        <v>#REF!</v>
      </c>
      <c r="RY8" s="7" t="e">
        <f>IF(OR(#REF!&gt;2,#REF!&lt;-2),"",#REF!)</f>
        <v>#REF!</v>
      </c>
      <c r="RZ8" s="7" t="e">
        <f>IF(OR(#REF!&gt;2,#REF!&lt;-2),"",#REF!)</f>
        <v>#REF!</v>
      </c>
      <c r="SA8" s="7" t="e">
        <f>IF(OR(#REF!&gt;2,#REF!&lt;-2),"",#REF!)</f>
        <v>#REF!</v>
      </c>
      <c r="SB8" s="7" t="e">
        <f>IF(OR(#REF!&gt;2,#REF!&lt;-2),"",#REF!)</f>
        <v>#REF!</v>
      </c>
      <c r="SC8" s="7" t="e">
        <f>IF(OR(#REF!&gt;2,#REF!&lt;-2),"",#REF!)</f>
        <v>#REF!</v>
      </c>
      <c r="SD8" s="7" t="e">
        <f>IF(OR(#REF!&gt;2,#REF!&lt;-2),"",#REF!)</f>
        <v>#REF!</v>
      </c>
      <c r="SE8" s="7" t="e">
        <f>IF(OR(#REF!&gt;2,#REF!&lt;-2),"",#REF!)</f>
        <v>#REF!</v>
      </c>
      <c r="SF8" s="7" t="e">
        <f>IF(OR(#REF!&gt;2,#REF!&lt;-2),"",#REF!)</f>
        <v>#REF!</v>
      </c>
      <c r="SG8" s="7" t="e">
        <f>IF(OR(#REF!&gt;2,#REF!&lt;-2),"",#REF!)</f>
        <v>#REF!</v>
      </c>
      <c r="SH8" s="7" t="e">
        <f>IF(OR(#REF!&gt;2,#REF!&lt;-2),"",#REF!)</f>
        <v>#REF!</v>
      </c>
      <c r="SI8" s="7" t="e">
        <f>IF(OR(#REF!&gt;2,#REF!&lt;-2),"",#REF!)</f>
        <v>#REF!</v>
      </c>
      <c r="SJ8" s="7" t="e">
        <f>IF(OR(#REF!&gt;2,#REF!&lt;-2),"",#REF!)</f>
        <v>#REF!</v>
      </c>
      <c r="SK8" s="7" t="e">
        <f>IF(OR(#REF!&gt;2,#REF!&lt;-2),"",#REF!)</f>
        <v>#REF!</v>
      </c>
      <c r="SL8" s="7" t="e">
        <f>IF(OR(#REF!&gt;2,#REF!&lt;-2),"",#REF!)</f>
        <v>#REF!</v>
      </c>
      <c r="SM8" s="7" t="e">
        <f>IF(OR(#REF!&gt;2,#REF!&lt;-2),"",#REF!)</f>
        <v>#REF!</v>
      </c>
      <c r="SN8" s="7" t="e">
        <f>IF(OR(#REF!&gt;2,#REF!&lt;-2),"",#REF!)</f>
        <v>#REF!</v>
      </c>
      <c r="SO8" s="7" t="e">
        <f>IF(OR(#REF!&gt;2,#REF!&lt;-2),"",#REF!)</f>
        <v>#REF!</v>
      </c>
      <c r="SP8" s="7" t="e">
        <f>IF(OR(#REF!&gt;2,#REF!&lt;-2),"",#REF!)</f>
        <v>#REF!</v>
      </c>
      <c r="SQ8" s="7" t="e">
        <f>IF(OR(#REF!&gt;2,#REF!&lt;-2),"",#REF!)</f>
        <v>#REF!</v>
      </c>
      <c r="SR8" s="7" t="e">
        <f>IF(OR(#REF!&gt;2,#REF!&lt;-2),"",#REF!)</f>
        <v>#REF!</v>
      </c>
      <c r="SS8" s="7" t="e">
        <f>IF(OR(#REF!&gt;2,#REF!&lt;-2),"",#REF!)</f>
        <v>#REF!</v>
      </c>
      <c r="ST8" s="7" t="e">
        <f>IF(OR(#REF!&gt;2,#REF!&lt;-2),"",#REF!)</f>
        <v>#REF!</v>
      </c>
      <c r="SU8" s="7" t="e">
        <f>IF(OR(#REF!&gt;2,#REF!&lt;-2),"",#REF!)</f>
        <v>#REF!</v>
      </c>
      <c r="SV8" s="7" t="e">
        <f>IF(OR(#REF!&gt;2,#REF!&lt;-2),"",#REF!)</f>
        <v>#REF!</v>
      </c>
      <c r="SW8" s="7" t="e">
        <f>IF(OR(#REF!&gt;2,#REF!&lt;-2),"",#REF!)</f>
        <v>#REF!</v>
      </c>
      <c r="SX8" s="7" t="e">
        <f>IF(OR(#REF!&gt;2,#REF!&lt;-2),"",#REF!)</f>
        <v>#REF!</v>
      </c>
      <c r="SY8" s="7" t="e">
        <f>IF(OR(#REF!&gt;2,#REF!&lt;-2),"",#REF!)</f>
        <v>#REF!</v>
      </c>
      <c r="SZ8" s="7" t="e">
        <f>IF(OR(#REF!&gt;2,#REF!&lt;-2),"",#REF!)</f>
        <v>#REF!</v>
      </c>
      <c r="TA8" s="7" t="e">
        <f>IF(OR(#REF!&gt;2,#REF!&lt;-2),"",#REF!)</f>
        <v>#REF!</v>
      </c>
      <c r="TB8" s="7" t="e">
        <f>IF(OR(#REF!&gt;2,#REF!&lt;-2),"",#REF!)</f>
        <v>#REF!</v>
      </c>
      <c r="TC8" s="7" t="e">
        <f>IF(OR(#REF!&gt;2,#REF!&lt;-2),"",#REF!)</f>
        <v>#REF!</v>
      </c>
      <c r="TD8" s="7" t="e">
        <f>IF(OR(#REF!&gt;2,#REF!&lt;-2),"",#REF!)</f>
        <v>#REF!</v>
      </c>
      <c r="TE8" s="7" t="e">
        <f>IF(OR(#REF!&gt;2,#REF!&lt;-2),"",#REF!)</f>
        <v>#REF!</v>
      </c>
      <c r="TF8" s="7" t="e">
        <f>IF(OR(#REF!&gt;2,#REF!&lt;-2),"",#REF!)</f>
        <v>#REF!</v>
      </c>
      <c r="TG8" s="7" t="e">
        <f>IF(OR(#REF!&gt;2,#REF!&lt;-2),"",#REF!)</f>
        <v>#REF!</v>
      </c>
      <c r="TH8" s="7" t="e">
        <f>IF(OR(#REF!&gt;2,#REF!&lt;-2),"",#REF!)</f>
        <v>#REF!</v>
      </c>
      <c r="TI8" s="7" t="e">
        <f>IF(OR(#REF!&gt;2,#REF!&lt;-2),"",#REF!)</f>
        <v>#REF!</v>
      </c>
      <c r="TJ8" s="7" t="e">
        <f>IF(OR(#REF!&gt;2,#REF!&lt;-2),"",#REF!)</f>
        <v>#REF!</v>
      </c>
      <c r="TK8" s="7" t="e">
        <f>IF(OR(#REF!&gt;2,#REF!&lt;-2),"",#REF!)</f>
        <v>#REF!</v>
      </c>
      <c r="TL8" s="7" t="e">
        <f>IF(OR(#REF!&gt;2,#REF!&lt;-2),"",#REF!)</f>
        <v>#REF!</v>
      </c>
      <c r="TM8" s="7" t="e">
        <f>IF(OR(#REF!&gt;2,#REF!&lt;-2),"",#REF!)</f>
        <v>#REF!</v>
      </c>
      <c r="TN8" s="7" t="e">
        <f>IF(OR(#REF!&gt;2,#REF!&lt;-2),"",#REF!)</f>
        <v>#REF!</v>
      </c>
      <c r="TO8" s="7" t="e">
        <f>IF(OR(#REF!&gt;2,#REF!&lt;-2),"",#REF!)</f>
        <v>#REF!</v>
      </c>
      <c r="TP8" s="7" t="e">
        <f>IF(OR(#REF!&gt;2,#REF!&lt;-2),"",#REF!)</f>
        <v>#REF!</v>
      </c>
      <c r="TQ8" s="7" t="e">
        <f>IF(OR(#REF!&gt;2,#REF!&lt;-2),"",#REF!)</f>
        <v>#REF!</v>
      </c>
      <c r="TR8" s="7" t="e">
        <f>IF(OR(#REF!&gt;2,#REF!&lt;-2),"",#REF!)</f>
        <v>#REF!</v>
      </c>
      <c r="TS8" s="7" t="e">
        <f>IF(OR(#REF!&gt;2,#REF!&lt;-2),"",#REF!)</f>
        <v>#REF!</v>
      </c>
      <c r="TT8" s="7" t="e">
        <f>IF(OR(#REF!&gt;2,#REF!&lt;-2),"",#REF!)</f>
        <v>#REF!</v>
      </c>
      <c r="TU8" s="7" t="e">
        <f>IF(OR(#REF!&gt;2,#REF!&lt;-2),"",#REF!)</f>
        <v>#REF!</v>
      </c>
      <c r="TV8" s="7" t="e">
        <f>IF(OR(#REF!&gt;2,#REF!&lt;-2),"",#REF!)</f>
        <v>#REF!</v>
      </c>
      <c r="TW8" s="7" t="e">
        <f>IF(OR(#REF!&gt;2,#REF!&lt;-2),"",#REF!)</f>
        <v>#REF!</v>
      </c>
      <c r="TX8" s="7" t="e">
        <f>IF(OR(#REF!&gt;2,#REF!&lt;-2),"",#REF!)</f>
        <v>#REF!</v>
      </c>
      <c r="TY8" s="7" t="e">
        <f>IF(OR(#REF!&gt;2,#REF!&lt;-2),"",#REF!)</f>
        <v>#REF!</v>
      </c>
      <c r="TZ8" s="7" t="e">
        <f>IF(OR(#REF!&gt;2,#REF!&lt;-2),"",#REF!)</f>
        <v>#REF!</v>
      </c>
      <c r="UA8" s="7" t="e">
        <f>IF(OR(#REF!&gt;2,#REF!&lt;-2),"",#REF!)</f>
        <v>#REF!</v>
      </c>
      <c r="UB8" s="7" t="e">
        <f>IF(OR(#REF!&gt;2,#REF!&lt;-2),"",#REF!)</f>
        <v>#REF!</v>
      </c>
      <c r="UC8" s="7" t="e">
        <f>IF(OR(#REF!&gt;2,#REF!&lt;-2),"",#REF!)</f>
        <v>#REF!</v>
      </c>
      <c r="UD8" s="7" t="e">
        <f>IF(OR(#REF!&gt;2,#REF!&lt;-2),"",#REF!)</f>
        <v>#REF!</v>
      </c>
      <c r="UE8" s="7" t="e">
        <f>IF(OR(#REF!&gt;2,#REF!&lt;-2),"",#REF!)</f>
        <v>#REF!</v>
      </c>
      <c r="UF8" s="7" t="e">
        <f>IF(OR(#REF!&gt;2,#REF!&lt;-2),"",#REF!)</f>
        <v>#REF!</v>
      </c>
      <c r="UG8" s="7" t="e">
        <f>IF(OR(#REF!&gt;2,#REF!&lt;-2),"",#REF!)</f>
        <v>#REF!</v>
      </c>
      <c r="UH8" s="7" t="e">
        <f>IF(OR(#REF!&gt;2,#REF!&lt;-2),"",#REF!)</f>
        <v>#REF!</v>
      </c>
      <c r="UI8" s="7" t="e">
        <f>IF(OR(#REF!&gt;2,#REF!&lt;-2),"",#REF!)</f>
        <v>#REF!</v>
      </c>
      <c r="UJ8" s="7" t="e">
        <f>IF(OR(#REF!&gt;2,#REF!&lt;-2),"",#REF!)</f>
        <v>#REF!</v>
      </c>
      <c r="UK8" s="7" t="e">
        <f>IF(OR(#REF!&gt;2,#REF!&lt;-2),"",#REF!)</f>
        <v>#REF!</v>
      </c>
      <c r="UL8" s="7" t="e">
        <f>IF(OR(#REF!&gt;2,#REF!&lt;-2),"",#REF!)</f>
        <v>#REF!</v>
      </c>
      <c r="UM8" s="7" t="e">
        <f>IF(OR(#REF!&gt;2,#REF!&lt;-2),"",#REF!)</f>
        <v>#REF!</v>
      </c>
      <c r="UN8" s="7" t="e">
        <f>IF(OR(#REF!&gt;2,#REF!&lt;-2),"",#REF!)</f>
        <v>#REF!</v>
      </c>
      <c r="UO8" s="7" t="e">
        <f>IF(OR(#REF!&gt;2,#REF!&lt;-2),"",#REF!)</f>
        <v>#REF!</v>
      </c>
      <c r="UP8" s="7" t="e">
        <f>IF(OR(#REF!&gt;2,#REF!&lt;-2),"",#REF!)</f>
        <v>#REF!</v>
      </c>
    </row>
    <row r="9" spans="1:562" x14ac:dyDescent="0.35">
      <c r="A9">
        <v>171</v>
      </c>
      <c r="B9">
        <v>0</v>
      </c>
      <c r="C9" s="7" t="e">
        <f>IF(OR(#REF!&gt;2,#REF!&lt;-2),"",#REF!)</f>
        <v>#REF!</v>
      </c>
      <c r="D9" s="7" t="e">
        <f>IF(OR(#REF!&gt;2,#REF!&lt;-2),"",#REF!)</f>
        <v>#REF!</v>
      </c>
      <c r="E9" s="7" t="e">
        <f>IF(OR(#REF!&gt;2,#REF!&lt;-2),"",#REF!)</f>
        <v>#REF!</v>
      </c>
      <c r="F9" s="7" t="e">
        <f>IF(OR(#REF!&gt;2,#REF!&lt;-2),"",#REF!)</f>
        <v>#REF!</v>
      </c>
      <c r="G9" s="7" t="e">
        <f>IF(OR(#REF!&gt;2,#REF!&lt;-2),"",#REF!)</f>
        <v>#REF!</v>
      </c>
      <c r="H9" s="7" t="e">
        <f>IF(OR(#REF!&gt;2,#REF!&lt;-2),"",#REF!)</f>
        <v>#REF!</v>
      </c>
      <c r="I9" s="7" t="e">
        <f>IF(OR(#REF!&gt;2,#REF!&lt;-2),"",#REF!)</f>
        <v>#REF!</v>
      </c>
      <c r="J9" s="7" t="e">
        <f>IF(OR(#REF!&gt;2,#REF!&lt;-2),"",#REF!)</f>
        <v>#REF!</v>
      </c>
      <c r="K9" s="7" t="e">
        <f>IF(OR(#REF!&gt;2,#REF!&lt;-2),"",#REF!)</f>
        <v>#REF!</v>
      </c>
      <c r="L9" s="7" t="e">
        <f>IF(OR(#REF!&gt;2,#REF!&lt;-2),"",#REF!)</f>
        <v>#REF!</v>
      </c>
      <c r="M9" s="7" t="e">
        <f>IF(OR(#REF!&gt;2,#REF!&lt;-2),"",#REF!)</f>
        <v>#REF!</v>
      </c>
      <c r="N9" s="7" t="e">
        <f>IF(OR(#REF!&gt;2,#REF!&lt;-2),"",#REF!)</f>
        <v>#REF!</v>
      </c>
      <c r="O9" s="7" t="e">
        <f>IF(OR(#REF!&gt;2,#REF!&lt;-2),"",#REF!)</f>
        <v>#REF!</v>
      </c>
      <c r="P9" s="7" t="e">
        <f>IF(OR(#REF!&gt;2,#REF!&lt;-2),"",#REF!)</f>
        <v>#REF!</v>
      </c>
      <c r="Q9" s="7" t="e">
        <f>IF(OR(#REF!&gt;2,#REF!&lt;-2),"",#REF!)</f>
        <v>#REF!</v>
      </c>
      <c r="R9" s="7" t="e">
        <f>IF(OR(#REF!&gt;2,#REF!&lt;-2),"",#REF!)</f>
        <v>#REF!</v>
      </c>
      <c r="S9" s="7" t="e">
        <f>IF(OR(#REF!&gt;2,#REF!&lt;-2),"",#REF!)</f>
        <v>#REF!</v>
      </c>
      <c r="T9" s="7" t="e">
        <f>IF(OR(#REF!&gt;2,#REF!&lt;-2),"",#REF!)</f>
        <v>#REF!</v>
      </c>
      <c r="U9" s="7" t="e">
        <f>IF(OR(#REF!&gt;2,#REF!&lt;-2),"",#REF!)</f>
        <v>#REF!</v>
      </c>
      <c r="V9" s="7" t="e">
        <f>IF(OR(#REF!&gt;2,#REF!&lt;-2),"",#REF!)</f>
        <v>#REF!</v>
      </c>
      <c r="W9" s="7" t="e">
        <f>IF(OR(#REF!&gt;2,#REF!&lt;-2),"",#REF!)</f>
        <v>#REF!</v>
      </c>
      <c r="X9" s="7" t="e">
        <f>IF(OR(#REF!&gt;2,#REF!&lt;-2),"",#REF!)</f>
        <v>#REF!</v>
      </c>
      <c r="Y9" s="7" t="e">
        <f>IF(OR(#REF!&gt;2,#REF!&lt;-2),"",#REF!)</f>
        <v>#REF!</v>
      </c>
      <c r="Z9" s="7" t="e">
        <f>IF(OR(#REF!&gt;2,#REF!&lt;-2),"",#REF!)</f>
        <v>#REF!</v>
      </c>
      <c r="AA9" s="7" t="e">
        <f>IF(OR(#REF!&gt;2,#REF!&lt;-2),"",#REF!)</f>
        <v>#REF!</v>
      </c>
      <c r="AB9" s="7" t="e">
        <f>IF(OR(#REF!&gt;2,#REF!&lt;-2),"",#REF!)</f>
        <v>#REF!</v>
      </c>
      <c r="AC9" s="7" t="e">
        <f>IF(OR(#REF!&gt;2,#REF!&lt;-2),"",#REF!)</f>
        <v>#REF!</v>
      </c>
      <c r="AD9" s="7" t="e">
        <f>IF(OR(#REF!&gt;2,#REF!&lt;-2),"",#REF!)</f>
        <v>#REF!</v>
      </c>
      <c r="AE9" s="7" t="e">
        <f>IF(OR(#REF!&gt;2,#REF!&lt;-2),"",#REF!)</f>
        <v>#REF!</v>
      </c>
      <c r="AF9" s="7" t="e">
        <f>IF(OR(#REF!&gt;2,#REF!&lt;-2),"",#REF!)</f>
        <v>#REF!</v>
      </c>
      <c r="AG9" s="7" t="e">
        <f>IF(OR(#REF!&gt;2,#REF!&lt;-2),"",#REF!)</f>
        <v>#REF!</v>
      </c>
      <c r="AH9" s="7" t="e">
        <f>IF(OR(#REF!&gt;2,#REF!&lt;-2),"",#REF!)</f>
        <v>#REF!</v>
      </c>
      <c r="AI9" s="7" t="e">
        <f>IF(OR(#REF!&gt;2,#REF!&lt;-2),"",#REF!)</f>
        <v>#REF!</v>
      </c>
      <c r="AJ9" s="7" t="e">
        <f>IF(OR(#REF!&gt;2,#REF!&lt;-2),"",#REF!)</f>
        <v>#REF!</v>
      </c>
      <c r="AK9" s="7" t="e">
        <f>IF(OR(#REF!&gt;2,#REF!&lt;-2),"",#REF!)</f>
        <v>#REF!</v>
      </c>
      <c r="AL9" s="7" t="e">
        <f>IF(OR(#REF!&gt;2,#REF!&lt;-2),"",#REF!)</f>
        <v>#REF!</v>
      </c>
      <c r="AM9" s="7" t="e">
        <f>IF(OR(#REF!&gt;2,#REF!&lt;-2),"",#REF!)</f>
        <v>#REF!</v>
      </c>
      <c r="AN9" s="7" t="e">
        <f>IF(OR(#REF!&gt;2,#REF!&lt;-2),"",#REF!)</f>
        <v>#REF!</v>
      </c>
      <c r="AO9" s="7" t="e">
        <f>IF(OR(#REF!&gt;2,#REF!&lt;-2),"",#REF!)</f>
        <v>#REF!</v>
      </c>
      <c r="AP9" s="7" t="e">
        <f>IF(OR(#REF!&gt;2,#REF!&lt;-2),"",#REF!)</f>
        <v>#REF!</v>
      </c>
      <c r="AQ9" s="7" t="e">
        <f>IF(OR(#REF!&gt;2,#REF!&lt;-2),"",#REF!)</f>
        <v>#REF!</v>
      </c>
      <c r="AR9" s="7" t="e">
        <f>IF(OR(#REF!&gt;2,#REF!&lt;-2),"",#REF!)</f>
        <v>#REF!</v>
      </c>
      <c r="AS9" s="7" t="e">
        <f>IF(OR(#REF!&gt;2,#REF!&lt;-2),"",#REF!)</f>
        <v>#REF!</v>
      </c>
      <c r="AT9" s="7" t="e">
        <f>IF(OR(#REF!&gt;2,#REF!&lt;-2),"",#REF!)</f>
        <v>#REF!</v>
      </c>
      <c r="AU9" s="7" t="e">
        <f>IF(OR(#REF!&gt;2,#REF!&lt;-2),"",#REF!)</f>
        <v>#REF!</v>
      </c>
      <c r="AV9" s="7" t="e">
        <f>IF(OR(#REF!&gt;2,#REF!&lt;-2),"",#REF!)</f>
        <v>#REF!</v>
      </c>
      <c r="AW9" s="7" t="e">
        <f>IF(OR(#REF!&gt;2,#REF!&lt;-2),"",#REF!)</f>
        <v>#REF!</v>
      </c>
      <c r="AX9" s="7" t="e">
        <f>IF(OR(#REF!&gt;2,#REF!&lt;-2),"",#REF!)</f>
        <v>#REF!</v>
      </c>
      <c r="AY9" s="7" t="e">
        <f>IF(OR(#REF!&gt;2,#REF!&lt;-2),"",#REF!)</f>
        <v>#REF!</v>
      </c>
      <c r="AZ9" s="7" t="e">
        <f>IF(OR(#REF!&gt;2,#REF!&lt;-2),"",#REF!)</f>
        <v>#REF!</v>
      </c>
      <c r="BA9" s="7" t="e">
        <f>IF(OR(#REF!&gt;2,#REF!&lt;-2),"",#REF!)</f>
        <v>#REF!</v>
      </c>
      <c r="BB9" s="7" t="e">
        <f>IF(OR(#REF!&gt;2,#REF!&lt;-2),"",#REF!)</f>
        <v>#REF!</v>
      </c>
      <c r="BC9" s="7" t="e">
        <f>IF(OR(#REF!&gt;2,#REF!&lt;-2),"",#REF!)</f>
        <v>#REF!</v>
      </c>
      <c r="BD9" s="7" t="e">
        <f>IF(OR(#REF!&gt;2,#REF!&lt;-2),"",#REF!)</f>
        <v>#REF!</v>
      </c>
      <c r="BE9" s="7" t="e">
        <f>IF(OR(#REF!&gt;2,#REF!&lt;-2),"",#REF!)</f>
        <v>#REF!</v>
      </c>
      <c r="BF9" s="7" t="e">
        <f>IF(OR(#REF!&gt;2,#REF!&lt;-2),"",#REF!)</f>
        <v>#REF!</v>
      </c>
      <c r="BG9" s="7" t="e">
        <f>IF(OR(#REF!&gt;2,#REF!&lt;-2),"",#REF!)</f>
        <v>#REF!</v>
      </c>
      <c r="BH9" s="7" t="e">
        <f>IF(OR(#REF!&gt;2,#REF!&lt;-2),"",#REF!)</f>
        <v>#REF!</v>
      </c>
      <c r="BI9" s="7" t="e">
        <f>IF(OR(#REF!&gt;2,#REF!&lt;-2),"",#REF!)</f>
        <v>#REF!</v>
      </c>
      <c r="BJ9" s="7" t="e">
        <f>IF(OR(#REF!&gt;2,#REF!&lt;-2),"",#REF!)</f>
        <v>#REF!</v>
      </c>
      <c r="BK9" s="7" t="e">
        <f>IF(OR(#REF!&gt;2,#REF!&lt;-2),"",#REF!)</f>
        <v>#REF!</v>
      </c>
      <c r="BL9" s="7" t="e">
        <f>IF(OR(#REF!&gt;2,#REF!&lt;-2),"",#REF!)</f>
        <v>#REF!</v>
      </c>
      <c r="BM9" s="7" t="e">
        <f>IF(OR(#REF!&gt;2,#REF!&lt;-2),"",#REF!)</f>
        <v>#REF!</v>
      </c>
      <c r="BN9" s="7" t="e">
        <f>IF(OR(#REF!&gt;2,#REF!&lt;-2),"",#REF!)</f>
        <v>#REF!</v>
      </c>
      <c r="BO9" s="7" t="e">
        <f>IF(OR(#REF!&gt;2,#REF!&lt;-2),"",#REF!)</f>
        <v>#REF!</v>
      </c>
      <c r="BP9" s="7" t="e">
        <f>IF(OR(#REF!&gt;2,#REF!&lt;-2),"",#REF!)</f>
        <v>#REF!</v>
      </c>
      <c r="BQ9" s="7" t="e">
        <f>IF(OR(#REF!&gt;2,#REF!&lt;-2),"",#REF!)</f>
        <v>#REF!</v>
      </c>
      <c r="BR9" s="7" t="e">
        <f>IF(OR(#REF!&gt;2,#REF!&lt;-2),"",#REF!)</f>
        <v>#REF!</v>
      </c>
      <c r="BS9" s="7" t="e">
        <f>IF(OR(#REF!&gt;2,#REF!&lt;-2),"",#REF!)</f>
        <v>#REF!</v>
      </c>
      <c r="BT9" s="7" t="e">
        <f>IF(OR(#REF!&gt;2,#REF!&lt;-2),"",#REF!)</f>
        <v>#REF!</v>
      </c>
      <c r="BU9" s="7" t="e">
        <f>IF(OR(#REF!&gt;2,#REF!&lt;-2),"",#REF!)</f>
        <v>#REF!</v>
      </c>
      <c r="BV9" s="7" t="e">
        <f>IF(OR(#REF!&gt;2,#REF!&lt;-2),"",#REF!)</f>
        <v>#REF!</v>
      </c>
      <c r="BW9" s="7" t="e">
        <f>IF(OR(#REF!&gt;2,#REF!&lt;-2),"",#REF!)</f>
        <v>#REF!</v>
      </c>
      <c r="BX9" s="7" t="e">
        <f>IF(OR(#REF!&gt;2,#REF!&lt;-2),"",#REF!)</f>
        <v>#REF!</v>
      </c>
      <c r="BY9" s="7" t="e">
        <f>IF(OR(#REF!&gt;2,#REF!&lt;-2),"",#REF!)</f>
        <v>#REF!</v>
      </c>
      <c r="BZ9" s="7" t="e">
        <f>IF(OR(#REF!&gt;2,#REF!&lt;-2),"",#REF!)</f>
        <v>#REF!</v>
      </c>
      <c r="CA9" s="7" t="e">
        <f>IF(OR(#REF!&gt;2,#REF!&lt;-2),"",#REF!)</f>
        <v>#REF!</v>
      </c>
      <c r="CB9" s="7" t="e">
        <f>IF(OR(#REF!&gt;2,#REF!&lt;-2),"",#REF!)</f>
        <v>#REF!</v>
      </c>
      <c r="CC9" s="7" t="e">
        <f>IF(OR(#REF!&gt;2,#REF!&lt;-2),"",#REF!)</f>
        <v>#REF!</v>
      </c>
      <c r="CD9" s="7" t="e">
        <f>IF(OR(#REF!&gt;2,#REF!&lt;-2),"",#REF!)</f>
        <v>#REF!</v>
      </c>
      <c r="CE9" s="7" t="e">
        <f>IF(OR(#REF!&gt;2,#REF!&lt;-2),"",#REF!)</f>
        <v>#REF!</v>
      </c>
      <c r="CF9" s="7" t="e">
        <f>IF(OR(#REF!&gt;2,#REF!&lt;-2),"",#REF!)</f>
        <v>#REF!</v>
      </c>
      <c r="CG9" s="7" t="e">
        <f>IF(OR(#REF!&gt;2,#REF!&lt;-2),"",#REF!)</f>
        <v>#REF!</v>
      </c>
      <c r="CH9" s="7" t="e">
        <f>IF(OR(#REF!&gt;2,#REF!&lt;-2),"",#REF!)</f>
        <v>#REF!</v>
      </c>
      <c r="CI9" s="7" t="e">
        <f>IF(OR(#REF!&gt;2,#REF!&lt;-2),"",#REF!)</f>
        <v>#REF!</v>
      </c>
      <c r="CJ9" s="7" t="e">
        <f>IF(OR(#REF!&gt;2,#REF!&lt;-2),"",#REF!)</f>
        <v>#REF!</v>
      </c>
      <c r="CK9" s="7" t="e">
        <f>IF(OR(#REF!&gt;2,#REF!&lt;-2),"",#REF!)</f>
        <v>#REF!</v>
      </c>
      <c r="CL9" s="7" t="e">
        <f>IF(OR(#REF!&gt;2,#REF!&lt;-2),"",#REF!)</f>
        <v>#REF!</v>
      </c>
      <c r="CM9" s="7" t="e">
        <f>IF(OR(#REF!&gt;2,#REF!&lt;-2),"",#REF!)</f>
        <v>#REF!</v>
      </c>
      <c r="CN9" s="7" t="e">
        <f>IF(OR(#REF!&gt;2,#REF!&lt;-2),"",#REF!)</f>
        <v>#REF!</v>
      </c>
      <c r="CO9" s="7" t="e">
        <f>IF(OR(#REF!&gt;2,#REF!&lt;-2),"",#REF!)</f>
        <v>#REF!</v>
      </c>
      <c r="CP9" s="7" t="e">
        <f>IF(OR(#REF!&gt;2,#REF!&lt;-2),"",#REF!)</f>
        <v>#REF!</v>
      </c>
      <c r="CQ9" s="7" t="e">
        <f>IF(OR(#REF!&gt;2,#REF!&lt;-2),"",#REF!)</f>
        <v>#REF!</v>
      </c>
      <c r="CR9" s="7" t="e">
        <f>IF(OR(#REF!&gt;2,#REF!&lt;-2),"",#REF!)</f>
        <v>#REF!</v>
      </c>
      <c r="CS9" s="7" t="e">
        <f>IF(OR(#REF!&gt;2,#REF!&lt;-2),"",#REF!)</f>
        <v>#REF!</v>
      </c>
      <c r="CT9" s="7" t="e">
        <f>IF(OR(#REF!&gt;2,#REF!&lt;-2),"",#REF!)</f>
        <v>#REF!</v>
      </c>
      <c r="CU9" s="7" t="e">
        <f>IF(OR(#REF!&gt;2,#REF!&lt;-2),"",#REF!)</f>
        <v>#REF!</v>
      </c>
      <c r="CV9" s="7" t="e">
        <f>IF(OR(#REF!&gt;2,#REF!&lt;-2),"",#REF!)</f>
        <v>#REF!</v>
      </c>
      <c r="CW9" s="7" t="e">
        <f>IF(OR(#REF!&gt;2,#REF!&lt;-2),"",#REF!)</f>
        <v>#REF!</v>
      </c>
      <c r="CX9" s="7" t="e">
        <f>IF(OR(#REF!&gt;2,#REF!&lt;-2),"",#REF!)</f>
        <v>#REF!</v>
      </c>
      <c r="CY9" s="7" t="e">
        <f>IF(OR(#REF!&gt;2,#REF!&lt;-2),"",#REF!)</f>
        <v>#REF!</v>
      </c>
      <c r="CZ9" s="7" t="e">
        <f>IF(OR(#REF!&gt;2,#REF!&lt;-2),"",#REF!)</f>
        <v>#REF!</v>
      </c>
      <c r="DA9" s="7" t="e">
        <f>IF(OR(#REF!&gt;2,#REF!&lt;-2),"",#REF!)</f>
        <v>#REF!</v>
      </c>
      <c r="DB9" s="7" t="e">
        <f>IF(OR(#REF!&gt;2,#REF!&lt;-2),"",#REF!)</f>
        <v>#REF!</v>
      </c>
      <c r="DC9" s="7" t="e">
        <f>IF(OR(#REF!&gt;2,#REF!&lt;-2),"",#REF!)</f>
        <v>#REF!</v>
      </c>
      <c r="DD9" s="7" t="e">
        <f>IF(OR(#REF!&gt;2,#REF!&lt;-2),"",#REF!)</f>
        <v>#REF!</v>
      </c>
      <c r="DE9" s="7" t="e">
        <f>IF(OR(#REF!&gt;2,#REF!&lt;-2),"",#REF!)</f>
        <v>#REF!</v>
      </c>
      <c r="DF9" s="7" t="e">
        <f>IF(OR(#REF!&gt;2,#REF!&lt;-2),"",#REF!)</f>
        <v>#REF!</v>
      </c>
      <c r="DG9" s="7" t="e">
        <f>IF(OR(#REF!&gt;2,#REF!&lt;-2),"",#REF!)</f>
        <v>#REF!</v>
      </c>
      <c r="DH9" s="7" t="e">
        <f>IF(OR(#REF!&gt;2,#REF!&lt;-2),"",#REF!)</f>
        <v>#REF!</v>
      </c>
      <c r="DI9" s="7" t="e">
        <f>IF(OR(#REF!&gt;2,#REF!&lt;-2),"",#REF!)</f>
        <v>#REF!</v>
      </c>
      <c r="DJ9" s="7" t="e">
        <f>IF(OR(#REF!&gt;2,#REF!&lt;-2),"",#REF!)</f>
        <v>#REF!</v>
      </c>
      <c r="DK9" s="7" t="e">
        <f>IF(OR(#REF!&gt;2,#REF!&lt;-2),"",#REF!)</f>
        <v>#REF!</v>
      </c>
      <c r="DL9" s="7" t="e">
        <f>IF(OR(#REF!&gt;2,#REF!&lt;-2),"",#REF!)</f>
        <v>#REF!</v>
      </c>
      <c r="DM9" s="7" t="e">
        <f>IF(OR(#REF!&gt;2,#REF!&lt;-2),"",#REF!)</f>
        <v>#REF!</v>
      </c>
      <c r="DN9" s="7" t="e">
        <f>IF(OR(#REF!&gt;2,#REF!&lt;-2),"",#REF!)</f>
        <v>#REF!</v>
      </c>
      <c r="DO9" s="7" t="e">
        <f>IF(OR(#REF!&gt;2,#REF!&lt;-2),"",#REF!)</f>
        <v>#REF!</v>
      </c>
      <c r="DP9" s="7" t="e">
        <f>IF(OR(#REF!&gt;2,#REF!&lt;-2),"",#REF!)</f>
        <v>#REF!</v>
      </c>
      <c r="DQ9" s="7" t="e">
        <f>IF(OR(#REF!&gt;2,#REF!&lt;-2),"",#REF!)</f>
        <v>#REF!</v>
      </c>
      <c r="DR9" s="7" t="e">
        <f>IF(OR(#REF!&gt;2,#REF!&lt;-2),"",#REF!)</f>
        <v>#REF!</v>
      </c>
      <c r="DS9" s="7" t="e">
        <f>IF(OR(#REF!&gt;2,#REF!&lt;-2),"",#REF!)</f>
        <v>#REF!</v>
      </c>
      <c r="DT9" s="7" t="e">
        <f>IF(OR(#REF!&gt;2,#REF!&lt;-2),"",#REF!)</f>
        <v>#REF!</v>
      </c>
      <c r="DU9" s="7" t="e">
        <f>IF(OR(#REF!&gt;2,#REF!&lt;-2),"",#REF!)</f>
        <v>#REF!</v>
      </c>
      <c r="DV9" s="7" t="e">
        <f>IF(OR(#REF!&gt;2,#REF!&lt;-2),"",#REF!)</f>
        <v>#REF!</v>
      </c>
      <c r="DW9" s="7" t="e">
        <f>IF(OR(#REF!&gt;2,#REF!&lt;-2),"",#REF!)</f>
        <v>#REF!</v>
      </c>
      <c r="DX9" s="7" t="e">
        <f>IF(OR(#REF!&gt;2,#REF!&lt;-2),"",#REF!)</f>
        <v>#REF!</v>
      </c>
      <c r="DY9" s="7" t="e">
        <f>IF(OR(#REF!&gt;2,#REF!&lt;-2),"",#REF!)</f>
        <v>#REF!</v>
      </c>
      <c r="DZ9" s="7" t="e">
        <f>IF(OR(#REF!&gt;2,#REF!&lt;-2),"",#REF!)</f>
        <v>#REF!</v>
      </c>
      <c r="EA9" s="7" t="e">
        <f>IF(OR(#REF!&gt;2,#REF!&lt;-2),"",#REF!)</f>
        <v>#REF!</v>
      </c>
      <c r="EB9" s="7" t="e">
        <f>IF(OR(#REF!&gt;2,#REF!&lt;-2),"",#REF!)</f>
        <v>#REF!</v>
      </c>
      <c r="EC9" s="7" t="e">
        <f>IF(OR(#REF!&gt;2,#REF!&lt;-2),"",#REF!)</f>
        <v>#REF!</v>
      </c>
      <c r="ED9" s="7" t="e">
        <f>IF(OR(#REF!&gt;2,#REF!&lt;-2),"",#REF!)</f>
        <v>#REF!</v>
      </c>
      <c r="EE9" s="7" t="e">
        <f>IF(OR(#REF!&gt;2,#REF!&lt;-2),"",#REF!)</f>
        <v>#REF!</v>
      </c>
      <c r="EF9" s="7" t="e">
        <f>IF(OR(#REF!&gt;2,#REF!&lt;-2),"",#REF!)</f>
        <v>#REF!</v>
      </c>
      <c r="EG9" s="7" t="e">
        <f>IF(OR(#REF!&gt;2,#REF!&lt;-2),"",#REF!)</f>
        <v>#REF!</v>
      </c>
      <c r="EH9" s="7" t="e">
        <f>IF(OR(#REF!&gt;2,#REF!&lt;-2),"",#REF!)</f>
        <v>#REF!</v>
      </c>
      <c r="EI9" s="7" t="e">
        <f>IF(OR(#REF!&gt;2,#REF!&lt;-2),"",#REF!)</f>
        <v>#REF!</v>
      </c>
      <c r="EJ9" s="7" t="e">
        <f>IF(OR(#REF!&gt;2,#REF!&lt;-2),"",#REF!)</f>
        <v>#REF!</v>
      </c>
      <c r="EK9" s="7" t="e">
        <f>IF(OR(#REF!&gt;2,#REF!&lt;-2),"",#REF!)</f>
        <v>#REF!</v>
      </c>
      <c r="EL9" s="7" t="e">
        <f>IF(OR(#REF!&gt;2,#REF!&lt;-2),"",#REF!)</f>
        <v>#REF!</v>
      </c>
      <c r="EM9" s="7" t="e">
        <f>IF(OR(#REF!&gt;2,#REF!&lt;-2),"",#REF!)</f>
        <v>#REF!</v>
      </c>
      <c r="EN9" s="7" t="e">
        <f>IF(OR(#REF!&gt;2,#REF!&lt;-2),"",#REF!)</f>
        <v>#REF!</v>
      </c>
      <c r="EO9" s="7" t="e">
        <f>IF(OR(#REF!&gt;2,#REF!&lt;-2),"",#REF!)</f>
        <v>#REF!</v>
      </c>
      <c r="EP9" s="7" t="e">
        <f>IF(OR(#REF!&gt;2,#REF!&lt;-2),"",#REF!)</f>
        <v>#REF!</v>
      </c>
      <c r="EQ9" s="7" t="e">
        <f>IF(OR(#REF!&gt;2,#REF!&lt;-2),"",#REF!)</f>
        <v>#REF!</v>
      </c>
      <c r="ER9" s="7" t="e">
        <f>IF(OR(#REF!&gt;2,#REF!&lt;-2),"",#REF!)</f>
        <v>#REF!</v>
      </c>
      <c r="ES9" s="7" t="e">
        <f>IF(OR(#REF!&gt;2,#REF!&lt;-2),"",#REF!)</f>
        <v>#REF!</v>
      </c>
      <c r="ET9" s="7" t="e">
        <f>IF(OR(#REF!&gt;2,#REF!&lt;-2),"",#REF!)</f>
        <v>#REF!</v>
      </c>
      <c r="EU9" s="7" t="e">
        <f>IF(OR(#REF!&gt;2,#REF!&lt;-2),"",#REF!)</f>
        <v>#REF!</v>
      </c>
      <c r="EV9" s="7" t="e">
        <f>IF(OR(#REF!&gt;2,#REF!&lt;-2),"",#REF!)</f>
        <v>#REF!</v>
      </c>
      <c r="EW9" s="7" t="e">
        <f>IF(OR(#REF!&gt;2,#REF!&lt;-2),"",#REF!)</f>
        <v>#REF!</v>
      </c>
      <c r="EX9" s="7" t="e">
        <f>IF(OR(#REF!&gt;2,#REF!&lt;-2),"",#REF!)</f>
        <v>#REF!</v>
      </c>
      <c r="EY9" s="7" t="e">
        <f>IF(OR(#REF!&gt;2,#REF!&lt;-2),"",#REF!)</f>
        <v>#REF!</v>
      </c>
      <c r="EZ9" s="7" t="e">
        <f>IF(OR(#REF!&gt;2,#REF!&lt;-2),"",#REF!)</f>
        <v>#REF!</v>
      </c>
      <c r="FA9" s="7" t="e">
        <f>IF(OR(#REF!&gt;2,#REF!&lt;-2),"",#REF!)</f>
        <v>#REF!</v>
      </c>
      <c r="FB9" s="7" t="e">
        <f>IF(OR(#REF!&gt;2,#REF!&lt;-2),"",#REF!)</f>
        <v>#REF!</v>
      </c>
      <c r="FC9" s="7" t="e">
        <f>IF(OR(#REF!&gt;2,#REF!&lt;-2),"",#REF!)</f>
        <v>#REF!</v>
      </c>
      <c r="FD9" s="7" t="e">
        <f>IF(OR(#REF!&gt;2,#REF!&lt;-2),"",#REF!)</f>
        <v>#REF!</v>
      </c>
      <c r="FE9" s="7" t="e">
        <f>IF(OR(#REF!&gt;2,#REF!&lt;-2),"",#REF!)</f>
        <v>#REF!</v>
      </c>
      <c r="FF9" s="7" t="e">
        <f>IF(OR(#REF!&gt;2,#REF!&lt;-2),"",#REF!)</f>
        <v>#REF!</v>
      </c>
      <c r="FG9" s="7" t="e">
        <f>IF(OR(#REF!&gt;2,#REF!&lt;-2),"",#REF!)</f>
        <v>#REF!</v>
      </c>
      <c r="FH9" s="7" t="e">
        <f>IF(OR(#REF!&gt;2,#REF!&lt;-2),"",#REF!)</f>
        <v>#REF!</v>
      </c>
      <c r="FI9" s="7" t="e">
        <f>IF(OR(#REF!&gt;2,#REF!&lt;-2),"",#REF!)</f>
        <v>#REF!</v>
      </c>
      <c r="FJ9" s="7" t="e">
        <f>IF(OR(#REF!&gt;2,#REF!&lt;-2),"",#REF!)</f>
        <v>#REF!</v>
      </c>
      <c r="FK9" s="7" t="e">
        <f>IF(OR(#REF!&gt;2,#REF!&lt;-2),"",#REF!)</f>
        <v>#REF!</v>
      </c>
      <c r="FL9" s="7" t="e">
        <f>IF(OR(#REF!&gt;2,#REF!&lt;-2),"",#REF!)</f>
        <v>#REF!</v>
      </c>
      <c r="FM9" s="7" t="e">
        <f>IF(OR(#REF!&gt;2,#REF!&lt;-2),"",#REF!)</f>
        <v>#REF!</v>
      </c>
      <c r="FN9" s="7" t="e">
        <f>IF(OR(#REF!&gt;2,#REF!&lt;-2),"",#REF!)</f>
        <v>#REF!</v>
      </c>
      <c r="FO9" s="7" t="e">
        <f>IF(OR(#REF!&gt;2,#REF!&lt;-2),"",#REF!)</f>
        <v>#REF!</v>
      </c>
      <c r="FP9" s="7" t="e">
        <f>IF(OR(#REF!&gt;2,#REF!&lt;-2),"",#REF!)</f>
        <v>#REF!</v>
      </c>
      <c r="FQ9" s="7" t="e">
        <f>IF(OR(#REF!&gt;2,#REF!&lt;-2),"",#REF!)</f>
        <v>#REF!</v>
      </c>
      <c r="FR9" s="7" t="e">
        <f>IF(OR(#REF!&gt;2,#REF!&lt;-2),"",#REF!)</f>
        <v>#REF!</v>
      </c>
      <c r="FS9" s="7" t="e">
        <f>IF(OR(#REF!&gt;2,#REF!&lt;-2),"",#REF!)</f>
        <v>#REF!</v>
      </c>
      <c r="FT9" s="7" t="e">
        <f>IF(OR(#REF!&gt;2,#REF!&lt;-2),"",#REF!)</f>
        <v>#REF!</v>
      </c>
      <c r="FU9" s="7" t="e">
        <f>IF(OR(#REF!&gt;2,#REF!&lt;-2),"",#REF!)</f>
        <v>#REF!</v>
      </c>
      <c r="FV9" s="7" t="e">
        <f>IF(OR(#REF!&gt;2,#REF!&lt;-2),"",#REF!)</f>
        <v>#REF!</v>
      </c>
      <c r="FW9" s="7" t="e">
        <f>IF(OR(#REF!&gt;2,#REF!&lt;-2),"",#REF!)</f>
        <v>#REF!</v>
      </c>
      <c r="FX9" s="7" t="e">
        <f>IF(OR(#REF!&gt;2,#REF!&lt;-2),"",#REF!)</f>
        <v>#REF!</v>
      </c>
      <c r="FY9" s="7" t="e">
        <f>IF(OR(#REF!&gt;2,#REF!&lt;-2),"",#REF!)</f>
        <v>#REF!</v>
      </c>
      <c r="FZ9" s="7" t="e">
        <f>IF(OR(#REF!&gt;2,#REF!&lt;-2),"",#REF!)</f>
        <v>#REF!</v>
      </c>
      <c r="GA9" s="7" t="e">
        <f>IF(OR(#REF!&gt;2,#REF!&lt;-2),"",#REF!)</f>
        <v>#REF!</v>
      </c>
      <c r="GB9" s="7" t="e">
        <f>IF(OR(#REF!&gt;2,#REF!&lt;-2),"",#REF!)</f>
        <v>#REF!</v>
      </c>
      <c r="GC9" s="7" t="e">
        <f>IF(OR(#REF!&gt;2,#REF!&lt;-2),"",#REF!)</f>
        <v>#REF!</v>
      </c>
      <c r="GD9" s="7" t="e">
        <f>IF(OR(#REF!&gt;2,#REF!&lt;-2),"",#REF!)</f>
        <v>#REF!</v>
      </c>
      <c r="GE9" s="7" t="e">
        <f>IF(OR(#REF!&gt;2,#REF!&lt;-2),"",#REF!)</f>
        <v>#REF!</v>
      </c>
      <c r="GF9" s="7" t="e">
        <f>IF(OR(#REF!&gt;2,#REF!&lt;-2),"",#REF!)</f>
        <v>#REF!</v>
      </c>
      <c r="GG9" s="7" t="e">
        <f>IF(OR(#REF!&gt;2,#REF!&lt;-2),"",#REF!)</f>
        <v>#REF!</v>
      </c>
      <c r="GH9" s="7" t="e">
        <f>IF(OR(#REF!&gt;2,#REF!&lt;-2),"",#REF!)</f>
        <v>#REF!</v>
      </c>
      <c r="GI9" s="7" t="e">
        <f>IF(OR(#REF!&gt;2,#REF!&lt;-2),"",#REF!)</f>
        <v>#REF!</v>
      </c>
      <c r="GJ9" s="7" t="e">
        <f>IF(OR(#REF!&gt;2,#REF!&lt;-2),"",#REF!)</f>
        <v>#REF!</v>
      </c>
      <c r="GK9" s="7" t="e">
        <f>IF(OR(#REF!&gt;2,#REF!&lt;-2),"",#REF!)</f>
        <v>#REF!</v>
      </c>
      <c r="GL9" s="7" t="e">
        <f>IF(OR(#REF!&gt;2,#REF!&lt;-2),"",#REF!)</f>
        <v>#REF!</v>
      </c>
      <c r="GM9" s="7" t="e">
        <f>IF(OR(#REF!&gt;2,#REF!&lt;-2),"",#REF!)</f>
        <v>#REF!</v>
      </c>
      <c r="GN9" s="7" t="e">
        <f>IF(OR(#REF!&gt;2,#REF!&lt;-2),"",#REF!)</f>
        <v>#REF!</v>
      </c>
      <c r="GO9" s="7" t="e">
        <f>IF(OR(#REF!&gt;2,#REF!&lt;-2),"",#REF!)</f>
        <v>#REF!</v>
      </c>
      <c r="GP9" s="7" t="e">
        <f>IF(OR(#REF!&gt;2,#REF!&lt;-2),"",#REF!)</f>
        <v>#REF!</v>
      </c>
      <c r="GQ9" s="7" t="e">
        <f>IF(OR(#REF!&gt;2,#REF!&lt;-2),"",#REF!)</f>
        <v>#REF!</v>
      </c>
      <c r="GR9" s="7" t="e">
        <f>IF(OR(#REF!&gt;2,#REF!&lt;-2),"",#REF!)</f>
        <v>#REF!</v>
      </c>
      <c r="GS9" s="7" t="e">
        <f>IF(OR(#REF!&gt;2,#REF!&lt;-2),"",#REF!)</f>
        <v>#REF!</v>
      </c>
      <c r="GT9" s="7" t="e">
        <f>IF(OR(#REF!&gt;2,#REF!&lt;-2),"",#REF!)</f>
        <v>#REF!</v>
      </c>
      <c r="GU9" s="7" t="e">
        <f>IF(OR(#REF!&gt;2,#REF!&lt;-2),"",#REF!)</f>
        <v>#REF!</v>
      </c>
      <c r="GV9" s="7" t="e">
        <f>IF(OR(#REF!&gt;2,#REF!&lt;-2),"",#REF!)</f>
        <v>#REF!</v>
      </c>
      <c r="GW9" s="7" t="e">
        <f>IF(OR(#REF!&gt;2,#REF!&lt;-2),"",#REF!)</f>
        <v>#REF!</v>
      </c>
      <c r="GX9" s="7" t="e">
        <f>IF(OR(#REF!&gt;2,#REF!&lt;-2),"",#REF!)</f>
        <v>#REF!</v>
      </c>
      <c r="GY9" s="7" t="e">
        <f>IF(OR(#REF!&gt;2,#REF!&lt;-2),"",#REF!)</f>
        <v>#REF!</v>
      </c>
      <c r="GZ9" s="7" t="e">
        <f>IF(OR(#REF!&gt;2,#REF!&lt;-2),"",#REF!)</f>
        <v>#REF!</v>
      </c>
      <c r="HA9" s="7" t="e">
        <f>IF(OR(#REF!&gt;2,#REF!&lt;-2),"",#REF!)</f>
        <v>#REF!</v>
      </c>
      <c r="HB9" s="7" t="e">
        <f>IF(OR(#REF!&gt;2,#REF!&lt;-2),"",#REF!)</f>
        <v>#REF!</v>
      </c>
      <c r="HC9" s="7" t="e">
        <f>IF(OR(#REF!&gt;2,#REF!&lt;-2),"",#REF!)</f>
        <v>#REF!</v>
      </c>
      <c r="HD9" s="7" t="e">
        <f>IF(OR(#REF!&gt;2,#REF!&lt;-2),"",#REF!)</f>
        <v>#REF!</v>
      </c>
      <c r="HE9" s="7" t="e">
        <f>IF(OR(#REF!&gt;2,#REF!&lt;-2),"",#REF!)</f>
        <v>#REF!</v>
      </c>
      <c r="HF9" s="7" t="e">
        <f>IF(OR(#REF!&gt;2,#REF!&lt;-2),"",#REF!)</f>
        <v>#REF!</v>
      </c>
      <c r="HG9" s="7" t="e">
        <f>IF(OR(#REF!&gt;2,#REF!&lt;-2),"",#REF!)</f>
        <v>#REF!</v>
      </c>
      <c r="HH9" s="7" t="e">
        <f>IF(OR(#REF!&gt;2,#REF!&lt;-2),"",#REF!)</f>
        <v>#REF!</v>
      </c>
      <c r="HI9" s="7" t="e">
        <f>IF(OR(#REF!&gt;2,#REF!&lt;-2),"",#REF!)</f>
        <v>#REF!</v>
      </c>
      <c r="HJ9" s="7" t="e">
        <f>IF(OR(#REF!&gt;2,#REF!&lt;-2),"",#REF!)</f>
        <v>#REF!</v>
      </c>
      <c r="HK9" s="7" t="e">
        <f>IF(OR(#REF!&gt;2,#REF!&lt;-2),"",#REF!)</f>
        <v>#REF!</v>
      </c>
      <c r="HL9" s="7" t="e">
        <f>IF(OR(#REF!&gt;2,#REF!&lt;-2),"",#REF!)</f>
        <v>#REF!</v>
      </c>
      <c r="HM9" s="7" t="e">
        <f>IF(OR(#REF!&gt;2,#REF!&lt;-2),"",#REF!)</f>
        <v>#REF!</v>
      </c>
      <c r="HN9" s="7" t="e">
        <f>IF(OR(#REF!&gt;2,#REF!&lt;-2),"",#REF!)</f>
        <v>#REF!</v>
      </c>
      <c r="HO9" s="7" t="e">
        <f>IF(OR(#REF!&gt;2,#REF!&lt;-2),"",#REF!)</f>
        <v>#REF!</v>
      </c>
      <c r="HP9" s="7" t="e">
        <f>IF(OR(#REF!&gt;2,#REF!&lt;-2),"",#REF!)</f>
        <v>#REF!</v>
      </c>
      <c r="HQ9" s="7" t="e">
        <f>IF(OR(#REF!&gt;2,#REF!&lt;-2),"",#REF!)</f>
        <v>#REF!</v>
      </c>
      <c r="HR9" s="7" t="e">
        <f>IF(OR(#REF!&gt;2,#REF!&lt;-2),"",#REF!)</f>
        <v>#REF!</v>
      </c>
      <c r="HS9" s="7" t="e">
        <f>IF(OR(#REF!&gt;2,#REF!&lt;-2),"",#REF!)</f>
        <v>#REF!</v>
      </c>
      <c r="HT9" s="7" t="e">
        <f>IF(OR(#REF!&gt;2,#REF!&lt;-2),"",#REF!)</f>
        <v>#REF!</v>
      </c>
      <c r="HU9" s="7" t="e">
        <f>IF(OR(#REF!&gt;2,#REF!&lt;-2),"",#REF!)</f>
        <v>#REF!</v>
      </c>
      <c r="HV9" s="7" t="e">
        <f>IF(OR(#REF!&gt;2,#REF!&lt;-2),"",#REF!)</f>
        <v>#REF!</v>
      </c>
      <c r="HW9" s="7" t="e">
        <f>IF(OR(#REF!&gt;2,#REF!&lt;-2),"",#REF!)</f>
        <v>#REF!</v>
      </c>
      <c r="HX9" s="7" t="e">
        <f>IF(OR(#REF!&gt;2,#REF!&lt;-2),"",#REF!)</f>
        <v>#REF!</v>
      </c>
      <c r="HY9" s="7" t="e">
        <f>IF(OR(#REF!&gt;2,#REF!&lt;-2),"",#REF!)</f>
        <v>#REF!</v>
      </c>
      <c r="HZ9" s="7" t="e">
        <f>IF(OR(#REF!&gt;2,#REF!&lt;-2),"",#REF!)</f>
        <v>#REF!</v>
      </c>
      <c r="IA9" s="7" t="e">
        <f>IF(OR(#REF!&gt;2,#REF!&lt;-2),"",#REF!)</f>
        <v>#REF!</v>
      </c>
      <c r="IB9" s="7" t="e">
        <f>IF(OR(#REF!&gt;2,#REF!&lt;-2),"",#REF!)</f>
        <v>#REF!</v>
      </c>
      <c r="IC9" s="7" t="e">
        <f>IF(OR(#REF!&gt;2,#REF!&lt;-2),"",#REF!)</f>
        <v>#REF!</v>
      </c>
      <c r="ID9" s="7" t="e">
        <f>IF(OR(#REF!&gt;2,#REF!&lt;-2),"",#REF!)</f>
        <v>#REF!</v>
      </c>
      <c r="IE9" s="7" t="e">
        <f>IF(OR(#REF!&gt;2,#REF!&lt;-2),"",#REF!)</f>
        <v>#REF!</v>
      </c>
      <c r="IF9" s="7" t="e">
        <f>IF(OR(#REF!&gt;2,#REF!&lt;-2),"",#REF!)</f>
        <v>#REF!</v>
      </c>
      <c r="IG9" s="7" t="e">
        <f>IF(OR(#REF!&gt;2,#REF!&lt;-2),"",#REF!)</f>
        <v>#REF!</v>
      </c>
      <c r="IH9" s="7" t="e">
        <f>IF(OR(#REF!&gt;2,#REF!&lt;-2),"",#REF!)</f>
        <v>#REF!</v>
      </c>
      <c r="II9" s="7" t="e">
        <f>IF(OR(#REF!&gt;2,#REF!&lt;-2),"",#REF!)</f>
        <v>#REF!</v>
      </c>
      <c r="IJ9" s="7" t="e">
        <f>IF(OR(#REF!&gt;2,#REF!&lt;-2),"",#REF!)</f>
        <v>#REF!</v>
      </c>
      <c r="IK9" s="7" t="e">
        <f>IF(OR(#REF!&gt;2,#REF!&lt;-2),"",#REF!)</f>
        <v>#REF!</v>
      </c>
      <c r="IL9" s="7" t="e">
        <f>IF(OR(#REF!&gt;2,#REF!&lt;-2),"",#REF!)</f>
        <v>#REF!</v>
      </c>
      <c r="IM9" s="7" t="e">
        <f>IF(OR(#REF!&gt;2,#REF!&lt;-2),"",#REF!)</f>
        <v>#REF!</v>
      </c>
      <c r="IN9" s="7" t="e">
        <f>IF(OR(#REF!&gt;2,#REF!&lt;-2),"",#REF!)</f>
        <v>#REF!</v>
      </c>
      <c r="IO9" s="7" t="e">
        <f>IF(OR(#REF!&gt;2,#REF!&lt;-2),"",#REF!)</f>
        <v>#REF!</v>
      </c>
      <c r="IP9" s="7" t="e">
        <f>IF(OR(#REF!&gt;2,#REF!&lt;-2),"",#REF!)</f>
        <v>#REF!</v>
      </c>
      <c r="IQ9" s="7" t="e">
        <f>IF(OR(#REF!&gt;2,#REF!&lt;-2),"",#REF!)</f>
        <v>#REF!</v>
      </c>
      <c r="IR9" s="7" t="e">
        <f>IF(OR(#REF!&gt;2,#REF!&lt;-2),"",#REF!)</f>
        <v>#REF!</v>
      </c>
      <c r="IS9" s="7" t="e">
        <f>IF(OR(#REF!&gt;2,#REF!&lt;-2),"",#REF!)</f>
        <v>#REF!</v>
      </c>
      <c r="IT9" s="7" t="e">
        <f>IF(OR(#REF!&gt;2,#REF!&lt;-2),"",#REF!)</f>
        <v>#REF!</v>
      </c>
      <c r="IU9" s="7" t="e">
        <f>IF(OR(#REF!&gt;2,#REF!&lt;-2),"",#REF!)</f>
        <v>#REF!</v>
      </c>
      <c r="IV9" s="7" t="e">
        <f>IF(OR(#REF!&gt;2,#REF!&lt;-2),"",#REF!)</f>
        <v>#REF!</v>
      </c>
      <c r="IW9" s="7" t="e">
        <f>IF(OR(#REF!&gt;2,#REF!&lt;-2),"",#REF!)</f>
        <v>#REF!</v>
      </c>
      <c r="IX9" s="7" t="e">
        <f>IF(OR(#REF!&gt;2,#REF!&lt;-2),"",#REF!)</f>
        <v>#REF!</v>
      </c>
      <c r="IY9" s="7" t="e">
        <f>IF(OR(#REF!&gt;2,#REF!&lt;-2),"",#REF!)</f>
        <v>#REF!</v>
      </c>
      <c r="IZ9" s="7" t="e">
        <f>IF(OR(#REF!&gt;2,#REF!&lt;-2),"",#REF!)</f>
        <v>#REF!</v>
      </c>
      <c r="JA9" s="7" t="e">
        <f>IF(OR(#REF!&gt;2,#REF!&lt;-2),"",#REF!)</f>
        <v>#REF!</v>
      </c>
      <c r="JB9" s="7" t="e">
        <f>IF(OR(#REF!&gt;2,#REF!&lt;-2),"",#REF!)</f>
        <v>#REF!</v>
      </c>
      <c r="JC9" s="7" t="e">
        <f>IF(OR(#REF!&gt;2,#REF!&lt;-2),"",#REF!)</f>
        <v>#REF!</v>
      </c>
      <c r="JD9" s="7" t="e">
        <f>IF(OR(#REF!&gt;2,#REF!&lt;-2),"",#REF!)</f>
        <v>#REF!</v>
      </c>
      <c r="JE9" s="7" t="e">
        <f>IF(OR(#REF!&gt;2,#REF!&lt;-2),"",#REF!)</f>
        <v>#REF!</v>
      </c>
      <c r="JF9" s="7" t="e">
        <f>IF(OR(#REF!&gt;2,#REF!&lt;-2),"",#REF!)</f>
        <v>#REF!</v>
      </c>
      <c r="JG9" s="7" t="e">
        <f>IF(OR(#REF!&gt;2,#REF!&lt;-2),"",#REF!)</f>
        <v>#REF!</v>
      </c>
      <c r="JH9" s="7" t="e">
        <f>IF(OR(#REF!&gt;2,#REF!&lt;-2),"",#REF!)</f>
        <v>#REF!</v>
      </c>
      <c r="JI9" s="7" t="e">
        <f>IF(OR(#REF!&gt;2,#REF!&lt;-2),"",#REF!)</f>
        <v>#REF!</v>
      </c>
      <c r="JJ9" s="7" t="e">
        <f>IF(OR(#REF!&gt;2,#REF!&lt;-2),"",#REF!)</f>
        <v>#REF!</v>
      </c>
      <c r="JK9" s="7" t="e">
        <f>IF(OR(#REF!&gt;2,#REF!&lt;-2),"",#REF!)</f>
        <v>#REF!</v>
      </c>
      <c r="JL9" s="7" t="e">
        <f>IF(OR(#REF!&gt;2,#REF!&lt;-2),"",#REF!)</f>
        <v>#REF!</v>
      </c>
      <c r="JM9" s="7" t="e">
        <f>IF(OR(#REF!&gt;2,#REF!&lt;-2),"",#REF!)</f>
        <v>#REF!</v>
      </c>
      <c r="JN9" s="7" t="e">
        <f>IF(OR(#REF!&gt;2,#REF!&lt;-2),"",#REF!)</f>
        <v>#REF!</v>
      </c>
      <c r="JO9" s="7" t="e">
        <f>IF(OR(#REF!&gt;2,#REF!&lt;-2),"",#REF!)</f>
        <v>#REF!</v>
      </c>
      <c r="JP9" s="7" t="e">
        <f>IF(OR(#REF!&gt;2,#REF!&lt;-2),"",#REF!)</f>
        <v>#REF!</v>
      </c>
      <c r="JQ9" s="7" t="e">
        <f>IF(OR(#REF!&gt;2,#REF!&lt;-2),"",#REF!)</f>
        <v>#REF!</v>
      </c>
      <c r="JR9" s="7" t="e">
        <f>IF(OR(#REF!&gt;2,#REF!&lt;-2),"",#REF!)</f>
        <v>#REF!</v>
      </c>
      <c r="JS9" s="7" t="e">
        <f>IF(OR(#REF!&gt;2,#REF!&lt;-2),"",#REF!)</f>
        <v>#REF!</v>
      </c>
      <c r="JT9" s="7" t="e">
        <f>IF(OR(#REF!&gt;2,#REF!&lt;-2),"",#REF!)</f>
        <v>#REF!</v>
      </c>
      <c r="JU9" s="7" t="e">
        <f>IF(OR(#REF!&gt;2,#REF!&lt;-2),"",#REF!)</f>
        <v>#REF!</v>
      </c>
      <c r="JV9" s="7" t="e">
        <f>IF(OR(#REF!&gt;2,#REF!&lt;-2),"",#REF!)</f>
        <v>#REF!</v>
      </c>
      <c r="JW9" s="7" t="e">
        <f>IF(OR(#REF!&gt;2,#REF!&lt;-2),"",#REF!)</f>
        <v>#REF!</v>
      </c>
      <c r="JX9" s="7" t="e">
        <f>IF(OR(#REF!&gt;2,#REF!&lt;-2),"",#REF!)</f>
        <v>#REF!</v>
      </c>
      <c r="JY9" s="7" t="e">
        <f>IF(OR(#REF!&gt;2,#REF!&lt;-2),"",#REF!)</f>
        <v>#REF!</v>
      </c>
      <c r="JZ9" s="7" t="e">
        <f>IF(OR(#REF!&gt;2,#REF!&lt;-2),"",#REF!)</f>
        <v>#REF!</v>
      </c>
      <c r="KA9" s="7" t="e">
        <f>IF(OR(#REF!&gt;2,#REF!&lt;-2),"",#REF!)</f>
        <v>#REF!</v>
      </c>
      <c r="KB9" s="7" t="e">
        <f>IF(OR(#REF!&gt;2,#REF!&lt;-2),"",#REF!)</f>
        <v>#REF!</v>
      </c>
      <c r="KC9" s="7" t="e">
        <f>IF(OR(#REF!&gt;2,#REF!&lt;-2),"",#REF!)</f>
        <v>#REF!</v>
      </c>
      <c r="KD9" s="7" t="e">
        <f>IF(OR(#REF!&gt;2,#REF!&lt;-2),"",#REF!)</f>
        <v>#REF!</v>
      </c>
      <c r="KE9" s="7" t="e">
        <f>IF(OR(#REF!&gt;2,#REF!&lt;-2),"",#REF!)</f>
        <v>#REF!</v>
      </c>
      <c r="KF9" s="7" t="e">
        <f>IF(OR(#REF!&gt;2,#REF!&lt;-2),"",#REF!)</f>
        <v>#REF!</v>
      </c>
      <c r="KG9" s="7" t="e">
        <f>IF(OR(#REF!&gt;2,#REF!&lt;-2),"",#REF!)</f>
        <v>#REF!</v>
      </c>
      <c r="KH9" s="7" t="e">
        <f>IF(OR(#REF!&gt;2,#REF!&lt;-2),"",#REF!)</f>
        <v>#REF!</v>
      </c>
      <c r="KI9" s="7" t="e">
        <f>IF(OR(#REF!&gt;2,#REF!&lt;-2),"",#REF!)</f>
        <v>#REF!</v>
      </c>
      <c r="KJ9" s="7" t="e">
        <f>IF(OR(#REF!&gt;2,#REF!&lt;-2),"",#REF!)</f>
        <v>#REF!</v>
      </c>
      <c r="KK9" s="7" t="e">
        <f>IF(OR(#REF!&gt;2,#REF!&lt;-2),"",#REF!)</f>
        <v>#REF!</v>
      </c>
      <c r="KL9" s="7" t="e">
        <f>IF(OR(#REF!&gt;2,#REF!&lt;-2),"",#REF!)</f>
        <v>#REF!</v>
      </c>
      <c r="KM9" s="7" t="e">
        <f>IF(OR(#REF!&gt;2,#REF!&lt;-2),"",#REF!)</f>
        <v>#REF!</v>
      </c>
      <c r="KN9" s="7" t="e">
        <f>IF(OR(#REF!&gt;2,#REF!&lt;-2),"",#REF!)</f>
        <v>#REF!</v>
      </c>
      <c r="KO9" s="7" t="e">
        <f>IF(OR(#REF!&gt;2,#REF!&lt;-2),"",#REF!)</f>
        <v>#REF!</v>
      </c>
      <c r="KP9" s="7" t="e">
        <f>IF(OR(#REF!&gt;2,#REF!&lt;-2),"",#REF!)</f>
        <v>#REF!</v>
      </c>
      <c r="KQ9" s="7" t="e">
        <f>IF(OR(#REF!&gt;2,#REF!&lt;-2),"",#REF!)</f>
        <v>#REF!</v>
      </c>
      <c r="KR9" s="7" t="e">
        <f>IF(OR(#REF!&gt;2,#REF!&lt;-2),"",#REF!)</f>
        <v>#REF!</v>
      </c>
      <c r="KS9" s="7" t="e">
        <f>IF(OR(#REF!&gt;2,#REF!&lt;-2),"",#REF!)</f>
        <v>#REF!</v>
      </c>
      <c r="KT9" s="7" t="e">
        <f>IF(OR(#REF!&gt;2,#REF!&lt;-2),"",#REF!)</f>
        <v>#REF!</v>
      </c>
      <c r="KU9" s="7" t="e">
        <f>IF(OR(#REF!&gt;2,#REF!&lt;-2),"",#REF!)</f>
        <v>#REF!</v>
      </c>
      <c r="KV9" s="7" t="e">
        <f>IF(OR(#REF!&gt;2,#REF!&lt;-2),"",#REF!)</f>
        <v>#REF!</v>
      </c>
      <c r="KW9" s="7" t="e">
        <f>IF(OR(#REF!&gt;2,#REF!&lt;-2),"",#REF!)</f>
        <v>#REF!</v>
      </c>
      <c r="KX9" s="7" t="e">
        <f>IF(OR(#REF!&gt;2,#REF!&lt;-2),"",#REF!)</f>
        <v>#REF!</v>
      </c>
      <c r="KY9" s="7" t="e">
        <f>IF(OR(#REF!&gt;2,#REF!&lt;-2),"",#REF!)</f>
        <v>#REF!</v>
      </c>
      <c r="KZ9" s="7" t="e">
        <f>IF(OR(#REF!&gt;2,#REF!&lt;-2),"",#REF!)</f>
        <v>#REF!</v>
      </c>
      <c r="LA9" s="7" t="e">
        <f>IF(OR(#REF!&gt;2,#REF!&lt;-2),"",#REF!)</f>
        <v>#REF!</v>
      </c>
      <c r="LB9" s="7" t="e">
        <f>IF(OR(#REF!&gt;2,#REF!&lt;-2),"",#REF!)</f>
        <v>#REF!</v>
      </c>
      <c r="LC9" s="7" t="e">
        <f>IF(OR(#REF!&gt;2,#REF!&lt;-2),"",#REF!)</f>
        <v>#REF!</v>
      </c>
      <c r="LD9" s="7" t="e">
        <f>IF(OR(#REF!&gt;2,#REF!&lt;-2),"",#REF!)</f>
        <v>#REF!</v>
      </c>
      <c r="LE9" s="7" t="e">
        <f>IF(OR(#REF!&gt;2,#REF!&lt;-2),"",#REF!)</f>
        <v>#REF!</v>
      </c>
      <c r="LF9" s="7" t="e">
        <f>IF(OR(#REF!&gt;2,#REF!&lt;-2),"",#REF!)</f>
        <v>#REF!</v>
      </c>
      <c r="LG9" s="7" t="e">
        <f>IF(OR(#REF!&gt;2,#REF!&lt;-2),"",#REF!)</f>
        <v>#REF!</v>
      </c>
      <c r="LH9" s="7" t="e">
        <f>IF(OR(#REF!&gt;2,#REF!&lt;-2),"",#REF!)</f>
        <v>#REF!</v>
      </c>
      <c r="LI9" s="7" t="e">
        <f>IF(OR(#REF!&gt;2,#REF!&lt;-2),"",#REF!)</f>
        <v>#REF!</v>
      </c>
      <c r="LJ9" s="7" t="e">
        <f>IF(OR(#REF!&gt;2,#REF!&lt;-2),"",#REF!)</f>
        <v>#REF!</v>
      </c>
      <c r="LK9" s="7" t="e">
        <f>IF(OR(#REF!&gt;2,#REF!&lt;-2),"",#REF!)</f>
        <v>#REF!</v>
      </c>
      <c r="LL9" s="7" t="e">
        <f>IF(OR(#REF!&gt;2,#REF!&lt;-2),"",#REF!)</f>
        <v>#REF!</v>
      </c>
      <c r="LM9" s="7" t="e">
        <f>IF(OR(#REF!&gt;2,#REF!&lt;-2),"",#REF!)</f>
        <v>#REF!</v>
      </c>
      <c r="LN9" s="7" t="e">
        <f>IF(OR(#REF!&gt;2,#REF!&lt;-2),"",#REF!)</f>
        <v>#REF!</v>
      </c>
      <c r="LO9" s="7" t="e">
        <f>IF(OR(#REF!&gt;2,#REF!&lt;-2),"",#REF!)</f>
        <v>#REF!</v>
      </c>
      <c r="LP9" s="7" t="e">
        <f>IF(OR(#REF!&gt;2,#REF!&lt;-2),"",#REF!)</f>
        <v>#REF!</v>
      </c>
      <c r="LQ9" s="7" t="e">
        <f>IF(OR(#REF!&gt;2,#REF!&lt;-2),"",#REF!)</f>
        <v>#REF!</v>
      </c>
      <c r="LR9" s="7" t="e">
        <f>IF(OR(#REF!&gt;2,#REF!&lt;-2),"",#REF!)</f>
        <v>#REF!</v>
      </c>
      <c r="LS9" s="7" t="e">
        <f>IF(OR(#REF!&gt;2,#REF!&lt;-2),"",#REF!)</f>
        <v>#REF!</v>
      </c>
      <c r="LT9" s="7" t="e">
        <f>IF(OR(#REF!&gt;2,#REF!&lt;-2),"",#REF!)</f>
        <v>#REF!</v>
      </c>
      <c r="LU9" s="7" t="e">
        <f>IF(OR(#REF!&gt;2,#REF!&lt;-2),"",#REF!)</f>
        <v>#REF!</v>
      </c>
      <c r="LV9" s="7" t="e">
        <f>IF(OR(#REF!&gt;2,#REF!&lt;-2),"",#REF!)</f>
        <v>#REF!</v>
      </c>
      <c r="LW9" s="7" t="e">
        <f>IF(OR(#REF!&gt;2,#REF!&lt;-2),"",#REF!)</f>
        <v>#REF!</v>
      </c>
      <c r="LX9" s="7" t="e">
        <f>IF(OR(#REF!&gt;2,#REF!&lt;-2),"",#REF!)</f>
        <v>#REF!</v>
      </c>
      <c r="LY9" s="7" t="e">
        <f>IF(OR(#REF!&gt;2,#REF!&lt;-2),"",#REF!)</f>
        <v>#REF!</v>
      </c>
      <c r="LZ9" s="7" t="e">
        <f>IF(OR(#REF!&gt;2,#REF!&lt;-2),"",#REF!)</f>
        <v>#REF!</v>
      </c>
      <c r="MA9" s="7" t="e">
        <f>IF(OR(#REF!&gt;2,#REF!&lt;-2),"",#REF!)</f>
        <v>#REF!</v>
      </c>
      <c r="MB9" s="7" t="e">
        <f>IF(OR(#REF!&gt;2,#REF!&lt;-2),"",#REF!)</f>
        <v>#REF!</v>
      </c>
      <c r="MC9" s="7" t="e">
        <f>IF(OR(#REF!&gt;2,#REF!&lt;-2),"",#REF!)</f>
        <v>#REF!</v>
      </c>
      <c r="MD9" s="7" t="e">
        <f>IF(OR(#REF!&gt;2,#REF!&lt;-2),"",#REF!)</f>
        <v>#REF!</v>
      </c>
      <c r="ME9" s="7" t="e">
        <f>IF(OR(#REF!&gt;2,#REF!&lt;-2),"",#REF!)</f>
        <v>#REF!</v>
      </c>
      <c r="MF9" s="7" t="e">
        <f>IF(OR(#REF!&gt;2,#REF!&lt;-2),"",#REF!)</f>
        <v>#REF!</v>
      </c>
      <c r="MG9" s="7" t="e">
        <f>IF(OR(#REF!&gt;2,#REF!&lt;-2),"",#REF!)</f>
        <v>#REF!</v>
      </c>
      <c r="MH9" s="7" t="e">
        <f>IF(OR(#REF!&gt;2,#REF!&lt;-2),"",#REF!)</f>
        <v>#REF!</v>
      </c>
      <c r="MI9" s="7" t="e">
        <f>IF(OR(#REF!&gt;2,#REF!&lt;-2),"",#REF!)</f>
        <v>#REF!</v>
      </c>
      <c r="MJ9" s="7" t="e">
        <f>IF(OR(#REF!&gt;2,#REF!&lt;-2),"",#REF!)</f>
        <v>#REF!</v>
      </c>
      <c r="MK9" s="7" t="e">
        <f>IF(OR(#REF!&gt;2,#REF!&lt;-2),"",#REF!)</f>
        <v>#REF!</v>
      </c>
      <c r="ML9" s="7" t="e">
        <f>IF(OR(#REF!&gt;2,#REF!&lt;-2),"",#REF!)</f>
        <v>#REF!</v>
      </c>
      <c r="MM9" s="7" t="e">
        <f>IF(OR(#REF!&gt;2,#REF!&lt;-2),"",#REF!)</f>
        <v>#REF!</v>
      </c>
      <c r="MN9" s="7" t="e">
        <f>IF(OR(#REF!&gt;2,#REF!&lt;-2),"",#REF!)</f>
        <v>#REF!</v>
      </c>
      <c r="MO9" s="7" t="e">
        <f>IF(OR(#REF!&gt;2,#REF!&lt;-2),"",#REF!)</f>
        <v>#REF!</v>
      </c>
      <c r="MP9" s="7" t="e">
        <f>IF(OR(#REF!&gt;2,#REF!&lt;-2),"",#REF!)</f>
        <v>#REF!</v>
      </c>
      <c r="MQ9" s="7" t="e">
        <f>IF(OR(#REF!&gt;2,#REF!&lt;-2),"",#REF!)</f>
        <v>#REF!</v>
      </c>
      <c r="MR9" s="7" t="e">
        <f>IF(OR(#REF!&gt;2,#REF!&lt;-2),"",#REF!)</f>
        <v>#REF!</v>
      </c>
      <c r="MS9" s="7" t="e">
        <f>IF(OR(#REF!&gt;2,#REF!&lt;-2),"",#REF!)</f>
        <v>#REF!</v>
      </c>
      <c r="MT9" s="7" t="e">
        <f>IF(OR(#REF!&gt;2,#REF!&lt;-2),"",#REF!)</f>
        <v>#REF!</v>
      </c>
      <c r="MU9" s="7" t="e">
        <f>IF(OR(#REF!&gt;2,#REF!&lt;-2),"",#REF!)</f>
        <v>#REF!</v>
      </c>
      <c r="MV9" s="7" t="e">
        <f>IF(OR(#REF!&gt;2,#REF!&lt;-2),"",#REF!)</f>
        <v>#REF!</v>
      </c>
      <c r="MW9" s="7" t="e">
        <f>IF(OR(#REF!&gt;2,#REF!&lt;-2),"",#REF!)</f>
        <v>#REF!</v>
      </c>
      <c r="MX9" s="7" t="e">
        <f>IF(OR(#REF!&gt;2,#REF!&lt;-2),"",#REF!)</f>
        <v>#REF!</v>
      </c>
      <c r="MY9" s="7" t="e">
        <f>IF(OR(#REF!&gt;2,#REF!&lt;-2),"",#REF!)</f>
        <v>#REF!</v>
      </c>
      <c r="MZ9" s="7" t="e">
        <f>IF(OR(#REF!&gt;2,#REF!&lt;-2),"",#REF!)</f>
        <v>#REF!</v>
      </c>
      <c r="NA9" s="7" t="e">
        <f>IF(OR(#REF!&gt;2,#REF!&lt;-2),"",#REF!)</f>
        <v>#REF!</v>
      </c>
      <c r="NB9" s="7" t="e">
        <f>IF(OR(#REF!&gt;2,#REF!&lt;-2),"",#REF!)</f>
        <v>#REF!</v>
      </c>
      <c r="NC9" s="7" t="e">
        <f>IF(OR(#REF!&gt;2,#REF!&lt;-2),"",#REF!)</f>
        <v>#REF!</v>
      </c>
      <c r="ND9" s="7" t="e">
        <f>IF(OR(#REF!&gt;2,#REF!&lt;-2),"",#REF!)</f>
        <v>#REF!</v>
      </c>
      <c r="NE9" s="7" t="e">
        <f>IF(OR(#REF!&gt;2,#REF!&lt;-2),"",#REF!)</f>
        <v>#REF!</v>
      </c>
      <c r="NF9" s="7" t="e">
        <f>IF(OR(#REF!&gt;2,#REF!&lt;-2),"",#REF!)</f>
        <v>#REF!</v>
      </c>
      <c r="NG9" s="7" t="e">
        <f>IF(OR(#REF!&gt;2,#REF!&lt;-2),"",#REF!)</f>
        <v>#REF!</v>
      </c>
      <c r="NH9" s="7" t="e">
        <f>IF(OR(#REF!&gt;2,#REF!&lt;-2),"",#REF!)</f>
        <v>#REF!</v>
      </c>
      <c r="NI9" s="7" t="e">
        <f>IF(OR(#REF!&gt;2,#REF!&lt;-2),"",#REF!)</f>
        <v>#REF!</v>
      </c>
      <c r="NJ9" s="7" t="e">
        <f>IF(OR(#REF!&gt;2,#REF!&lt;-2),"",#REF!)</f>
        <v>#REF!</v>
      </c>
      <c r="NK9" s="7" t="e">
        <f>IF(OR(#REF!&gt;2,#REF!&lt;-2),"",#REF!)</f>
        <v>#REF!</v>
      </c>
      <c r="NL9" s="7" t="e">
        <f>IF(OR(#REF!&gt;2,#REF!&lt;-2),"",#REF!)</f>
        <v>#REF!</v>
      </c>
      <c r="NM9" s="7" t="e">
        <f>IF(OR(#REF!&gt;2,#REF!&lt;-2),"",#REF!)</f>
        <v>#REF!</v>
      </c>
      <c r="NN9" s="7" t="e">
        <f>IF(OR(#REF!&gt;2,#REF!&lt;-2),"",#REF!)</f>
        <v>#REF!</v>
      </c>
      <c r="NO9" s="7" t="e">
        <f>IF(OR(#REF!&gt;2,#REF!&lt;-2),"",#REF!)</f>
        <v>#REF!</v>
      </c>
      <c r="NP9" s="7" t="e">
        <f>IF(OR(#REF!&gt;2,#REF!&lt;-2),"",#REF!)</f>
        <v>#REF!</v>
      </c>
      <c r="NQ9" s="7" t="e">
        <f>IF(OR(#REF!&gt;2,#REF!&lt;-2),"",#REF!)</f>
        <v>#REF!</v>
      </c>
      <c r="NR9" s="7" t="e">
        <f>IF(OR(#REF!&gt;2,#REF!&lt;-2),"",#REF!)</f>
        <v>#REF!</v>
      </c>
      <c r="NS9" s="7" t="e">
        <f>IF(OR(#REF!&gt;2,#REF!&lt;-2),"",#REF!)</f>
        <v>#REF!</v>
      </c>
      <c r="NT9" s="7" t="e">
        <f>IF(OR(#REF!&gt;2,#REF!&lt;-2),"",#REF!)</f>
        <v>#REF!</v>
      </c>
      <c r="NU9" s="7" t="e">
        <f>IF(OR(#REF!&gt;2,#REF!&lt;-2),"",#REF!)</f>
        <v>#REF!</v>
      </c>
      <c r="NV9" s="7" t="e">
        <f>IF(OR(#REF!&gt;2,#REF!&lt;-2),"",#REF!)</f>
        <v>#REF!</v>
      </c>
      <c r="NW9" s="7" t="e">
        <f>IF(OR(#REF!&gt;2,#REF!&lt;-2),"",#REF!)</f>
        <v>#REF!</v>
      </c>
      <c r="NX9" s="7" t="e">
        <f>IF(OR(#REF!&gt;2,#REF!&lt;-2),"",#REF!)</f>
        <v>#REF!</v>
      </c>
      <c r="NY9" s="7" t="e">
        <f>IF(OR(#REF!&gt;2,#REF!&lt;-2),"",#REF!)</f>
        <v>#REF!</v>
      </c>
      <c r="NZ9" s="7" t="e">
        <f>IF(OR(#REF!&gt;2,#REF!&lt;-2),"",#REF!)</f>
        <v>#REF!</v>
      </c>
      <c r="OA9" s="7" t="e">
        <f>IF(OR(#REF!&gt;2,#REF!&lt;-2),"",#REF!)</f>
        <v>#REF!</v>
      </c>
      <c r="OB9" s="7" t="e">
        <f>IF(OR(#REF!&gt;2,#REF!&lt;-2),"",#REF!)</f>
        <v>#REF!</v>
      </c>
      <c r="OC9" s="7" t="e">
        <f>IF(OR(#REF!&gt;2,#REF!&lt;-2),"",#REF!)</f>
        <v>#REF!</v>
      </c>
      <c r="OD9" s="7" t="e">
        <f>IF(OR(#REF!&gt;2,#REF!&lt;-2),"",#REF!)</f>
        <v>#REF!</v>
      </c>
      <c r="OE9" s="7" t="e">
        <f>IF(OR(#REF!&gt;2,#REF!&lt;-2),"",#REF!)</f>
        <v>#REF!</v>
      </c>
      <c r="OF9" s="7" t="e">
        <f>IF(OR(#REF!&gt;2,#REF!&lt;-2),"",#REF!)</f>
        <v>#REF!</v>
      </c>
      <c r="OG9" s="7" t="e">
        <f>IF(OR(#REF!&gt;2,#REF!&lt;-2),"",#REF!)</f>
        <v>#REF!</v>
      </c>
      <c r="OH9" s="7" t="e">
        <f>IF(OR(#REF!&gt;2,#REF!&lt;-2),"",#REF!)</f>
        <v>#REF!</v>
      </c>
      <c r="OI9" s="7" t="e">
        <f>IF(OR(#REF!&gt;2,#REF!&lt;-2),"",#REF!)</f>
        <v>#REF!</v>
      </c>
      <c r="OJ9" s="7" t="e">
        <f>IF(OR(#REF!&gt;2,#REF!&lt;-2),"",#REF!)</f>
        <v>#REF!</v>
      </c>
      <c r="OK9" s="7" t="e">
        <f>IF(OR(#REF!&gt;2,#REF!&lt;-2),"",#REF!)</f>
        <v>#REF!</v>
      </c>
      <c r="OL9" s="7" t="e">
        <f>IF(OR(#REF!&gt;2,#REF!&lt;-2),"",#REF!)</f>
        <v>#REF!</v>
      </c>
      <c r="OM9" s="7" t="e">
        <f>IF(OR(#REF!&gt;2,#REF!&lt;-2),"",#REF!)</f>
        <v>#REF!</v>
      </c>
      <c r="ON9" s="7" t="e">
        <f>IF(OR(#REF!&gt;2,#REF!&lt;-2),"",#REF!)</f>
        <v>#REF!</v>
      </c>
      <c r="OO9" s="7" t="e">
        <f>IF(OR(#REF!&gt;2,#REF!&lt;-2),"",#REF!)</f>
        <v>#REF!</v>
      </c>
      <c r="OP9" s="7" t="e">
        <f>IF(OR(#REF!&gt;2,#REF!&lt;-2),"",#REF!)</f>
        <v>#REF!</v>
      </c>
      <c r="OQ9" s="7" t="e">
        <f>IF(OR(#REF!&gt;2,#REF!&lt;-2),"",#REF!)</f>
        <v>#REF!</v>
      </c>
      <c r="OR9" s="7" t="e">
        <f>IF(OR(#REF!&gt;2,#REF!&lt;-2),"",#REF!)</f>
        <v>#REF!</v>
      </c>
      <c r="OS9" s="7" t="e">
        <f>IF(OR(#REF!&gt;2,#REF!&lt;-2),"",#REF!)</f>
        <v>#REF!</v>
      </c>
      <c r="OT9" s="7" t="e">
        <f>IF(OR(#REF!&gt;2,#REF!&lt;-2),"",#REF!)</f>
        <v>#REF!</v>
      </c>
      <c r="OU9" s="7" t="e">
        <f>IF(OR(#REF!&gt;2,#REF!&lt;-2),"",#REF!)</f>
        <v>#REF!</v>
      </c>
      <c r="OV9" s="7" t="e">
        <f>IF(OR(#REF!&gt;2,#REF!&lt;-2),"",#REF!)</f>
        <v>#REF!</v>
      </c>
      <c r="OW9" s="7" t="e">
        <f>IF(OR(#REF!&gt;2,#REF!&lt;-2),"",#REF!)</f>
        <v>#REF!</v>
      </c>
      <c r="OX9" s="7" t="e">
        <f>IF(OR(#REF!&gt;2,#REF!&lt;-2),"",#REF!)</f>
        <v>#REF!</v>
      </c>
      <c r="OY9" s="7" t="e">
        <f>IF(OR(#REF!&gt;2,#REF!&lt;-2),"",#REF!)</f>
        <v>#REF!</v>
      </c>
      <c r="OZ9" s="7" t="e">
        <f>IF(OR(#REF!&gt;2,#REF!&lt;-2),"",#REF!)</f>
        <v>#REF!</v>
      </c>
      <c r="PA9" s="7" t="e">
        <f>IF(OR(#REF!&gt;2,#REF!&lt;-2),"",#REF!)</f>
        <v>#REF!</v>
      </c>
      <c r="PB9" s="7" t="e">
        <f>IF(OR(#REF!&gt;2,#REF!&lt;-2),"",#REF!)</f>
        <v>#REF!</v>
      </c>
      <c r="PC9" s="7" t="e">
        <f>IF(OR(#REF!&gt;2,#REF!&lt;-2),"",#REF!)</f>
        <v>#REF!</v>
      </c>
      <c r="PD9" s="7" t="e">
        <f>IF(OR(#REF!&gt;2,#REF!&lt;-2),"",#REF!)</f>
        <v>#REF!</v>
      </c>
      <c r="PE9" s="7" t="e">
        <f>IF(OR(#REF!&gt;2,#REF!&lt;-2),"",#REF!)</f>
        <v>#REF!</v>
      </c>
      <c r="PF9" s="7" t="e">
        <f>IF(OR(#REF!&gt;2,#REF!&lt;-2),"",#REF!)</f>
        <v>#REF!</v>
      </c>
      <c r="PG9" s="7" t="e">
        <f>IF(OR(#REF!&gt;2,#REF!&lt;-2),"",#REF!)</f>
        <v>#REF!</v>
      </c>
      <c r="PH9" s="7" t="e">
        <f>IF(OR(#REF!&gt;2,#REF!&lt;-2),"",#REF!)</f>
        <v>#REF!</v>
      </c>
      <c r="PI9" s="7" t="e">
        <f>IF(OR(#REF!&gt;2,#REF!&lt;-2),"",#REF!)</f>
        <v>#REF!</v>
      </c>
      <c r="PJ9" s="7" t="e">
        <f>IF(OR(#REF!&gt;2,#REF!&lt;-2),"",#REF!)</f>
        <v>#REF!</v>
      </c>
      <c r="PK9" s="7" t="e">
        <f>IF(OR(#REF!&gt;2,#REF!&lt;-2),"",#REF!)</f>
        <v>#REF!</v>
      </c>
      <c r="PL9" s="7" t="e">
        <f>IF(OR(#REF!&gt;2,#REF!&lt;-2),"",#REF!)</f>
        <v>#REF!</v>
      </c>
      <c r="PM9" s="7" t="e">
        <f>IF(OR(#REF!&gt;2,#REF!&lt;-2),"",#REF!)</f>
        <v>#REF!</v>
      </c>
      <c r="PN9" s="7" t="e">
        <f>IF(OR(#REF!&gt;2,#REF!&lt;-2),"",#REF!)</f>
        <v>#REF!</v>
      </c>
      <c r="PO9" s="7" t="e">
        <f>IF(OR(#REF!&gt;2,#REF!&lt;-2),"",#REF!)</f>
        <v>#REF!</v>
      </c>
      <c r="PP9" s="7" t="e">
        <f>IF(OR(#REF!&gt;2,#REF!&lt;-2),"",#REF!)</f>
        <v>#REF!</v>
      </c>
      <c r="PQ9" s="7" t="e">
        <f>IF(OR(#REF!&gt;2,#REF!&lt;-2),"",#REF!)</f>
        <v>#REF!</v>
      </c>
      <c r="PR9" s="7" t="e">
        <f>IF(OR(#REF!&gt;2,#REF!&lt;-2),"",#REF!)</f>
        <v>#REF!</v>
      </c>
      <c r="PS9" s="7" t="e">
        <f>IF(OR(#REF!&gt;2,#REF!&lt;-2),"",#REF!)</f>
        <v>#REF!</v>
      </c>
      <c r="PT9" s="7" t="e">
        <f>IF(OR(#REF!&gt;2,#REF!&lt;-2),"",#REF!)</f>
        <v>#REF!</v>
      </c>
      <c r="PU9" s="7" t="e">
        <f>IF(OR(#REF!&gt;2,#REF!&lt;-2),"",#REF!)</f>
        <v>#REF!</v>
      </c>
      <c r="PV9" s="7" t="e">
        <f>IF(OR(#REF!&gt;2,#REF!&lt;-2),"",#REF!)</f>
        <v>#REF!</v>
      </c>
      <c r="PW9" s="7" t="e">
        <f>IF(OR(#REF!&gt;2,#REF!&lt;-2),"",#REF!)</f>
        <v>#REF!</v>
      </c>
      <c r="PX9" s="7" t="e">
        <f>IF(OR(#REF!&gt;2,#REF!&lt;-2),"",#REF!)</f>
        <v>#REF!</v>
      </c>
      <c r="PY9" s="7" t="e">
        <f>IF(OR(#REF!&gt;2,#REF!&lt;-2),"",#REF!)</f>
        <v>#REF!</v>
      </c>
      <c r="PZ9" s="7" t="e">
        <f>IF(OR(#REF!&gt;2,#REF!&lt;-2),"",#REF!)</f>
        <v>#REF!</v>
      </c>
      <c r="QA9" s="7" t="e">
        <f>IF(OR(#REF!&gt;2,#REF!&lt;-2),"",#REF!)</f>
        <v>#REF!</v>
      </c>
      <c r="QB9" s="7" t="e">
        <f>IF(OR(#REF!&gt;2,#REF!&lt;-2),"",#REF!)</f>
        <v>#REF!</v>
      </c>
      <c r="QC9" s="7" t="e">
        <f>IF(OR(#REF!&gt;2,#REF!&lt;-2),"",#REF!)</f>
        <v>#REF!</v>
      </c>
      <c r="QD9" s="7" t="e">
        <f>IF(OR(#REF!&gt;2,#REF!&lt;-2),"",#REF!)</f>
        <v>#REF!</v>
      </c>
      <c r="QE9" s="7" t="e">
        <f>IF(OR(#REF!&gt;2,#REF!&lt;-2),"",#REF!)</f>
        <v>#REF!</v>
      </c>
      <c r="QF9" s="7" t="e">
        <f>IF(OR(#REF!&gt;2,#REF!&lt;-2),"",#REF!)</f>
        <v>#REF!</v>
      </c>
      <c r="QG9" s="7" t="e">
        <f>IF(OR(#REF!&gt;2,#REF!&lt;-2),"",#REF!)</f>
        <v>#REF!</v>
      </c>
      <c r="QH9" s="7" t="e">
        <f>IF(OR(#REF!&gt;2,#REF!&lt;-2),"",#REF!)</f>
        <v>#REF!</v>
      </c>
      <c r="QI9" s="7" t="e">
        <f>IF(OR(#REF!&gt;2,#REF!&lt;-2),"",#REF!)</f>
        <v>#REF!</v>
      </c>
      <c r="QJ9" s="7" t="e">
        <f>IF(OR(#REF!&gt;2,#REF!&lt;-2),"",#REF!)</f>
        <v>#REF!</v>
      </c>
      <c r="QK9" s="7" t="e">
        <f>IF(OR(#REF!&gt;2,#REF!&lt;-2),"",#REF!)</f>
        <v>#REF!</v>
      </c>
      <c r="QL9" s="7" t="e">
        <f>IF(OR(#REF!&gt;2,#REF!&lt;-2),"",#REF!)</f>
        <v>#REF!</v>
      </c>
      <c r="QM9" s="7" t="e">
        <f>IF(OR(#REF!&gt;2,#REF!&lt;-2),"",#REF!)</f>
        <v>#REF!</v>
      </c>
      <c r="QN9" s="7" t="e">
        <f>IF(OR(#REF!&gt;2,#REF!&lt;-2),"",#REF!)</f>
        <v>#REF!</v>
      </c>
      <c r="QO9" s="7" t="e">
        <f>IF(OR(#REF!&gt;2,#REF!&lt;-2),"",#REF!)</f>
        <v>#REF!</v>
      </c>
      <c r="QP9" s="7" t="e">
        <f>IF(OR(#REF!&gt;2,#REF!&lt;-2),"",#REF!)</f>
        <v>#REF!</v>
      </c>
      <c r="QQ9" s="7" t="e">
        <f>IF(OR(#REF!&gt;2,#REF!&lt;-2),"",#REF!)</f>
        <v>#REF!</v>
      </c>
      <c r="QR9" s="7" t="e">
        <f>IF(OR(#REF!&gt;2,#REF!&lt;-2),"",#REF!)</f>
        <v>#REF!</v>
      </c>
      <c r="QS9" s="7" t="e">
        <f>IF(OR(#REF!&gt;2,#REF!&lt;-2),"",#REF!)</f>
        <v>#REF!</v>
      </c>
      <c r="QT9" s="7" t="e">
        <f>IF(OR(#REF!&gt;2,#REF!&lt;-2),"",#REF!)</f>
        <v>#REF!</v>
      </c>
      <c r="QU9" s="7" t="e">
        <f>IF(OR(#REF!&gt;2,#REF!&lt;-2),"",#REF!)</f>
        <v>#REF!</v>
      </c>
      <c r="QV9" s="7" t="e">
        <f>IF(OR(#REF!&gt;2,#REF!&lt;-2),"",#REF!)</f>
        <v>#REF!</v>
      </c>
      <c r="QW9" s="7" t="e">
        <f>IF(OR(#REF!&gt;2,#REF!&lt;-2),"",#REF!)</f>
        <v>#REF!</v>
      </c>
      <c r="QX9" s="7" t="e">
        <f>IF(OR(#REF!&gt;2,#REF!&lt;-2),"",#REF!)</f>
        <v>#REF!</v>
      </c>
      <c r="QY9" s="7" t="e">
        <f>IF(OR(#REF!&gt;2,#REF!&lt;-2),"",#REF!)</f>
        <v>#REF!</v>
      </c>
      <c r="QZ9" s="7" t="e">
        <f>IF(OR(#REF!&gt;2,#REF!&lt;-2),"",#REF!)</f>
        <v>#REF!</v>
      </c>
      <c r="RA9" s="7" t="e">
        <f>IF(OR(#REF!&gt;2,#REF!&lt;-2),"",#REF!)</f>
        <v>#REF!</v>
      </c>
      <c r="RB9" s="7" t="e">
        <f>IF(OR(#REF!&gt;2,#REF!&lt;-2),"",#REF!)</f>
        <v>#REF!</v>
      </c>
      <c r="RC9" s="7" t="e">
        <f>IF(OR(#REF!&gt;2,#REF!&lt;-2),"",#REF!)</f>
        <v>#REF!</v>
      </c>
      <c r="RD9" s="7" t="e">
        <f>IF(OR(#REF!&gt;2,#REF!&lt;-2),"",#REF!)</f>
        <v>#REF!</v>
      </c>
      <c r="RE9" s="7" t="e">
        <f>IF(OR(#REF!&gt;2,#REF!&lt;-2),"",#REF!)</f>
        <v>#REF!</v>
      </c>
      <c r="RF9" s="7" t="e">
        <f>IF(OR(#REF!&gt;2,#REF!&lt;-2),"",#REF!)</f>
        <v>#REF!</v>
      </c>
      <c r="RG9" s="7" t="e">
        <f>IF(OR(#REF!&gt;2,#REF!&lt;-2),"",#REF!)</f>
        <v>#REF!</v>
      </c>
      <c r="RH9" s="7" t="e">
        <f>IF(OR(#REF!&gt;2,#REF!&lt;-2),"",#REF!)</f>
        <v>#REF!</v>
      </c>
      <c r="RI9" s="7" t="e">
        <f>IF(OR(#REF!&gt;2,#REF!&lt;-2),"",#REF!)</f>
        <v>#REF!</v>
      </c>
      <c r="RJ9" s="7" t="e">
        <f>IF(OR(#REF!&gt;2,#REF!&lt;-2),"",#REF!)</f>
        <v>#REF!</v>
      </c>
      <c r="RK9" s="7" t="e">
        <f>IF(OR(#REF!&gt;2,#REF!&lt;-2),"",#REF!)</f>
        <v>#REF!</v>
      </c>
      <c r="RL9" s="7" t="e">
        <f>IF(OR(#REF!&gt;2,#REF!&lt;-2),"",#REF!)</f>
        <v>#REF!</v>
      </c>
      <c r="RM9" s="7" t="e">
        <f>IF(OR(#REF!&gt;2,#REF!&lt;-2),"",#REF!)</f>
        <v>#REF!</v>
      </c>
      <c r="RN9" s="7" t="e">
        <f>IF(OR(#REF!&gt;2,#REF!&lt;-2),"",#REF!)</f>
        <v>#REF!</v>
      </c>
      <c r="RO9" s="7" t="e">
        <f>IF(OR(#REF!&gt;2,#REF!&lt;-2),"",#REF!)</f>
        <v>#REF!</v>
      </c>
      <c r="RP9" s="7" t="e">
        <f>IF(OR(#REF!&gt;2,#REF!&lt;-2),"",#REF!)</f>
        <v>#REF!</v>
      </c>
      <c r="RQ9" s="7" t="e">
        <f>IF(OR(#REF!&gt;2,#REF!&lt;-2),"",#REF!)</f>
        <v>#REF!</v>
      </c>
      <c r="RR9" s="7" t="e">
        <f>IF(OR(#REF!&gt;2,#REF!&lt;-2),"",#REF!)</f>
        <v>#REF!</v>
      </c>
      <c r="RS9" s="7" t="e">
        <f>IF(OR(#REF!&gt;2,#REF!&lt;-2),"",#REF!)</f>
        <v>#REF!</v>
      </c>
      <c r="RT9" s="7" t="e">
        <f>IF(OR(#REF!&gt;2,#REF!&lt;-2),"",#REF!)</f>
        <v>#REF!</v>
      </c>
      <c r="RU9" s="7" t="e">
        <f>IF(OR(#REF!&gt;2,#REF!&lt;-2),"",#REF!)</f>
        <v>#REF!</v>
      </c>
      <c r="RV9" s="7" t="e">
        <f>IF(OR(#REF!&gt;2,#REF!&lt;-2),"",#REF!)</f>
        <v>#REF!</v>
      </c>
      <c r="RW9" s="7" t="e">
        <f>IF(OR(#REF!&gt;2,#REF!&lt;-2),"",#REF!)</f>
        <v>#REF!</v>
      </c>
      <c r="RX9" s="7" t="e">
        <f>IF(OR(#REF!&gt;2,#REF!&lt;-2),"",#REF!)</f>
        <v>#REF!</v>
      </c>
      <c r="RY9" s="7" t="e">
        <f>IF(OR(#REF!&gt;2,#REF!&lt;-2),"",#REF!)</f>
        <v>#REF!</v>
      </c>
      <c r="RZ9" s="7" t="e">
        <f>IF(OR(#REF!&gt;2,#REF!&lt;-2),"",#REF!)</f>
        <v>#REF!</v>
      </c>
      <c r="SA9" s="7" t="e">
        <f>IF(OR(#REF!&gt;2,#REF!&lt;-2),"",#REF!)</f>
        <v>#REF!</v>
      </c>
      <c r="SB9" s="7" t="e">
        <f>IF(OR(#REF!&gt;2,#REF!&lt;-2),"",#REF!)</f>
        <v>#REF!</v>
      </c>
      <c r="SC9" s="7" t="e">
        <f>IF(OR(#REF!&gt;2,#REF!&lt;-2),"",#REF!)</f>
        <v>#REF!</v>
      </c>
      <c r="SD9" s="7" t="e">
        <f>IF(OR(#REF!&gt;2,#REF!&lt;-2),"",#REF!)</f>
        <v>#REF!</v>
      </c>
      <c r="SE9" s="7" t="e">
        <f>IF(OR(#REF!&gt;2,#REF!&lt;-2),"",#REF!)</f>
        <v>#REF!</v>
      </c>
      <c r="SF9" s="7" t="e">
        <f>IF(OR(#REF!&gt;2,#REF!&lt;-2),"",#REF!)</f>
        <v>#REF!</v>
      </c>
      <c r="SG9" s="7" t="e">
        <f>IF(OR(#REF!&gt;2,#REF!&lt;-2),"",#REF!)</f>
        <v>#REF!</v>
      </c>
      <c r="SH9" s="7" t="e">
        <f>IF(OR(#REF!&gt;2,#REF!&lt;-2),"",#REF!)</f>
        <v>#REF!</v>
      </c>
      <c r="SI9" s="7" t="e">
        <f>IF(OR(#REF!&gt;2,#REF!&lt;-2),"",#REF!)</f>
        <v>#REF!</v>
      </c>
      <c r="SJ9" s="7" t="e">
        <f>IF(OR(#REF!&gt;2,#REF!&lt;-2),"",#REF!)</f>
        <v>#REF!</v>
      </c>
      <c r="SK9" s="7" t="e">
        <f>IF(OR(#REF!&gt;2,#REF!&lt;-2),"",#REF!)</f>
        <v>#REF!</v>
      </c>
      <c r="SL9" s="7" t="e">
        <f>IF(OR(#REF!&gt;2,#REF!&lt;-2),"",#REF!)</f>
        <v>#REF!</v>
      </c>
      <c r="SM9" s="7" t="e">
        <f>IF(OR(#REF!&gt;2,#REF!&lt;-2),"",#REF!)</f>
        <v>#REF!</v>
      </c>
      <c r="SN9" s="7" t="e">
        <f>IF(OR(#REF!&gt;2,#REF!&lt;-2),"",#REF!)</f>
        <v>#REF!</v>
      </c>
      <c r="SO9" s="7" t="e">
        <f>IF(OR(#REF!&gt;2,#REF!&lt;-2),"",#REF!)</f>
        <v>#REF!</v>
      </c>
      <c r="SP9" s="7" t="e">
        <f>IF(OR(#REF!&gt;2,#REF!&lt;-2),"",#REF!)</f>
        <v>#REF!</v>
      </c>
      <c r="SQ9" s="7" t="e">
        <f>IF(OR(#REF!&gt;2,#REF!&lt;-2),"",#REF!)</f>
        <v>#REF!</v>
      </c>
      <c r="SR9" s="7" t="e">
        <f>IF(OR(#REF!&gt;2,#REF!&lt;-2),"",#REF!)</f>
        <v>#REF!</v>
      </c>
      <c r="SS9" s="7" t="e">
        <f>IF(OR(#REF!&gt;2,#REF!&lt;-2),"",#REF!)</f>
        <v>#REF!</v>
      </c>
      <c r="ST9" s="7" t="e">
        <f>IF(OR(#REF!&gt;2,#REF!&lt;-2),"",#REF!)</f>
        <v>#REF!</v>
      </c>
      <c r="SU9" s="7" t="e">
        <f>IF(OR(#REF!&gt;2,#REF!&lt;-2),"",#REF!)</f>
        <v>#REF!</v>
      </c>
      <c r="SV9" s="7" t="e">
        <f>IF(OR(#REF!&gt;2,#REF!&lt;-2),"",#REF!)</f>
        <v>#REF!</v>
      </c>
      <c r="SW9" s="7" t="e">
        <f>IF(OR(#REF!&gt;2,#REF!&lt;-2),"",#REF!)</f>
        <v>#REF!</v>
      </c>
      <c r="SX9" s="7" t="e">
        <f>IF(OR(#REF!&gt;2,#REF!&lt;-2),"",#REF!)</f>
        <v>#REF!</v>
      </c>
      <c r="SY9" s="7" t="e">
        <f>IF(OR(#REF!&gt;2,#REF!&lt;-2),"",#REF!)</f>
        <v>#REF!</v>
      </c>
      <c r="SZ9" s="7" t="e">
        <f>IF(OR(#REF!&gt;2,#REF!&lt;-2),"",#REF!)</f>
        <v>#REF!</v>
      </c>
      <c r="TA9" s="7" t="e">
        <f>IF(OR(#REF!&gt;2,#REF!&lt;-2),"",#REF!)</f>
        <v>#REF!</v>
      </c>
      <c r="TB9" s="7" t="e">
        <f>IF(OR(#REF!&gt;2,#REF!&lt;-2),"",#REF!)</f>
        <v>#REF!</v>
      </c>
      <c r="TC9" s="7" t="e">
        <f>IF(OR(#REF!&gt;2,#REF!&lt;-2),"",#REF!)</f>
        <v>#REF!</v>
      </c>
      <c r="TD9" s="7" t="e">
        <f>IF(OR(#REF!&gt;2,#REF!&lt;-2),"",#REF!)</f>
        <v>#REF!</v>
      </c>
      <c r="TE9" s="7" t="e">
        <f>IF(OR(#REF!&gt;2,#REF!&lt;-2),"",#REF!)</f>
        <v>#REF!</v>
      </c>
      <c r="TF9" s="7" t="e">
        <f>IF(OR(#REF!&gt;2,#REF!&lt;-2),"",#REF!)</f>
        <v>#REF!</v>
      </c>
      <c r="TG9" s="7" t="e">
        <f>IF(OR(#REF!&gt;2,#REF!&lt;-2),"",#REF!)</f>
        <v>#REF!</v>
      </c>
      <c r="TH9" s="7" t="e">
        <f>IF(OR(#REF!&gt;2,#REF!&lt;-2),"",#REF!)</f>
        <v>#REF!</v>
      </c>
      <c r="TI9" s="7" t="e">
        <f>IF(OR(#REF!&gt;2,#REF!&lt;-2),"",#REF!)</f>
        <v>#REF!</v>
      </c>
      <c r="TJ9" s="7" t="e">
        <f>IF(OR(#REF!&gt;2,#REF!&lt;-2),"",#REF!)</f>
        <v>#REF!</v>
      </c>
      <c r="TK9" s="7" t="e">
        <f>IF(OR(#REF!&gt;2,#REF!&lt;-2),"",#REF!)</f>
        <v>#REF!</v>
      </c>
      <c r="TL9" s="7" t="e">
        <f>IF(OR(#REF!&gt;2,#REF!&lt;-2),"",#REF!)</f>
        <v>#REF!</v>
      </c>
      <c r="TM9" s="7" t="e">
        <f>IF(OR(#REF!&gt;2,#REF!&lt;-2),"",#REF!)</f>
        <v>#REF!</v>
      </c>
      <c r="TN9" s="7" t="e">
        <f>IF(OR(#REF!&gt;2,#REF!&lt;-2),"",#REF!)</f>
        <v>#REF!</v>
      </c>
      <c r="TO9" s="7" t="e">
        <f>IF(OR(#REF!&gt;2,#REF!&lt;-2),"",#REF!)</f>
        <v>#REF!</v>
      </c>
      <c r="TP9" s="7" t="e">
        <f>IF(OR(#REF!&gt;2,#REF!&lt;-2),"",#REF!)</f>
        <v>#REF!</v>
      </c>
      <c r="TQ9" s="7" t="e">
        <f>IF(OR(#REF!&gt;2,#REF!&lt;-2),"",#REF!)</f>
        <v>#REF!</v>
      </c>
      <c r="TR9" s="7" t="e">
        <f>IF(OR(#REF!&gt;2,#REF!&lt;-2),"",#REF!)</f>
        <v>#REF!</v>
      </c>
      <c r="TS9" s="7" t="e">
        <f>IF(OR(#REF!&gt;2,#REF!&lt;-2),"",#REF!)</f>
        <v>#REF!</v>
      </c>
      <c r="TT9" s="7" t="e">
        <f>IF(OR(#REF!&gt;2,#REF!&lt;-2),"",#REF!)</f>
        <v>#REF!</v>
      </c>
      <c r="TU9" s="7" t="e">
        <f>IF(OR(#REF!&gt;2,#REF!&lt;-2),"",#REF!)</f>
        <v>#REF!</v>
      </c>
      <c r="TV9" s="7" t="e">
        <f>IF(OR(#REF!&gt;2,#REF!&lt;-2),"",#REF!)</f>
        <v>#REF!</v>
      </c>
      <c r="TW9" s="7" t="e">
        <f>IF(OR(#REF!&gt;2,#REF!&lt;-2),"",#REF!)</f>
        <v>#REF!</v>
      </c>
      <c r="TX9" s="7" t="e">
        <f>IF(OR(#REF!&gt;2,#REF!&lt;-2),"",#REF!)</f>
        <v>#REF!</v>
      </c>
      <c r="TY9" s="7" t="e">
        <f>IF(OR(#REF!&gt;2,#REF!&lt;-2),"",#REF!)</f>
        <v>#REF!</v>
      </c>
      <c r="TZ9" s="7" t="e">
        <f>IF(OR(#REF!&gt;2,#REF!&lt;-2),"",#REF!)</f>
        <v>#REF!</v>
      </c>
      <c r="UA9" s="7" t="e">
        <f>IF(OR(#REF!&gt;2,#REF!&lt;-2),"",#REF!)</f>
        <v>#REF!</v>
      </c>
      <c r="UB9" s="7" t="e">
        <f>IF(OR(#REF!&gt;2,#REF!&lt;-2),"",#REF!)</f>
        <v>#REF!</v>
      </c>
      <c r="UC9" s="7" t="e">
        <f>IF(OR(#REF!&gt;2,#REF!&lt;-2),"",#REF!)</f>
        <v>#REF!</v>
      </c>
      <c r="UD9" s="7" t="e">
        <f>IF(OR(#REF!&gt;2,#REF!&lt;-2),"",#REF!)</f>
        <v>#REF!</v>
      </c>
      <c r="UE9" s="7" t="e">
        <f>IF(OR(#REF!&gt;2,#REF!&lt;-2),"",#REF!)</f>
        <v>#REF!</v>
      </c>
      <c r="UF9" s="7" t="e">
        <f>IF(OR(#REF!&gt;2,#REF!&lt;-2),"",#REF!)</f>
        <v>#REF!</v>
      </c>
      <c r="UG9" s="7" t="e">
        <f>IF(OR(#REF!&gt;2,#REF!&lt;-2),"",#REF!)</f>
        <v>#REF!</v>
      </c>
      <c r="UH9" s="7" t="e">
        <f>IF(OR(#REF!&gt;2,#REF!&lt;-2),"",#REF!)</f>
        <v>#REF!</v>
      </c>
      <c r="UI9" s="7" t="e">
        <f>IF(OR(#REF!&gt;2,#REF!&lt;-2),"",#REF!)</f>
        <v>#REF!</v>
      </c>
      <c r="UJ9" s="7" t="e">
        <f>IF(OR(#REF!&gt;2,#REF!&lt;-2),"",#REF!)</f>
        <v>#REF!</v>
      </c>
      <c r="UK9" s="7" t="e">
        <f>IF(OR(#REF!&gt;2,#REF!&lt;-2),"",#REF!)</f>
        <v>#REF!</v>
      </c>
      <c r="UL9" s="7" t="e">
        <f>IF(OR(#REF!&gt;2,#REF!&lt;-2),"",#REF!)</f>
        <v>#REF!</v>
      </c>
      <c r="UM9" s="7" t="e">
        <f>IF(OR(#REF!&gt;2,#REF!&lt;-2),"",#REF!)</f>
        <v>#REF!</v>
      </c>
      <c r="UN9" s="7" t="e">
        <f>IF(OR(#REF!&gt;2,#REF!&lt;-2),"",#REF!)</f>
        <v>#REF!</v>
      </c>
      <c r="UO9" s="7" t="e">
        <f>IF(OR(#REF!&gt;2,#REF!&lt;-2),"",#REF!)</f>
        <v>#REF!</v>
      </c>
      <c r="UP9" s="7" t="e">
        <f>IF(OR(#REF!&gt;2,#REF!&lt;-2),"",#REF!)</f>
        <v>#REF!</v>
      </c>
    </row>
    <row r="10" spans="1:562" x14ac:dyDescent="0.35">
      <c r="A10">
        <v>175</v>
      </c>
      <c r="B10">
        <v>0</v>
      </c>
      <c r="C10" s="7" t="e">
        <f>IF(OR(#REF!&gt;2,#REF!&lt;-2),"",#REF!)</f>
        <v>#REF!</v>
      </c>
      <c r="D10" s="7" t="e">
        <f>IF(OR(#REF!&gt;2,#REF!&lt;-2),"",#REF!)</f>
        <v>#REF!</v>
      </c>
      <c r="E10" s="7" t="e">
        <f>IF(OR(#REF!&gt;2,#REF!&lt;-2),"",#REF!)</f>
        <v>#REF!</v>
      </c>
      <c r="F10" s="7" t="e">
        <f>IF(OR(#REF!&gt;2,#REF!&lt;-2),"",#REF!)</f>
        <v>#REF!</v>
      </c>
      <c r="G10" s="7" t="e">
        <f>IF(OR(#REF!&gt;2,#REF!&lt;-2),"",#REF!)</f>
        <v>#REF!</v>
      </c>
      <c r="H10" s="7" t="e">
        <f>IF(OR(#REF!&gt;2,#REF!&lt;-2),"",#REF!)</f>
        <v>#REF!</v>
      </c>
      <c r="I10" s="7" t="e">
        <f>IF(OR(#REF!&gt;2,#REF!&lt;-2),"",#REF!)</f>
        <v>#REF!</v>
      </c>
      <c r="J10" s="7" t="e">
        <f>IF(OR(#REF!&gt;2,#REF!&lt;-2),"",#REF!)</f>
        <v>#REF!</v>
      </c>
      <c r="K10" s="7" t="e">
        <f>IF(OR(#REF!&gt;2,#REF!&lt;-2),"",#REF!)</f>
        <v>#REF!</v>
      </c>
      <c r="L10" s="7" t="e">
        <f>IF(OR(#REF!&gt;2,#REF!&lt;-2),"",#REF!)</f>
        <v>#REF!</v>
      </c>
      <c r="M10" s="7" t="e">
        <f>IF(OR(#REF!&gt;2,#REF!&lt;-2),"",#REF!)</f>
        <v>#REF!</v>
      </c>
      <c r="N10" s="7" t="e">
        <f>IF(OR(#REF!&gt;2,#REF!&lt;-2),"",#REF!)</f>
        <v>#REF!</v>
      </c>
      <c r="O10" s="7" t="e">
        <f>IF(OR(#REF!&gt;2,#REF!&lt;-2),"",#REF!)</f>
        <v>#REF!</v>
      </c>
      <c r="P10" s="7" t="e">
        <f>IF(OR(#REF!&gt;2,#REF!&lt;-2),"",#REF!)</f>
        <v>#REF!</v>
      </c>
      <c r="Q10" s="7" t="e">
        <f>IF(OR(#REF!&gt;2,#REF!&lt;-2),"",#REF!)</f>
        <v>#REF!</v>
      </c>
      <c r="R10" s="7" t="e">
        <f>IF(OR(#REF!&gt;2,#REF!&lt;-2),"",#REF!)</f>
        <v>#REF!</v>
      </c>
      <c r="S10" s="7" t="e">
        <f>IF(OR(#REF!&gt;2,#REF!&lt;-2),"",#REF!)</f>
        <v>#REF!</v>
      </c>
      <c r="T10" s="7" t="e">
        <f>IF(OR(#REF!&gt;2,#REF!&lt;-2),"",#REF!)</f>
        <v>#REF!</v>
      </c>
      <c r="U10" s="7" t="e">
        <f>IF(OR(#REF!&gt;2,#REF!&lt;-2),"",#REF!)</f>
        <v>#REF!</v>
      </c>
      <c r="V10" s="7" t="e">
        <f>IF(OR(#REF!&gt;2,#REF!&lt;-2),"",#REF!)</f>
        <v>#REF!</v>
      </c>
      <c r="W10" s="7" t="e">
        <f>IF(OR(#REF!&gt;2,#REF!&lt;-2),"",#REF!)</f>
        <v>#REF!</v>
      </c>
      <c r="X10" s="7" t="e">
        <f>IF(OR(#REF!&gt;2,#REF!&lt;-2),"",#REF!)</f>
        <v>#REF!</v>
      </c>
      <c r="Y10" s="7" t="e">
        <f>IF(OR(#REF!&gt;2,#REF!&lt;-2),"",#REF!)</f>
        <v>#REF!</v>
      </c>
      <c r="Z10" s="7" t="e">
        <f>IF(OR(#REF!&gt;2,#REF!&lt;-2),"",#REF!)</f>
        <v>#REF!</v>
      </c>
      <c r="AA10" s="7" t="e">
        <f>IF(OR(#REF!&gt;2,#REF!&lt;-2),"",#REF!)</f>
        <v>#REF!</v>
      </c>
      <c r="AB10" s="7" t="e">
        <f>IF(OR(#REF!&gt;2,#REF!&lt;-2),"",#REF!)</f>
        <v>#REF!</v>
      </c>
      <c r="AC10" s="7" t="e">
        <f>IF(OR(#REF!&gt;2,#REF!&lt;-2),"",#REF!)</f>
        <v>#REF!</v>
      </c>
      <c r="AD10" s="7" t="e">
        <f>IF(OR(#REF!&gt;2,#REF!&lt;-2),"",#REF!)</f>
        <v>#REF!</v>
      </c>
      <c r="AE10" s="7" t="e">
        <f>IF(OR(#REF!&gt;2,#REF!&lt;-2),"",#REF!)</f>
        <v>#REF!</v>
      </c>
      <c r="AF10" s="7" t="e">
        <f>IF(OR(#REF!&gt;2,#REF!&lt;-2),"",#REF!)</f>
        <v>#REF!</v>
      </c>
      <c r="AG10" s="7" t="e">
        <f>IF(OR(#REF!&gt;2,#REF!&lt;-2),"",#REF!)</f>
        <v>#REF!</v>
      </c>
      <c r="AH10" s="7" t="e">
        <f>IF(OR(#REF!&gt;2,#REF!&lt;-2),"",#REF!)</f>
        <v>#REF!</v>
      </c>
      <c r="AI10" s="7" t="e">
        <f>IF(OR(#REF!&gt;2,#REF!&lt;-2),"",#REF!)</f>
        <v>#REF!</v>
      </c>
      <c r="AJ10" s="7" t="e">
        <f>IF(OR(#REF!&gt;2,#REF!&lt;-2),"",#REF!)</f>
        <v>#REF!</v>
      </c>
      <c r="AK10" s="7" t="e">
        <f>IF(OR(#REF!&gt;2,#REF!&lt;-2),"",#REF!)</f>
        <v>#REF!</v>
      </c>
      <c r="AL10" s="7" t="e">
        <f>IF(OR(#REF!&gt;2,#REF!&lt;-2),"",#REF!)</f>
        <v>#REF!</v>
      </c>
      <c r="AM10" s="7" t="e">
        <f>IF(OR(#REF!&gt;2,#REF!&lt;-2),"",#REF!)</f>
        <v>#REF!</v>
      </c>
      <c r="AN10" s="7" t="e">
        <f>IF(OR(#REF!&gt;2,#REF!&lt;-2),"",#REF!)</f>
        <v>#REF!</v>
      </c>
      <c r="AO10" s="7" t="e">
        <f>IF(OR(#REF!&gt;2,#REF!&lt;-2),"",#REF!)</f>
        <v>#REF!</v>
      </c>
      <c r="AP10" s="7" t="e">
        <f>IF(OR(#REF!&gt;2,#REF!&lt;-2),"",#REF!)</f>
        <v>#REF!</v>
      </c>
      <c r="AQ10" s="7" t="e">
        <f>IF(OR(#REF!&gt;2,#REF!&lt;-2),"",#REF!)</f>
        <v>#REF!</v>
      </c>
      <c r="AR10" s="7" t="e">
        <f>IF(OR(#REF!&gt;2,#REF!&lt;-2),"",#REF!)</f>
        <v>#REF!</v>
      </c>
      <c r="AS10" s="7" t="e">
        <f>IF(OR(#REF!&gt;2,#REF!&lt;-2),"",#REF!)</f>
        <v>#REF!</v>
      </c>
      <c r="AT10" s="7" t="e">
        <f>IF(OR(#REF!&gt;2,#REF!&lt;-2),"",#REF!)</f>
        <v>#REF!</v>
      </c>
      <c r="AU10" s="7" t="e">
        <f>IF(OR(#REF!&gt;2,#REF!&lt;-2),"",#REF!)</f>
        <v>#REF!</v>
      </c>
      <c r="AV10" s="7" t="e">
        <f>IF(OR(#REF!&gt;2,#REF!&lt;-2),"",#REF!)</f>
        <v>#REF!</v>
      </c>
      <c r="AW10" s="7" t="e">
        <f>IF(OR(#REF!&gt;2,#REF!&lt;-2),"",#REF!)</f>
        <v>#REF!</v>
      </c>
      <c r="AX10" s="7" t="e">
        <f>IF(OR(#REF!&gt;2,#REF!&lt;-2),"",#REF!)</f>
        <v>#REF!</v>
      </c>
      <c r="AY10" s="7" t="e">
        <f>IF(OR(#REF!&gt;2,#REF!&lt;-2),"",#REF!)</f>
        <v>#REF!</v>
      </c>
      <c r="AZ10" s="7" t="e">
        <f>IF(OR(#REF!&gt;2,#REF!&lt;-2),"",#REF!)</f>
        <v>#REF!</v>
      </c>
      <c r="BA10" s="7" t="e">
        <f>IF(OR(#REF!&gt;2,#REF!&lt;-2),"",#REF!)</f>
        <v>#REF!</v>
      </c>
      <c r="BB10" s="7" t="e">
        <f>IF(OR(#REF!&gt;2,#REF!&lt;-2),"",#REF!)</f>
        <v>#REF!</v>
      </c>
      <c r="BC10" s="7" t="e">
        <f>IF(OR(#REF!&gt;2,#REF!&lt;-2),"",#REF!)</f>
        <v>#REF!</v>
      </c>
      <c r="BD10" s="7" t="e">
        <f>IF(OR(#REF!&gt;2,#REF!&lt;-2),"",#REF!)</f>
        <v>#REF!</v>
      </c>
      <c r="BE10" s="7" t="e">
        <f>IF(OR(#REF!&gt;2,#REF!&lt;-2),"",#REF!)</f>
        <v>#REF!</v>
      </c>
      <c r="BF10" s="7" t="e">
        <f>IF(OR(#REF!&gt;2,#REF!&lt;-2),"",#REF!)</f>
        <v>#REF!</v>
      </c>
      <c r="BG10" s="7" t="e">
        <f>IF(OR(#REF!&gt;2,#REF!&lt;-2),"",#REF!)</f>
        <v>#REF!</v>
      </c>
      <c r="BH10" s="7" t="e">
        <f>IF(OR(#REF!&gt;2,#REF!&lt;-2),"",#REF!)</f>
        <v>#REF!</v>
      </c>
      <c r="BI10" s="7" t="e">
        <f>IF(OR(#REF!&gt;2,#REF!&lt;-2),"",#REF!)</f>
        <v>#REF!</v>
      </c>
      <c r="BJ10" s="7" t="e">
        <f>IF(OR(#REF!&gt;2,#REF!&lt;-2),"",#REF!)</f>
        <v>#REF!</v>
      </c>
      <c r="BK10" s="7" t="e">
        <f>IF(OR(#REF!&gt;2,#REF!&lt;-2),"",#REF!)</f>
        <v>#REF!</v>
      </c>
      <c r="BL10" s="7" t="e">
        <f>IF(OR(#REF!&gt;2,#REF!&lt;-2),"",#REF!)</f>
        <v>#REF!</v>
      </c>
      <c r="BM10" s="7" t="e">
        <f>IF(OR(#REF!&gt;2,#REF!&lt;-2),"",#REF!)</f>
        <v>#REF!</v>
      </c>
      <c r="BN10" s="7" t="e">
        <f>IF(OR(#REF!&gt;2,#REF!&lt;-2),"",#REF!)</f>
        <v>#REF!</v>
      </c>
      <c r="BO10" s="7" t="e">
        <f>IF(OR(#REF!&gt;2,#REF!&lt;-2),"",#REF!)</f>
        <v>#REF!</v>
      </c>
      <c r="BP10" s="7" t="e">
        <f>IF(OR(#REF!&gt;2,#REF!&lt;-2),"",#REF!)</f>
        <v>#REF!</v>
      </c>
      <c r="BQ10" s="7" t="e">
        <f>IF(OR(#REF!&gt;2,#REF!&lt;-2),"",#REF!)</f>
        <v>#REF!</v>
      </c>
      <c r="BR10" s="7" t="e">
        <f>IF(OR(#REF!&gt;2,#REF!&lt;-2),"",#REF!)</f>
        <v>#REF!</v>
      </c>
      <c r="BS10" s="7" t="e">
        <f>IF(OR(#REF!&gt;2,#REF!&lt;-2),"",#REF!)</f>
        <v>#REF!</v>
      </c>
      <c r="BT10" s="7" t="e">
        <f>IF(OR(#REF!&gt;2,#REF!&lt;-2),"",#REF!)</f>
        <v>#REF!</v>
      </c>
      <c r="BU10" s="7" t="e">
        <f>IF(OR(#REF!&gt;2,#REF!&lt;-2),"",#REF!)</f>
        <v>#REF!</v>
      </c>
      <c r="BV10" s="7" t="e">
        <f>IF(OR(#REF!&gt;2,#REF!&lt;-2),"",#REF!)</f>
        <v>#REF!</v>
      </c>
      <c r="BW10" s="7" t="e">
        <f>IF(OR(#REF!&gt;2,#REF!&lt;-2),"",#REF!)</f>
        <v>#REF!</v>
      </c>
      <c r="BX10" s="7" t="e">
        <f>IF(OR(#REF!&gt;2,#REF!&lt;-2),"",#REF!)</f>
        <v>#REF!</v>
      </c>
      <c r="BY10" s="7" t="e">
        <f>IF(OR(#REF!&gt;2,#REF!&lt;-2),"",#REF!)</f>
        <v>#REF!</v>
      </c>
      <c r="BZ10" s="7" t="e">
        <f>IF(OR(#REF!&gt;2,#REF!&lt;-2),"",#REF!)</f>
        <v>#REF!</v>
      </c>
      <c r="CA10" s="7" t="e">
        <f>IF(OR(#REF!&gt;2,#REF!&lt;-2),"",#REF!)</f>
        <v>#REF!</v>
      </c>
      <c r="CB10" s="7" t="e">
        <f>IF(OR(#REF!&gt;2,#REF!&lt;-2),"",#REF!)</f>
        <v>#REF!</v>
      </c>
      <c r="CC10" s="7" t="e">
        <f>IF(OR(#REF!&gt;2,#REF!&lt;-2),"",#REF!)</f>
        <v>#REF!</v>
      </c>
      <c r="CD10" s="7" t="e">
        <f>IF(OR(#REF!&gt;2,#REF!&lt;-2),"",#REF!)</f>
        <v>#REF!</v>
      </c>
      <c r="CE10" s="7" t="e">
        <f>IF(OR(#REF!&gt;2,#REF!&lt;-2),"",#REF!)</f>
        <v>#REF!</v>
      </c>
      <c r="CF10" s="7" t="e">
        <f>IF(OR(#REF!&gt;2,#REF!&lt;-2),"",#REF!)</f>
        <v>#REF!</v>
      </c>
      <c r="CG10" s="7" t="e">
        <f>IF(OR(#REF!&gt;2,#REF!&lt;-2),"",#REF!)</f>
        <v>#REF!</v>
      </c>
      <c r="CH10" s="7" t="e">
        <f>IF(OR(#REF!&gt;2,#REF!&lt;-2),"",#REF!)</f>
        <v>#REF!</v>
      </c>
      <c r="CI10" s="7" t="e">
        <f>IF(OR(#REF!&gt;2,#REF!&lt;-2),"",#REF!)</f>
        <v>#REF!</v>
      </c>
      <c r="CJ10" s="7" t="e">
        <f>IF(OR(#REF!&gt;2,#REF!&lt;-2),"",#REF!)</f>
        <v>#REF!</v>
      </c>
      <c r="CK10" s="7" t="e">
        <f>IF(OR(#REF!&gt;2,#REF!&lt;-2),"",#REF!)</f>
        <v>#REF!</v>
      </c>
      <c r="CL10" s="7" t="e">
        <f>IF(OR(#REF!&gt;2,#REF!&lt;-2),"",#REF!)</f>
        <v>#REF!</v>
      </c>
      <c r="CM10" s="7" t="e">
        <f>IF(OR(#REF!&gt;2,#REF!&lt;-2),"",#REF!)</f>
        <v>#REF!</v>
      </c>
      <c r="CN10" s="7" t="e">
        <f>IF(OR(#REF!&gt;2,#REF!&lt;-2),"",#REF!)</f>
        <v>#REF!</v>
      </c>
      <c r="CO10" s="7" t="e">
        <f>IF(OR(#REF!&gt;2,#REF!&lt;-2),"",#REF!)</f>
        <v>#REF!</v>
      </c>
      <c r="CP10" s="7" t="e">
        <f>IF(OR(#REF!&gt;2,#REF!&lt;-2),"",#REF!)</f>
        <v>#REF!</v>
      </c>
      <c r="CQ10" s="7" t="e">
        <f>IF(OR(#REF!&gt;2,#REF!&lt;-2),"",#REF!)</f>
        <v>#REF!</v>
      </c>
      <c r="CR10" s="7" t="e">
        <f>IF(OR(#REF!&gt;2,#REF!&lt;-2),"",#REF!)</f>
        <v>#REF!</v>
      </c>
      <c r="CS10" s="7" t="e">
        <f>IF(OR(#REF!&gt;2,#REF!&lt;-2),"",#REF!)</f>
        <v>#REF!</v>
      </c>
      <c r="CT10" s="7" t="e">
        <f>IF(OR(#REF!&gt;2,#REF!&lt;-2),"",#REF!)</f>
        <v>#REF!</v>
      </c>
      <c r="CU10" s="7" t="e">
        <f>IF(OR(#REF!&gt;2,#REF!&lt;-2),"",#REF!)</f>
        <v>#REF!</v>
      </c>
      <c r="CV10" s="7" t="e">
        <f>IF(OR(#REF!&gt;2,#REF!&lt;-2),"",#REF!)</f>
        <v>#REF!</v>
      </c>
      <c r="CW10" s="7" t="e">
        <f>IF(OR(#REF!&gt;2,#REF!&lt;-2),"",#REF!)</f>
        <v>#REF!</v>
      </c>
      <c r="CX10" s="7" t="e">
        <f>IF(OR(#REF!&gt;2,#REF!&lt;-2),"",#REF!)</f>
        <v>#REF!</v>
      </c>
      <c r="CY10" s="7" t="e">
        <f>IF(OR(#REF!&gt;2,#REF!&lt;-2),"",#REF!)</f>
        <v>#REF!</v>
      </c>
      <c r="CZ10" s="7" t="e">
        <f>IF(OR(#REF!&gt;2,#REF!&lt;-2),"",#REF!)</f>
        <v>#REF!</v>
      </c>
      <c r="DA10" s="7" t="e">
        <f>IF(OR(#REF!&gt;2,#REF!&lt;-2),"",#REF!)</f>
        <v>#REF!</v>
      </c>
      <c r="DB10" s="7" t="e">
        <f>IF(OR(#REF!&gt;2,#REF!&lt;-2),"",#REF!)</f>
        <v>#REF!</v>
      </c>
      <c r="DC10" s="7" t="e">
        <f>IF(OR(#REF!&gt;2,#REF!&lt;-2),"",#REF!)</f>
        <v>#REF!</v>
      </c>
      <c r="DD10" s="7" t="e">
        <f>IF(OR(#REF!&gt;2,#REF!&lt;-2),"",#REF!)</f>
        <v>#REF!</v>
      </c>
      <c r="DE10" s="7" t="e">
        <f>IF(OR(#REF!&gt;2,#REF!&lt;-2),"",#REF!)</f>
        <v>#REF!</v>
      </c>
      <c r="DF10" s="7" t="e">
        <f>IF(OR(#REF!&gt;2,#REF!&lt;-2),"",#REF!)</f>
        <v>#REF!</v>
      </c>
      <c r="DG10" s="7" t="e">
        <f>IF(OR(#REF!&gt;2,#REF!&lt;-2),"",#REF!)</f>
        <v>#REF!</v>
      </c>
      <c r="DH10" s="7" t="e">
        <f>IF(OR(#REF!&gt;2,#REF!&lt;-2),"",#REF!)</f>
        <v>#REF!</v>
      </c>
      <c r="DI10" s="7" t="e">
        <f>IF(OR(#REF!&gt;2,#REF!&lt;-2),"",#REF!)</f>
        <v>#REF!</v>
      </c>
      <c r="DJ10" s="7" t="e">
        <f>IF(OR(#REF!&gt;2,#REF!&lt;-2),"",#REF!)</f>
        <v>#REF!</v>
      </c>
      <c r="DK10" s="7" t="e">
        <f>IF(OR(#REF!&gt;2,#REF!&lt;-2),"",#REF!)</f>
        <v>#REF!</v>
      </c>
      <c r="DL10" s="7" t="e">
        <f>IF(OR(#REF!&gt;2,#REF!&lt;-2),"",#REF!)</f>
        <v>#REF!</v>
      </c>
      <c r="DM10" s="7" t="e">
        <f>IF(OR(#REF!&gt;2,#REF!&lt;-2),"",#REF!)</f>
        <v>#REF!</v>
      </c>
      <c r="DN10" s="7" t="e">
        <f>IF(OR(#REF!&gt;2,#REF!&lt;-2),"",#REF!)</f>
        <v>#REF!</v>
      </c>
      <c r="DO10" s="7" t="e">
        <f>IF(OR(#REF!&gt;2,#REF!&lt;-2),"",#REF!)</f>
        <v>#REF!</v>
      </c>
      <c r="DP10" s="7" t="e">
        <f>IF(OR(#REF!&gt;2,#REF!&lt;-2),"",#REF!)</f>
        <v>#REF!</v>
      </c>
      <c r="DQ10" s="7" t="e">
        <f>IF(OR(#REF!&gt;2,#REF!&lt;-2),"",#REF!)</f>
        <v>#REF!</v>
      </c>
      <c r="DR10" s="7" t="e">
        <f>IF(OR(#REF!&gt;2,#REF!&lt;-2),"",#REF!)</f>
        <v>#REF!</v>
      </c>
      <c r="DS10" s="7" t="e">
        <f>IF(OR(#REF!&gt;2,#REF!&lt;-2),"",#REF!)</f>
        <v>#REF!</v>
      </c>
      <c r="DT10" s="7" t="e">
        <f>IF(OR(#REF!&gt;2,#REF!&lt;-2),"",#REF!)</f>
        <v>#REF!</v>
      </c>
      <c r="DU10" s="7" t="e">
        <f>IF(OR(#REF!&gt;2,#REF!&lt;-2),"",#REF!)</f>
        <v>#REF!</v>
      </c>
      <c r="DV10" s="7" t="e">
        <f>IF(OR(#REF!&gt;2,#REF!&lt;-2),"",#REF!)</f>
        <v>#REF!</v>
      </c>
      <c r="DW10" s="7" t="e">
        <f>IF(OR(#REF!&gt;2,#REF!&lt;-2),"",#REF!)</f>
        <v>#REF!</v>
      </c>
      <c r="DX10" s="7" t="e">
        <f>IF(OR(#REF!&gt;2,#REF!&lt;-2),"",#REF!)</f>
        <v>#REF!</v>
      </c>
      <c r="DY10" s="7" t="e">
        <f>IF(OR(#REF!&gt;2,#REF!&lt;-2),"",#REF!)</f>
        <v>#REF!</v>
      </c>
      <c r="DZ10" s="7" t="e">
        <f>IF(OR(#REF!&gt;2,#REF!&lt;-2),"",#REF!)</f>
        <v>#REF!</v>
      </c>
      <c r="EA10" s="7" t="e">
        <f>IF(OR(#REF!&gt;2,#REF!&lt;-2),"",#REF!)</f>
        <v>#REF!</v>
      </c>
      <c r="EB10" s="7" t="e">
        <f>IF(OR(#REF!&gt;2,#REF!&lt;-2),"",#REF!)</f>
        <v>#REF!</v>
      </c>
      <c r="EC10" s="7" t="e">
        <f>IF(OR(#REF!&gt;2,#REF!&lt;-2),"",#REF!)</f>
        <v>#REF!</v>
      </c>
      <c r="ED10" s="7" t="e">
        <f>IF(OR(#REF!&gt;2,#REF!&lt;-2),"",#REF!)</f>
        <v>#REF!</v>
      </c>
      <c r="EE10" s="7" t="e">
        <f>IF(OR(#REF!&gt;2,#REF!&lt;-2),"",#REF!)</f>
        <v>#REF!</v>
      </c>
      <c r="EF10" s="7" t="e">
        <f>IF(OR(#REF!&gt;2,#REF!&lt;-2),"",#REF!)</f>
        <v>#REF!</v>
      </c>
      <c r="EG10" s="7" t="e">
        <f>IF(OR(#REF!&gt;2,#REF!&lt;-2),"",#REF!)</f>
        <v>#REF!</v>
      </c>
      <c r="EH10" s="7" t="e">
        <f>IF(OR(#REF!&gt;2,#REF!&lt;-2),"",#REF!)</f>
        <v>#REF!</v>
      </c>
      <c r="EI10" s="7" t="e">
        <f>IF(OR(#REF!&gt;2,#REF!&lt;-2),"",#REF!)</f>
        <v>#REF!</v>
      </c>
      <c r="EJ10" s="7" t="e">
        <f>IF(OR(#REF!&gt;2,#REF!&lt;-2),"",#REF!)</f>
        <v>#REF!</v>
      </c>
      <c r="EK10" s="7" t="e">
        <f>IF(OR(#REF!&gt;2,#REF!&lt;-2),"",#REF!)</f>
        <v>#REF!</v>
      </c>
      <c r="EL10" s="7" t="e">
        <f>IF(OR(#REF!&gt;2,#REF!&lt;-2),"",#REF!)</f>
        <v>#REF!</v>
      </c>
      <c r="EM10" s="7" t="e">
        <f>IF(OR(#REF!&gt;2,#REF!&lt;-2),"",#REF!)</f>
        <v>#REF!</v>
      </c>
      <c r="EN10" s="7" t="e">
        <f>IF(OR(#REF!&gt;2,#REF!&lt;-2),"",#REF!)</f>
        <v>#REF!</v>
      </c>
      <c r="EO10" s="7" t="e">
        <f>IF(OR(#REF!&gt;2,#REF!&lt;-2),"",#REF!)</f>
        <v>#REF!</v>
      </c>
      <c r="EP10" s="7" t="e">
        <f>IF(OR(#REF!&gt;2,#REF!&lt;-2),"",#REF!)</f>
        <v>#REF!</v>
      </c>
      <c r="EQ10" s="7" t="e">
        <f>IF(OR(#REF!&gt;2,#REF!&lt;-2),"",#REF!)</f>
        <v>#REF!</v>
      </c>
      <c r="ER10" s="7" t="e">
        <f>IF(OR(#REF!&gt;2,#REF!&lt;-2),"",#REF!)</f>
        <v>#REF!</v>
      </c>
      <c r="ES10" s="7" t="e">
        <f>IF(OR(#REF!&gt;2,#REF!&lt;-2),"",#REF!)</f>
        <v>#REF!</v>
      </c>
      <c r="ET10" s="7" t="e">
        <f>IF(OR(#REF!&gt;2,#REF!&lt;-2),"",#REF!)</f>
        <v>#REF!</v>
      </c>
      <c r="EU10" s="7" t="e">
        <f>IF(OR(#REF!&gt;2,#REF!&lt;-2),"",#REF!)</f>
        <v>#REF!</v>
      </c>
      <c r="EV10" s="7" t="e">
        <f>IF(OR(#REF!&gt;2,#REF!&lt;-2),"",#REF!)</f>
        <v>#REF!</v>
      </c>
      <c r="EW10" s="7" t="e">
        <f>IF(OR(#REF!&gt;2,#REF!&lt;-2),"",#REF!)</f>
        <v>#REF!</v>
      </c>
      <c r="EX10" s="7" t="e">
        <f>IF(OR(#REF!&gt;2,#REF!&lt;-2),"",#REF!)</f>
        <v>#REF!</v>
      </c>
      <c r="EY10" s="7" t="e">
        <f>IF(OR(#REF!&gt;2,#REF!&lt;-2),"",#REF!)</f>
        <v>#REF!</v>
      </c>
      <c r="EZ10" s="7" t="e">
        <f>IF(OR(#REF!&gt;2,#REF!&lt;-2),"",#REF!)</f>
        <v>#REF!</v>
      </c>
      <c r="FA10" s="7" t="e">
        <f>IF(OR(#REF!&gt;2,#REF!&lt;-2),"",#REF!)</f>
        <v>#REF!</v>
      </c>
      <c r="FB10" s="7" t="e">
        <f>IF(OR(#REF!&gt;2,#REF!&lt;-2),"",#REF!)</f>
        <v>#REF!</v>
      </c>
      <c r="FC10" s="7" t="e">
        <f>IF(OR(#REF!&gt;2,#REF!&lt;-2),"",#REF!)</f>
        <v>#REF!</v>
      </c>
      <c r="FD10" s="7" t="e">
        <f>IF(OR(#REF!&gt;2,#REF!&lt;-2),"",#REF!)</f>
        <v>#REF!</v>
      </c>
      <c r="FE10" s="7" t="e">
        <f>IF(OR(#REF!&gt;2,#REF!&lt;-2),"",#REF!)</f>
        <v>#REF!</v>
      </c>
      <c r="FF10" s="7" t="e">
        <f>IF(OR(#REF!&gt;2,#REF!&lt;-2),"",#REF!)</f>
        <v>#REF!</v>
      </c>
      <c r="FG10" s="7" t="e">
        <f>IF(OR(#REF!&gt;2,#REF!&lt;-2),"",#REF!)</f>
        <v>#REF!</v>
      </c>
      <c r="FH10" s="7" t="e">
        <f>IF(OR(#REF!&gt;2,#REF!&lt;-2),"",#REF!)</f>
        <v>#REF!</v>
      </c>
      <c r="FI10" s="7" t="e">
        <f>IF(OR(#REF!&gt;2,#REF!&lt;-2),"",#REF!)</f>
        <v>#REF!</v>
      </c>
      <c r="FJ10" s="7" t="e">
        <f>IF(OR(#REF!&gt;2,#REF!&lt;-2),"",#REF!)</f>
        <v>#REF!</v>
      </c>
      <c r="FK10" s="7" t="e">
        <f>IF(OR(#REF!&gt;2,#REF!&lt;-2),"",#REF!)</f>
        <v>#REF!</v>
      </c>
      <c r="FL10" s="7" t="e">
        <f>IF(OR(#REF!&gt;2,#REF!&lt;-2),"",#REF!)</f>
        <v>#REF!</v>
      </c>
      <c r="FM10" s="7" t="e">
        <f>IF(OR(#REF!&gt;2,#REF!&lt;-2),"",#REF!)</f>
        <v>#REF!</v>
      </c>
      <c r="FN10" s="7" t="e">
        <f>IF(OR(#REF!&gt;2,#REF!&lt;-2),"",#REF!)</f>
        <v>#REF!</v>
      </c>
      <c r="FO10" s="7" t="e">
        <f>IF(OR(#REF!&gt;2,#REF!&lt;-2),"",#REF!)</f>
        <v>#REF!</v>
      </c>
      <c r="FP10" s="7" t="e">
        <f>IF(OR(#REF!&gt;2,#REF!&lt;-2),"",#REF!)</f>
        <v>#REF!</v>
      </c>
      <c r="FQ10" s="7" t="e">
        <f>IF(OR(#REF!&gt;2,#REF!&lt;-2),"",#REF!)</f>
        <v>#REF!</v>
      </c>
      <c r="FR10" s="7" t="e">
        <f>IF(OR(#REF!&gt;2,#REF!&lt;-2),"",#REF!)</f>
        <v>#REF!</v>
      </c>
      <c r="FS10" s="7" t="e">
        <f>IF(OR(#REF!&gt;2,#REF!&lt;-2),"",#REF!)</f>
        <v>#REF!</v>
      </c>
      <c r="FT10" s="7" t="e">
        <f>IF(OR(#REF!&gt;2,#REF!&lt;-2),"",#REF!)</f>
        <v>#REF!</v>
      </c>
      <c r="FU10" s="7" t="e">
        <f>IF(OR(#REF!&gt;2,#REF!&lt;-2),"",#REF!)</f>
        <v>#REF!</v>
      </c>
      <c r="FV10" s="7" t="e">
        <f>IF(OR(#REF!&gt;2,#REF!&lt;-2),"",#REF!)</f>
        <v>#REF!</v>
      </c>
      <c r="FW10" s="7" t="e">
        <f>IF(OR(#REF!&gt;2,#REF!&lt;-2),"",#REF!)</f>
        <v>#REF!</v>
      </c>
      <c r="FX10" s="7" t="e">
        <f>IF(OR(#REF!&gt;2,#REF!&lt;-2),"",#REF!)</f>
        <v>#REF!</v>
      </c>
      <c r="FY10" s="7" t="e">
        <f>IF(OR(#REF!&gt;2,#REF!&lt;-2),"",#REF!)</f>
        <v>#REF!</v>
      </c>
      <c r="FZ10" s="7" t="e">
        <f>IF(OR(#REF!&gt;2,#REF!&lt;-2),"",#REF!)</f>
        <v>#REF!</v>
      </c>
      <c r="GA10" s="7" t="e">
        <f>IF(OR(#REF!&gt;2,#REF!&lt;-2),"",#REF!)</f>
        <v>#REF!</v>
      </c>
      <c r="GB10" s="7" t="e">
        <f>IF(OR(#REF!&gt;2,#REF!&lt;-2),"",#REF!)</f>
        <v>#REF!</v>
      </c>
      <c r="GC10" s="7" t="e">
        <f>IF(OR(#REF!&gt;2,#REF!&lt;-2),"",#REF!)</f>
        <v>#REF!</v>
      </c>
      <c r="GD10" s="7" t="e">
        <f>IF(OR(#REF!&gt;2,#REF!&lt;-2),"",#REF!)</f>
        <v>#REF!</v>
      </c>
      <c r="GE10" s="7" t="e">
        <f>IF(OR(#REF!&gt;2,#REF!&lt;-2),"",#REF!)</f>
        <v>#REF!</v>
      </c>
      <c r="GF10" s="7" t="e">
        <f>IF(OR(#REF!&gt;2,#REF!&lt;-2),"",#REF!)</f>
        <v>#REF!</v>
      </c>
      <c r="GG10" s="7" t="e">
        <f>IF(OR(#REF!&gt;2,#REF!&lt;-2),"",#REF!)</f>
        <v>#REF!</v>
      </c>
      <c r="GH10" s="7" t="e">
        <f>IF(OR(#REF!&gt;2,#REF!&lt;-2),"",#REF!)</f>
        <v>#REF!</v>
      </c>
      <c r="GI10" s="7" t="e">
        <f>IF(OR(#REF!&gt;2,#REF!&lt;-2),"",#REF!)</f>
        <v>#REF!</v>
      </c>
      <c r="GJ10" s="7" t="e">
        <f>IF(OR(#REF!&gt;2,#REF!&lt;-2),"",#REF!)</f>
        <v>#REF!</v>
      </c>
      <c r="GK10" s="7" t="e">
        <f>IF(OR(#REF!&gt;2,#REF!&lt;-2),"",#REF!)</f>
        <v>#REF!</v>
      </c>
      <c r="GL10" s="7" t="e">
        <f>IF(OR(#REF!&gt;2,#REF!&lt;-2),"",#REF!)</f>
        <v>#REF!</v>
      </c>
      <c r="GM10" s="7" t="e">
        <f>IF(OR(#REF!&gt;2,#REF!&lt;-2),"",#REF!)</f>
        <v>#REF!</v>
      </c>
      <c r="GN10" s="7" t="e">
        <f>IF(OR(#REF!&gt;2,#REF!&lt;-2),"",#REF!)</f>
        <v>#REF!</v>
      </c>
      <c r="GO10" s="7" t="e">
        <f>IF(OR(#REF!&gt;2,#REF!&lt;-2),"",#REF!)</f>
        <v>#REF!</v>
      </c>
      <c r="GP10" s="7" t="e">
        <f>IF(OR(#REF!&gt;2,#REF!&lt;-2),"",#REF!)</f>
        <v>#REF!</v>
      </c>
      <c r="GQ10" s="7" t="e">
        <f>IF(OR(#REF!&gt;2,#REF!&lt;-2),"",#REF!)</f>
        <v>#REF!</v>
      </c>
      <c r="GR10" s="7" t="e">
        <f>IF(OR(#REF!&gt;2,#REF!&lt;-2),"",#REF!)</f>
        <v>#REF!</v>
      </c>
      <c r="GS10" s="7" t="e">
        <f>IF(OR(#REF!&gt;2,#REF!&lt;-2),"",#REF!)</f>
        <v>#REF!</v>
      </c>
      <c r="GT10" s="7" t="e">
        <f>IF(OR(#REF!&gt;2,#REF!&lt;-2),"",#REF!)</f>
        <v>#REF!</v>
      </c>
      <c r="GU10" s="7" t="e">
        <f>IF(OR(#REF!&gt;2,#REF!&lt;-2),"",#REF!)</f>
        <v>#REF!</v>
      </c>
      <c r="GV10" s="7" t="e">
        <f>IF(OR(#REF!&gt;2,#REF!&lt;-2),"",#REF!)</f>
        <v>#REF!</v>
      </c>
      <c r="GW10" s="7" t="e">
        <f>IF(OR(#REF!&gt;2,#REF!&lt;-2),"",#REF!)</f>
        <v>#REF!</v>
      </c>
      <c r="GX10" s="7" t="e">
        <f>IF(OR(#REF!&gt;2,#REF!&lt;-2),"",#REF!)</f>
        <v>#REF!</v>
      </c>
      <c r="GY10" s="7" t="e">
        <f>IF(OR(#REF!&gt;2,#REF!&lt;-2),"",#REF!)</f>
        <v>#REF!</v>
      </c>
      <c r="GZ10" s="7" t="e">
        <f>IF(OR(#REF!&gt;2,#REF!&lt;-2),"",#REF!)</f>
        <v>#REF!</v>
      </c>
      <c r="HA10" s="7" t="e">
        <f>IF(OR(#REF!&gt;2,#REF!&lt;-2),"",#REF!)</f>
        <v>#REF!</v>
      </c>
      <c r="HB10" s="7" t="e">
        <f>IF(OR(#REF!&gt;2,#REF!&lt;-2),"",#REF!)</f>
        <v>#REF!</v>
      </c>
      <c r="HC10" s="7" t="e">
        <f>IF(OR(#REF!&gt;2,#REF!&lt;-2),"",#REF!)</f>
        <v>#REF!</v>
      </c>
      <c r="HD10" s="7" t="e">
        <f>IF(OR(#REF!&gt;2,#REF!&lt;-2),"",#REF!)</f>
        <v>#REF!</v>
      </c>
      <c r="HE10" s="7" t="e">
        <f>IF(OR(#REF!&gt;2,#REF!&lt;-2),"",#REF!)</f>
        <v>#REF!</v>
      </c>
      <c r="HF10" s="7" t="e">
        <f>IF(OR(#REF!&gt;2,#REF!&lt;-2),"",#REF!)</f>
        <v>#REF!</v>
      </c>
      <c r="HG10" s="7" t="e">
        <f>IF(OR(#REF!&gt;2,#REF!&lt;-2),"",#REF!)</f>
        <v>#REF!</v>
      </c>
      <c r="HH10" s="7" t="e">
        <f>IF(OR(#REF!&gt;2,#REF!&lt;-2),"",#REF!)</f>
        <v>#REF!</v>
      </c>
      <c r="HI10" s="7" t="e">
        <f>IF(OR(#REF!&gt;2,#REF!&lt;-2),"",#REF!)</f>
        <v>#REF!</v>
      </c>
      <c r="HJ10" s="7" t="e">
        <f>IF(OR(#REF!&gt;2,#REF!&lt;-2),"",#REF!)</f>
        <v>#REF!</v>
      </c>
      <c r="HK10" s="7" t="e">
        <f>IF(OR(#REF!&gt;2,#REF!&lt;-2),"",#REF!)</f>
        <v>#REF!</v>
      </c>
      <c r="HL10" s="7" t="e">
        <f>IF(OR(#REF!&gt;2,#REF!&lt;-2),"",#REF!)</f>
        <v>#REF!</v>
      </c>
      <c r="HM10" s="7" t="e">
        <f>IF(OR(#REF!&gt;2,#REF!&lt;-2),"",#REF!)</f>
        <v>#REF!</v>
      </c>
      <c r="HN10" s="7" t="e">
        <f>IF(OR(#REF!&gt;2,#REF!&lt;-2),"",#REF!)</f>
        <v>#REF!</v>
      </c>
      <c r="HO10" s="7" t="e">
        <f>IF(OR(#REF!&gt;2,#REF!&lt;-2),"",#REF!)</f>
        <v>#REF!</v>
      </c>
      <c r="HP10" s="7" t="e">
        <f>IF(OR(#REF!&gt;2,#REF!&lt;-2),"",#REF!)</f>
        <v>#REF!</v>
      </c>
      <c r="HQ10" s="7" t="e">
        <f>IF(OR(#REF!&gt;2,#REF!&lt;-2),"",#REF!)</f>
        <v>#REF!</v>
      </c>
      <c r="HR10" s="7" t="e">
        <f>IF(OR(#REF!&gt;2,#REF!&lt;-2),"",#REF!)</f>
        <v>#REF!</v>
      </c>
      <c r="HS10" s="7" t="e">
        <f>IF(OR(#REF!&gt;2,#REF!&lt;-2),"",#REF!)</f>
        <v>#REF!</v>
      </c>
      <c r="HT10" s="7" t="e">
        <f>IF(OR(#REF!&gt;2,#REF!&lt;-2),"",#REF!)</f>
        <v>#REF!</v>
      </c>
      <c r="HU10" s="7" t="e">
        <f>IF(OR(#REF!&gt;2,#REF!&lt;-2),"",#REF!)</f>
        <v>#REF!</v>
      </c>
      <c r="HV10" s="7" t="e">
        <f>IF(OR(#REF!&gt;2,#REF!&lt;-2),"",#REF!)</f>
        <v>#REF!</v>
      </c>
      <c r="HW10" s="7" t="e">
        <f>IF(OR(#REF!&gt;2,#REF!&lt;-2),"",#REF!)</f>
        <v>#REF!</v>
      </c>
      <c r="HX10" s="7" t="e">
        <f>IF(OR(#REF!&gt;2,#REF!&lt;-2),"",#REF!)</f>
        <v>#REF!</v>
      </c>
      <c r="HY10" s="7" t="e">
        <f>IF(OR(#REF!&gt;2,#REF!&lt;-2),"",#REF!)</f>
        <v>#REF!</v>
      </c>
      <c r="HZ10" s="7" t="e">
        <f>IF(OR(#REF!&gt;2,#REF!&lt;-2),"",#REF!)</f>
        <v>#REF!</v>
      </c>
      <c r="IA10" s="7" t="e">
        <f>IF(OR(#REF!&gt;2,#REF!&lt;-2),"",#REF!)</f>
        <v>#REF!</v>
      </c>
      <c r="IB10" s="7" t="e">
        <f>IF(OR(#REF!&gt;2,#REF!&lt;-2),"",#REF!)</f>
        <v>#REF!</v>
      </c>
      <c r="IC10" s="7" t="e">
        <f>IF(OR(#REF!&gt;2,#REF!&lt;-2),"",#REF!)</f>
        <v>#REF!</v>
      </c>
      <c r="ID10" s="7" t="e">
        <f>IF(OR(#REF!&gt;2,#REF!&lt;-2),"",#REF!)</f>
        <v>#REF!</v>
      </c>
      <c r="IE10" s="7" t="e">
        <f>IF(OR(#REF!&gt;2,#REF!&lt;-2),"",#REF!)</f>
        <v>#REF!</v>
      </c>
      <c r="IF10" s="7" t="e">
        <f>IF(OR(#REF!&gt;2,#REF!&lt;-2),"",#REF!)</f>
        <v>#REF!</v>
      </c>
      <c r="IG10" s="7" t="e">
        <f>IF(OR(#REF!&gt;2,#REF!&lt;-2),"",#REF!)</f>
        <v>#REF!</v>
      </c>
      <c r="IH10" s="7" t="e">
        <f>IF(OR(#REF!&gt;2,#REF!&lt;-2),"",#REF!)</f>
        <v>#REF!</v>
      </c>
      <c r="II10" s="7" t="e">
        <f>IF(OR(#REF!&gt;2,#REF!&lt;-2),"",#REF!)</f>
        <v>#REF!</v>
      </c>
      <c r="IJ10" s="7" t="e">
        <f>IF(OR(#REF!&gt;2,#REF!&lt;-2),"",#REF!)</f>
        <v>#REF!</v>
      </c>
      <c r="IK10" s="7" t="e">
        <f>IF(OR(#REF!&gt;2,#REF!&lt;-2),"",#REF!)</f>
        <v>#REF!</v>
      </c>
      <c r="IL10" s="7" t="e">
        <f>IF(OR(#REF!&gt;2,#REF!&lt;-2),"",#REF!)</f>
        <v>#REF!</v>
      </c>
      <c r="IM10" s="7" t="e">
        <f>IF(OR(#REF!&gt;2,#REF!&lt;-2),"",#REF!)</f>
        <v>#REF!</v>
      </c>
      <c r="IN10" s="7" t="e">
        <f>IF(OR(#REF!&gt;2,#REF!&lt;-2),"",#REF!)</f>
        <v>#REF!</v>
      </c>
      <c r="IO10" s="7" t="e">
        <f>IF(OR(#REF!&gt;2,#REF!&lt;-2),"",#REF!)</f>
        <v>#REF!</v>
      </c>
      <c r="IP10" s="7" t="e">
        <f>IF(OR(#REF!&gt;2,#REF!&lt;-2),"",#REF!)</f>
        <v>#REF!</v>
      </c>
      <c r="IQ10" s="7" t="e">
        <f>IF(OR(#REF!&gt;2,#REF!&lt;-2),"",#REF!)</f>
        <v>#REF!</v>
      </c>
      <c r="IR10" s="7" t="e">
        <f>IF(OR(#REF!&gt;2,#REF!&lt;-2),"",#REF!)</f>
        <v>#REF!</v>
      </c>
      <c r="IS10" s="7" t="e">
        <f>IF(OR(#REF!&gt;2,#REF!&lt;-2),"",#REF!)</f>
        <v>#REF!</v>
      </c>
      <c r="IT10" s="7" t="e">
        <f>IF(OR(#REF!&gt;2,#REF!&lt;-2),"",#REF!)</f>
        <v>#REF!</v>
      </c>
      <c r="IU10" s="7" t="e">
        <f>IF(OR(#REF!&gt;2,#REF!&lt;-2),"",#REF!)</f>
        <v>#REF!</v>
      </c>
      <c r="IV10" s="7" t="e">
        <f>IF(OR(#REF!&gt;2,#REF!&lt;-2),"",#REF!)</f>
        <v>#REF!</v>
      </c>
      <c r="IW10" s="7" t="e">
        <f>IF(OR(#REF!&gt;2,#REF!&lt;-2),"",#REF!)</f>
        <v>#REF!</v>
      </c>
      <c r="IX10" s="7" t="e">
        <f>IF(OR(#REF!&gt;2,#REF!&lt;-2),"",#REF!)</f>
        <v>#REF!</v>
      </c>
      <c r="IY10" s="7" t="e">
        <f>IF(OR(#REF!&gt;2,#REF!&lt;-2),"",#REF!)</f>
        <v>#REF!</v>
      </c>
      <c r="IZ10" s="7" t="e">
        <f>IF(OR(#REF!&gt;2,#REF!&lt;-2),"",#REF!)</f>
        <v>#REF!</v>
      </c>
      <c r="JA10" s="7" t="e">
        <f>IF(OR(#REF!&gt;2,#REF!&lt;-2),"",#REF!)</f>
        <v>#REF!</v>
      </c>
      <c r="JB10" s="7" t="e">
        <f>IF(OR(#REF!&gt;2,#REF!&lt;-2),"",#REF!)</f>
        <v>#REF!</v>
      </c>
      <c r="JC10" s="7" t="e">
        <f>IF(OR(#REF!&gt;2,#REF!&lt;-2),"",#REF!)</f>
        <v>#REF!</v>
      </c>
      <c r="JD10" s="7" t="e">
        <f>IF(OR(#REF!&gt;2,#REF!&lt;-2),"",#REF!)</f>
        <v>#REF!</v>
      </c>
      <c r="JE10" s="7" t="e">
        <f>IF(OR(#REF!&gt;2,#REF!&lt;-2),"",#REF!)</f>
        <v>#REF!</v>
      </c>
      <c r="JF10" s="7" t="e">
        <f>IF(OR(#REF!&gt;2,#REF!&lt;-2),"",#REF!)</f>
        <v>#REF!</v>
      </c>
      <c r="JG10" s="7" t="e">
        <f>IF(OR(#REF!&gt;2,#REF!&lt;-2),"",#REF!)</f>
        <v>#REF!</v>
      </c>
      <c r="JH10" s="7" t="e">
        <f>IF(OR(#REF!&gt;2,#REF!&lt;-2),"",#REF!)</f>
        <v>#REF!</v>
      </c>
      <c r="JI10" s="7" t="e">
        <f>IF(OR(#REF!&gt;2,#REF!&lt;-2),"",#REF!)</f>
        <v>#REF!</v>
      </c>
      <c r="JJ10" s="7" t="e">
        <f>IF(OR(#REF!&gt;2,#REF!&lt;-2),"",#REF!)</f>
        <v>#REF!</v>
      </c>
      <c r="JK10" s="7" t="e">
        <f>IF(OR(#REF!&gt;2,#REF!&lt;-2),"",#REF!)</f>
        <v>#REF!</v>
      </c>
      <c r="JL10" s="7" t="e">
        <f>IF(OR(#REF!&gt;2,#REF!&lt;-2),"",#REF!)</f>
        <v>#REF!</v>
      </c>
      <c r="JM10" s="7" t="e">
        <f>IF(OR(#REF!&gt;2,#REF!&lt;-2),"",#REF!)</f>
        <v>#REF!</v>
      </c>
      <c r="JN10" s="7" t="e">
        <f>IF(OR(#REF!&gt;2,#REF!&lt;-2),"",#REF!)</f>
        <v>#REF!</v>
      </c>
      <c r="JO10" s="7" t="e">
        <f>IF(OR(#REF!&gt;2,#REF!&lt;-2),"",#REF!)</f>
        <v>#REF!</v>
      </c>
      <c r="JP10" s="7" t="e">
        <f>IF(OR(#REF!&gt;2,#REF!&lt;-2),"",#REF!)</f>
        <v>#REF!</v>
      </c>
      <c r="JQ10" s="7" t="e">
        <f>IF(OR(#REF!&gt;2,#REF!&lt;-2),"",#REF!)</f>
        <v>#REF!</v>
      </c>
      <c r="JR10" s="7" t="e">
        <f>IF(OR(#REF!&gt;2,#REF!&lt;-2),"",#REF!)</f>
        <v>#REF!</v>
      </c>
      <c r="JS10" s="7" t="e">
        <f>IF(OR(#REF!&gt;2,#REF!&lt;-2),"",#REF!)</f>
        <v>#REF!</v>
      </c>
      <c r="JT10" s="7" t="e">
        <f>IF(OR(#REF!&gt;2,#REF!&lt;-2),"",#REF!)</f>
        <v>#REF!</v>
      </c>
      <c r="JU10" s="7" t="e">
        <f>IF(OR(#REF!&gt;2,#REF!&lt;-2),"",#REF!)</f>
        <v>#REF!</v>
      </c>
      <c r="JV10" s="7" t="e">
        <f>IF(OR(#REF!&gt;2,#REF!&lt;-2),"",#REF!)</f>
        <v>#REF!</v>
      </c>
      <c r="JW10" s="7" t="e">
        <f>IF(OR(#REF!&gt;2,#REF!&lt;-2),"",#REF!)</f>
        <v>#REF!</v>
      </c>
      <c r="JX10" s="7" t="e">
        <f>IF(OR(#REF!&gt;2,#REF!&lt;-2),"",#REF!)</f>
        <v>#REF!</v>
      </c>
      <c r="JY10" s="7" t="e">
        <f>IF(OR(#REF!&gt;2,#REF!&lt;-2),"",#REF!)</f>
        <v>#REF!</v>
      </c>
      <c r="JZ10" s="7" t="e">
        <f>IF(OR(#REF!&gt;2,#REF!&lt;-2),"",#REF!)</f>
        <v>#REF!</v>
      </c>
      <c r="KA10" s="7" t="e">
        <f>IF(OR(#REF!&gt;2,#REF!&lt;-2),"",#REF!)</f>
        <v>#REF!</v>
      </c>
      <c r="KB10" s="7" t="e">
        <f>IF(OR(#REF!&gt;2,#REF!&lt;-2),"",#REF!)</f>
        <v>#REF!</v>
      </c>
      <c r="KC10" s="7" t="e">
        <f>IF(OR(#REF!&gt;2,#REF!&lt;-2),"",#REF!)</f>
        <v>#REF!</v>
      </c>
      <c r="KD10" s="7" t="e">
        <f>IF(OR(#REF!&gt;2,#REF!&lt;-2),"",#REF!)</f>
        <v>#REF!</v>
      </c>
      <c r="KE10" s="7" t="e">
        <f>IF(OR(#REF!&gt;2,#REF!&lt;-2),"",#REF!)</f>
        <v>#REF!</v>
      </c>
      <c r="KF10" s="7" t="e">
        <f>IF(OR(#REF!&gt;2,#REF!&lt;-2),"",#REF!)</f>
        <v>#REF!</v>
      </c>
      <c r="KG10" s="7" t="e">
        <f>IF(OR(#REF!&gt;2,#REF!&lt;-2),"",#REF!)</f>
        <v>#REF!</v>
      </c>
      <c r="KH10" s="7" t="e">
        <f>IF(OR(#REF!&gt;2,#REF!&lt;-2),"",#REF!)</f>
        <v>#REF!</v>
      </c>
      <c r="KI10" s="7" t="e">
        <f>IF(OR(#REF!&gt;2,#REF!&lt;-2),"",#REF!)</f>
        <v>#REF!</v>
      </c>
      <c r="KJ10" s="7" t="e">
        <f>IF(OR(#REF!&gt;2,#REF!&lt;-2),"",#REF!)</f>
        <v>#REF!</v>
      </c>
      <c r="KK10" s="7" t="e">
        <f>IF(OR(#REF!&gt;2,#REF!&lt;-2),"",#REF!)</f>
        <v>#REF!</v>
      </c>
      <c r="KL10" s="7" t="e">
        <f>IF(OR(#REF!&gt;2,#REF!&lt;-2),"",#REF!)</f>
        <v>#REF!</v>
      </c>
      <c r="KM10" s="7" t="e">
        <f>IF(OR(#REF!&gt;2,#REF!&lt;-2),"",#REF!)</f>
        <v>#REF!</v>
      </c>
      <c r="KN10" s="7" t="e">
        <f>IF(OR(#REF!&gt;2,#REF!&lt;-2),"",#REF!)</f>
        <v>#REF!</v>
      </c>
      <c r="KO10" s="7" t="e">
        <f>IF(OR(#REF!&gt;2,#REF!&lt;-2),"",#REF!)</f>
        <v>#REF!</v>
      </c>
      <c r="KP10" s="7" t="e">
        <f>IF(OR(#REF!&gt;2,#REF!&lt;-2),"",#REF!)</f>
        <v>#REF!</v>
      </c>
      <c r="KQ10" s="7" t="e">
        <f>IF(OR(#REF!&gt;2,#REF!&lt;-2),"",#REF!)</f>
        <v>#REF!</v>
      </c>
      <c r="KR10" s="7" t="e">
        <f>IF(OR(#REF!&gt;2,#REF!&lt;-2),"",#REF!)</f>
        <v>#REF!</v>
      </c>
      <c r="KS10" s="7" t="e">
        <f>IF(OR(#REF!&gt;2,#REF!&lt;-2),"",#REF!)</f>
        <v>#REF!</v>
      </c>
      <c r="KT10" s="7" t="e">
        <f>IF(OR(#REF!&gt;2,#REF!&lt;-2),"",#REF!)</f>
        <v>#REF!</v>
      </c>
      <c r="KU10" s="7" t="e">
        <f>IF(OR(#REF!&gt;2,#REF!&lt;-2),"",#REF!)</f>
        <v>#REF!</v>
      </c>
      <c r="KV10" s="7" t="e">
        <f>IF(OR(#REF!&gt;2,#REF!&lt;-2),"",#REF!)</f>
        <v>#REF!</v>
      </c>
      <c r="KW10" s="7" t="e">
        <f>IF(OR(#REF!&gt;2,#REF!&lt;-2),"",#REF!)</f>
        <v>#REF!</v>
      </c>
      <c r="KX10" s="7" t="e">
        <f>IF(OR(#REF!&gt;2,#REF!&lt;-2),"",#REF!)</f>
        <v>#REF!</v>
      </c>
      <c r="KY10" s="7" t="e">
        <f>IF(OR(#REF!&gt;2,#REF!&lt;-2),"",#REF!)</f>
        <v>#REF!</v>
      </c>
      <c r="KZ10" s="7" t="e">
        <f>IF(OR(#REF!&gt;2,#REF!&lt;-2),"",#REF!)</f>
        <v>#REF!</v>
      </c>
      <c r="LA10" s="7" t="e">
        <f>IF(OR(#REF!&gt;2,#REF!&lt;-2),"",#REF!)</f>
        <v>#REF!</v>
      </c>
      <c r="LB10" s="7" t="e">
        <f>IF(OR(#REF!&gt;2,#REF!&lt;-2),"",#REF!)</f>
        <v>#REF!</v>
      </c>
      <c r="LC10" s="7" t="e">
        <f>IF(OR(#REF!&gt;2,#REF!&lt;-2),"",#REF!)</f>
        <v>#REF!</v>
      </c>
      <c r="LD10" s="7" t="e">
        <f>IF(OR(#REF!&gt;2,#REF!&lt;-2),"",#REF!)</f>
        <v>#REF!</v>
      </c>
      <c r="LE10" s="7" t="e">
        <f>IF(OR(#REF!&gt;2,#REF!&lt;-2),"",#REF!)</f>
        <v>#REF!</v>
      </c>
      <c r="LF10" s="7" t="e">
        <f>IF(OR(#REF!&gt;2,#REF!&lt;-2),"",#REF!)</f>
        <v>#REF!</v>
      </c>
      <c r="LG10" s="7" t="e">
        <f>IF(OR(#REF!&gt;2,#REF!&lt;-2),"",#REF!)</f>
        <v>#REF!</v>
      </c>
      <c r="LH10" s="7" t="e">
        <f>IF(OR(#REF!&gt;2,#REF!&lt;-2),"",#REF!)</f>
        <v>#REF!</v>
      </c>
      <c r="LI10" s="7" t="e">
        <f>IF(OR(#REF!&gt;2,#REF!&lt;-2),"",#REF!)</f>
        <v>#REF!</v>
      </c>
      <c r="LJ10" s="7" t="e">
        <f>IF(OR(#REF!&gt;2,#REF!&lt;-2),"",#REF!)</f>
        <v>#REF!</v>
      </c>
      <c r="LK10" s="7" t="e">
        <f>IF(OR(#REF!&gt;2,#REF!&lt;-2),"",#REF!)</f>
        <v>#REF!</v>
      </c>
      <c r="LL10" s="7" t="e">
        <f>IF(OR(#REF!&gt;2,#REF!&lt;-2),"",#REF!)</f>
        <v>#REF!</v>
      </c>
      <c r="LM10" s="7" t="e">
        <f>IF(OR(#REF!&gt;2,#REF!&lt;-2),"",#REF!)</f>
        <v>#REF!</v>
      </c>
      <c r="LN10" s="7" t="e">
        <f>IF(OR(#REF!&gt;2,#REF!&lt;-2),"",#REF!)</f>
        <v>#REF!</v>
      </c>
      <c r="LO10" s="7" t="e">
        <f>IF(OR(#REF!&gt;2,#REF!&lt;-2),"",#REF!)</f>
        <v>#REF!</v>
      </c>
      <c r="LP10" s="7" t="e">
        <f>IF(OR(#REF!&gt;2,#REF!&lt;-2),"",#REF!)</f>
        <v>#REF!</v>
      </c>
      <c r="LQ10" s="7" t="e">
        <f>IF(OR(#REF!&gt;2,#REF!&lt;-2),"",#REF!)</f>
        <v>#REF!</v>
      </c>
      <c r="LR10" s="7" t="e">
        <f>IF(OR(#REF!&gt;2,#REF!&lt;-2),"",#REF!)</f>
        <v>#REF!</v>
      </c>
      <c r="LS10" s="7" t="e">
        <f>IF(OR(#REF!&gt;2,#REF!&lt;-2),"",#REF!)</f>
        <v>#REF!</v>
      </c>
      <c r="LT10" s="7" t="e">
        <f>IF(OR(#REF!&gt;2,#REF!&lt;-2),"",#REF!)</f>
        <v>#REF!</v>
      </c>
      <c r="LU10" s="7" t="e">
        <f>IF(OR(#REF!&gt;2,#REF!&lt;-2),"",#REF!)</f>
        <v>#REF!</v>
      </c>
      <c r="LV10" s="7" t="e">
        <f>IF(OR(#REF!&gt;2,#REF!&lt;-2),"",#REF!)</f>
        <v>#REF!</v>
      </c>
      <c r="LW10" s="7" t="e">
        <f>IF(OR(#REF!&gt;2,#REF!&lt;-2),"",#REF!)</f>
        <v>#REF!</v>
      </c>
      <c r="LX10" s="7" t="e">
        <f>IF(OR(#REF!&gt;2,#REF!&lt;-2),"",#REF!)</f>
        <v>#REF!</v>
      </c>
      <c r="LY10" s="7" t="e">
        <f>IF(OR(#REF!&gt;2,#REF!&lt;-2),"",#REF!)</f>
        <v>#REF!</v>
      </c>
      <c r="LZ10" s="7" t="e">
        <f>IF(OR(#REF!&gt;2,#REF!&lt;-2),"",#REF!)</f>
        <v>#REF!</v>
      </c>
      <c r="MA10" s="7" t="e">
        <f>IF(OR(#REF!&gt;2,#REF!&lt;-2),"",#REF!)</f>
        <v>#REF!</v>
      </c>
      <c r="MB10" s="7" t="e">
        <f>IF(OR(#REF!&gt;2,#REF!&lt;-2),"",#REF!)</f>
        <v>#REF!</v>
      </c>
      <c r="MC10" s="7" t="e">
        <f>IF(OR(#REF!&gt;2,#REF!&lt;-2),"",#REF!)</f>
        <v>#REF!</v>
      </c>
      <c r="MD10" s="7" t="e">
        <f>IF(OR(#REF!&gt;2,#REF!&lt;-2),"",#REF!)</f>
        <v>#REF!</v>
      </c>
      <c r="ME10" s="7" t="e">
        <f>IF(OR(#REF!&gt;2,#REF!&lt;-2),"",#REF!)</f>
        <v>#REF!</v>
      </c>
      <c r="MF10" s="7" t="e">
        <f>IF(OR(#REF!&gt;2,#REF!&lt;-2),"",#REF!)</f>
        <v>#REF!</v>
      </c>
      <c r="MG10" s="7" t="e">
        <f>IF(OR(#REF!&gt;2,#REF!&lt;-2),"",#REF!)</f>
        <v>#REF!</v>
      </c>
      <c r="MH10" s="7" t="e">
        <f>IF(OR(#REF!&gt;2,#REF!&lt;-2),"",#REF!)</f>
        <v>#REF!</v>
      </c>
      <c r="MI10" s="7" t="e">
        <f>IF(OR(#REF!&gt;2,#REF!&lt;-2),"",#REF!)</f>
        <v>#REF!</v>
      </c>
      <c r="MJ10" s="7" t="e">
        <f>IF(OR(#REF!&gt;2,#REF!&lt;-2),"",#REF!)</f>
        <v>#REF!</v>
      </c>
      <c r="MK10" s="7" t="e">
        <f>IF(OR(#REF!&gt;2,#REF!&lt;-2),"",#REF!)</f>
        <v>#REF!</v>
      </c>
      <c r="ML10" s="7" t="e">
        <f>IF(OR(#REF!&gt;2,#REF!&lt;-2),"",#REF!)</f>
        <v>#REF!</v>
      </c>
      <c r="MM10" s="7" t="e">
        <f>IF(OR(#REF!&gt;2,#REF!&lt;-2),"",#REF!)</f>
        <v>#REF!</v>
      </c>
      <c r="MN10" s="7" t="e">
        <f>IF(OR(#REF!&gt;2,#REF!&lt;-2),"",#REF!)</f>
        <v>#REF!</v>
      </c>
      <c r="MO10" s="7" t="e">
        <f>IF(OR(#REF!&gt;2,#REF!&lt;-2),"",#REF!)</f>
        <v>#REF!</v>
      </c>
      <c r="MP10" s="7" t="e">
        <f>IF(OR(#REF!&gt;2,#REF!&lt;-2),"",#REF!)</f>
        <v>#REF!</v>
      </c>
      <c r="MQ10" s="7" t="e">
        <f>IF(OR(#REF!&gt;2,#REF!&lt;-2),"",#REF!)</f>
        <v>#REF!</v>
      </c>
      <c r="MR10" s="7" t="e">
        <f>IF(OR(#REF!&gt;2,#REF!&lt;-2),"",#REF!)</f>
        <v>#REF!</v>
      </c>
      <c r="MS10" s="7" t="e">
        <f>IF(OR(#REF!&gt;2,#REF!&lt;-2),"",#REF!)</f>
        <v>#REF!</v>
      </c>
      <c r="MT10" s="7" t="e">
        <f>IF(OR(#REF!&gt;2,#REF!&lt;-2),"",#REF!)</f>
        <v>#REF!</v>
      </c>
      <c r="MU10" s="7" t="e">
        <f>IF(OR(#REF!&gt;2,#REF!&lt;-2),"",#REF!)</f>
        <v>#REF!</v>
      </c>
      <c r="MV10" s="7" t="e">
        <f>IF(OR(#REF!&gt;2,#REF!&lt;-2),"",#REF!)</f>
        <v>#REF!</v>
      </c>
      <c r="MW10" s="7" t="e">
        <f>IF(OR(#REF!&gt;2,#REF!&lt;-2),"",#REF!)</f>
        <v>#REF!</v>
      </c>
      <c r="MX10" s="7" t="e">
        <f>IF(OR(#REF!&gt;2,#REF!&lt;-2),"",#REF!)</f>
        <v>#REF!</v>
      </c>
      <c r="MY10" s="7" t="e">
        <f>IF(OR(#REF!&gt;2,#REF!&lt;-2),"",#REF!)</f>
        <v>#REF!</v>
      </c>
      <c r="MZ10" s="7" t="e">
        <f>IF(OR(#REF!&gt;2,#REF!&lt;-2),"",#REF!)</f>
        <v>#REF!</v>
      </c>
      <c r="NA10" s="7" t="e">
        <f>IF(OR(#REF!&gt;2,#REF!&lt;-2),"",#REF!)</f>
        <v>#REF!</v>
      </c>
      <c r="NB10" s="7" t="e">
        <f>IF(OR(#REF!&gt;2,#REF!&lt;-2),"",#REF!)</f>
        <v>#REF!</v>
      </c>
      <c r="NC10" s="7" t="e">
        <f>IF(OR(#REF!&gt;2,#REF!&lt;-2),"",#REF!)</f>
        <v>#REF!</v>
      </c>
      <c r="ND10" s="7" t="e">
        <f>IF(OR(#REF!&gt;2,#REF!&lt;-2),"",#REF!)</f>
        <v>#REF!</v>
      </c>
      <c r="NE10" s="7" t="e">
        <f>IF(OR(#REF!&gt;2,#REF!&lt;-2),"",#REF!)</f>
        <v>#REF!</v>
      </c>
      <c r="NF10" s="7" t="e">
        <f>IF(OR(#REF!&gt;2,#REF!&lt;-2),"",#REF!)</f>
        <v>#REF!</v>
      </c>
      <c r="NG10" s="7" t="e">
        <f>IF(OR(#REF!&gt;2,#REF!&lt;-2),"",#REF!)</f>
        <v>#REF!</v>
      </c>
      <c r="NH10" s="7" t="e">
        <f>IF(OR(#REF!&gt;2,#REF!&lt;-2),"",#REF!)</f>
        <v>#REF!</v>
      </c>
      <c r="NI10" s="7" t="e">
        <f>IF(OR(#REF!&gt;2,#REF!&lt;-2),"",#REF!)</f>
        <v>#REF!</v>
      </c>
      <c r="NJ10" s="7" t="e">
        <f>IF(OR(#REF!&gt;2,#REF!&lt;-2),"",#REF!)</f>
        <v>#REF!</v>
      </c>
      <c r="NK10" s="7" t="e">
        <f>IF(OR(#REF!&gt;2,#REF!&lt;-2),"",#REF!)</f>
        <v>#REF!</v>
      </c>
      <c r="NL10" s="7" t="e">
        <f>IF(OR(#REF!&gt;2,#REF!&lt;-2),"",#REF!)</f>
        <v>#REF!</v>
      </c>
      <c r="NM10" s="7" t="e">
        <f>IF(OR(#REF!&gt;2,#REF!&lt;-2),"",#REF!)</f>
        <v>#REF!</v>
      </c>
      <c r="NN10" s="7" t="e">
        <f>IF(OR(#REF!&gt;2,#REF!&lt;-2),"",#REF!)</f>
        <v>#REF!</v>
      </c>
      <c r="NO10" s="7" t="e">
        <f>IF(OR(#REF!&gt;2,#REF!&lt;-2),"",#REF!)</f>
        <v>#REF!</v>
      </c>
      <c r="NP10" s="7" t="e">
        <f>IF(OR(#REF!&gt;2,#REF!&lt;-2),"",#REF!)</f>
        <v>#REF!</v>
      </c>
      <c r="NQ10" s="7" t="e">
        <f>IF(OR(#REF!&gt;2,#REF!&lt;-2),"",#REF!)</f>
        <v>#REF!</v>
      </c>
      <c r="NR10" s="7" t="e">
        <f>IF(OR(#REF!&gt;2,#REF!&lt;-2),"",#REF!)</f>
        <v>#REF!</v>
      </c>
      <c r="NS10" s="7" t="e">
        <f>IF(OR(#REF!&gt;2,#REF!&lt;-2),"",#REF!)</f>
        <v>#REF!</v>
      </c>
      <c r="NT10" s="7" t="e">
        <f>IF(OR(#REF!&gt;2,#REF!&lt;-2),"",#REF!)</f>
        <v>#REF!</v>
      </c>
      <c r="NU10" s="7" t="e">
        <f>IF(OR(#REF!&gt;2,#REF!&lt;-2),"",#REF!)</f>
        <v>#REF!</v>
      </c>
      <c r="NV10" s="7" t="e">
        <f>IF(OR(#REF!&gt;2,#REF!&lt;-2),"",#REF!)</f>
        <v>#REF!</v>
      </c>
      <c r="NW10" s="7" t="e">
        <f>IF(OR(#REF!&gt;2,#REF!&lt;-2),"",#REF!)</f>
        <v>#REF!</v>
      </c>
      <c r="NX10" s="7" t="e">
        <f>IF(OR(#REF!&gt;2,#REF!&lt;-2),"",#REF!)</f>
        <v>#REF!</v>
      </c>
      <c r="NY10" s="7" t="e">
        <f>IF(OR(#REF!&gt;2,#REF!&lt;-2),"",#REF!)</f>
        <v>#REF!</v>
      </c>
      <c r="NZ10" s="7" t="e">
        <f>IF(OR(#REF!&gt;2,#REF!&lt;-2),"",#REF!)</f>
        <v>#REF!</v>
      </c>
      <c r="OA10" s="7" t="e">
        <f>IF(OR(#REF!&gt;2,#REF!&lt;-2),"",#REF!)</f>
        <v>#REF!</v>
      </c>
      <c r="OB10" s="7" t="e">
        <f>IF(OR(#REF!&gt;2,#REF!&lt;-2),"",#REF!)</f>
        <v>#REF!</v>
      </c>
      <c r="OC10" s="7" t="e">
        <f>IF(OR(#REF!&gt;2,#REF!&lt;-2),"",#REF!)</f>
        <v>#REF!</v>
      </c>
      <c r="OD10" s="7" t="e">
        <f>IF(OR(#REF!&gt;2,#REF!&lt;-2),"",#REF!)</f>
        <v>#REF!</v>
      </c>
      <c r="OE10" s="7" t="e">
        <f>IF(OR(#REF!&gt;2,#REF!&lt;-2),"",#REF!)</f>
        <v>#REF!</v>
      </c>
      <c r="OF10" s="7" t="e">
        <f>IF(OR(#REF!&gt;2,#REF!&lt;-2),"",#REF!)</f>
        <v>#REF!</v>
      </c>
      <c r="OG10" s="7" t="e">
        <f>IF(OR(#REF!&gt;2,#REF!&lt;-2),"",#REF!)</f>
        <v>#REF!</v>
      </c>
      <c r="OH10" s="7" t="e">
        <f>IF(OR(#REF!&gt;2,#REF!&lt;-2),"",#REF!)</f>
        <v>#REF!</v>
      </c>
      <c r="OI10" s="7" t="e">
        <f>IF(OR(#REF!&gt;2,#REF!&lt;-2),"",#REF!)</f>
        <v>#REF!</v>
      </c>
      <c r="OJ10" s="7" t="e">
        <f>IF(OR(#REF!&gt;2,#REF!&lt;-2),"",#REF!)</f>
        <v>#REF!</v>
      </c>
      <c r="OK10" s="7" t="e">
        <f>IF(OR(#REF!&gt;2,#REF!&lt;-2),"",#REF!)</f>
        <v>#REF!</v>
      </c>
      <c r="OL10" s="7" t="e">
        <f>IF(OR(#REF!&gt;2,#REF!&lt;-2),"",#REF!)</f>
        <v>#REF!</v>
      </c>
      <c r="OM10" s="7" t="e">
        <f>IF(OR(#REF!&gt;2,#REF!&lt;-2),"",#REF!)</f>
        <v>#REF!</v>
      </c>
      <c r="ON10" s="7" t="e">
        <f>IF(OR(#REF!&gt;2,#REF!&lt;-2),"",#REF!)</f>
        <v>#REF!</v>
      </c>
      <c r="OO10" s="7" t="e">
        <f>IF(OR(#REF!&gt;2,#REF!&lt;-2),"",#REF!)</f>
        <v>#REF!</v>
      </c>
      <c r="OP10" s="7" t="e">
        <f>IF(OR(#REF!&gt;2,#REF!&lt;-2),"",#REF!)</f>
        <v>#REF!</v>
      </c>
      <c r="OQ10" s="7" t="e">
        <f>IF(OR(#REF!&gt;2,#REF!&lt;-2),"",#REF!)</f>
        <v>#REF!</v>
      </c>
      <c r="OR10" s="7" t="e">
        <f>IF(OR(#REF!&gt;2,#REF!&lt;-2),"",#REF!)</f>
        <v>#REF!</v>
      </c>
      <c r="OS10" s="7" t="e">
        <f>IF(OR(#REF!&gt;2,#REF!&lt;-2),"",#REF!)</f>
        <v>#REF!</v>
      </c>
      <c r="OT10" s="7" t="e">
        <f>IF(OR(#REF!&gt;2,#REF!&lt;-2),"",#REF!)</f>
        <v>#REF!</v>
      </c>
      <c r="OU10" s="7" t="e">
        <f>IF(OR(#REF!&gt;2,#REF!&lt;-2),"",#REF!)</f>
        <v>#REF!</v>
      </c>
      <c r="OV10" s="7" t="e">
        <f>IF(OR(#REF!&gt;2,#REF!&lt;-2),"",#REF!)</f>
        <v>#REF!</v>
      </c>
      <c r="OW10" s="7" t="e">
        <f>IF(OR(#REF!&gt;2,#REF!&lt;-2),"",#REF!)</f>
        <v>#REF!</v>
      </c>
      <c r="OX10" s="7" t="e">
        <f>IF(OR(#REF!&gt;2,#REF!&lt;-2),"",#REF!)</f>
        <v>#REF!</v>
      </c>
      <c r="OY10" s="7" t="e">
        <f>IF(OR(#REF!&gt;2,#REF!&lt;-2),"",#REF!)</f>
        <v>#REF!</v>
      </c>
      <c r="OZ10" s="7" t="e">
        <f>IF(OR(#REF!&gt;2,#REF!&lt;-2),"",#REF!)</f>
        <v>#REF!</v>
      </c>
      <c r="PA10" s="7" t="e">
        <f>IF(OR(#REF!&gt;2,#REF!&lt;-2),"",#REF!)</f>
        <v>#REF!</v>
      </c>
      <c r="PB10" s="7" t="e">
        <f>IF(OR(#REF!&gt;2,#REF!&lt;-2),"",#REF!)</f>
        <v>#REF!</v>
      </c>
      <c r="PC10" s="7" t="e">
        <f>IF(OR(#REF!&gt;2,#REF!&lt;-2),"",#REF!)</f>
        <v>#REF!</v>
      </c>
      <c r="PD10" s="7" t="e">
        <f>IF(OR(#REF!&gt;2,#REF!&lt;-2),"",#REF!)</f>
        <v>#REF!</v>
      </c>
      <c r="PE10" s="7" t="e">
        <f>IF(OR(#REF!&gt;2,#REF!&lt;-2),"",#REF!)</f>
        <v>#REF!</v>
      </c>
      <c r="PF10" s="7" t="e">
        <f>IF(OR(#REF!&gt;2,#REF!&lt;-2),"",#REF!)</f>
        <v>#REF!</v>
      </c>
      <c r="PG10" s="7" t="e">
        <f>IF(OR(#REF!&gt;2,#REF!&lt;-2),"",#REF!)</f>
        <v>#REF!</v>
      </c>
      <c r="PH10" s="7" t="e">
        <f>IF(OR(#REF!&gt;2,#REF!&lt;-2),"",#REF!)</f>
        <v>#REF!</v>
      </c>
      <c r="PI10" s="7" t="e">
        <f>IF(OR(#REF!&gt;2,#REF!&lt;-2),"",#REF!)</f>
        <v>#REF!</v>
      </c>
      <c r="PJ10" s="7" t="e">
        <f>IF(OR(#REF!&gt;2,#REF!&lt;-2),"",#REF!)</f>
        <v>#REF!</v>
      </c>
      <c r="PK10" s="7" t="e">
        <f>IF(OR(#REF!&gt;2,#REF!&lt;-2),"",#REF!)</f>
        <v>#REF!</v>
      </c>
      <c r="PL10" s="7" t="e">
        <f>IF(OR(#REF!&gt;2,#REF!&lt;-2),"",#REF!)</f>
        <v>#REF!</v>
      </c>
      <c r="PM10" s="7" t="e">
        <f>IF(OR(#REF!&gt;2,#REF!&lt;-2),"",#REF!)</f>
        <v>#REF!</v>
      </c>
      <c r="PN10" s="7" t="e">
        <f>IF(OR(#REF!&gt;2,#REF!&lt;-2),"",#REF!)</f>
        <v>#REF!</v>
      </c>
      <c r="PO10" s="7" t="e">
        <f>IF(OR(#REF!&gt;2,#REF!&lt;-2),"",#REF!)</f>
        <v>#REF!</v>
      </c>
      <c r="PP10" s="7" t="e">
        <f>IF(OR(#REF!&gt;2,#REF!&lt;-2),"",#REF!)</f>
        <v>#REF!</v>
      </c>
      <c r="PQ10" s="7" t="e">
        <f>IF(OR(#REF!&gt;2,#REF!&lt;-2),"",#REF!)</f>
        <v>#REF!</v>
      </c>
      <c r="PR10" s="7" t="e">
        <f>IF(OR(#REF!&gt;2,#REF!&lt;-2),"",#REF!)</f>
        <v>#REF!</v>
      </c>
      <c r="PS10" s="7" t="e">
        <f>IF(OR(#REF!&gt;2,#REF!&lt;-2),"",#REF!)</f>
        <v>#REF!</v>
      </c>
      <c r="PT10" s="7" t="e">
        <f>IF(OR(#REF!&gt;2,#REF!&lt;-2),"",#REF!)</f>
        <v>#REF!</v>
      </c>
      <c r="PU10" s="7" t="e">
        <f>IF(OR(#REF!&gt;2,#REF!&lt;-2),"",#REF!)</f>
        <v>#REF!</v>
      </c>
      <c r="PV10" s="7" t="e">
        <f>IF(OR(#REF!&gt;2,#REF!&lt;-2),"",#REF!)</f>
        <v>#REF!</v>
      </c>
      <c r="PW10" s="7" t="e">
        <f>IF(OR(#REF!&gt;2,#REF!&lt;-2),"",#REF!)</f>
        <v>#REF!</v>
      </c>
      <c r="PX10" s="7" t="e">
        <f>IF(OR(#REF!&gt;2,#REF!&lt;-2),"",#REF!)</f>
        <v>#REF!</v>
      </c>
      <c r="PY10" s="7" t="e">
        <f>IF(OR(#REF!&gt;2,#REF!&lt;-2),"",#REF!)</f>
        <v>#REF!</v>
      </c>
      <c r="PZ10" s="7" t="e">
        <f>IF(OR(#REF!&gt;2,#REF!&lt;-2),"",#REF!)</f>
        <v>#REF!</v>
      </c>
      <c r="QA10" s="7" t="e">
        <f>IF(OR(#REF!&gt;2,#REF!&lt;-2),"",#REF!)</f>
        <v>#REF!</v>
      </c>
      <c r="QB10" s="7" t="e">
        <f>IF(OR(#REF!&gt;2,#REF!&lt;-2),"",#REF!)</f>
        <v>#REF!</v>
      </c>
      <c r="QC10" s="7" t="e">
        <f>IF(OR(#REF!&gt;2,#REF!&lt;-2),"",#REF!)</f>
        <v>#REF!</v>
      </c>
      <c r="QD10" s="7" t="e">
        <f>IF(OR(#REF!&gt;2,#REF!&lt;-2),"",#REF!)</f>
        <v>#REF!</v>
      </c>
      <c r="QE10" s="7" t="e">
        <f>IF(OR(#REF!&gt;2,#REF!&lt;-2),"",#REF!)</f>
        <v>#REF!</v>
      </c>
      <c r="QF10" s="7" t="e">
        <f>IF(OR(#REF!&gt;2,#REF!&lt;-2),"",#REF!)</f>
        <v>#REF!</v>
      </c>
      <c r="QG10" s="7" t="e">
        <f>IF(OR(#REF!&gt;2,#REF!&lt;-2),"",#REF!)</f>
        <v>#REF!</v>
      </c>
      <c r="QH10" s="7" t="e">
        <f>IF(OR(#REF!&gt;2,#REF!&lt;-2),"",#REF!)</f>
        <v>#REF!</v>
      </c>
      <c r="QI10" s="7" t="e">
        <f>IF(OR(#REF!&gt;2,#REF!&lt;-2),"",#REF!)</f>
        <v>#REF!</v>
      </c>
      <c r="QJ10" s="7" t="e">
        <f>IF(OR(#REF!&gt;2,#REF!&lt;-2),"",#REF!)</f>
        <v>#REF!</v>
      </c>
      <c r="QK10" s="7" t="e">
        <f>IF(OR(#REF!&gt;2,#REF!&lt;-2),"",#REF!)</f>
        <v>#REF!</v>
      </c>
      <c r="QL10" s="7" t="e">
        <f>IF(OR(#REF!&gt;2,#REF!&lt;-2),"",#REF!)</f>
        <v>#REF!</v>
      </c>
      <c r="QM10" s="7" t="e">
        <f>IF(OR(#REF!&gt;2,#REF!&lt;-2),"",#REF!)</f>
        <v>#REF!</v>
      </c>
      <c r="QN10" s="7" t="e">
        <f>IF(OR(#REF!&gt;2,#REF!&lt;-2),"",#REF!)</f>
        <v>#REF!</v>
      </c>
      <c r="QO10" s="7" t="e">
        <f>IF(OR(#REF!&gt;2,#REF!&lt;-2),"",#REF!)</f>
        <v>#REF!</v>
      </c>
      <c r="QP10" s="7" t="e">
        <f>IF(OR(#REF!&gt;2,#REF!&lt;-2),"",#REF!)</f>
        <v>#REF!</v>
      </c>
      <c r="QQ10" s="7" t="e">
        <f>IF(OR(#REF!&gt;2,#REF!&lt;-2),"",#REF!)</f>
        <v>#REF!</v>
      </c>
      <c r="QR10" s="7" t="e">
        <f>IF(OR(#REF!&gt;2,#REF!&lt;-2),"",#REF!)</f>
        <v>#REF!</v>
      </c>
      <c r="QS10" s="7" t="e">
        <f>IF(OR(#REF!&gt;2,#REF!&lt;-2),"",#REF!)</f>
        <v>#REF!</v>
      </c>
      <c r="QT10" s="7" t="e">
        <f>IF(OR(#REF!&gt;2,#REF!&lt;-2),"",#REF!)</f>
        <v>#REF!</v>
      </c>
      <c r="QU10" s="7" t="e">
        <f>IF(OR(#REF!&gt;2,#REF!&lt;-2),"",#REF!)</f>
        <v>#REF!</v>
      </c>
      <c r="QV10" s="7" t="e">
        <f>IF(OR(#REF!&gt;2,#REF!&lt;-2),"",#REF!)</f>
        <v>#REF!</v>
      </c>
      <c r="QW10" s="7" t="e">
        <f>IF(OR(#REF!&gt;2,#REF!&lt;-2),"",#REF!)</f>
        <v>#REF!</v>
      </c>
      <c r="QX10" s="7" t="e">
        <f>IF(OR(#REF!&gt;2,#REF!&lt;-2),"",#REF!)</f>
        <v>#REF!</v>
      </c>
      <c r="QY10" s="7" t="e">
        <f>IF(OR(#REF!&gt;2,#REF!&lt;-2),"",#REF!)</f>
        <v>#REF!</v>
      </c>
      <c r="QZ10" s="7" t="e">
        <f>IF(OR(#REF!&gt;2,#REF!&lt;-2),"",#REF!)</f>
        <v>#REF!</v>
      </c>
      <c r="RA10" s="7" t="e">
        <f>IF(OR(#REF!&gt;2,#REF!&lt;-2),"",#REF!)</f>
        <v>#REF!</v>
      </c>
      <c r="RB10" s="7" t="e">
        <f>IF(OR(#REF!&gt;2,#REF!&lt;-2),"",#REF!)</f>
        <v>#REF!</v>
      </c>
      <c r="RC10" s="7" t="e">
        <f>IF(OR(#REF!&gt;2,#REF!&lt;-2),"",#REF!)</f>
        <v>#REF!</v>
      </c>
      <c r="RD10" s="7" t="e">
        <f>IF(OR(#REF!&gt;2,#REF!&lt;-2),"",#REF!)</f>
        <v>#REF!</v>
      </c>
      <c r="RE10" s="7" t="e">
        <f>IF(OR(#REF!&gt;2,#REF!&lt;-2),"",#REF!)</f>
        <v>#REF!</v>
      </c>
      <c r="RF10" s="7" t="e">
        <f>IF(OR(#REF!&gt;2,#REF!&lt;-2),"",#REF!)</f>
        <v>#REF!</v>
      </c>
      <c r="RG10" s="7" t="e">
        <f>IF(OR(#REF!&gt;2,#REF!&lt;-2),"",#REF!)</f>
        <v>#REF!</v>
      </c>
      <c r="RH10" s="7" t="e">
        <f>IF(OR(#REF!&gt;2,#REF!&lt;-2),"",#REF!)</f>
        <v>#REF!</v>
      </c>
      <c r="RI10" s="7" t="e">
        <f>IF(OR(#REF!&gt;2,#REF!&lt;-2),"",#REF!)</f>
        <v>#REF!</v>
      </c>
      <c r="RJ10" s="7" t="e">
        <f>IF(OR(#REF!&gt;2,#REF!&lt;-2),"",#REF!)</f>
        <v>#REF!</v>
      </c>
      <c r="RK10" s="7" t="e">
        <f>IF(OR(#REF!&gt;2,#REF!&lt;-2),"",#REF!)</f>
        <v>#REF!</v>
      </c>
      <c r="RL10" s="7" t="e">
        <f>IF(OR(#REF!&gt;2,#REF!&lt;-2),"",#REF!)</f>
        <v>#REF!</v>
      </c>
      <c r="RM10" s="7" t="e">
        <f>IF(OR(#REF!&gt;2,#REF!&lt;-2),"",#REF!)</f>
        <v>#REF!</v>
      </c>
      <c r="RN10" s="7" t="e">
        <f>IF(OR(#REF!&gt;2,#REF!&lt;-2),"",#REF!)</f>
        <v>#REF!</v>
      </c>
      <c r="RO10" s="7" t="e">
        <f>IF(OR(#REF!&gt;2,#REF!&lt;-2),"",#REF!)</f>
        <v>#REF!</v>
      </c>
      <c r="RP10" s="7" t="e">
        <f>IF(OR(#REF!&gt;2,#REF!&lt;-2),"",#REF!)</f>
        <v>#REF!</v>
      </c>
      <c r="RQ10" s="7" t="e">
        <f>IF(OR(#REF!&gt;2,#REF!&lt;-2),"",#REF!)</f>
        <v>#REF!</v>
      </c>
      <c r="RR10" s="7" t="e">
        <f>IF(OR(#REF!&gt;2,#REF!&lt;-2),"",#REF!)</f>
        <v>#REF!</v>
      </c>
      <c r="RS10" s="7" t="e">
        <f>IF(OR(#REF!&gt;2,#REF!&lt;-2),"",#REF!)</f>
        <v>#REF!</v>
      </c>
      <c r="RT10" s="7" t="e">
        <f>IF(OR(#REF!&gt;2,#REF!&lt;-2),"",#REF!)</f>
        <v>#REF!</v>
      </c>
      <c r="RU10" s="7" t="e">
        <f>IF(OR(#REF!&gt;2,#REF!&lt;-2),"",#REF!)</f>
        <v>#REF!</v>
      </c>
      <c r="RV10" s="7" t="e">
        <f>IF(OR(#REF!&gt;2,#REF!&lt;-2),"",#REF!)</f>
        <v>#REF!</v>
      </c>
      <c r="RW10" s="7" t="e">
        <f>IF(OR(#REF!&gt;2,#REF!&lt;-2),"",#REF!)</f>
        <v>#REF!</v>
      </c>
      <c r="RX10" s="7" t="e">
        <f>IF(OR(#REF!&gt;2,#REF!&lt;-2),"",#REF!)</f>
        <v>#REF!</v>
      </c>
      <c r="RY10" s="7" t="e">
        <f>IF(OR(#REF!&gt;2,#REF!&lt;-2),"",#REF!)</f>
        <v>#REF!</v>
      </c>
      <c r="RZ10" s="7" t="e">
        <f>IF(OR(#REF!&gt;2,#REF!&lt;-2),"",#REF!)</f>
        <v>#REF!</v>
      </c>
      <c r="SA10" s="7" t="e">
        <f>IF(OR(#REF!&gt;2,#REF!&lt;-2),"",#REF!)</f>
        <v>#REF!</v>
      </c>
      <c r="SB10" s="7" t="e">
        <f>IF(OR(#REF!&gt;2,#REF!&lt;-2),"",#REF!)</f>
        <v>#REF!</v>
      </c>
      <c r="SC10" s="7" t="e">
        <f>IF(OR(#REF!&gt;2,#REF!&lt;-2),"",#REF!)</f>
        <v>#REF!</v>
      </c>
      <c r="SD10" s="7" t="e">
        <f>IF(OR(#REF!&gt;2,#REF!&lt;-2),"",#REF!)</f>
        <v>#REF!</v>
      </c>
      <c r="SE10" s="7" t="e">
        <f>IF(OR(#REF!&gt;2,#REF!&lt;-2),"",#REF!)</f>
        <v>#REF!</v>
      </c>
      <c r="SF10" s="7" t="e">
        <f>IF(OR(#REF!&gt;2,#REF!&lt;-2),"",#REF!)</f>
        <v>#REF!</v>
      </c>
      <c r="SG10" s="7" t="e">
        <f>IF(OR(#REF!&gt;2,#REF!&lt;-2),"",#REF!)</f>
        <v>#REF!</v>
      </c>
      <c r="SH10" s="7" t="e">
        <f>IF(OR(#REF!&gt;2,#REF!&lt;-2),"",#REF!)</f>
        <v>#REF!</v>
      </c>
      <c r="SI10" s="7" t="e">
        <f>IF(OR(#REF!&gt;2,#REF!&lt;-2),"",#REF!)</f>
        <v>#REF!</v>
      </c>
      <c r="SJ10" s="7" t="e">
        <f>IF(OR(#REF!&gt;2,#REF!&lt;-2),"",#REF!)</f>
        <v>#REF!</v>
      </c>
      <c r="SK10" s="7" t="e">
        <f>IF(OR(#REF!&gt;2,#REF!&lt;-2),"",#REF!)</f>
        <v>#REF!</v>
      </c>
      <c r="SL10" s="7" t="e">
        <f>IF(OR(#REF!&gt;2,#REF!&lt;-2),"",#REF!)</f>
        <v>#REF!</v>
      </c>
      <c r="SM10" s="7" t="e">
        <f>IF(OR(#REF!&gt;2,#REF!&lt;-2),"",#REF!)</f>
        <v>#REF!</v>
      </c>
      <c r="SN10" s="7" t="e">
        <f>IF(OR(#REF!&gt;2,#REF!&lt;-2),"",#REF!)</f>
        <v>#REF!</v>
      </c>
      <c r="SO10" s="7" t="e">
        <f>IF(OR(#REF!&gt;2,#REF!&lt;-2),"",#REF!)</f>
        <v>#REF!</v>
      </c>
      <c r="SP10" s="7" t="e">
        <f>IF(OR(#REF!&gt;2,#REF!&lt;-2),"",#REF!)</f>
        <v>#REF!</v>
      </c>
      <c r="SQ10" s="7" t="e">
        <f>IF(OR(#REF!&gt;2,#REF!&lt;-2),"",#REF!)</f>
        <v>#REF!</v>
      </c>
      <c r="SR10" s="7" t="e">
        <f>IF(OR(#REF!&gt;2,#REF!&lt;-2),"",#REF!)</f>
        <v>#REF!</v>
      </c>
      <c r="SS10" s="7" t="e">
        <f>IF(OR(#REF!&gt;2,#REF!&lt;-2),"",#REF!)</f>
        <v>#REF!</v>
      </c>
      <c r="ST10" s="7" t="e">
        <f>IF(OR(#REF!&gt;2,#REF!&lt;-2),"",#REF!)</f>
        <v>#REF!</v>
      </c>
      <c r="SU10" s="7" t="e">
        <f>IF(OR(#REF!&gt;2,#REF!&lt;-2),"",#REF!)</f>
        <v>#REF!</v>
      </c>
      <c r="SV10" s="7" t="e">
        <f>IF(OR(#REF!&gt;2,#REF!&lt;-2),"",#REF!)</f>
        <v>#REF!</v>
      </c>
      <c r="SW10" s="7" t="e">
        <f>IF(OR(#REF!&gt;2,#REF!&lt;-2),"",#REF!)</f>
        <v>#REF!</v>
      </c>
      <c r="SX10" s="7" t="e">
        <f>IF(OR(#REF!&gt;2,#REF!&lt;-2),"",#REF!)</f>
        <v>#REF!</v>
      </c>
      <c r="SY10" s="7" t="e">
        <f>IF(OR(#REF!&gt;2,#REF!&lt;-2),"",#REF!)</f>
        <v>#REF!</v>
      </c>
      <c r="SZ10" s="7" t="e">
        <f>IF(OR(#REF!&gt;2,#REF!&lt;-2),"",#REF!)</f>
        <v>#REF!</v>
      </c>
      <c r="TA10" s="7" t="e">
        <f>IF(OR(#REF!&gt;2,#REF!&lt;-2),"",#REF!)</f>
        <v>#REF!</v>
      </c>
      <c r="TB10" s="7" t="e">
        <f>IF(OR(#REF!&gt;2,#REF!&lt;-2),"",#REF!)</f>
        <v>#REF!</v>
      </c>
      <c r="TC10" s="7" t="e">
        <f>IF(OR(#REF!&gt;2,#REF!&lt;-2),"",#REF!)</f>
        <v>#REF!</v>
      </c>
      <c r="TD10" s="7" t="e">
        <f>IF(OR(#REF!&gt;2,#REF!&lt;-2),"",#REF!)</f>
        <v>#REF!</v>
      </c>
      <c r="TE10" s="7" t="e">
        <f>IF(OR(#REF!&gt;2,#REF!&lt;-2),"",#REF!)</f>
        <v>#REF!</v>
      </c>
      <c r="TF10" s="7" t="e">
        <f>IF(OR(#REF!&gt;2,#REF!&lt;-2),"",#REF!)</f>
        <v>#REF!</v>
      </c>
      <c r="TG10" s="7" t="e">
        <f>IF(OR(#REF!&gt;2,#REF!&lt;-2),"",#REF!)</f>
        <v>#REF!</v>
      </c>
      <c r="TH10" s="7" t="e">
        <f>IF(OR(#REF!&gt;2,#REF!&lt;-2),"",#REF!)</f>
        <v>#REF!</v>
      </c>
      <c r="TI10" s="7" t="e">
        <f>IF(OR(#REF!&gt;2,#REF!&lt;-2),"",#REF!)</f>
        <v>#REF!</v>
      </c>
      <c r="TJ10" s="7" t="e">
        <f>IF(OR(#REF!&gt;2,#REF!&lt;-2),"",#REF!)</f>
        <v>#REF!</v>
      </c>
      <c r="TK10" s="7" t="e">
        <f>IF(OR(#REF!&gt;2,#REF!&lt;-2),"",#REF!)</f>
        <v>#REF!</v>
      </c>
      <c r="TL10" s="7" t="e">
        <f>IF(OR(#REF!&gt;2,#REF!&lt;-2),"",#REF!)</f>
        <v>#REF!</v>
      </c>
      <c r="TM10" s="7" t="e">
        <f>IF(OR(#REF!&gt;2,#REF!&lt;-2),"",#REF!)</f>
        <v>#REF!</v>
      </c>
      <c r="TN10" s="7" t="e">
        <f>IF(OR(#REF!&gt;2,#REF!&lt;-2),"",#REF!)</f>
        <v>#REF!</v>
      </c>
      <c r="TO10" s="7" t="e">
        <f>IF(OR(#REF!&gt;2,#REF!&lt;-2),"",#REF!)</f>
        <v>#REF!</v>
      </c>
      <c r="TP10" s="7" t="e">
        <f>IF(OR(#REF!&gt;2,#REF!&lt;-2),"",#REF!)</f>
        <v>#REF!</v>
      </c>
      <c r="TQ10" s="7" t="e">
        <f>IF(OR(#REF!&gt;2,#REF!&lt;-2),"",#REF!)</f>
        <v>#REF!</v>
      </c>
      <c r="TR10" s="7" t="e">
        <f>IF(OR(#REF!&gt;2,#REF!&lt;-2),"",#REF!)</f>
        <v>#REF!</v>
      </c>
      <c r="TS10" s="7" t="e">
        <f>IF(OR(#REF!&gt;2,#REF!&lt;-2),"",#REF!)</f>
        <v>#REF!</v>
      </c>
      <c r="TT10" s="7" t="e">
        <f>IF(OR(#REF!&gt;2,#REF!&lt;-2),"",#REF!)</f>
        <v>#REF!</v>
      </c>
      <c r="TU10" s="7" t="e">
        <f>IF(OR(#REF!&gt;2,#REF!&lt;-2),"",#REF!)</f>
        <v>#REF!</v>
      </c>
      <c r="TV10" s="7" t="e">
        <f>IF(OR(#REF!&gt;2,#REF!&lt;-2),"",#REF!)</f>
        <v>#REF!</v>
      </c>
      <c r="TW10" s="7" t="e">
        <f>IF(OR(#REF!&gt;2,#REF!&lt;-2),"",#REF!)</f>
        <v>#REF!</v>
      </c>
      <c r="TX10" s="7" t="e">
        <f>IF(OR(#REF!&gt;2,#REF!&lt;-2),"",#REF!)</f>
        <v>#REF!</v>
      </c>
      <c r="TY10" s="7" t="e">
        <f>IF(OR(#REF!&gt;2,#REF!&lt;-2),"",#REF!)</f>
        <v>#REF!</v>
      </c>
      <c r="TZ10" s="7" t="e">
        <f>IF(OR(#REF!&gt;2,#REF!&lt;-2),"",#REF!)</f>
        <v>#REF!</v>
      </c>
      <c r="UA10" s="7" t="e">
        <f>IF(OR(#REF!&gt;2,#REF!&lt;-2),"",#REF!)</f>
        <v>#REF!</v>
      </c>
      <c r="UB10" s="7" t="e">
        <f>IF(OR(#REF!&gt;2,#REF!&lt;-2),"",#REF!)</f>
        <v>#REF!</v>
      </c>
      <c r="UC10" s="7" t="e">
        <f>IF(OR(#REF!&gt;2,#REF!&lt;-2),"",#REF!)</f>
        <v>#REF!</v>
      </c>
      <c r="UD10" s="7" t="e">
        <f>IF(OR(#REF!&gt;2,#REF!&lt;-2),"",#REF!)</f>
        <v>#REF!</v>
      </c>
      <c r="UE10" s="7" t="e">
        <f>IF(OR(#REF!&gt;2,#REF!&lt;-2),"",#REF!)</f>
        <v>#REF!</v>
      </c>
      <c r="UF10" s="7" t="e">
        <f>IF(OR(#REF!&gt;2,#REF!&lt;-2),"",#REF!)</f>
        <v>#REF!</v>
      </c>
      <c r="UG10" s="7" t="e">
        <f>IF(OR(#REF!&gt;2,#REF!&lt;-2),"",#REF!)</f>
        <v>#REF!</v>
      </c>
      <c r="UH10" s="7" t="e">
        <f>IF(OR(#REF!&gt;2,#REF!&lt;-2),"",#REF!)</f>
        <v>#REF!</v>
      </c>
      <c r="UI10" s="7" t="e">
        <f>IF(OR(#REF!&gt;2,#REF!&lt;-2),"",#REF!)</f>
        <v>#REF!</v>
      </c>
      <c r="UJ10" s="7" t="e">
        <f>IF(OR(#REF!&gt;2,#REF!&lt;-2),"",#REF!)</f>
        <v>#REF!</v>
      </c>
      <c r="UK10" s="7" t="e">
        <f>IF(OR(#REF!&gt;2,#REF!&lt;-2),"",#REF!)</f>
        <v>#REF!</v>
      </c>
      <c r="UL10" s="7" t="e">
        <f>IF(OR(#REF!&gt;2,#REF!&lt;-2),"",#REF!)</f>
        <v>#REF!</v>
      </c>
      <c r="UM10" s="7" t="e">
        <f>IF(OR(#REF!&gt;2,#REF!&lt;-2),"",#REF!)</f>
        <v>#REF!</v>
      </c>
      <c r="UN10" s="7" t="e">
        <f>IF(OR(#REF!&gt;2,#REF!&lt;-2),"",#REF!)</f>
        <v>#REF!</v>
      </c>
      <c r="UO10" s="7" t="e">
        <f>IF(OR(#REF!&gt;2,#REF!&lt;-2),"",#REF!)</f>
        <v>#REF!</v>
      </c>
      <c r="UP10" s="7" t="e">
        <f>IF(OR(#REF!&gt;2,#REF!&lt;-2),"",#REF!)</f>
        <v>#REF!</v>
      </c>
    </row>
    <row r="11" spans="1:562" x14ac:dyDescent="0.35">
      <c r="A11">
        <v>183</v>
      </c>
      <c r="B11">
        <v>0</v>
      </c>
      <c r="C11" s="7" t="e">
        <f>IF(OR(#REF!&gt;2,#REF!&lt;-2),"",#REF!)</f>
        <v>#REF!</v>
      </c>
      <c r="D11" s="7" t="e">
        <f>IF(OR(#REF!&gt;2,#REF!&lt;-2),"",#REF!)</f>
        <v>#REF!</v>
      </c>
      <c r="E11" s="7" t="e">
        <f>IF(OR(#REF!&gt;2,#REF!&lt;-2),"",#REF!)</f>
        <v>#REF!</v>
      </c>
      <c r="F11" s="7" t="e">
        <f>IF(OR(#REF!&gt;2,#REF!&lt;-2),"",#REF!)</f>
        <v>#REF!</v>
      </c>
      <c r="G11" s="7" t="e">
        <f>IF(OR(#REF!&gt;2,#REF!&lt;-2),"",#REF!)</f>
        <v>#REF!</v>
      </c>
      <c r="H11" s="7" t="e">
        <f>IF(OR(#REF!&gt;2,#REF!&lt;-2),"",#REF!)</f>
        <v>#REF!</v>
      </c>
      <c r="I11" s="7" t="e">
        <f>IF(OR(#REF!&gt;2,#REF!&lt;-2),"",#REF!)</f>
        <v>#REF!</v>
      </c>
      <c r="J11" s="7" t="e">
        <f>IF(OR(#REF!&gt;2,#REF!&lt;-2),"",#REF!)</f>
        <v>#REF!</v>
      </c>
      <c r="K11" s="7" t="e">
        <f>IF(OR(#REF!&gt;2,#REF!&lt;-2),"",#REF!)</f>
        <v>#REF!</v>
      </c>
      <c r="L11" s="7" t="e">
        <f>IF(OR(#REF!&gt;2,#REF!&lt;-2),"",#REF!)</f>
        <v>#REF!</v>
      </c>
      <c r="M11" s="7" t="e">
        <f>IF(OR(#REF!&gt;2,#REF!&lt;-2),"",#REF!)</f>
        <v>#REF!</v>
      </c>
      <c r="N11" s="7" t="e">
        <f>IF(OR(#REF!&gt;2,#REF!&lt;-2),"",#REF!)</f>
        <v>#REF!</v>
      </c>
      <c r="O11" s="7" t="e">
        <f>IF(OR(#REF!&gt;2,#REF!&lt;-2),"",#REF!)</f>
        <v>#REF!</v>
      </c>
      <c r="P11" s="7" t="e">
        <f>IF(OR(#REF!&gt;2,#REF!&lt;-2),"",#REF!)</f>
        <v>#REF!</v>
      </c>
      <c r="Q11" s="7" t="e">
        <f>IF(OR(#REF!&gt;2,#REF!&lt;-2),"",#REF!)</f>
        <v>#REF!</v>
      </c>
      <c r="R11" s="7" t="e">
        <f>IF(OR(#REF!&gt;2,#REF!&lt;-2),"",#REF!)</f>
        <v>#REF!</v>
      </c>
      <c r="S11" s="7" t="e">
        <f>IF(OR(#REF!&gt;2,#REF!&lt;-2),"",#REF!)</f>
        <v>#REF!</v>
      </c>
      <c r="T11" s="7" t="e">
        <f>IF(OR(#REF!&gt;2,#REF!&lt;-2),"",#REF!)</f>
        <v>#REF!</v>
      </c>
      <c r="U11" s="7" t="e">
        <f>IF(OR(#REF!&gt;2,#REF!&lt;-2),"",#REF!)</f>
        <v>#REF!</v>
      </c>
      <c r="V11" s="7" t="e">
        <f>IF(OR(#REF!&gt;2,#REF!&lt;-2),"",#REF!)</f>
        <v>#REF!</v>
      </c>
      <c r="W11" s="7" t="e">
        <f>IF(OR(#REF!&gt;2,#REF!&lt;-2),"",#REF!)</f>
        <v>#REF!</v>
      </c>
      <c r="X11" s="7" t="e">
        <f>IF(OR(#REF!&gt;2,#REF!&lt;-2),"",#REF!)</f>
        <v>#REF!</v>
      </c>
      <c r="Y11" s="7" t="e">
        <f>IF(OR(#REF!&gt;2,#REF!&lt;-2),"",#REF!)</f>
        <v>#REF!</v>
      </c>
      <c r="Z11" s="7" t="e">
        <f>IF(OR(#REF!&gt;2,#REF!&lt;-2),"",#REF!)</f>
        <v>#REF!</v>
      </c>
      <c r="AA11" s="7" t="e">
        <f>IF(OR(#REF!&gt;2,#REF!&lt;-2),"",#REF!)</f>
        <v>#REF!</v>
      </c>
      <c r="AB11" s="7" t="e">
        <f>IF(OR(#REF!&gt;2,#REF!&lt;-2),"",#REF!)</f>
        <v>#REF!</v>
      </c>
      <c r="AC11" s="7" t="e">
        <f>IF(OR(#REF!&gt;2,#REF!&lt;-2),"",#REF!)</f>
        <v>#REF!</v>
      </c>
      <c r="AD11" s="7" t="e">
        <f>IF(OR(#REF!&gt;2,#REF!&lt;-2),"",#REF!)</f>
        <v>#REF!</v>
      </c>
      <c r="AE11" s="7" t="e">
        <f>IF(OR(#REF!&gt;2,#REF!&lt;-2),"",#REF!)</f>
        <v>#REF!</v>
      </c>
      <c r="AF11" s="7" t="e">
        <f>IF(OR(#REF!&gt;2,#REF!&lt;-2),"",#REF!)</f>
        <v>#REF!</v>
      </c>
      <c r="AG11" s="7" t="e">
        <f>IF(OR(#REF!&gt;2,#REF!&lt;-2),"",#REF!)</f>
        <v>#REF!</v>
      </c>
      <c r="AH11" s="7" t="e">
        <f>IF(OR(#REF!&gt;2,#REF!&lt;-2),"",#REF!)</f>
        <v>#REF!</v>
      </c>
      <c r="AI11" s="7" t="e">
        <f>IF(OR(#REF!&gt;2,#REF!&lt;-2),"",#REF!)</f>
        <v>#REF!</v>
      </c>
      <c r="AJ11" s="7" t="e">
        <f>IF(OR(#REF!&gt;2,#REF!&lt;-2),"",#REF!)</f>
        <v>#REF!</v>
      </c>
      <c r="AK11" s="7" t="e">
        <f>IF(OR(#REF!&gt;2,#REF!&lt;-2),"",#REF!)</f>
        <v>#REF!</v>
      </c>
      <c r="AL11" s="7" t="e">
        <f>IF(OR(#REF!&gt;2,#REF!&lt;-2),"",#REF!)</f>
        <v>#REF!</v>
      </c>
      <c r="AM11" s="7" t="e">
        <f>IF(OR(#REF!&gt;2,#REF!&lt;-2),"",#REF!)</f>
        <v>#REF!</v>
      </c>
      <c r="AN11" s="7" t="e">
        <f>IF(OR(#REF!&gt;2,#REF!&lt;-2),"",#REF!)</f>
        <v>#REF!</v>
      </c>
      <c r="AO11" s="7" t="e">
        <f>IF(OR(#REF!&gt;2,#REF!&lt;-2),"",#REF!)</f>
        <v>#REF!</v>
      </c>
      <c r="AP11" s="7" t="e">
        <f>IF(OR(#REF!&gt;2,#REF!&lt;-2),"",#REF!)</f>
        <v>#REF!</v>
      </c>
      <c r="AQ11" s="7" t="e">
        <f>IF(OR(#REF!&gt;2,#REF!&lt;-2),"",#REF!)</f>
        <v>#REF!</v>
      </c>
      <c r="AR11" s="7" t="e">
        <f>IF(OR(#REF!&gt;2,#REF!&lt;-2),"",#REF!)</f>
        <v>#REF!</v>
      </c>
      <c r="AS11" s="7" t="e">
        <f>IF(OR(#REF!&gt;2,#REF!&lt;-2),"",#REF!)</f>
        <v>#REF!</v>
      </c>
      <c r="AT11" s="7" t="e">
        <f>IF(OR(#REF!&gt;2,#REF!&lt;-2),"",#REF!)</f>
        <v>#REF!</v>
      </c>
      <c r="AU11" s="7" t="e">
        <f>IF(OR(#REF!&gt;2,#REF!&lt;-2),"",#REF!)</f>
        <v>#REF!</v>
      </c>
      <c r="AV11" s="7" t="e">
        <f>IF(OR(#REF!&gt;2,#REF!&lt;-2),"",#REF!)</f>
        <v>#REF!</v>
      </c>
      <c r="AW11" s="7" t="e">
        <f>IF(OR(#REF!&gt;2,#REF!&lt;-2),"",#REF!)</f>
        <v>#REF!</v>
      </c>
      <c r="AX11" s="7" t="e">
        <f>IF(OR(#REF!&gt;2,#REF!&lt;-2),"",#REF!)</f>
        <v>#REF!</v>
      </c>
      <c r="AY11" s="7" t="e">
        <f>IF(OR(#REF!&gt;2,#REF!&lt;-2),"",#REF!)</f>
        <v>#REF!</v>
      </c>
      <c r="AZ11" s="7" t="e">
        <f>IF(OR(#REF!&gt;2,#REF!&lt;-2),"",#REF!)</f>
        <v>#REF!</v>
      </c>
      <c r="BA11" s="7" t="e">
        <f>IF(OR(#REF!&gt;2,#REF!&lt;-2),"",#REF!)</f>
        <v>#REF!</v>
      </c>
      <c r="BB11" s="7" t="e">
        <f>IF(OR(#REF!&gt;2,#REF!&lt;-2),"",#REF!)</f>
        <v>#REF!</v>
      </c>
      <c r="BC11" s="7" t="e">
        <f>IF(OR(#REF!&gt;2,#REF!&lt;-2),"",#REF!)</f>
        <v>#REF!</v>
      </c>
      <c r="BD11" s="7" t="e">
        <f>IF(OR(#REF!&gt;2,#REF!&lt;-2),"",#REF!)</f>
        <v>#REF!</v>
      </c>
      <c r="BE11" s="7" t="e">
        <f>IF(OR(#REF!&gt;2,#REF!&lt;-2),"",#REF!)</f>
        <v>#REF!</v>
      </c>
      <c r="BF11" s="7" t="e">
        <f>IF(OR(#REF!&gt;2,#REF!&lt;-2),"",#REF!)</f>
        <v>#REF!</v>
      </c>
      <c r="BG11" s="7" t="e">
        <f>IF(OR(#REF!&gt;2,#REF!&lt;-2),"",#REF!)</f>
        <v>#REF!</v>
      </c>
      <c r="BH11" s="7" t="e">
        <f>IF(OR(#REF!&gt;2,#REF!&lt;-2),"",#REF!)</f>
        <v>#REF!</v>
      </c>
      <c r="BI11" s="7" t="e">
        <f>IF(OR(#REF!&gt;2,#REF!&lt;-2),"",#REF!)</f>
        <v>#REF!</v>
      </c>
      <c r="BJ11" s="7" t="e">
        <f>IF(OR(#REF!&gt;2,#REF!&lt;-2),"",#REF!)</f>
        <v>#REF!</v>
      </c>
      <c r="BK11" s="7" t="e">
        <f>IF(OR(#REF!&gt;2,#REF!&lt;-2),"",#REF!)</f>
        <v>#REF!</v>
      </c>
      <c r="BL11" s="7" t="e">
        <f>IF(OR(#REF!&gt;2,#REF!&lt;-2),"",#REF!)</f>
        <v>#REF!</v>
      </c>
      <c r="BM11" s="7" t="e">
        <f>IF(OR(#REF!&gt;2,#REF!&lt;-2),"",#REF!)</f>
        <v>#REF!</v>
      </c>
      <c r="BN11" s="7" t="e">
        <f>IF(OR(#REF!&gt;2,#REF!&lt;-2),"",#REF!)</f>
        <v>#REF!</v>
      </c>
      <c r="BO11" s="7" t="e">
        <f>IF(OR(#REF!&gt;2,#REF!&lt;-2),"",#REF!)</f>
        <v>#REF!</v>
      </c>
      <c r="BP11" s="7" t="e">
        <f>IF(OR(#REF!&gt;2,#REF!&lt;-2),"",#REF!)</f>
        <v>#REF!</v>
      </c>
      <c r="BQ11" s="7" t="e">
        <f>IF(OR(#REF!&gt;2,#REF!&lt;-2),"",#REF!)</f>
        <v>#REF!</v>
      </c>
      <c r="BR11" s="7" t="e">
        <f>IF(OR(#REF!&gt;2,#REF!&lt;-2),"",#REF!)</f>
        <v>#REF!</v>
      </c>
      <c r="BS11" s="7" t="e">
        <f>IF(OR(#REF!&gt;2,#REF!&lt;-2),"",#REF!)</f>
        <v>#REF!</v>
      </c>
      <c r="BT11" s="7" t="e">
        <f>IF(OR(#REF!&gt;2,#REF!&lt;-2),"",#REF!)</f>
        <v>#REF!</v>
      </c>
      <c r="BU11" s="7" t="e">
        <f>IF(OR(#REF!&gt;2,#REF!&lt;-2),"",#REF!)</f>
        <v>#REF!</v>
      </c>
      <c r="BV11" s="7" t="e">
        <f>IF(OR(#REF!&gt;2,#REF!&lt;-2),"",#REF!)</f>
        <v>#REF!</v>
      </c>
      <c r="BW11" s="7" t="e">
        <f>IF(OR(#REF!&gt;2,#REF!&lt;-2),"",#REF!)</f>
        <v>#REF!</v>
      </c>
      <c r="BX11" s="7" t="e">
        <f>IF(OR(#REF!&gt;2,#REF!&lt;-2),"",#REF!)</f>
        <v>#REF!</v>
      </c>
      <c r="BY11" s="7" t="e">
        <f>IF(OR(#REF!&gt;2,#REF!&lt;-2),"",#REF!)</f>
        <v>#REF!</v>
      </c>
      <c r="BZ11" s="7" t="e">
        <f>IF(OR(#REF!&gt;2,#REF!&lt;-2),"",#REF!)</f>
        <v>#REF!</v>
      </c>
      <c r="CA11" s="7" t="e">
        <f>IF(OR(#REF!&gt;2,#REF!&lt;-2),"",#REF!)</f>
        <v>#REF!</v>
      </c>
      <c r="CB11" s="7" t="e">
        <f>IF(OR(#REF!&gt;2,#REF!&lt;-2),"",#REF!)</f>
        <v>#REF!</v>
      </c>
      <c r="CC11" s="7" t="e">
        <f>IF(OR(#REF!&gt;2,#REF!&lt;-2),"",#REF!)</f>
        <v>#REF!</v>
      </c>
      <c r="CD11" s="7" t="e">
        <f>IF(OR(#REF!&gt;2,#REF!&lt;-2),"",#REF!)</f>
        <v>#REF!</v>
      </c>
      <c r="CE11" s="7" t="e">
        <f>IF(OR(#REF!&gt;2,#REF!&lt;-2),"",#REF!)</f>
        <v>#REF!</v>
      </c>
      <c r="CF11" s="7" t="e">
        <f>IF(OR(#REF!&gt;2,#REF!&lt;-2),"",#REF!)</f>
        <v>#REF!</v>
      </c>
      <c r="CG11" s="7" t="e">
        <f>IF(OR(#REF!&gt;2,#REF!&lt;-2),"",#REF!)</f>
        <v>#REF!</v>
      </c>
      <c r="CH11" s="7" t="e">
        <f>IF(OR(#REF!&gt;2,#REF!&lt;-2),"",#REF!)</f>
        <v>#REF!</v>
      </c>
      <c r="CI11" s="7" t="e">
        <f>IF(OR(#REF!&gt;2,#REF!&lt;-2),"",#REF!)</f>
        <v>#REF!</v>
      </c>
      <c r="CJ11" s="7" t="e">
        <f>IF(OR(#REF!&gt;2,#REF!&lt;-2),"",#REF!)</f>
        <v>#REF!</v>
      </c>
      <c r="CK11" s="7" t="e">
        <f>IF(OR(#REF!&gt;2,#REF!&lt;-2),"",#REF!)</f>
        <v>#REF!</v>
      </c>
      <c r="CL11" s="7" t="e">
        <f>IF(OR(#REF!&gt;2,#REF!&lt;-2),"",#REF!)</f>
        <v>#REF!</v>
      </c>
      <c r="CM11" s="7" t="e">
        <f>IF(OR(#REF!&gt;2,#REF!&lt;-2),"",#REF!)</f>
        <v>#REF!</v>
      </c>
      <c r="CN11" s="7" t="e">
        <f>IF(OR(#REF!&gt;2,#REF!&lt;-2),"",#REF!)</f>
        <v>#REF!</v>
      </c>
      <c r="CO11" s="7" t="e">
        <f>IF(OR(#REF!&gt;2,#REF!&lt;-2),"",#REF!)</f>
        <v>#REF!</v>
      </c>
      <c r="CP11" s="7" t="e">
        <f>IF(OR(#REF!&gt;2,#REF!&lt;-2),"",#REF!)</f>
        <v>#REF!</v>
      </c>
      <c r="CQ11" s="7" t="e">
        <f>IF(OR(#REF!&gt;2,#REF!&lt;-2),"",#REF!)</f>
        <v>#REF!</v>
      </c>
      <c r="CR11" s="7" t="e">
        <f>IF(OR(#REF!&gt;2,#REF!&lt;-2),"",#REF!)</f>
        <v>#REF!</v>
      </c>
      <c r="CS11" s="7" t="e">
        <f>IF(OR(#REF!&gt;2,#REF!&lt;-2),"",#REF!)</f>
        <v>#REF!</v>
      </c>
      <c r="CT11" s="7" t="e">
        <f>IF(OR(#REF!&gt;2,#REF!&lt;-2),"",#REF!)</f>
        <v>#REF!</v>
      </c>
      <c r="CU11" s="7" t="e">
        <f>IF(OR(#REF!&gt;2,#REF!&lt;-2),"",#REF!)</f>
        <v>#REF!</v>
      </c>
      <c r="CV11" s="7" t="e">
        <f>IF(OR(#REF!&gt;2,#REF!&lt;-2),"",#REF!)</f>
        <v>#REF!</v>
      </c>
      <c r="CW11" s="7" t="e">
        <f>IF(OR(#REF!&gt;2,#REF!&lt;-2),"",#REF!)</f>
        <v>#REF!</v>
      </c>
      <c r="CX11" s="7" t="e">
        <f>IF(OR(#REF!&gt;2,#REF!&lt;-2),"",#REF!)</f>
        <v>#REF!</v>
      </c>
      <c r="CY11" s="7" t="e">
        <f>IF(OR(#REF!&gt;2,#REF!&lt;-2),"",#REF!)</f>
        <v>#REF!</v>
      </c>
      <c r="CZ11" s="7" t="e">
        <f>IF(OR(#REF!&gt;2,#REF!&lt;-2),"",#REF!)</f>
        <v>#REF!</v>
      </c>
      <c r="DA11" s="7" t="e">
        <f>IF(OR(#REF!&gt;2,#REF!&lt;-2),"",#REF!)</f>
        <v>#REF!</v>
      </c>
      <c r="DB11" s="7" t="e">
        <f>IF(OR(#REF!&gt;2,#REF!&lt;-2),"",#REF!)</f>
        <v>#REF!</v>
      </c>
      <c r="DC11" s="7" t="e">
        <f>IF(OR(#REF!&gt;2,#REF!&lt;-2),"",#REF!)</f>
        <v>#REF!</v>
      </c>
      <c r="DD11" s="7" t="e">
        <f>IF(OR(#REF!&gt;2,#REF!&lt;-2),"",#REF!)</f>
        <v>#REF!</v>
      </c>
      <c r="DE11" s="7" t="e">
        <f>IF(OR(#REF!&gt;2,#REF!&lt;-2),"",#REF!)</f>
        <v>#REF!</v>
      </c>
      <c r="DF11" s="7" t="e">
        <f>IF(OR(#REF!&gt;2,#REF!&lt;-2),"",#REF!)</f>
        <v>#REF!</v>
      </c>
      <c r="DG11" s="7" t="e">
        <f>IF(OR(#REF!&gt;2,#REF!&lt;-2),"",#REF!)</f>
        <v>#REF!</v>
      </c>
      <c r="DH11" s="7" t="e">
        <f>IF(OR(#REF!&gt;2,#REF!&lt;-2),"",#REF!)</f>
        <v>#REF!</v>
      </c>
      <c r="DI11" s="7" t="e">
        <f>IF(OR(#REF!&gt;2,#REF!&lt;-2),"",#REF!)</f>
        <v>#REF!</v>
      </c>
      <c r="DJ11" s="7" t="e">
        <f>IF(OR(#REF!&gt;2,#REF!&lt;-2),"",#REF!)</f>
        <v>#REF!</v>
      </c>
      <c r="DK11" s="7" t="e">
        <f>IF(OR(#REF!&gt;2,#REF!&lt;-2),"",#REF!)</f>
        <v>#REF!</v>
      </c>
      <c r="DL11" s="7" t="e">
        <f>IF(OR(#REF!&gt;2,#REF!&lt;-2),"",#REF!)</f>
        <v>#REF!</v>
      </c>
      <c r="DM11" s="7" t="e">
        <f>IF(OR(#REF!&gt;2,#REF!&lt;-2),"",#REF!)</f>
        <v>#REF!</v>
      </c>
      <c r="DN11" s="7" t="e">
        <f>IF(OR(#REF!&gt;2,#REF!&lt;-2),"",#REF!)</f>
        <v>#REF!</v>
      </c>
      <c r="DO11" s="7" t="e">
        <f>IF(OR(#REF!&gt;2,#REF!&lt;-2),"",#REF!)</f>
        <v>#REF!</v>
      </c>
      <c r="DP11" s="7" t="e">
        <f>IF(OR(#REF!&gt;2,#REF!&lt;-2),"",#REF!)</f>
        <v>#REF!</v>
      </c>
      <c r="DQ11" s="7" t="e">
        <f>IF(OR(#REF!&gt;2,#REF!&lt;-2),"",#REF!)</f>
        <v>#REF!</v>
      </c>
      <c r="DR11" s="7" t="e">
        <f>IF(OR(#REF!&gt;2,#REF!&lt;-2),"",#REF!)</f>
        <v>#REF!</v>
      </c>
      <c r="DS11" s="7" t="e">
        <f>IF(OR(#REF!&gt;2,#REF!&lt;-2),"",#REF!)</f>
        <v>#REF!</v>
      </c>
      <c r="DT11" s="7" t="e">
        <f>IF(OR(#REF!&gt;2,#REF!&lt;-2),"",#REF!)</f>
        <v>#REF!</v>
      </c>
      <c r="DU11" s="7" t="e">
        <f>IF(OR(#REF!&gt;2,#REF!&lt;-2),"",#REF!)</f>
        <v>#REF!</v>
      </c>
      <c r="DV11" s="7" t="e">
        <f>IF(OR(#REF!&gt;2,#REF!&lt;-2),"",#REF!)</f>
        <v>#REF!</v>
      </c>
      <c r="DW11" s="7" t="e">
        <f>IF(OR(#REF!&gt;2,#REF!&lt;-2),"",#REF!)</f>
        <v>#REF!</v>
      </c>
      <c r="DX11" s="7" t="e">
        <f>IF(OR(#REF!&gt;2,#REF!&lt;-2),"",#REF!)</f>
        <v>#REF!</v>
      </c>
      <c r="DY11" s="7" t="e">
        <f>IF(OR(#REF!&gt;2,#REF!&lt;-2),"",#REF!)</f>
        <v>#REF!</v>
      </c>
      <c r="DZ11" s="7" t="e">
        <f>IF(OR(#REF!&gt;2,#REF!&lt;-2),"",#REF!)</f>
        <v>#REF!</v>
      </c>
      <c r="EA11" s="7" t="e">
        <f>IF(OR(#REF!&gt;2,#REF!&lt;-2),"",#REF!)</f>
        <v>#REF!</v>
      </c>
      <c r="EB11" s="7" t="e">
        <f>IF(OR(#REF!&gt;2,#REF!&lt;-2),"",#REF!)</f>
        <v>#REF!</v>
      </c>
      <c r="EC11" s="7" t="e">
        <f>IF(OR(#REF!&gt;2,#REF!&lt;-2),"",#REF!)</f>
        <v>#REF!</v>
      </c>
      <c r="ED11" s="7" t="e">
        <f>IF(OR(#REF!&gt;2,#REF!&lt;-2),"",#REF!)</f>
        <v>#REF!</v>
      </c>
      <c r="EE11" s="7" t="e">
        <f>IF(OR(#REF!&gt;2,#REF!&lt;-2),"",#REF!)</f>
        <v>#REF!</v>
      </c>
      <c r="EF11" s="7" t="e">
        <f>IF(OR(#REF!&gt;2,#REF!&lt;-2),"",#REF!)</f>
        <v>#REF!</v>
      </c>
      <c r="EG11" s="7" t="e">
        <f>IF(OR(#REF!&gt;2,#REF!&lt;-2),"",#REF!)</f>
        <v>#REF!</v>
      </c>
      <c r="EH11" s="7" t="e">
        <f>IF(OR(#REF!&gt;2,#REF!&lt;-2),"",#REF!)</f>
        <v>#REF!</v>
      </c>
      <c r="EI11" s="7" t="e">
        <f>IF(OR(#REF!&gt;2,#REF!&lt;-2),"",#REF!)</f>
        <v>#REF!</v>
      </c>
      <c r="EJ11" s="7" t="e">
        <f>IF(OR(#REF!&gt;2,#REF!&lt;-2),"",#REF!)</f>
        <v>#REF!</v>
      </c>
      <c r="EK11" s="7" t="e">
        <f>IF(OR(#REF!&gt;2,#REF!&lt;-2),"",#REF!)</f>
        <v>#REF!</v>
      </c>
      <c r="EL11" s="7" t="e">
        <f>IF(OR(#REF!&gt;2,#REF!&lt;-2),"",#REF!)</f>
        <v>#REF!</v>
      </c>
      <c r="EM11" s="7" t="e">
        <f>IF(OR(#REF!&gt;2,#REF!&lt;-2),"",#REF!)</f>
        <v>#REF!</v>
      </c>
      <c r="EN11" s="7" t="e">
        <f>IF(OR(#REF!&gt;2,#REF!&lt;-2),"",#REF!)</f>
        <v>#REF!</v>
      </c>
      <c r="EO11" s="7" t="e">
        <f>IF(OR(#REF!&gt;2,#REF!&lt;-2),"",#REF!)</f>
        <v>#REF!</v>
      </c>
      <c r="EP11" s="7" t="e">
        <f>IF(OR(#REF!&gt;2,#REF!&lt;-2),"",#REF!)</f>
        <v>#REF!</v>
      </c>
      <c r="EQ11" s="7" t="e">
        <f>IF(OR(#REF!&gt;2,#REF!&lt;-2),"",#REF!)</f>
        <v>#REF!</v>
      </c>
      <c r="ER11" s="7" t="e">
        <f>IF(OR(#REF!&gt;2,#REF!&lt;-2),"",#REF!)</f>
        <v>#REF!</v>
      </c>
      <c r="ES11" s="7" t="e">
        <f>IF(OR(#REF!&gt;2,#REF!&lt;-2),"",#REF!)</f>
        <v>#REF!</v>
      </c>
      <c r="ET11" s="7" t="e">
        <f>IF(OR(#REF!&gt;2,#REF!&lt;-2),"",#REF!)</f>
        <v>#REF!</v>
      </c>
      <c r="EU11" s="7" t="e">
        <f>IF(OR(#REF!&gt;2,#REF!&lt;-2),"",#REF!)</f>
        <v>#REF!</v>
      </c>
      <c r="EV11" s="7" t="e">
        <f>IF(OR(#REF!&gt;2,#REF!&lt;-2),"",#REF!)</f>
        <v>#REF!</v>
      </c>
      <c r="EW11" s="7" t="e">
        <f>IF(OR(#REF!&gt;2,#REF!&lt;-2),"",#REF!)</f>
        <v>#REF!</v>
      </c>
      <c r="EX11" s="7" t="e">
        <f>IF(OR(#REF!&gt;2,#REF!&lt;-2),"",#REF!)</f>
        <v>#REF!</v>
      </c>
      <c r="EY11" s="7" t="e">
        <f>IF(OR(#REF!&gt;2,#REF!&lt;-2),"",#REF!)</f>
        <v>#REF!</v>
      </c>
      <c r="EZ11" s="7" t="e">
        <f>IF(OR(#REF!&gt;2,#REF!&lt;-2),"",#REF!)</f>
        <v>#REF!</v>
      </c>
      <c r="FA11" s="7" t="e">
        <f>IF(OR(#REF!&gt;2,#REF!&lt;-2),"",#REF!)</f>
        <v>#REF!</v>
      </c>
      <c r="FB11" s="7" t="e">
        <f>IF(OR(#REF!&gt;2,#REF!&lt;-2),"",#REF!)</f>
        <v>#REF!</v>
      </c>
      <c r="FC11" s="7" t="e">
        <f>IF(OR(#REF!&gt;2,#REF!&lt;-2),"",#REF!)</f>
        <v>#REF!</v>
      </c>
      <c r="FD11" s="7" t="e">
        <f>IF(OR(#REF!&gt;2,#REF!&lt;-2),"",#REF!)</f>
        <v>#REF!</v>
      </c>
      <c r="FE11" s="7" t="e">
        <f>IF(OR(#REF!&gt;2,#REF!&lt;-2),"",#REF!)</f>
        <v>#REF!</v>
      </c>
      <c r="FF11" s="7" t="e">
        <f>IF(OR(#REF!&gt;2,#REF!&lt;-2),"",#REF!)</f>
        <v>#REF!</v>
      </c>
      <c r="FG11" s="7" t="e">
        <f>IF(OR(#REF!&gt;2,#REF!&lt;-2),"",#REF!)</f>
        <v>#REF!</v>
      </c>
      <c r="FH11" s="7" t="e">
        <f>IF(OR(#REF!&gt;2,#REF!&lt;-2),"",#REF!)</f>
        <v>#REF!</v>
      </c>
      <c r="FI11" s="7" t="e">
        <f>IF(OR(#REF!&gt;2,#REF!&lt;-2),"",#REF!)</f>
        <v>#REF!</v>
      </c>
      <c r="FJ11" s="7" t="e">
        <f>IF(OR(#REF!&gt;2,#REF!&lt;-2),"",#REF!)</f>
        <v>#REF!</v>
      </c>
      <c r="FK11" s="7" t="e">
        <f>IF(OR(#REF!&gt;2,#REF!&lt;-2),"",#REF!)</f>
        <v>#REF!</v>
      </c>
      <c r="FL11" s="7" t="e">
        <f>IF(OR(#REF!&gt;2,#REF!&lt;-2),"",#REF!)</f>
        <v>#REF!</v>
      </c>
      <c r="FM11" s="7" t="e">
        <f>IF(OR(#REF!&gt;2,#REF!&lt;-2),"",#REF!)</f>
        <v>#REF!</v>
      </c>
      <c r="FN11" s="7" t="e">
        <f>IF(OR(#REF!&gt;2,#REF!&lt;-2),"",#REF!)</f>
        <v>#REF!</v>
      </c>
      <c r="FO11" s="7" t="e">
        <f>IF(OR(#REF!&gt;2,#REF!&lt;-2),"",#REF!)</f>
        <v>#REF!</v>
      </c>
      <c r="FP11" s="7" t="e">
        <f>IF(OR(#REF!&gt;2,#REF!&lt;-2),"",#REF!)</f>
        <v>#REF!</v>
      </c>
      <c r="FQ11" s="7" t="e">
        <f>IF(OR(#REF!&gt;2,#REF!&lt;-2),"",#REF!)</f>
        <v>#REF!</v>
      </c>
      <c r="FR11" s="7" t="e">
        <f>IF(OR(#REF!&gt;2,#REF!&lt;-2),"",#REF!)</f>
        <v>#REF!</v>
      </c>
      <c r="FS11" s="7" t="e">
        <f>IF(OR(#REF!&gt;2,#REF!&lt;-2),"",#REF!)</f>
        <v>#REF!</v>
      </c>
      <c r="FT11" s="7" t="e">
        <f>IF(OR(#REF!&gt;2,#REF!&lt;-2),"",#REF!)</f>
        <v>#REF!</v>
      </c>
      <c r="FU11" s="7" t="e">
        <f>IF(OR(#REF!&gt;2,#REF!&lt;-2),"",#REF!)</f>
        <v>#REF!</v>
      </c>
      <c r="FV11" s="7" t="e">
        <f>IF(OR(#REF!&gt;2,#REF!&lt;-2),"",#REF!)</f>
        <v>#REF!</v>
      </c>
      <c r="FW11" s="7" t="e">
        <f>IF(OR(#REF!&gt;2,#REF!&lt;-2),"",#REF!)</f>
        <v>#REF!</v>
      </c>
      <c r="FX11" s="7" t="e">
        <f>IF(OR(#REF!&gt;2,#REF!&lt;-2),"",#REF!)</f>
        <v>#REF!</v>
      </c>
      <c r="FY11" s="7" t="e">
        <f>IF(OR(#REF!&gt;2,#REF!&lt;-2),"",#REF!)</f>
        <v>#REF!</v>
      </c>
      <c r="FZ11" s="7" t="e">
        <f>IF(OR(#REF!&gt;2,#REF!&lt;-2),"",#REF!)</f>
        <v>#REF!</v>
      </c>
      <c r="GA11" s="7" t="e">
        <f>IF(OR(#REF!&gt;2,#REF!&lt;-2),"",#REF!)</f>
        <v>#REF!</v>
      </c>
      <c r="GB11" s="7" t="e">
        <f>IF(OR(#REF!&gt;2,#REF!&lt;-2),"",#REF!)</f>
        <v>#REF!</v>
      </c>
      <c r="GC11" s="7" t="e">
        <f>IF(OR(#REF!&gt;2,#REF!&lt;-2),"",#REF!)</f>
        <v>#REF!</v>
      </c>
      <c r="GD11" s="7" t="e">
        <f>IF(OR(#REF!&gt;2,#REF!&lt;-2),"",#REF!)</f>
        <v>#REF!</v>
      </c>
      <c r="GE11" s="7" t="e">
        <f>IF(OR(#REF!&gt;2,#REF!&lt;-2),"",#REF!)</f>
        <v>#REF!</v>
      </c>
      <c r="GF11" s="7" t="e">
        <f>IF(OR(#REF!&gt;2,#REF!&lt;-2),"",#REF!)</f>
        <v>#REF!</v>
      </c>
      <c r="GG11" s="7" t="e">
        <f>IF(OR(#REF!&gt;2,#REF!&lt;-2),"",#REF!)</f>
        <v>#REF!</v>
      </c>
      <c r="GH11" s="7" t="e">
        <f>IF(OR(#REF!&gt;2,#REF!&lt;-2),"",#REF!)</f>
        <v>#REF!</v>
      </c>
      <c r="GI11" s="7" t="e">
        <f>IF(OR(#REF!&gt;2,#REF!&lt;-2),"",#REF!)</f>
        <v>#REF!</v>
      </c>
      <c r="GJ11" s="7" t="e">
        <f>IF(OR(#REF!&gt;2,#REF!&lt;-2),"",#REF!)</f>
        <v>#REF!</v>
      </c>
      <c r="GK11" s="7" t="e">
        <f>IF(OR(#REF!&gt;2,#REF!&lt;-2),"",#REF!)</f>
        <v>#REF!</v>
      </c>
      <c r="GL11" s="7" t="e">
        <f>IF(OR(#REF!&gt;2,#REF!&lt;-2),"",#REF!)</f>
        <v>#REF!</v>
      </c>
      <c r="GM11" s="7" t="e">
        <f>IF(OR(#REF!&gt;2,#REF!&lt;-2),"",#REF!)</f>
        <v>#REF!</v>
      </c>
      <c r="GN11" s="7" t="e">
        <f>IF(OR(#REF!&gt;2,#REF!&lt;-2),"",#REF!)</f>
        <v>#REF!</v>
      </c>
      <c r="GO11" s="7" t="e">
        <f>IF(OR(#REF!&gt;2,#REF!&lt;-2),"",#REF!)</f>
        <v>#REF!</v>
      </c>
      <c r="GP11" s="7" t="e">
        <f>IF(OR(#REF!&gt;2,#REF!&lt;-2),"",#REF!)</f>
        <v>#REF!</v>
      </c>
      <c r="GQ11" s="7" t="e">
        <f>IF(OR(#REF!&gt;2,#REF!&lt;-2),"",#REF!)</f>
        <v>#REF!</v>
      </c>
      <c r="GR11" s="7" t="e">
        <f>IF(OR(#REF!&gt;2,#REF!&lt;-2),"",#REF!)</f>
        <v>#REF!</v>
      </c>
      <c r="GS11" s="7" t="e">
        <f>IF(OR(#REF!&gt;2,#REF!&lt;-2),"",#REF!)</f>
        <v>#REF!</v>
      </c>
      <c r="GT11" s="7" t="e">
        <f>IF(OR(#REF!&gt;2,#REF!&lt;-2),"",#REF!)</f>
        <v>#REF!</v>
      </c>
      <c r="GU11" s="7" t="e">
        <f>IF(OR(#REF!&gt;2,#REF!&lt;-2),"",#REF!)</f>
        <v>#REF!</v>
      </c>
      <c r="GV11" s="7" t="e">
        <f>IF(OR(#REF!&gt;2,#REF!&lt;-2),"",#REF!)</f>
        <v>#REF!</v>
      </c>
      <c r="GW11" s="7" t="e">
        <f>IF(OR(#REF!&gt;2,#REF!&lt;-2),"",#REF!)</f>
        <v>#REF!</v>
      </c>
      <c r="GX11" s="7" t="e">
        <f>IF(OR(#REF!&gt;2,#REF!&lt;-2),"",#REF!)</f>
        <v>#REF!</v>
      </c>
      <c r="GY11" s="7" t="e">
        <f>IF(OR(#REF!&gt;2,#REF!&lt;-2),"",#REF!)</f>
        <v>#REF!</v>
      </c>
      <c r="GZ11" s="7" t="e">
        <f>IF(OR(#REF!&gt;2,#REF!&lt;-2),"",#REF!)</f>
        <v>#REF!</v>
      </c>
      <c r="HA11" s="7" t="e">
        <f>IF(OR(#REF!&gt;2,#REF!&lt;-2),"",#REF!)</f>
        <v>#REF!</v>
      </c>
      <c r="HB11" s="7" t="e">
        <f>IF(OR(#REF!&gt;2,#REF!&lt;-2),"",#REF!)</f>
        <v>#REF!</v>
      </c>
      <c r="HC11" s="7" t="e">
        <f>IF(OR(#REF!&gt;2,#REF!&lt;-2),"",#REF!)</f>
        <v>#REF!</v>
      </c>
      <c r="HD11" s="7" t="e">
        <f>IF(OR(#REF!&gt;2,#REF!&lt;-2),"",#REF!)</f>
        <v>#REF!</v>
      </c>
      <c r="HE11" s="7" t="e">
        <f>IF(OR(#REF!&gt;2,#REF!&lt;-2),"",#REF!)</f>
        <v>#REF!</v>
      </c>
      <c r="HF11" s="7" t="e">
        <f>IF(OR(#REF!&gt;2,#REF!&lt;-2),"",#REF!)</f>
        <v>#REF!</v>
      </c>
      <c r="HG11" s="7" t="e">
        <f>IF(OR(#REF!&gt;2,#REF!&lt;-2),"",#REF!)</f>
        <v>#REF!</v>
      </c>
      <c r="HH11" s="7" t="e">
        <f>IF(OR(#REF!&gt;2,#REF!&lt;-2),"",#REF!)</f>
        <v>#REF!</v>
      </c>
      <c r="HI11" s="7" t="e">
        <f>IF(OR(#REF!&gt;2,#REF!&lt;-2),"",#REF!)</f>
        <v>#REF!</v>
      </c>
      <c r="HJ11" s="7" t="e">
        <f>IF(OR(#REF!&gt;2,#REF!&lt;-2),"",#REF!)</f>
        <v>#REF!</v>
      </c>
      <c r="HK11" s="7" t="e">
        <f>IF(OR(#REF!&gt;2,#REF!&lt;-2),"",#REF!)</f>
        <v>#REF!</v>
      </c>
      <c r="HL11" s="7" t="e">
        <f>IF(OR(#REF!&gt;2,#REF!&lt;-2),"",#REF!)</f>
        <v>#REF!</v>
      </c>
      <c r="HM11" s="7" t="e">
        <f>IF(OR(#REF!&gt;2,#REF!&lt;-2),"",#REF!)</f>
        <v>#REF!</v>
      </c>
      <c r="HN11" s="7" t="e">
        <f>IF(OR(#REF!&gt;2,#REF!&lt;-2),"",#REF!)</f>
        <v>#REF!</v>
      </c>
      <c r="HO11" s="7" t="e">
        <f>IF(OR(#REF!&gt;2,#REF!&lt;-2),"",#REF!)</f>
        <v>#REF!</v>
      </c>
      <c r="HP11" s="7" t="e">
        <f>IF(OR(#REF!&gt;2,#REF!&lt;-2),"",#REF!)</f>
        <v>#REF!</v>
      </c>
      <c r="HQ11" s="7" t="e">
        <f>IF(OR(#REF!&gt;2,#REF!&lt;-2),"",#REF!)</f>
        <v>#REF!</v>
      </c>
      <c r="HR11" s="7" t="e">
        <f>IF(OR(#REF!&gt;2,#REF!&lt;-2),"",#REF!)</f>
        <v>#REF!</v>
      </c>
      <c r="HS11" s="7" t="e">
        <f>IF(OR(#REF!&gt;2,#REF!&lt;-2),"",#REF!)</f>
        <v>#REF!</v>
      </c>
      <c r="HT11" s="7" t="e">
        <f>IF(OR(#REF!&gt;2,#REF!&lt;-2),"",#REF!)</f>
        <v>#REF!</v>
      </c>
      <c r="HU11" s="7" t="e">
        <f>IF(OR(#REF!&gt;2,#REF!&lt;-2),"",#REF!)</f>
        <v>#REF!</v>
      </c>
      <c r="HV11" s="7" t="e">
        <f>IF(OR(#REF!&gt;2,#REF!&lt;-2),"",#REF!)</f>
        <v>#REF!</v>
      </c>
      <c r="HW11" s="7" t="e">
        <f>IF(OR(#REF!&gt;2,#REF!&lt;-2),"",#REF!)</f>
        <v>#REF!</v>
      </c>
      <c r="HX11" s="7" t="e">
        <f>IF(OR(#REF!&gt;2,#REF!&lt;-2),"",#REF!)</f>
        <v>#REF!</v>
      </c>
      <c r="HY11" s="7" t="e">
        <f>IF(OR(#REF!&gt;2,#REF!&lt;-2),"",#REF!)</f>
        <v>#REF!</v>
      </c>
      <c r="HZ11" s="7" t="e">
        <f>IF(OR(#REF!&gt;2,#REF!&lt;-2),"",#REF!)</f>
        <v>#REF!</v>
      </c>
      <c r="IA11" s="7" t="e">
        <f>IF(OR(#REF!&gt;2,#REF!&lt;-2),"",#REF!)</f>
        <v>#REF!</v>
      </c>
      <c r="IB11" s="7" t="e">
        <f>IF(OR(#REF!&gt;2,#REF!&lt;-2),"",#REF!)</f>
        <v>#REF!</v>
      </c>
      <c r="IC11" s="7" t="e">
        <f>IF(OR(#REF!&gt;2,#REF!&lt;-2),"",#REF!)</f>
        <v>#REF!</v>
      </c>
      <c r="ID11" s="7" t="e">
        <f>IF(OR(#REF!&gt;2,#REF!&lt;-2),"",#REF!)</f>
        <v>#REF!</v>
      </c>
      <c r="IE11" s="7" t="e">
        <f>IF(OR(#REF!&gt;2,#REF!&lt;-2),"",#REF!)</f>
        <v>#REF!</v>
      </c>
      <c r="IF11" s="7" t="e">
        <f>IF(OR(#REF!&gt;2,#REF!&lt;-2),"",#REF!)</f>
        <v>#REF!</v>
      </c>
      <c r="IG11" s="7" t="e">
        <f>IF(OR(#REF!&gt;2,#REF!&lt;-2),"",#REF!)</f>
        <v>#REF!</v>
      </c>
      <c r="IH11" s="7" t="e">
        <f>IF(OR(#REF!&gt;2,#REF!&lt;-2),"",#REF!)</f>
        <v>#REF!</v>
      </c>
      <c r="II11" s="7" t="e">
        <f>IF(OR(#REF!&gt;2,#REF!&lt;-2),"",#REF!)</f>
        <v>#REF!</v>
      </c>
      <c r="IJ11" s="7" t="e">
        <f>IF(OR(#REF!&gt;2,#REF!&lt;-2),"",#REF!)</f>
        <v>#REF!</v>
      </c>
      <c r="IK11" s="7" t="e">
        <f>IF(OR(#REF!&gt;2,#REF!&lt;-2),"",#REF!)</f>
        <v>#REF!</v>
      </c>
      <c r="IL11" s="7" t="e">
        <f>IF(OR(#REF!&gt;2,#REF!&lt;-2),"",#REF!)</f>
        <v>#REF!</v>
      </c>
      <c r="IM11" s="7" t="e">
        <f>IF(OR(#REF!&gt;2,#REF!&lt;-2),"",#REF!)</f>
        <v>#REF!</v>
      </c>
      <c r="IN11" s="7" t="e">
        <f>IF(OR(#REF!&gt;2,#REF!&lt;-2),"",#REF!)</f>
        <v>#REF!</v>
      </c>
      <c r="IO11" s="7" t="e">
        <f>IF(OR(#REF!&gt;2,#REF!&lt;-2),"",#REF!)</f>
        <v>#REF!</v>
      </c>
      <c r="IP11" s="7" t="e">
        <f>IF(OR(#REF!&gt;2,#REF!&lt;-2),"",#REF!)</f>
        <v>#REF!</v>
      </c>
      <c r="IQ11" s="7" t="e">
        <f>IF(OR(#REF!&gt;2,#REF!&lt;-2),"",#REF!)</f>
        <v>#REF!</v>
      </c>
      <c r="IR11" s="7" t="e">
        <f>IF(OR(#REF!&gt;2,#REF!&lt;-2),"",#REF!)</f>
        <v>#REF!</v>
      </c>
      <c r="IS11" s="7" t="e">
        <f>IF(OR(#REF!&gt;2,#REF!&lt;-2),"",#REF!)</f>
        <v>#REF!</v>
      </c>
      <c r="IT11" s="7" t="e">
        <f>IF(OR(#REF!&gt;2,#REF!&lt;-2),"",#REF!)</f>
        <v>#REF!</v>
      </c>
      <c r="IU11" s="7" t="e">
        <f>IF(OR(#REF!&gt;2,#REF!&lt;-2),"",#REF!)</f>
        <v>#REF!</v>
      </c>
      <c r="IV11" s="7" t="e">
        <f>IF(OR(#REF!&gt;2,#REF!&lt;-2),"",#REF!)</f>
        <v>#REF!</v>
      </c>
      <c r="IW11" s="7" t="e">
        <f>IF(OR(#REF!&gt;2,#REF!&lt;-2),"",#REF!)</f>
        <v>#REF!</v>
      </c>
      <c r="IX11" s="7" t="e">
        <f>IF(OR(#REF!&gt;2,#REF!&lt;-2),"",#REF!)</f>
        <v>#REF!</v>
      </c>
      <c r="IY11" s="7" t="e">
        <f>IF(OR(#REF!&gt;2,#REF!&lt;-2),"",#REF!)</f>
        <v>#REF!</v>
      </c>
      <c r="IZ11" s="7" t="e">
        <f>IF(OR(#REF!&gt;2,#REF!&lt;-2),"",#REF!)</f>
        <v>#REF!</v>
      </c>
      <c r="JA11" s="7" t="e">
        <f>IF(OR(#REF!&gt;2,#REF!&lt;-2),"",#REF!)</f>
        <v>#REF!</v>
      </c>
      <c r="JB11" s="7" t="e">
        <f>IF(OR(#REF!&gt;2,#REF!&lt;-2),"",#REF!)</f>
        <v>#REF!</v>
      </c>
      <c r="JC11" s="7" t="e">
        <f>IF(OR(#REF!&gt;2,#REF!&lt;-2),"",#REF!)</f>
        <v>#REF!</v>
      </c>
      <c r="JD11" s="7" t="e">
        <f>IF(OR(#REF!&gt;2,#REF!&lt;-2),"",#REF!)</f>
        <v>#REF!</v>
      </c>
      <c r="JE11" s="7" t="e">
        <f>IF(OR(#REF!&gt;2,#REF!&lt;-2),"",#REF!)</f>
        <v>#REF!</v>
      </c>
      <c r="JF11" s="7" t="e">
        <f>IF(OR(#REF!&gt;2,#REF!&lt;-2),"",#REF!)</f>
        <v>#REF!</v>
      </c>
      <c r="JG11" s="7" t="e">
        <f>IF(OR(#REF!&gt;2,#REF!&lt;-2),"",#REF!)</f>
        <v>#REF!</v>
      </c>
      <c r="JH11" s="7" t="e">
        <f>IF(OR(#REF!&gt;2,#REF!&lt;-2),"",#REF!)</f>
        <v>#REF!</v>
      </c>
      <c r="JI11" s="7" t="e">
        <f>IF(OR(#REF!&gt;2,#REF!&lt;-2),"",#REF!)</f>
        <v>#REF!</v>
      </c>
      <c r="JJ11" s="7" t="e">
        <f>IF(OR(#REF!&gt;2,#REF!&lt;-2),"",#REF!)</f>
        <v>#REF!</v>
      </c>
      <c r="JK11" s="7" t="e">
        <f>IF(OR(#REF!&gt;2,#REF!&lt;-2),"",#REF!)</f>
        <v>#REF!</v>
      </c>
      <c r="JL11" s="7" t="e">
        <f>IF(OR(#REF!&gt;2,#REF!&lt;-2),"",#REF!)</f>
        <v>#REF!</v>
      </c>
      <c r="JM11" s="7" t="e">
        <f>IF(OR(#REF!&gt;2,#REF!&lt;-2),"",#REF!)</f>
        <v>#REF!</v>
      </c>
      <c r="JN11" s="7" t="e">
        <f>IF(OR(#REF!&gt;2,#REF!&lt;-2),"",#REF!)</f>
        <v>#REF!</v>
      </c>
      <c r="JO11" s="7" t="e">
        <f>IF(OR(#REF!&gt;2,#REF!&lt;-2),"",#REF!)</f>
        <v>#REF!</v>
      </c>
      <c r="JP11" s="7" t="e">
        <f>IF(OR(#REF!&gt;2,#REF!&lt;-2),"",#REF!)</f>
        <v>#REF!</v>
      </c>
      <c r="JQ11" s="7" t="e">
        <f>IF(OR(#REF!&gt;2,#REF!&lt;-2),"",#REF!)</f>
        <v>#REF!</v>
      </c>
      <c r="JR11" s="7" t="e">
        <f>IF(OR(#REF!&gt;2,#REF!&lt;-2),"",#REF!)</f>
        <v>#REF!</v>
      </c>
      <c r="JS11" s="7" t="e">
        <f>IF(OR(#REF!&gt;2,#REF!&lt;-2),"",#REF!)</f>
        <v>#REF!</v>
      </c>
      <c r="JT11" s="7" t="e">
        <f>IF(OR(#REF!&gt;2,#REF!&lt;-2),"",#REF!)</f>
        <v>#REF!</v>
      </c>
      <c r="JU11" s="7" t="e">
        <f>IF(OR(#REF!&gt;2,#REF!&lt;-2),"",#REF!)</f>
        <v>#REF!</v>
      </c>
      <c r="JV11" s="7" t="e">
        <f>IF(OR(#REF!&gt;2,#REF!&lt;-2),"",#REF!)</f>
        <v>#REF!</v>
      </c>
      <c r="JW11" s="7" t="e">
        <f>IF(OR(#REF!&gt;2,#REF!&lt;-2),"",#REF!)</f>
        <v>#REF!</v>
      </c>
      <c r="JX11" s="7" t="e">
        <f>IF(OR(#REF!&gt;2,#REF!&lt;-2),"",#REF!)</f>
        <v>#REF!</v>
      </c>
      <c r="JY11" s="7" t="e">
        <f>IF(OR(#REF!&gt;2,#REF!&lt;-2),"",#REF!)</f>
        <v>#REF!</v>
      </c>
      <c r="JZ11" s="7" t="e">
        <f>IF(OR(#REF!&gt;2,#REF!&lt;-2),"",#REF!)</f>
        <v>#REF!</v>
      </c>
      <c r="KA11" s="7" t="e">
        <f>IF(OR(#REF!&gt;2,#REF!&lt;-2),"",#REF!)</f>
        <v>#REF!</v>
      </c>
      <c r="KB11" s="7" t="e">
        <f>IF(OR(#REF!&gt;2,#REF!&lt;-2),"",#REF!)</f>
        <v>#REF!</v>
      </c>
      <c r="KC11" s="7" t="e">
        <f>IF(OR(#REF!&gt;2,#REF!&lt;-2),"",#REF!)</f>
        <v>#REF!</v>
      </c>
      <c r="KD11" s="7" t="e">
        <f>IF(OR(#REF!&gt;2,#REF!&lt;-2),"",#REF!)</f>
        <v>#REF!</v>
      </c>
      <c r="KE11" s="7" t="e">
        <f>IF(OR(#REF!&gt;2,#REF!&lt;-2),"",#REF!)</f>
        <v>#REF!</v>
      </c>
      <c r="KF11" s="7" t="e">
        <f>IF(OR(#REF!&gt;2,#REF!&lt;-2),"",#REF!)</f>
        <v>#REF!</v>
      </c>
      <c r="KG11" s="7" t="e">
        <f>IF(OR(#REF!&gt;2,#REF!&lt;-2),"",#REF!)</f>
        <v>#REF!</v>
      </c>
      <c r="KH11" s="7" t="e">
        <f>IF(OR(#REF!&gt;2,#REF!&lt;-2),"",#REF!)</f>
        <v>#REF!</v>
      </c>
      <c r="KI11" s="7" t="e">
        <f>IF(OR(#REF!&gt;2,#REF!&lt;-2),"",#REF!)</f>
        <v>#REF!</v>
      </c>
      <c r="KJ11" s="7" t="e">
        <f>IF(OR(#REF!&gt;2,#REF!&lt;-2),"",#REF!)</f>
        <v>#REF!</v>
      </c>
      <c r="KK11" s="7" t="e">
        <f>IF(OR(#REF!&gt;2,#REF!&lt;-2),"",#REF!)</f>
        <v>#REF!</v>
      </c>
      <c r="KL11" s="7" t="e">
        <f>IF(OR(#REF!&gt;2,#REF!&lt;-2),"",#REF!)</f>
        <v>#REF!</v>
      </c>
      <c r="KM11" s="7" t="e">
        <f>IF(OR(#REF!&gt;2,#REF!&lt;-2),"",#REF!)</f>
        <v>#REF!</v>
      </c>
      <c r="KN11" s="7" t="e">
        <f>IF(OR(#REF!&gt;2,#REF!&lt;-2),"",#REF!)</f>
        <v>#REF!</v>
      </c>
      <c r="KO11" s="7" t="e">
        <f>IF(OR(#REF!&gt;2,#REF!&lt;-2),"",#REF!)</f>
        <v>#REF!</v>
      </c>
      <c r="KP11" s="7" t="e">
        <f>IF(OR(#REF!&gt;2,#REF!&lt;-2),"",#REF!)</f>
        <v>#REF!</v>
      </c>
      <c r="KQ11" s="7" t="e">
        <f>IF(OR(#REF!&gt;2,#REF!&lt;-2),"",#REF!)</f>
        <v>#REF!</v>
      </c>
      <c r="KR11" s="7" t="e">
        <f>IF(OR(#REF!&gt;2,#REF!&lt;-2),"",#REF!)</f>
        <v>#REF!</v>
      </c>
      <c r="KS11" s="7" t="e">
        <f>IF(OR(#REF!&gt;2,#REF!&lt;-2),"",#REF!)</f>
        <v>#REF!</v>
      </c>
      <c r="KT11" s="7" t="e">
        <f>IF(OR(#REF!&gt;2,#REF!&lt;-2),"",#REF!)</f>
        <v>#REF!</v>
      </c>
      <c r="KU11" s="7" t="e">
        <f>IF(OR(#REF!&gt;2,#REF!&lt;-2),"",#REF!)</f>
        <v>#REF!</v>
      </c>
      <c r="KV11" s="7" t="e">
        <f>IF(OR(#REF!&gt;2,#REF!&lt;-2),"",#REF!)</f>
        <v>#REF!</v>
      </c>
      <c r="KW11" s="7" t="e">
        <f>IF(OR(#REF!&gt;2,#REF!&lt;-2),"",#REF!)</f>
        <v>#REF!</v>
      </c>
      <c r="KX11" s="7" t="e">
        <f>IF(OR(#REF!&gt;2,#REF!&lt;-2),"",#REF!)</f>
        <v>#REF!</v>
      </c>
      <c r="KY11" s="7" t="e">
        <f>IF(OR(#REF!&gt;2,#REF!&lt;-2),"",#REF!)</f>
        <v>#REF!</v>
      </c>
      <c r="KZ11" s="7" t="e">
        <f>IF(OR(#REF!&gt;2,#REF!&lt;-2),"",#REF!)</f>
        <v>#REF!</v>
      </c>
      <c r="LA11" s="7" t="e">
        <f>IF(OR(#REF!&gt;2,#REF!&lt;-2),"",#REF!)</f>
        <v>#REF!</v>
      </c>
      <c r="LB11" s="7" t="e">
        <f>IF(OR(#REF!&gt;2,#REF!&lt;-2),"",#REF!)</f>
        <v>#REF!</v>
      </c>
      <c r="LC11" s="7" t="e">
        <f>IF(OR(#REF!&gt;2,#REF!&lt;-2),"",#REF!)</f>
        <v>#REF!</v>
      </c>
      <c r="LD11" s="7" t="e">
        <f>IF(OR(#REF!&gt;2,#REF!&lt;-2),"",#REF!)</f>
        <v>#REF!</v>
      </c>
      <c r="LE11" s="7" t="e">
        <f>IF(OR(#REF!&gt;2,#REF!&lt;-2),"",#REF!)</f>
        <v>#REF!</v>
      </c>
      <c r="LF11" s="7" t="e">
        <f>IF(OR(#REF!&gt;2,#REF!&lt;-2),"",#REF!)</f>
        <v>#REF!</v>
      </c>
      <c r="LG11" s="7" t="e">
        <f>IF(OR(#REF!&gt;2,#REF!&lt;-2),"",#REF!)</f>
        <v>#REF!</v>
      </c>
      <c r="LH11" s="7" t="e">
        <f>IF(OR(#REF!&gt;2,#REF!&lt;-2),"",#REF!)</f>
        <v>#REF!</v>
      </c>
      <c r="LI11" s="7" t="e">
        <f>IF(OR(#REF!&gt;2,#REF!&lt;-2),"",#REF!)</f>
        <v>#REF!</v>
      </c>
      <c r="LJ11" s="7" t="e">
        <f>IF(OR(#REF!&gt;2,#REF!&lt;-2),"",#REF!)</f>
        <v>#REF!</v>
      </c>
      <c r="LK11" s="7" t="e">
        <f>IF(OR(#REF!&gt;2,#REF!&lt;-2),"",#REF!)</f>
        <v>#REF!</v>
      </c>
      <c r="LL11" s="7" t="e">
        <f>IF(OR(#REF!&gt;2,#REF!&lt;-2),"",#REF!)</f>
        <v>#REF!</v>
      </c>
      <c r="LM11" s="7" t="e">
        <f>IF(OR(#REF!&gt;2,#REF!&lt;-2),"",#REF!)</f>
        <v>#REF!</v>
      </c>
      <c r="LN11" s="7" t="e">
        <f>IF(OR(#REF!&gt;2,#REF!&lt;-2),"",#REF!)</f>
        <v>#REF!</v>
      </c>
      <c r="LO11" s="7" t="e">
        <f>IF(OR(#REF!&gt;2,#REF!&lt;-2),"",#REF!)</f>
        <v>#REF!</v>
      </c>
      <c r="LP11" s="7" t="e">
        <f>IF(OR(#REF!&gt;2,#REF!&lt;-2),"",#REF!)</f>
        <v>#REF!</v>
      </c>
      <c r="LQ11" s="7" t="e">
        <f>IF(OR(#REF!&gt;2,#REF!&lt;-2),"",#REF!)</f>
        <v>#REF!</v>
      </c>
      <c r="LR11" s="7" t="e">
        <f>IF(OR(#REF!&gt;2,#REF!&lt;-2),"",#REF!)</f>
        <v>#REF!</v>
      </c>
      <c r="LS11" s="7" t="e">
        <f>IF(OR(#REF!&gt;2,#REF!&lt;-2),"",#REF!)</f>
        <v>#REF!</v>
      </c>
      <c r="LT11" s="7" t="e">
        <f>IF(OR(#REF!&gt;2,#REF!&lt;-2),"",#REF!)</f>
        <v>#REF!</v>
      </c>
      <c r="LU11" s="7" t="e">
        <f>IF(OR(#REF!&gt;2,#REF!&lt;-2),"",#REF!)</f>
        <v>#REF!</v>
      </c>
      <c r="LV11" s="7" t="e">
        <f>IF(OR(#REF!&gt;2,#REF!&lt;-2),"",#REF!)</f>
        <v>#REF!</v>
      </c>
      <c r="LW11" s="7" t="e">
        <f>IF(OR(#REF!&gt;2,#REF!&lt;-2),"",#REF!)</f>
        <v>#REF!</v>
      </c>
      <c r="LX11" s="7" t="e">
        <f>IF(OR(#REF!&gt;2,#REF!&lt;-2),"",#REF!)</f>
        <v>#REF!</v>
      </c>
      <c r="LY11" s="7" t="e">
        <f>IF(OR(#REF!&gt;2,#REF!&lt;-2),"",#REF!)</f>
        <v>#REF!</v>
      </c>
      <c r="LZ11" s="7" t="e">
        <f>IF(OR(#REF!&gt;2,#REF!&lt;-2),"",#REF!)</f>
        <v>#REF!</v>
      </c>
      <c r="MA11" s="7" t="e">
        <f>IF(OR(#REF!&gt;2,#REF!&lt;-2),"",#REF!)</f>
        <v>#REF!</v>
      </c>
      <c r="MB11" s="7" t="e">
        <f>IF(OR(#REF!&gt;2,#REF!&lt;-2),"",#REF!)</f>
        <v>#REF!</v>
      </c>
      <c r="MC11" s="7" t="e">
        <f>IF(OR(#REF!&gt;2,#REF!&lt;-2),"",#REF!)</f>
        <v>#REF!</v>
      </c>
      <c r="MD11" s="7" t="e">
        <f>IF(OR(#REF!&gt;2,#REF!&lt;-2),"",#REF!)</f>
        <v>#REF!</v>
      </c>
      <c r="ME11" s="7" t="e">
        <f>IF(OR(#REF!&gt;2,#REF!&lt;-2),"",#REF!)</f>
        <v>#REF!</v>
      </c>
      <c r="MF11" s="7" t="e">
        <f>IF(OR(#REF!&gt;2,#REF!&lt;-2),"",#REF!)</f>
        <v>#REF!</v>
      </c>
      <c r="MG11" s="7" t="e">
        <f>IF(OR(#REF!&gt;2,#REF!&lt;-2),"",#REF!)</f>
        <v>#REF!</v>
      </c>
      <c r="MH11" s="7" t="e">
        <f>IF(OR(#REF!&gt;2,#REF!&lt;-2),"",#REF!)</f>
        <v>#REF!</v>
      </c>
      <c r="MI11" s="7" t="e">
        <f>IF(OR(#REF!&gt;2,#REF!&lt;-2),"",#REF!)</f>
        <v>#REF!</v>
      </c>
      <c r="MJ11" s="7" t="e">
        <f>IF(OR(#REF!&gt;2,#REF!&lt;-2),"",#REF!)</f>
        <v>#REF!</v>
      </c>
      <c r="MK11" s="7" t="e">
        <f>IF(OR(#REF!&gt;2,#REF!&lt;-2),"",#REF!)</f>
        <v>#REF!</v>
      </c>
      <c r="ML11" s="7" t="e">
        <f>IF(OR(#REF!&gt;2,#REF!&lt;-2),"",#REF!)</f>
        <v>#REF!</v>
      </c>
      <c r="MM11" s="7" t="e">
        <f>IF(OR(#REF!&gt;2,#REF!&lt;-2),"",#REF!)</f>
        <v>#REF!</v>
      </c>
      <c r="MN11" s="7" t="e">
        <f>IF(OR(#REF!&gt;2,#REF!&lt;-2),"",#REF!)</f>
        <v>#REF!</v>
      </c>
      <c r="MO11" s="7" t="e">
        <f>IF(OR(#REF!&gt;2,#REF!&lt;-2),"",#REF!)</f>
        <v>#REF!</v>
      </c>
      <c r="MP11" s="7" t="e">
        <f>IF(OR(#REF!&gt;2,#REF!&lt;-2),"",#REF!)</f>
        <v>#REF!</v>
      </c>
      <c r="MQ11" s="7" t="e">
        <f>IF(OR(#REF!&gt;2,#REF!&lt;-2),"",#REF!)</f>
        <v>#REF!</v>
      </c>
      <c r="MR11" s="7" t="e">
        <f>IF(OR(#REF!&gt;2,#REF!&lt;-2),"",#REF!)</f>
        <v>#REF!</v>
      </c>
      <c r="MS11" s="7" t="e">
        <f>IF(OR(#REF!&gt;2,#REF!&lt;-2),"",#REF!)</f>
        <v>#REF!</v>
      </c>
      <c r="MT11" s="7" t="e">
        <f>IF(OR(#REF!&gt;2,#REF!&lt;-2),"",#REF!)</f>
        <v>#REF!</v>
      </c>
      <c r="MU11" s="7" t="e">
        <f>IF(OR(#REF!&gt;2,#REF!&lt;-2),"",#REF!)</f>
        <v>#REF!</v>
      </c>
      <c r="MV11" s="7" t="e">
        <f>IF(OR(#REF!&gt;2,#REF!&lt;-2),"",#REF!)</f>
        <v>#REF!</v>
      </c>
      <c r="MW11" s="7" t="e">
        <f>IF(OR(#REF!&gt;2,#REF!&lt;-2),"",#REF!)</f>
        <v>#REF!</v>
      </c>
      <c r="MX11" s="7" t="e">
        <f>IF(OR(#REF!&gt;2,#REF!&lt;-2),"",#REF!)</f>
        <v>#REF!</v>
      </c>
      <c r="MY11" s="7" t="e">
        <f>IF(OR(#REF!&gt;2,#REF!&lt;-2),"",#REF!)</f>
        <v>#REF!</v>
      </c>
      <c r="MZ11" s="7" t="e">
        <f>IF(OR(#REF!&gt;2,#REF!&lt;-2),"",#REF!)</f>
        <v>#REF!</v>
      </c>
      <c r="NA11" s="7" t="e">
        <f>IF(OR(#REF!&gt;2,#REF!&lt;-2),"",#REF!)</f>
        <v>#REF!</v>
      </c>
      <c r="NB11" s="7" t="e">
        <f>IF(OR(#REF!&gt;2,#REF!&lt;-2),"",#REF!)</f>
        <v>#REF!</v>
      </c>
      <c r="NC11" s="7" t="e">
        <f>IF(OR(#REF!&gt;2,#REF!&lt;-2),"",#REF!)</f>
        <v>#REF!</v>
      </c>
      <c r="ND11" s="7" t="e">
        <f>IF(OR(#REF!&gt;2,#REF!&lt;-2),"",#REF!)</f>
        <v>#REF!</v>
      </c>
      <c r="NE11" s="7" t="e">
        <f>IF(OR(#REF!&gt;2,#REF!&lt;-2),"",#REF!)</f>
        <v>#REF!</v>
      </c>
      <c r="NF11" s="7" t="e">
        <f>IF(OR(#REF!&gt;2,#REF!&lt;-2),"",#REF!)</f>
        <v>#REF!</v>
      </c>
      <c r="NG11" s="7" t="e">
        <f>IF(OR(#REF!&gt;2,#REF!&lt;-2),"",#REF!)</f>
        <v>#REF!</v>
      </c>
      <c r="NH11" s="7" t="e">
        <f>IF(OR(#REF!&gt;2,#REF!&lt;-2),"",#REF!)</f>
        <v>#REF!</v>
      </c>
      <c r="NI11" s="7" t="e">
        <f>IF(OR(#REF!&gt;2,#REF!&lt;-2),"",#REF!)</f>
        <v>#REF!</v>
      </c>
      <c r="NJ11" s="7" t="e">
        <f>IF(OR(#REF!&gt;2,#REF!&lt;-2),"",#REF!)</f>
        <v>#REF!</v>
      </c>
      <c r="NK11" s="7" t="e">
        <f>IF(OR(#REF!&gt;2,#REF!&lt;-2),"",#REF!)</f>
        <v>#REF!</v>
      </c>
      <c r="NL11" s="7" t="e">
        <f>IF(OR(#REF!&gt;2,#REF!&lt;-2),"",#REF!)</f>
        <v>#REF!</v>
      </c>
      <c r="NM11" s="7" t="e">
        <f>IF(OR(#REF!&gt;2,#REF!&lt;-2),"",#REF!)</f>
        <v>#REF!</v>
      </c>
      <c r="NN11" s="7" t="e">
        <f>IF(OR(#REF!&gt;2,#REF!&lt;-2),"",#REF!)</f>
        <v>#REF!</v>
      </c>
      <c r="NO11" s="7" t="e">
        <f>IF(OR(#REF!&gt;2,#REF!&lt;-2),"",#REF!)</f>
        <v>#REF!</v>
      </c>
      <c r="NP11" s="7" t="e">
        <f>IF(OR(#REF!&gt;2,#REF!&lt;-2),"",#REF!)</f>
        <v>#REF!</v>
      </c>
      <c r="NQ11" s="7" t="e">
        <f>IF(OR(#REF!&gt;2,#REF!&lt;-2),"",#REF!)</f>
        <v>#REF!</v>
      </c>
      <c r="NR11" s="7" t="e">
        <f>IF(OR(#REF!&gt;2,#REF!&lt;-2),"",#REF!)</f>
        <v>#REF!</v>
      </c>
      <c r="NS11" s="7" t="e">
        <f>IF(OR(#REF!&gt;2,#REF!&lt;-2),"",#REF!)</f>
        <v>#REF!</v>
      </c>
      <c r="NT11" s="7" t="e">
        <f>IF(OR(#REF!&gt;2,#REF!&lt;-2),"",#REF!)</f>
        <v>#REF!</v>
      </c>
      <c r="NU11" s="7" t="e">
        <f>IF(OR(#REF!&gt;2,#REF!&lt;-2),"",#REF!)</f>
        <v>#REF!</v>
      </c>
      <c r="NV11" s="7" t="e">
        <f>IF(OR(#REF!&gt;2,#REF!&lt;-2),"",#REF!)</f>
        <v>#REF!</v>
      </c>
      <c r="NW11" s="7" t="e">
        <f>IF(OR(#REF!&gt;2,#REF!&lt;-2),"",#REF!)</f>
        <v>#REF!</v>
      </c>
      <c r="NX11" s="7" t="e">
        <f>IF(OR(#REF!&gt;2,#REF!&lt;-2),"",#REF!)</f>
        <v>#REF!</v>
      </c>
      <c r="NY11" s="7" t="e">
        <f>IF(OR(#REF!&gt;2,#REF!&lt;-2),"",#REF!)</f>
        <v>#REF!</v>
      </c>
      <c r="NZ11" s="7" t="e">
        <f>IF(OR(#REF!&gt;2,#REF!&lt;-2),"",#REF!)</f>
        <v>#REF!</v>
      </c>
      <c r="OA11" s="7" t="e">
        <f>IF(OR(#REF!&gt;2,#REF!&lt;-2),"",#REF!)</f>
        <v>#REF!</v>
      </c>
      <c r="OB11" s="7" t="e">
        <f>IF(OR(#REF!&gt;2,#REF!&lt;-2),"",#REF!)</f>
        <v>#REF!</v>
      </c>
      <c r="OC11" s="7" t="e">
        <f>IF(OR(#REF!&gt;2,#REF!&lt;-2),"",#REF!)</f>
        <v>#REF!</v>
      </c>
      <c r="OD11" s="7" t="e">
        <f>IF(OR(#REF!&gt;2,#REF!&lt;-2),"",#REF!)</f>
        <v>#REF!</v>
      </c>
      <c r="OE11" s="7" t="e">
        <f>IF(OR(#REF!&gt;2,#REF!&lt;-2),"",#REF!)</f>
        <v>#REF!</v>
      </c>
      <c r="OF11" s="7" t="e">
        <f>IF(OR(#REF!&gt;2,#REF!&lt;-2),"",#REF!)</f>
        <v>#REF!</v>
      </c>
      <c r="OG11" s="7" t="e">
        <f>IF(OR(#REF!&gt;2,#REF!&lt;-2),"",#REF!)</f>
        <v>#REF!</v>
      </c>
      <c r="OH11" s="7" t="e">
        <f>IF(OR(#REF!&gt;2,#REF!&lt;-2),"",#REF!)</f>
        <v>#REF!</v>
      </c>
      <c r="OI11" s="7" t="e">
        <f>IF(OR(#REF!&gt;2,#REF!&lt;-2),"",#REF!)</f>
        <v>#REF!</v>
      </c>
      <c r="OJ11" s="7" t="e">
        <f>IF(OR(#REF!&gt;2,#REF!&lt;-2),"",#REF!)</f>
        <v>#REF!</v>
      </c>
      <c r="OK11" s="7" t="e">
        <f>IF(OR(#REF!&gt;2,#REF!&lt;-2),"",#REF!)</f>
        <v>#REF!</v>
      </c>
      <c r="OL11" s="7" t="e">
        <f>IF(OR(#REF!&gt;2,#REF!&lt;-2),"",#REF!)</f>
        <v>#REF!</v>
      </c>
      <c r="OM11" s="7" t="e">
        <f>IF(OR(#REF!&gt;2,#REF!&lt;-2),"",#REF!)</f>
        <v>#REF!</v>
      </c>
      <c r="ON11" s="7" t="e">
        <f>IF(OR(#REF!&gt;2,#REF!&lt;-2),"",#REF!)</f>
        <v>#REF!</v>
      </c>
      <c r="OO11" s="7" t="e">
        <f>IF(OR(#REF!&gt;2,#REF!&lt;-2),"",#REF!)</f>
        <v>#REF!</v>
      </c>
      <c r="OP11" s="7" t="e">
        <f>IF(OR(#REF!&gt;2,#REF!&lt;-2),"",#REF!)</f>
        <v>#REF!</v>
      </c>
      <c r="OQ11" s="7" t="e">
        <f>IF(OR(#REF!&gt;2,#REF!&lt;-2),"",#REF!)</f>
        <v>#REF!</v>
      </c>
      <c r="OR11" s="7" t="e">
        <f>IF(OR(#REF!&gt;2,#REF!&lt;-2),"",#REF!)</f>
        <v>#REF!</v>
      </c>
      <c r="OS11" s="7" t="e">
        <f>IF(OR(#REF!&gt;2,#REF!&lt;-2),"",#REF!)</f>
        <v>#REF!</v>
      </c>
      <c r="OT11" s="7" t="e">
        <f>IF(OR(#REF!&gt;2,#REF!&lt;-2),"",#REF!)</f>
        <v>#REF!</v>
      </c>
      <c r="OU11" s="7" t="e">
        <f>IF(OR(#REF!&gt;2,#REF!&lt;-2),"",#REF!)</f>
        <v>#REF!</v>
      </c>
      <c r="OV11" s="7" t="e">
        <f>IF(OR(#REF!&gt;2,#REF!&lt;-2),"",#REF!)</f>
        <v>#REF!</v>
      </c>
      <c r="OW11" s="7" t="e">
        <f>IF(OR(#REF!&gt;2,#REF!&lt;-2),"",#REF!)</f>
        <v>#REF!</v>
      </c>
      <c r="OX11" s="7" t="e">
        <f>IF(OR(#REF!&gt;2,#REF!&lt;-2),"",#REF!)</f>
        <v>#REF!</v>
      </c>
      <c r="OY11" s="7" t="e">
        <f>IF(OR(#REF!&gt;2,#REF!&lt;-2),"",#REF!)</f>
        <v>#REF!</v>
      </c>
      <c r="OZ11" s="7" t="e">
        <f>IF(OR(#REF!&gt;2,#REF!&lt;-2),"",#REF!)</f>
        <v>#REF!</v>
      </c>
      <c r="PA11" s="7" t="e">
        <f>IF(OR(#REF!&gt;2,#REF!&lt;-2),"",#REF!)</f>
        <v>#REF!</v>
      </c>
      <c r="PB11" s="7" t="e">
        <f>IF(OR(#REF!&gt;2,#REF!&lt;-2),"",#REF!)</f>
        <v>#REF!</v>
      </c>
      <c r="PC11" s="7" t="e">
        <f>IF(OR(#REF!&gt;2,#REF!&lt;-2),"",#REF!)</f>
        <v>#REF!</v>
      </c>
      <c r="PD11" s="7" t="e">
        <f>IF(OR(#REF!&gt;2,#REF!&lt;-2),"",#REF!)</f>
        <v>#REF!</v>
      </c>
      <c r="PE11" s="7" t="e">
        <f>IF(OR(#REF!&gt;2,#REF!&lt;-2),"",#REF!)</f>
        <v>#REF!</v>
      </c>
      <c r="PF11" s="7" t="e">
        <f>IF(OR(#REF!&gt;2,#REF!&lt;-2),"",#REF!)</f>
        <v>#REF!</v>
      </c>
      <c r="PG11" s="7" t="e">
        <f>IF(OR(#REF!&gt;2,#REF!&lt;-2),"",#REF!)</f>
        <v>#REF!</v>
      </c>
      <c r="PH11" s="7" t="e">
        <f>IF(OR(#REF!&gt;2,#REF!&lt;-2),"",#REF!)</f>
        <v>#REF!</v>
      </c>
      <c r="PI11" s="7" t="e">
        <f>IF(OR(#REF!&gt;2,#REF!&lt;-2),"",#REF!)</f>
        <v>#REF!</v>
      </c>
      <c r="PJ11" s="7" t="e">
        <f>IF(OR(#REF!&gt;2,#REF!&lt;-2),"",#REF!)</f>
        <v>#REF!</v>
      </c>
      <c r="PK11" s="7" t="e">
        <f>IF(OR(#REF!&gt;2,#REF!&lt;-2),"",#REF!)</f>
        <v>#REF!</v>
      </c>
      <c r="PL11" s="7" t="e">
        <f>IF(OR(#REF!&gt;2,#REF!&lt;-2),"",#REF!)</f>
        <v>#REF!</v>
      </c>
      <c r="PM11" s="7" t="e">
        <f>IF(OR(#REF!&gt;2,#REF!&lt;-2),"",#REF!)</f>
        <v>#REF!</v>
      </c>
      <c r="PN11" s="7" t="e">
        <f>IF(OR(#REF!&gt;2,#REF!&lt;-2),"",#REF!)</f>
        <v>#REF!</v>
      </c>
      <c r="PO11" s="7" t="e">
        <f>IF(OR(#REF!&gt;2,#REF!&lt;-2),"",#REF!)</f>
        <v>#REF!</v>
      </c>
      <c r="PP11" s="7" t="e">
        <f>IF(OR(#REF!&gt;2,#REF!&lt;-2),"",#REF!)</f>
        <v>#REF!</v>
      </c>
      <c r="PQ11" s="7" t="e">
        <f>IF(OR(#REF!&gt;2,#REF!&lt;-2),"",#REF!)</f>
        <v>#REF!</v>
      </c>
      <c r="PR11" s="7" t="e">
        <f>IF(OR(#REF!&gt;2,#REF!&lt;-2),"",#REF!)</f>
        <v>#REF!</v>
      </c>
      <c r="PS11" s="7" t="e">
        <f>IF(OR(#REF!&gt;2,#REF!&lt;-2),"",#REF!)</f>
        <v>#REF!</v>
      </c>
      <c r="PT11" s="7" t="e">
        <f>IF(OR(#REF!&gt;2,#REF!&lt;-2),"",#REF!)</f>
        <v>#REF!</v>
      </c>
      <c r="PU11" s="7" t="e">
        <f>IF(OR(#REF!&gt;2,#REF!&lt;-2),"",#REF!)</f>
        <v>#REF!</v>
      </c>
      <c r="PV11" s="7" t="e">
        <f>IF(OR(#REF!&gt;2,#REF!&lt;-2),"",#REF!)</f>
        <v>#REF!</v>
      </c>
      <c r="PW11" s="7" t="e">
        <f>IF(OR(#REF!&gt;2,#REF!&lt;-2),"",#REF!)</f>
        <v>#REF!</v>
      </c>
      <c r="PX11" s="7" t="e">
        <f>IF(OR(#REF!&gt;2,#REF!&lt;-2),"",#REF!)</f>
        <v>#REF!</v>
      </c>
      <c r="PY11" s="7" t="e">
        <f>IF(OR(#REF!&gt;2,#REF!&lt;-2),"",#REF!)</f>
        <v>#REF!</v>
      </c>
      <c r="PZ11" s="7" t="e">
        <f>IF(OR(#REF!&gt;2,#REF!&lt;-2),"",#REF!)</f>
        <v>#REF!</v>
      </c>
      <c r="QA11" s="7" t="e">
        <f>IF(OR(#REF!&gt;2,#REF!&lt;-2),"",#REF!)</f>
        <v>#REF!</v>
      </c>
      <c r="QB11" s="7" t="e">
        <f>IF(OR(#REF!&gt;2,#REF!&lt;-2),"",#REF!)</f>
        <v>#REF!</v>
      </c>
      <c r="QC11" s="7" t="e">
        <f>IF(OR(#REF!&gt;2,#REF!&lt;-2),"",#REF!)</f>
        <v>#REF!</v>
      </c>
      <c r="QD11" s="7" t="e">
        <f>IF(OR(#REF!&gt;2,#REF!&lt;-2),"",#REF!)</f>
        <v>#REF!</v>
      </c>
      <c r="QE11" s="7" t="e">
        <f>IF(OR(#REF!&gt;2,#REF!&lt;-2),"",#REF!)</f>
        <v>#REF!</v>
      </c>
      <c r="QF11" s="7" t="e">
        <f>IF(OR(#REF!&gt;2,#REF!&lt;-2),"",#REF!)</f>
        <v>#REF!</v>
      </c>
      <c r="QG11" s="7" t="e">
        <f>IF(OR(#REF!&gt;2,#REF!&lt;-2),"",#REF!)</f>
        <v>#REF!</v>
      </c>
      <c r="QH11" s="7" t="e">
        <f>IF(OR(#REF!&gt;2,#REF!&lt;-2),"",#REF!)</f>
        <v>#REF!</v>
      </c>
      <c r="QI11" s="7" t="e">
        <f>IF(OR(#REF!&gt;2,#REF!&lt;-2),"",#REF!)</f>
        <v>#REF!</v>
      </c>
      <c r="QJ11" s="7" t="e">
        <f>IF(OR(#REF!&gt;2,#REF!&lt;-2),"",#REF!)</f>
        <v>#REF!</v>
      </c>
      <c r="QK11" s="7" t="e">
        <f>IF(OR(#REF!&gt;2,#REF!&lt;-2),"",#REF!)</f>
        <v>#REF!</v>
      </c>
      <c r="QL11" s="7" t="e">
        <f>IF(OR(#REF!&gt;2,#REF!&lt;-2),"",#REF!)</f>
        <v>#REF!</v>
      </c>
      <c r="QM11" s="7" t="e">
        <f>IF(OR(#REF!&gt;2,#REF!&lt;-2),"",#REF!)</f>
        <v>#REF!</v>
      </c>
      <c r="QN11" s="7" t="e">
        <f>IF(OR(#REF!&gt;2,#REF!&lt;-2),"",#REF!)</f>
        <v>#REF!</v>
      </c>
      <c r="QO11" s="7" t="e">
        <f>IF(OR(#REF!&gt;2,#REF!&lt;-2),"",#REF!)</f>
        <v>#REF!</v>
      </c>
      <c r="QP11" s="7" t="e">
        <f>IF(OR(#REF!&gt;2,#REF!&lt;-2),"",#REF!)</f>
        <v>#REF!</v>
      </c>
      <c r="QQ11" s="7" t="e">
        <f>IF(OR(#REF!&gt;2,#REF!&lt;-2),"",#REF!)</f>
        <v>#REF!</v>
      </c>
      <c r="QR11" s="7" t="e">
        <f>IF(OR(#REF!&gt;2,#REF!&lt;-2),"",#REF!)</f>
        <v>#REF!</v>
      </c>
      <c r="QS11" s="7" t="e">
        <f>IF(OR(#REF!&gt;2,#REF!&lt;-2),"",#REF!)</f>
        <v>#REF!</v>
      </c>
      <c r="QT11" s="7" t="e">
        <f>IF(OR(#REF!&gt;2,#REF!&lt;-2),"",#REF!)</f>
        <v>#REF!</v>
      </c>
      <c r="QU11" s="7" t="e">
        <f>IF(OR(#REF!&gt;2,#REF!&lt;-2),"",#REF!)</f>
        <v>#REF!</v>
      </c>
      <c r="QV11" s="7" t="e">
        <f>IF(OR(#REF!&gt;2,#REF!&lt;-2),"",#REF!)</f>
        <v>#REF!</v>
      </c>
      <c r="QW11" s="7" t="e">
        <f>IF(OR(#REF!&gt;2,#REF!&lt;-2),"",#REF!)</f>
        <v>#REF!</v>
      </c>
      <c r="QX11" s="7" t="e">
        <f>IF(OR(#REF!&gt;2,#REF!&lt;-2),"",#REF!)</f>
        <v>#REF!</v>
      </c>
      <c r="QY11" s="7" t="e">
        <f>IF(OR(#REF!&gt;2,#REF!&lt;-2),"",#REF!)</f>
        <v>#REF!</v>
      </c>
      <c r="QZ11" s="7" t="e">
        <f>IF(OR(#REF!&gt;2,#REF!&lt;-2),"",#REF!)</f>
        <v>#REF!</v>
      </c>
      <c r="RA11" s="7" t="e">
        <f>IF(OR(#REF!&gt;2,#REF!&lt;-2),"",#REF!)</f>
        <v>#REF!</v>
      </c>
      <c r="RB11" s="7" t="e">
        <f>IF(OR(#REF!&gt;2,#REF!&lt;-2),"",#REF!)</f>
        <v>#REF!</v>
      </c>
      <c r="RC11" s="7" t="e">
        <f>IF(OR(#REF!&gt;2,#REF!&lt;-2),"",#REF!)</f>
        <v>#REF!</v>
      </c>
      <c r="RD11" s="7" t="e">
        <f>IF(OR(#REF!&gt;2,#REF!&lt;-2),"",#REF!)</f>
        <v>#REF!</v>
      </c>
      <c r="RE11" s="7" t="e">
        <f>IF(OR(#REF!&gt;2,#REF!&lt;-2),"",#REF!)</f>
        <v>#REF!</v>
      </c>
      <c r="RF11" s="7" t="e">
        <f>IF(OR(#REF!&gt;2,#REF!&lt;-2),"",#REF!)</f>
        <v>#REF!</v>
      </c>
      <c r="RG11" s="7" t="e">
        <f>IF(OR(#REF!&gt;2,#REF!&lt;-2),"",#REF!)</f>
        <v>#REF!</v>
      </c>
      <c r="RH11" s="7" t="e">
        <f>IF(OR(#REF!&gt;2,#REF!&lt;-2),"",#REF!)</f>
        <v>#REF!</v>
      </c>
      <c r="RI11" s="7" t="e">
        <f>IF(OR(#REF!&gt;2,#REF!&lt;-2),"",#REF!)</f>
        <v>#REF!</v>
      </c>
      <c r="RJ11" s="7" t="e">
        <f>IF(OR(#REF!&gt;2,#REF!&lt;-2),"",#REF!)</f>
        <v>#REF!</v>
      </c>
      <c r="RK11" s="7" t="e">
        <f>IF(OR(#REF!&gt;2,#REF!&lt;-2),"",#REF!)</f>
        <v>#REF!</v>
      </c>
      <c r="RL11" s="7" t="e">
        <f>IF(OR(#REF!&gt;2,#REF!&lt;-2),"",#REF!)</f>
        <v>#REF!</v>
      </c>
      <c r="RM11" s="7" t="e">
        <f>IF(OR(#REF!&gt;2,#REF!&lt;-2),"",#REF!)</f>
        <v>#REF!</v>
      </c>
      <c r="RN11" s="7" t="e">
        <f>IF(OR(#REF!&gt;2,#REF!&lt;-2),"",#REF!)</f>
        <v>#REF!</v>
      </c>
      <c r="RO11" s="7" t="e">
        <f>IF(OR(#REF!&gt;2,#REF!&lt;-2),"",#REF!)</f>
        <v>#REF!</v>
      </c>
      <c r="RP11" s="7" t="e">
        <f>IF(OR(#REF!&gt;2,#REF!&lt;-2),"",#REF!)</f>
        <v>#REF!</v>
      </c>
      <c r="RQ11" s="7" t="e">
        <f>IF(OR(#REF!&gt;2,#REF!&lt;-2),"",#REF!)</f>
        <v>#REF!</v>
      </c>
      <c r="RR11" s="7" t="e">
        <f>IF(OR(#REF!&gt;2,#REF!&lt;-2),"",#REF!)</f>
        <v>#REF!</v>
      </c>
      <c r="RS11" s="7" t="e">
        <f>IF(OR(#REF!&gt;2,#REF!&lt;-2),"",#REF!)</f>
        <v>#REF!</v>
      </c>
      <c r="RT11" s="7" t="e">
        <f>IF(OR(#REF!&gt;2,#REF!&lt;-2),"",#REF!)</f>
        <v>#REF!</v>
      </c>
      <c r="RU11" s="7" t="e">
        <f>IF(OR(#REF!&gt;2,#REF!&lt;-2),"",#REF!)</f>
        <v>#REF!</v>
      </c>
      <c r="RV11" s="7" t="e">
        <f>IF(OR(#REF!&gt;2,#REF!&lt;-2),"",#REF!)</f>
        <v>#REF!</v>
      </c>
      <c r="RW11" s="7" t="e">
        <f>IF(OR(#REF!&gt;2,#REF!&lt;-2),"",#REF!)</f>
        <v>#REF!</v>
      </c>
      <c r="RX11" s="7" t="e">
        <f>IF(OR(#REF!&gt;2,#REF!&lt;-2),"",#REF!)</f>
        <v>#REF!</v>
      </c>
      <c r="RY11" s="7" t="e">
        <f>IF(OR(#REF!&gt;2,#REF!&lt;-2),"",#REF!)</f>
        <v>#REF!</v>
      </c>
      <c r="RZ11" s="7" t="e">
        <f>IF(OR(#REF!&gt;2,#REF!&lt;-2),"",#REF!)</f>
        <v>#REF!</v>
      </c>
      <c r="SA11" s="7" t="e">
        <f>IF(OR(#REF!&gt;2,#REF!&lt;-2),"",#REF!)</f>
        <v>#REF!</v>
      </c>
      <c r="SB11" s="7" t="e">
        <f>IF(OR(#REF!&gt;2,#REF!&lt;-2),"",#REF!)</f>
        <v>#REF!</v>
      </c>
      <c r="SC11" s="7" t="e">
        <f>IF(OR(#REF!&gt;2,#REF!&lt;-2),"",#REF!)</f>
        <v>#REF!</v>
      </c>
      <c r="SD11" s="7" t="e">
        <f>IF(OR(#REF!&gt;2,#REF!&lt;-2),"",#REF!)</f>
        <v>#REF!</v>
      </c>
      <c r="SE11" s="7" t="e">
        <f>IF(OR(#REF!&gt;2,#REF!&lt;-2),"",#REF!)</f>
        <v>#REF!</v>
      </c>
      <c r="SF11" s="7" t="e">
        <f>IF(OR(#REF!&gt;2,#REF!&lt;-2),"",#REF!)</f>
        <v>#REF!</v>
      </c>
      <c r="SG11" s="7" t="e">
        <f>IF(OR(#REF!&gt;2,#REF!&lt;-2),"",#REF!)</f>
        <v>#REF!</v>
      </c>
      <c r="SH11" s="7" t="e">
        <f>IF(OR(#REF!&gt;2,#REF!&lt;-2),"",#REF!)</f>
        <v>#REF!</v>
      </c>
      <c r="SI11" s="7" t="e">
        <f>IF(OR(#REF!&gt;2,#REF!&lt;-2),"",#REF!)</f>
        <v>#REF!</v>
      </c>
      <c r="SJ11" s="7" t="e">
        <f>IF(OR(#REF!&gt;2,#REF!&lt;-2),"",#REF!)</f>
        <v>#REF!</v>
      </c>
      <c r="SK11" s="7" t="e">
        <f>IF(OR(#REF!&gt;2,#REF!&lt;-2),"",#REF!)</f>
        <v>#REF!</v>
      </c>
      <c r="SL11" s="7" t="e">
        <f>IF(OR(#REF!&gt;2,#REF!&lt;-2),"",#REF!)</f>
        <v>#REF!</v>
      </c>
      <c r="SM11" s="7" t="e">
        <f>IF(OR(#REF!&gt;2,#REF!&lt;-2),"",#REF!)</f>
        <v>#REF!</v>
      </c>
      <c r="SN11" s="7" t="e">
        <f>IF(OR(#REF!&gt;2,#REF!&lt;-2),"",#REF!)</f>
        <v>#REF!</v>
      </c>
      <c r="SO11" s="7" t="e">
        <f>IF(OR(#REF!&gt;2,#REF!&lt;-2),"",#REF!)</f>
        <v>#REF!</v>
      </c>
      <c r="SP11" s="7" t="e">
        <f>IF(OR(#REF!&gt;2,#REF!&lt;-2),"",#REF!)</f>
        <v>#REF!</v>
      </c>
      <c r="SQ11" s="7" t="e">
        <f>IF(OR(#REF!&gt;2,#REF!&lt;-2),"",#REF!)</f>
        <v>#REF!</v>
      </c>
      <c r="SR11" s="7" t="e">
        <f>IF(OR(#REF!&gt;2,#REF!&lt;-2),"",#REF!)</f>
        <v>#REF!</v>
      </c>
      <c r="SS11" s="7" t="e">
        <f>IF(OR(#REF!&gt;2,#REF!&lt;-2),"",#REF!)</f>
        <v>#REF!</v>
      </c>
      <c r="ST11" s="7" t="e">
        <f>IF(OR(#REF!&gt;2,#REF!&lt;-2),"",#REF!)</f>
        <v>#REF!</v>
      </c>
      <c r="SU11" s="7" t="e">
        <f>IF(OR(#REF!&gt;2,#REF!&lt;-2),"",#REF!)</f>
        <v>#REF!</v>
      </c>
      <c r="SV11" s="7" t="e">
        <f>IF(OR(#REF!&gt;2,#REF!&lt;-2),"",#REF!)</f>
        <v>#REF!</v>
      </c>
      <c r="SW11" s="7" t="e">
        <f>IF(OR(#REF!&gt;2,#REF!&lt;-2),"",#REF!)</f>
        <v>#REF!</v>
      </c>
      <c r="SX11" s="7" t="e">
        <f>IF(OR(#REF!&gt;2,#REF!&lt;-2),"",#REF!)</f>
        <v>#REF!</v>
      </c>
      <c r="SY11" s="7" t="e">
        <f>IF(OR(#REF!&gt;2,#REF!&lt;-2),"",#REF!)</f>
        <v>#REF!</v>
      </c>
      <c r="SZ11" s="7" t="e">
        <f>IF(OR(#REF!&gt;2,#REF!&lt;-2),"",#REF!)</f>
        <v>#REF!</v>
      </c>
      <c r="TA11" s="7" t="e">
        <f>IF(OR(#REF!&gt;2,#REF!&lt;-2),"",#REF!)</f>
        <v>#REF!</v>
      </c>
      <c r="TB11" s="7" t="e">
        <f>IF(OR(#REF!&gt;2,#REF!&lt;-2),"",#REF!)</f>
        <v>#REF!</v>
      </c>
      <c r="TC11" s="7" t="e">
        <f>IF(OR(#REF!&gt;2,#REF!&lt;-2),"",#REF!)</f>
        <v>#REF!</v>
      </c>
      <c r="TD11" s="7" t="e">
        <f>IF(OR(#REF!&gt;2,#REF!&lt;-2),"",#REF!)</f>
        <v>#REF!</v>
      </c>
      <c r="TE11" s="7" t="e">
        <f>IF(OR(#REF!&gt;2,#REF!&lt;-2),"",#REF!)</f>
        <v>#REF!</v>
      </c>
      <c r="TF11" s="7" t="e">
        <f>IF(OR(#REF!&gt;2,#REF!&lt;-2),"",#REF!)</f>
        <v>#REF!</v>
      </c>
      <c r="TG11" s="7" t="e">
        <f>IF(OR(#REF!&gt;2,#REF!&lt;-2),"",#REF!)</f>
        <v>#REF!</v>
      </c>
      <c r="TH11" s="7" t="e">
        <f>IF(OR(#REF!&gt;2,#REF!&lt;-2),"",#REF!)</f>
        <v>#REF!</v>
      </c>
      <c r="TI11" s="7" t="e">
        <f>IF(OR(#REF!&gt;2,#REF!&lt;-2),"",#REF!)</f>
        <v>#REF!</v>
      </c>
      <c r="TJ11" s="7" t="e">
        <f>IF(OR(#REF!&gt;2,#REF!&lt;-2),"",#REF!)</f>
        <v>#REF!</v>
      </c>
      <c r="TK11" s="7" t="e">
        <f>IF(OR(#REF!&gt;2,#REF!&lt;-2),"",#REF!)</f>
        <v>#REF!</v>
      </c>
      <c r="TL11" s="7" t="e">
        <f>IF(OR(#REF!&gt;2,#REF!&lt;-2),"",#REF!)</f>
        <v>#REF!</v>
      </c>
      <c r="TM11" s="7" t="e">
        <f>IF(OR(#REF!&gt;2,#REF!&lt;-2),"",#REF!)</f>
        <v>#REF!</v>
      </c>
      <c r="TN11" s="7" t="e">
        <f>IF(OR(#REF!&gt;2,#REF!&lt;-2),"",#REF!)</f>
        <v>#REF!</v>
      </c>
      <c r="TO11" s="7" t="e">
        <f>IF(OR(#REF!&gt;2,#REF!&lt;-2),"",#REF!)</f>
        <v>#REF!</v>
      </c>
      <c r="TP11" s="7" t="e">
        <f>IF(OR(#REF!&gt;2,#REF!&lt;-2),"",#REF!)</f>
        <v>#REF!</v>
      </c>
      <c r="TQ11" s="7" t="e">
        <f>IF(OR(#REF!&gt;2,#REF!&lt;-2),"",#REF!)</f>
        <v>#REF!</v>
      </c>
      <c r="TR11" s="7" t="e">
        <f>IF(OR(#REF!&gt;2,#REF!&lt;-2),"",#REF!)</f>
        <v>#REF!</v>
      </c>
      <c r="TS11" s="7" t="e">
        <f>IF(OR(#REF!&gt;2,#REF!&lt;-2),"",#REF!)</f>
        <v>#REF!</v>
      </c>
      <c r="TT11" s="7" t="e">
        <f>IF(OR(#REF!&gt;2,#REF!&lt;-2),"",#REF!)</f>
        <v>#REF!</v>
      </c>
      <c r="TU11" s="7" t="e">
        <f>IF(OR(#REF!&gt;2,#REF!&lt;-2),"",#REF!)</f>
        <v>#REF!</v>
      </c>
      <c r="TV11" s="7" t="e">
        <f>IF(OR(#REF!&gt;2,#REF!&lt;-2),"",#REF!)</f>
        <v>#REF!</v>
      </c>
      <c r="TW11" s="7" t="e">
        <f>IF(OR(#REF!&gt;2,#REF!&lt;-2),"",#REF!)</f>
        <v>#REF!</v>
      </c>
      <c r="TX11" s="7" t="e">
        <f>IF(OR(#REF!&gt;2,#REF!&lt;-2),"",#REF!)</f>
        <v>#REF!</v>
      </c>
      <c r="TY11" s="7" t="e">
        <f>IF(OR(#REF!&gt;2,#REF!&lt;-2),"",#REF!)</f>
        <v>#REF!</v>
      </c>
      <c r="TZ11" s="7" t="e">
        <f>IF(OR(#REF!&gt;2,#REF!&lt;-2),"",#REF!)</f>
        <v>#REF!</v>
      </c>
      <c r="UA11" s="7" t="e">
        <f>IF(OR(#REF!&gt;2,#REF!&lt;-2),"",#REF!)</f>
        <v>#REF!</v>
      </c>
      <c r="UB11" s="7" t="e">
        <f>IF(OR(#REF!&gt;2,#REF!&lt;-2),"",#REF!)</f>
        <v>#REF!</v>
      </c>
      <c r="UC11" s="7" t="e">
        <f>IF(OR(#REF!&gt;2,#REF!&lt;-2),"",#REF!)</f>
        <v>#REF!</v>
      </c>
      <c r="UD11" s="7" t="e">
        <f>IF(OR(#REF!&gt;2,#REF!&lt;-2),"",#REF!)</f>
        <v>#REF!</v>
      </c>
      <c r="UE11" s="7" t="e">
        <f>IF(OR(#REF!&gt;2,#REF!&lt;-2),"",#REF!)</f>
        <v>#REF!</v>
      </c>
      <c r="UF11" s="7" t="e">
        <f>IF(OR(#REF!&gt;2,#REF!&lt;-2),"",#REF!)</f>
        <v>#REF!</v>
      </c>
      <c r="UG11" s="7" t="e">
        <f>IF(OR(#REF!&gt;2,#REF!&lt;-2),"",#REF!)</f>
        <v>#REF!</v>
      </c>
      <c r="UH11" s="7" t="e">
        <f>IF(OR(#REF!&gt;2,#REF!&lt;-2),"",#REF!)</f>
        <v>#REF!</v>
      </c>
      <c r="UI11" s="7" t="e">
        <f>IF(OR(#REF!&gt;2,#REF!&lt;-2),"",#REF!)</f>
        <v>#REF!</v>
      </c>
      <c r="UJ11" s="7" t="e">
        <f>IF(OR(#REF!&gt;2,#REF!&lt;-2),"",#REF!)</f>
        <v>#REF!</v>
      </c>
      <c r="UK11" s="7" t="e">
        <f>IF(OR(#REF!&gt;2,#REF!&lt;-2),"",#REF!)</f>
        <v>#REF!</v>
      </c>
      <c r="UL11" s="7" t="e">
        <f>IF(OR(#REF!&gt;2,#REF!&lt;-2),"",#REF!)</f>
        <v>#REF!</v>
      </c>
      <c r="UM11" s="7" t="e">
        <f>IF(OR(#REF!&gt;2,#REF!&lt;-2),"",#REF!)</f>
        <v>#REF!</v>
      </c>
      <c r="UN11" s="7" t="e">
        <f>IF(OR(#REF!&gt;2,#REF!&lt;-2),"",#REF!)</f>
        <v>#REF!</v>
      </c>
      <c r="UO11" s="7" t="e">
        <f>IF(OR(#REF!&gt;2,#REF!&lt;-2),"",#REF!)</f>
        <v>#REF!</v>
      </c>
      <c r="UP11" s="7" t="e">
        <f>IF(OR(#REF!&gt;2,#REF!&lt;-2),"",#REF!)</f>
        <v>#REF!</v>
      </c>
    </row>
    <row r="12" spans="1:562" x14ac:dyDescent="0.35">
      <c r="A12">
        <v>200</v>
      </c>
      <c r="B12">
        <v>0</v>
      </c>
      <c r="C12" s="7" t="e">
        <f>IF(OR(#REF!&gt;2,#REF!&lt;-2),"",#REF!)</f>
        <v>#REF!</v>
      </c>
      <c r="D12" s="7" t="e">
        <f>IF(OR(#REF!&gt;2,#REF!&lt;-2),"",#REF!)</f>
        <v>#REF!</v>
      </c>
      <c r="E12" s="7" t="e">
        <f>IF(OR(#REF!&gt;2,#REF!&lt;-2),"",#REF!)</f>
        <v>#REF!</v>
      </c>
      <c r="F12" s="7" t="e">
        <f>IF(OR(#REF!&gt;2,#REF!&lt;-2),"",#REF!)</f>
        <v>#REF!</v>
      </c>
      <c r="G12" s="7" t="e">
        <f>IF(OR(#REF!&gt;2,#REF!&lt;-2),"",#REF!)</f>
        <v>#REF!</v>
      </c>
      <c r="H12" s="7" t="e">
        <f>IF(OR(#REF!&gt;2,#REF!&lt;-2),"",#REF!)</f>
        <v>#REF!</v>
      </c>
      <c r="I12" s="7" t="e">
        <f>IF(OR(#REF!&gt;2,#REF!&lt;-2),"",#REF!)</f>
        <v>#REF!</v>
      </c>
      <c r="J12" s="7" t="e">
        <f>IF(OR(#REF!&gt;2,#REF!&lt;-2),"",#REF!)</f>
        <v>#REF!</v>
      </c>
      <c r="K12" s="7" t="e">
        <f>IF(OR(#REF!&gt;2,#REF!&lt;-2),"",#REF!)</f>
        <v>#REF!</v>
      </c>
      <c r="L12" s="7" t="e">
        <f>IF(OR(#REF!&gt;2,#REF!&lt;-2),"",#REF!)</f>
        <v>#REF!</v>
      </c>
      <c r="M12" s="7" t="e">
        <f>IF(OR(#REF!&gt;2,#REF!&lt;-2),"",#REF!)</f>
        <v>#REF!</v>
      </c>
      <c r="N12" s="7" t="e">
        <f>IF(OR(#REF!&gt;2,#REF!&lt;-2),"",#REF!)</f>
        <v>#REF!</v>
      </c>
      <c r="O12" s="7" t="e">
        <f>IF(OR(#REF!&gt;2,#REF!&lt;-2),"",#REF!)</f>
        <v>#REF!</v>
      </c>
      <c r="P12" s="7" t="e">
        <f>IF(OR(#REF!&gt;2,#REF!&lt;-2),"",#REF!)</f>
        <v>#REF!</v>
      </c>
      <c r="Q12" s="7" t="e">
        <f>IF(OR(#REF!&gt;2,#REF!&lt;-2),"",#REF!)</f>
        <v>#REF!</v>
      </c>
      <c r="R12" s="7" t="e">
        <f>IF(OR(#REF!&gt;2,#REF!&lt;-2),"",#REF!)</f>
        <v>#REF!</v>
      </c>
      <c r="S12" s="7" t="e">
        <f>IF(OR(#REF!&gt;2,#REF!&lt;-2),"",#REF!)</f>
        <v>#REF!</v>
      </c>
      <c r="T12" s="7" t="e">
        <f>IF(OR(#REF!&gt;2,#REF!&lt;-2),"",#REF!)</f>
        <v>#REF!</v>
      </c>
      <c r="U12" s="7" t="e">
        <f>IF(OR(#REF!&gt;2,#REF!&lt;-2),"",#REF!)</f>
        <v>#REF!</v>
      </c>
      <c r="V12" s="7" t="e">
        <f>IF(OR(#REF!&gt;2,#REF!&lt;-2),"",#REF!)</f>
        <v>#REF!</v>
      </c>
      <c r="W12" s="7" t="e">
        <f>IF(OR(#REF!&gt;2,#REF!&lt;-2),"",#REF!)</f>
        <v>#REF!</v>
      </c>
      <c r="X12" s="7" t="e">
        <f>IF(OR(#REF!&gt;2,#REF!&lt;-2),"",#REF!)</f>
        <v>#REF!</v>
      </c>
      <c r="Y12" s="7" t="e">
        <f>IF(OR(#REF!&gt;2,#REF!&lt;-2),"",#REF!)</f>
        <v>#REF!</v>
      </c>
      <c r="Z12" s="7" t="e">
        <f>IF(OR(#REF!&gt;2,#REF!&lt;-2),"",#REF!)</f>
        <v>#REF!</v>
      </c>
      <c r="AA12" s="7" t="e">
        <f>IF(OR(#REF!&gt;2,#REF!&lt;-2),"",#REF!)</f>
        <v>#REF!</v>
      </c>
      <c r="AB12" s="7" t="e">
        <f>IF(OR(#REF!&gt;2,#REF!&lt;-2),"",#REF!)</f>
        <v>#REF!</v>
      </c>
      <c r="AC12" s="7" t="e">
        <f>IF(OR(#REF!&gt;2,#REF!&lt;-2),"",#REF!)</f>
        <v>#REF!</v>
      </c>
      <c r="AD12" s="7" t="e">
        <f>IF(OR(#REF!&gt;2,#REF!&lt;-2),"",#REF!)</f>
        <v>#REF!</v>
      </c>
      <c r="AE12" s="7" t="e">
        <f>IF(OR(#REF!&gt;2,#REF!&lt;-2),"",#REF!)</f>
        <v>#REF!</v>
      </c>
      <c r="AF12" s="7" t="e">
        <f>IF(OR(#REF!&gt;2,#REF!&lt;-2),"",#REF!)</f>
        <v>#REF!</v>
      </c>
      <c r="AG12" s="7" t="e">
        <f>IF(OR(#REF!&gt;2,#REF!&lt;-2),"",#REF!)</f>
        <v>#REF!</v>
      </c>
      <c r="AH12" s="7" t="e">
        <f>IF(OR(#REF!&gt;2,#REF!&lt;-2),"",#REF!)</f>
        <v>#REF!</v>
      </c>
      <c r="AI12" s="7" t="e">
        <f>IF(OR(#REF!&gt;2,#REF!&lt;-2),"",#REF!)</f>
        <v>#REF!</v>
      </c>
      <c r="AJ12" s="7" t="e">
        <f>IF(OR(#REF!&gt;2,#REF!&lt;-2),"",#REF!)</f>
        <v>#REF!</v>
      </c>
      <c r="AK12" s="7" t="e">
        <f>IF(OR(#REF!&gt;2,#REF!&lt;-2),"",#REF!)</f>
        <v>#REF!</v>
      </c>
      <c r="AL12" s="7" t="e">
        <f>IF(OR(#REF!&gt;2,#REF!&lt;-2),"",#REF!)</f>
        <v>#REF!</v>
      </c>
      <c r="AM12" s="7" t="e">
        <f>IF(OR(#REF!&gt;2,#REF!&lt;-2),"",#REF!)</f>
        <v>#REF!</v>
      </c>
      <c r="AN12" s="7" t="e">
        <f>IF(OR(#REF!&gt;2,#REF!&lt;-2),"",#REF!)</f>
        <v>#REF!</v>
      </c>
      <c r="AO12" s="7" t="e">
        <f>IF(OR(#REF!&gt;2,#REF!&lt;-2),"",#REF!)</f>
        <v>#REF!</v>
      </c>
      <c r="AP12" s="7" t="e">
        <f>IF(OR(#REF!&gt;2,#REF!&lt;-2),"",#REF!)</f>
        <v>#REF!</v>
      </c>
      <c r="AQ12" s="7" t="e">
        <f>IF(OR(#REF!&gt;2,#REF!&lt;-2),"",#REF!)</f>
        <v>#REF!</v>
      </c>
      <c r="AR12" s="7" t="e">
        <f>IF(OR(#REF!&gt;2,#REF!&lt;-2),"",#REF!)</f>
        <v>#REF!</v>
      </c>
      <c r="AS12" s="7" t="e">
        <f>IF(OR(#REF!&gt;2,#REF!&lt;-2),"",#REF!)</f>
        <v>#REF!</v>
      </c>
      <c r="AT12" s="7" t="e">
        <f>IF(OR(#REF!&gt;2,#REF!&lt;-2),"",#REF!)</f>
        <v>#REF!</v>
      </c>
      <c r="AU12" s="7" t="e">
        <f>IF(OR(#REF!&gt;2,#REF!&lt;-2),"",#REF!)</f>
        <v>#REF!</v>
      </c>
      <c r="AV12" s="7" t="e">
        <f>IF(OR(#REF!&gt;2,#REF!&lt;-2),"",#REF!)</f>
        <v>#REF!</v>
      </c>
      <c r="AW12" s="7" t="e">
        <f>IF(OR(#REF!&gt;2,#REF!&lt;-2),"",#REF!)</f>
        <v>#REF!</v>
      </c>
      <c r="AX12" s="7" t="e">
        <f>IF(OR(#REF!&gt;2,#REF!&lt;-2),"",#REF!)</f>
        <v>#REF!</v>
      </c>
      <c r="AY12" s="7" t="e">
        <f>IF(OR(#REF!&gt;2,#REF!&lt;-2),"",#REF!)</f>
        <v>#REF!</v>
      </c>
      <c r="AZ12" s="7" t="e">
        <f>IF(OR(#REF!&gt;2,#REF!&lt;-2),"",#REF!)</f>
        <v>#REF!</v>
      </c>
      <c r="BA12" s="7" t="e">
        <f>IF(OR(#REF!&gt;2,#REF!&lt;-2),"",#REF!)</f>
        <v>#REF!</v>
      </c>
      <c r="BB12" s="7" t="e">
        <f>IF(OR(#REF!&gt;2,#REF!&lt;-2),"",#REF!)</f>
        <v>#REF!</v>
      </c>
      <c r="BC12" s="7" t="e">
        <f>IF(OR(#REF!&gt;2,#REF!&lt;-2),"",#REF!)</f>
        <v>#REF!</v>
      </c>
      <c r="BD12" s="7" t="e">
        <f>IF(OR(#REF!&gt;2,#REF!&lt;-2),"",#REF!)</f>
        <v>#REF!</v>
      </c>
      <c r="BE12" s="7" t="e">
        <f>IF(OR(#REF!&gt;2,#REF!&lt;-2),"",#REF!)</f>
        <v>#REF!</v>
      </c>
      <c r="BF12" s="7" t="e">
        <f>IF(OR(#REF!&gt;2,#REF!&lt;-2),"",#REF!)</f>
        <v>#REF!</v>
      </c>
      <c r="BG12" s="7" t="e">
        <f>IF(OR(#REF!&gt;2,#REF!&lt;-2),"",#REF!)</f>
        <v>#REF!</v>
      </c>
      <c r="BH12" s="7" t="e">
        <f>IF(OR(#REF!&gt;2,#REF!&lt;-2),"",#REF!)</f>
        <v>#REF!</v>
      </c>
      <c r="BI12" s="7" t="e">
        <f>IF(OR(#REF!&gt;2,#REF!&lt;-2),"",#REF!)</f>
        <v>#REF!</v>
      </c>
      <c r="BJ12" s="7" t="e">
        <f>IF(OR(#REF!&gt;2,#REF!&lt;-2),"",#REF!)</f>
        <v>#REF!</v>
      </c>
      <c r="BK12" s="7" t="e">
        <f>IF(OR(#REF!&gt;2,#REF!&lt;-2),"",#REF!)</f>
        <v>#REF!</v>
      </c>
      <c r="BL12" s="7" t="e">
        <f>IF(OR(#REF!&gt;2,#REF!&lt;-2),"",#REF!)</f>
        <v>#REF!</v>
      </c>
      <c r="BM12" s="7" t="e">
        <f>IF(OR(#REF!&gt;2,#REF!&lt;-2),"",#REF!)</f>
        <v>#REF!</v>
      </c>
      <c r="BN12" s="7" t="e">
        <f>IF(OR(#REF!&gt;2,#REF!&lt;-2),"",#REF!)</f>
        <v>#REF!</v>
      </c>
      <c r="BO12" s="7" t="e">
        <f>IF(OR(#REF!&gt;2,#REF!&lt;-2),"",#REF!)</f>
        <v>#REF!</v>
      </c>
      <c r="BP12" s="7" t="e">
        <f>IF(OR(#REF!&gt;2,#REF!&lt;-2),"",#REF!)</f>
        <v>#REF!</v>
      </c>
      <c r="BQ12" s="7" t="e">
        <f>IF(OR(#REF!&gt;2,#REF!&lt;-2),"",#REF!)</f>
        <v>#REF!</v>
      </c>
      <c r="BR12" s="7" t="e">
        <f>IF(OR(#REF!&gt;2,#REF!&lt;-2),"",#REF!)</f>
        <v>#REF!</v>
      </c>
      <c r="BS12" s="7" t="e">
        <f>IF(OR(#REF!&gt;2,#REF!&lt;-2),"",#REF!)</f>
        <v>#REF!</v>
      </c>
      <c r="BT12" s="7" t="e">
        <f>IF(OR(#REF!&gt;2,#REF!&lt;-2),"",#REF!)</f>
        <v>#REF!</v>
      </c>
      <c r="BU12" s="7" t="e">
        <f>IF(OR(#REF!&gt;2,#REF!&lt;-2),"",#REF!)</f>
        <v>#REF!</v>
      </c>
      <c r="BV12" s="7" t="e">
        <f>IF(OR(#REF!&gt;2,#REF!&lt;-2),"",#REF!)</f>
        <v>#REF!</v>
      </c>
      <c r="BW12" s="7" t="e">
        <f>IF(OR(#REF!&gt;2,#REF!&lt;-2),"",#REF!)</f>
        <v>#REF!</v>
      </c>
      <c r="BX12" s="7" t="e">
        <f>IF(OR(#REF!&gt;2,#REF!&lt;-2),"",#REF!)</f>
        <v>#REF!</v>
      </c>
      <c r="BY12" s="7" t="e">
        <f>IF(OR(#REF!&gt;2,#REF!&lt;-2),"",#REF!)</f>
        <v>#REF!</v>
      </c>
      <c r="BZ12" s="7" t="e">
        <f>IF(OR(#REF!&gt;2,#REF!&lt;-2),"",#REF!)</f>
        <v>#REF!</v>
      </c>
      <c r="CA12" s="7" t="e">
        <f>IF(OR(#REF!&gt;2,#REF!&lt;-2),"",#REF!)</f>
        <v>#REF!</v>
      </c>
      <c r="CB12" s="7" t="e">
        <f>IF(OR(#REF!&gt;2,#REF!&lt;-2),"",#REF!)</f>
        <v>#REF!</v>
      </c>
      <c r="CC12" s="7" t="e">
        <f>IF(OR(#REF!&gt;2,#REF!&lt;-2),"",#REF!)</f>
        <v>#REF!</v>
      </c>
      <c r="CD12" s="7" t="e">
        <f>IF(OR(#REF!&gt;2,#REF!&lt;-2),"",#REF!)</f>
        <v>#REF!</v>
      </c>
      <c r="CE12" s="7" t="e">
        <f>IF(OR(#REF!&gt;2,#REF!&lt;-2),"",#REF!)</f>
        <v>#REF!</v>
      </c>
      <c r="CF12" s="7" t="e">
        <f>IF(OR(#REF!&gt;2,#REF!&lt;-2),"",#REF!)</f>
        <v>#REF!</v>
      </c>
      <c r="CG12" s="7" t="e">
        <f>IF(OR(#REF!&gt;2,#REF!&lt;-2),"",#REF!)</f>
        <v>#REF!</v>
      </c>
      <c r="CH12" s="7" t="e">
        <f>IF(OR(#REF!&gt;2,#REF!&lt;-2),"",#REF!)</f>
        <v>#REF!</v>
      </c>
      <c r="CI12" s="7" t="e">
        <f>IF(OR(#REF!&gt;2,#REF!&lt;-2),"",#REF!)</f>
        <v>#REF!</v>
      </c>
      <c r="CJ12" s="7" t="e">
        <f>IF(OR(#REF!&gt;2,#REF!&lt;-2),"",#REF!)</f>
        <v>#REF!</v>
      </c>
      <c r="CK12" s="7" t="e">
        <f>IF(OR(#REF!&gt;2,#REF!&lt;-2),"",#REF!)</f>
        <v>#REF!</v>
      </c>
      <c r="CL12" s="7" t="e">
        <f>IF(OR(#REF!&gt;2,#REF!&lt;-2),"",#REF!)</f>
        <v>#REF!</v>
      </c>
      <c r="CM12" s="7" t="e">
        <f>IF(OR(#REF!&gt;2,#REF!&lt;-2),"",#REF!)</f>
        <v>#REF!</v>
      </c>
      <c r="CN12" s="7" t="e">
        <f>IF(OR(#REF!&gt;2,#REF!&lt;-2),"",#REF!)</f>
        <v>#REF!</v>
      </c>
      <c r="CO12" s="7" t="e">
        <f>IF(OR(#REF!&gt;2,#REF!&lt;-2),"",#REF!)</f>
        <v>#REF!</v>
      </c>
      <c r="CP12" s="7" t="e">
        <f>IF(OR(#REF!&gt;2,#REF!&lt;-2),"",#REF!)</f>
        <v>#REF!</v>
      </c>
      <c r="CQ12" s="7" t="e">
        <f>IF(OR(#REF!&gt;2,#REF!&lt;-2),"",#REF!)</f>
        <v>#REF!</v>
      </c>
      <c r="CR12" s="7" t="e">
        <f>IF(OR(#REF!&gt;2,#REF!&lt;-2),"",#REF!)</f>
        <v>#REF!</v>
      </c>
      <c r="CS12" s="7" t="e">
        <f>IF(OR(#REF!&gt;2,#REF!&lt;-2),"",#REF!)</f>
        <v>#REF!</v>
      </c>
      <c r="CT12" s="7" t="e">
        <f>IF(OR(#REF!&gt;2,#REF!&lt;-2),"",#REF!)</f>
        <v>#REF!</v>
      </c>
      <c r="CU12" s="7" t="e">
        <f>IF(OR(#REF!&gt;2,#REF!&lt;-2),"",#REF!)</f>
        <v>#REF!</v>
      </c>
      <c r="CV12" s="7" t="e">
        <f>IF(OR(#REF!&gt;2,#REF!&lt;-2),"",#REF!)</f>
        <v>#REF!</v>
      </c>
      <c r="CW12" s="7" t="e">
        <f>IF(OR(#REF!&gt;2,#REF!&lt;-2),"",#REF!)</f>
        <v>#REF!</v>
      </c>
      <c r="CX12" s="7" t="e">
        <f>IF(OR(#REF!&gt;2,#REF!&lt;-2),"",#REF!)</f>
        <v>#REF!</v>
      </c>
      <c r="CY12" s="7" t="e">
        <f>IF(OR(#REF!&gt;2,#REF!&lt;-2),"",#REF!)</f>
        <v>#REF!</v>
      </c>
      <c r="CZ12" s="7" t="e">
        <f>IF(OR(#REF!&gt;2,#REF!&lt;-2),"",#REF!)</f>
        <v>#REF!</v>
      </c>
      <c r="DA12" s="7" t="e">
        <f>IF(OR(#REF!&gt;2,#REF!&lt;-2),"",#REF!)</f>
        <v>#REF!</v>
      </c>
      <c r="DB12" s="7" t="e">
        <f>IF(OR(#REF!&gt;2,#REF!&lt;-2),"",#REF!)</f>
        <v>#REF!</v>
      </c>
      <c r="DC12" s="7" t="e">
        <f>IF(OR(#REF!&gt;2,#REF!&lt;-2),"",#REF!)</f>
        <v>#REF!</v>
      </c>
      <c r="DD12" s="7" t="e">
        <f>IF(OR(#REF!&gt;2,#REF!&lt;-2),"",#REF!)</f>
        <v>#REF!</v>
      </c>
      <c r="DE12" s="7" t="e">
        <f>IF(OR(#REF!&gt;2,#REF!&lt;-2),"",#REF!)</f>
        <v>#REF!</v>
      </c>
      <c r="DF12" s="7" t="e">
        <f>IF(OR(#REF!&gt;2,#REF!&lt;-2),"",#REF!)</f>
        <v>#REF!</v>
      </c>
      <c r="DG12" s="7" t="e">
        <f>IF(OR(#REF!&gt;2,#REF!&lt;-2),"",#REF!)</f>
        <v>#REF!</v>
      </c>
      <c r="DH12" s="7" t="e">
        <f>IF(OR(#REF!&gt;2,#REF!&lt;-2),"",#REF!)</f>
        <v>#REF!</v>
      </c>
      <c r="DI12" s="7" t="e">
        <f>IF(OR(#REF!&gt;2,#REF!&lt;-2),"",#REF!)</f>
        <v>#REF!</v>
      </c>
      <c r="DJ12" s="7" t="e">
        <f>IF(OR(#REF!&gt;2,#REF!&lt;-2),"",#REF!)</f>
        <v>#REF!</v>
      </c>
      <c r="DK12" s="7" t="e">
        <f>IF(OR(#REF!&gt;2,#REF!&lt;-2),"",#REF!)</f>
        <v>#REF!</v>
      </c>
      <c r="DL12" s="7" t="e">
        <f>IF(OR(#REF!&gt;2,#REF!&lt;-2),"",#REF!)</f>
        <v>#REF!</v>
      </c>
      <c r="DM12" s="7" t="e">
        <f>IF(OR(#REF!&gt;2,#REF!&lt;-2),"",#REF!)</f>
        <v>#REF!</v>
      </c>
      <c r="DN12" s="7" t="e">
        <f>IF(OR(#REF!&gt;2,#REF!&lt;-2),"",#REF!)</f>
        <v>#REF!</v>
      </c>
      <c r="DO12" s="7" t="e">
        <f>IF(OR(#REF!&gt;2,#REF!&lt;-2),"",#REF!)</f>
        <v>#REF!</v>
      </c>
      <c r="DP12" s="7" t="e">
        <f>IF(OR(#REF!&gt;2,#REF!&lt;-2),"",#REF!)</f>
        <v>#REF!</v>
      </c>
      <c r="DQ12" s="7" t="e">
        <f>IF(OR(#REF!&gt;2,#REF!&lt;-2),"",#REF!)</f>
        <v>#REF!</v>
      </c>
      <c r="DR12" s="7" t="e">
        <f>IF(OR(#REF!&gt;2,#REF!&lt;-2),"",#REF!)</f>
        <v>#REF!</v>
      </c>
      <c r="DS12" s="7" t="e">
        <f>IF(OR(#REF!&gt;2,#REF!&lt;-2),"",#REF!)</f>
        <v>#REF!</v>
      </c>
      <c r="DT12" s="7" t="e">
        <f>IF(OR(#REF!&gt;2,#REF!&lt;-2),"",#REF!)</f>
        <v>#REF!</v>
      </c>
      <c r="DU12" s="7" t="e">
        <f>IF(OR(#REF!&gt;2,#REF!&lt;-2),"",#REF!)</f>
        <v>#REF!</v>
      </c>
      <c r="DV12" s="7" t="e">
        <f>IF(OR(#REF!&gt;2,#REF!&lt;-2),"",#REF!)</f>
        <v>#REF!</v>
      </c>
      <c r="DW12" s="7" t="e">
        <f>IF(OR(#REF!&gt;2,#REF!&lt;-2),"",#REF!)</f>
        <v>#REF!</v>
      </c>
      <c r="DX12" s="7" t="e">
        <f>IF(OR(#REF!&gt;2,#REF!&lt;-2),"",#REF!)</f>
        <v>#REF!</v>
      </c>
      <c r="DY12" s="7" t="e">
        <f>IF(OR(#REF!&gt;2,#REF!&lt;-2),"",#REF!)</f>
        <v>#REF!</v>
      </c>
      <c r="DZ12" s="7" t="e">
        <f>IF(OR(#REF!&gt;2,#REF!&lt;-2),"",#REF!)</f>
        <v>#REF!</v>
      </c>
      <c r="EA12" s="7" t="e">
        <f>IF(OR(#REF!&gt;2,#REF!&lt;-2),"",#REF!)</f>
        <v>#REF!</v>
      </c>
      <c r="EB12" s="7" t="e">
        <f>IF(OR(#REF!&gt;2,#REF!&lt;-2),"",#REF!)</f>
        <v>#REF!</v>
      </c>
      <c r="EC12" s="7" t="e">
        <f>IF(OR(#REF!&gt;2,#REF!&lt;-2),"",#REF!)</f>
        <v>#REF!</v>
      </c>
      <c r="ED12" s="7" t="e">
        <f>IF(OR(#REF!&gt;2,#REF!&lt;-2),"",#REF!)</f>
        <v>#REF!</v>
      </c>
      <c r="EE12" s="7" t="e">
        <f>IF(OR(#REF!&gt;2,#REF!&lt;-2),"",#REF!)</f>
        <v>#REF!</v>
      </c>
      <c r="EF12" s="7" t="e">
        <f>IF(OR(#REF!&gt;2,#REF!&lt;-2),"",#REF!)</f>
        <v>#REF!</v>
      </c>
      <c r="EG12" s="7" t="e">
        <f>IF(OR(#REF!&gt;2,#REF!&lt;-2),"",#REF!)</f>
        <v>#REF!</v>
      </c>
      <c r="EH12" s="7" t="e">
        <f>IF(OR(#REF!&gt;2,#REF!&lt;-2),"",#REF!)</f>
        <v>#REF!</v>
      </c>
      <c r="EI12" s="7" t="e">
        <f>IF(OR(#REF!&gt;2,#REF!&lt;-2),"",#REF!)</f>
        <v>#REF!</v>
      </c>
      <c r="EJ12" s="7" t="e">
        <f>IF(OR(#REF!&gt;2,#REF!&lt;-2),"",#REF!)</f>
        <v>#REF!</v>
      </c>
      <c r="EK12" s="7" t="e">
        <f>IF(OR(#REF!&gt;2,#REF!&lt;-2),"",#REF!)</f>
        <v>#REF!</v>
      </c>
      <c r="EL12" s="7" t="e">
        <f>IF(OR(#REF!&gt;2,#REF!&lt;-2),"",#REF!)</f>
        <v>#REF!</v>
      </c>
      <c r="EM12" s="7" t="e">
        <f>IF(OR(#REF!&gt;2,#REF!&lt;-2),"",#REF!)</f>
        <v>#REF!</v>
      </c>
      <c r="EN12" s="7" t="e">
        <f>IF(OR(#REF!&gt;2,#REF!&lt;-2),"",#REF!)</f>
        <v>#REF!</v>
      </c>
      <c r="EO12" s="7" t="e">
        <f>IF(OR(#REF!&gt;2,#REF!&lt;-2),"",#REF!)</f>
        <v>#REF!</v>
      </c>
      <c r="EP12" s="7" t="e">
        <f>IF(OR(#REF!&gt;2,#REF!&lt;-2),"",#REF!)</f>
        <v>#REF!</v>
      </c>
      <c r="EQ12" s="7" t="e">
        <f>IF(OR(#REF!&gt;2,#REF!&lt;-2),"",#REF!)</f>
        <v>#REF!</v>
      </c>
      <c r="ER12" s="7" t="e">
        <f>IF(OR(#REF!&gt;2,#REF!&lt;-2),"",#REF!)</f>
        <v>#REF!</v>
      </c>
      <c r="ES12" s="7" t="e">
        <f>IF(OR(#REF!&gt;2,#REF!&lt;-2),"",#REF!)</f>
        <v>#REF!</v>
      </c>
      <c r="ET12" s="7" t="e">
        <f>IF(OR(#REF!&gt;2,#REF!&lt;-2),"",#REF!)</f>
        <v>#REF!</v>
      </c>
      <c r="EU12" s="7" t="e">
        <f>IF(OR(#REF!&gt;2,#REF!&lt;-2),"",#REF!)</f>
        <v>#REF!</v>
      </c>
      <c r="EV12" s="7" t="e">
        <f>IF(OR(#REF!&gt;2,#REF!&lt;-2),"",#REF!)</f>
        <v>#REF!</v>
      </c>
      <c r="EW12" s="7" t="e">
        <f>IF(OR(#REF!&gt;2,#REF!&lt;-2),"",#REF!)</f>
        <v>#REF!</v>
      </c>
      <c r="EX12" s="7" t="e">
        <f>IF(OR(#REF!&gt;2,#REF!&lt;-2),"",#REF!)</f>
        <v>#REF!</v>
      </c>
      <c r="EY12" s="7" t="e">
        <f>IF(OR(#REF!&gt;2,#REF!&lt;-2),"",#REF!)</f>
        <v>#REF!</v>
      </c>
      <c r="EZ12" s="7" t="e">
        <f>IF(OR(#REF!&gt;2,#REF!&lt;-2),"",#REF!)</f>
        <v>#REF!</v>
      </c>
      <c r="FA12" s="7" t="e">
        <f>IF(OR(#REF!&gt;2,#REF!&lt;-2),"",#REF!)</f>
        <v>#REF!</v>
      </c>
      <c r="FB12" s="7" t="e">
        <f>IF(OR(#REF!&gt;2,#REF!&lt;-2),"",#REF!)</f>
        <v>#REF!</v>
      </c>
      <c r="FC12" s="7" t="e">
        <f>IF(OR(#REF!&gt;2,#REF!&lt;-2),"",#REF!)</f>
        <v>#REF!</v>
      </c>
      <c r="FD12" s="7" t="e">
        <f>IF(OR(#REF!&gt;2,#REF!&lt;-2),"",#REF!)</f>
        <v>#REF!</v>
      </c>
      <c r="FE12" s="7" t="e">
        <f>IF(OR(#REF!&gt;2,#REF!&lt;-2),"",#REF!)</f>
        <v>#REF!</v>
      </c>
      <c r="FF12" s="7" t="e">
        <f>IF(OR(#REF!&gt;2,#REF!&lt;-2),"",#REF!)</f>
        <v>#REF!</v>
      </c>
      <c r="FG12" s="7" t="e">
        <f>IF(OR(#REF!&gt;2,#REF!&lt;-2),"",#REF!)</f>
        <v>#REF!</v>
      </c>
      <c r="FH12" s="7" t="e">
        <f>IF(OR(#REF!&gt;2,#REF!&lt;-2),"",#REF!)</f>
        <v>#REF!</v>
      </c>
      <c r="FI12" s="7" t="e">
        <f>IF(OR(#REF!&gt;2,#REF!&lt;-2),"",#REF!)</f>
        <v>#REF!</v>
      </c>
      <c r="FJ12" s="7" t="e">
        <f>IF(OR(#REF!&gt;2,#REF!&lt;-2),"",#REF!)</f>
        <v>#REF!</v>
      </c>
      <c r="FK12" s="7" t="e">
        <f>IF(OR(#REF!&gt;2,#REF!&lt;-2),"",#REF!)</f>
        <v>#REF!</v>
      </c>
      <c r="FL12" s="7" t="e">
        <f>IF(OR(#REF!&gt;2,#REF!&lt;-2),"",#REF!)</f>
        <v>#REF!</v>
      </c>
      <c r="FM12" s="7" t="e">
        <f>IF(OR(#REF!&gt;2,#REF!&lt;-2),"",#REF!)</f>
        <v>#REF!</v>
      </c>
      <c r="FN12" s="7" t="e">
        <f>IF(OR(#REF!&gt;2,#REF!&lt;-2),"",#REF!)</f>
        <v>#REF!</v>
      </c>
      <c r="FO12" s="7" t="e">
        <f>IF(OR(#REF!&gt;2,#REF!&lt;-2),"",#REF!)</f>
        <v>#REF!</v>
      </c>
      <c r="FP12" s="7" t="e">
        <f>IF(OR(#REF!&gt;2,#REF!&lt;-2),"",#REF!)</f>
        <v>#REF!</v>
      </c>
      <c r="FQ12" s="7" t="e">
        <f>IF(OR(#REF!&gt;2,#REF!&lt;-2),"",#REF!)</f>
        <v>#REF!</v>
      </c>
      <c r="FR12" s="7" t="e">
        <f>IF(OR(#REF!&gt;2,#REF!&lt;-2),"",#REF!)</f>
        <v>#REF!</v>
      </c>
      <c r="FS12" s="7" t="e">
        <f>IF(OR(#REF!&gt;2,#REF!&lt;-2),"",#REF!)</f>
        <v>#REF!</v>
      </c>
      <c r="FT12" s="7" t="e">
        <f>IF(OR(#REF!&gt;2,#REF!&lt;-2),"",#REF!)</f>
        <v>#REF!</v>
      </c>
      <c r="FU12" s="7" t="e">
        <f>IF(OR(#REF!&gt;2,#REF!&lt;-2),"",#REF!)</f>
        <v>#REF!</v>
      </c>
      <c r="FV12" s="7" t="e">
        <f>IF(OR(#REF!&gt;2,#REF!&lt;-2),"",#REF!)</f>
        <v>#REF!</v>
      </c>
      <c r="FW12" s="7" t="e">
        <f>IF(OR(#REF!&gt;2,#REF!&lt;-2),"",#REF!)</f>
        <v>#REF!</v>
      </c>
      <c r="FX12" s="7" t="e">
        <f>IF(OR(#REF!&gt;2,#REF!&lt;-2),"",#REF!)</f>
        <v>#REF!</v>
      </c>
      <c r="FY12" s="7" t="e">
        <f>IF(OR(#REF!&gt;2,#REF!&lt;-2),"",#REF!)</f>
        <v>#REF!</v>
      </c>
      <c r="FZ12" s="7" t="e">
        <f>IF(OR(#REF!&gt;2,#REF!&lt;-2),"",#REF!)</f>
        <v>#REF!</v>
      </c>
      <c r="GA12" s="7" t="e">
        <f>IF(OR(#REF!&gt;2,#REF!&lt;-2),"",#REF!)</f>
        <v>#REF!</v>
      </c>
      <c r="GB12" s="7" t="e">
        <f>IF(OR(#REF!&gt;2,#REF!&lt;-2),"",#REF!)</f>
        <v>#REF!</v>
      </c>
      <c r="GC12" s="7" t="e">
        <f>IF(OR(#REF!&gt;2,#REF!&lt;-2),"",#REF!)</f>
        <v>#REF!</v>
      </c>
      <c r="GD12" s="7" t="e">
        <f>IF(OR(#REF!&gt;2,#REF!&lt;-2),"",#REF!)</f>
        <v>#REF!</v>
      </c>
      <c r="GE12" s="7" t="e">
        <f>IF(OR(#REF!&gt;2,#REF!&lt;-2),"",#REF!)</f>
        <v>#REF!</v>
      </c>
      <c r="GF12" s="7" t="e">
        <f>IF(OR(#REF!&gt;2,#REF!&lt;-2),"",#REF!)</f>
        <v>#REF!</v>
      </c>
      <c r="GG12" s="7" t="e">
        <f>IF(OR(#REF!&gt;2,#REF!&lt;-2),"",#REF!)</f>
        <v>#REF!</v>
      </c>
      <c r="GH12" s="7" t="e">
        <f>IF(OR(#REF!&gt;2,#REF!&lt;-2),"",#REF!)</f>
        <v>#REF!</v>
      </c>
      <c r="GI12" s="7" t="e">
        <f>IF(OR(#REF!&gt;2,#REF!&lt;-2),"",#REF!)</f>
        <v>#REF!</v>
      </c>
      <c r="GJ12" s="7" t="e">
        <f>IF(OR(#REF!&gt;2,#REF!&lt;-2),"",#REF!)</f>
        <v>#REF!</v>
      </c>
      <c r="GK12" s="7" t="e">
        <f>IF(OR(#REF!&gt;2,#REF!&lt;-2),"",#REF!)</f>
        <v>#REF!</v>
      </c>
      <c r="GL12" s="7" t="e">
        <f>IF(OR(#REF!&gt;2,#REF!&lt;-2),"",#REF!)</f>
        <v>#REF!</v>
      </c>
      <c r="GM12" s="7" t="e">
        <f>IF(OR(#REF!&gt;2,#REF!&lt;-2),"",#REF!)</f>
        <v>#REF!</v>
      </c>
      <c r="GN12" s="7" t="e">
        <f>IF(OR(#REF!&gt;2,#REF!&lt;-2),"",#REF!)</f>
        <v>#REF!</v>
      </c>
      <c r="GO12" s="7" t="e">
        <f>IF(OR(#REF!&gt;2,#REF!&lt;-2),"",#REF!)</f>
        <v>#REF!</v>
      </c>
      <c r="GP12" s="7" t="e">
        <f>IF(OR(#REF!&gt;2,#REF!&lt;-2),"",#REF!)</f>
        <v>#REF!</v>
      </c>
      <c r="GQ12" s="7" t="e">
        <f>IF(OR(#REF!&gt;2,#REF!&lt;-2),"",#REF!)</f>
        <v>#REF!</v>
      </c>
      <c r="GR12" s="7" t="e">
        <f>IF(OR(#REF!&gt;2,#REF!&lt;-2),"",#REF!)</f>
        <v>#REF!</v>
      </c>
      <c r="GS12" s="7" t="e">
        <f>IF(OR(#REF!&gt;2,#REF!&lt;-2),"",#REF!)</f>
        <v>#REF!</v>
      </c>
      <c r="GT12" s="7" t="e">
        <f>IF(OR(#REF!&gt;2,#REF!&lt;-2),"",#REF!)</f>
        <v>#REF!</v>
      </c>
      <c r="GU12" s="7" t="e">
        <f>IF(OR(#REF!&gt;2,#REF!&lt;-2),"",#REF!)</f>
        <v>#REF!</v>
      </c>
      <c r="GV12" s="7" t="e">
        <f>IF(OR(#REF!&gt;2,#REF!&lt;-2),"",#REF!)</f>
        <v>#REF!</v>
      </c>
      <c r="GW12" s="7" t="e">
        <f>IF(OR(#REF!&gt;2,#REF!&lt;-2),"",#REF!)</f>
        <v>#REF!</v>
      </c>
      <c r="GX12" s="7" t="e">
        <f>IF(OR(#REF!&gt;2,#REF!&lt;-2),"",#REF!)</f>
        <v>#REF!</v>
      </c>
      <c r="GY12" s="7" t="e">
        <f>IF(OR(#REF!&gt;2,#REF!&lt;-2),"",#REF!)</f>
        <v>#REF!</v>
      </c>
      <c r="GZ12" s="7" t="e">
        <f>IF(OR(#REF!&gt;2,#REF!&lt;-2),"",#REF!)</f>
        <v>#REF!</v>
      </c>
      <c r="HA12" s="7" t="e">
        <f>IF(OR(#REF!&gt;2,#REF!&lt;-2),"",#REF!)</f>
        <v>#REF!</v>
      </c>
      <c r="HB12" s="7" t="e">
        <f>IF(OR(#REF!&gt;2,#REF!&lt;-2),"",#REF!)</f>
        <v>#REF!</v>
      </c>
      <c r="HC12" s="7" t="e">
        <f>IF(OR(#REF!&gt;2,#REF!&lt;-2),"",#REF!)</f>
        <v>#REF!</v>
      </c>
      <c r="HD12" s="7" t="e">
        <f>IF(OR(#REF!&gt;2,#REF!&lt;-2),"",#REF!)</f>
        <v>#REF!</v>
      </c>
      <c r="HE12" s="7" t="e">
        <f>IF(OR(#REF!&gt;2,#REF!&lt;-2),"",#REF!)</f>
        <v>#REF!</v>
      </c>
      <c r="HF12" s="7" t="e">
        <f>IF(OR(#REF!&gt;2,#REF!&lt;-2),"",#REF!)</f>
        <v>#REF!</v>
      </c>
      <c r="HG12" s="7" t="e">
        <f>IF(OR(#REF!&gt;2,#REF!&lt;-2),"",#REF!)</f>
        <v>#REF!</v>
      </c>
      <c r="HH12" s="7" t="e">
        <f>IF(OR(#REF!&gt;2,#REF!&lt;-2),"",#REF!)</f>
        <v>#REF!</v>
      </c>
      <c r="HI12" s="7" t="e">
        <f>IF(OR(#REF!&gt;2,#REF!&lt;-2),"",#REF!)</f>
        <v>#REF!</v>
      </c>
      <c r="HJ12" s="7" t="e">
        <f>IF(OR(#REF!&gt;2,#REF!&lt;-2),"",#REF!)</f>
        <v>#REF!</v>
      </c>
      <c r="HK12" s="7" t="e">
        <f>IF(OR(#REF!&gt;2,#REF!&lt;-2),"",#REF!)</f>
        <v>#REF!</v>
      </c>
      <c r="HL12" s="7" t="e">
        <f>IF(OR(#REF!&gt;2,#REF!&lt;-2),"",#REF!)</f>
        <v>#REF!</v>
      </c>
      <c r="HM12" s="7" t="e">
        <f>IF(OR(#REF!&gt;2,#REF!&lt;-2),"",#REF!)</f>
        <v>#REF!</v>
      </c>
      <c r="HN12" s="7" t="e">
        <f>IF(OR(#REF!&gt;2,#REF!&lt;-2),"",#REF!)</f>
        <v>#REF!</v>
      </c>
      <c r="HO12" s="7" t="e">
        <f>IF(OR(#REF!&gt;2,#REF!&lt;-2),"",#REF!)</f>
        <v>#REF!</v>
      </c>
      <c r="HP12" s="7" t="e">
        <f>IF(OR(#REF!&gt;2,#REF!&lt;-2),"",#REF!)</f>
        <v>#REF!</v>
      </c>
      <c r="HQ12" s="7" t="e">
        <f>IF(OR(#REF!&gt;2,#REF!&lt;-2),"",#REF!)</f>
        <v>#REF!</v>
      </c>
      <c r="HR12" s="7" t="e">
        <f>IF(OR(#REF!&gt;2,#REF!&lt;-2),"",#REF!)</f>
        <v>#REF!</v>
      </c>
      <c r="HS12" s="7" t="e">
        <f>IF(OR(#REF!&gt;2,#REF!&lt;-2),"",#REF!)</f>
        <v>#REF!</v>
      </c>
      <c r="HT12" s="7" t="e">
        <f>IF(OR(#REF!&gt;2,#REF!&lt;-2),"",#REF!)</f>
        <v>#REF!</v>
      </c>
      <c r="HU12" s="7" t="e">
        <f>IF(OR(#REF!&gt;2,#REF!&lt;-2),"",#REF!)</f>
        <v>#REF!</v>
      </c>
      <c r="HV12" s="7" t="e">
        <f>IF(OR(#REF!&gt;2,#REF!&lt;-2),"",#REF!)</f>
        <v>#REF!</v>
      </c>
      <c r="HW12" s="7" t="e">
        <f>IF(OR(#REF!&gt;2,#REF!&lt;-2),"",#REF!)</f>
        <v>#REF!</v>
      </c>
      <c r="HX12" s="7" t="e">
        <f>IF(OR(#REF!&gt;2,#REF!&lt;-2),"",#REF!)</f>
        <v>#REF!</v>
      </c>
      <c r="HY12" s="7" t="e">
        <f>IF(OR(#REF!&gt;2,#REF!&lt;-2),"",#REF!)</f>
        <v>#REF!</v>
      </c>
      <c r="HZ12" s="7" t="e">
        <f>IF(OR(#REF!&gt;2,#REF!&lt;-2),"",#REF!)</f>
        <v>#REF!</v>
      </c>
      <c r="IA12" s="7" t="e">
        <f>IF(OR(#REF!&gt;2,#REF!&lt;-2),"",#REF!)</f>
        <v>#REF!</v>
      </c>
      <c r="IB12" s="7" t="e">
        <f>IF(OR(#REF!&gt;2,#REF!&lt;-2),"",#REF!)</f>
        <v>#REF!</v>
      </c>
      <c r="IC12" s="7" t="e">
        <f>IF(OR(#REF!&gt;2,#REF!&lt;-2),"",#REF!)</f>
        <v>#REF!</v>
      </c>
      <c r="ID12" s="7" t="e">
        <f>IF(OR(#REF!&gt;2,#REF!&lt;-2),"",#REF!)</f>
        <v>#REF!</v>
      </c>
      <c r="IE12" s="7" t="e">
        <f>IF(OR(#REF!&gt;2,#REF!&lt;-2),"",#REF!)</f>
        <v>#REF!</v>
      </c>
      <c r="IF12" s="7" t="e">
        <f>IF(OR(#REF!&gt;2,#REF!&lt;-2),"",#REF!)</f>
        <v>#REF!</v>
      </c>
      <c r="IG12" s="7" t="e">
        <f>IF(OR(#REF!&gt;2,#REF!&lt;-2),"",#REF!)</f>
        <v>#REF!</v>
      </c>
      <c r="IH12" s="7" t="e">
        <f>IF(OR(#REF!&gt;2,#REF!&lt;-2),"",#REF!)</f>
        <v>#REF!</v>
      </c>
      <c r="II12" s="7" t="e">
        <f>IF(OR(#REF!&gt;2,#REF!&lt;-2),"",#REF!)</f>
        <v>#REF!</v>
      </c>
      <c r="IJ12" s="7" t="e">
        <f>IF(OR(#REF!&gt;2,#REF!&lt;-2),"",#REF!)</f>
        <v>#REF!</v>
      </c>
      <c r="IK12" s="7" t="e">
        <f>IF(OR(#REF!&gt;2,#REF!&lt;-2),"",#REF!)</f>
        <v>#REF!</v>
      </c>
      <c r="IL12" s="7" t="e">
        <f>IF(OR(#REF!&gt;2,#REF!&lt;-2),"",#REF!)</f>
        <v>#REF!</v>
      </c>
      <c r="IM12" s="7" t="e">
        <f>IF(OR(#REF!&gt;2,#REF!&lt;-2),"",#REF!)</f>
        <v>#REF!</v>
      </c>
      <c r="IN12" s="7" t="e">
        <f>IF(OR(#REF!&gt;2,#REF!&lt;-2),"",#REF!)</f>
        <v>#REF!</v>
      </c>
      <c r="IO12" s="7" t="e">
        <f>IF(OR(#REF!&gt;2,#REF!&lt;-2),"",#REF!)</f>
        <v>#REF!</v>
      </c>
      <c r="IP12" s="7" t="e">
        <f>IF(OR(#REF!&gt;2,#REF!&lt;-2),"",#REF!)</f>
        <v>#REF!</v>
      </c>
      <c r="IQ12" s="7" t="e">
        <f>IF(OR(#REF!&gt;2,#REF!&lt;-2),"",#REF!)</f>
        <v>#REF!</v>
      </c>
      <c r="IR12" s="7" t="e">
        <f>IF(OR(#REF!&gt;2,#REF!&lt;-2),"",#REF!)</f>
        <v>#REF!</v>
      </c>
      <c r="IS12" s="7" t="e">
        <f>IF(OR(#REF!&gt;2,#REF!&lt;-2),"",#REF!)</f>
        <v>#REF!</v>
      </c>
      <c r="IT12" s="7" t="e">
        <f>IF(OR(#REF!&gt;2,#REF!&lt;-2),"",#REF!)</f>
        <v>#REF!</v>
      </c>
      <c r="IU12" s="7" t="e">
        <f>IF(OR(#REF!&gt;2,#REF!&lt;-2),"",#REF!)</f>
        <v>#REF!</v>
      </c>
      <c r="IV12" s="7" t="e">
        <f>IF(OR(#REF!&gt;2,#REF!&lt;-2),"",#REF!)</f>
        <v>#REF!</v>
      </c>
      <c r="IW12" s="7" t="e">
        <f>IF(OR(#REF!&gt;2,#REF!&lt;-2),"",#REF!)</f>
        <v>#REF!</v>
      </c>
      <c r="IX12" s="7" t="e">
        <f>IF(OR(#REF!&gt;2,#REF!&lt;-2),"",#REF!)</f>
        <v>#REF!</v>
      </c>
      <c r="IY12" s="7" t="e">
        <f>IF(OR(#REF!&gt;2,#REF!&lt;-2),"",#REF!)</f>
        <v>#REF!</v>
      </c>
      <c r="IZ12" s="7" t="e">
        <f>IF(OR(#REF!&gt;2,#REF!&lt;-2),"",#REF!)</f>
        <v>#REF!</v>
      </c>
      <c r="JA12" s="7" t="e">
        <f>IF(OR(#REF!&gt;2,#REF!&lt;-2),"",#REF!)</f>
        <v>#REF!</v>
      </c>
      <c r="JB12" s="7" t="e">
        <f>IF(OR(#REF!&gt;2,#REF!&lt;-2),"",#REF!)</f>
        <v>#REF!</v>
      </c>
      <c r="JC12" s="7" t="e">
        <f>IF(OR(#REF!&gt;2,#REF!&lt;-2),"",#REF!)</f>
        <v>#REF!</v>
      </c>
      <c r="JD12" s="7" t="e">
        <f>IF(OR(#REF!&gt;2,#REF!&lt;-2),"",#REF!)</f>
        <v>#REF!</v>
      </c>
      <c r="JE12" s="7" t="e">
        <f>IF(OR(#REF!&gt;2,#REF!&lt;-2),"",#REF!)</f>
        <v>#REF!</v>
      </c>
      <c r="JF12" s="7" t="e">
        <f>IF(OR(#REF!&gt;2,#REF!&lt;-2),"",#REF!)</f>
        <v>#REF!</v>
      </c>
      <c r="JG12" s="7" t="e">
        <f>IF(OR(#REF!&gt;2,#REF!&lt;-2),"",#REF!)</f>
        <v>#REF!</v>
      </c>
      <c r="JH12" s="7" t="e">
        <f>IF(OR(#REF!&gt;2,#REF!&lt;-2),"",#REF!)</f>
        <v>#REF!</v>
      </c>
      <c r="JI12" s="7" t="e">
        <f>IF(OR(#REF!&gt;2,#REF!&lt;-2),"",#REF!)</f>
        <v>#REF!</v>
      </c>
      <c r="JJ12" s="7" t="e">
        <f>IF(OR(#REF!&gt;2,#REF!&lt;-2),"",#REF!)</f>
        <v>#REF!</v>
      </c>
      <c r="JK12" s="7" t="e">
        <f>IF(OR(#REF!&gt;2,#REF!&lt;-2),"",#REF!)</f>
        <v>#REF!</v>
      </c>
      <c r="JL12" s="7" t="e">
        <f>IF(OR(#REF!&gt;2,#REF!&lt;-2),"",#REF!)</f>
        <v>#REF!</v>
      </c>
      <c r="JM12" s="7" t="e">
        <f>IF(OR(#REF!&gt;2,#REF!&lt;-2),"",#REF!)</f>
        <v>#REF!</v>
      </c>
      <c r="JN12" s="7" t="e">
        <f>IF(OR(#REF!&gt;2,#REF!&lt;-2),"",#REF!)</f>
        <v>#REF!</v>
      </c>
      <c r="JO12" s="7" t="e">
        <f>IF(OR(#REF!&gt;2,#REF!&lt;-2),"",#REF!)</f>
        <v>#REF!</v>
      </c>
      <c r="JP12" s="7" t="e">
        <f>IF(OR(#REF!&gt;2,#REF!&lt;-2),"",#REF!)</f>
        <v>#REF!</v>
      </c>
      <c r="JQ12" s="7" t="e">
        <f>IF(OR(#REF!&gt;2,#REF!&lt;-2),"",#REF!)</f>
        <v>#REF!</v>
      </c>
      <c r="JR12" s="7" t="e">
        <f>IF(OR(#REF!&gt;2,#REF!&lt;-2),"",#REF!)</f>
        <v>#REF!</v>
      </c>
      <c r="JS12" s="7" t="e">
        <f>IF(OR(#REF!&gt;2,#REF!&lt;-2),"",#REF!)</f>
        <v>#REF!</v>
      </c>
      <c r="JT12" s="7" t="e">
        <f>IF(OR(#REF!&gt;2,#REF!&lt;-2),"",#REF!)</f>
        <v>#REF!</v>
      </c>
      <c r="JU12" s="7" t="e">
        <f>IF(OR(#REF!&gt;2,#REF!&lt;-2),"",#REF!)</f>
        <v>#REF!</v>
      </c>
      <c r="JV12" s="7" t="e">
        <f>IF(OR(#REF!&gt;2,#REF!&lt;-2),"",#REF!)</f>
        <v>#REF!</v>
      </c>
      <c r="JW12" s="7" t="e">
        <f>IF(OR(#REF!&gt;2,#REF!&lt;-2),"",#REF!)</f>
        <v>#REF!</v>
      </c>
      <c r="JX12" s="7" t="e">
        <f>IF(OR(#REF!&gt;2,#REF!&lt;-2),"",#REF!)</f>
        <v>#REF!</v>
      </c>
      <c r="JY12" s="7" t="e">
        <f>IF(OR(#REF!&gt;2,#REF!&lt;-2),"",#REF!)</f>
        <v>#REF!</v>
      </c>
      <c r="JZ12" s="7" t="e">
        <f>IF(OR(#REF!&gt;2,#REF!&lt;-2),"",#REF!)</f>
        <v>#REF!</v>
      </c>
      <c r="KA12" s="7" t="e">
        <f>IF(OR(#REF!&gt;2,#REF!&lt;-2),"",#REF!)</f>
        <v>#REF!</v>
      </c>
      <c r="KB12" s="7" t="e">
        <f>IF(OR(#REF!&gt;2,#REF!&lt;-2),"",#REF!)</f>
        <v>#REF!</v>
      </c>
      <c r="KC12" s="7" t="e">
        <f>IF(OR(#REF!&gt;2,#REF!&lt;-2),"",#REF!)</f>
        <v>#REF!</v>
      </c>
      <c r="KD12" s="7" t="e">
        <f>IF(OR(#REF!&gt;2,#REF!&lt;-2),"",#REF!)</f>
        <v>#REF!</v>
      </c>
      <c r="KE12" s="7" t="e">
        <f>IF(OR(#REF!&gt;2,#REF!&lt;-2),"",#REF!)</f>
        <v>#REF!</v>
      </c>
      <c r="KF12" s="7" t="e">
        <f>IF(OR(#REF!&gt;2,#REF!&lt;-2),"",#REF!)</f>
        <v>#REF!</v>
      </c>
      <c r="KG12" s="7" t="e">
        <f>IF(OR(#REF!&gt;2,#REF!&lt;-2),"",#REF!)</f>
        <v>#REF!</v>
      </c>
      <c r="KH12" s="7" t="e">
        <f>IF(OR(#REF!&gt;2,#REF!&lt;-2),"",#REF!)</f>
        <v>#REF!</v>
      </c>
      <c r="KI12" s="7" t="e">
        <f>IF(OR(#REF!&gt;2,#REF!&lt;-2),"",#REF!)</f>
        <v>#REF!</v>
      </c>
      <c r="KJ12" s="7" t="e">
        <f>IF(OR(#REF!&gt;2,#REF!&lt;-2),"",#REF!)</f>
        <v>#REF!</v>
      </c>
      <c r="KK12" s="7" t="e">
        <f>IF(OR(#REF!&gt;2,#REF!&lt;-2),"",#REF!)</f>
        <v>#REF!</v>
      </c>
      <c r="KL12" s="7" t="e">
        <f>IF(OR(#REF!&gt;2,#REF!&lt;-2),"",#REF!)</f>
        <v>#REF!</v>
      </c>
      <c r="KM12" s="7" t="e">
        <f>IF(OR(#REF!&gt;2,#REF!&lt;-2),"",#REF!)</f>
        <v>#REF!</v>
      </c>
      <c r="KN12" s="7" t="e">
        <f>IF(OR(#REF!&gt;2,#REF!&lt;-2),"",#REF!)</f>
        <v>#REF!</v>
      </c>
      <c r="KO12" s="7" t="e">
        <f>IF(OR(#REF!&gt;2,#REF!&lt;-2),"",#REF!)</f>
        <v>#REF!</v>
      </c>
      <c r="KP12" s="7" t="e">
        <f>IF(OR(#REF!&gt;2,#REF!&lt;-2),"",#REF!)</f>
        <v>#REF!</v>
      </c>
      <c r="KQ12" s="7" t="e">
        <f>IF(OR(#REF!&gt;2,#REF!&lt;-2),"",#REF!)</f>
        <v>#REF!</v>
      </c>
      <c r="KR12" s="7" t="e">
        <f>IF(OR(#REF!&gt;2,#REF!&lt;-2),"",#REF!)</f>
        <v>#REF!</v>
      </c>
      <c r="KS12" s="7" t="e">
        <f>IF(OR(#REF!&gt;2,#REF!&lt;-2),"",#REF!)</f>
        <v>#REF!</v>
      </c>
      <c r="KT12" s="7" t="e">
        <f>IF(OR(#REF!&gt;2,#REF!&lt;-2),"",#REF!)</f>
        <v>#REF!</v>
      </c>
      <c r="KU12" s="7" t="e">
        <f>IF(OR(#REF!&gt;2,#REF!&lt;-2),"",#REF!)</f>
        <v>#REF!</v>
      </c>
      <c r="KV12" s="7" t="e">
        <f>IF(OR(#REF!&gt;2,#REF!&lt;-2),"",#REF!)</f>
        <v>#REF!</v>
      </c>
      <c r="KW12" s="7" t="e">
        <f>IF(OR(#REF!&gt;2,#REF!&lt;-2),"",#REF!)</f>
        <v>#REF!</v>
      </c>
      <c r="KX12" s="7" t="e">
        <f>IF(OR(#REF!&gt;2,#REF!&lt;-2),"",#REF!)</f>
        <v>#REF!</v>
      </c>
      <c r="KY12" s="7" t="e">
        <f>IF(OR(#REF!&gt;2,#REF!&lt;-2),"",#REF!)</f>
        <v>#REF!</v>
      </c>
      <c r="KZ12" s="7" t="e">
        <f>IF(OR(#REF!&gt;2,#REF!&lt;-2),"",#REF!)</f>
        <v>#REF!</v>
      </c>
      <c r="LA12" s="7" t="e">
        <f>IF(OR(#REF!&gt;2,#REF!&lt;-2),"",#REF!)</f>
        <v>#REF!</v>
      </c>
      <c r="LB12" s="7" t="e">
        <f>IF(OR(#REF!&gt;2,#REF!&lt;-2),"",#REF!)</f>
        <v>#REF!</v>
      </c>
      <c r="LC12" s="7" t="e">
        <f>IF(OR(#REF!&gt;2,#REF!&lt;-2),"",#REF!)</f>
        <v>#REF!</v>
      </c>
      <c r="LD12" s="7" t="e">
        <f>IF(OR(#REF!&gt;2,#REF!&lt;-2),"",#REF!)</f>
        <v>#REF!</v>
      </c>
      <c r="LE12" s="7" t="e">
        <f>IF(OR(#REF!&gt;2,#REF!&lt;-2),"",#REF!)</f>
        <v>#REF!</v>
      </c>
      <c r="LF12" s="7" t="e">
        <f>IF(OR(#REF!&gt;2,#REF!&lt;-2),"",#REF!)</f>
        <v>#REF!</v>
      </c>
      <c r="LG12" s="7" t="e">
        <f>IF(OR(#REF!&gt;2,#REF!&lt;-2),"",#REF!)</f>
        <v>#REF!</v>
      </c>
      <c r="LH12" s="7" t="e">
        <f>IF(OR(#REF!&gt;2,#REF!&lt;-2),"",#REF!)</f>
        <v>#REF!</v>
      </c>
      <c r="LI12" s="7" t="e">
        <f>IF(OR(#REF!&gt;2,#REF!&lt;-2),"",#REF!)</f>
        <v>#REF!</v>
      </c>
      <c r="LJ12" s="7" t="e">
        <f>IF(OR(#REF!&gt;2,#REF!&lt;-2),"",#REF!)</f>
        <v>#REF!</v>
      </c>
      <c r="LK12" s="7" t="e">
        <f>IF(OR(#REF!&gt;2,#REF!&lt;-2),"",#REF!)</f>
        <v>#REF!</v>
      </c>
      <c r="LL12" s="7" t="e">
        <f>IF(OR(#REF!&gt;2,#REF!&lt;-2),"",#REF!)</f>
        <v>#REF!</v>
      </c>
      <c r="LM12" s="7" t="e">
        <f>IF(OR(#REF!&gt;2,#REF!&lt;-2),"",#REF!)</f>
        <v>#REF!</v>
      </c>
      <c r="LN12" s="7" t="e">
        <f>IF(OR(#REF!&gt;2,#REF!&lt;-2),"",#REF!)</f>
        <v>#REF!</v>
      </c>
      <c r="LO12" s="7" t="e">
        <f>IF(OR(#REF!&gt;2,#REF!&lt;-2),"",#REF!)</f>
        <v>#REF!</v>
      </c>
      <c r="LP12" s="7" t="e">
        <f>IF(OR(#REF!&gt;2,#REF!&lt;-2),"",#REF!)</f>
        <v>#REF!</v>
      </c>
      <c r="LQ12" s="7" t="e">
        <f>IF(OR(#REF!&gt;2,#REF!&lt;-2),"",#REF!)</f>
        <v>#REF!</v>
      </c>
      <c r="LR12" s="7" t="e">
        <f>IF(OR(#REF!&gt;2,#REF!&lt;-2),"",#REF!)</f>
        <v>#REF!</v>
      </c>
      <c r="LS12" s="7" t="e">
        <f>IF(OR(#REF!&gt;2,#REF!&lt;-2),"",#REF!)</f>
        <v>#REF!</v>
      </c>
      <c r="LT12" s="7" t="e">
        <f>IF(OR(#REF!&gt;2,#REF!&lt;-2),"",#REF!)</f>
        <v>#REF!</v>
      </c>
      <c r="LU12" s="7" t="e">
        <f>IF(OR(#REF!&gt;2,#REF!&lt;-2),"",#REF!)</f>
        <v>#REF!</v>
      </c>
      <c r="LV12" s="7" t="e">
        <f>IF(OR(#REF!&gt;2,#REF!&lt;-2),"",#REF!)</f>
        <v>#REF!</v>
      </c>
      <c r="LW12" s="7" t="e">
        <f>IF(OR(#REF!&gt;2,#REF!&lt;-2),"",#REF!)</f>
        <v>#REF!</v>
      </c>
      <c r="LX12" s="7" t="e">
        <f>IF(OR(#REF!&gt;2,#REF!&lt;-2),"",#REF!)</f>
        <v>#REF!</v>
      </c>
      <c r="LY12" s="7" t="e">
        <f>IF(OR(#REF!&gt;2,#REF!&lt;-2),"",#REF!)</f>
        <v>#REF!</v>
      </c>
      <c r="LZ12" s="7" t="e">
        <f>IF(OR(#REF!&gt;2,#REF!&lt;-2),"",#REF!)</f>
        <v>#REF!</v>
      </c>
      <c r="MA12" s="7" t="e">
        <f>IF(OR(#REF!&gt;2,#REF!&lt;-2),"",#REF!)</f>
        <v>#REF!</v>
      </c>
      <c r="MB12" s="7" t="e">
        <f>IF(OR(#REF!&gt;2,#REF!&lt;-2),"",#REF!)</f>
        <v>#REF!</v>
      </c>
      <c r="MC12" s="7" t="e">
        <f>IF(OR(#REF!&gt;2,#REF!&lt;-2),"",#REF!)</f>
        <v>#REF!</v>
      </c>
      <c r="MD12" s="7" t="e">
        <f>IF(OR(#REF!&gt;2,#REF!&lt;-2),"",#REF!)</f>
        <v>#REF!</v>
      </c>
      <c r="ME12" s="7" t="e">
        <f>IF(OR(#REF!&gt;2,#REF!&lt;-2),"",#REF!)</f>
        <v>#REF!</v>
      </c>
      <c r="MF12" s="7" t="e">
        <f>IF(OR(#REF!&gt;2,#REF!&lt;-2),"",#REF!)</f>
        <v>#REF!</v>
      </c>
      <c r="MG12" s="7" t="e">
        <f>IF(OR(#REF!&gt;2,#REF!&lt;-2),"",#REF!)</f>
        <v>#REF!</v>
      </c>
      <c r="MH12" s="7" t="e">
        <f>IF(OR(#REF!&gt;2,#REF!&lt;-2),"",#REF!)</f>
        <v>#REF!</v>
      </c>
      <c r="MI12" s="7" t="e">
        <f>IF(OR(#REF!&gt;2,#REF!&lt;-2),"",#REF!)</f>
        <v>#REF!</v>
      </c>
      <c r="MJ12" s="7" t="e">
        <f>IF(OR(#REF!&gt;2,#REF!&lt;-2),"",#REF!)</f>
        <v>#REF!</v>
      </c>
      <c r="MK12" s="7" t="e">
        <f>IF(OR(#REF!&gt;2,#REF!&lt;-2),"",#REF!)</f>
        <v>#REF!</v>
      </c>
      <c r="ML12" s="7" t="e">
        <f>IF(OR(#REF!&gt;2,#REF!&lt;-2),"",#REF!)</f>
        <v>#REF!</v>
      </c>
      <c r="MM12" s="7" t="e">
        <f>IF(OR(#REF!&gt;2,#REF!&lt;-2),"",#REF!)</f>
        <v>#REF!</v>
      </c>
      <c r="MN12" s="7" t="e">
        <f>IF(OR(#REF!&gt;2,#REF!&lt;-2),"",#REF!)</f>
        <v>#REF!</v>
      </c>
      <c r="MO12" s="7" t="e">
        <f>IF(OR(#REF!&gt;2,#REF!&lt;-2),"",#REF!)</f>
        <v>#REF!</v>
      </c>
      <c r="MP12" s="7" t="e">
        <f>IF(OR(#REF!&gt;2,#REF!&lt;-2),"",#REF!)</f>
        <v>#REF!</v>
      </c>
      <c r="MQ12" s="7" t="e">
        <f>IF(OR(#REF!&gt;2,#REF!&lt;-2),"",#REF!)</f>
        <v>#REF!</v>
      </c>
      <c r="MR12" s="7" t="e">
        <f>IF(OR(#REF!&gt;2,#REF!&lt;-2),"",#REF!)</f>
        <v>#REF!</v>
      </c>
      <c r="MS12" s="7" t="e">
        <f>IF(OR(#REF!&gt;2,#REF!&lt;-2),"",#REF!)</f>
        <v>#REF!</v>
      </c>
      <c r="MT12" s="7" t="e">
        <f>IF(OR(#REF!&gt;2,#REF!&lt;-2),"",#REF!)</f>
        <v>#REF!</v>
      </c>
      <c r="MU12" s="7" t="e">
        <f>IF(OR(#REF!&gt;2,#REF!&lt;-2),"",#REF!)</f>
        <v>#REF!</v>
      </c>
      <c r="MV12" s="7" t="e">
        <f>IF(OR(#REF!&gt;2,#REF!&lt;-2),"",#REF!)</f>
        <v>#REF!</v>
      </c>
      <c r="MW12" s="7" t="e">
        <f>IF(OR(#REF!&gt;2,#REF!&lt;-2),"",#REF!)</f>
        <v>#REF!</v>
      </c>
      <c r="MX12" s="7" t="e">
        <f>IF(OR(#REF!&gt;2,#REF!&lt;-2),"",#REF!)</f>
        <v>#REF!</v>
      </c>
      <c r="MY12" s="7" t="e">
        <f>IF(OR(#REF!&gt;2,#REF!&lt;-2),"",#REF!)</f>
        <v>#REF!</v>
      </c>
      <c r="MZ12" s="7" t="e">
        <f>IF(OR(#REF!&gt;2,#REF!&lt;-2),"",#REF!)</f>
        <v>#REF!</v>
      </c>
      <c r="NA12" s="7" t="e">
        <f>IF(OR(#REF!&gt;2,#REF!&lt;-2),"",#REF!)</f>
        <v>#REF!</v>
      </c>
      <c r="NB12" s="7" t="e">
        <f>IF(OR(#REF!&gt;2,#REF!&lt;-2),"",#REF!)</f>
        <v>#REF!</v>
      </c>
      <c r="NC12" s="7" t="e">
        <f>IF(OR(#REF!&gt;2,#REF!&lt;-2),"",#REF!)</f>
        <v>#REF!</v>
      </c>
      <c r="ND12" s="7" t="e">
        <f>IF(OR(#REF!&gt;2,#REF!&lt;-2),"",#REF!)</f>
        <v>#REF!</v>
      </c>
      <c r="NE12" s="7" t="e">
        <f>IF(OR(#REF!&gt;2,#REF!&lt;-2),"",#REF!)</f>
        <v>#REF!</v>
      </c>
      <c r="NF12" s="7" t="e">
        <f>IF(OR(#REF!&gt;2,#REF!&lt;-2),"",#REF!)</f>
        <v>#REF!</v>
      </c>
      <c r="NG12" s="7" t="e">
        <f>IF(OR(#REF!&gt;2,#REF!&lt;-2),"",#REF!)</f>
        <v>#REF!</v>
      </c>
      <c r="NH12" s="7" t="e">
        <f>IF(OR(#REF!&gt;2,#REF!&lt;-2),"",#REF!)</f>
        <v>#REF!</v>
      </c>
      <c r="NI12" s="7" t="e">
        <f>IF(OR(#REF!&gt;2,#REF!&lt;-2),"",#REF!)</f>
        <v>#REF!</v>
      </c>
      <c r="NJ12" s="7" t="e">
        <f>IF(OR(#REF!&gt;2,#REF!&lt;-2),"",#REF!)</f>
        <v>#REF!</v>
      </c>
      <c r="NK12" s="7" t="e">
        <f>IF(OR(#REF!&gt;2,#REF!&lt;-2),"",#REF!)</f>
        <v>#REF!</v>
      </c>
      <c r="NL12" s="7" t="e">
        <f>IF(OR(#REF!&gt;2,#REF!&lt;-2),"",#REF!)</f>
        <v>#REF!</v>
      </c>
      <c r="NM12" s="7" t="e">
        <f>IF(OR(#REF!&gt;2,#REF!&lt;-2),"",#REF!)</f>
        <v>#REF!</v>
      </c>
      <c r="NN12" s="7" t="e">
        <f>IF(OR(#REF!&gt;2,#REF!&lt;-2),"",#REF!)</f>
        <v>#REF!</v>
      </c>
      <c r="NO12" s="7" t="e">
        <f>IF(OR(#REF!&gt;2,#REF!&lt;-2),"",#REF!)</f>
        <v>#REF!</v>
      </c>
      <c r="NP12" s="7" t="e">
        <f>IF(OR(#REF!&gt;2,#REF!&lt;-2),"",#REF!)</f>
        <v>#REF!</v>
      </c>
      <c r="NQ12" s="7" t="e">
        <f>IF(OR(#REF!&gt;2,#REF!&lt;-2),"",#REF!)</f>
        <v>#REF!</v>
      </c>
      <c r="NR12" s="7" t="e">
        <f>IF(OR(#REF!&gt;2,#REF!&lt;-2),"",#REF!)</f>
        <v>#REF!</v>
      </c>
      <c r="NS12" s="7" t="e">
        <f>IF(OR(#REF!&gt;2,#REF!&lt;-2),"",#REF!)</f>
        <v>#REF!</v>
      </c>
      <c r="NT12" s="7" t="e">
        <f>IF(OR(#REF!&gt;2,#REF!&lt;-2),"",#REF!)</f>
        <v>#REF!</v>
      </c>
      <c r="NU12" s="7" t="e">
        <f>IF(OR(#REF!&gt;2,#REF!&lt;-2),"",#REF!)</f>
        <v>#REF!</v>
      </c>
      <c r="NV12" s="7" t="e">
        <f>IF(OR(#REF!&gt;2,#REF!&lt;-2),"",#REF!)</f>
        <v>#REF!</v>
      </c>
      <c r="NW12" s="7" t="e">
        <f>IF(OR(#REF!&gt;2,#REF!&lt;-2),"",#REF!)</f>
        <v>#REF!</v>
      </c>
      <c r="NX12" s="7" t="e">
        <f>IF(OR(#REF!&gt;2,#REF!&lt;-2),"",#REF!)</f>
        <v>#REF!</v>
      </c>
      <c r="NY12" s="7" t="e">
        <f>IF(OR(#REF!&gt;2,#REF!&lt;-2),"",#REF!)</f>
        <v>#REF!</v>
      </c>
      <c r="NZ12" s="7" t="e">
        <f>IF(OR(#REF!&gt;2,#REF!&lt;-2),"",#REF!)</f>
        <v>#REF!</v>
      </c>
      <c r="OA12" s="7" t="e">
        <f>IF(OR(#REF!&gt;2,#REF!&lt;-2),"",#REF!)</f>
        <v>#REF!</v>
      </c>
      <c r="OB12" s="7" t="e">
        <f>IF(OR(#REF!&gt;2,#REF!&lt;-2),"",#REF!)</f>
        <v>#REF!</v>
      </c>
      <c r="OC12" s="7" t="e">
        <f>IF(OR(#REF!&gt;2,#REF!&lt;-2),"",#REF!)</f>
        <v>#REF!</v>
      </c>
      <c r="OD12" s="7" t="e">
        <f>IF(OR(#REF!&gt;2,#REF!&lt;-2),"",#REF!)</f>
        <v>#REF!</v>
      </c>
      <c r="OE12" s="7" t="e">
        <f>IF(OR(#REF!&gt;2,#REF!&lt;-2),"",#REF!)</f>
        <v>#REF!</v>
      </c>
      <c r="OF12" s="7" t="e">
        <f>IF(OR(#REF!&gt;2,#REF!&lt;-2),"",#REF!)</f>
        <v>#REF!</v>
      </c>
      <c r="OG12" s="7" t="e">
        <f>IF(OR(#REF!&gt;2,#REF!&lt;-2),"",#REF!)</f>
        <v>#REF!</v>
      </c>
      <c r="OH12" s="7" t="e">
        <f>IF(OR(#REF!&gt;2,#REF!&lt;-2),"",#REF!)</f>
        <v>#REF!</v>
      </c>
      <c r="OI12" s="7" t="e">
        <f>IF(OR(#REF!&gt;2,#REF!&lt;-2),"",#REF!)</f>
        <v>#REF!</v>
      </c>
      <c r="OJ12" s="7" t="e">
        <f>IF(OR(#REF!&gt;2,#REF!&lt;-2),"",#REF!)</f>
        <v>#REF!</v>
      </c>
      <c r="OK12" s="7" t="e">
        <f>IF(OR(#REF!&gt;2,#REF!&lt;-2),"",#REF!)</f>
        <v>#REF!</v>
      </c>
      <c r="OL12" s="7" t="e">
        <f>IF(OR(#REF!&gt;2,#REF!&lt;-2),"",#REF!)</f>
        <v>#REF!</v>
      </c>
      <c r="OM12" s="7" t="e">
        <f>IF(OR(#REF!&gt;2,#REF!&lt;-2),"",#REF!)</f>
        <v>#REF!</v>
      </c>
      <c r="ON12" s="7" t="e">
        <f>IF(OR(#REF!&gt;2,#REF!&lt;-2),"",#REF!)</f>
        <v>#REF!</v>
      </c>
      <c r="OO12" s="7" t="e">
        <f>IF(OR(#REF!&gt;2,#REF!&lt;-2),"",#REF!)</f>
        <v>#REF!</v>
      </c>
      <c r="OP12" s="7" t="e">
        <f>IF(OR(#REF!&gt;2,#REF!&lt;-2),"",#REF!)</f>
        <v>#REF!</v>
      </c>
      <c r="OQ12" s="7" t="e">
        <f>IF(OR(#REF!&gt;2,#REF!&lt;-2),"",#REF!)</f>
        <v>#REF!</v>
      </c>
      <c r="OR12" s="7" t="e">
        <f>IF(OR(#REF!&gt;2,#REF!&lt;-2),"",#REF!)</f>
        <v>#REF!</v>
      </c>
      <c r="OS12" s="7" t="e">
        <f>IF(OR(#REF!&gt;2,#REF!&lt;-2),"",#REF!)</f>
        <v>#REF!</v>
      </c>
      <c r="OT12" s="7" t="e">
        <f>IF(OR(#REF!&gt;2,#REF!&lt;-2),"",#REF!)</f>
        <v>#REF!</v>
      </c>
      <c r="OU12" s="7" t="e">
        <f>IF(OR(#REF!&gt;2,#REF!&lt;-2),"",#REF!)</f>
        <v>#REF!</v>
      </c>
      <c r="OV12" s="7" t="e">
        <f>IF(OR(#REF!&gt;2,#REF!&lt;-2),"",#REF!)</f>
        <v>#REF!</v>
      </c>
      <c r="OW12" s="7" t="e">
        <f>IF(OR(#REF!&gt;2,#REF!&lt;-2),"",#REF!)</f>
        <v>#REF!</v>
      </c>
      <c r="OX12" s="7" t="e">
        <f>IF(OR(#REF!&gt;2,#REF!&lt;-2),"",#REF!)</f>
        <v>#REF!</v>
      </c>
      <c r="OY12" s="7" t="e">
        <f>IF(OR(#REF!&gt;2,#REF!&lt;-2),"",#REF!)</f>
        <v>#REF!</v>
      </c>
      <c r="OZ12" s="7" t="e">
        <f>IF(OR(#REF!&gt;2,#REF!&lt;-2),"",#REF!)</f>
        <v>#REF!</v>
      </c>
      <c r="PA12" s="7" t="e">
        <f>IF(OR(#REF!&gt;2,#REF!&lt;-2),"",#REF!)</f>
        <v>#REF!</v>
      </c>
      <c r="PB12" s="7" t="e">
        <f>IF(OR(#REF!&gt;2,#REF!&lt;-2),"",#REF!)</f>
        <v>#REF!</v>
      </c>
      <c r="PC12" s="7" t="e">
        <f>IF(OR(#REF!&gt;2,#REF!&lt;-2),"",#REF!)</f>
        <v>#REF!</v>
      </c>
      <c r="PD12" s="7" t="e">
        <f>IF(OR(#REF!&gt;2,#REF!&lt;-2),"",#REF!)</f>
        <v>#REF!</v>
      </c>
      <c r="PE12" s="7" t="e">
        <f>IF(OR(#REF!&gt;2,#REF!&lt;-2),"",#REF!)</f>
        <v>#REF!</v>
      </c>
      <c r="PF12" s="7" t="e">
        <f>IF(OR(#REF!&gt;2,#REF!&lt;-2),"",#REF!)</f>
        <v>#REF!</v>
      </c>
      <c r="PG12" s="7" t="e">
        <f>IF(OR(#REF!&gt;2,#REF!&lt;-2),"",#REF!)</f>
        <v>#REF!</v>
      </c>
      <c r="PH12" s="7" t="e">
        <f>IF(OR(#REF!&gt;2,#REF!&lt;-2),"",#REF!)</f>
        <v>#REF!</v>
      </c>
      <c r="PI12" s="7" t="e">
        <f>IF(OR(#REF!&gt;2,#REF!&lt;-2),"",#REF!)</f>
        <v>#REF!</v>
      </c>
      <c r="PJ12" s="7" t="e">
        <f>IF(OR(#REF!&gt;2,#REF!&lt;-2),"",#REF!)</f>
        <v>#REF!</v>
      </c>
      <c r="PK12" s="7" t="e">
        <f>IF(OR(#REF!&gt;2,#REF!&lt;-2),"",#REF!)</f>
        <v>#REF!</v>
      </c>
      <c r="PL12" s="7" t="e">
        <f>IF(OR(#REF!&gt;2,#REF!&lt;-2),"",#REF!)</f>
        <v>#REF!</v>
      </c>
      <c r="PM12" s="7" t="e">
        <f>IF(OR(#REF!&gt;2,#REF!&lt;-2),"",#REF!)</f>
        <v>#REF!</v>
      </c>
      <c r="PN12" s="7" t="e">
        <f>IF(OR(#REF!&gt;2,#REF!&lt;-2),"",#REF!)</f>
        <v>#REF!</v>
      </c>
      <c r="PO12" s="7" t="e">
        <f>IF(OR(#REF!&gt;2,#REF!&lt;-2),"",#REF!)</f>
        <v>#REF!</v>
      </c>
      <c r="PP12" s="7" t="e">
        <f>IF(OR(#REF!&gt;2,#REF!&lt;-2),"",#REF!)</f>
        <v>#REF!</v>
      </c>
      <c r="PQ12" s="7" t="e">
        <f>IF(OR(#REF!&gt;2,#REF!&lt;-2),"",#REF!)</f>
        <v>#REF!</v>
      </c>
      <c r="PR12" s="7" t="e">
        <f>IF(OR(#REF!&gt;2,#REF!&lt;-2),"",#REF!)</f>
        <v>#REF!</v>
      </c>
      <c r="PS12" s="7" t="e">
        <f>IF(OR(#REF!&gt;2,#REF!&lt;-2),"",#REF!)</f>
        <v>#REF!</v>
      </c>
      <c r="PT12" s="7" t="e">
        <f>IF(OR(#REF!&gt;2,#REF!&lt;-2),"",#REF!)</f>
        <v>#REF!</v>
      </c>
      <c r="PU12" s="7" t="e">
        <f>IF(OR(#REF!&gt;2,#REF!&lt;-2),"",#REF!)</f>
        <v>#REF!</v>
      </c>
      <c r="PV12" s="7" t="e">
        <f>IF(OR(#REF!&gt;2,#REF!&lt;-2),"",#REF!)</f>
        <v>#REF!</v>
      </c>
      <c r="PW12" s="7" t="e">
        <f>IF(OR(#REF!&gt;2,#REF!&lt;-2),"",#REF!)</f>
        <v>#REF!</v>
      </c>
      <c r="PX12" s="7" t="e">
        <f>IF(OR(#REF!&gt;2,#REF!&lt;-2),"",#REF!)</f>
        <v>#REF!</v>
      </c>
      <c r="PY12" s="7" t="e">
        <f>IF(OR(#REF!&gt;2,#REF!&lt;-2),"",#REF!)</f>
        <v>#REF!</v>
      </c>
      <c r="PZ12" s="7" t="e">
        <f>IF(OR(#REF!&gt;2,#REF!&lt;-2),"",#REF!)</f>
        <v>#REF!</v>
      </c>
      <c r="QA12" s="7" t="e">
        <f>IF(OR(#REF!&gt;2,#REF!&lt;-2),"",#REF!)</f>
        <v>#REF!</v>
      </c>
      <c r="QB12" s="7" t="e">
        <f>IF(OR(#REF!&gt;2,#REF!&lt;-2),"",#REF!)</f>
        <v>#REF!</v>
      </c>
      <c r="QC12" s="7" t="e">
        <f>IF(OR(#REF!&gt;2,#REF!&lt;-2),"",#REF!)</f>
        <v>#REF!</v>
      </c>
      <c r="QD12" s="7" t="e">
        <f>IF(OR(#REF!&gt;2,#REF!&lt;-2),"",#REF!)</f>
        <v>#REF!</v>
      </c>
      <c r="QE12" s="7" t="e">
        <f>IF(OR(#REF!&gt;2,#REF!&lt;-2),"",#REF!)</f>
        <v>#REF!</v>
      </c>
      <c r="QF12" s="7" t="e">
        <f>IF(OR(#REF!&gt;2,#REF!&lt;-2),"",#REF!)</f>
        <v>#REF!</v>
      </c>
      <c r="QG12" s="7" t="e">
        <f>IF(OR(#REF!&gt;2,#REF!&lt;-2),"",#REF!)</f>
        <v>#REF!</v>
      </c>
      <c r="QH12" s="7" t="e">
        <f>IF(OR(#REF!&gt;2,#REF!&lt;-2),"",#REF!)</f>
        <v>#REF!</v>
      </c>
      <c r="QI12" s="7" t="e">
        <f>IF(OR(#REF!&gt;2,#REF!&lt;-2),"",#REF!)</f>
        <v>#REF!</v>
      </c>
      <c r="QJ12" s="7" t="e">
        <f>IF(OR(#REF!&gt;2,#REF!&lt;-2),"",#REF!)</f>
        <v>#REF!</v>
      </c>
      <c r="QK12" s="7" t="e">
        <f>IF(OR(#REF!&gt;2,#REF!&lt;-2),"",#REF!)</f>
        <v>#REF!</v>
      </c>
      <c r="QL12" s="7" t="e">
        <f>IF(OR(#REF!&gt;2,#REF!&lt;-2),"",#REF!)</f>
        <v>#REF!</v>
      </c>
      <c r="QM12" s="7" t="e">
        <f>IF(OR(#REF!&gt;2,#REF!&lt;-2),"",#REF!)</f>
        <v>#REF!</v>
      </c>
      <c r="QN12" s="7" t="e">
        <f>IF(OR(#REF!&gt;2,#REF!&lt;-2),"",#REF!)</f>
        <v>#REF!</v>
      </c>
      <c r="QO12" s="7" t="e">
        <f>IF(OR(#REF!&gt;2,#REF!&lt;-2),"",#REF!)</f>
        <v>#REF!</v>
      </c>
      <c r="QP12" s="7" t="e">
        <f>IF(OR(#REF!&gt;2,#REF!&lt;-2),"",#REF!)</f>
        <v>#REF!</v>
      </c>
      <c r="QQ12" s="7" t="e">
        <f>IF(OR(#REF!&gt;2,#REF!&lt;-2),"",#REF!)</f>
        <v>#REF!</v>
      </c>
      <c r="QR12" s="7" t="e">
        <f>IF(OR(#REF!&gt;2,#REF!&lt;-2),"",#REF!)</f>
        <v>#REF!</v>
      </c>
      <c r="QS12" s="7" t="e">
        <f>IF(OR(#REF!&gt;2,#REF!&lt;-2),"",#REF!)</f>
        <v>#REF!</v>
      </c>
      <c r="QT12" s="7" t="e">
        <f>IF(OR(#REF!&gt;2,#REF!&lt;-2),"",#REF!)</f>
        <v>#REF!</v>
      </c>
      <c r="QU12" s="7" t="e">
        <f>IF(OR(#REF!&gt;2,#REF!&lt;-2),"",#REF!)</f>
        <v>#REF!</v>
      </c>
      <c r="QV12" s="7" t="e">
        <f>IF(OR(#REF!&gt;2,#REF!&lt;-2),"",#REF!)</f>
        <v>#REF!</v>
      </c>
      <c r="QW12" s="7" t="e">
        <f>IF(OR(#REF!&gt;2,#REF!&lt;-2),"",#REF!)</f>
        <v>#REF!</v>
      </c>
      <c r="QX12" s="7" t="e">
        <f>IF(OR(#REF!&gt;2,#REF!&lt;-2),"",#REF!)</f>
        <v>#REF!</v>
      </c>
      <c r="QY12" s="7" t="e">
        <f>IF(OR(#REF!&gt;2,#REF!&lt;-2),"",#REF!)</f>
        <v>#REF!</v>
      </c>
      <c r="QZ12" s="7" t="e">
        <f>IF(OR(#REF!&gt;2,#REF!&lt;-2),"",#REF!)</f>
        <v>#REF!</v>
      </c>
      <c r="RA12" s="7" t="e">
        <f>IF(OR(#REF!&gt;2,#REF!&lt;-2),"",#REF!)</f>
        <v>#REF!</v>
      </c>
      <c r="RB12" s="7" t="e">
        <f>IF(OR(#REF!&gt;2,#REF!&lt;-2),"",#REF!)</f>
        <v>#REF!</v>
      </c>
      <c r="RC12" s="7" t="e">
        <f>IF(OR(#REF!&gt;2,#REF!&lt;-2),"",#REF!)</f>
        <v>#REF!</v>
      </c>
      <c r="RD12" s="7" t="e">
        <f>IF(OR(#REF!&gt;2,#REF!&lt;-2),"",#REF!)</f>
        <v>#REF!</v>
      </c>
      <c r="RE12" s="7" t="e">
        <f>IF(OR(#REF!&gt;2,#REF!&lt;-2),"",#REF!)</f>
        <v>#REF!</v>
      </c>
      <c r="RF12" s="7" t="e">
        <f>IF(OR(#REF!&gt;2,#REF!&lt;-2),"",#REF!)</f>
        <v>#REF!</v>
      </c>
      <c r="RG12" s="7" t="e">
        <f>IF(OR(#REF!&gt;2,#REF!&lt;-2),"",#REF!)</f>
        <v>#REF!</v>
      </c>
      <c r="RH12" s="7" t="e">
        <f>IF(OR(#REF!&gt;2,#REF!&lt;-2),"",#REF!)</f>
        <v>#REF!</v>
      </c>
      <c r="RI12" s="7" t="e">
        <f>IF(OR(#REF!&gt;2,#REF!&lt;-2),"",#REF!)</f>
        <v>#REF!</v>
      </c>
      <c r="RJ12" s="7" t="e">
        <f>IF(OR(#REF!&gt;2,#REF!&lt;-2),"",#REF!)</f>
        <v>#REF!</v>
      </c>
      <c r="RK12" s="7" t="e">
        <f>IF(OR(#REF!&gt;2,#REF!&lt;-2),"",#REF!)</f>
        <v>#REF!</v>
      </c>
      <c r="RL12" s="7" t="e">
        <f>IF(OR(#REF!&gt;2,#REF!&lt;-2),"",#REF!)</f>
        <v>#REF!</v>
      </c>
      <c r="RM12" s="7" t="e">
        <f>IF(OR(#REF!&gt;2,#REF!&lt;-2),"",#REF!)</f>
        <v>#REF!</v>
      </c>
      <c r="RN12" s="7" t="e">
        <f>IF(OR(#REF!&gt;2,#REF!&lt;-2),"",#REF!)</f>
        <v>#REF!</v>
      </c>
      <c r="RO12" s="7" t="e">
        <f>IF(OR(#REF!&gt;2,#REF!&lt;-2),"",#REF!)</f>
        <v>#REF!</v>
      </c>
      <c r="RP12" s="7" t="e">
        <f>IF(OR(#REF!&gt;2,#REF!&lt;-2),"",#REF!)</f>
        <v>#REF!</v>
      </c>
      <c r="RQ12" s="7" t="e">
        <f>IF(OR(#REF!&gt;2,#REF!&lt;-2),"",#REF!)</f>
        <v>#REF!</v>
      </c>
      <c r="RR12" s="7" t="e">
        <f>IF(OR(#REF!&gt;2,#REF!&lt;-2),"",#REF!)</f>
        <v>#REF!</v>
      </c>
      <c r="RS12" s="7" t="e">
        <f>IF(OR(#REF!&gt;2,#REF!&lt;-2),"",#REF!)</f>
        <v>#REF!</v>
      </c>
      <c r="RT12" s="7" t="e">
        <f>IF(OR(#REF!&gt;2,#REF!&lt;-2),"",#REF!)</f>
        <v>#REF!</v>
      </c>
      <c r="RU12" s="7" t="e">
        <f>IF(OR(#REF!&gt;2,#REF!&lt;-2),"",#REF!)</f>
        <v>#REF!</v>
      </c>
      <c r="RV12" s="7" t="e">
        <f>IF(OR(#REF!&gt;2,#REF!&lt;-2),"",#REF!)</f>
        <v>#REF!</v>
      </c>
      <c r="RW12" s="7" t="e">
        <f>IF(OR(#REF!&gt;2,#REF!&lt;-2),"",#REF!)</f>
        <v>#REF!</v>
      </c>
      <c r="RX12" s="7" t="e">
        <f>IF(OR(#REF!&gt;2,#REF!&lt;-2),"",#REF!)</f>
        <v>#REF!</v>
      </c>
      <c r="RY12" s="7" t="e">
        <f>IF(OR(#REF!&gt;2,#REF!&lt;-2),"",#REF!)</f>
        <v>#REF!</v>
      </c>
      <c r="RZ12" s="7" t="e">
        <f>IF(OR(#REF!&gt;2,#REF!&lt;-2),"",#REF!)</f>
        <v>#REF!</v>
      </c>
      <c r="SA12" s="7" t="e">
        <f>IF(OR(#REF!&gt;2,#REF!&lt;-2),"",#REF!)</f>
        <v>#REF!</v>
      </c>
      <c r="SB12" s="7" t="e">
        <f>IF(OR(#REF!&gt;2,#REF!&lt;-2),"",#REF!)</f>
        <v>#REF!</v>
      </c>
      <c r="SC12" s="7" t="e">
        <f>IF(OR(#REF!&gt;2,#REF!&lt;-2),"",#REF!)</f>
        <v>#REF!</v>
      </c>
      <c r="SD12" s="7" t="e">
        <f>IF(OR(#REF!&gt;2,#REF!&lt;-2),"",#REF!)</f>
        <v>#REF!</v>
      </c>
      <c r="SE12" s="7" t="e">
        <f>IF(OR(#REF!&gt;2,#REF!&lt;-2),"",#REF!)</f>
        <v>#REF!</v>
      </c>
      <c r="SF12" s="7" t="e">
        <f>IF(OR(#REF!&gt;2,#REF!&lt;-2),"",#REF!)</f>
        <v>#REF!</v>
      </c>
      <c r="SG12" s="7" t="e">
        <f>IF(OR(#REF!&gt;2,#REF!&lt;-2),"",#REF!)</f>
        <v>#REF!</v>
      </c>
      <c r="SH12" s="7" t="e">
        <f>IF(OR(#REF!&gt;2,#REF!&lt;-2),"",#REF!)</f>
        <v>#REF!</v>
      </c>
      <c r="SI12" s="7" t="e">
        <f>IF(OR(#REF!&gt;2,#REF!&lt;-2),"",#REF!)</f>
        <v>#REF!</v>
      </c>
      <c r="SJ12" s="7" t="e">
        <f>IF(OR(#REF!&gt;2,#REF!&lt;-2),"",#REF!)</f>
        <v>#REF!</v>
      </c>
      <c r="SK12" s="7" t="e">
        <f>IF(OR(#REF!&gt;2,#REF!&lt;-2),"",#REF!)</f>
        <v>#REF!</v>
      </c>
      <c r="SL12" s="7" t="e">
        <f>IF(OR(#REF!&gt;2,#REF!&lt;-2),"",#REF!)</f>
        <v>#REF!</v>
      </c>
      <c r="SM12" s="7" t="e">
        <f>IF(OR(#REF!&gt;2,#REF!&lt;-2),"",#REF!)</f>
        <v>#REF!</v>
      </c>
      <c r="SN12" s="7" t="e">
        <f>IF(OR(#REF!&gt;2,#REF!&lt;-2),"",#REF!)</f>
        <v>#REF!</v>
      </c>
      <c r="SO12" s="7" t="e">
        <f>IF(OR(#REF!&gt;2,#REF!&lt;-2),"",#REF!)</f>
        <v>#REF!</v>
      </c>
      <c r="SP12" s="7" t="e">
        <f>IF(OR(#REF!&gt;2,#REF!&lt;-2),"",#REF!)</f>
        <v>#REF!</v>
      </c>
      <c r="SQ12" s="7" t="e">
        <f>IF(OR(#REF!&gt;2,#REF!&lt;-2),"",#REF!)</f>
        <v>#REF!</v>
      </c>
      <c r="SR12" s="7" t="e">
        <f>IF(OR(#REF!&gt;2,#REF!&lt;-2),"",#REF!)</f>
        <v>#REF!</v>
      </c>
      <c r="SS12" s="7" t="e">
        <f>IF(OR(#REF!&gt;2,#REF!&lt;-2),"",#REF!)</f>
        <v>#REF!</v>
      </c>
      <c r="ST12" s="7" t="e">
        <f>IF(OR(#REF!&gt;2,#REF!&lt;-2),"",#REF!)</f>
        <v>#REF!</v>
      </c>
      <c r="SU12" s="7" t="e">
        <f>IF(OR(#REF!&gt;2,#REF!&lt;-2),"",#REF!)</f>
        <v>#REF!</v>
      </c>
      <c r="SV12" s="7" t="e">
        <f>IF(OR(#REF!&gt;2,#REF!&lt;-2),"",#REF!)</f>
        <v>#REF!</v>
      </c>
      <c r="SW12" s="7" t="e">
        <f>IF(OR(#REF!&gt;2,#REF!&lt;-2),"",#REF!)</f>
        <v>#REF!</v>
      </c>
      <c r="SX12" s="7" t="e">
        <f>IF(OR(#REF!&gt;2,#REF!&lt;-2),"",#REF!)</f>
        <v>#REF!</v>
      </c>
      <c r="SY12" s="7" t="e">
        <f>IF(OR(#REF!&gt;2,#REF!&lt;-2),"",#REF!)</f>
        <v>#REF!</v>
      </c>
      <c r="SZ12" s="7" t="e">
        <f>IF(OR(#REF!&gt;2,#REF!&lt;-2),"",#REF!)</f>
        <v>#REF!</v>
      </c>
      <c r="TA12" s="7" t="e">
        <f>IF(OR(#REF!&gt;2,#REF!&lt;-2),"",#REF!)</f>
        <v>#REF!</v>
      </c>
      <c r="TB12" s="7" t="e">
        <f>IF(OR(#REF!&gt;2,#REF!&lt;-2),"",#REF!)</f>
        <v>#REF!</v>
      </c>
      <c r="TC12" s="7" t="e">
        <f>IF(OR(#REF!&gt;2,#REF!&lt;-2),"",#REF!)</f>
        <v>#REF!</v>
      </c>
      <c r="TD12" s="7" t="e">
        <f>IF(OR(#REF!&gt;2,#REF!&lt;-2),"",#REF!)</f>
        <v>#REF!</v>
      </c>
      <c r="TE12" s="7" t="e">
        <f>IF(OR(#REF!&gt;2,#REF!&lt;-2),"",#REF!)</f>
        <v>#REF!</v>
      </c>
      <c r="TF12" s="7" t="e">
        <f>IF(OR(#REF!&gt;2,#REF!&lt;-2),"",#REF!)</f>
        <v>#REF!</v>
      </c>
      <c r="TG12" s="7" t="e">
        <f>IF(OR(#REF!&gt;2,#REF!&lt;-2),"",#REF!)</f>
        <v>#REF!</v>
      </c>
      <c r="TH12" s="7" t="e">
        <f>IF(OR(#REF!&gt;2,#REF!&lt;-2),"",#REF!)</f>
        <v>#REF!</v>
      </c>
      <c r="TI12" s="7" t="e">
        <f>IF(OR(#REF!&gt;2,#REF!&lt;-2),"",#REF!)</f>
        <v>#REF!</v>
      </c>
      <c r="TJ12" s="7" t="e">
        <f>IF(OR(#REF!&gt;2,#REF!&lt;-2),"",#REF!)</f>
        <v>#REF!</v>
      </c>
      <c r="TK12" s="7" t="e">
        <f>IF(OR(#REF!&gt;2,#REF!&lt;-2),"",#REF!)</f>
        <v>#REF!</v>
      </c>
      <c r="TL12" s="7" t="e">
        <f>IF(OR(#REF!&gt;2,#REF!&lt;-2),"",#REF!)</f>
        <v>#REF!</v>
      </c>
      <c r="TM12" s="7" t="e">
        <f>IF(OR(#REF!&gt;2,#REF!&lt;-2),"",#REF!)</f>
        <v>#REF!</v>
      </c>
      <c r="TN12" s="7" t="e">
        <f>IF(OR(#REF!&gt;2,#REF!&lt;-2),"",#REF!)</f>
        <v>#REF!</v>
      </c>
      <c r="TO12" s="7" t="e">
        <f>IF(OR(#REF!&gt;2,#REF!&lt;-2),"",#REF!)</f>
        <v>#REF!</v>
      </c>
      <c r="TP12" s="7" t="e">
        <f>IF(OR(#REF!&gt;2,#REF!&lt;-2),"",#REF!)</f>
        <v>#REF!</v>
      </c>
      <c r="TQ12" s="7" t="e">
        <f>IF(OR(#REF!&gt;2,#REF!&lt;-2),"",#REF!)</f>
        <v>#REF!</v>
      </c>
      <c r="TR12" s="7" t="e">
        <f>IF(OR(#REF!&gt;2,#REF!&lt;-2),"",#REF!)</f>
        <v>#REF!</v>
      </c>
      <c r="TS12" s="7" t="e">
        <f>IF(OR(#REF!&gt;2,#REF!&lt;-2),"",#REF!)</f>
        <v>#REF!</v>
      </c>
      <c r="TT12" s="7" t="e">
        <f>IF(OR(#REF!&gt;2,#REF!&lt;-2),"",#REF!)</f>
        <v>#REF!</v>
      </c>
      <c r="TU12" s="7" t="e">
        <f>IF(OR(#REF!&gt;2,#REF!&lt;-2),"",#REF!)</f>
        <v>#REF!</v>
      </c>
      <c r="TV12" s="7" t="e">
        <f>IF(OR(#REF!&gt;2,#REF!&lt;-2),"",#REF!)</f>
        <v>#REF!</v>
      </c>
      <c r="TW12" s="7" t="e">
        <f>IF(OR(#REF!&gt;2,#REF!&lt;-2),"",#REF!)</f>
        <v>#REF!</v>
      </c>
      <c r="TX12" s="7" t="e">
        <f>IF(OR(#REF!&gt;2,#REF!&lt;-2),"",#REF!)</f>
        <v>#REF!</v>
      </c>
      <c r="TY12" s="7" t="e">
        <f>IF(OR(#REF!&gt;2,#REF!&lt;-2),"",#REF!)</f>
        <v>#REF!</v>
      </c>
      <c r="TZ12" s="7" t="e">
        <f>IF(OR(#REF!&gt;2,#REF!&lt;-2),"",#REF!)</f>
        <v>#REF!</v>
      </c>
      <c r="UA12" s="7" t="e">
        <f>IF(OR(#REF!&gt;2,#REF!&lt;-2),"",#REF!)</f>
        <v>#REF!</v>
      </c>
      <c r="UB12" s="7" t="e">
        <f>IF(OR(#REF!&gt;2,#REF!&lt;-2),"",#REF!)</f>
        <v>#REF!</v>
      </c>
      <c r="UC12" s="7" t="e">
        <f>IF(OR(#REF!&gt;2,#REF!&lt;-2),"",#REF!)</f>
        <v>#REF!</v>
      </c>
      <c r="UD12" s="7" t="e">
        <f>IF(OR(#REF!&gt;2,#REF!&lt;-2),"",#REF!)</f>
        <v>#REF!</v>
      </c>
      <c r="UE12" s="7" t="e">
        <f>IF(OR(#REF!&gt;2,#REF!&lt;-2),"",#REF!)</f>
        <v>#REF!</v>
      </c>
      <c r="UF12" s="7" t="e">
        <f>IF(OR(#REF!&gt;2,#REF!&lt;-2),"",#REF!)</f>
        <v>#REF!</v>
      </c>
      <c r="UG12" s="7" t="e">
        <f>IF(OR(#REF!&gt;2,#REF!&lt;-2),"",#REF!)</f>
        <v>#REF!</v>
      </c>
      <c r="UH12" s="7" t="e">
        <f>IF(OR(#REF!&gt;2,#REF!&lt;-2),"",#REF!)</f>
        <v>#REF!</v>
      </c>
      <c r="UI12" s="7" t="e">
        <f>IF(OR(#REF!&gt;2,#REF!&lt;-2),"",#REF!)</f>
        <v>#REF!</v>
      </c>
      <c r="UJ12" s="7" t="e">
        <f>IF(OR(#REF!&gt;2,#REF!&lt;-2),"",#REF!)</f>
        <v>#REF!</v>
      </c>
      <c r="UK12" s="7" t="e">
        <f>IF(OR(#REF!&gt;2,#REF!&lt;-2),"",#REF!)</f>
        <v>#REF!</v>
      </c>
      <c r="UL12" s="7" t="e">
        <f>IF(OR(#REF!&gt;2,#REF!&lt;-2),"",#REF!)</f>
        <v>#REF!</v>
      </c>
      <c r="UM12" s="7" t="e">
        <f>IF(OR(#REF!&gt;2,#REF!&lt;-2),"",#REF!)</f>
        <v>#REF!</v>
      </c>
      <c r="UN12" s="7" t="e">
        <f>IF(OR(#REF!&gt;2,#REF!&lt;-2),"",#REF!)</f>
        <v>#REF!</v>
      </c>
      <c r="UO12" s="7" t="e">
        <f>IF(OR(#REF!&gt;2,#REF!&lt;-2),"",#REF!)</f>
        <v>#REF!</v>
      </c>
      <c r="UP12" s="7" t="e">
        <f>IF(OR(#REF!&gt;2,#REF!&lt;-2),"",#REF!)</f>
        <v>#REF!</v>
      </c>
    </row>
    <row r="13" spans="1:562" x14ac:dyDescent="0.35">
      <c r="A13">
        <v>113</v>
      </c>
      <c r="B13">
        <v>1</v>
      </c>
      <c r="C13" s="7" t="e">
        <f>IF(OR(#REF!&gt;2,#REF!&lt;-2),"",#REF!)</f>
        <v>#REF!</v>
      </c>
      <c r="D13" s="7" t="e">
        <f>IF(OR(#REF!&gt;2,#REF!&lt;-2),"",#REF!)</f>
        <v>#REF!</v>
      </c>
      <c r="E13" s="7" t="e">
        <f>IF(OR(#REF!&gt;2,#REF!&lt;-2),"",#REF!)</f>
        <v>#REF!</v>
      </c>
      <c r="F13" s="7" t="e">
        <f>IF(OR(#REF!&gt;2,#REF!&lt;-2),"",#REF!)</f>
        <v>#REF!</v>
      </c>
      <c r="G13" s="7" t="e">
        <f>IF(OR(#REF!&gt;2,#REF!&lt;-2),"",#REF!)</f>
        <v>#REF!</v>
      </c>
      <c r="H13" s="7" t="e">
        <f>IF(OR(#REF!&gt;2,#REF!&lt;-2),"",#REF!)</f>
        <v>#REF!</v>
      </c>
      <c r="I13" s="7" t="e">
        <f>IF(OR(#REF!&gt;2,#REF!&lt;-2),"",#REF!)</f>
        <v>#REF!</v>
      </c>
      <c r="J13" s="7" t="e">
        <f>IF(OR(#REF!&gt;2,#REF!&lt;-2),"",#REF!)</f>
        <v>#REF!</v>
      </c>
      <c r="K13" s="7" t="e">
        <f>IF(OR(#REF!&gt;2,#REF!&lt;-2),"",#REF!)</f>
        <v>#REF!</v>
      </c>
      <c r="L13" s="7" t="e">
        <f>IF(OR(#REF!&gt;2,#REF!&lt;-2),"",#REF!)</f>
        <v>#REF!</v>
      </c>
      <c r="M13" s="7" t="e">
        <f>IF(OR(#REF!&gt;2,#REF!&lt;-2),"",#REF!)</f>
        <v>#REF!</v>
      </c>
      <c r="N13" s="7" t="e">
        <f>IF(OR(#REF!&gt;2,#REF!&lt;-2),"",#REF!)</f>
        <v>#REF!</v>
      </c>
      <c r="O13" s="7" t="e">
        <f>IF(OR(#REF!&gt;2,#REF!&lt;-2),"",#REF!)</f>
        <v>#REF!</v>
      </c>
      <c r="P13" s="7" t="e">
        <f>IF(OR(#REF!&gt;2,#REF!&lt;-2),"",#REF!)</f>
        <v>#REF!</v>
      </c>
      <c r="Q13" s="7" t="e">
        <f>IF(OR(#REF!&gt;2,#REF!&lt;-2),"",#REF!)</f>
        <v>#REF!</v>
      </c>
      <c r="R13" s="7" t="e">
        <f>IF(OR(#REF!&gt;2,#REF!&lt;-2),"",#REF!)</f>
        <v>#REF!</v>
      </c>
      <c r="S13" s="7" t="e">
        <f>IF(OR(#REF!&gt;2,#REF!&lt;-2),"",#REF!)</f>
        <v>#REF!</v>
      </c>
      <c r="T13" s="7" t="e">
        <f>IF(OR(#REF!&gt;2,#REF!&lt;-2),"",#REF!)</f>
        <v>#REF!</v>
      </c>
      <c r="U13" s="7" t="e">
        <f>IF(OR(#REF!&gt;2,#REF!&lt;-2),"",#REF!)</f>
        <v>#REF!</v>
      </c>
      <c r="V13" s="7" t="e">
        <f>IF(OR(#REF!&gt;2,#REF!&lt;-2),"",#REF!)</f>
        <v>#REF!</v>
      </c>
      <c r="W13" s="7" t="e">
        <f>IF(OR(#REF!&gt;2,#REF!&lt;-2),"",#REF!)</f>
        <v>#REF!</v>
      </c>
      <c r="X13" s="7" t="e">
        <f>IF(OR(#REF!&gt;2,#REF!&lt;-2),"",#REF!)</f>
        <v>#REF!</v>
      </c>
      <c r="Y13" s="7" t="e">
        <f>IF(OR(#REF!&gt;2,#REF!&lt;-2),"",#REF!)</f>
        <v>#REF!</v>
      </c>
      <c r="Z13" s="7" t="e">
        <f>IF(OR(#REF!&gt;2,#REF!&lt;-2),"",#REF!)</f>
        <v>#REF!</v>
      </c>
      <c r="AA13" s="7" t="e">
        <f>IF(OR(#REF!&gt;2,#REF!&lt;-2),"",#REF!)</f>
        <v>#REF!</v>
      </c>
      <c r="AB13" s="7" t="e">
        <f>IF(OR(#REF!&gt;2,#REF!&lt;-2),"",#REF!)</f>
        <v>#REF!</v>
      </c>
      <c r="AC13" s="7" t="e">
        <f>IF(OR(#REF!&gt;2,#REF!&lt;-2),"",#REF!)</f>
        <v>#REF!</v>
      </c>
      <c r="AD13" s="7" t="e">
        <f>IF(OR(#REF!&gt;2,#REF!&lt;-2),"",#REF!)</f>
        <v>#REF!</v>
      </c>
      <c r="AE13" s="7" t="e">
        <f>IF(OR(#REF!&gt;2,#REF!&lt;-2),"",#REF!)</f>
        <v>#REF!</v>
      </c>
      <c r="AF13" s="7" t="e">
        <f>IF(OR(#REF!&gt;2,#REF!&lt;-2),"",#REF!)</f>
        <v>#REF!</v>
      </c>
      <c r="AG13" s="7" t="e">
        <f>IF(OR(#REF!&gt;2,#REF!&lt;-2),"",#REF!)</f>
        <v>#REF!</v>
      </c>
      <c r="AH13" s="7" t="e">
        <f>IF(OR(#REF!&gt;2,#REF!&lt;-2),"",#REF!)</f>
        <v>#REF!</v>
      </c>
      <c r="AI13" s="7" t="e">
        <f>IF(OR(#REF!&gt;2,#REF!&lt;-2),"",#REF!)</f>
        <v>#REF!</v>
      </c>
      <c r="AJ13" s="7" t="e">
        <f>IF(OR(#REF!&gt;2,#REF!&lt;-2),"",#REF!)</f>
        <v>#REF!</v>
      </c>
      <c r="AK13" s="7" t="e">
        <f>IF(OR(#REF!&gt;2,#REF!&lt;-2),"",#REF!)</f>
        <v>#REF!</v>
      </c>
      <c r="AL13" s="7" t="e">
        <f>IF(OR(#REF!&gt;2,#REF!&lt;-2),"",#REF!)</f>
        <v>#REF!</v>
      </c>
      <c r="AM13" s="7" t="e">
        <f>IF(OR(#REF!&gt;2,#REF!&lt;-2),"",#REF!)</f>
        <v>#REF!</v>
      </c>
      <c r="AN13" s="7" t="e">
        <f>IF(OR(#REF!&gt;2,#REF!&lt;-2),"",#REF!)</f>
        <v>#REF!</v>
      </c>
      <c r="AO13" s="7" t="e">
        <f>IF(OR(#REF!&gt;2,#REF!&lt;-2),"",#REF!)</f>
        <v>#REF!</v>
      </c>
      <c r="AP13" s="7" t="e">
        <f>IF(OR(#REF!&gt;2,#REF!&lt;-2),"",#REF!)</f>
        <v>#REF!</v>
      </c>
      <c r="AQ13" s="7" t="e">
        <f>IF(OR(#REF!&gt;2,#REF!&lt;-2),"",#REF!)</f>
        <v>#REF!</v>
      </c>
      <c r="AR13" s="7" t="e">
        <f>IF(OR(#REF!&gt;2,#REF!&lt;-2),"",#REF!)</f>
        <v>#REF!</v>
      </c>
      <c r="AS13" s="7" t="e">
        <f>IF(OR(#REF!&gt;2,#REF!&lt;-2),"",#REF!)</f>
        <v>#REF!</v>
      </c>
      <c r="AT13" s="7" t="e">
        <f>IF(OR(#REF!&gt;2,#REF!&lt;-2),"",#REF!)</f>
        <v>#REF!</v>
      </c>
      <c r="AU13" s="7" t="e">
        <f>IF(OR(#REF!&gt;2,#REF!&lt;-2),"",#REF!)</f>
        <v>#REF!</v>
      </c>
      <c r="AV13" s="7" t="e">
        <f>IF(OR(#REF!&gt;2,#REF!&lt;-2),"",#REF!)</f>
        <v>#REF!</v>
      </c>
      <c r="AW13" s="7" t="e">
        <f>IF(OR(#REF!&gt;2,#REF!&lt;-2),"",#REF!)</f>
        <v>#REF!</v>
      </c>
      <c r="AX13" s="7" t="e">
        <f>IF(OR(#REF!&gt;2,#REF!&lt;-2),"",#REF!)</f>
        <v>#REF!</v>
      </c>
      <c r="AY13" s="7" t="e">
        <f>IF(OR(#REF!&gt;2,#REF!&lt;-2),"",#REF!)</f>
        <v>#REF!</v>
      </c>
      <c r="AZ13" s="7" t="e">
        <f>IF(OR(#REF!&gt;2,#REF!&lt;-2),"",#REF!)</f>
        <v>#REF!</v>
      </c>
      <c r="BA13" s="7" t="e">
        <f>IF(OR(#REF!&gt;2,#REF!&lt;-2),"",#REF!)</f>
        <v>#REF!</v>
      </c>
      <c r="BB13" s="7" t="e">
        <f>IF(OR(#REF!&gt;2,#REF!&lt;-2),"",#REF!)</f>
        <v>#REF!</v>
      </c>
      <c r="BC13" s="7" t="e">
        <f>IF(OR(#REF!&gt;2,#REF!&lt;-2),"",#REF!)</f>
        <v>#REF!</v>
      </c>
      <c r="BD13" s="7" t="e">
        <f>IF(OR(#REF!&gt;2,#REF!&lt;-2),"",#REF!)</f>
        <v>#REF!</v>
      </c>
      <c r="BE13" s="7" t="e">
        <f>IF(OR(#REF!&gt;2,#REF!&lt;-2),"",#REF!)</f>
        <v>#REF!</v>
      </c>
      <c r="BF13" s="7" t="e">
        <f>IF(OR(#REF!&gt;2,#REF!&lt;-2),"",#REF!)</f>
        <v>#REF!</v>
      </c>
      <c r="BG13" s="7" t="e">
        <f>IF(OR(#REF!&gt;2,#REF!&lt;-2),"",#REF!)</f>
        <v>#REF!</v>
      </c>
      <c r="BH13" s="7" t="e">
        <f>IF(OR(#REF!&gt;2,#REF!&lt;-2),"",#REF!)</f>
        <v>#REF!</v>
      </c>
      <c r="BI13" s="7" t="e">
        <f>IF(OR(#REF!&gt;2,#REF!&lt;-2),"",#REF!)</f>
        <v>#REF!</v>
      </c>
      <c r="BJ13" s="7" t="e">
        <f>IF(OR(#REF!&gt;2,#REF!&lt;-2),"",#REF!)</f>
        <v>#REF!</v>
      </c>
      <c r="BK13" s="7" t="e">
        <f>IF(OR(#REF!&gt;2,#REF!&lt;-2),"",#REF!)</f>
        <v>#REF!</v>
      </c>
      <c r="BL13" s="7" t="e">
        <f>IF(OR(#REF!&gt;2,#REF!&lt;-2),"",#REF!)</f>
        <v>#REF!</v>
      </c>
      <c r="BM13" s="7" t="e">
        <f>IF(OR(#REF!&gt;2,#REF!&lt;-2),"",#REF!)</f>
        <v>#REF!</v>
      </c>
      <c r="BN13" s="7" t="e">
        <f>IF(OR(#REF!&gt;2,#REF!&lt;-2),"",#REF!)</f>
        <v>#REF!</v>
      </c>
      <c r="BO13" s="7" t="e">
        <f>IF(OR(#REF!&gt;2,#REF!&lt;-2),"",#REF!)</f>
        <v>#REF!</v>
      </c>
      <c r="BP13" s="7" t="e">
        <f>IF(OR(#REF!&gt;2,#REF!&lt;-2),"",#REF!)</f>
        <v>#REF!</v>
      </c>
      <c r="BQ13" s="7" t="e">
        <f>IF(OR(#REF!&gt;2,#REF!&lt;-2),"",#REF!)</f>
        <v>#REF!</v>
      </c>
      <c r="BR13" s="7" t="e">
        <f>IF(OR(#REF!&gt;2,#REF!&lt;-2),"",#REF!)</f>
        <v>#REF!</v>
      </c>
      <c r="BS13" s="7" t="e">
        <f>IF(OR(#REF!&gt;2,#REF!&lt;-2),"",#REF!)</f>
        <v>#REF!</v>
      </c>
      <c r="BT13" s="7" t="e">
        <f>IF(OR(#REF!&gt;2,#REF!&lt;-2),"",#REF!)</f>
        <v>#REF!</v>
      </c>
      <c r="BU13" s="7" t="e">
        <f>IF(OR(#REF!&gt;2,#REF!&lt;-2),"",#REF!)</f>
        <v>#REF!</v>
      </c>
      <c r="BV13" s="7" t="e">
        <f>IF(OR(#REF!&gt;2,#REF!&lt;-2),"",#REF!)</f>
        <v>#REF!</v>
      </c>
      <c r="BW13" s="7" t="e">
        <f>IF(OR(#REF!&gt;2,#REF!&lt;-2),"",#REF!)</f>
        <v>#REF!</v>
      </c>
      <c r="BX13" s="7" t="e">
        <f>IF(OR(#REF!&gt;2,#REF!&lt;-2),"",#REF!)</f>
        <v>#REF!</v>
      </c>
      <c r="BY13" s="7" t="e">
        <f>IF(OR(#REF!&gt;2,#REF!&lt;-2),"",#REF!)</f>
        <v>#REF!</v>
      </c>
      <c r="BZ13" s="7" t="e">
        <f>IF(OR(#REF!&gt;2,#REF!&lt;-2),"",#REF!)</f>
        <v>#REF!</v>
      </c>
      <c r="CA13" s="7" t="e">
        <f>IF(OR(#REF!&gt;2,#REF!&lt;-2),"",#REF!)</f>
        <v>#REF!</v>
      </c>
      <c r="CB13" s="7" t="e">
        <f>IF(OR(#REF!&gt;2,#REF!&lt;-2),"",#REF!)</f>
        <v>#REF!</v>
      </c>
      <c r="CC13" s="7" t="e">
        <f>IF(OR(#REF!&gt;2,#REF!&lt;-2),"",#REF!)</f>
        <v>#REF!</v>
      </c>
      <c r="CD13" s="7" t="e">
        <f>IF(OR(#REF!&gt;2,#REF!&lt;-2),"",#REF!)</f>
        <v>#REF!</v>
      </c>
      <c r="CE13" s="7" t="e">
        <f>IF(OR(#REF!&gt;2,#REF!&lt;-2),"",#REF!)</f>
        <v>#REF!</v>
      </c>
      <c r="CF13" s="7" t="e">
        <f>IF(OR(#REF!&gt;2,#REF!&lt;-2),"",#REF!)</f>
        <v>#REF!</v>
      </c>
      <c r="CG13" s="7" t="e">
        <f>IF(OR(#REF!&gt;2,#REF!&lt;-2),"",#REF!)</f>
        <v>#REF!</v>
      </c>
      <c r="CH13" s="7" t="e">
        <f>IF(OR(#REF!&gt;2,#REF!&lt;-2),"",#REF!)</f>
        <v>#REF!</v>
      </c>
      <c r="CI13" s="7" t="e">
        <f>IF(OR(#REF!&gt;2,#REF!&lt;-2),"",#REF!)</f>
        <v>#REF!</v>
      </c>
      <c r="CJ13" s="7" t="e">
        <f>IF(OR(#REF!&gt;2,#REF!&lt;-2),"",#REF!)</f>
        <v>#REF!</v>
      </c>
      <c r="CK13" s="7" t="e">
        <f>IF(OR(#REF!&gt;2,#REF!&lt;-2),"",#REF!)</f>
        <v>#REF!</v>
      </c>
      <c r="CL13" s="7" t="e">
        <f>IF(OR(#REF!&gt;2,#REF!&lt;-2),"",#REF!)</f>
        <v>#REF!</v>
      </c>
      <c r="CM13" s="7" t="e">
        <f>IF(OR(#REF!&gt;2,#REF!&lt;-2),"",#REF!)</f>
        <v>#REF!</v>
      </c>
      <c r="CN13" s="7" t="e">
        <f>IF(OR(#REF!&gt;2,#REF!&lt;-2),"",#REF!)</f>
        <v>#REF!</v>
      </c>
      <c r="CO13" s="7" t="e">
        <f>IF(OR(#REF!&gt;2,#REF!&lt;-2),"",#REF!)</f>
        <v>#REF!</v>
      </c>
      <c r="CP13" s="7" t="e">
        <f>IF(OR(#REF!&gt;2,#REF!&lt;-2),"",#REF!)</f>
        <v>#REF!</v>
      </c>
      <c r="CQ13" s="7" t="e">
        <f>IF(OR(#REF!&gt;2,#REF!&lt;-2),"",#REF!)</f>
        <v>#REF!</v>
      </c>
      <c r="CR13" s="7" t="e">
        <f>IF(OR(#REF!&gt;2,#REF!&lt;-2),"",#REF!)</f>
        <v>#REF!</v>
      </c>
      <c r="CS13" s="7" t="e">
        <f>IF(OR(#REF!&gt;2,#REF!&lt;-2),"",#REF!)</f>
        <v>#REF!</v>
      </c>
      <c r="CT13" s="7" t="e">
        <f>IF(OR(#REF!&gt;2,#REF!&lt;-2),"",#REF!)</f>
        <v>#REF!</v>
      </c>
      <c r="CU13" s="7" t="e">
        <f>IF(OR(#REF!&gt;2,#REF!&lt;-2),"",#REF!)</f>
        <v>#REF!</v>
      </c>
      <c r="CV13" s="7" t="e">
        <f>IF(OR(#REF!&gt;2,#REF!&lt;-2),"",#REF!)</f>
        <v>#REF!</v>
      </c>
      <c r="CW13" s="7" t="e">
        <f>IF(OR(#REF!&gt;2,#REF!&lt;-2),"",#REF!)</f>
        <v>#REF!</v>
      </c>
      <c r="CX13" s="7" t="e">
        <f>IF(OR(#REF!&gt;2,#REF!&lt;-2),"",#REF!)</f>
        <v>#REF!</v>
      </c>
      <c r="CY13" s="7" t="e">
        <f>IF(OR(#REF!&gt;2,#REF!&lt;-2),"",#REF!)</f>
        <v>#REF!</v>
      </c>
      <c r="CZ13" s="7" t="e">
        <f>IF(OR(#REF!&gt;2,#REF!&lt;-2),"",#REF!)</f>
        <v>#REF!</v>
      </c>
      <c r="DA13" s="7" t="e">
        <f>IF(OR(#REF!&gt;2,#REF!&lt;-2),"",#REF!)</f>
        <v>#REF!</v>
      </c>
      <c r="DB13" s="7" t="e">
        <f>IF(OR(#REF!&gt;2,#REF!&lt;-2),"",#REF!)</f>
        <v>#REF!</v>
      </c>
      <c r="DC13" s="7" t="e">
        <f>IF(OR(#REF!&gt;2,#REF!&lt;-2),"",#REF!)</f>
        <v>#REF!</v>
      </c>
      <c r="DD13" s="7" t="e">
        <f>IF(OR(#REF!&gt;2,#REF!&lt;-2),"",#REF!)</f>
        <v>#REF!</v>
      </c>
      <c r="DE13" s="7" t="e">
        <f>IF(OR(#REF!&gt;2,#REF!&lt;-2),"",#REF!)</f>
        <v>#REF!</v>
      </c>
      <c r="DF13" s="7" t="e">
        <f>IF(OR(#REF!&gt;2,#REF!&lt;-2),"",#REF!)</f>
        <v>#REF!</v>
      </c>
      <c r="DG13" s="7" t="e">
        <f>IF(OR(#REF!&gt;2,#REF!&lt;-2),"",#REF!)</f>
        <v>#REF!</v>
      </c>
      <c r="DH13" s="7" t="e">
        <f>IF(OR(#REF!&gt;2,#REF!&lt;-2),"",#REF!)</f>
        <v>#REF!</v>
      </c>
      <c r="DI13" s="7" t="e">
        <f>IF(OR(#REF!&gt;2,#REF!&lt;-2),"",#REF!)</f>
        <v>#REF!</v>
      </c>
      <c r="DJ13" s="7" t="e">
        <f>IF(OR(#REF!&gt;2,#REF!&lt;-2),"",#REF!)</f>
        <v>#REF!</v>
      </c>
      <c r="DK13" s="7" t="e">
        <f>IF(OR(#REF!&gt;2,#REF!&lt;-2),"",#REF!)</f>
        <v>#REF!</v>
      </c>
      <c r="DL13" s="7" t="e">
        <f>IF(OR(#REF!&gt;2,#REF!&lt;-2),"",#REF!)</f>
        <v>#REF!</v>
      </c>
      <c r="DM13" s="7" t="e">
        <f>IF(OR(#REF!&gt;2,#REF!&lt;-2),"",#REF!)</f>
        <v>#REF!</v>
      </c>
      <c r="DN13" s="7" t="e">
        <f>IF(OR(#REF!&gt;2,#REF!&lt;-2),"",#REF!)</f>
        <v>#REF!</v>
      </c>
      <c r="DO13" s="7" t="e">
        <f>IF(OR(#REF!&gt;2,#REF!&lt;-2),"",#REF!)</f>
        <v>#REF!</v>
      </c>
      <c r="DP13" s="7" t="e">
        <f>IF(OR(#REF!&gt;2,#REF!&lt;-2),"",#REF!)</f>
        <v>#REF!</v>
      </c>
      <c r="DQ13" s="7" t="e">
        <f>IF(OR(#REF!&gt;2,#REF!&lt;-2),"",#REF!)</f>
        <v>#REF!</v>
      </c>
      <c r="DR13" s="7" t="e">
        <f>IF(OR(#REF!&gt;2,#REF!&lt;-2),"",#REF!)</f>
        <v>#REF!</v>
      </c>
      <c r="DS13" s="7" t="e">
        <f>IF(OR(#REF!&gt;2,#REF!&lt;-2),"",#REF!)</f>
        <v>#REF!</v>
      </c>
      <c r="DT13" s="7" t="e">
        <f>IF(OR(#REF!&gt;2,#REF!&lt;-2),"",#REF!)</f>
        <v>#REF!</v>
      </c>
      <c r="DU13" s="7" t="e">
        <f>IF(OR(#REF!&gt;2,#REF!&lt;-2),"",#REF!)</f>
        <v>#REF!</v>
      </c>
      <c r="DV13" s="7" t="e">
        <f>IF(OR(#REF!&gt;2,#REF!&lt;-2),"",#REF!)</f>
        <v>#REF!</v>
      </c>
      <c r="DW13" s="7" t="e">
        <f>IF(OR(#REF!&gt;2,#REF!&lt;-2),"",#REF!)</f>
        <v>#REF!</v>
      </c>
      <c r="DX13" s="7" t="e">
        <f>IF(OR(#REF!&gt;2,#REF!&lt;-2),"",#REF!)</f>
        <v>#REF!</v>
      </c>
      <c r="DY13" s="7" t="e">
        <f>IF(OR(#REF!&gt;2,#REF!&lt;-2),"",#REF!)</f>
        <v>#REF!</v>
      </c>
      <c r="DZ13" s="7" t="e">
        <f>IF(OR(#REF!&gt;2,#REF!&lt;-2),"",#REF!)</f>
        <v>#REF!</v>
      </c>
      <c r="EA13" s="7" t="e">
        <f>IF(OR(#REF!&gt;2,#REF!&lt;-2),"",#REF!)</f>
        <v>#REF!</v>
      </c>
      <c r="EB13" s="7" t="e">
        <f>IF(OR(#REF!&gt;2,#REF!&lt;-2),"",#REF!)</f>
        <v>#REF!</v>
      </c>
      <c r="EC13" s="7" t="e">
        <f>IF(OR(#REF!&gt;2,#REF!&lt;-2),"",#REF!)</f>
        <v>#REF!</v>
      </c>
      <c r="ED13" s="7" t="e">
        <f>IF(OR(#REF!&gt;2,#REF!&lt;-2),"",#REF!)</f>
        <v>#REF!</v>
      </c>
      <c r="EE13" s="7" t="e">
        <f>IF(OR(#REF!&gt;2,#REF!&lt;-2),"",#REF!)</f>
        <v>#REF!</v>
      </c>
      <c r="EF13" s="7" t="e">
        <f>IF(OR(#REF!&gt;2,#REF!&lt;-2),"",#REF!)</f>
        <v>#REF!</v>
      </c>
      <c r="EG13" s="7" t="e">
        <f>IF(OR(#REF!&gt;2,#REF!&lt;-2),"",#REF!)</f>
        <v>#REF!</v>
      </c>
      <c r="EH13" s="7" t="e">
        <f>IF(OR(#REF!&gt;2,#REF!&lt;-2),"",#REF!)</f>
        <v>#REF!</v>
      </c>
      <c r="EI13" s="7" t="e">
        <f>IF(OR(#REF!&gt;2,#REF!&lt;-2),"",#REF!)</f>
        <v>#REF!</v>
      </c>
      <c r="EJ13" s="7" t="e">
        <f>IF(OR(#REF!&gt;2,#REF!&lt;-2),"",#REF!)</f>
        <v>#REF!</v>
      </c>
      <c r="EK13" s="7" t="e">
        <f>IF(OR(#REF!&gt;2,#REF!&lt;-2),"",#REF!)</f>
        <v>#REF!</v>
      </c>
      <c r="EL13" s="7" t="e">
        <f>IF(OR(#REF!&gt;2,#REF!&lt;-2),"",#REF!)</f>
        <v>#REF!</v>
      </c>
      <c r="EM13" s="7" t="e">
        <f>IF(OR(#REF!&gt;2,#REF!&lt;-2),"",#REF!)</f>
        <v>#REF!</v>
      </c>
      <c r="EN13" s="7" t="e">
        <f>IF(OR(#REF!&gt;2,#REF!&lt;-2),"",#REF!)</f>
        <v>#REF!</v>
      </c>
      <c r="EO13" s="7" t="e">
        <f>IF(OR(#REF!&gt;2,#REF!&lt;-2),"",#REF!)</f>
        <v>#REF!</v>
      </c>
      <c r="EP13" s="7" t="e">
        <f>IF(OR(#REF!&gt;2,#REF!&lt;-2),"",#REF!)</f>
        <v>#REF!</v>
      </c>
      <c r="EQ13" s="7" t="e">
        <f>IF(OR(#REF!&gt;2,#REF!&lt;-2),"",#REF!)</f>
        <v>#REF!</v>
      </c>
      <c r="ER13" s="7" t="e">
        <f>IF(OR(#REF!&gt;2,#REF!&lt;-2),"",#REF!)</f>
        <v>#REF!</v>
      </c>
      <c r="ES13" s="7" t="e">
        <f>IF(OR(#REF!&gt;2,#REF!&lt;-2),"",#REF!)</f>
        <v>#REF!</v>
      </c>
      <c r="ET13" s="7" t="e">
        <f>IF(OR(#REF!&gt;2,#REF!&lt;-2),"",#REF!)</f>
        <v>#REF!</v>
      </c>
      <c r="EU13" s="7" t="e">
        <f>IF(OR(#REF!&gt;2,#REF!&lt;-2),"",#REF!)</f>
        <v>#REF!</v>
      </c>
      <c r="EV13" s="7" t="e">
        <f>IF(OR(#REF!&gt;2,#REF!&lt;-2),"",#REF!)</f>
        <v>#REF!</v>
      </c>
      <c r="EW13" s="7" t="e">
        <f>IF(OR(#REF!&gt;2,#REF!&lt;-2),"",#REF!)</f>
        <v>#REF!</v>
      </c>
      <c r="EX13" s="7" t="e">
        <f>IF(OR(#REF!&gt;2,#REF!&lt;-2),"",#REF!)</f>
        <v>#REF!</v>
      </c>
      <c r="EY13" s="7" t="e">
        <f>IF(OR(#REF!&gt;2,#REF!&lt;-2),"",#REF!)</f>
        <v>#REF!</v>
      </c>
      <c r="EZ13" s="7" t="e">
        <f>IF(OR(#REF!&gt;2,#REF!&lt;-2),"",#REF!)</f>
        <v>#REF!</v>
      </c>
      <c r="FA13" s="7" t="e">
        <f>IF(OR(#REF!&gt;2,#REF!&lt;-2),"",#REF!)</f>
        <v>#REF!</v>
      </c>
      <c r="FB13" s="7" t="e">
        <f>IF(OR(#REF!&gt;2,#REF!&lt;-2),"",#REF!)</f>
        <v>#REF!</v>
      </c>
      <c r="FC13" s="7" t="e">
        <f>IF(OR(#REF!&gt;2,#REF!&lt;-2),"",#REF!)</f>
        <v>#REF!</v>
      </c>
      <c r="FD13" s="7" t="e">
        <f>IF(OR(#REF!&gt;2,#REF!&lt;-2),"",#REF!)</f>
        <v>#REF!</v>
      </c>
      <c r="FE13" s="7" t="e">
        <f>IF(OR(#REF!&gt;2,#REF!&lt;-2),"",#REF!)</f>
        <v>#REF!</v>
      </c>
      <c r="FF13" s="7" t="e">
        <f>IF(OR(#REF!&gt;2,#REF!&lt;-2),"",#REF!)</f>
        <v>#REF!</v>
      </c>
      <c r="FG13" s="7" t="e">
        <f>IF(OR(#REF!&gt;2,#REF!&lt;-2),"",#REF!)</f>
        <v>#REF!</v>
      </c>
      <c r="FH13" s="7" t="e">
        <f>IF(OR(#REF!&gt;2,#REF!&lt;-2),"",#REF!)</f>
        <v>#REF!</v>
      </c>
      <c r="FI13" s="7" t="e">
        <f>IF(OR(#REF!&gt;2,#REF!&lt;-2),"",#REF!)</f>
        <v>#REF!</v>
      </c>
      <c r="FJ13" s="7" t="e">
        <f>IF(OR(#REF!&gt;2,#REF!&lt;-2),"",#REF!)</f>
        <v>#REF!</v>
      </c>
      <c r="FK13" s="7" t="e">
        <f>IF(OR(#REF!&gt;2,#REF!&lt;-2),"",#REF!)</f>
        <v>#REF!</v>
      </c>
      <c r="FL13" s="7" t="e">
        <f>IF(OR(#REF!&gt;2,#REF!&lt;-2),"",#REF!)</f>
        <v>#REF!</v>
      </c>
      <c r="FM13" s="7" t="e">
        <f>IF(OR(#REF!&gt;2,#REF!&lt;-2),"",#REF!)</f>
        <v>#REF!</v>
      </c>
      <c r="FN13" s="7" t="e">
        <f>IF(OR(#REF!&gt;2,#REF!&lt;-2),"",#REF!)</f>
        <v>#REF!</v>
      </c>
      <c r="FO13" s="7" t="e">
        <f>IF(OR(#REF!&gt;2,#REF!&lt;-2),"",#REF!)</f>
        <v>#REF!</v>
      </c>
      <c r="FP13" s="7" t="e">
        <f>IF(OR(#REF!&gt;2,#REF!&lt;-2),"",#REF!)</f>
        <v>#REF!</v>
      </c>
      <c r="FQ13" s="7" t="e">
        <f>IF(OR(#REF!&gt;2,#REF!&lt;-2),"",#REF!)</f>
        <v>#REF!</v>
      </c>
      <c r="FR13" s="7" t="e">
        <f>IF(OR(#REF!&gt;2,#REF!&lt;-2),"",#REF!)</f>
        <v>#REF!</v>
      </c>
      <c r="FS13" s="7" t="e">
        <f>IF(OR(#REF!&gt;2,#REF!&lt;-2),"",#REF!)</f>
        <v>#REF!</v>
      </c>
      <c r="FT13" s="7" t="e">
        <f>IF(OR(#REF!&gt;2,#REF!&lt;-2),"",#REF!)</f>
        <v>#REF!</v>
      </c>
      <c r="FU13" s="7" t="e">
        <f>IF(OR(#REF!&gt;2,#REF!&lt;-2),"",#REF!)</f>
        <v>#REF!</v>
      </c>
      <c r="FV13" s="7" t="e">
        <f>IF(OR(#REF!&gt;2,#REF!&lt;-2),"",#REF!)</f>
        <v>#REF!</v>
      </c>
      <c r="FW13" s="7" t="e">
        <f>IF(OR(#REF!&gt;2,#REF!&lt;-2),"",#REF!)</f>
        <v>#REF!</v>
      </c>
      <c r="FX13" s="7" t="e">
        <f>IF(OR(#REF!&gt;2,#REF!&lt;-2),"",#REF!)</f>
        <v>#REF!</v>
      </c>
      <c r="FY13" s="7" t="e">
        <f>IF(OR(#REF!&gt;2,#REF!&lt;-2),"",#REF!)</f>
        <v>#REF!</v>
      </c>
      <c r="FZ13" s="7" t="e">
        <f>IF(OR(#REF!&gt;2,#REF!&lt;-2),"",#REF!)</f>
        <v>#REF!</v>
      </c>
      <c r="GA13" s="7" t="e">
        <f>IF(OR(#REF!&gt;2,#REF!&lt;-2),"",#REF!)</f>
        <v>#REF!</v>
      </c>
      <c r="GB13" s="7" t="e">
        <f>IF(OR(#REF!&gt;2,#REF!&lt;-2),"",#REF!)</f>
        <v>#REF!</v>
      </c>
      <c r="GC13" s="7" t="e">
        <f>IF(OR(#REF!&gt;2,#REF!&lt;-2),"",#REF!)</f>
        <v>#REF!</v>
      </c>
      <c r="GD13" s="7" t="e">
        <f>IF(OR(#REF!&gt;2,#REF!&lt;-2),"",#REF!)</f>
        <v>#REF!</v>
      </c>
      <c r="GE13" s="7" t="e">
        <f>IF(OR(#REF!&gt;2,#REF!&lt;-2),"",#REF!)</f>
        <v>#REF!</v>
      </c>
      <c r="GF13" s="7" t="e">
        <f>IF(OR(#REF!&gt;2,#REF!&lt;-2),"",#REF!)</f>
        <v>#REF!</v>
      </c>
      <c r="GG13" s="7" t="e">
        <f>IF(OR(#REF!&gt;2,#REF!&lt;-2),"",#REF!)</f>
        <v>#REF!</v>
      </c>
      <c r="GH13" s="7" t="e">
        <f>IF(OR(#REF!&gt;2,#REF!&lt;-2),"",#REF!)</f>
        <v>#REF!</v>
      </c>
      <c r="GI13" s="7" t="e">
        <f>IF(OR(#REF!&gt;2,#REF!&lt;-2),"",#REF!)</f>
        <v>#REF!</v>
      </c>
      <c r="GJ13" s="7" t="e">
        <f>IF(OR(#REF!&gt;2,#REF!&lt;-2),"",#REF!)</f>
        <v>#REF!</v>
      </c>
      <c r="GK13" s="7" t="e">
        <f>IF(OR(#REF!&gt;2,#REF!&lt;-2),"",#REF!)</f>
        <v>#REF!</v>
      </c>
      <c r="GL13" s="7" t="e">
        <f>IF(OR(#REF!&gt;2,#REF!&lt;-2),"",#REF!)</f>
        <v>#REF!</v>
      </c>
      <c r="GM13" s="7" t="e">
        <f>IF(OR(#REF!&gt;2,#REF!&lt;-2),"",#REF!)</f>
        <v>#REF!</v>
      </c>
      <c r="GN13" s="7" t="e">
        <f>IF(OR(#REF!&gt;2,#REF!&lt;-2),"",#REF!)</f>
        <v>#REF!</v>
      </c>
      <c r="GO13" s="7" t="e">
        <f>IF(OR(#REF!&gt;2,#REF!&lt;-2),"",#REF!)</f>
        <v>#REF!</v>
      </c>
      <c r="GP13" s="7" t="e">
        <f>IF(OR(#REF!&gt;2,#REF!&lt;-2),"",#REF!)</f>
        <v>#REF!</v>
      </c>
      <c r="GQ13" s="7" t="e">
        <f>IF(OR(#REF!&gt;2,#REF!&lt;-2),"",#REF!)</f>
        <v>#REF!</v>
      </c>
      <c r="GR13" s="7" t="e">
        <f>IF(OR(#REF!&gt;2,#REF!&lt;-2),"",#REF!)</f>
        <v>#REF!</v>
      </c>
      <c r="GS13" s="7" t="e">
        <f>IF(OR(#REF!&gt;2,#REF!&lt;-2),"",#REF!)</f>
        <v>#REF!</v>
      </c>
      <c r="GT13" s="7" t="e">
        <f>IF(OR(#REF!&gt;2,#REF!&lt;-2),"",#REF!)</f>
        <v>#REF!</v>
      </c>
      <c r="GU13" s="7" t="e">
        <f>IF(OR(#REF!&gt;2,#REF!&lt;-2),"",#REF!)</f>
        <v>#REF!</v>
      </c>
      <c r="GV13" s="7" t="e">
        <f>IF(OR(#REF!&gt;2,#REF!&lt;-2),"",#REF!)</f>
        <v>#REF!</v>
      </c>
      <c r="GW13" s="7" t="e">
        <f>IF(OR(#REF!&gt;2,#REF!&lt;-2),"",#REF!)</f>
        <v>#REF!</v>
      </c>
      <c r="GX13" s="7" t="e">
        <f>IF(OR(#REF!&gt;2,#REF!&lt;-2),"",#REF!)</f>
        <v>#REF!</v>
      </c>
      <c r="GY13" s="7" t="e">
        <f>IF(OR(#REF!&gt;2,#REF!&lt;-2),"",#REF!)</f>
        <v>#REF!</v>
      </c>
      <c r="GZ13" s="7" t="e">
        <f>IF(OR(#REF!&gt;2,#REF!&lt;-2),"",#REF!)</f>
        <v>#REF!</v>
      </c>
      <c r="HA13" s="7" t="e">
        <f>IF(OR(#REF!&gt;2,#REF!&lt;-2),"",#REF!)</f>
        <v>#REF!</v>
      </c>
      <c r="HB13" s="7" t="e">
        <f>IF(OR(#REF!&gt;2,#REF!&lt;-2),"",#REF!)</f>
        <v>#REF!</v>
      </c>
      <c r="HC13" s="7" t="e">
        <f>IF(OR(#REF!&gt;2,#REF!&lt;-2),"",#REF!)</f>
        <v>#REF!</v>
      </c>
      <c r="HD13" s="7" t="e">
        <f>IF(OR(#REF!&gt;2,#REF!&lt;-2),"",#REF!)</f>
        <v>#REF!</v>
      </c>
      <c r="HE13" s="7" t="e">
        <f>IF(OR(#REF!&gt;2,#REF!&lt;-2),"",#REF!)</f>
        <v>#REF!</v>
      </c>
      <c r="HF13" s="7" t="e">
        <f>IF(OR(#REF!&gt;2,#REF!&lt;-2),"",#REF!)</f>
        <v>#REF!</v>
      </c>
      <c r="HG13" s="7" t="e">
        <f>IF(OR(#REF!&gt;2,#REF!&lt;-2),"",#REF!)</f>
        <v>#REF!</v>
      </c>
      <c r="HH13" s="7" t="e">
        <f>IF(OR(#REF!&gt;2,#REF!&lt;-2),"",#REF!)</f>
        <v>#REF!</v>
      </c>
      <c r="HI13" s="7" t="e">
        <f>IF(OR(#REF!&gt;2,#REF!&lt;-2),"",#REF!)</f>
        <v>#REF!</v>
      </c>
      <c r="HJ13" s="7" t="e">
        <f>IF(OR(#REF!&gt;2,#REF!&lt;-2),"",#REF!)</f>
        <v>#REF!</v>
      </c>
      <c r="HK13" s="7" t="e">
        <f>IF(OR(#REF!&gt;2,#REF!&lt;-2),"",#REF!)</f>
        <v>#REF!</v>
      </c>
      <c r="HL13" s="7" t="e">
        <f>IF(OR(#REF!&gt;2,#REF!&lt;-2),"",#REF!)</f>
        <v>#REF!</v>
      </c>
      <c r="HM13" s="7" t="e">
        <f>IF(OR(#REF!&gt;2,#REF!&lt;-2),"",#REF!)</f>
        <v>#REF!</v>
      </c>
      <c r="HN13" s="7" t="e">
        <f>IF(OR(#REF!&gt;2,#REF!&lt;-2),"",#REF!)</f>
        <v>#REF!</v>
      </c>
      <c r="HO13" s="7" t="e">
        <f>IF(OR(#REF!&gt;2,#REF!&lt;-2),"",#REF!)</f>
        <v>#REF!</v>
      </c>
      <c r="HP13" s="7" t="e">
        <f>IF(OR(#REF!&gt;2,#REF!&lt;-2),"",#REF!)</f>
        <v>#REF!</v>
      </c>
      <c r="HQ13" s="7" t="e">
        <f>IF(OR(#REF!&gt;2,#REF!&lt;-2),"",#REF!)</f>
        <v>#REF!</v>
      </c>
      <c r="HR13" s="7" t="e">
        <f>IF(OR(#REF!&gt;2,#REF!&lt;-2),"",#REF!)</f>
        <v>#REF!</v>
      </c>
      <c r="HS13" s="7" t="e">
        <f>IF(OR(#REF!&gt;2,#REF!&lt;-2),"",#REF!)</f>
        <v>#REF!</v>
      </c>
      <c r="HT13" s="7" t="e">
        <f>IF(OR(#REF!&gt;2,#REF!&lt;-2),"",#REF!)</f>
        <v>#REF!</v>
      </c>
      <c r="HU13" s="7" t="e">
        <f>IF(OR(#REF!&gt;2,#REF!&lt;-2),"",#REF!)</f>
        <v>#REF!</v>
      </c>
      <c r="HV13" s="7" t="e">
        <f>IF(OR(#REF!&gt;2,#REF!&lt;-2),"",#REF!)</f>
        <v>#REF!</v>
      </c>
      <c r="HW13" s="7" t="e">
        <f>IF(OR(#REF!&gt;2,#REF!&lt;-2),"",#REF!)</f>
        <v>#REF!</v>
      </c>
      <c r="HX13" s="7" t="e">
        <f>IF(OR(#REF!&gt;2,#REF!&lt;-2),"",#REF!)</f>
        <v>#REF!</v>
      </c>
      <c r="HY13" s="7" t="e">
        <f>IF(OR(#REF!&gt;2,#REF!&lt;-2),"",#REF!)</f>
        <v>#REF!</v>
      </c>
      <c r="HZ13" s="7" t="e">
        <f>IF(OR(#REF!&gt;2,#REF!&lt;-2),"",#REF!)</f>
        <v>#REF!</v>
      </c>
      <c r="IA13" s="7" t="e">
        <f>IF(OR(#REF!&gt;2,#REF!&lt;-2),"",#REF!)</f>
        <v>#REF!</v>
      </c>
      <c r="IB13" s="7" t="e">
        <f>IF(OR(#REF!&gt;2,#REF!&lt;-2),"",#REF!)</f>
        <v>#REF!</v>
      </c>
      <c r="IC13" s="7" t="e">
        <f>IF(OR(#REF!&gt;2,#REF!&lt;-2),"",#REF!)</f>
        <v>#REF!</v>
      </c>
      <c r="ID13" s="7" t="e">
        <f>IF(OR(#REF!&gt;2,#REF!&lt;-2),"",#REF!)</f>
        <v>#REF!</v>
      </c>
      <c r="IE13" s="7" t="e">
        <f>IF(OR(#REF!&gt;2,#REF!&lt;-2),"",#REF!)</f>
        <v>#REF!</v>
      </c>
      <c r="IF13" s="7" t="e">
        <f>IF(OR(#REF!&gt;2,#REF!&lt;-2),"",#REF!)</f>
        <v>#REF!</v>
      </c>
      <c r="IG13" s="7" t="e">
        <f>IF(OR(#REF!&gt;2,#REF!&lt;-2),"",#REF!)</f>
        <v>#REF!</v>
      </c>
      <c r="IH13" s="7" t="e">
        <f>IF(OR(#REF!&gt;2,#REF!&lt;-2),"",#REF!)</f>
        <v>#REF!</v>
      </c>
      <c r="II13" s="7" t="e">
        <f>IF(OR(#REF!&gt;2,#REF!&lt;-2),"",#REF!)</f>
        <v>#REF!</v>
      </c>
      <c r="IJ13" s="7" t="e">
        <f>IF(OR(#REF!&gt;2,#REF!&lt;-2),"",#REF!)</f>
        <v>#REF!</v>
      </c>
      <c r="IK13" s="7" t="e">
        <f>IF(OR(#REF!&gt;2,#REF!&lt;-2),"",#REF!)</f>
        <v>#REF!</v>
      </c>
      <c r="IL13" s="7" t="e">
        <f>IF(OR(#REF!&gt;2,#REF!&lt;-2),"",#REF!)</f>
        <v>#REF!</v>
      </c>
      <c r="IM13" s="7" t="e">
        <f>IF(OR(#REF!&gt;2,#REF!&lt;-2),"",#REF!)</f>
        <v>#REF!</v>
      </c>
      <c r="IN13" s="7" t="e">
        <f>IF(OR(#REF!&gt;2,#REF!&lt;-2),"",#REF!)</f>
        <v>#REF!</v>
      </c>
      <c r="IO13" s="7" t="e">
        <f>IF(OR(#REF!&gt;2,#REF!&lt;-2),"",#REF!)</f>
        <v>#REF!</v>
      </c>
      <c r="IP13" s="7" t="e">
        <f>IF(OR(#REF!&gt;2,#REF!&lt;-2),"",#REF!)</f>
        <v>#REF!</v>
      </c>
      <c r="IQ13" s="7" t="e">
        <f>IF(OR(#REF!&gt;2,#REF!&lt;-2),"",#REF!)</f>
        <v>#REF!</v>
      </c>
      <c r="IR13" s="7" t="e">
        <f>IF(OR(#REF!&gt;2,#REF!&lt;-2),"",#REF!)</f>
        <v>#REF!</v>
      </c>
      <c r="IS13" s="7" t="e">
        <f>IF(OR(#REF!&gt;2,#REF!&lt;-2),"",#REF!)</f>
        <v>#REF!</v>
      </c>
      <c r="IT13" s="7" t="e">
        <f>IF(OR(#REF!&gt;2,#REF!&lt;-2),"",#REF!)</f>
        <v>#REF!</v>
      </c>
      <c r="IU13" s="7" t="e">
        <f>IF(OR(#REF!&gt;2,#REF!&lt;-2),"",#REF!)</f>
        <v>#REF!</v>
      </c>
      <c r="IV13" s="7" t="e">
        <f>IF(OR(#REF!&gt;2,#REF!&lt;-2),"",#REF!)</f>
        <v>#REF!</v>
      </c>
      <c r="IW13" s="7" t="e">
        <f>IF(OR(#REF!&gt;2,#REF!&lt;-2),"",#REF!)</f>
        <v>#REF!</v>
      </c>
      <c r="IX13" s="7" t="e">
        <f>IF(OR(#REF!&gt;2,#REF!&lt;-2),"",#REF!)</f>
        <v>#REF!</v>
      </c>
      <c r="IY13" s="7" t="e">
        <f>IF(OR(#REF!&gt;2,#REF!&lt;-2),"",#REF!)</f>
        <v>#REF!</v>
      </c>
      <c r="IZ13" s="7" t="e">
        <f>IF(OR(#REF!&gt;2,#REF!&lt;-2),"",#REF!)</f>
        <v>#REF!</v>
      </c>
      <c r="JA13" s="7" t="e">
        <f>IF(OR(#REF!&gt;2,#REF!&lt;-2),"",#REF!)</f>
        <v>#REF!</v>
      </c>
      <c r="JB13" s="7" t="e">
        <f>IF(OR(#REF!&gt;2,#REF!&lt;-2),"",#REF!)</f>
        <v>#REF!</v>
      </c>
      <c r="JC13" s="7" t="e">
        <f>IF(OR(#REF!&gt;2,#REF!&lt;-2),"",#REF!)</f>
        <v>#REF!</v>
      </c>
      <c r="JD13" s="7" t="e">
        <f>IF(OR(#REF!&gt;2,#REF!&lt;-2),"",#REF!)</f>
        <v>#REF!</v>
      </c>
      <c r="JE13" s="7" t="e">
        <f>IF(OR(#REF!&gt;2,#REF!&lt;-2),"",#REF!)</f>
        <v>#REF!</v>
      </c>
      <c r="JF13" s="7" t="e">
        <f>IF(OR(#REF!&gt;2,#REF!&lt;-2),"",#REF!)</f>
        <v>#REF!</v>
      </c>
      <c r="JG13" s="7" t="e">
        <f>IF(OR(#REF!&gt;2,#REF!&lt;-2),"",#REF!)</f>
        <v>#REF!</v>
      </c>
      <c r="JH13" s="7" t="e">
        <f>IF(OR(#REF!&gt;2,#REF!&lt;-2),"",#REF!)</f>
        <v>#REF!</v>
      </c>
      <c r="JI13" s="7" t="e">
        <f>IF(OR(#REF!&gt;2,#REF!&lt;-2),"",#REF!)</f>
        <v>#REF!</v>
      </c>
      <c r="JJ13" s="7" t="e">
        <f>IF(OR(#REF!&gt;2,#REF!&lt;-2),"",#REF!)</f>
        <v>#REF!</v>
      </c>
      <c r="JK13" s="7" t="e">
        <f>IF(OR(#REF!&gt;2,#REF!&lt;-2),"",#REF!)</f>
        <v>#REF!</v>
      </c>
      <c r="JL13" s="7" t="e">
        <f>IF(OR(#REF!&gt;2,#REF!&lt;-2),"",#REF!)</f>
        <v>#REF!</v>
      </c>
      <c r="JM13" s="7" t="e">
        <f>IF(OR(#REF!&gt;2,#REF!&lt;-2),"",#REF!)</f>
        <v>#REF!</v>
      </c>
      <c r="JN13" s="7" t="e">
        <f>IF(OR(#REF!&gt;2,#REF!&lt;-2),"",#REF!)</f>
        <v>#REF!</v>
      </c>
      <c r="JO13" s="7" t="e">
        <f>IF(OR(#REF!&gt;2,#REF!&lt;-2),"",#REF!)</f>
        <v>#REF!</v>
      </c>
      <c r="JP13" s="7" t="e">
        <f>IF(OR(#REF!&gt;2,#REF!&lt;-2),"",#REF!)</f>
        <v>#REF!</v>
      </c>
      <c r="JQ13" s="7" t="e">
        <f>IF(OR(#REF!&gt;2,#REF!&lt;-2),"",#REF!)</f>
        <v>#REF!</v>
      </c>
      <c r="JR13" s="7" t="e">
        <f>IF(OR(#REF!&gt;2,#REF!&lt;-2),"",#REF!)</f>
        <v>#REF!</v>
      </c>
      <c r="JS13" s="7" t="e">
        <f>IF(OR(#REF!&gt;2,#REF!&lt;-2),"",#REF!)</f>
        <v>#REF!</v>
      </c>
      <c r="JT13" s="7" t="e">
        <f>IF(OR(#REF!&gt;2,#REF!&lt;-2),"",#REF!)</f>
        <v>#REF!</v>
      </c>
      <c r="JU13" s="7" t="e">
        <f>IF(OR(#REF!&gt;2,#REF!&lt;-2),"",#REF!)</f>
        <v>#REF!</v>
      </c>
      <c r="JV13" s="7" t="e">
        <f>IF(OR(#REF!&gt;2,#REF!&lt;-2),"",#REF!)</f>
        <v>#REF!</v>
      </c>
      <c r="JW13" s="7" t="e">
        <f>IF(OR(#REF!&gt;2,#REF!&lt;-2),"",#REF!)</f>
        <v>#REF!</v>
      </c>
      <c r="JX13" s="7" t="e">
        <f>IF(OR(#REF!&gt;2,#REF!&lt;-2),"",#REF!)</f>
        <v>#REF!</v>
      </c>
      <c r="JY13" s="7" t="e">
        <f>IF(OR(#REF!&gt;2,#REF!&lt;-2),"",#REF!)</f>
        <v>#REF!</v>
      </c>
      <c r="JZ13" s="7" t="e">
        <f>IF(OR(#REF!&gt;2,#REF!&lt;-2),"",#REF!)</f>
        <v>#REF!</v>
      </c>
      <c r="KA13" s="7" t="e">
        <f>IF(OR(#REF!&gt;2,#REF!&lt;-2),"",#REF!)</f>
        <v>#REF!</v>
      </c>
      <c r="KB13" s="7" t="e">
        <f>IF(OR(#REF!&gt;2,#REF!&lt;-2),"",#REF!)</f>
        <v>#REF!</v>
      </c>
      <c r="KC13" s="7" t="e">
        <f>IF(OR(#REF!&gt;2,#REF!&lt;-2),"",#REF!)</f>
        <v>#REF!</v>
      </c>
      <c r="KD13" s="7" t="e">
        <f>IF(OR(#REF!&gt;2,#REF!&lt;-2),"",#REF!)</f>
        <v>#REF!</v>
      </c>
      <c r="KE13" s="7" t="e">
        <f>IF(OR(#REF!&gt;2,#REF!&lt;-2),"",#REF!)</f>
        <v>#REF!</v>
      </c>
      <c r="KF13" s="7" t="e">
        <f>IF(OR(#REF!&gt;2,#REF!&lt;-2),"",#REF!)</f>
        <v>#REF!</v>
      </c>
      <c r="KG13" s="7" t="e">
        <f>IF(OR(#REF!&gt;2,#REF!&lt;-2),"",#REF!)</f>
        <v>#REF!</v>
      </c>
      <c r="KH13" s="7" t="e">
        <f>IF(OR(#REF!&gt;2,#REF!&lt;-2),"",#REF!)</f>
        <v>#REF!</v>
      </c>
      <c r="KI13" s="7" t="e">
        <f>IF(OR(#REF!&gt;2,#REF!&lt;-2),"",#REF!)</f>
        <v>#REF!</v>
      </c>
      <c r="KJ13" s="7" t="e">
        <f>IF(OR(#REF!&gt;2,#REF!&lt;-2),"",#REF!)</f>
        <v>#REF!</v>
      </c>
      <c r="KK13" s="7" t="e">
        <f>IF(OR(#REF!&gt;2,#REF!&lt;-2),"",#REF!)</f>
        <v>#REF!</v>
      </c>
      <c r="KL13" s="7" t="e">
        <f>IF(OR(#REF!&gt;2,#REF!&lt;-2),"",#REF!)</f>
        <v>#REF!</v>
      </c>
      <c r="KM13" s="7" t="e">
        <f>IF(OR(#REF!&gt;2,#REF!&lt;-2),"",#REF!)</f>
        <v>#REF!</v>
      </c>
      <c r="KN13" s="7" t="e">
        <f>IF(OR(#REF!&gt;2,#REF!&lt;-2),"",#REF!)</f>
        <v>#REF!</v>
      </c>
      <c r="KO13" s="7" t="e">
        <f>IF(OR(#REF!&gt;2,#REF!&lt;-2),"",#REF!)</f>
        <v>#REF!</v>
      </c>
      <c r="KP13" s="7" t="e">
        <f>IF(OR(#REF!&gt;2,#REF!&lt;-2),"",#REF!)</f>
        <v>#REF!</v>
      </c>
      <c r="KQ13" s="7" t="e">
        <f>IF(OR(#REF!&gt;2,#REF!&lt;-2),"",#REF!)</f>
        <v>#REF!</v>
      </c>
      <c r="KR13" s="7" t="e">
        <f>IF(OR(#REF!&gt;2,#REF!&lt;-2),"",#REF!)</f>
        <v>#REF!</v>
      </c>
      <c r="KS13" s="7" t="e">
        <f>IF(OR(#REF!&gt;2,#REF!&lt;-2),"",#REF!)</f>
        <v>#REF!</v>
      </c>
      <c r="KT13" s="7" t="e">
        <f>IF(OR(#REF!&gt;2,#REF!&lt;-2),"",#REF!)</f>
        <v>#REF!</v>
      </c>
      <c r="KU13" s="7" t="e">
        <f>IF(OR(#REF!&gt;2,#REF!&lt;-2),"",#REF!)</f>
        <v>#REF!</v>
      </c>
      <c r="KV13" s="7" t="e">
        <f>IF(OR(#REF!&gt;2,#REF!&lt;-2),"",#REF!)</f>
        <v>#REF!</v>
      </c>
      <c r="KW13" s="7" t="e">
        <f>IF(OR(#REF!&gt;2,#REF!&lt;-2),"",#REF!)</f>
        <v>#REF!</v>
      </c>
      <c r="KX13" s="7" t="e">
        <f>IF(OR(#REF!&gt;2,#REF!&lt;-2),"",#REF!)</f>
        <v>#REF!</v>
      </c>
      <c r="KY13" s="7" t="e">
        <f>IF(OR(#REF!&gt;2,#REF!&lt;-2),"",#REF!)</f>
        <v>#REF!</v>
      </c>
      <c r="KZ13" s="7" t="e">
        <f>IF(OR(#REF!&gt;2,#REF!&lt;-2),"",#REF!)</f>
        <v>#REF!</v>
      </c>
      <c r="LA13" s="7" t="e">
        <f>IF(OR(#REF!&gt;2,#REF!&lt;-2),"",#REF!)</f>
        <v>#REF!</v>
      </c>
      <c r="LB13" s="7" t="e">
        <f>IF(OR(#REF!&gt;2,#REF!&lt;-2),"",#REF!)</f>
        <v>#REF!</v>
      </c>
      <c r="LC13" s="7" t="e">
        <f>IF(OR(#REF!&gt;2,#REF!&lt;-2),"",#REF!)</f>
        <v>#REF!</v>
      </c>
      <c r="LD13" s="7" t="e">
        <f>IF(OR(#REF!&gt;2,#REF!&lt;-2),"",#REF!)</f>
        <v>#REF!</v>
      </c>
      <c r="LE13" s="7" t="e">
        <f>IF(OR(#REF!&gt;2,#REF!&lt;-2),"",#REF!)</f>
        <v>#REF!</v>
      </c>
      <c r="LF13" s="7" t="e">
        <f>IF(OR(#REF!&gt;2,#REF!&lt;-2),"",#REF!)</f>
        <v>#REF!</v>
      </c>
      <c r="LG13" s="7" t="e">
        <f>IF(OR(#REF!&gt;2,#REF!&lt;-2),"",#REF!)</f>
        <v>#REF!</v>
      </c>
      <c r="LH13" s="7" t="e">
        <f>IF(OR(#REF!&gt;2,#REF!&lt;-2),"",#REF!)</f>
        <v>#REF!</v>
      </c>
      <c r="LI13" s="7" t="e">
        <f>IF(OR(#REF!&gt;2,#REF!&lt;-2),"",#REF!)</f>
        <v>#REF!</v>
      </c>
      <c r="LJ13" s="7" t="e">
        <f>IF(OR(#REF!&gt;2,#REF!&lt;-2),"",#REF!)</f>
        <v>#REF!</v>
      </c>
      <c r="LK13" s="7" t="e">
        <f>IF(OR(#REF!&gt;2,#REF!&lt;-2),"",#REF!)</f>
        <v>#REF!</v>
      </c>
      <c r="LL13" s="7" t="e">
        <f>IF(OR(#REF!&gt;2,#REF!&lt;-2),"",#REF!)</f>
        <v>#REF!</v>
      </c>
      <c r="LM13" s="7" t="e">
        <f>IF(OR(#REF!&gt;2,#REF!&lt;-2),"",#REF!)</f>
        <v>#REF!</v>
      </c>
      <c r="LN13" s="7" t="e">
        <f>IF(OR(#REF!&gt;2,#REF!&lt;-2),"",#REF!)</f>
        <v>#REF!</v>
      </c>
      <c r="LO13" s="7" t="e">
        <f>IF(OR(#REF!&gt;2,#REF!&lt;-2),"",#REF!)</f>
        <v>#REF!</v>
      </c>
      <c r="LP13" s="7" t="e">
        <f>IF(OR(#REF!&gt;2,#REF!&lt;-2),"",#REF!)</f>
        <v>#REF!</v>
      </c>
      <c r="LQ13" s="7" t="e">
        <f>IF(OR(#REF!&gt;2,#REF!&lt;-2),"",#REF!)</f>
        <v>#REF!</v>
      </c>
      <c r="LR13" s="7" t="e">
        <f>IF(OR(#REF!&gt;2,#REF!&lt;-2),"",#REF!)</f>
        <v>#REF!</v>
      </c>
      <c r="LS13" s="7" t="e">
        <f>IF(OR(#REF!&gt;2,#REF!&lt;-2),"",#REF!)</f>
        <v>#REF!</v>
      </c>
      <c r="LT13" s="7" t="e">
        <f>IF(OR(#REF!&gt;2,#REF!&lt;-2),"",#REF!)</f>
        <v>#REF!</v>
      </c>
      <c r="LU13" s="7" t="e">
        <f>IF(OR(#REF!&gt;2,#REF!&lt;-2),"",#REF!)</f>
        <v>#REF!</v>
      </c>
      <c r="LV13" s="7" t="e">
        <f>IF(OR(#REF!&gt;2,#REF!&lt;-2),"",#REF!)</f>
        <v>#REF!</v>
      </c>
      <c r="LW13" s="7" t="e">
        <f>IF(OR(#REF!&gt;2,#REF!&lt;-2),"",#REF!)</f>
        <v>#REF!</v>
      </c>
      <c r="LX13" s="7" t="e">
        <f>IF(OR(#REF!&gt;2,#REF!&lt;-2),"",#REF!)</f>
        <v>#REF!</v>
      </c>
      <c r="LY13" s="7" t="e">
        <f>IF(OR(#REF!&gt;2,#REF!&lt;-2),"",#REF!)</f>
        <v>#REF!</v>
      </c>
      <c r="LZ13" s="7" t="e">
        <f>IF(OR(#REF!&gt;2,#REF!&lt;-2),"",#REF!)</f>
        <v>#REF!</v>
      </c>
      <c r="MA13" s="7" t="e">
        <f>IF(OR(#REF!&gt;2,#REF!&lt;-2),"",#REF!)</f>
        <v>#REF!</v>
      </c>
      <c r="MB13" s="7" t="e">
        <f>IF(OR(#REF!&gt;2,#REF!&lt;-2),"",#REF!)</f>
        <v>#REF!</v>
      </c>
      <c r="MC13" s="7" t="e">
        <f>IF(OR(#REF!&gt;2,#REF!&lt;-2),"",#REF!)</f>
        <v>#REF!</v>
      </c>
      <c r="MD13" s="7" t="e">
        <f>IF(OR(#REF!&gt;2,#REF!&lt;-2),"",#REF!)</f>
        <v>#REF!</v>
      </c>
      <c r="ME13" s="7" t="e">
        <f>IF(OR(#REF!&gt;2,#REF!&lt;-2),"",#REF!)</f>
        <v>#REF!</v>
      </c>
      <c r="MF13" s="7" t="e">
        <f>IF(OR(#REF!&gt;2,#REF!&lt;-2),"",#REF!)</f>
        <v>#REF!</v>
      </c>
      <c r="MG13" s="7" t="e">
        <f>IF(OR(#REF!&gt;2,#REF!&lt;-2),"",#REF!)</f>
        <v>#REF!</v>
      </c>
      <c r="MH13" s="7" t="e">
        <f>IF(OR(#REF!&gt;2,#REF!&lt;-2),"",#REF!)</f>
        <v>#REF!</v>
      </c>
      <c r="MI13" s="7" t="e">
        <f>IF(OR(#REF!&gt;2,#REF!&lt;-2),"",#REF!)</f>
        <v>#REF!</v>
      </c>
      <c r="MJ13" s="7" t="e">
        <f>IF(OR(#REF!&gt;2,#REF!&lt;-2),"",#REF!)</f>
        <v>#REF!</v>
      </c>
      <c r="MK13" s="7" t="e">
        <f>IF(OR(#REF!&gt;2,#REF!&lt;-2),"",#REF!)</f>
        <v>#REF!</v>
      </c>
      <c r="ML13" s="7" t="e">
        <f>IF(OR(#REF!&gt;2,#REF!&lt;-2),"",#REF!)</f>
        <v>#REF!</v>
      </c>
      <c r="MM13" s="7" t="e">
        <f>IF(OR(#REF!&gt;2,#REF!&lt;-2),"",#REF!)</f>
        <v>#REF!</v>
      </c>
      <c r="MN13" s="7" t="e">
        <f>IF(OR(#REF!&gt;2,#REF!&lt;-2),"",#REF!)</f>
        <v>#REF!</v>
      </c>
      <c r="MO13" s="7" t="e">
        <f>IF(OR(#REF!&gt;2,#REF!&lt;-2),"",#REF!)</f>
        <v>#REF!</v>
      </c>
      <c r="MP13" s="7" t="e">
        <f>IF(OR(#REF!&gt;2,#REF!&lt;-2),"",#REF!)</f>
        <v>#REF!</v>
      </c>
      <c r="MQ13" s="7" t="e">
        <f>IF(OR(#REF!&gt;2,#REF!&lt;-2),"",#REF!)</f>
        <v>#REF!</v>
      </c>
      <c r="MR13" s="7" t="e">
        <f>IF(OR(#REF!&gt;2,#REF!&lt;-2),"",#REF!)</f>
        <v>#REF!</v>
      </c>
      <c r="MS13" s="7" t="e">
        <f>IF(OR(#REF!&gt;2,#REF!&lt;-2),"",#REF!)</f>
        <v>#REF!</v>
      </c>
      <c r="MT13" s="7" t="e">
        <f>IF(OR(#REF!&gt;2,#REF!&lt;-2),"",#REF!)</f>
        <v>#REF!</v>
      </c>
      <c r="MU13" s="7" t="e">
        <f>IF(OR(#REF!&gt;2,#REF!&lt;-2),"",#REF!)</f>
        <v>#REF!</v>
      </c>
      <c r="MV13" s="7" t="e">
        <f>IF(OR(#REF!&gt;2,#REF!&lt;-2),"",#REF!)</f>
        <v>#REF!</v>
      </c>
      <c r="MW13" s="7" t="e">
        <f>IF(OR(#REF!&gt;2,#REF!&lt;-2),"",#REF!)</f>
        <v>#REF!</v>
      </c>
      <c r="MX13" s="7" t="e">
        <f>IF(OR(#REF!&gt;2,#REF!&lt;-2),"",#REF!)</f>
        <v>#REF!</v>
      </c>
      <c r="MY13" s="7" t="e">
        <f>IF(OR(#REF!&gt;2,#REF!&lt;-2),"",#REF!)</f>
        <v>#REF!</v>
      </c>
      <c r="MZ13" s="7" t="e">
        <f>IF(OR(#REF!&gt;2,#REF!&lt;-2),"",#REF!)</f>
        <v>#REF!</v>
      </c>
      <c r="NA13" s="7" t="e">
        <f>IF(OR(#REF!&gt;2,#REF!&lt;-2),"",#REF!)</f>
        <v>#REF!</v>
      </c>
      <c r="NB13" s="7" t="e">
        <f>IF(OR(#REF!&gt;2,#REF!&lt;-2),"",#REF!)</f>
        <v>#REF!</v>
      </c>
      <c r="NC13" s="7" t="e">
        <f>IF(OR(#REF!&gt;2,#REF!&lt;-2),"",#REF!)</f>
        <v>#REF!</v>
      </c>
      <c r="ND13" s="7" t="e">
        <f>IF(OR(#REF!&gt;2,#REF!&lt;-2),"",#REF!)</f>
        <v>#REF!</v>
      </c>
      <c r="NE13" s="7" t="e">
        <f>IF(OR(#REF!&gt;2,#REF!&lt;-2),"",#REF!)</f>
        <v>#REF!</v>
      </c>
      <c r="NF13" s="7" t="e">
        <f>IF(OR(#REF!&gt;2,#REF!&lt;-2),"",#REF!)</f>
        <v>#REF!</v>
      </c>
      <c r="NG13" s="7" t="e">
        <f>IF(OR(#REF!&gt;2,#REF!&lt;-2),"",#REF!)</f>
        <v>#REF!</v>
      </c>
      <c r="NH13" s="7" t="e">
        <f>IF(OR(#REF!&gt;2,#REF!&lt;-2),"",#REF!)</f>
        <v>#REF!</v>
      </c>
      <c r="NI13" s="7" t="e">
        <f>IF(OR(#REF!&gt;2,#REF!&lt;-2),"",#REF!)</f>
        <v>#REF!</v>
      </c>
      <c r="NJ13" s="7" t="e">
        <f>IF(OR(#REF!&gt;2,#REF!&lt;-2),"",#REF!)</f>
        <v>#REF!</v>
      </c>
      <c r="NK13" s="7" t="e">
        <f>IF(OR(#REF!&gt;2,#REF!&lt;-2),"",#REF!)</f>
        <v>#REF!</v>
      </c>
      <c r="NL13" s="7" t="e">
        <f>IF(OR(#REF!&gt;2,#REF!&lt;-2),"",#REF!)</f>
        <v>#REF!</v>
      </c>
      <c r="NM13" s="7" t="e">
        <f>IF(OR(#REF!&gt;2,#REF!&lt;-2),"",#REF!)</f>
        <v>#REF!</v>
      </c>
      <c r="NN13" s="7" t="e">
        <f>IF(OR(#REF!&gt;2,#REF!&lt;-2),"",#REF!)</f>
        <v>#REF!</v>
      </c>
      <c r="NO13" s="7" t="e">
        <f>IF(OR(#REF!&gt;2,#REF!&lt;-2),"",#REF!)</f>
        <v>#REF!</v>
      </c>
      <c r="NP13" s="7" t="e">
        <f>IF(OR(#REF!&gt;2,#REF!&lt;-2),"",#REF!)</f>
        <v>#REF!</v>
      </c>
      <c r="NQ13" s="7" t="e">
        <f>IF(OR(#REF!&gt;2,#REF!&lt;-2),"",#REF!)</f>
        <v>#REF!</v>
      </c>
      <c r="NR13" s="7" t="e">
        <f>IF(OR(#REF!&gt;2,#REF!&lt;-2),"",#REF!)</f>
        <v>#REF!</v>
      </c>
      <c r="NS13" s="7" t="e">
        <f>IF(OR(#REF!&gt;2,#REF!&lt;-2),"",#REF!)</f>
        <v>#REF!</v>
      </c>
      <c r="NT13" s="7" t="e">
        <f>IF(OR(#REF!&gt;2,#REF!&lt;-2),"",#REF!)</f>
        <v>#REF!</v>
      </c>
      <c r="NU13" s="7" t="e">
        <f>IF(OR(#REF!&gt;2,#REF!&lt;-2),"",#REF!)</f>
        <v>#REF!</v>
      </c>
      <c r="NV13" s="7" t="e">
        <f>IF(OR(#REF!&gt;2,#REF!&lt;-2),"",#REF!)</f>
        <v>#REF!</v>
      </c>
      <c r="NW13" s="7" t="e">
        <f>IF(OR(#REF!&gt;2,#REF!&lt;-2),"",#REF!)</f>
        <v>#REF!</v>
      </c>
      <c r="NX13" s="7" t="e">
        <f>IF(OR(#REF!&gt;2,#REF!&lt;-2),"",#REF!)</f>
        <v>#REF!</v>
      </c>
      <c r="NY13" s="7" t="e">
        <f>IF(OR(#REF!&gt;2,#REF!&lt;-2),"",#REF!)</f>
        <v>#REF!</v>
      </c>
      <c r="NZ13" s="7" t="e">
        <f>IF(OR(#REF!&gt;2,#REF!&lt;-2),"",#REF!)</f>
        <v>#REF!</v>
      </c>
      <c r="OA13" s="7" t="e">
        <f>IF(OR(#REF!&gt;2,#REF!&lt;-2),"",#REF!)</f>
        <v>#REF!</v>
      </c>
      <c r="OB13" s="7" t="e">
        <f>IF(OR(#REF!&gt;2,#REF!&lt;-2),"",#REF!)</f>
        <v>#REF!</v>
      </c>
      <c r="OC13" s="7" t="e">
        <f>IF(OR(#REF!&gt;2,#REF!&lt;-2),"",#REF!)</f>
        <v>#REF!</v>
      </c>
      <c r="OD13" s="7" t="e">
        <f>IF(OR(#REF!&gt;2,#REF!&lt;-2),"",#REF!)</f>
        <v>#REF!</v>
      </c>
      <c r="OE13" s="7" t="e">
        <f>IF(OR(#REF!&gt;2,#REF!&lt;-2),"",#REF!)</f>
        <v>#REF!</v>
      </c>
      <c r="OF13" s="7" t="e">
        <f>IF(OR(#REF!&gt;2,#REF!&lt;-2),"",#REF!)</f>
        <v>#REF!</v>
      </c>
      <c r="OG13" s="7" t="e">
        <f>IF(OR(#REF!&gt;2,#REF!&lt;-2),"",#REF!)</f>
        <v>#REF!</v>
      </c>
      <c r="OH13" s="7" t="e">
        <f>IF(OR(#REF!&gt;2,#REF!&lt;-2),"",#REF!)</f>
        <v>#REF!</v>
      </c>
      <c r="OI13" s="7" t="e">
        <f>IF(OR(#REF!&gt;2,#REF!&lt;-2),"",#REF!)</f>
        <v>#REF!</v>
      </c>
      <c r="OJ13" s="7" t="e">
        <f>IF(OR(#REF!&gt;2,#REF!&lt;-2),"",#REF!)</f>
        <v>#REF!</v>
      </c>
      <c r="OK13" s="7" t="e">
        <f>IF(OR(#REF!&gt;2,#REF!&lt;-2),"",#REF!)</f>
        <v>#REF!</v>
      </c>
      <c r="OL13" s="7" t="e">
        <f>IF(OR(#REF!&gt;2,#REF!&lt;-2),"",#REF!)</f>
        <v>#REF!</v>
      </c>
      <c r="OM13" s="7" t="e">
        <f>IF(OR(#REF!&gt;2,#REF!&lt;-2),"",#REF!)</f>
        <v>#REF!</v>
      </c>
      <c r="ON13" s="7" t="e">
        <f>IF(OR(#REF!&gt;2,#REF!&lt;-2),"",#REF!)</f>
        <v>#REF!</v>
      </c>
      <c r="OO13" s="7" t="e">
        <f>IF(OR(#REF!&gt;2,#REF!&lt;-2),"",#REF!)</f>
        <v>#REF!</v>
      </c>
      <c r="OP13" s="7" t="e">
        <f>IF(OR(#REF!&gt;2,#REF!&lt;-2),"",#REF!)</f>
        <v>#REF!</v>
      </c>
      <c r="OQ13" s="7" t="e">
        <f>IF(OR(#REF!&gt;2,#REF!&lt;-2),"",#REF!)</f>
        <v>#REF!</v>
      </c>
      <c r="OR13" s="7" t="e">
        <f>IF(OR(#REF!&gt;2,#REF!&lt;-2),"",#REF!)</f>
        <v>#REF!</v>
      </c>
      <c r="OS13" s="7" t="e">
        <f>IF(OR(#REF!&gt;2,#REF!&lt;-2),"",#REF!)</f>
        <v>#REF!</v>
      </c>
      <c r="OT13" s="7" t="e">
        <f>IF(OR(#REF!&gt;2,#REF!&lt;-2),"",#REF!)</f>
        <v>#REF!</v>
      </c>
      <c r="OU13" s="7" t="e">
        <f>IF(OR(#REF!&gt;2,#REF!&lt;-2),"",#REF!)</f>
        <v>#REF!</v>
      </c>
      <c r="OV13" s="7" t="e">
        <f>IF(OR(#REF!&gt;2,#REF!&lt;-2),"",#REF!)</f>
        <v>#REF!</v>
      </c>
      <c r="OW13" s="7" t="e">
        <f>IF(OR(#REF!&gt;2,#REF!&lt;-2),"",#REF!)</f>
        <v>#REF!</v>
      </c>
      <c r="OX13" s="7" t="e">
        <f>IF(OR(#REF!&gt;2,#REF!&lt;-2),"",#REF!)</f>
        <v>#REF!</v>
      </c>
      <c r="OY13" s="7" t="e">
        <f>IF(OR(#REF!&gt;2,#REF!&lt;-2),"",#REF!)</f>
        <v>#REF!</v>
      </c>
      <c r="OZ13" s="7" t="e">
        <f>IF(OR(#REF!&gt;2,#REF!&lt;-2),"",#REF!)</f>
        <v>#REF!</v>
      </c>
      <c r="PA13" s="7" t="e">
        <f>IF(OR(#REF!&gt;2,#REF!&lt;-2),"",#REF!)</f>
        <v>#REF!</v>
      </c>
      <c r="PB13" s="7" t="e">
        <f>IF(OR(#REF!&gt;2,#REF!&lt;-2),"",#REF!)</f>
        <v>#REF!</v>
      </c>
      <c r="PC13" s="7" t="e">
        <f>IF(OR(#REF!&gt;2,#REF!&lt;-2),"",#REF!)</f>
        <v>#REF!</v>
      </c>
      <c r="PD13" s="7" t="e">
        <f>IF(OR(#REF!&gt;2,#REF!&lt;-2),"",#REF!)</f>
        <v>#REF!</v>
      </c>
      <c r="PE13" s="7" t="e">
        <f>IF(OR(#REF!&gt;2,#REF!&lt;-2),"",#REF!)</f>
        <v>#REF!</v>
      </c>
      <c r="PF13" s="7" t="e">
        <f>IF(OR(#REF!&gt;2,#REF!&lt;-2),"",#REF!)</f>
        <v>#REF!</v>
      </c>
      <c r="PG13" s="7" t="e">
        <f>IF(OR(#REF!&gt;2,#REF!&lt;-2),"",#REF!)</f>
        <v>#REF!</v>
      </c>
      <c r="PH13" s="7" t="e">
        <f>IF(OR(#REF!&gt;2,#REF!&lt;-2),"",#REF!)</f>
        <v>#REF!</v>
      </c>
      <c r="PI13" s="7" t="e">
        <f>IF(OR(#REF!&gt;2,#REF!&lt;-2),"",#REF!)</f>
        <v>#REF!</v>
      </c>
      <c r="PJ13" s="7" t="e">
        <f>IF(OR(#REF!&gt;2,#REF!&lt;-2),"",#REF!)</f>
        <v>#REF!</v>
      </c>
      <c r="PK13" s="7" t="e">
        <f>IF(OR(#REF!&gt;2,#REF!&lt;-2),"",#REF!)</f>
        <v>#REF!</v>
      </c>
      <c r="PL13" s="7" t="e">
        <f>IF(OR(#REF!&gt;2,#REF!&lt;-2),"",#REF!)</f>
        <v>#REF!</v>
      </c>
      <c r="PM13" s="7" t="e">
        <f>IF(OR(#REF!&gt;2,#REF!&lt;-2),"",#REF!)</f>
        <v>#REF!</v>
      </c>
      <c r="PN13" s="7" t="e">
        <f>IF(OR(#REF!&gt;2,#REF!&lt;-2),"",#REF!)</f>
        <v>#REF!</v>
      </c>
      <c r="PO13" s="7" t="e">
        <f>IF(OR(#REF!&gt;2,#REF!&lt;-2),"",#REF!)</f>
        <v>#REF!</v>
      </c>
      <c r="PP13" s="7" t="e">
        <f>IF(OR(#REF!&gt;2,#REF!&lt;-2),"",#REF!)</f>
        <v>#REF!</v>
      </c>
      <c r="PQ13" s="7" t="e">
        <f>IF(OR(#REF!&gt;2,#REF!&lt;-2),"",#REF!)</f>
        <v>#REF!</v>
      </c>
      <c r="PR13" s="7" t="e">
        <f>IF(OR(#REF!&gt;2,#REF!&lt;-2),"",#REF!)</f>
        <v>#REF!</v>
      </c>
      <c r="PS13" s="7" t="e">
        <f>IF(OR(#REF!&gt;2,#REF!&lt;-2),"",#REF!)</f>
        <v>#REF!</v>
      </c>
      <c r="PT13" s="7" t="e">
        <f>IF(OR(#REF!&gt;2,#REF!&lt;-2),"",#REF!)</f>
        <v>#REF!</v>
      </c>
      <c r="PU13" s="7" t="e">
        <f>IF(OR(#REF!&gt;2,#REF!&lt;-2),"",#REF!)</f>
        <v>#REF!</v>
      </c>
      <c r="PV13" s="7" t="e">
        <f>IF(OR(#REF!&gt;2,#REF!&lt;-2),"",#REF!)</f>
        <v>#REF!</v>
      </c>
      <c r="PW13" s="7" t="e">
        <f>IF(OR(#REF!&gt;2,#REF!&lt;-2),"",#REF!)</f>
        <v>#REF!</v>
      </c>
      <c r="PX13" s="7" t="e">
        <f>IF(OR(#REF!&gt;2,#REF!&lt;-2),"",#REF!)</f>
        <v>#REF!</v>
      </c>
      <c r="PY13" s="7" t="e">
        <f>IF(OR(#REF!&gt;2,#REF!&lt;-2),"",#REF!)</f>
        <v>#REF!</v>
      </c>
      <c r="PZ13" s="7" t="e">
        <f>IF(OR(#REF!&gt;2,#REF!&lt;-2),"",#REF!)</f>
        <v>#REF!</v>
      </c>
      <c r="QA13" s="7" t="e">
        <f>IF(OR(#REF!&gt;2,#REF!&lt;-2),"",#REF!)</f>
        <v>#REF!</v>
      </c>
      <c r="QB13" s="7" t="e">
        <f>IF(OR(#REF!&gt;2,#REF!&lt;-2),"",#REF!)</f>
        <v>#REF!</v>
      </c>
      <c r="QC13" s="7" t="e">
        <f>IF(OR(#REF!&gt;2,#REF!&lt;-2),"",#REF!)</f>
        <v>#REF!</v>
      </c>
      <c r="QD13" s="7" t="e">
        <f>IF(OR(#REF!&gt;2,#REF!&lt;-2),"",#REF!)</f>
        <v>#REF!</v>
      </c>
      <c r="QE13" s="7" t="e">
        <f>IF(OR(#REF!&gt;2,#REF!&lt;-2),"",#REF!)</f>
        <v>#REF!</v>
      </c>
      <c r="QF13" s="7" t="e">
        <f>IF(OR(#REF!&gt;2,#REF!&lt;-2),"",#REF!)</f>
        <v>#REF!</v>
      </c>
      <c r="QG13" s="7" t="e">
        <f>IF(OR(#REF!&gt;2,#REF!&lt;-2),"",#REF!)</f>
        <v>#REF!</v>
      </c>
      <c r="QH13" s="7" t="e">
        <f>IF(OR(#REF!&gt;2,#REF!&lt;-2),"",#REF!)</f>
        <v>#REF!</v>
      </c>
      <c r="QI13" s="7" t="e">
        <f>IF(OR(#REF!&gt;2,#REF!&lt;-2),"",#REF!)</f>
        <v>#REF!</v>
      </c>
      <c r="QJ13" s="7" t="e">
        <f>IF(OR(#REF!&gt;2,#REF!&lt;-2),"",#REF!)</f>
        <v>#REF!</v>
      </c>
      <c r="QK13" s="7" t="e">
        <f>IF(OR(#REF!&gt;2,#REF!&lt;-2),"",#REF!)</f>
        <v>#REF!</v>
      </c>
      <c r="QL13" s="7" t="e">
        <f>IF(OR(#REF!&gt;2,#REF!&lt;-2),"",#REF!)</f>
        <v>#REF!</v>
      </c>
      <c r="QM13" s="7" t="e">
        <f>IF(OR(#REF!&gt;2,#REF!&lt;-2),"",#REF!)</f>
        <v>#REF!</v>
      </c>
      <c r="QN13" s="7" t="e">
        <f>IF(OR(#REF!&gt;2,#REF!&lt;-2),"",#REF!)</f>
        <v>#REF!</v>
      </c>
      <c r="QO13" s="7" t="e">
        <f>IF(OR(#REF!&gt;2,#REF!&lt;-2),"",#REF!)</f>
        <v>#REF!</v>
      </c>
      <c r="QP13" s="7" t="e">
        <f>IF(OR(#REF!&gt;2,#REF!&lt;-2),"",#REF!)</f>
        <v>#REF!</v>
      </c>
      <c r="QQ13" s="7" t="e">
        <f>IF(OR(#REF!&gt;2,#REF!&lt;-2),"",#REF!)</f>
        <v>#REF!</v>
      </c>
      <c r="QR13" s="7" t="e">
        <f>IF(OR(#REF!&gt;2,#REF!&lt;-2),"",#REF!)</f>
        <v>#REF!</v>
      </c>
      <c r="QS13" s="7" t="e">
        <f>IF(OR(#REF!&gt;2,#REF!&lt;-2),"",#REF!)</f>
        <v>#REF!</v>
      </c>
      <c r="QT13" s="7" t="e">
        <f>IF(OR(#REF!&gt;2,#REF!&lt;-2),"",#REF!)</f>
        <v>#REF!</v>
      </c>
      <c r="QU13" s="7" t="e">
        <f>IF(OR(#REF!&gt;2,#REF!&lt;-2),"",#REF!)</f>
        <v>#REF!</v>
      </c>
      <c r="QV13" s="7" t="e">
        <f>IF(OR(#REF!&gt;2,#REF!&lt;-2),"",#REF!)</f>
        <v>#REF!</v>
      </c>
      <c r="QW13" s="7" t="e">
        <f>IF(OR(#REF!&gt;2,#REF!&lt;-2),"",#REF!)</f>
        <v>#REF!</v>
      </c>
      <c r="QX13" s="7" t="e">
        <f>IF(OR(#REF!&gt;2,#REF!&lt;-2),"",#REF!)</f>
        <v>#REF!</v>
      </c>
      <c r="QY13" s="7" t="e">
        <f>IF(OR(#REF!&gt;2,#REF!&lt;-2),"",#REF!)</f>
        <v>#REF!</v>
      </c>
      <c r="QZ13" s="7" t="e">
        <f>IF(OR(#REF!&gt;2,#REF!&lt;-2),"",#REF!)</f>
        <v>#REF!</v>
      </c>
      <c r="RA13" s="7" t="e">
        <f>IF(OR(#REF!&gt;2,#REF!&lt;-2),"",#REF!)</f>
        <v>#REF!</v>
      </c>
      <c r="RB13" s="7" t="e">
        <f>IF(OR(#REF!&gt;2,#REF!&lt;-2),"",#REF!)</f>
        <v>#REF!</v>
      </c>
      <c r="RC13" s="7" t="e">
        <f>IF(OR(#REF!&gt;2,#REF!&lt;-2),"",#REF!)</f>
        <v>#REF!</v>
      </c>
      <c r="RD13" s="7" t="e">
        <f>IF(OR(#REF!&gt;2,#REF!&lt;-2),"",#REF!)</f>
        <v>#REF!</v>
      </c>
      <c r="RE13" s="7" t="e">
        <f>IF(OR(#REF!&gt;2,#REF!&lt;-2),"",#REF!)</f>
        <v>#REF!</v>
      </c>
      <c r="RF13" s="7" t="e">
        <f>IF(OR(#REF!&gt;2,#REF!&lt;-2),"",#REF!)</f>
        <v>#REF!</v>
      </c>
      <c r="RG13" s="7" t="e">
        <f>IF(OR(#REF!&gt;2,#REF!&lt;-2),"",#REF!)</f>
        <v>#REF!</v>
      </c>
      <c r="RH13" s="7" t="e">
        <f>IF(OR(#REF!&gt;2,#REF!&lt;-2),"",#REF!)</f>
        <v>#REF!</v>
      </c>
      <c r="RI13" s="7" t="e">
        <f>IF(OR(#REF!&gt;2,#REF!&lt;-2),"",#REF!)</f>
        <v>#REF!</v>
      </c>
      <c r="RJ13" s="7" t="e">
        <f>IF(OR(#REF!&gt;2,#REF!&lt;-2),"",#REF!)</f>
        <v>#REF!</v>
      </c>
      <c r="RK13" s="7" t="e">
        <f>IF(OR(#REF!&gt;2,#REF!&lt;-2),"",#REF!)</f>
        <v>#REF!</v>
      </c>
      <c r="RL13" s="7" t="e">
        <f>IF(OR(#REF!&gt;2,#REF!&lt;-2),"",#REF!)</f>
        <v>#REF!</v>
      </c>
      <c r="RM13" s="7" t="e">
        <f>IF(OR(#REF!&gt;2,#REF!&lt;-2),"",#REF!)</f>
        <v>#REF!</v>
      </c>
      <c r="RN13" s="7" t="e">
        <f>IF(OR(#REF!&gt;2,#REF!&lt;-2),"",#REF!)</f>
        <v>#REF!</v>
      </c>
      <c r="RO13" s="7" t="e">
        <f>IF(OR(#REF!&gt;2,#REF!&lt;-2),"",#REF!)</f>
        <v>#REF!</v>
      </c>
      <c r="RP13" s="7" t="e">
        <f>IF(OR(#REF!&gt;2,#REF!&lt;-2),"",#REF!)</f>
        <v>#REF!</v>
      </c>
      <c r="RQ13" s="7" t="e">
        <f>IF(OR(#REF!&gt;2,#REF!&lt;-2),"",#REF!)</f>
        <v>#REF!</v>
      </c>
      <c r="RR13" s="7" t="e">
        <f>IF(OR(#REF!&gt;2,#REF!&lt;-2),"",#REF!)</f>
        <v>#REF!</v>
      </c>
      <c r="RS13" s="7" t="e">
        <f>IF(OR(#REF!&gt;2,#REF!&lt;-2),"",#REF!)</f>
        <v>#REF!</v>
      </c>
      <c r="RT13" s="7" t="e">
        <f>IF(OR(#REF!&gt;2,#REF!&lt;-2),"",#REF!)</f>
        <v>#REF!</v>
      </c>
      <c r="RU13" s="7" t="e">
        <f>IF(OR(#REF!&gt;2,#REF!&lt;-2),"",#REF!)</f>
        <v>#REF!</v>
      </c>
      <c r="RV13" s="7" t="e">
        <f>IF(OR(#REF!&gt;2,#REF!&lt;-2),"",#REF!)</f>
        <v>#REF!</v>
      </c>
      <c r="RW13" s="7" t="e">
        <f>IF(OR(#REF!&gt;2,#REF!&lt;-2),"",#REF!)</f>
        <v>#REF!</v>
      </c>
      <c r="RX13" s="7" t="e">
        <f>IF(OR(#REF!&gt;2,#REF!&lt;-2),"",#REF!)</f>
        <v>#REF!</v>
      </c>
      <c r="RY13" s="7" t="e">
        <f>IF(OR(#REF!&gt;2,#REF!&lt;-2),"",#REF!)</f>
        <v>#REF!</v>
      </c>
      <c r="RZ13" s="7" t="e">
        <f>IF(OR(#REF!&gt;2,#REF!&lt;-2),"",#REF!)</f>
        <v>#REF!</v>
      </c>
      <c r="SA13" s="7" t="e">
        <f>IF(OR(#REF!&gt;2,#REF!&lt;-2),"",#REF!)</f>
        <v>#REF!</v>
      </c>
      <c r="SB13" s="7" t="e">
        <f>IF(OR(#REF!&gt;2,#REF!&lt;-2),"",#REF!)</f>
        <v>#REF!</v>
      </c>
      <c r="SC13" s="7" t="e">
        <f>IF(OR(#REF!&gt;2,#REF!&lt;-2),"",#REF!)</f>
        <v>#REF!</v>
      </c>
      <c r="SD13" s="7" t="e">
        <f>IF(OR(#REF!&gt;2,#REF!&lt;-2),"",#REF!)</f>
        <v>#REF!</v>
      </c>
      <c r="SE13" s="7" t="e">
        <f>IF(OR(#REF!&gt;2,#REF!&lt;-2),"",#REF!)</f>
        <v>#REF!</v>
      </c>
      <c r="SF13" s="7" t="e">
        <f>IF(OR(#REF!&gt;2,#REF!&lt;-2),"",#REF!)</f>
        <v>#REF!</v>
      </c>
      <c r="SG13" s="7" t="e">
        <f>IF(OR(#REF!&gt;2,#REF!&lt;-2),"",#REF!)</f>
        <v>#REF!</v>
      </c>
      <c r="SH13" s="7" t="e">
        <f>IF(OR(#REF!&gt;2,#REF!&lt;-2),"",#REF!)</f>
        <v>#REF!</v>
      </c>
      <c r="SI13" s="7" t="e">
        <f>IF(OR(#REF!&gt;2,#REF!&lt;-2),"",#REF!)</f>
        <v>#REF!</v>
      </c>
      <c r="SJ13" s="7" t="e">
        <f>IF(OR(#REF!&gt;2,#REF!&lt;-2),"",#REF!)</f>
        <v>#REF!</v>
      </c>
      <c r="SK13" s="7" t="e">
        <f>IF(OR(#REF!&gt;2,#REF!&lt;-2),"",#REF!)</f>
        <v>#REF!</v>
      </c>
      <c r="SL13" s="7" t="e">
        <f>IF(OR(#REF!&gt;2,#REF!&lt;-2),"",#REF!)</f>
        <v>#REF!</v>
      </c>
      <c r="SM13" s="7" t="e">
        <f>IF(OR(#REF!&gt;2,#REF!&lt;-2),"",#REF!)</f>
        <v>#REF!</v>
      </c>
      <c r="SN13" s="7" t="e">
        <f>IF(OR(#REF!&gt;2,#REF!&lt;-2),"",#REF!)</f>
        <v>#REF!</v>
      </c>
      <c r="SO13" s="7" t="e">
        <f>IF(OR(#REF!&gt;2,#REF!&lt;-2),"",#REF!)</f>
        <v>#REF!</v>
      </c>
      <c r="SP13" s="7" t="e">
        <f>IF(OR(#REF!&gt;2,#REF!&lt;-2),"",#REF!)</f>
        <v>#REF!</v>
      </c>
      <c r="SQ13" s="7" t="e">
        <f>IF(OR(#REF!&gt;2,#REF!&lt;-2),"",#REF!)</f>
        <v>#REF!</v>
      </c>
      <c r="SR13" s="7" t="e">
        <f>IF(OR(#REF!&gt;2,#REF!&lt;-2),"",#REF!)</f>
        <v>#REF!</v>
      </c>
      <c r="SS13" s="7" t="e">
        <f>IF(OR(#REF!&gt;2,#REF!&lt;-2),"",#REF!)</f>
        <v>#REF!</v>
      </c>
      <c r="ST13" s="7" t="e">
        <f>IF(OR(#REF!&gt;2,#REF!&lt;-2),"",#REF!)</f>
        <v>#REF!</v>
      </c>
      <c r="SU13" s="7" t="e">
        <f>IF(OR(#REF!&gt;2,#REF!&lt;-2),"",#REF!)</f>
        <v>#REF!</v>
      </c>
      <c r="SV13" s="7" t="e">
        <f>IF(OR(#REF!&gt;2,#REF!&lt;-2),"",#REF!)</f>
        <v>#REF!</v>
      </c>
      <c r="SW13" s="7" t="e">
        <f>IF(OR(#REF!&gt;2,#REF!&lt;-2),"",#REF!)</f>
        <v>#REF!</v>
      </c>
      <c r="SX13" s="7" t="e">
        <f>IF(OR(#REF!&gt;2,#REF!&lt;-2),"",#REF!)</f>
        <v>#REF!</v>
      </c>
      <c r="SY13" s="7" t="e">
        <f>IF(OR(#REF!&gt;2,#REF!&lt;-2),"",#REF!)</f>
        <v>#REF!</v>
      </c>
      <c r="SZ13" s="7" t="e">
        <f>IF(OR(#REF!&gt;2,#REF!&lt;-2),"",#REF!)</f>
        <v>#REF!</v>
      </c>
      <c r="TA13" s="7" t="e">
        <f>IF(OR(#REF!&gt;2,#REF!&lt;-2),"",#REF!)</f>
        <v>#REF!</v>
      </c>
      <c r="TB13" s="7" t="e">
        <f>IF(OR(#REF!&gt;2,#REF!&lt;-2),"",#REF!)</f>
        <v>#REF!</v>
      </c>
      <c r="TC13" s="7" t="e">
        <f>IF(OR(#REF!&gt;2,#REF!&lt;-2),"",#REF!)</f>
        <v>#REF!</v>
      </c>
      <c r="TD13" s="7" t="e">
        <f>IF(OR(#REF!&gt;2,#REF!&lt;-2),"",#REF!)</f>
        <v>#REF!</v>
      </c>
      <c r="TE13" s="7" t="e">
        <f>IF(OR(#REF!&gt;2,#REF!&lt;-2),"",#REF!)</f>
        <v>#REF!</v>
      </c>
      <c r="TF13" s="7" t="e">
        <f>IF(OR(#REF!&gt;2,#REF!&lt;-2),"",#REF!)</f>
        <v>#REF!</v>
      </c>
      <c r="TG13" s="7" t="e">
        <f>IF(OR(#REF!&gt;2,#REF!&lt;-2),"",#REF!)</f>
        <v>#REF!</v>
      </c>
      <c r="TH13" s="7" t="e">
        <f>IF(OR(#REF!&gt;2,#REF!&lt;-2),"",#REF!)</f>
        <v>#REF!</v>
      </c>
      <c r="TI13" s="7" t="e">
        <f>IF(OR(#REF!&gt;2,#REF!&lt;-2),"",#REF!)</f>
        <v>#REF!</v>
      </c>
      <c r="TJ13" s="7" t="e">
        <f>IF(OR(#REF!&gt;2,#REF!&lt;-2),"",#REF!)</f>
        <v>#REF!</v>
      </c>
      <c r="TK13" s="7" t="e">
        <f>IF(OR(#REF!&gt;2,#REF!&lt;-2),"",#REF!)</f>
        <v>#REF!</v>
      </c>
      <c r="TL13" s="7" t="e">
        <f>IF(OR(#REF!&gt;2,#REF!&lt;-2),"",#REF!)</f>
        <v>#REF!</v>
      </c>
      <c r="TM13" s="7" t="e">
        <f>IF(OR(#REF!&gt;2,#REF!&lt;-2),"",#REF!)</f>
        <v>#REF!</v>
      </c>
      <c r="TN13" s="7" t="e">
        <f>IF(OR(#REF!&gt;2,#REF!&lt;-2),"",#REF!)</f>
        <v>#REF!</v>
      </c>
      <c r="TO13" s="7" t="e">
        <f>IF(OR(#REF!&gt;2,#REF!&lt;-2),"",#REF!)</f>
        <v>#REF!</v>
      </c>
      <c r="TP13" s="7" t="e">
        <f>IF(OR(#REF!&gt;2,#REF!&lt;-2),"",#REF!)</f>
        <v>#REF!</v>
      </c>
      <c r="TQ13" s="7" t="e">
        <f>IF(OR(#REF!&gt;2,#REF!&lt;-2),"",#REF!)</f>
        <v>#REF!</v>
      </c>
      <c r="TR13" s="7" t="e">
        <f>IF(OR(#REF!&gt;2,#REF!&lt;-2),"",#REF!)</f>
        <v>#REF!</v>
      </c>
      <c r="TS13" s="7" t="e">
        <f>IF(OR(#REF!&gt;2,#REF!&lt;-2),"",#REF!)</f>
        <v>#REF!</v>
      </c>
      <c r="TT13" s="7" t="e">
        <f>IF(OR(#REF!&gt;2,#REF!&lt;-2),"",#REF!)</f>
        <v>#REF!</v>
      </c>
      <c r="TU13" s="7" t="e">
        <f>IF(OR(#REF!&gt;2,#REF!&lt;-2),"",#REF!)</f>
        <v>#REF!</v>
      </c>
      <c r="TV13" s="7" t="e">
        <f>IF(OR(#REF!&gt;2,#REF!&lt;-2),"",#REF!)</f>
        <v>#REF!</v>
      </c>
      <c r="TW13" s="7" t="e">
        <f>IF(OR(#REF!&gt;2,#REF!&lt;-2),"",#REF!)</f>
        <v>#REF!</v>
      </c>
      <c r="TX13" s="7" t="e">
        <f>IF(OR(#REF!&gt;2,#REF!&lt;-2),"",#REF!)</f>
        <v>#REF!</v>
      </c>
      <c r="TY13" s="7" t="e">
        <f>IF(OR(#REF!&gt;2,#REF!&lt;-2),"",#REF!)</f>
        <v>#REF!</v>
      </c>
      <c r="TZ13" s="7" t="e">
        <f>IF(OR(#REF!&gt;2,#REF!&lt;-2),"",#REF!)</f>
        <v>#REF!</v>
      </c>
      <c r="UA13" s="7" t="e">
        <f>IF(OR(#REF!&gt;2,#REF!&lt;-2),"",#REF!)</f>
        <v>#REF!</v>
      </c>
      <c r="UB13" s="7" t="e">
        <f>IF(OR(#REF!&gt;2,#REF!&lt;-2),"",#REF!)</f>
        <v>#REF!</v>
      </c>
      <c r="UC13" s="7" t="e">
        <f>IF(OR(#REF!&gt;2,#REF!&lt;-2),"",#REF!)</f>
        <v>#REF!</v>
      </c>
      <c r="UD13" s="7" t="e">
        <f>IF(OR(#REF!&gt;2,#REF!&lt;-2),"",#REF!)</f>
        <v>#REF!</v>
      </c>
      <c r="UE13" s="7" t="e">
        <f>IF(OR(#REF!&gt;2,#REF!&lt;-2),"",#REF!)</f>
        <v>#REF!</v>
      </c>
      <c r="UF13" s="7" t="e">
        <f>IF(OR(#REF!&gt;2,#REF!&lt;-2),"",#REF!)</f>
        <v>#REF!</v>
      </c>
      <c r="UG13" s="7" t="e">
        <f>IF(OR(#REF!&gt;2,#REF!&lt;-2),"",#REF!)</f>
        <v>#REF!</v>
      </c>
      <c r="UH13" s="7" t="e">
        <f>IF(OR(#REF!&gt;2,#REF!&lt;-2),"",#REF!)</f>
        <v>#REF!</v>
      </c>
      <c r="UI13" s="7" t="e">
        <f>IF(OR(#REF!&gt;2,#REF!&lt;-2),"",#REF!)</f>
        <v>#REF!</v>
      </c>
      <c r="UJ13" s="7" t="e">
        <f>IF(OR(#REF!&gt;2,#REF!&lt;-2),"",#REF!)</f>
        <v>#REF!</v>
      </c>
      <c r="UK13" s="7" t="e">
        <f>IF(OR(#REF!&gt;2,#REF!&lt;-2),"",#REF!)</f>
        <v>#REF!</v>
      </c>
      <c r="UL13" s="7" t="e">
        <f>IF(OR(#REF!&gt;2,#REF!&lt;-2),"",#REF!)</f>
        <v>#REF!</v>
      </c>
      <c r="UM13" s="7" t="e">
        <f>IF(OR(#REF!&gt;2,#REF!&lt;-2),"",#REF!)</f>
        <v>#REF!</v>
      </c>
      <c r="UN13" s="7" t="e">
        <f>IF(OR(#REF!&gt;2,#REF!&lt;-2),"",#REF!)</f>
        <v>#REF!</v>
      </c>
      <c r="UO13" s="7" t="e">
        <f>IF(OR(#REF!&gt;2,#REF!&lt;-2),"",#REF!)</f>
        <v>#REF!</v>
      </c>
      <c r="UP13" s="7" t="e">
        <f>IF(OR(#REF!&gt;2,#REF!&lt;-2),"",#REF!)</f>
        <v>#REF!</v>
      </c>
    </row>
    <row r="14" spans="1:562" x14ac:dyDescent="0.35">
      <c r="A14">
        <v>172</v>
      </c>
      <c r="B14">
        <v>1</v>
      </c>
      <c r="C14" s="7" t="e">
        <f>IF(OR(#REF!&gt;2,#REF!&lt;-2),"",#REF!)</f>
        <v>#REF!</v>
      </c>
      <c r="D14" s="7" t="e">
        <f>IF(OR(#REF!&gt;2,#REF!&lt;-2),"",#REF!)</f>
        <v>#REF!</v>
      </c>
      <c r="E14" s="7" t="e">
        <f>IF(OR(#REF!&gt;2,#REF!&lt;-2),"",#REF!)</f>
        <v>#REF!</v>
      </c>
      <c r="F14" s="7" t="e">
        <f>IF(OR(#REF!&gt;2,#REF!&lt;-2),"",#REF!)</f>
        <v>#REF!</v>
      </c>
      <c r="G14" s="7" t="e">
        <f>IF(OR(#REF!&gt;2,#REF!&lt;-2),"",#REF!)</f>
        <v>#REF!</v>
      </c>
      <c r="H14" s="7" t="e">
        <f>IF(OR(#REF!&gt;2,#REF!&lt;-2),"",#REF!)</f>
        <v>#REF!</v>
      </c>
      <c r="I14" s="7" t="e">
        <f>IF(OR(#REF!&gt;2,#REF!&lt;-2),"",#REF!)</f>
        <v>#REF!</v>
      </c>
      <c r="J14" s="7" t="e">
        <f>IF(OR(#REF!&gt;2,#REF!&lt;-2),"",#REF!)</f>
        <v>#REF!</v>
      </c>
      <c r="K14" s="7" t="e">
        <f>IF(OR(#REF!&gt;2,#REF!&lt;-2),"",#REF!)</f>
        <v>#REF!</v>
      </c>
      <c r="L14" s="7" t="e">
        <f>IF(OR(#REF!&gt;2,#REF!&lt;-2),"",#REF!)</f>
        <v>#REF!</v>
      </c>
      <c r="M14" s="7" t="e">
        <f>IF(OR(#REF!&gt;2,#REF!&lt;-2),"",#REF!)</f>
        <v>#REF!</v>
      </c>
      <c r="N14" s="7" t="e">
        <f>IF(OR(#REF!&gt;2,#REF!&lt;-2),"",#REF!)</f>
        <v>#REF!</v>
      </c>
      <c r="O14" s="7" t="e">
        <f>IF(OR(#REF!&gt;2,#REF!&lt;-2),"",#REF!)</f>
        <v>#REF!</v>
      </c>
      <c r="P14" s="7" t="e">
        <f>IF(OR(#REF!&gt;2,#REF!&lt;-2),"",#REF!)</f>
        <v>#REF!</v>
      </c>
      <c r="Q14" s="7" t="e">
        <f>IF(OR(#REF!&gt;2,#REF!&lt;-2),"",#REF!)</f>
        <v>#REF!</v>
      </c>
      <c r="R14" s="7" t="e">
        <f>IF(OR(#REF!&gt;2,#REF!&lt;-2),"",#REF!)</f>
        <v>#REF!</v>
      </c>
      <c r="S14" s="7" t="e">
        <f>IF(OR(#REF!&gt;2,#REF!&lt;-2),"",#REF!)</f>
        <v>#REF!</v>
      </c>
      <c r="T14" s="7" t="e">
        <f>IF(OR(#REF!&gt;2,#REF!&lt;-2),"",#REF!)</f>
        <v>#REF!</v>
      </c>
      <c r="U14" s="7" t="e">
        <f>IF(OR(#REF!&gt;2,#REF!&lt;-2),"",#REF!)</f>
        <v>#REF!</v>
      </c>
      <c r="V14" s="7" t="e">
        <f>IF(OR(#REF!&gt;2,#REF!&lt;-2),"",#REF!)</f>
        <v>#REF!</v>
      </c>
      <c r="W14" s="7" t="e">
        <f>IF(OR(#REF!&gt;2,#REF!&lt;-2),"",#REF!)</f>
        <v>#REF!</v>
      </c>
      <c r="X14" s="7" t="e">
        <f>IF(OR(#REF!&gt;2,#REF!&lt;-2),"",#REF!)</f>
        <v>#REF!</v>
      </c>
      <c r="Y14" s="7" t="e">
        <f>IF(OR(#REF!&gt;2,#REF!&lt;-2),"",#REF!)</f>
        <v>#REF!</v>
      </c>
      <c r="Z14" s="7" t="e">
        <f>IF(OR(#REF!&gt;2,#REF!&lt;-2),"",#REF!)</f>
        <v>#REF!</v>
      </c>
      <c r="AA14" s="7" t="e">
        <f>IF(OR(#REF!&gt;2,#REF!&lt;-2),"",#REF!)</f>
        <v>#REF!</v>
      </c>
      <c r="AB14" s="7" t="e">
        <f>IF(OR(#REF!&gt;2,#REF!&lt;-2),"",#REF!)</f>
        <v>#REF!</v>
      </c>
      <c r="AC14" s="7" t="e">
        <f>IF(OR(#REF!&gt;2,#REF!&lt;-2),"",#REF!)</f>
        <v>#REF!</v>
      </c>
      <c r="AD14" s="7" t="e">
        <f>IF(OR(#REF!&gt;2,#REF!&lt;-2),"",#REF!)</f>
        <v>#REF!</v>
      </c>
      <c r="AE14" s="7" t="e">
        <f>IF(OR(#REF!&gt;2,#REF!&lt;-2),"",#REF!)</f>
        <v>#REF!</v>
      </c>
      <c r="AF14" s="7" t="e">
        <f>IF(OR(#REF!&gt;2,#REF!&lt;-2),"",#REF!)</f>
        <v>#REF!</v>
      </c>
      <c r="AG14" s="7" t="e">
        <f>IF(OR(#REF!&gt;2,#REF!&lt;-2),"",#REF!)</f>
        <v>#REF!</v>
      </c>
      <c r="AH14" s="7" t="e">
        <f>IF(OR(#REF!&gt;2,#REF!&lt;-2),"",#REF!)</f>
        <v>#REF!</v>
      </c>
      <c r="AI14" s="7" t="e">
        <f>IF(OR(#REF!&gt;2,#REF!&lt;-2),"",#REF!)</f>
        <v>#REF!</v>
      </c>
      <c r="AJ14" s="7" t="e">
        <f>IF(OR(#REF!&gt;2,#REF!&lt;-2),"",#REF!)</f>
        <v>#REF!</v>
      </c>
      <c r="AK14" s="7" t="e">
        <f>IF(OR(#REF!&gt;2,#REF!&lt;-2),"",#REF!)</f>
        <v>#REF!</v>
      </c>
      <c r="AL14" s="7" t="e">
        <f>IF(OR(#REF!&gt;2,#REF!&lt;-2),"",#REF!)</f>
        <v>#REF!</v>
      </c>
      <c r="AM14" s="7" t="e">
        <f>IF(OR(#REF!&gt;2,#REF!&lt;-2),"",#REF!)</f>
        <v>#REF!</v>
      </c>
      <c r="AN14" s="7" t="e">
        <f>IF(OR(#REF!&gt;2,#REF!&lt;-2),"",#REF!)</f>
        <v>#REF!</v>
      </c>
      <c r="AO14" s="7" t="e">
        <f>IF(OR(#REF!&gt;2,#REF!&lt;-2),"",#REF!)</f>
        <v>#REF!</v>
      </c>
      <c r="AP14" s="7" t="e">
        <f>IF(OR(#REF!&gt;2,#REF!&lt;-2),"",#REF!)</f>
        <v>#REF!</v>
      </c>
      <c r="AQ14" s="7" t="e">
        <f>IF(OR(#REF!&gt;2,#REF!&lt;-2),"",#REF!)</f>
        <v>#REF!</v>
      </c>
      <c r="AR14" s="7" t="e">
        <f>IF(OR(#REF!&gt;2,#REF!&lt;-2),"",#REF!)</f>
        <v>#REF!</v>
      </c>
      <c r="AS14" s="7" t="e">
        <f>IF(OR(#REF!&gt;2,#REF!&lt;-2),"",#REF!)</f>
        <v>#REF!</v>
      </c>
      <c r="AT14" s="7" t="e">
        <f>IF(OR(#REF!&gt;2,#REF!&lt;-2),"",#REF!)</f>
        <v>#REF!</v>
      </c>
      <c r="AU14" s="7" t="e">
        <f>IF(OR(#REF!&gt;2,#REF!&lt;-2),"",#REF!)</f>
        <v>#REF!</v>
      </c>
      <c r="AV14" s="7" t="e">
        <f>IF(OR(#REF!&gt;2,#REF!&lt;-2),"",#REF!)</f>
        <v>#REF!</v>
      </c>
      <c r="AW14" s="7" t="e">
        <f>IF(OR(#REF!&gt;2,#REF!&lt;-2),"",#REF!)</f>
        <v>#REF!</v>
      </c>
      <c r="AX14" s="7" t="e">
        <f>IF(OR(#REF!&gt;2,#REF!&lt;-2),"",#REF!)</f>
        <v>#REF!</v>
      </c>
      <c r="AY14" s="7" t="e">
        <f>IF(OR(#REF!&gt;2,#REF!&lt;-2),"",#REF!)</f>
        <v>#REF!</v>
      </c>
      <c r="AZ14" s="7" t="e">
        <f>IF(OR(#REF!&gt;2,#REF!&lt;-2),"",#REF!)</f>
        <v>#REF!</v>
      </c>
      <c r="BA14" s="7" t="e">
        <f>IF(OR(#REF!&gt;2,#REF!&lt;-2),"",#REF!)</f>
        <v>#REF!</v>
      </c>
      <c r="BB14" s="7" t="e">
        <f>IF(OR(#REF!&gt;2,#REF!&lt;-2),"",#REF!)</f>
        <v>#REF!</v>
      </c>
      <c r="BC14" s="7" t="e">
        <f>IF(OR(#REF!&gt;2,#REF!&lt;-2),"",#REF!)</f>
        <v>#REF!</v>
      </c>
      <c r="BD14" s="7" t="e">
        <f>IF(OR(#REF!&gt;2,#REF!&lt;-2),"",#REF!)</f>
        <v>#REF!</v>
      </c>
      <c r="BE14" s="7" t="e">
        <f>IF(OR(#REF!&gt;2,#REF!&lt;-2),"",#REF!)</f>
        <v>#REF!</v>
      </c>
      <c r="BF14" s="7" t="e">
        <f>IF(OR(#REF!&gt;2,#REF!&lt;-2),"",#REF!)</f>
        <v>#REF!</v>
      </c>
      <c r="BG14" s="7" t="e">
        <f>IF(OR(#REF!&gt;2,#REF!&lt;-2),"",#REF!)</f>
        <v>#REF!</v>
      </c>
      <c r="BH14" s="7" t="e">
        <f>IF(OR(#REF!&gt;2,#REF!&lt;-2),"",#REF!)</f>
        <v>#REF!</v>
      </c>
      <c r="BI14" s="7" t="e">
        <f>IF(OR(#REF!&gt;2,#REF!&lt;-2),"",#REF!)</f>
        <v>#REF!</v>
      </c>
      <c r="BJ14" s="7" t="e">
        <f>IF(OR(#REF!&gt;2,#REF!&lt;-2),"",#REF!)</f>
        <v>#REF!</v>
      </c>
      <c r="BK14" s="7" t="e">
        <f>IF(OR(#REF!&gt;2,#REF!&lt;-2),"",#REF!)</f>
        <v>#REF!</v>
      </c>
      <c r="BL14" s="7" t="e">
        <f>IF(OR(#REF!&gt;2,#REF!&lt;-2),"",#REF!)</f>
        <v>#REF!</v>
      </c>
      <c r="BM14" s="7" t="e">
        <f>IF(OR(#REF!&gt;2,#REF!&lt;-2),"",#REF!)</f>
        <v>#REF!</v>
      </c>
      <c r="BN14" s="7" t="e">
        <f>IF(OR(#REF!&gt;2,#REF!&lt;-2),"",#REF!)</f>
        <v>#REF!</v>
      </c>
      <c r="BO14" s="7" t="e">
        <f>IF(OR(#REF!&gt;2,#REF!&lt;-2),"",#REF!)</f>
        <v>#REF!</v>
      </c>
      <c r="BP14" s="7" t="e">
        <f>IF(OR(#REF!&gt;2,#REF!&lt;-2),"",#REF!)</f>
        <v>#REF!</v>
      </c>
      <c r="BQ14" s="7" t="e">
        <f>IF(OR(#REF!&gt;2,#REF!&lt;-2),"",#REF!)</f>
        <v>#REF!</v>
      </c>
      <c r="BR14" s="7" t="e">
        <f>IF(OR(#REF!&gt;2,#REF!&lt;-2),"",#REF!)</f>
        <v>#REF!</v>
      </c>
      <c r="BS14" s="7" t="e">
        <f>IF(OR(#REF!&gt;2,#REF!&lt;-2),"",#REF!)</f>
        <v>#REF!</v>
      </c>
      <c r="BT14" s="7" t="e">
        <f>IF(OR(#REF!&gt;2,#REF!&lt;-2),"",#REF!)</f>
        <v>#REF!</v>
      </c>
      <c r="BU14" s="7" t="e">
        <f>IF(OR(#REF!&gt;2,#REF!&lt;-2),"",#REF!)</f>
        <v>#REF!</v>
      </c>
      <c r="BV14" s="7" t="e">
        <f>IF(OR(#REF!&gt;2,#REF!&lt;-2),"",#REF!)</f>
        <v>#REF!</v>
      </c>
      <c r="BW14" s="7" t="e">
        <f>IF(OR(#REF!&gt;2,#REF!&lt;-2),"",#REF!)</f>
        <v>#REF!</v>
      </c>
      <c r="BX14" s="7" t="e">
        <f>IF(OR(#REF!&gt;2,#REF!&lt;-2),"",#REF!)</f>
        <v>#REF!</v>
      </c>
      <c r="BY14" s="7" t="e">
        <f>IF(OR(#REF!&gt;2,#REF!&lt;-2),"",#REF!)</f>
        <v>#REF!</v>
      </c>
      <c r="BZ14" s="7" t="e">
        <f>IF(OR(#REF!&gt;2,#REF!&lt;-2),"",#REF!)</f>
        <v>#REF!</v>
      </c>
      <c r="CA14" s="7" t="e">
        <f>IF(OR(#REF!&gt;2,#REF!&lt;-2),"",#REF!)</f>
        <v>#REF!</v>
      </c>
      <c r="CB14" s="7" t="e">
        <f>IF(OR(#REF!&gt;2,#REF!&lt;-2),"",#REF!)</f>
        <v>#REF!</v>
      </c>
      <c r="CC14" s="7" t="e">
        <f>IF(OR(#REF!&gt;2,#REF!&lt;-2),"",#REF!)</f>
        <v>#REF!</v>
      </c>
      <c r="CD14" s="7" t="e">
        <f>IF(OR(#REF!&gt;2,#REF!&lt;-2),"",#REF!)</f>
        <v>#REF!</v>
      </c>
      <c r="CE14" s="7" t="e">
        <f>IF(OR(#REF!&gt;2,#REF!&lt;-2),"",#REF!)</f>
        <v>#REF!</v>
      </c>
      <c r="CF14" s="7" t="e">
        <f>IF(OR(#REF!&gt;2,#REF!&lt;-2),"",#REF!)</f>
        <v>#REF!</v>
      </c>
      <c r="CG14" s="7" t="e">
        <f>IF(OR(#REF!&gt;2,#REF!&lt;-2),"",#REF!)</f>
        <v>#REF!</v>
      </c>
      <c r="CH14" s="7" t="e">
        <f>IF(OR(#REF!&gt;2,#REF!&lt;-2),"",#REF!)</f>
        <v>#REF!</v>
      </c>
      <c r="CI14" s="7" t="e">
        <f>IF(OR(#REF!&gt;2,#REF!&lt;-2),"",#REF!)</f>
        <v>#REF!</v>
      </c>
      <c r="CJ14" s="7" t="e">
        <f>IF(OR(#REF!&gt;2,#REF!&lt;-2),"",#REF!)</f>
        <v>#REF!</v>
      </c>
      <c r="CK14" s="7" t="e">
        <f>IF(OR(#REF!&gt;2,#REF!&lt;-2),"",#REF!)</f>
        <v>#REF!</v>
      </c>
      <c r="CL14" s="7" t="e">
        <f>IF(OR(#REF!&gt;2,#REF!&lt;-2),"",#REF!)</f>
        <v>#REF!</v>
      </c>
      <c r="CM14" s="7" t="e">
        <f>IF(OR(#REF!&gt;2,#REF!&lt;-2),"",#REF!)</f>
        <v>#REF!</v>
      </c>
      <c r="CN14" s="7" t="e">
        <f>IF(OR(#REF!&gt;2,#REF!&lt;-2),"",#REF!)</f>
        <v>#REF!</v>
      </c>
      <c r="CO14" s="7" t="e">
        <f>IF(OR(#REF!&gt;2,#REF!&lt;-2),"",#REF!)</f>
        <v>#REF!</v>
      </c>
      <c r="CP14" s="7" t="e">
        <f>IF(OR(#REF!&gt;2,#REF!&lt;-2),"",#REF!)</f>
        <v>#REF!</v>
      </c>
      <c r="CQ14" s="7" t="e">
        <f>IF(OR(#REF!&gt;2,#REF!&lt;-2),"",#REF!)</f>
        <v>#REF!</v>
      </c>
      <c r="CR14" s="7" t="e">
        <f>IF(OR(#REF!&gt;2,#REF!&lt;-2),"",#REF!)</f>
        <v>#REF!</v>
      </c>
      <c r="CS14" s="7" t="e">
        <f>IF(OR(#REF!&gt;2,#REF!&lt;-2),"",#REF!)</f>
        <v>#REF!</v>
      </c>
      <c r="CT14" s="7" t="e">
        <f>IF(OR(#REF!&gt;2,#REF!&lt;-2),"",#REF!)</f>
        <v>#REF!</v>
      </c>
      <c r="CU14" s="7" t="e">
        <f>IF(OR(#REF!&gt;2,#REF!&lt;-2),"",#REF!)</f>
        <v>#REF!</v>
      </c>
      <c r="CV14" s="7" t="e">
        <f>IF(OR(#REF!&gt;2,#REF!&lt;-2),"",#REF!)</f>
        <v>#REF!</v>
      </c>
      <c r="CW14" s="7" t="e">
        <f>IF(OR(#REF!&gt;2,#REF!&lt;-2),"",#REF!)</f>
        <v>#REF!</v>
      </c>
      <c r="CX14" s="7" t="e">
        <f>IF(OR(#REF!&gt;2,#REF!&lt;-2),"",#REF!)</f>
        <v>#REF!</v>
      </c>
      <c r="CY14" s="7" t="e">
        <f>IF(OR(#REF!&gt;2,#REF!&lt;-2),"",#REF!)</f>
        <v>#REF!</v>
      </c>
      <c r="CZ14" s="7" t="e">
        <f>IF(OR(#REF!&gt;2,#REF!&lt;-2),"",#REF!)</f>
        <v>#REF!</v>
      </c>
      <c r="DA14" s="7" t="e">
        <f>IF(OR(#REF!&gt;2,#REF!&lt;-2),"",#REF!)</f>
        <v>#REF!</v>
      </c>
      <c r="DB14" s="7" t="e">
        <f>IF(OR(#REF!&gt;2,#REF!&lt;-2),"",#REF!)</f>
        <v>#REF!</v>
      </c>
      <c r="DC14" s="7" t="e">
        <f>IF(OR(#REF!&gt;2,#REF!&lt;-2),"",#REF!)</f>
        <v>#REF!</v>
      </c>
      <c r="DD14" s="7" t="e">
        <f>IF(OR(#REF!&gt;2,#REF!&lt;-2),"",#REF!)</f>
        <v>#REF!</v>
      </c>
      <c r="DE14" s="7" t="e">
        <f>IF(OR(#REF!&gt;2,#REF!&lt;-2),"",#REF!)</f>
        <v>#REF!</v>
      </c>
      <c r="DF14" s="7" t="e">
        <f>IF(OR(#REF!&gt;2,#REF!&lt;-2),"",#REF!)</f>
        <v>#REF!</v>
      </c>
      <c r="DG14" s="7" t="e">
        <f>IF(OR(#REF!&gt;2,#REF!&lt;-2),"",#REF!)</f>
        <v>#REF!</v>
      </c>
      <c r="DH14" s="7" t="e">
        <f>IF(OR(#REF!&gt;2,#REF!&lt;-2),"",#REF!)</f>
        <v>#REF!</v>
      </c>
      <c r="DI14" s="7" t="e">
        <f>IF(OR(#REF!&gt;2,#REF!&lt;-2),"",#REF!)</f>
        <v>#REF!</v>
      </c>
      <c r="DJ14" s="7" t="e">
        <f>IF(OR(#REF!&gt;2,#REF!&lt;-2),"",#REF!)</f>
        <v>#REF!</v>
      </c>
      <c r="DK14" s="7" t="e">
        <f>IF(OR(#REF!&gt;2,#REF!&lt;-2),"",#REF!)</f>
        <v>#REF!</v>
      </c>
      <c r="DL14" s="7" t="e">
        <f>IF(OR(#REF!&gt;2,#REF!&lt;-2),"",#REF!)</f>
        <v>#REF!</v>
      </c>
      <c r="DM14" s="7" t="e">
        <f>IF(OR(#REF!&gt;2,#REF!&lt;-2),"",#REF!)</f>
        <v>#REF!</v>
      </c>
      <c r="DN14" s="7" t="e">
        <f>IF(OR(#REF!&gt;2,#REF!&lt;-2),"",#REF!)</f>
        <v>#REF!</v>
      </c>
      <c r="DO14" s="7" t="e">
        <f>IF(OR(#REF!&gt;2,#REF!&lt;-2),"",#REF!)</f>
        <v>#REF!</v>
      </c>
      <c r="DP14" s="7" t="e">
        <f>IF(OR(#REF!&gt;2,#REF!&lt;-2),"",#REF!)</f>
        <v>#REF!</v>
      </c>
      <c r="DQ14" s="7" t="e">
        <f>IF(OR(#REF!&gt;2,#REF!&lt;-2),"",#REF!)</f>
        <v>#REF!</v>
      </c>
      <c r="DR14" s="7" t="e">
        <f>IF(OR(#REF!&gt;2,#REF!&lt;-2),"",#REF!)</f>
        <v>#REF!</v>
      </c>
      <c r="DS14" s="7" t="e">
        <f>IF(OR(#REF!&gt;2,#REF!&lt;-2),"",#REF!)</f>
        <v>#REF!</v>
      </c>
      <c r="DT14" s="7" t="e">
        <f>IF(OR(#REF!&gt;2,#REF!&lt;-2),"",#REF!)</f>
        <v>#REF!</v>
      </c>
      <c r="DU14" s="7" t="e">
        <f>IF(OR(#REF!&gt;2,#REF!&lt;-2),"",#REF!)</f>
        <v>#REF!</v>
      </c>
      <c r="DV14" s="7" t="e">
        <f>IF(OR(#REF!&gt;2,#REF!&lt;-2),"",#REF!)</f>
        <v>#REF!</v>
      </c>
      <c r="DW14" s="7" t="e">
        <f>IF(OR(#REF!&gt;2,#REF!&lt;-2),"",#REF!)</f>
        <v>#REF!</v>
      </c>
      <c r="DX14" s="7" t="e">
        <f>IF(OR(#REF!&gt;2,#REF!&lt;-2),"",#REF!)</f>
        <v>#REF!</v>
      </c>
      <c r="DY14" s="7" t="e">
        <f>IF(OR(#REF!&gt;2,#REF!&lt;-2),"",#REF!)</f>
        <v>#REF!</v>
      </c>
      <c r="DZ14" s="7" t="e">
        <f>IF(OR(#REF!&gt;2,#REF!&lt;-2),"",#REF!)</f>
        <v>#REF!</v>
      </c>
      <c r="EA14" s="7" t="e">
        <f>IF(OR(#REF!&gt;2,#REF!&lt;-2),"",#REF!)</f>
        <v>#REF!</v>
      </c>
      <c r="EB14" s="7" t="e">
        <f>IF(OR(#REF!&gt;2,#REF!&lt;-2),"",#REF!)</f>
        <v>#REF!</v>
      </c>
      <c r="EC14" s="7" t="e">
        <f>IF(OR(#REF!&gt;2,#REF!&lt;-2),"",#REF!)</f>
        <v>#REF!</v>
      </c>
      <c r="ED14" s="7" t="e">
        <f>IF(OR(#REF!&gt;2,#REF!&lt;-2),"",#REF!)</f>
        <v>#REF!</v>
      </c>
      <c r="EE14" s="7" t="e">
        <f>IF(OR(#REF!&gt;2,#REF!&lt;-2),"",#REF!)</f>
        <v>#REF!</v>
      </c>
      <c r="EF14" s="7" t="e">
        <f>IF(OR(#REF!&gt;2,#REF!&lt;-2),"",#REF!)</f>
        <v>#REF!</v>
      </c>
      <c r="EG14" s="7" t="e">
        <f>IF(OR(#REF!&gt;2,#REF!&lt;-2),"",#REF!)</f>
        <v>#REF!</v>
      </c>
      <c r="EH14" s="7" t="e">
        <f>IF(OR(#REF!&gt;2,#REF!&lt;-2),"",#REF!)</f>
        <v>#REF!</v>
      </c>
      <c r="EI14" s="7" t="e">
        <f>IF(OR(#REF!&gt;2,#REF!&lt;-2),"",#REF!)</f>
        <v>#REF!</v>
      </c>
      <c r="EJ14" s="7" t="e">
        <f>IF(OR(#REF!&gt;2,#REF!&lt;-2),"",#REF!)</f>
        <v>#REF!</v>
      </c>
      <c r="EK14" s="7" t="e">
        <f>IF(OR(#REF!&gt;2,#REF!&lt;-2),"",#REF!)</f>
        <v>#REF!</v>
      </c>
      <c r="EL14" s="7" t="e">
        <f>IF(OR(#REF!&gt;2,#REF!&lt;-2),"",#REF!)</f>
        <v>#REF!</v>
      </c>
      <c r="EM14" s="7" t="e">
        <f>IF(OR(#REF!&gt;2,#REF!&lt;-2),"",#REF!)</f>
        <v>#REF!</v>
      </c>
      <c r="EN14" s="7" t="e">
        <f>IF(OR(#REF!&gt;2,#REF!&lt;-2),"",#REF!)</f>
        <v>#REF!</v>
      </c>
      <c r="EO14" s="7" t="e">
        <f>IF(OR(#REF!&gt;2,#REF!&lt;-2),"",#REF!)</f>
        <v>#REF!</v>
      </c>
      <c r="EP14" s="7" t="e">
        <f>IF(OR(#REF!&gt;2,#REF!&lt;-2),"",#REF!)</f>
        <v>#REF!</v>
      </c>
      <c r="EQ14" s="7" t="e">
        <f>IF(OR(#REF!&gt;2,#REF!&lt;-2),"",#REF!)</f>
        <v>#REF!</v>
      </c>
      <c r="ER14" s="7" t="e">
        <f>IF(OR(#REF!&gt;2,#REF!&lt;-2),"",#REF!)</f>
        <v>#REF!</v>
      </c>
      <c r="ES14" s="7" t="e">
        <f>IF(OR(#REF!&gt;2,#REF!&lt;-2),"",#REF!)</f>
        <v>#REF!</v>
      </c>
      <c r="ET14" s="7" t="e">
        <f>IF(OR(#REF!&gt;2,#REF!&lt;-2),"",#REF!)</f>
        <v>#REF!</v>
      </c>
      <c r="EU14" s="7" t="e">
        <f>IF(OR(#REF!&gt;2,#REF!&lt;-2),"",#REF!)</f>
        <v>#REF!</v>
      </c>
      <c r="EV14" s="7" t="e">
        <f>IF(OR(#REF!&gt;2,#REF!&lt;-2),"",#REF!)</f>
        <v>#REF!</v>
      </c>
      <c r="EW14" s="7" t="e">
        <f>IF(OR(#REF!&gt;2,#REF!&lt;-2),"",#REF!)</f>
        <v>#REF!</v>
      </c>
      <c r="EX14" s="7" t="e">
        <f>IF(OR(#REF!&gt;2,#REF!&lt;-2),"",#REF!)</f>
        <v>#REF!</v>
      </c>
      <c r="EY14" s="7" t="e">
        <f>IF(OR(#REF!&gt;2,#REF!&lt;-2),"",#REF!)</f>
        <v>#REF!</v>
      </c>
      <c r="EZ14" s="7" t="e">
        <f>IF(OR(#REF!&gt;2,#REF!&lt;-2),"",#REF!)</f>
        <v>#REF!</v>
      </c>
      <c r="FA14" s="7" t="e">
        <f>IF(OR(#REF!&gt;2,#REF!&lt;-2),"",#REF!)</f>
        <v>#REF!</v>
      </c>
      <c r="FB14" s="7" t="e">
        <f>IF(OR(#REF!&gt;2,#REF!&lt;-2),"",#REF!)</f>
        <v>#REF!</v>
      </c>
      <c r="FC14" s="7" t="e">
        <f>IF(OR(#REF!&gt;2,#REF!&lt;-2),"",#REF!)</f>
        <v>#REF!</v>
      </c>
      <c r="FD14" s="7" t="e">
        <f>IF(OR(#REF!&gt;2,#REF!&lt;-2),"",#REF!)</f>
        <v>#REF!</v>
      </c>
      <c r="FE14" s="7" t="e">
        <f>IF(OR(#REF!&gt;2,#REF!&lt;-2),"",#REF!)</f>
        <v>#REF!</v>
      </c>
      <c r="FF14" s="7" t="e">
        <f>IF(OR(#REF!&gt;2,#REF!&lt;-2),"",#REF!)</f>
        <v>#REF!</v>
      </c>
      <c r="FG14" s="7" t="e">
        <f>IF(OR(#REF!&gt;2,#REF!&lt;-2),"",#REF!)</f>
        <v>#REF!</v>
      </c>
      <c r="FH14" s="7" t="e">
        <f>IF(OR(#REF!&gt;2,#REF!&lt;-2),"",#REF!)</f>
        <v>#REF!</v>
      </c>
      <c r="FI14" s="7" t="e">
        <f>IF(OR(#REF!&gt;2,#REF!&lt;-2),"",#REF!)</f>
        <v>#REF!</v>
      </c>
      <c r="FJ14" s="7" t="e">
        <f>IF(OR(#REF!&gt;2,#REF!&lt;-2),"",#REF!)</f>
        <v>#REF!</v>
      </c>
      <c r="FK14" s="7" t="e">
        <f>IF(OR(#REF!&gt;2,#REF!&lt;-2),"",#REF!)</f>
        <v>#REF!</v>
      </c>
      <c r="FL14" s="7" t="e">
        <f>IF(OR(#REF!&gt;2,#REF!&lt;-2),"",#REF!)</f>
        <v>#REF!</v>
      </c>
      <c r="FM14" s="7" t="e">
        <f>IF(OR(#REF!&gt;2,#REF!&lt;-2),"",#REF!)</f>
        <v>#REF!</v>
      </c>
      <c r="FN14" s="7" t="e">
        <f>IF(OR(#REF!&gt;2,#REF!&lt;-2),"",#REF!)</f>
        <v>#REF!</v>
      </c>
      <c r="FO14" s="7" t="e">
        <f>IF(OR(#REF!&gt;2,#REF!&lt;-2),"",#REF!)</f>
        <v>#REF!</v>
      </c>
      <c r="FP14" s="7" t="e">
        <f>IF(OR(#REF!&gt;2,#REF!&lt;-2),"",#REF!)</f>
        <v>#REF!</v>
      </c>
      <c r="FQ14" s="7" t="e">
        <f>IF(OR(#REF!&gt;2,#REF!&lt;-2),"",#REF!)</f>
        <v>#REF!</v>
      </c>
      <c r="FR14" s="7" t="e">
        <f>IF(OR(#REF!&gt;2,#REF!&lt;-2),"",#REF!)</f>
        <v>#REF!</v>
      </c>
      <c r="FS14" s="7" t="e">
        <f>IF(OR(#REF!&gt;2,#REF!&lt;-2),"",#REF!)</f>
        <v>#REF!</v>
      </c>
      <c r="FT14" s="7" t="e">
        <f>IF(OR(#REF!&gt;2,#REF!&lt;-2),"",#REF!)</f>
        <v>#REF!</v>
      </c>
      <c r="FU14" s="7" t="e">
        <f>IF(OR(#REF!&gt;2,#REF!&lt;-2),"",#REF!)</f>
        <v>#REF!</v>
      </c>
      <c r="FV14" s="7" t="e">
        <f>IF(OR(#REF!&gt;2,#REF!&lt;-2),"",#REF!)</f>
        <v>#REF!</v>
      </c>
      <c r="FW14" s="7" t="e">
        <f>IF(OR(#REF!&gt;2,#REF!&lt;-2),"",#REF!)</f>
        <v>#REF!</v>
      </c>
      <c r="FX14" s="7" t="e">
        <f>IF(OR(#REF!&gt;2,#REF!&lt;-2),"",#REF!)</f>
        <v>#REF!</v>
      </c>
      <c r="FY14" s="7" t="e">
        <f>IF(OR(#REF!&gt;2,#REF!&lt;-2),"",#REF!)</f>
        <v>#REF!</v>
      </c>
      <c r="FZ14" s="7" t="e">
        <f>IF(OR(#REF!&gt;2,#REF!&lt;-2),"",#REF!)</f>
        <v>#REF!</v>
      </c>
      <c r="GA14" s="7" t="e">
        <f>IF(OR(#REF!&gt;2,#REF!&lt;-2),"",#REF!)</f>
        <v>#REF!</v>
      </c>
      <c r="GB14" s="7" t="e">
        <f>IF(OR(#REF!&gt;2,#REF!&lt;-2),"",#REF!)</f>
        <v>#REF!</v>
      </c>
      <c r="GC14" s="7" t="e">
        <f>IF(OR(#REF!&gt;2,#REF!&lt;-2),"",#REF!)</f>
        <v>#REF!</v>
      </c>
      <c r="GD14" s="7" t="e">
        <f>IF(OR(#REF!&gt;2,#REF!&lt;-2),"",#REF!)</f>
        <v>#REF!</v>
      </c>
      <c r="GE14" s="7" t="e">
        <f>IF(OR(#REF!&gt;2,#REF!&lt;-2),"",#REF!)</f>
        <v>#REF!</v>
      </c>
      <c r="GF14" s="7" t="e">
        <f>IF(OR(#REF!&gt;2,#REF!&lt;-2),"",#REF!)</f>
        <v>#REF!</v>
      </c>
      <c r="GG14" s="7" t="e">
        <f>IF(OR(#REF!&gt;2,#REF!&lt;-2),"",#REF!)</f>
        <v>#REF!</v>
      </c>
      <c r="GH14" s="7" t="e">
        <f>IF(OR(#REF!&gt;2,#REF!&lt;-2),"",#REF!)</f>
        <v>#REF!</v>
      </c>
      <c r="GI14" s="7" t="e">
        <f>IF(OR(#REF!&gt;2,#REF!&lt;-2),"",#REF!)</f>
        <v>#REF!</v>
      </c>
      <c r="GJ14" s="7" t="e">
        <f>IF(OR(#REF!&gt;2,#REF!&lt;-2),"",#REF!)</f>
        <v>#REF!</v>
      </c>
      <c r="GK14" s="7" t="e">
        <f>IF(OR(#REF!&gt;2,#REF!&lt;-2),"",#REF!)</f>
        <v>#REF!</v>
      </c>
      <c r="GL14" s="7" t="e">
        <f>IF(OR(#REF!&gt;2,#REF!&lt;-2),"",#REF!)</f>
        <v>#REF!</v>
      </c>
      <c r="GM14" s="7" t="e">
        <f>IF(OR(#REF!&gt;2,#REF!&lt;-2),"",#REF!)</f>
        <v>#REF!</v>
      </c>
      <c r="GN14" s="7" t="e">
        <f>IF(OR(#REF!&gt;2,#REF!&lt;-2),"",#REF!)</f>
        <v>#REF!</v>
      </c>
      <c r="GO14" s="7" t="e">
        <f>IF(OR(#REF!&gt;2,#REF!&lt;-2),"",#REF!)</f>
        <v>#REF!</v>
      </c>
      <c r="GP14" s="7" t="e">
        <f>IF(OR(#REF!&gt;2,#REF!&lt;-2),"",#REF!)</f>
        <v>#REF!</v>
      </c>
      <c r="GQ14" s="7" t="e">
        <f>IF(OR(#REF!&gt;2,#REF!&lt;-2),"",#REF!)</f>
        <v>#REF!</v>
      </c>
      <c r="GR14" s="7" t="e">
        <f>IF(OR(#REF!&gt;2,#REF!&lt;-2),"",#REF!)</f>
        <v>#REF!</v>
      </c>
      <c r="GS14" s="7" t="e">
        <f>IF(OR(#REF!&gt;2,#REF!&lt;-2),"",#REF!)</f>
        <v>#REF!</v>
      </c>
      <c r="GT14" s="7" t="e">
        <f>IF(OR(#REF!&gt;2,#REF!&lt;-2),"",#REF!)</f>
        <v>#REF!</v>
      </c>
      <c r="GU14" s="7" t="e">
        <f>IF(OR(#REF!&gt;2,#REF!&lt;-2),"",#REF!)</f>
        <v>#REF!</v>
      </c>
      <c r="GV14" s="7" t="e">
        <f>IF(OR(#REF!&gt;2,#REF!&lt;-2),"",#REF!)</f>
        <v>#REF!</v>
      </c>
      <c r="GW14" s="7" t="e">
        <f>IF(OR(#REF!&gt;2,#REF!&lt;-2),"",#REF!)</f>
        <v>#REF!</v>
      </c>
      <c r="GX14" s="7" t="e">
        <f>IF(OR(#REF!&gt;2,#REF!&lt;-2),"",#REF!)</f>
        <v>#REF!</v>
      </c>
      <c r="GY14" s="7" t="e">
        <f>IF(OR(#REF!&gt;2,#REF!&lt;-2),"",#REF!)</f>
        <v>#REF!</v>
      </c>
      <c r="GZ14" s="7" t="e">
        <f>IF(OR(#REF!&gt;2,#REF!&lt;-2),"",#REF!)</f>
        <v>#REF!</v>
      </c>
      <c r="HA14" s="7" t="e">
        <f>IF(OR(#REF!&gt;2,#REF!&lt;-2),"",#REF!)</f>
        <v>#REF!</v>
      </c>
      <c r="HB14" s="7" t="e">
        <f>IF(OR(#REF!&gt;2,#REF!&lt;-2),"",#REF!)</f>
        <v>#REF!</v>
      </c>
      <c r="HC14" s="7" t="e">
        <f>IF(OR(#REF!&gt;2,#REF!&lt;-2),"",#REF!)</f>
        <v>#REF!</v>
      </c>
      <c r="HD14" s="7" t="e">
        <f>IF(OR(#REF!&gt;2,#REF!&lt;-2),"",#REF!)</f>
        <v>#REF!</v>
      </c>
      <c r="HE14" s="7" t="e">
        <f>IF(OR(#REF!&gt;2,#REF!&lt;-2),"",#REF!)</f>
        <v>#REF!</v>
      </c>
      <c r="HF14" s="7" t="e">
        <f>IF(OR(#REF!&gt;2,#REF!&lt;-2),"",#REF!)</f>
        <v>#REF!</v>
      </c>
      <c r="HG14" s="7" t="e">
        <f>IF(OR(#REF!&gt;2,#REF!&lt;-2),"",#REF!)</f>
        <v>#REF!</v>
      </c>
      <c r="HH14" s="7" t="e">
        <f>IF(OR(#REF!&gt;2,#REF!&lt;-2),"",#REF!)</f>
        <v>#REF!</v>
      </c>
      <c r="HI14" s="7" t="e">
        <f>IF(OR(#REF!&gt;2,#REF!&lt;-2),"",#REF!)</f>
        <v>#REF!</v>
      </c>
      <c r="HJ14" s="7" t="e">
        <f>IF(OR(#REF!&gt;2,#REF!&lt;-2),"",#REF!)</f>
        <v>#REF!</v>
      </c>
      <c r="HK14" s="7" t="e">
        <f>IF(OR(#REF!&gt;2,#REF!&lt;-2),"",#REF!)</f>
        <v>#REF!</v>
      </c>
      <c r="HL14" s="7" t="e">
        <f>IF(OR(#REF!&gt;2,#REF!&lt;-2),"",#REF!)</f>
        <v>#REF!</v>
      </c>
      <c r="HM14" s="7" t="e">
        <f>IF(OR(#REF!&gt;2,#REF!&lt;-2),"",#REF!)</f>
        <v>#REF!</v>
      </c>
      <c r="HN14" s="7" t="e">
        <f>IF(OR(#REF!&gt;2,#REF!&lt;-2),"",#REF!)</f>
        <v>#REF!</v>
      </c>
      <c r="HO14" s="7" t="e">
        <f>IF(OR(#REF!&gt;2,#REF!&lt;-2),"",#REF!)</f>
        <v>#REF!</v>
      </c>
      <c r="HP14" s="7" t="e">
        <f>IF(OR(#REF!&gt;2,#REF!&lt;-2),"",#REF!)</f>
        <v>#REF!</v>
      </c>
      <c r="HQ14" s="7" t="e">
        <f>IF(OR(#REF!&gt;2,#REF!&lt;-2),"",#REF!)</f>
        <v>#REF!</v>
      </c>
      <c r="HR14" s="7" t="e">
        <f>IF(OR(#REF!&gt;2,#REF!&lt;-2),"",#REF!)</f>
        <v>#REF!</v>
      </c>
      <c r="HS14" s="7" t="e">
        <f>IF(OR(#REF!&gt;2,#REF!&lt;-2),"",#REF!)</f>
        <v>#REF!</v>
      </c>
      <c r="HT14" s="7" t="e">
        <f>IF(OR(#REF!&gt;2,#REF!&lt;-2),"",#REF!)</f>
        <v>#REF!</v>
      </c>
      <c r="HU14" s="7" t="e">
        <f>IF(OR(#REF!&gt;2,#REF!&lt;-2),"",#REF!)</f>
        <v>#REF!</v>
      </c>
      <c r="HV14" s="7" t="e">
        <f>IF(OR(#REF!&gt;2,#REF!&lt;-2),"",#REF!)</f>
        <v>#REF!</v>
      </c>
      <c r="HW14" s="7" t="e">
        <f>IF(OR(#REF!&gt;2,#REF!&lt;-2),"",#REF!)</f>
        <v>#REF!</v>
      </c>
      <c r="HX14" s="7" t="e">
        <f>IF(OR(#REF!&gt;2,#REF!&lt;-2),"",#REF!)</f>
        <v>#REF!</v>
      </c>
      <c r="HY14" s="7" t="e">
        <f>IF(OR(#REF!&gt;2,#REF!&lt;-2),"",#REF!)</f>
        <v>#REF!</v>
      </c>
      <c r="HZ14" s="7" t="e">
        <f>IF(OR(#REF!&gt;2,#REF!&lt;-2),"",#REF!)</f>
        <v>#REF!</v>
      </c>
      <c r="IA14" s="7" t="e">
        <f>IF(OR(#REF!&gt;2,#REF!&lt;-2),"",#REF!)</f>
        <v>#REF!</v>
      </c>
      <c r="IB14" s="7" t="e">
        <f>IF(OR(#REF!&gt;2,#REF!&lt;-2),"",#REF!)</f>
        <v>#REF!</v>
      </c>
      <c r="IC14" s="7" t="e">
        <f>IF(OR(#REF!&gt;2,#REF!&lt;-2),"",#REF!)</f>
        <v>#REF!</v>
      </c>
      <c r="ID14" s="7" t="e">
        <f>IF(OR(#REF!&gt;2,#REF!&lt;-2),"",#REF!)</f>
        <v>#REF!</v>
      </c>
      <c r="IE14" s="7" t="e">
        <f>IF(OR(#REF!&gt;2,#REF!&lt;-2),"",#REF!)</f>
        <v>#REF!</v>
      </c>
      <c r="IF14" s="7" t="e">
        <f>IF(OR(#REF!&gt;2,#REF!&lt;-2),"",#REF!)</f>
        <v>#REF!</v>
      </c>
      <c r="IG14" s="7" t="e">
        <f>IF(OR(#REF!&gt;2,#REF!&lt;-2),"",#REF!)</f>
        <v>#REF!</v>
      </c>
      <c r="IH14" s="7" t="e">
        <f>IF(OR(#REF!&gt;2,#REF!&lt;-2),"",#REF!)</f>
        <v>#REF!</v>
      </c>
      <c r="II14" s="7" t="e">
        <f>IF(OR(#REF!&gt;2,#REF!&lt;-2),"",#REF!)</f>
        <v>#REF!</v>
      </c>
      <c r="IJ14" s="7" t="e">
        <f>IF(OR(#REF!&gt;2,#REF!&lt;-2),"",#REF!)</f>
        <v>#REF!</v>
      </c>
      <c r="IK14" s="7" t="e">
        <f>IF(OR(#REF!&gt;2,#REF!&lt;-2),"",#REF!)</f>
        <v>#REF!</v>
      </c>
      <c r="IL14" s="7" t="e">
        <f>IF(OR(#REF!&gt;2,#REF!&lt;-2),"",#REF!)</f>
        <v>#REF!</v>
      </c>
      <c r="IM14" s="7" t="e">
        <f>IF(OR(#REF!&gt;2,#REF!&lt;-2),"",#REF!)</f>
        <v>#REF!</v>
      </c>
      <c r="IN14" s="7" t="e">
        <f>IF(OR(#REF!&gt;2,#REF!&lt;-2),"",#REF!)</f>
        <v>#REF!</v>
      </c>
      <c r="IO14" s="7" t="e">
        <f>IF(OR(#REF!&gt;2,#REF!&lt;-2),"",#REF!)</f>
        <v>#REF!</v>
      </c>
      <c r="IP14" s="7" t="e">
        <f>IF(OR(#REF!&gt;2,#REF!&lt;-2),"",#REF!)</f>
        <v>#REF!</v>
      </c>
      <c r="IQ14" s="7" t="e">
        <f>IF(OR(#REF!&gt;2,#REF!&lt;-2),"",#REF!)</f>
        <v>#REF!</v>
      </c>
      <c r="IR14" s="7" t="e">
        <f>IF(OR(#REF!&gt;2,#REF!&lt;-2),"",#REF!)</f>
        <v>#REF!</v>
      </c>
      <c r="IS14" s="7" t="e">
        <f>IF(OR(#REF!&gt;2,#REF!&lt;-2),"",#REF!)</f>
        <v>#REF!</v>
      </c>
      <c r="IT14" s="7" t="e">
        <f>IF(OR(#REF!&gt;2,#REF!&lt;-2),"",#REF!)</f>
        <v>#REF!</v>
      </c>
      <c r="IU14" s="7" t="e">
        <f>IF(OR(#REF!&gt;2,#REF!&lt;-2),"",#REF!)</f>
        <v>#REF!</v>
      </c>
      <c r="IV14" s="7" t="e">
        <f>IF(OR(#REF!&gt;2,#REF!&lt;-2),"",#REF!)</f>
        <v>#REF!</v>
      </c>
      <c r="IW14" s="7" t="e">
        <f>IF(OR(#REF!&gt;2,#REF!&lt;-2),"",#REF!)</f>
        <v>#REF!</v>
      </c>
      <c r="IX14" s="7" t="e">
        <f>IF(OR(#REF!&gt;2,#REF!&lt;-2),"",#REF!)</f>
        <v>#REF!</v>
      </c>
      <c r="IY14" s="7" t="e">
        <f>IF(OR(#REF!&gt;2,#REF!&lt;-2),"",#REF!)</f>
        <v>#REF!</v>
      </c>
      <c r="IZ14" s="7" t="e">
        <f>IF(OR(#REF!&gt;2,#REF!&lt;-2),"",#REF!)</f>
        <v>#REF!</v>
      </c>
      <c r="JA14" s="7" t="e">
        <f>IF(OR(#REF!&gt;2,#REF!&lt;-2),"",#REF!)</f>
        <v>#REF!</v>
      </c>
      <c r="JB14" s="7" t="e">
        <f>IF(OR(#REF!&gt;2,#REF!&lt;-2),"",#REF!)</f>
        <v>#REF!</v>
      </c>
      <c r="JC14" s="7" t="e">
        <f>IF(OR(#REF!&gt;2,#REF!&lt;-2),"",#REF!)</f>
        <v>#REF!</v>
      </c>
      <c r="JD14" s="7" t="e">
        <f>IF(OR(#REF!&gt;2,#REF!&lt;-2),"",#REF!)</f>
        <v>#REF!</v>
      </c>
      <c r="JE14" s="7" t="e">
        <f>IF(OR(#REF!&gt;2,#REF!&lt;-2),"",#REF!)</f>
        <v>#REF!</v>
      </c>
      <c r="JF14" s="7" t="e">
        <f>IF(OR(#REF!&gt;2,#REF!&lt;-2),"",#REF!)</f>
        <v>#REF!</v>
      </c>
      <c r="JG14" s="7" t="e">
        <f>IF(OR(#REF!&gt;2,#REF!&lt;-2),"",#REF!)</f>
        <v>#REF!</v>
      </c>
      <c r="JH14" s="7" t="e">
        <f>IF(OR(#REF!&gt;2,#REF!&lt;-2),"",#REF!)</f>
        <v>#REF!</v>
      </c>
      <c r="JI14" s="7" t="e">
        <f>IF(OR(#REF!&gt;2,#REF!&lt;-2),"",#REF!)</f>
        <v>#REF!</v>
      </c>
      <c r="JJ14" s="7" t="e">
        <f>IF(OR(#REF!&gt;2,#REF!&lt;-2),"",#REF!)</f>
        <v>#REF!</v>
      </c>
      <c r="JK14" s="7" t="e">
        <f>IF(OR(#REF!&gt;2,#REF!&lt;-2),"",#REF!)</f>
        <v>#REF!</v>
      </c>
      <c r="JL14" s="7" t="e">
        <f>IF(OR(#REF!&gt;2,#REF!&lt;-2),"",#REF!)</f>
        <v>#REF!</v>
      </c>
      <c r="JM14" s="7" t="e">
        <f>IF(OR(#REF!&gt;2,#REF!&lt;-2),"",#REF!)</f>
        <v>#REF!</v>
      </c>
      <c r="JN14" s="7" t="e">
        <f>IF(OR(#REF!&gt;2,#REF!&lt;-2),"",#REF!)</f>
        <v>#REF!</v>
      </c>
      <c r="JO14" s="7" t="e">
        <f>IF(OR(#REF!&gt;2,#REF!&lt;-2),"",#REF!)</f>
        <v>#REF!</v>
      </c>
      <c r="JP14" s="7" t="e">
        <f>IF(OR(#REF!&gt;2,#REF!&lt;-2),"",#REF!)</f>
        <v>#REF!</v>
      </c>
      <c r="JQ14" s="7" t="e">
        <f>IF(OR(#REF!&gt;2,#REF!&lt;-2),"",#REF!)</f>
        <v>#REF!</v>
      </c>
      <c r="JR14" s="7" t="e">
        <f>IF(OR(#REF!&gt;2,#REF!&lt;-2),"",#REF!)</f>
        <v>#REF!</v>
      </c>
      <c r="JS14" s="7" t="e">
        <f>IF(OR(#REF!&gt;2,#REF!&lt;-2),"",#REF!)</f>
        <v>#REF!</v>
      </c>
      <c r="JT14" s="7" t="e">
        <f>IF(OR(#REF!&gt;2,#REF!&lt;-2),"",#REF!)</f>
        <v>#REF!</v>
      </c>
      <c r="JU14" s="7" t="e">
        <f>IF(OR(#REF!&gt;2,#REF!&lt;-2),"",#REF!)</f>
        <v>#REF!</v>
      </c>
      <c r="JV14" s="7" t="e">
        <f>IF(OR(#REF!&gt;2,#REF!&lt;-2),"",#REF!)</f>
        <v>#REF!</v>
      </c>
      <c r="JW14" s="7" t="e">
        <f>IF(OR(#REF!&gt;2,#REF!&lt;-2),"",#REF!)</f>
        <v>#REF!</v>
      </c>
      <c r="JX14" s="7" t="e">
        <f>IF(OR(#REF!&gt;2,#REF!&lt;-2),"",#REF!)</f>
        <v>#REF!</v>
      </c>
      <c r="JY14" s="7" t="e">
        <f>IF(OR(#REF!&gt;2,#REF!&lt;-2),"",#REF!)</f>
        <v>#REF!</v>
      </c>
      <c r="JZ14" s="7" t="e">
        <f>IF(OR(#REF!&gt;2,#REF!&lt;-2),"",#REF!)</f>
        <v>#REF!</v>
      </c>
      <c r="KA14" s="7" t="e">
        <f>IF(OR(#REF!&gt;2,#REF!&lt;-2),"",#REF!)</f>
        <v>#REF!</v>
      </c>
      <c r="KB14" s="7" t="e">
        <f>IF(OR(#REF!&gt;2,#REF!&lt;-2),"",#REF!)</f>
        <v>#REF!</v>
      </c>
      <c r="KC14" s="7" t="e">
        <f>IF(OR(#REF!&gt;2,#REF!&lt;-2),"",#REF!)</f>
        <v>#REF!</v>
      </c>
      <c r="KD14" s="7" t="e">
        <f>IF(OR(#REF!&gt;2,#REF!&lt;-2),"",#REF!)</f>
        <v>#REF!</v>
      </c>
      <c r="KE14" s="7" t="e">
        <f>IF(OR(#REF!&gt;2,#REF!&lt;-2),"",#REF!)</f>
        <v>#REF!</v>
      </c>
      <c r="KF14" s="7" t="e">
        <f>IF(OR(#REF!&gt;2,#REF!&lt;-2),"",#REF!)</f>
        <v>#REF!</v>
      </c>
      <c r="KG14" s="7" t="e">
        <f>IF(OR(#REF!&gt;2,#REF!&lt;-2),"",#REF!)</f>
        <v>#REF!</v>
      </c>
      <c r="KH14" s="7" t="e">
        <f>IF(OR(#REF!&gt;2,#REF!&lt;-2),"",#REF!)</f>
        <v>#REF!</v>
      </c>
      <c r="KI14" s="7" t="e">
        <f>IF(OR(#REF!&gt;2,#REF!&lt;-2),"",#REF!)</f>
        <v>#REF!</v>
      </c>
      <c r="KJ14" s="7" t="e">
        <f>IF(OR(#REF!&gt;2,#REF!&lt;-2),"",#REF!)</f>
        <v>#REF!</v>
      </c>
      <c r="KK14" s="7" t="e">
        <f>IF(OR(#REF!&gt;2,#REF!&lt;-2),"",#REF!)</f>
        <v>#REF!</v>
      </c>
      <c r="KL14" s="7" t="e">
        <f>IF(OR(#REF!&gt;2,#REF!&lt;-2),"",#REF!)</f>
        <v>#REF!</v>
      </c>
      <c r="KM14" s="7" t="e">
        <f>IF(OR(#REF!&gt;2,#REF!&lt;-2),"",#REF!)</f>
        <v>#REF!</v>
      </c>
      <c r="KN14" s="7" t="e">
        <f>IF(OR(#REF!&gt;2,#REF!&lt;-2),"",#REF!)</f>
        <v>#REF!</v>
      </c>
      <c r="KO14" s="7" t="e">
        <f>IF(OR(#REF!&gt;2,#REF!&lt;-2),"",#REF!)</f>
        <v>#REF!</v>
      </c>
      <c r="KP14" s="7" t="e">
        <f>IF(OR(#REF!&gt;2,#REF!&lt;-2),"",#REF!)</f>
        <v>#REF!</v>
      </c>
      <c r="KQ14" s="7" t="e">
        <f>IF(OR(#REF!&gt;2,#REF!&lt;-2),"",#REF!)</f>
        <v>#REF!</v>
      </c>
      <c r="KR14" s="7" t="e">
        <f>IF(OR(#REF!&gt;2,#REF!&lt;-2),"",#REF!)</f>
        <v>#REF!</v>
      </c>
      <c r="KS14" s="7" t="e">
        <f>IF(OR(#REF!&gt;2,#REF!&lt;-2),"",#REF!)</f>
        <v>#REF!</v>
      </c>
      <c r="KT14" s="7" t="e">
        <f>IF(OR(#REF!&gt;2,#REF!&lt;-2),"",#REF!)</f>
        <v>#REF!</v>
      </c>
      <c r="KU14" s="7" t="e">
        <f>IF(OR(#REF!&gt;2,#REF!&lt;-2),"",#REF!)</f>
        <v>#REF!</v>
      </c>
      <c r="KV14" s="7" t="e">
        <f>IF(OR(#REF!&gt;2,#REF!&lt;-2),"",#REF!)</f>
        <v>#REF!</v>
      </c>
      <c r="KW14" s="7" t="e">
        <f>IF(OR(#REF!&gt;2,#REF!&lt;-2),"",#REF!)</f>
        <v>#REF!</v>
      </c>
      <c r="KX14" s="7" t="e">
        <f>IF(OR(#REF!&gt;2,#REF!&lt;-2),"",#REF!)</f>
        <v>#REF!</v>
      </c>
      <c r="KY14" s="7" t="e">
        <f>IF(OR(#REF!&gt;2,#REF!&lt;-2),"",#REF!)</f>
        <v>#REF!</v>
      </c>
      <c r="KZ14" s="7" t="e">
        <f>IF(OR(#REF!&gt;2,#REF!&lt;-2),"",#REF!)</f>
        <v>#REF!</v>
      </c>
      <c r="LA14" s="7" t="e">
        <f>IF(OR(#REF!&gt;2,#REF!&lt;-2),"",#REF!)</f>
        <v>#REF!</v>
      </c>
      <c r="LB14" s="7" t="e">
        <f>IF(OR(#REF!&gt;2,#REF!&lt;-2),"",#REF!)</f>
        <v>#REF!</v>
      </c>
      <c r="LC14" s="7" t="e">
        <f>IF(OR(#REF!&gt;2,#REF!&lt;-2),"",#REF!)</f>
        <v>#REF!</v>
      </c>
      <c r="LD14" s="7" t="e">
        <f>IF(OR(#REF!&gt;2,#REF!&lt;-2),"",#REF!)</f>
        <v>#REF!</v>
      </c>
      <c r="LE14" s="7" t="e">
        <f>IF(OR(#REF!&gt;2,#REF!&lt;-2),"",#REF!)</f>
        <v>#REF!</v>
      </c>
      <c r="LF14" s="7" t="e">
        <f>IF(OR(#REF!&gt;2,#REF!&lt;-2),"",#REF!)</f>
        <v>#REF!</v>
      </c>
      <c r="LG14" s="7" t="e">
        <f>IF(OR(#REF!&gt;2,#REF!&lt;-2),"",#REF!)</f>
        <v>#REF!</v>
      </c>
      <c r="LH14" s="7" t="e">
        <f>IF(OR(#REF!&gt;2,#REF!&lt;-2),"",#REF!)</f>
        <v>#REF!</v>
      </c>
      <c r="LI14" s="7" t="e">
        <f>IF(OR(#REF!&gt;2,#REF!&lt;-2),"",#REF!)</f>
        <v>#REF!</v>
      </c>
      <c r="LJ14" s="7" t="e">
        <f>IF(OR(#REF!&gt;2,#REF!&lt;-2),"",#REF!)</f>
        <v>#REF!</v>
      </c>
      <c r="LK14" s="7" t="e">
        <f>IF(OR(#REF!&gt;2,#REF!&lt;-2),"",#REF!)</f>
        <v>#REF!</v>
      </c>
      <c r="LL14" s="7" t="e">
        <f>IF(OR(#REF!&gt;2,#REF!&lt;-2),"",#REF!)</f>
        <v>#REF!</v>
      </c>
      <c r="LM14" s="7" t="e">
        <f>IF(OR(#REF!&gt;2,#REF!&lt;-2),"",#REF!)</f>
        <v>#REF!</v>
      </c>
      <c r="LN14" s="7" t="e">
        <f>IF(OR(#REF!&gt;2,#REF!&lt;-2),"",#REF!)</f>
        <v>#REF!</v>
      </c>
      <c r="LO14" s="7" t="e">
        <f>IF(OR(#REF!&gt;2,#REF!&lt;-2),"",#REF!)</f>
        <v>#REF!</v>
      </c>
      <c r="LP14" s="7" t="e">
        <f>IF(OR(#REF!&gt;2,#REF!&lt;-2),"",#REF!)</f>
        <v>#REF!</v>
      </c>
      <c r="LQ14" s="7" t="e">
        <f>IF(OR(#REF!&gt;2,#REF!&lt;-2),"",#REF!)</f>
        <v>#REF!</v>
      </c>
      <c r="LR14" s="7" t="e">
        <f>IF(OR(#REF!&gt;2,#REF!&lt;-2),"",#REF!)</f>
        <v>#REF!</v>
      </c>
      <c r="LS14" s="7" t="e">
        <f>IF(OR(#REF!&gt;2,#REF!&lt;-2),"",#REF!)</f>
        <v>#REF!</v>
      </c>
      <c r="LT14" s="7" t="e">
        <f>IF(OR(#REF!&gt;2,#REF!&lt;-2),"",#REF!)</f>
        <v>#REF!</v>
      </c>
      <c r="LU14" s="7" t="e">
        <f>IF(OR(#REF!&gt;2,#REF!&lt;-2),"",#REF!)</f>
        <v>#REF!</v>
      </c>
      <c r="LV14" s="7" t="e">
        <f>IF(OR(#REF!&gt;2,#REF!&lt;-2),"",#REF!)</f>
        <v>#REF!</v>
      </c>
      <c r="LW14" s="7" t="e">
        <f>IF(OR(#REF!&gt;2,#REF!&lt;-2),"",#REF!)</f>
        <v>#REF!</v>
      </c>
      <c r="LX14" s="7" t="e">
        <f>IF(OR(#REF!&gt;2,#REF!&lt;-2),"",#REF!)</f>
        <v>#REF!</v>
      </c>
      <c r="LY14" s="7" t="e">
        <f>IF(OR(#REF!&gt;2,#REF!&lt;-2),"",#REF!)</f>
        <v>#REF!</v>
      </c>
      <c r="LZ14" s="7" t="e">
        <f>IF(OR(#REF!&gt;2,#REF!&lt;-2),"",#REF!)</f>
        <v>#REF!</v>
      </c>
      <c r="MA14" s="7" t="e">
        <f>IF(OR(#REF!&gt;2,#REF!&lt;-2),"",#REF!)</f>
        <v>#REF!</v>
      </c>
      <c r="MB14" s="7" t="e">
        <f>IF(OR(#REF!&gt;2,#REF!&lt;-2),"",#REF!)</f>
        <v>#REF!</v>
      </c>
      <c r="MC14" s="7" t="e">
        <f>IF(OR(#REF!&gt;2,#REF!&lt;-2),"",#REF!)</f>
        <v>#REF!</v>
      </c>
      <c r="MD14" s="7" t="e">
        <f>IF(OR(#REF!&gt;2,#REF!&lt;-2),"",#REF!)</f>
        <v>#REF!</v>
      </c>
      <c r="ME14" s="7" t="e">
        <f>IF(OR(#REF!&gt;2,#REF!&lt;-2),"",#REF!)</f>
        <v>#REF!</v>
      </c>
      <c r="MF14" s="7" t="e">
        <f>IF(OR(#REF!&gt;2,#REF!&lt;-2),"",#REF!)</f>
        <v>#REF!</v>
      </c>
      <c r="MG14" s="7" t="e">
        <f>IF(OR(#REF!&gt;2,#REF!&lt;-2),"",#REF!)</f>
        <v>#REF!</v>
      </c>
      <c r="MH14" s="7" t="e">
        <f>IF(OR(#REF!&gt;2,#REF!&lt;-2),"",#REF!)</f>
        <v>#REF!</v>
      </c>
      <c r="MI14" s="7" t="e">
        <f>IF(OR(#REF!&gt;2,#REF!&lt;-2),"",#REF!)</f>
        <v>#REF!</v>
      </c>
      <c r="MJ14" s="7" t="e">
        <f>IF(OR(#REF!&gt;2,#REF!&lt;-2),"",#REF!)</f>
        <v>#REF!</v>
      </c>
      <c r="MK14" s="7" t="e">
        <f>IF(OR(#REF!&gt;2,#REF!&lt;-2),"",#REF!)</f>
        <v>#REF!</v>
      </c>
      <c r="ML14" s="7" t="e">
        <f>IF(OR(#REF!&gt;2,#REF!&lt;-2),"",#REF!)</f>
        <v>#REF!</v>
      </c>
      <c r="MM14" s="7" t="e">
        <f>IF(OR(#REF!&gt;2,#REF!&lt;-2),"",#REF!)</f>
        <v>#REF!</v>
      </c>
      <c r="MN14" s="7" t="e">
        <f>IF(OR(#REF!&gt;2,#REF!&lt;-2),"",#REF!)</f>
        <v>#REF!</v>
      </c>
      <c r="MO14" s="7" t="e">
        <f>IF(OR(#REF!&gt;2,#REF!&lt;-2),"",#REF!)</f>
        <v>#REF!</v>
      </c>
      <c r="MP14" s="7" t="e">
        <f>IF(OR(#REF!&gt;2,#REF!&lt;-2),"",#REF!)</f>
        <v>#REF!</v>
      </c>
      <c r="MQ14" s="7" t="e">
        <f>IF(OR(#REF!&gt;2,#REF!&lt;-2),"",#REF!)</f>
        <v>#REF!</v>
      </c>
      <c r="MR14" s="7" t="e">
        <f>IF(OR(#REF!&gt;2,#REF!&lt;-2),"",#REF!)</f>
        <v>#REF!</v>
      </c>
      <c r="MS14" s="7" t="e">
        <f>IF(OR(#REF!&gt;2,#REF!&lt;-2),"",#REF!)</f>
        <v>#REF!</v>
      </c>
      <c r="MT14" s="7" t="e">
        <f>IF(OR(#REF!&gt;2,#REF!&lt;-2),"",#REF!)</f>
        <v>#REF!</v>
      </c>
      <c r="MU14" s="7" t="e">
        <f>IF(OR(#REF!&gt;2,#REF!&lt;-2),"",#REF!)</f>
        <v>#REF!</v>
      </c>
      <c r="MV14" s="7" t="e">
        <f>IF(OR(#REF!&gt;2,#REF!&lt;-2),"",#REF!)</f>
        <v>#REF!</v>
      </c>
      <c r="MW14" s="7" t="e">
        <f>IF(OR(#REF!&gt;2,#REF!&lt;-2),"",#REF!)</f>
        <v>#REF!</v>
      </c>
      <c r="MX14" s="7" t="e">
        <f>IF(OR(#REF!&gt;2,#REF!&lt;-2),"",#REF!)</f>
        <v>#REF!</v>
      </c>
      <c r="MY14" s="7" t="e">
        <f>IF(OR(#REF!&gt;2,#REF!&lt;-2),"",#REF!)</f>
        <v>#REF!</v>
      </c>
      <c r="MZ14" s="7" t="e">
        <f>IF(OR(#REF!&gt;2,#REF!&lt;-2),"",#REF!)</f>
        <v>#REF!</v>
      </c>
      <c r="NA14" s="7" t="e">
        <f>IF(OR(#REF!&gt;2,#REF!&lt;-2),"",#REF!)</f>
        <v>#REF!</v>
      </c>
      <c r="NB14" s="7" t="e">
        <f>IF(OR(#REF!&gt;2,#REF!&lt;-2),"",#REF!)</f>
        <v>#REF!</v>
      </c>
      <c r="NC14" s="7" t="e">
        <f>IF(OR(#REF!&gt;2,#REF!&lt;-2),"",#REF!)</f>
        <v>#REF!</v>
      </c>
      <c r="ND14" s="7" t="e">
        <f>IF(OR(#REF!&gt;2,#REF!&lt;-2),"",#REF!)</f>
        <v>#REF!</v>
      </c>
      <c r="NE14" s="7" t="e">
        <f>IF(OR(#REF!&gt;2,#REF!&lt;-2),"",#REF!)</f>
        <v>#REF!</v>
      </c>
      <c r="NF14" s="7" t="e">
        <f>IF(OR(#REF!&gt;2,#REF!&lt;-2),"",#REF!)</f>
        <v>#REF!</v>
      </c>
      <c r="NG14" s="7" t="e">
        <f>IF(OR(#REF!&gt;2,#REF!&lt;-2),"",#REF!)</f>
        <v>#REF!</v>
      </c>
      <c r="NH14" s="7" t="e">
        <f>IF(OR(#REF!&gt;2,#REF!&lt;-2),"",#REF!)</f>
        <v>#REF!</v>
      </c>
      <c r="NI14" s="7" t="e">
        <f>IF(OR(#REF!&gt;2,#REF!&lt;-2),"",#REF!)</f>
        <v>#REF!</v>
      </c>
      <c r="NJ14" s="7" t="e">
        <f>IF(OR(#REF!&gt;2,#REF!&lt;-2),"",#REF!)</f>
        <v>#REF!</v>
      </c>
      <c r="NK14" s="7" t="e">
        <f>IF(OR(#REF!&gt;2,#REF!&lt;-2),"",#REF!)</f>
        <v>#REF!</v>
      </c>
      <c r="NL14" s="7" t="e">
        <f>IF(OR(#REF!&gt;2,#REF!&lt;-2),"",#REF!)</f>
        <v>#REF!</v>
      </c>
      <c r="NM14" s="7" t="e">
        <f>IF(OR(#REF!&gt;2,#REF!&lt;-2),"",#REF!)</f>
        <v>#REF!</v>
      </c>
      <c r="NN14" s="7" t="e">
        <f>IF(OR(#REF!&gt;2,#REF!&lt;-2),"",#REF!)</f>
        <v>#REF!</v>
      </c>
      <c r="NO14" s="7" t="e">
        <f>IF(OR(#REF!&gt;2,#REF!&lt;-2),"",#REF!)</f>
        <v>#REF!</v>
      </c>
      <c r="NP14" s="7" t="e">
        <f>IF(OR(#REF!&gt;2,#REF!&lt;-2),"",#REF!)</f>
        <v>#REF!</v>
      </c>
      <c r="NQ14" s="7" t="e">
        <f>IF(OR(#REF!&gt;2,#REF!&lt;-2),"",#REF!)</f>
        <v>#REF!</v>
      </c>
      <c r="NR14" s="7" t="e">
        <f>IF(OR(#REF!&gt;2,#REF!&lt;-2),"",#REF!)</f>
        <v>#REF!</v>
      </c>
      <c r="NS14" s="7" t="e">
        <f>IF(OR(#REF!&gt;2,#REF!&lt;-2),"",#REF!)</f>
        <v>#REF!</v>
      </c>
      <c r="NT14" s="7" t="e">
        <f>IF(OR(#REF!&gt;2,#REF!&lt;-2),"",#REF!)</f>
        <v>#REF!</v>
      </c>
      <c r="NU14" s="7" t="e">
        <f>IF(OR(#REF!&gt;2,#REF!&lt;-2),"",#REF!)</f>
        <v>#REF!</v>
      </c>
      <c r="NV14" s="7" t="e">
        <f>IF(OR(#REF!&gt;2,#REF!&lt;-2),"",#REF!)</f>
        <v>#REF!</v>
      </c>
      <c r="NW14" s="7" t="e">
        <f>IF(OR(#REF!&gt;2,#REF!&lt;-2),"",#REF!)</f>
        <v>#REF!</v>
      </c>
      <c r="NX14" s="7" t="e">
        <f>IF(OR(#REF!&gt;2,#REF!&lt;-2),"",#REF!)</f>
        <v>#REF!</v>
      </c>
      <c r="NY14" s="7" t="e">
        <f>IF(OR(#REF!&gt;2,#REF!&lt;-2),"",#REF!)</f>
        <v>#REF!</v>
      </c>
      <c r="NZ14" s="7" t="e">
        <f>IF(OR(#REF!&gt;2,#REF!&lt;-2),"",#REF!)</f>
        <v>#REF!</v>
      </c>
      <c r="OA14" s="7" t="e">
        <f>IF(OR(#REF!&gt;2,#REF!&lt;-2),"",#REF!)</f>
        <v>#REF!</v>
      </c>
      <c r="OB14" s="7" t="e">
        <f>IF(OR(#REF!&gt;2,#REF!&lt;-2),"",#REF!)</f>
        <v>#REF!</v>
      </c>
      <c r="OC14" s="7" t="e">
        <f>IF(OR(#REF!&gt;2,#REF!&lt;-2),"",#REF!)</f>
        <v>#REF!</v>
      </c>
      <c r="OD14" s="7" t="e">
        <f>IF(OR(#REF!&gt;2,#REF!&lt;-2),"",#REF!)</f>
        <v>#REF!</v>
      </c>
      <c r="OE14" s="7" t="e">
        <f>IF(OR(#REF!&gt;2,#REF!&lt;-2),"",#REF!)</f>
        <v>#REF!</v>
      </c>
      <c r="OF14" s="7" t="e">
        <f>IF(OR(#REF!&gt;2,#REF!&lt;-2),"",#REF!)</f>
        <v>#REF!</v>
      </c>
      <c r="OG14" s="7" t="e">
        <f>IF(OR(#REF!&gt;2,#REF!&lt;-2),"",#REF!)</f>
        <v>#REF!</v>
      </c>
      <c r="OH14" s="7" t="e">
        <f>IF(OR(#REF!&gt;2,#REF!&lt;-2),"",#REF!)</f>
        <v>#REF!</v>
      </c>
      <c r="OI14" s="7" t="e">
        <f>IF(OR(#REF!&gt;2,#REF!&lt;-2),"",#REF!)</f>
        <v>#REF!</v>
      </c>
      <c r="OJ14" s="7" t="e">
        <f>IF(OR(#REF!&gt;2,#REF!&lt;-2),"",#REF!)</f>
        <v>#REF!</v>
      </c>
      <c r="OK14" s="7" t="e">
        <f>IF(OR(#REF!&gt;2,#REF!&lt;-2),"",#REF!)</f>
        <v>#REF!</v>
      </c>
      <c r="OL14" s="7" t="e">
        <f>IF(OR(#REF!&gt;2,#REF!&lt;-2),"",#REF!)</f>
        <v>#REF!</v>
      </c>
      <c r="OM14" s="7" t="e">
        <f>IF(OR(#REF!&gt;2,#REF!&lt;-2),"",#REF!)</f>
        <v>#REF!</v>
      </c>
      <c r="ON14" s="7" t="e">
        <f>IF(OR(#REF!&gt;2,#REF!&lt;-2),"",#REF!)</f>
        <v>#REF!</v>
      </c>
      <c r="OO14" s="7" t="e">
        <f>IF(OR(#REF!&gt;2,#REF!&lt;-2),"",#REF!)</f>
        <v>#REF!</v>
      </c>
      <c r="OP14" s="7" t="e">
        <f>IF(OR(#REF!&gt;2,#REF!&lt;-2),"",#REF!)</f>
        <v>#REF!</v>
      </c>
      <c r="OQ14" s="7" t="e">
        <f>IF(OR(#REF!&gt;2,#REF!&lt;-2),"",#REF!)</f>
        <v>#REF!</v>
      </c>
      <c r="OR14" s="7" t="e">
        <f>IF(OR(#REF!&gt;2,#REF!&lt;-2),"",#REF!)</f>
        <v>#REF!</v>
      </c>
      <c r="OS14" s="7" t="e">
        <f>IF(OR(#REF!&gt;2,#REF!&lt;-2),"",#REF!)</f>
        <v>#REF!</v>
      </c>
      <c r="OT14" s="7" t="e">
        <f>IF(OR(#REF!&gt;2,#REF!&lt;-2),"",#REF!)</f>
        <v>#REF!</v>
      </c>
      <c r="OU14" s="7" t="e">
        <f>IF(OR(#REF!&gt;2,#REF!&lt;-2),"",#REF!)</f>
        <v>#REF!</v>
      </c>
      <c r="OV14" s="7" t="e">
        <f>IF(OR(#REF!&gt;2,#REF!&lt;-2),"",#REF!)</f>
        <v>#REF!</v>
      </c>
      <c r="OW14" s="7" t="e">
        <f>IF(OR(#REF!&gt;2,#REF!&lt;-2),"",#REF!)</f>
        <v>#REF!</v>
      </c>
      <c r="OX14" s="7" t="e">
        <f>IF(OR(#REF!&gt;2,#REF!&lt;-2),"",#REF!)</f>
        <v>#REF!</v>
      </c>
      <c r="OY14" s="7" t="e">
        <f>IF(OR(#REF!&gt;2,#REF!&lt;-2),"",#REF!)</f>
        <v>#REF!</v>
      </c>
      <c r="OZ14" s="7" t="e">
        <f>IF(OR(#REF!&gt;2,#REF!&lt;-2),"",#REF!)</f>
        <v>#REF!</v>
      </c>
      <c r="PA14" s="7" t="e">
        <f>IF(OR(#REF!&gt;2,#REF!&lt;-2),"",#REF!)</f>
        <v>#REF!</v>
      </c>
      <c r="PB14" s="7" t="e">
        <f>IF(OR(#REF!&gt;2,#REF!&lt;-2),"",#REF!)</f>
        <v>#REF!</v>
      </c>
      <c r="PC14" s="7" t="e">
        <f>IF(OR(#REF!&gt;2,#REF!&lt;-2),"",#REF!)</f>
        <v>#REF!</v>
      </c>
      <c r="PD14" s="7" t="e">
        <f>IF(OR(#REF!&gt;2,#REF!&lt;-2),"",#REF!)</f>
        <v>#REF!</v>
      </c>
      <c r="PE14" s="7" t="e">
        <f>IF(OR(#REF!&gt;2,#REF!&lt;-2),"",#REF!)</f>
        <v>#REF!</v>
      </c>
      <c r="PF14" s="7" t="e">
        <f>IF(OR(#REF!&gt;2,#REF!&lt;-2),"",#REF!)</f>
        <v>#REF!</v>
      </c>
      <c r="PG14" s="7" t="e">
        <f>IF(OR(#REF!&gt;2,#REF!&lt;-2),"",#REF!)</f>
        <v>#REF!</v>
      </c>
      <c r="PH14" s="7" t="e">
        <f>IF(OR(#REF!&gt;2,#REF!&lt;-2),"",#REF!)</f>
        <v>#REF!</v>
      </c>
      <c r="PI14" s="7" t="e">
        <f>IF(OR(#REF!&gt;2,#REF!&lt;-2),"",#REF!)</f>
        <v>#REF!</v>
      </c>
      <c r="PJ14" s="7" t="e">
        <f>IF(OR(#REF!&gt;2,#REF!&lt;-2),"",#REF!)</f>
        <v>#REF!</v>
      </c>
      <c r="PK14" s="7" t="e">
        <f>IF(OR(#REF!&gt;2,#REF!&lt;-2),"",#REF!)</f>
        <v>#REF!</v>
      </c>
      <c r="PL14" s="7" t="e">
        <f>IF(OR(#REF!&gt;2,#REF!&lt;-2),"",#REF!)</f>
        <v>#REF!</v>
      </c>
      <c r="PM14" s="7" t="e">
        <f>IF(OR(#REF!&gt;2,#REF!&lt;-2),"",#REF!)</f>
        <v>#REF!</v>
      </c>
      <c r="PN14" s="7" t="e">
        <f>IF(OR(#REF!&gt;2,#REF!&lt;-2),"",#REF!)</f>
        <v>#REF!</v>
      </c>
      <c r="PO14" s="7" t="e">
        <f>IF(OR(#REF!&gt;2,#REF!&lt;-2),"",#REF!)</f>
        <v>#REF!</v>
      </c>
      <c r="PP14" s="7" t="e">
        <f>IF(OR(#REF!&gt;2,#REF!&lt;-2),"",#REF!)</f>
        <v>#REF!</v>
      </c>
      <c r="PQ14" s="7" t="e">
        <f>IF(OR(#REF!&gt;2,#REF!&lt;-2),"",#REF!)</f>
        <v>#REF!</v>
      </c>
      <c r="PR14" s="7" t="e">
        <f>IF(OR(#REF!&gt;2,#REF!&lt;-2),"",#REF!)</f>
        <v>#REF!</v>
      </c>
      <c r="PS14" s="7" t="e">
        <f>IF(OR(#REF!&gt;2,#REF!&lt;-2),"",#REF!)</f>
        <v>#REF!</v>
      </c>
      <c r="PT14" s="7" t="e">
        <f>IF(OR(#REF!&gt;2,#REF!&lt;-2),"",#REF!)</f>
        <v>#REF!</v>
      </c>
      <c r="PU14" s="7" t="e">
        <f>IF(OR(#REF!&gt;2,#REF!&lt;-2),"",#REF!)</f>
        <v>#REF!</v>
      </c>
      <c r="PV14" s="7" t="e">
        <f>IF(OR(#REF!&gt;2,#REF!&lt;-2),"",#REF!)</f>
        <v>#REF!</v>
      </c>
      <c r="PW14" s="7" t="e">
        <f>IF(OR(#REF!&gt;2,#REF!&lt;-2),"",#REF!)</f>
        <v>#REF!</v>
      </c>
      <c r="PX14" s="7" t="e">
        <f>IF(OR(#REF!&gt;2,#REF!&lt;-2),"",#REF!)</f>
        <v>#REF!</v>
      </c>
      <c r="PY14" s="7" t="e">
        <f>IF(OR(#REF!&gt;2,#REF!&lt;-2),"",#REF!)</f>
        <v>#REF!</v>
      </c>
      <c r="PZ14" s="7" t="e">
        <f>IF(OR(#REF!&gt;2,#REF!&lt;-2),"",#REF!)</f>
        <v>#REF!</v>
      </c>
      <c r="QA14" s="7" t="e">
        <f>IF(OR(#REF!&gt;2,#REF!&lt;-2),"",#REF!)</f>
        <v>#REF!</v>
      </c>
      <c r="QB14" s="7" t="e">
        <f>IF(OR(#REF!&gt;2,#REF!&lt;-2),"",#REF!)</f>
        <v>#REF!</v>
      </c>
      <c r="QC14" s="7" t="e">
        <f>IF(OR(#REF!&gt;2,#REF!&lt;-2),"",#REF!)</f>
        <v>#REF!</v>
      </c>
      <c r="QD14" s="7" t="e">
        <f>IF(OR(#REF!&gt;2,#REF!&lt;-2),"",#REF!)</f>
        <v>#REF!</v>
      </c>
      <c r="QE14" s="7" t="e">
        <f>IF(OR(#REF!&gt;2,#REF!&lt;-2),"",#REF!)</f>
        <v>#REF!</v>
      </c>
      <c r="QF14" s="7" t="e">
        <f>IF(OR(#REF!&gt;2,#REF!&lt;-2),"",#REF!)</f>
        <v>#REF!</v>
      </c>
      <c r="QG14" s="7" t="e">
        <f>IF(OR(#REF!&gt;2,#REF!&lt;-2),"",#REF!)</f>
        <v>#REF!</v>
      </c>
      <c r="QH14" s="7" t="e">
        <f>IF(OR(#REF!&gt;2,#REF!&lt;-2),"",#REF!)</f>
        <v>#REF!</v>
      </c>
      <c r="QI14" s="7" t="e">
        <f>IF(OR(#REF!&gt;2,#REF!&lt;-2),"",#REF!)</f>
        <v>#REF!</v>
      </c>
      <c r="QJ14" s="7" t="e">
        <f>IF(OR(#REF!&gt;2,#REF!&lt;-2),"",#REF!)</f>
        <v>#REF!</v>
      </c>
      <c r="QK14" s="7" t="e">
        <f>IF(OR(#REF!&gt;2,#REF!&lt;-2),"",#REF!)</f>
        <v>#REF!</v>
      </c>
      <c r="QL14" s="7" t="e">
        <f>IF(OR(#REF!&gt;2,#REF!&lt;-2),"",#REF!)</f>
        <v>#REF!</v>
      </c>
      <c r="QM14" s="7" t="e">
        <f>IF(OR(#REF!&gt;2,#REF!&lt;-2),"",#REF!)</f>
        <v>#REF!</v>
      </c>
      <c r="QN14" s="7" t="e">
        <f>IF(OR(#REF!&gt;2,#REF!&lt;-2),"",#REF!)</f>
        <v>#REF!</v>
      </c>
      <c r="QO14" s="7" t="e">
        <f>IF(OR(#REF!&gt;2,#REF!&lt;-2),"",#REF!)</f>
        <v>#REF!</v>
      </c>
      <c r="QP14" s="7" t="e">
        <f>IF(OR(#REF!&gt;2,#REF!&lt;-2),"",#REF!)</f>
        <v>#REF!</v>
      </c>
      <c r="QQ14" s="7" t="e">
        <f>IF(OR(#REF!&gt;2,#REF!&lt;-2),"",#REF!)</f>
        <v>#REF!</v>
      </c>
      <c r="QR14" s="7" t="e">
        <f>IF(OR(#REF!&gt;2,#REF!&lt;-2),"",#REF!)</f>
        <v>#REF!</v>
      </c>
      <c r="QS14" s="7" t="e">
        <f>IF(OR(#REF!&gt;2,#REF!&lt;-2),"",#REF!)</f>
        <v>#REF!</v>
      </c>
      <c r="QT14" s="7" t="e">
        <f>IF(OR(#REF!&gt;2,#REF!&lt;-2),"",#REF!)</f>
        <v>#REF!</v>
      </c>
      <c r="QU14" s="7" t="e">
        <f>IF(OR(#REF!&gt;2,#REF!&lt;-2),"",#REF!)</f>
        <v>#REF!</v>
      </c>
      <c r="QV14" s="7" t="e">
        <f>IF(OR(#REF!&gt;2,#REF!&lt;-2),"",#REF!)</f>
        <v>#REF!</v>
      </c>
      <c r="QW14" s="7" t="e">
        <f>IF(OR(#REF!&gt;2,#REF!&lt;-2),"",#REF!)</f>
        <v>#REF!</v>
      </c>
      <c r="QX14" s="7" t="e">
        <f>IF(OR(#REF!&gt;2,#REF!&lt;-2),"",#REF!)</f>
        <v>#REF!</v>
      </c>
      <c r="QY14" s="7" t="e">
        <f>IF(OR(#REF!&gt;2,#REF!&lt;-2),"",#REF!)</f>
        <v>#REF!</v>
      </c>
      <c r="QZ14" s="7" t="e">
        <f>IF(OR(#REF!&gt;2,#REF!&lt;-2),"",#REF!)</f>
        <v>#REF!</v>
      </c>
      <c r="RA14" s="7" t="e">
        <f>IF(OR(#REF!&gt;2,#REF!&lt;-2),"",#REF!)</f>
        <v>#REF!</v>
      </c>
      <c r="RB14" s="7" t="e">
        <f>IF(OR(#REF!&gt;2,#REF!&lt;-2),"",#REF!)</f>
        <v>#REF!</v>
      </c>
      <c r="RC14" s="7" t="e">
        <f>IF(OR(#REF!&gt;2,#REF!&lt;-2),"",#REF!)</f>
        <v>#REF!</v>
      </c>
      <c r="RD14" s="7" t="e">
        <f>IF(OR(#REF!&gt;2,#REF!&lt;-2),"",#REF!)</f>
        <v>#REF!</v>
      </c>
      <c r="RE14" s="7" t="e">
        <f>IF(OR(#REF!&gt;2,#REF!&lt;-2),"",#REF!)</f>
        <v>#REF!</v>
      </c>
      <c r="RF14" s="7" t="e">
        <f>IF(OR(#REF!&gt;2,#REF!&lt;-2),"",#REF!)</f>
        <v>#REF!</v>
      </c>
      <c r="RG14" s="7" t="e">
        <f>IF(OR(#REF!&gt;2,#REF!&lt;-2),"",#REF!)</f>
        <v>#REF!</v>
      </c>
      <c r="RH14" s="7" t="e">
        <f>IF(OR(#REF!&gt;2,#REF!&lt;-2),"",#REF!)</f>
        <v>#REF!</v>
      </c>
      <c r="RI14" s="7" t="e">
        <f>IF(OR(#REF!&gt;2,#REF!&lt;-2),"",#REF!)</f>
        <v>#REF!</v>
      </c>
      <c r="RJ14" s="7" t="e">
        <f>IF(OR(#REF!&gt;2,#REF!&lt;-2),"",#REF!)</f>
        <v>#REF!</v>
      </c>
      <c r="RK14" s="7" t="e">
        <f>IF(OR(#REF!&gt;2,#REF!&lt;-2),"",#REF!)</f>
        <v>#REF!</v>
      </c>
      <c r="RL14" s="7" t="e">
        <f>IF(OR(#REF!&gt;2,#REF!&lt;-2),"",#REF!)</f>
        <v>#REF!</v>
      </c>
      <c r="RM14" s="7" t="e">
        <f>IF(OR(#REF!&gt;2,#REF!&lt;-2),"",#REF!)</f>
        <v>#REF!</v>
      </c>
      <c r="RN14" s="7" t="e">
        <f>IF(OR(#REF!&gt;2,#REF!&lt;-2),"",#REF!)</f>
        <v>#REF!</v>
      </c>
      <c r="RO14" s="7" t="e">
        <f>IF(OR(#REF!&gt;2,#REF!&lt;-2),"",#REF!)</f>
        <v>#REF!</v>
      </c>
      <c r="RP14" s="7" t="e">
        <f>IF(OR(#REF!&gt;2,#REF!&lt;-2),"",#REF!)</f>
        <v>#REF!</v>
      </c>
      <c r="RQ14" s="7" t="e">
        <f>IF(OR(#REF!&gt;2,#REF!&lt;-2),"",#REF!)</f>
        <v>#REF!</v>
      </c>
      <c r="RR14" s="7" t="e">
        <f>IF(OR(#REF!&gt;2,#REF!&lt;-2),"",#REF!)</f>
        <v>#REF!</v>
      </c>
      <c r="RS14" s="7" t="e">
        <f>IF(OR(#REF!&gt;2,#REF!&lt;-2),"",#REF!)</f>
        <v>#REF!</v>
      </c>
      <c r="RT14" s="7" t="e">
        <f>IF(OR(#REF!&gt;2,#REF!&lt;-2),"",#REF!)</f>
        <v>#REF!</v>
      </c>
      <c r="RU14" s="7" t="e">
        <f>IF(OR(#REF!&gt;2,#REF!&lt;-2),"",#REF!)</f>
        <v>#REF!</v>
      </c>
      <c r="RV14" s="7" t="e">
        <f>IF(OR(#REF!&gt;2,#REF!&lt;-2),"",#REF!)</f>
        <v>#REF!</v>
      </c>
      <c r="RW14" s="7" t="e">
        <f>IF(OR(#REF!&gt;2,#REF!&lt;-2),"",#REF!)</f>
        <v>#REF!</v>
      </c>
      <c r="RX14" s="7" t="e">
        <f>IF(OR(#REF!&gt;2,#REF!&lt;-2),"",#REF!)</f>
        <v>#REF!</v>
      </c>
      <c r="RY14" s="7" t="e">
        <f>IF(OR(#REF!&gt;2,#REF!&lt;-2),"",#REF!)</f>
        <v>#REF!</v>
      </c>
      <c r="RZ14" s="7" t="e">
        <f>IF(OR(#REF!&gt;2,#REF!&lt;-2),"",#REF!)</f>
        <v>#REF!</v>
      </c>
      <c r="SA14" s="7" t="e">
        <f>IF(OR(#REF!&gt;2,#REF!&lt;-2),"",#REF!)</f>
        <v>#REF!</v>
      </c>
      <c r="SB14" s="7" t="e">
        <f>IF(OR(#REF!&gt;2,#REF!&lt;-2),"",#REF!)</f>
        <v>#REF!</v>
      </c>
      <c r="SC14" s="7" t="e">
        <f>IF(OR(#REF!&gt;2,#REF!&lt;-2),"",#REF!)</f>
        <v>#REF!</v>
      </c>
      <c r="SD14" s="7" t="e">
        <f>IF(OR(#REF!&gt;2,#REF!&lt;-2),"",#REF!)</f>
        <v>#REF!</v>
      </c>
      <c r="SE14" s="7" t="e">
        <f>IF(OR(#REF!&gt;2,#REF!&lt;-2),"",#REF!)</f>
        <v>#REF!</v>
      </c>
      <c r="SF14" s="7" t="e">
        <f>IF(OR(#REF!&gt;2,#REF!&lt;-2),"",#REF!)</f>
        <v>#REF!</v>
      </c>
      <c r="SG14" s="7" t="e">
        <f>IF(OR(#REF!&gt;2,#REF!&lt;-2),"",#REF!)</f>
        <v>#REF!</v>
      </c>
      <c r="SH14" s="7" t="e">
        <f>IF(OR(#REF!&gt;2,#REF!&lt;-2),"",#REF!)</f>
        <v>#REF!</v>
      </c>
      <c r="SI14" s="7" t="e">
        <f>IF(OR(#REF!&gt;2,#REF!&lt;-2),"",#REF!)</f>
        <v>#REF!</v>
      </c>
      <c r="SJ14" s="7" t="e">
        <f>IF(OR(#REF!&gt;2,#REF!&lt;-2),"",#REF!)</f>
        <v>#REF!</v>
      </c>
      <c r="SK14" s="7" t="e">
        <f>IF(OR(#REF!&gt;2,#REF!&lt;-2),"",#REF!)</f>
        <v>#REF!</v>
      </c>
      <c r="SL14" s="7" t="e">
        <f>IF(OR(#REF!&gt;2,#REF!&lt;-2),"",#REF!)</f>
        <v>#REF!</v>
      </c>
      <c r="SM14" s="7" t="e">
        <f>IF(OR(#REF!&gt;2,#REF!&lt;-2),"",#REF!)</f>
        <v>#REF!</v>
      </c>
      <c r="SN14" s="7" t="e">
        <f>IF(OR(#REF!&gt;2,#REF!&lt;-2),"",#REF!)</f>
        <v>#REF!</v>
      </c>
      <c r="SO14" s="7" t="e">
        <f>IF(OR(#REF!&gt;2,#REF!&lt;-2),"",#REF!)</f>
        <v>#REF!</v>
      </c>
      <c r="SP14" s="7" t="e">
        <f>IF(OR(#REF!&gt;2,#REF!&lt;-2),"",#REF!)</f>
        <v>#REF!</v>
      </c>
      <c r="SQ14" s="7" t="e">
        <f>IF(OR(#REF!&gt;2,#REF!&lt;-2),"",#REF!)</f>
        <v>#REF!</v>
      </c>
      <c r="SR14" s="7" t="e">
        <f>IF(OR(#REF!&gt;2,#REF!&lt;-2),"",#REF!)</f>
        <v>#REF!</v>
      </c>
      <c r="SS14" s="7" t="e">
        <f>IF(OR(#REF!&gt;2,#REF!&lt;-2),"",#REF!)</f>
        <v>#REF!</v>
      </c>
      <c r="ST14" s="7" t="e">
        <f>IF(OR(#REF!&gt;2,#REF!&lt;-2),"",#REF!)</f>
        <v>#REF!</v>
      </c>
      <c r="SU14" s="7" t="e">
        <f>IF(OR(#REF!&gt;2,#REF!&lt;-2),"",#REF!)</f>
        <v>#REF!</v>
      </c>
      <c r="SV14" s="7" t="e">
        <f>IF(OR(#REF!&gt;2,#REF!&lt;-2),"",#REF!)</f>
        <v>#REF!</v>
      </c>
      <c r="SW14" s="7" t="e">
        <f>IF(OR(#REF!&gt;2,#REF!&lt;-2),"",#REF!)</f>
        <v>#REF!</v>
      </c>
      <c r="SX14" s="7" t="e">
        <f>IF(OR(#REF!&gt;2,#REF!&lt;-2),"",#REF!)</f>
        <v>#REF!</v>
      </c>
      <c r="SY14" s="7" t="e">
        <f>IF(OR(#REF!&gt;2,#REF!&lt;-2),"",#REF!)</f>
        <v>#REF!</v>
      </c>
      <c r="SZ14" s="7" t="e">
        <f>IF(OR(#REF!&gt;2,#REF!&lt;-2),"",#REF!)</f>
        <v>#REF!</v>
      </c>
      <c r="TA14" s="7" t="e">
        <f>IF(OR(#REF!&gt;2,#REF!&lt;-2),"",#REF!)</f>
        <v>#REF!</v>
      </c>
      <c r="TB14" s="7" t="e">
        <f>IF(OR(#REF!&gt;2,#REF!&lt;-2),"",#REF!)</f>
        <v>#REF!</v>
      </c>
      <c r="TC14" s="7" t="e">
        <f>IF(OR(#REF!&gt;2,#REF!&lt;-2),"",#REF!)</f>
        <v>#REF!</v>
      </c>
      <c r="TD14" s="7" t="e">
        <f>IF(OR(#REF!&gt;2,#REF!&lt;-2),"",#REF!)</f>
        <v>#REF!</v>
      </c>
      <c r="TE14" s="7" t="e">
        <f>IF(OR(#REF!&gt;2,#REF!&lt;-2),"",#REF!)</f>
        <v>#REF!</v>
      </c>
      <c r="TF14" s="7" t="e">
        <f>IF(OR(#REF!&gt;2,#REF!&lt;-2),"",#REF!)</f>
        <v>#REF!</v>
      </c>
      <c r="TG14" s="7" t="e">
        <f>IF(OR(#REF!&gt;2,#REF!&lt;-2),"",#REF!)</f>
        <v>#REF!</v>
      </c>
      <c r="TH14" s="7" t="e">
        <f>IF(OR(#REF!&gt;2,#REF!&lt;-2),"",#REF!)</f>
        <v>#REF!</v>
      </c>
      <c r="TI14" s="7" t="e">
        <f>IF(OR(#REF!&gt;2,#REF!&lt;-2),"",#REF!)</f>
        <v>#REF!</v>
      </c>
      <c r="TJ14" s="7" t="e">
        <f>IF(OR(#REF!&gt;2,#REF!&lt;-2),"",#REF!)</f>
        <v>#REF!</v>
      </c>
      <c r="TK14" s="7" t="e">
        <f>IF(OR(#REF!&gt;2,#REF!&lt;-2),"",#REF!)</f>
        <v>#REF!</v>
      </c>
      <c r="TL14" s="7" t="e">
        <f>IF(OR(#REF!&gt;2,#REF!&lt;-2),"",#REF!)</f>
        <v>#REF!</v>
      </c>
      <c r="TM14" s="7" t="e">
        <f>IF(OR(#REF!&gt;2,#REF!&lt;-2),"",#REF!)</f>
        <v>#REF!</v>
      </c>
      <c r="TN14" s="7" t="e">
        <f>IF(OR(#REF!&gt;2,#REF!&lt;-2),"",#REF!)</f>
        <v>#REF!</v>
      </c>
      <c r="TO14" s="7" t="e">
        <f>IF(OR(#REF!&gt;2,#REF!&lt;-2),"",#REF!)</f>
        <v>#REF!</v>
      </c>
      <c r="TP14" s="7" t="e">
        <f>IF(OR(#REF!&gt;2,#REF!&lt;-2),"",#REF!)</f>
        <v>#REF!</v>
      </c>
      <c r="TQ14" s="7" t="e">
        <f>IF(OR(#REF!&gt;2,#REF!&lt;-2),"",#REF!)</f>
        <v>#REF!</v>
      </c>
      <c r="TR14" s="7" t="e">
        <f>IF(OR(#REF!&gt;2,#REF!&lt;-2),"",#REF!)</f>
        <v>#REF!</v>
      </c>
      <c r="TS14" s="7" t="e">
        <f>IF(OR(#REF!&gt;2,#REF!&lt;-2),"",#REF!)</f>
        <v>#REF!</v>
      </c>
      <c r="TT14" s="7" t="e">
        <f>IF(OR(#REF!&gt;2,#REF!&lt;-2),"",#REF!)</f>
        <v>#REF!</v>
      </c>
      <c r="TU14" s="7" t="e">
        <f>IF(OR(#REF!&gt;2,#REF!&lt;-2),"",#REF!)</f>
        <v>#REF!</v>
      </c>
      <c r="TV14" s="7" t="e">
        <f>IF(OR(#REF!&gt;2,#REF!&lt;-2),"",#REF!)</f>
        <v>#REF!</v>
      </c>
      <c r="TW14" s="7" t="e">
        <f>IF(OR(#REF!&gt;2,#REF!&lt;-2),"",#REF!)</f>
        <v>#REF!</v>
      </c>
      <c r="TX14" s="7" t="e">
        <f>IF(OR(#REF!&gt;2,#REF!&lt;-2),"",#REF!)</f>
        <v>#REF!</v>
      </c>
      <c r="TY14" s="7" t="e">
        <f>IF(OR(#REF!&gt;2,#REF!&lt;-2),"",#REF!)</f>
        <v>#REF!</v>
      </c>
      <c r="TZ14" s="7" t="e">
        <f>IF(OR(#REF!&gt;2,#REF!&lt;-2),"",#REF!)</f>
        <v>#REF!</v>
      </c>
      <c r="UA14" s="7" t="e">
        <f>IF(OR(#REF!&gt;2,#REF!&lt;-2),"",#REF!)</f>
        <v>#REF!</v>
      </c>
      <c r="UB14" s="7" t="e">
        <f>IF(OR(#REF!&gt;2,#REF!&lt;-2),"",#REF!)</f>
        <v>#REF!</v>
      </c>
      <c r="UC14" s="7" t="e">
        <f>IF(OR(#REF!&gt;2,#REF!&lt;-2),"",#REF!)</f>
        <v>#REF!</v>
      </c>
      <c r="UD14" s="7" t="e">
        <f>IF(OR(#REF!&gt;2,#REF!&lt;-2),"",#REF!)</f>
        <v>#REF!</v>
      </c>
      <c r="UE14" s="7" t="e">
        <f>IF(OR(#REF!&gt;2,#REF!&lt;-2),"",#REF!)</f>
        <v>#REF!</v>
      </c>
      <c r="UF14" s="7" t="e">
        <f>IF(OR(#REF!&gt;2,#REF!&lt;-2),"",#REF!)</f>
        <v>#REF!</v>
      </c>
      <c r="UG14" s="7" t="e">
        <f>IF(OR(#REF!&gt;2,#REF!&lt;-2),"",#REF!)</f>
        <v>#REF!</v>
      </c>
      <c r="UH14" s="7" t="e">
        <f>IF(OR(#REF!&gt;2,#REF!&lt;-2),"",#REF!)</f>
        <v>#REF!</v>
      </c>
      <c r="UI14" s="7" t="e">
        <f>IF(OR(#REF!&gt;2,#REF!&lt;-2),"",#REF!)</f>
        <v>#REF!</v>
      </c>
      <c r="UJ14" s="7" t="e">
        <f>IF(OR(#REF!&gt;2,#REF!&lt;-2),"",#REF!)</f>
        <v>#REF!</v>
      </c>
      <c r="UK14" s="7" t="e">
        <f>IF(OR(#REF!&gt;2,#REF!&lt;-2),"",#REF!)</f>
        <v>#REF!</v>
      </c>
      <c r="UL14" s="7" t="e">
        <f>IF(OR(#REF!&gt;2,#REF!&lt;-2),"",#REF!)</f>
        <v>#REF!</v>
      </c>
      <c r="UM14" s="7" t="e">
        <f>IF(OR(#REF!&gt;2,#REF!&lt;-2),"",#REF!)</f>
        <v>#REF!</v>
      </c>
      <c r="UN14" s="7" t="e">
        <f>IF(OR(#REF!&gt;2,#REF!&lt;-2),"",#REF!)</f>
        <v>#REF!</v>
      </c>
      <c r="UO14" s="7" t="e">
        <f>IF(OR(#REF!&gt;2,#REF!&lt;-2),"",#REF!)</f>
        <v>#REF!</v>
      </c>
      <c r="UP14" s="7" t="e">
        <f>IF(OR(#REF!&gt;2,#REF!&lt;-2),"",#REF!)</f>
        <v>#REF!</v>
      </c>
    </row>
    <row r="15" spans="1:562" x14ac:dyDescent="0.35">
      <c r="A15">
        <v>177</v>
      </c>
      <c r="B15">
        <v>1</v>
      </c>
      <c r="C15" s="7" t="e">
        <f>IF(OR(#REF!&gt;2,#REF!&lt;-2),"",#REF!)</f>
        <v>#REF!</v>
      </c>
      <c r="D15" s="7" t="e">
        <f>IF(OR(#REF!&gt;2,#REF!&lt;-2),"",#REF!)</f>
        <v>#REF!</v>
      </c>
      <c r="E15" s="7" t="e">
        <f>IF(OR(#REF!&gt;2,#REF!&lt;-2),"",#REF!)</f>
        <v>#REF!</v>
      </c>
      <c r="F15" s="7" t="e">
        <f>IF(OR(#REF!&gt;2,#REF!&lt;-2),"",#REF!)</f>
        <v>#REF!</v>
      </c>
      <c r="G15" s="7" t="e">
        <f>IF(OR(#REF!&gt;2,#REF!&lt;-2),"",#REF!)</f>
        <v>#REF!</v>
      </c>
      <c r="H15" s="7" t="e">
        <f>IF(OR(#REF!&gt;2,#REF!&lt;-2),"",#REF!)</f>
        <v>#REF!</v>
      </c>
      <c r="I15" s="7" t="e">
        <f>IF(OR(#REF!&gt;2,#REF!&lt;-2),"",#REF!)</f>
        <v>#REF!</v>
      </c>
      <c r="J15" s="7" t="e">
        <f>IF(OR(#REF!&gt;2,#REF!&lt;-2),"",#REF!)</f>
        <v>#REF!</v>
      </c>
      <c r="K15" s="7" t="e">
        <f>IF(OR(#REF!&gt;2,#REF!&lt;-2),"",#REF!)</f>
        <v>#REF!</v>
      </c>
      <c r="L15" s="7" t="e">
        <f>IF(OR(#REF!&gt;2,#REF!&lt;-2),"",#REF!)</f>
        <v>#REF!</v>
      </c>
      <c r="M15" s="7" t="e">
        <f>IF(OR(#REF!&gt;2,#REF!&lt;-2),"",#REF!)</f>
        <v>#REF!</v>
      </c>
      <c r="N15" s="7" t="e">
        <f>IF(OR(#REF!&gt;2,#REF!&lt;-2),"",#REF!)</f>
        <v>#REF!</v>
      </c>
      <c r="O15" s="7" t="e">
        <f>IF(OR(#REF!&gt;2,#REF!&lt;-2),"",#REF!)</f>
        <v>#REF!</v>
      </c>
      <c r="P15" s="7" t="e">
        <f>IF(OR(#REF!&gt;2,#REF!&lt;-2),"",#REF!)</f>
        <v>#REF!</v>
      </c>
      <c r="Q15" s="7" t="e">
        <f>IF(OR(#REF!&gt;2,#REF!&lt;-2),"",#REF!)</f>
        <v>#REF!</v>
      </c>
      <c r="R15" s="7" t="e">
        <f>IF(OR(#REF!&gt;2,#REF!&lt;-2),"",#REF!)</f>
        <v>#REF!</v>
      </c>
      <c r="S15" s="7" t="e">
        <f>IF(OR(#REF!&gt;2,#REF!&lt;-2),"",#REF!)</f>
        <v>#REF!</v>
      </c>
      <c r="T15" s="7" t="e">
        <f>IF(OR(#REF!&gt;2,#REF!&lt;-2),"",#REF!)</f>
        <v>#REF!</v>
      </c>
      <c r="U15" s="7" t="e">
        <f>IF(OR(#REF!&gt;2,#REF!&lt;-2),"",#REF!)</f>
        <v>#REF!</v>
      </c>
      <c r="V15" s="7" t="e">
        <f>IF(OR(#REF!&gt;2,#REF!&lt;-2),"",#REF!)</f>
        <v>#REF!</v>
      </c>
      <c r="W15" s="7" t="e">
        <f>IF(OR(#REF!&gt;2,#REF!&lt;-2),"",#REF!)</f>
        <v>#REF!</v>
      </c>
      <c r="X15" s="7" t="e">
        <f>IF(OR(#REF!&gt;2,#REF!&lt;-2),"",#REF!)</f>
        <v>#REF!</v>
      </c>
      <c r="Y15" s="7" t="e">
        <f>IF(OR(#REF!&gt;2,#REF!&lt;-2),"",#REF!)</f>
        <v>#REF!</v>
      </c>
      <c r="Z15" s="7" t="e">
        <f>IF(OR(#REF!&gt;2,#REF!&lt;-2),"",#REF!)</f>
        <v>#REF!</v>
      </c>
      <c r="AA15" s="7" t="e">
        <f>IF(OR(#REF!&gt;2,#REF!&lt;-2),"",#REF!)</f>
        <v>#REF!</v>
      </c>
      <c r="AB15" s="7" t="e">
        <f>IF(OR(#REF!&gt;2,#REF!&lt;-2),"",#REF!)</f>
        <v>#REF!</v>
      </c>
      <c r="AC15" s="7" t="e">
        <f>IF(OR(#REF!&gt;2,#REF!&lt;-2),"",#REF!)</f>
        <v>#REF!</v>
      </c>
      <c r="AD15" s="7" t="e">
        <f>IF(OR(#REF!&gt;2,#REF!&lt;-2),"",#REF!)</f>
        <v>#REF!</v>
      </c>
      <c r="AE15" s="7" t="e">
        <f>IF(OR(#REF!&gt;2,#REF!&lt;-2),"",#REF!)</f>
        <v>#REF!</v>
      </c>
      <c r="AF15" s="7" t="e">
        <f>IF(OR(#REF!&gt;2,#REF!&lt;-2),"",#REF!)</f>
        <v>#REF!</v>
      </c>
      <c r="AG15" s="7" t="e">
        <f>IF(OR(#REF!&gt;2,#REF!&lt;-2),"",#REF!)</f>
        <v>#REF!</v>
      </c>
      <c r="AH15" s="7" t="e">
        <f>IF(OR(#REF!&gt;2,#REF!&lt;-2),"",#REF!)</f>
        <v>#REF!</v>
      </c>
      <c r="AI15" s="7" t="e">
        <f>IF(OR(#REF!&gt;2,#REF!&lt;-2),"",#REF!)</f>
        <v>#REF!</v>
      </c>
      <c r="AJ15" s="7" t="e">
        <f>IF(OR(#REF!&gt;2,#REF!&lt;-2),"",#REF!)</f>
        <v>#REF!</v>
      </c>
      <c r="AK15" s="7" t="e">
        <f>IF(OR(#REF!&gt;2,#REF!&lt;-2),"",#REF!)</f>
        <v>#REF!</v>
      </c>
      <c r="AL15" s="7" t="e">
        <f>IF(OR(#REF!&gt;2,#REF!&lt;-2),"",#REF!)</f>
        <v>#REF!</v>
      </c>
      <c r="AM15" s="7" t="e">
        <f>IF(OR(#REF!&gt;2,#REF!&lt;-2),"",#REF!)</f>
        <v>#REF!</v>
      </c>
      <c r="AN15" s="7" t="e">
        <f>IF(OR(#REF!&gt;2,#REF!&lt;-2),"",#REF!)</f>
        <v>#REF!</v>
      </c>
      <c r="AO15" s="7" t="e">
        <f>IF(OR(#REF!&gt;2,#REF!&lt;-2),"",#REF!)</f>
        <v>#REF!</v>
      </c>
      <c r="AP15" s="7" t="e">
        <f>IF(OR(#REF!&gt;2,#REF!&lt;-2),"",#REF!)</f>
        <v>#REF!</v>
      </c>
      <c r="AQ15" s="7" t="e">
        <f>IF(OR(#REF!&gt;2,#REF!&lt;-2),"",#REF!)</f>
        <v>#REF!</v>
      </c>
      <c r="AR15" s="7" t="e">
        <f>IF(OR(#REF!&gt;2,#REF!&lt;-2),"",#REF!)</f>
        <v>#REF!</v>
      </c>
      <c r="AS15" s="7" t="e">
        <f>IF(OR(#REF!&gt;2,#REF!&lt;-2),"",#REF!)</f>
        <v>#REF!</v>
      </c>
      <c r="AT15" s="7" t="e">
        <f>IF(OR(#REF!&gt;2,#REF!&lt;-2),"",#REF!)</f>
        <v>#REF!</v>
      </c>
      <c r="AU15" s="7" t="e">
        <f>IF(OR(#REF!&gt;2,#REF!&lt;-2),"",#REF!)</f>
        <v>#REF!</v>
      </c>
      <c r="AV15" s="7" t="e">
        <f>IF(OR(#REF!&gt;2,#REF!&lt;-2),"",#REF!)</f>
        <v>#REF!</v>
      </c>
      <c r="AW15" s="7" t="e">
        <f>IF(OR(#REF!&gt;2,#REF!&lt;-2),"",#REF!)</f>
        <v>#REF!</v>
      </c>
      <c r="AX15" s="7" t="e">
        <f>IF(OR(#REF!&gt;2,#REF!&lt;-2),"",#REF!)</f>
        <v>#REF!</v>
      </c>
      <c r="AY15" s="7" t="e">
        <f>IF(OR(#REF!&gt;2,#REF!&lt;-2),"",#REF!)</f>
        <v>#REF!</v>
      </c>
      <c r="AZ15" s="7" t="e">
        <f>IF(OR(#REF!&gt;2,#REF!&lt;-2),"",#REF!)</f>
        <v>#REF!</v>
      </c>
      <c r="BA15" s="7" t="e">
        <f>IF(OR(#REF!&gt;2,#REF!&lt;-2),"",#REF!)</f>
        <v>#REF!</v>
      </c>
      <c r="BB15" s="7" t="e">
        <f>IF(OR(#REF!&gt;2,#REF!&lt;-2),"",#REF!)</f>
        <v>#REF!</v>
      </c>
      <c r="BC15" s="7" t="e">
        <f>IF(OR(#REF!&gt;2,#REF!&lt;-2),"",#REF!)</f>
        <v>#REF!</v>
      </c>
      <c r="BD15" s="7" t="e">
        <f>IF(OR(#REF!&gt;2,#REF!&lt;-2),"",#REF!)</f>
        <v>#REF!</v>
      </c>
      <c r="BE15" s="7" t="e">
        <f>IF(OR(#REF!&gt;2,#REF!&lt;-2),"",#REF!)</f>
        <v>#REF!</v>
      </c>
      <c r="BF15" s="7" t="e">
        <f>IF(OR(#REF!&gt;2,#REF!&lt;-2),"",#REF!)</f>
        <v>#REF!</v>
      </c>
      <c r="BG15" s="7" t="e">
        <f>IF(OR(#REF!&gt;2,#REF!&lt;-2),"",#REF!)</f>
        <v>#REF!</v>
      </c>
      <c r="BH15" s="7" t="e">
        <f>IF(OR(#REF!&gt;2,#REF!&lt;-2),"",#REF!)</f>
        <v>#REF!</v>
      </c>
      <c r="BI15" s="7" t="e">
        <f>IF(OR(#REF!&gt;2,#REF!&lt;-2),"",#REF!)</f>
        <v>#REF!</v>
      </c>
      <c r="BJ15" s="7" t="e">
        <f>IF(OR(#REF!&gt;2,#REF!&lt;-2),"",#REF!)</f>
        <v>#REF!</v>
      </c>
      <c r="BK15" s="7" t="e">
        <f>IF(OR(#REF!&gt;2,#REF!&lt;-2),"",#REF!)</f>
        <v>#REF!</v>
      </c>
      <c r="BL15" s="7" t="e">
        <f>IF(OR(#REF!&gt;2,#REF!&lt;-2),"",#REF!)</f>
        <v>#REF!</v>
      </c>
      <c r="BM15" s="7" t="e">
        <f>IF(OR(#REF!&gt;2,#REF!&lt;-2),"",#REF!)</f>
        <v>#REF!</v>
      </c>
      <c r="BN15" s="7" t="e">
        <f>IF(OR(#REF!&gt;2,#REF!&lt;-2),"",#REF!)</f>
        <v>#REF!</v>
      </c>
      <c r="BO15" s="7" t="e">
        <f>IF(OR(#REF!&gt;2,#REF!&lt;-2),"",#REF!)</f>
        <v>#REF!</v>
      </c>
      <c r="BP15" s="7" t="e">
        <f>IF(OR(#REF!&gt;2,#REF!&lt;-2),"",#REF!)</f>
        <v>#REF!</v>
      </c>
      <c r="BQ15" s="7" t="e">
        <f>IF(OR(#REF!&gt;2,#REF!&lt;-2),"",#REF!)</f>
        <v>#REF!</v>
      </c>
      <c r="BR15" s="7" t="e">
        <f>IF(OR(#REF!&gt;2,#REF!&lt;-2),"",#REF!)</f>
        <v>#REF!</v>
      </c>
      <c r="BS15" s="7" t="e">
        <f>IF(OR(#REF!&gt;2,#REF!&lt;-2),"",#REF!)</f>
        <v>#REF!</v>
      </c>
      <c r="BT15" s="7" t="e">
        <f>IF(OR(#REF!&gt;2,#REF!&lt;-2),"",#REF!)</f>
        <v>#REF!</v>
      </c>
      <c r="BU15" s="7" t="e">
        <f>IF(OR(#REF!&gt;2,#REF!&lt;-2),"",#REF!)</f>
        <v>#REF!</v>
      </c>
      <c r="BV15" s="7" t="e">
        <f>IF(OR(#REF!&gt;2,#REF!&lt;-2),"",#REF!)</f>
        <v>#REF!</v>
      </c>
      <c r="BW15" s="7" t="e">
        <f>IF(OR(#REF!&gt;2,#REF!&lt;-2),"",#REF!)</f>
        <v>#REF!</v>
      </c>
      <c r="BX15" s="7" t="e">
        <f>IF(OR(#REF!&gt;2,#REF!&lt;-2),"",#REF!)</f>
        <v>#REF!</v>
      </c>
      <c r="BY15" s="7" t="e">
        <f>IF(OR(#REF!&gt;2,#REF!&lt;-2),"",#REF!)</f>
        <v>#REF!</v>
      </c>
      <c r="BZ15" s="7" t="e">
        <f>IF(OR(#REF!&gt;2,#REF!&lt;-2),"",#REF!)</f>
        <v>#REF!</v>
      </c>
      <c r="CA15" s="7" t="e">
        <f>IF(OR(#REF!&gt;2,#REF!&lt;-2),"",#REF!)</f>
        <v>#REF!</v>
      </c>
      <c r="CB15" s="7" t="e">
        <f>IF(OR(#REF!&gt;2,#REF!&lt;-2),"",#REF!)</f>
        <v>#REF!</v>
      </c>
      <c r="CC15" s="7" t="e">
        <f>IF(OR(#REF!&gt;2,#REF!&lt;-2),"",#REF!)</f>
        <v>#REF!</v>
      </c>
      <c r="CD15" s="7" t="e">
        <f>IF(OR(#REF!&gt;2,#REF!&lt;-2),"",#REF!)</f>
        <v>#REF!</v>
      </c>
      <c r="CE15" s="7" t="e">
        <f>IF(OR(#REF!&gt;2,#REF!&lt;-2),"",#REF!)</f>
        <v>#REF!</v>
      </c>
      <c r="CF15" s="7" t="e">
        <f>IF(OR(#REF!&gt;2,#REF!&lt;-2),"",#REF!)</f>
        <v>#REF!</v>
      </c>
      <c r="CG15" s="7" t="e">
        <f>IF(OR(#REF!&gt;2,#REF!&lt;-2),"",#REF!)</f>
        <v>#REF!</v>
      </c>
      <c r="CH15" s="7" t="e">
        <f>IF(OR(#REF!&gt;2,#REF!&lt;-2),"",#REF!)</f>
        <v>#REF!</v>
      </c>
      <c r="CI15" s="7" t="e">
        <f>IF(OR(#REF!&gt;2,#REF!&lt;-2),"",#REF!)</f>
        <v>#REF!</v>
      </c>
      <c r="CJ15" s="7" t="e">
        <f>IF(OR(#REF!&gt;2,#REF!&lt;-2),"",#REF!)</f>
        <v>#REF!</v>
      </c>
      <c r="CK15" s="7" t="e">
        <f>IF(OR(#REF!&gt;2,#REF!&lt;-2),"",#REF!)</f>
        <v>#REF!</v>
      </c>
      <c r="CL15" s="7" t="e">
        <f>IF(OR(#REF!&gt;2,#REF!&lt;-2),"",#REF!)</f>
        <v>#REF!</v>
      </c>
      <c r="CM15" s="7" t="e">
        <f>IF(OR(#REF!&gt;2,#REF!&lt;-2),"",#REF!)</f>
        <v>#REF!</v>
      </c>
      <c r="CN15" s="7" t="e">
        <f>IF(OR(#REF!&gt;2,#REF!&lt;-2),"",#REF!)</f>
        <v>#REF!</v>
      </c>
      <c r="CO15" s="7" t="e">
        <f>IF(OR(#REF!&gt;2,#REF!&lt;-2),"",#REF!)</f>
        <v>#REF!</v>
      </c>
      <c r="CP15" s="7" t="e">
        <f>IF(OR(#REF!&gt;2,#REF!&lt;-2),"",#REF!)</f>
        <v>#REF!</v>
      </c>
      <c r="CQ15" s="7" t="e">
        <f>IF(OR(#REF!&gt;2,#REF!&lt;-2),"",#REF!)</f>
        <v>#REF!</v>
      </c>
      <c r="CR15" s="7" t="e">
        <f>IF(OR(#REF!&gt;2,#REF!&lt;-2),"",#REF!)</f>
        <v>#REF!</v>
      </c>
      <c r="CS15" s="7" t="e">
        <f>IF(OR(#REF!&gt;2,#REF!&lt;-2),"",#REF!)</f>
        <v>#REF!</v>
      </c>
      <c r="CT15" s="7" t="e">
        <f>IF(OR(#REF!&gt;2,#REF!&lt;-2),"",#REF!)</f>
        <v>#REF!</v>
      </c>
      <c r="CU15" s="7" t="e">
        <f>IF(OR(#REF!&gt;2,#REF!&lt;-2),"",#REF!)</f>
        <v>#REF!</v>
      </c>
      <c r="CV15" s="7" t="e">
        <f>IF(OR(#REF!&gt;2,#REF!&lt;-2),"",#REF!)</f>
        <v>#REF!</v>
      </c>
      <c r="CW15" s="7" t="e">
        <f>IF(OR(#REF!&gt;2,#REF!&lt;-2),"",#REF!)</f>
        <v>#REF!</v>
      </c>
      <c r="CX15" s="7" t="e">
        <f>IF(OR(#REF!&gt;2,#REF!&lt;-2),"",#REF!)</f>
        <v>#REF!</v>
      </c>
      <c r="CY15" s="7" t="e">
        <f>IF(OR(#REF!&gt;2,#REF!&lt;-2),"",#REF!)</f>
        <v>#REF!</v>
      </c>
      <c r="CZ15" s="7" t="e">
        <f>IF(OR(#REF!&gt;2,#REF!&lt;-2),"",#REF!)</f>
        <v>#REF!</v>
      </c>
      <c r="DA15" s="7" t="e">
        <f>IF(OR(#REF!&gt;2,#REF!&lt;-2),"",#REF!)</f>
        <v>#REF!</v>
      </c>
      <c r="DB15" s="7" t="e">
        <f>IF(OR(#REF!&gt;2,#REF!&lt;-2),"",#REF!)</f>
        <v>#REF!</v>
      </c>
      <c r="DC15" s="7" t="e">
        <f>IF(OR(#REF!&gt;2,#REF!&lt;-2),"",#REF!)</f>
        <v>#REF!</v>
      </c>
      <c r="DD15" s="7" t="e">
        <f>IF(OR(#REF!&gt;2,#REF!&lt;-2),"",#REF!)</f>
        <v>#REF!</v>
      </c>
      <c r="DE15" s="7" t="e">
        <f>IF(OR(#REF!&gt;2,#REF!&lt;-2),"",#REF!)</f>
        <v>#REF!</v>
      </c>
      <c r="DF15" s="7" t="e">
        <f>IF(OR(#REF!&gt;2,#REF!&lt;-2),"",#REF!)</f>
        <v>#REF!</v>
      </c>
      <c r="DG15" s="7" t="e">
        <f>IF(OR(#REF!&gt;2,#REF!&lt;-2),"",#REF!)</f>
        <v>#REF!</v>
      </c>
      <c r="DH15" s="7" t="e">
        <f>IF(OR(#REF!&gt;2,#REF!&lt;-2),"",#REF!)</f>
        <v>#REF!</v>
      </c>
      <c r="DI15" s="7" t="e">
        <f>IF(OR(#REF!&gt;2,#REF!&lt;-2),"",#REF!)</f>
        <v>#REF!</v>
      </c>
      <c r="DJ15" s="7" t="e">
        <f>IF(OR(#REF!&gt;2,#REF!&lt;-2),"",#REF!)</f>
        <v>#REF!</v>
      </c>
      <c r="DK15" s="7" t="e">
        <f>IF(OR(#REF!&gt;2,#REF!&lt;-2),"",#REF!)</f>
        <v>#REF!</v>
      </c>
      <c r="DL15" s="7" t="e">
        <f>IF(OR(#REF!&gt;2,#REF!&lt;-2),"",#REF!)</f>
        <v>#REF!</v>
      </c>
      <c r="DM15" s="7" t="e">
        <f>IF(OR(#REF!&gt;2,#REF!&lt;-2),"",#REF!)</f>
        <v>#REF!</v>
      </c>
      <c r="DN15" s="7" t="e">
        <f>IF(OR(#REF!&gt;2,#REF!&lt;-2),"",#REF!)</f>
        <v>#REF!</v>
      </c>
      <c r="DO15" s="7" t="e">
        <f>IF(OR(#REF!&gt;2,#REF!&lt;-2),"",#REF!)</f>
        <v>#REF!</v>
      </c>
      <c r="DP15" s="7" t="e">
        <f>IF(OR(#REF!&gt;2,#REF!&lt;-2),"",#REF!)</f>
        <v>#REF!</v>
      </c>
      <c r="DQ15" s="7" t="e">
        <f>IF(OR(#REF!&gt;2,#REF!&lt;-2),"",#REF!)</f>
        <v>#REF!</v>
      </c>
      <c r="DR15" s="7" t="e">
        <f>IF(OR(#REF!&gt;2,#REF!&lt;-2),"",#REF!)</f>
        <v>#REF!</v>
      </c>
      <c r="DS15" s="7" t="e">
        <f>IF(OR(#REF!&gt;2,#REF!&lt;-2),"",#REF!)</f>
        <v>#REF!</v>
      </c>
      <c r="DT15" s="7" t="e">
        <f>IF(OR(#REF!&gt;2,#REF!&lt;-2),"",#REF!)</f>
        <v>#REF!</v>
      </c>
      <c r="DU15" s="7" t="e">
        <f>IF(OR(#REF!&gt;2,#REF!&lt;-2),"",#REF!)</f>
        <v>#REF!</v>
      </c>
      <c r="DV15" s="7" t="e">
        <f>IF(OR(#REF!&gt;2,#REF!&lt;-2),"",#REF!)</f>
        <v>#REF!</v>
      </c>
      <c r="DW15" s="7" t="e">
        <f>IF(OR(#REF!&gt;2,#REF!&lt;-2),"",#REF!)</f>
        <v>#REF!</v>
      </c>
      <c r="DX15" s="7" t="e">
        <f>IF(OR(#REF!&gt;2,#REF!&lt;-2),"",#REF!)</f>
        <v>#REF!</v>
      </c>
      <c r="DY15" s="7" t="e">
        <f>IF(OR(#REF!&gt;2,#REF!&lt;-2),"",#REF!)</f>
        <v>#REF!</v>
      </c>
      <c r="DZ15" s="7" t="e">
        <f>IF(OR(#REF!&gt;2,#REF!&lt;-2),"",#REF!)</f>
        <v>#REF!</v>
      </c>
      <c r="EA15" s="7" t="e">
        <f>IF(OR(#REF!&gt;2,#REF!&lt;-2),"",#REF!)</f>
        <v>#REF!</v>
      </c>
      <c r="EB15" s="7" t="e">
        <f>IF(OR(#REF!&gt;2,#REF!&lt;-2),"",#REF!)</f>
        <v>#REF!</v>
      </c>
      <c r="EC15" s="7" t="e">
        <f>IF(OR(#REF!&gt;2,#REF!&lt;-2),"",#REF!)</f>
        <v>#REF!</v>
      </c>
      <c r="ED15" s="7" t="e">
        <f>IF(OR(#REF!&gt;2,#REF!&lt;-2),"",#REF!)</f>
        <v>#REF!</v>
      </c>
      <c r="EE15" s="7" t="e">
        <f>IF(OR(#REF!&gt;2,#REF!&lt;-2),"",#REF!)</f>
        <v>#REF!</v>
      </c>
      <c r="EF15" s="7" t="e">
        <f>IF(OR(#REF!&gt;2,#REF!&lt;-2),"",#REF!)</f>
        <v>#REF!</v>
      </c>
      <c r="EG15" s="7" t="e">
        <f>IF(OR(#REF!&gt;2,#REF!&lt;-2),"",#REF!)</f>
        <v>#REF!</v>
      </c>
      <c r="EH15" s="7" t="e">
        <f>IF(OR(#REF!&gt;2,#REF!&lt;-2),"",#REF!)</f>
        <v>#REF!</v>
      </c>
      <c r="EI15" s="7" t="e">
        <f>IF(OR(#REF!&gt;2,#REF!&lt;-2),"",#REF!)</f>
        <v>#REF!</v>
      </c>
      <c r="EJ15" s="7" t="e">
        <f>IF(OR(#REF!&gt;2,#REF!&lt;-2),"",#REF!)</f>
        <v>#REF!</v>
      </c>
      <c r="EK15" s="7" t="e">
        <f>IF(OR(#REF!&gt;2,#REF!&lt;-2),"",#REF!)</f>
        <v>#REF!</v>
      </c>
      <c r="EL15" s="7" t="e">
        <f>IF(OR(#REF!&gt;2,#REF!&lt;-2),"",#REF!)</f>
        <v>#REF!</v>
      </c>
      <c r="EM15" s="7" t="e">
        <f>IF(OR(#REF!&gt;2,#REF!&lt;-2),"",#REF!)</f>
        <v>#REF!</v>
      </c>
      <c r="EN15" s="7" t="e">
        <f>IF(OR(#REF!&gt;2,#REF!&lt;-2),"",#REF!)</f>
        <v>#REF!</v>
      </c>
      <c r="EO15" s="7" t="e">
        <f>IF(OR(#REF!&gt;2,#REF!&lt;-2),"",#REF!)</f>
        <v>#REF!</v>
      </c>
      <c r="EP15" s="7" t="e">
        <f>IF(OR(#REF!&gt;2,#REF!&lt;-2),"",#REF!)</f>
        <v>#REF!</v>
      </c>
      <c r="EQ15" s="7" t="e">
        <f>IF(OR(#REF!&gt;2,#REF!&lt;-2),"",#REF!)</f>
        <v>#REF!</v>
      </c>
      <c r="ER15" s="7" t="e">
        <f>IF(OR(#REF!&gt;2,#REF!&lt;-2),"",#REF!)</f>
        <v>#REF!</v>
      </c>
      <c r="ES15" s="7" t="e">
        <f>IF(OR(#REF!&gt;2,#REF!&lt;-2),"",#REF!)</f>
        <v>#REF!</v>
      </c>
      <c r="ET15" s="7" t="e">
        <f>IF(OR(#REF!&gt;2,#REF!&lt;-2),"",#REF!)</f>
        <v>#REF!</v>
      </c>
      <c r="EU15" s="7" t="e">
        <f>IF(OR(#REF!&gt;2,#REF!&lt;-2),"",#REF!)</f>
        <v>#REF!</v>
      </c>
      <c r="EV15" s="7" t="e">
        <f>IF(OR(#REF!&gt;2,#REF!&lt;-2),"",#REF!)</f>
        <v>#REF!</v>
      </c>
      <c r="EW15" s="7" t="e">
        <f>IF(OR(#REF!&gt;2,#REF!&lt;-2),"",#REF!)</f>
        <v>#REF!</v>
      </c>
      <c r="EX15" s="7" t="e">
        <f>IF(OR(#REF!&gt;2,#REF!&lt;-2),"",#REF!)</f>
        <v>#REF!</v>
      </c>
      <c r="EY15" s="7" t="e">
        <f>IF(OR(#REF!&gt;2,#REF!&lt;-2),"",#REF!)</f>
        <v>#REF!</v>
      </c>
      <c r="EZ15" s="7" t="e">
        <f>IF(OR(#REF!&gt;2,#REF!&lt;-2),"",#REF!)</f>
        <v>#REF!</v>
      </c>
      <c r="FA15" s="7" t="e">
        <f>IF(OR(#REF!&gt;2,#REF!&lt;-2),"",#REF!)</f>
        <v>#REF!</v>
      </c>
      <c r="FB15" s="7" t="e">
        <f>IF(OR(#REF!&gt;2,#REF!&lt;-2),"",#REF!)</f>
        <v>#REF!</v>
      </c>
      <c r="FC15" s="7" t="e">
        <f>IF(OR(#REF!&gt;2,#REF!&lt;-2),"",#REF!)</f>
        <v>#REF!</v>
      </c>
      <c r="FD15" s="7" t="e">
        <f>IF(OR(#REF!&gt;2,#REF!&lt;-2),"",#REF!)</f>
        <v>#REF!</v>
      </c>
      <c r="FE15" s="7" t="e">
        <f>IF(OR(#REF!&gt;2,#REF!&lt;-2),"",#REF!)</f>
        <v>#REF!</v>
      </c>
      <c r="FF15" s="7" t="e">
        <f>IF(OR(#REF!&gt;2,#REF!&lt;-2),"",#REF!)</f>
        <v>#REF!</v>
      </c>
      <c r="FG15" s="7" t="e">
        <f>IF(OR(#REF!&gt;2,#REF!&lt;-2),"",#REF!)</f>
        <v>#REF!</v>
      </c>
      <c r="FH15" s="7" t="e">
        <f>IF(OR(#REF!&gt;2,#REF!&lt;-2),"",#REF!)</f>
        <v>#REF!</v>
      </c>
      <c r="FI15" s="7" t="e">
        <f>IF(OR(#REF!&gt;2,#REF!&lt;-2),"",#REF!)</f>
        <v>#REF!</v>
      </c>
      <c r="FJ15" s="7" t="e">
        <f>IF(OR(#REF!&gt;2,#REF!&lt;-2),"",#REF!)</f>
        <v>#REF!</v>
      </c>
      <c r="FK15" s="7" t="e">
        <f>IF(OR(#REF!&gt;2,#REF!&lt;-2),"",#REF!)</f>
        <v>#REF!</v>
      </c>
      <c r="FL15" s="7" t="e">
        <f>IF(OR(#REF!&gt;2,#REF!&lt;-2),"",#REF!)</f>
        <v>#REF!</v>
      </c>
      <c r="FM15" s="7" t="e">
        <f>IF(OR(#REF!&gt;2,#REF!&lt;-2),"",#REF!)</f>
        <v>#REF!</v>
      </c>
      <c r="FN15" s="7" t="e">
        <f>IF(OR(#REF!&gt;2,#REF!&lt;-2),"",#REF!)</f>
        <v>#REF!</v>
      </c>
      <c r="FO15" s="7" t="e">
        <f>IF(OR(#REF!&gt;2,#REF!&lt;-2),"",#REF!)</f>
        <v>#REF!</v>
      </c>
      <c r="FP15" s="7" t="e">
        <f>IF(OR(#REF!&gt;2,#REF!&lt;-2),"",#REF!)</f>
        <v>#REF!</v>
      </c>
      <c r="FQ15" s="7" t="e">
        <f>IF(OR(#REF!&gt;2,#REF!&lt;-2),"",#REF!)</f>
        <v>#REF!</v>
      </c>
      <c r="FR15" s="7" t="e">
        <f>IF(OR(#REF!&gt;2,#REF!&lt;-2),"",#REF!)</f>
        <v>#REF!</v>
      </c>
      <c r="FS15" s="7" t="e">
        <f>IF(OR(#REF!&gt;2,#REF!&lt;-2),"",#REF!)</f>
        <v>#REF!</v>
      </c>
      <c r="FT15" s="7" t="e">
        <f>IF(OR(#REF!&gt;2,#REF!&lt;-2),"",#REF!)</f>
        <v>#REF!</v>
      </c>
      <c r="FU15" s="7" t="e">
        <f>IF(OR(#REF!&gt;2,#REF!&lt;-2),"",#REF!)</f>
        <v>#REF!</v>
      </c>
      <c r="FV15" s="7" t="e">
        <f>IF(OR(#REF!&gt;2,#REF!&lt;-2),"",#REF!)</f>
        <v>#REF!</v>
      </c>
      <c r="FW15" s="7" t="e">
        <f>IF(OR(#REF!&gt;2,#REF!&lt;-2),"",#REF!)</f>
        <v>#REF!</v>
      </c>
      <c r="FX15" s="7" t="e">
        <f>IF(OR(#REF!&gt;2,#REF!&lt;-2),"",#REF!)</f>
        <v>#REF!</v>
      </c>
      <c r="FY15" s="7" t="e">
        <f>IF(OR(#REF!&gt;2,#REF!&lt;-2),"",#REF!)</f>
        <v>#REF!</v>
      </c>
      <c r="FZ15" s="7" t="e">
        <f>IF(OR(#REF!&gt;2,#REF!&lt;-2),"",#REF!)</f>
        <v>#REF!</v>
      </c>
      <c r="GA15" s="7" t="e">
        <f>IF(OR(#REF!&gt;2,#REF!&lt;-2),"",#REF!)</f>
        <v>#REF!</v>
      </c>
      <c r="GB15" s="7" t="e">
        <f>IF(OR(#REF!&gt;2,#REF!&lt;-2),"",#REF!)</f>
        <v>#REF!</v>
      </c>
      <c r="GC15" s="7" t="e">
        <f>IF(OR(#REF!&gt;2,#REF!&lt;-2),"",#REF!)</f>
        <v>#REF!</v>
      </c>
      <c r="GD15" s="7" t="e">
        <f>IF(OR(#REF!&gt;2,#REF!&lt;-2),"",#REF!)</f>
        <v>#REF!</v>
      </c>
      <c r="GE15" s="7" t="e">
        <f>IF(OR(#REF!&gt;2,#REF!&lt;-2),"",#REF!)</f>
        <v>#REF!</v>
      </c>
      <c r="GF15" s="7" t="e">
        <f>IF(OR(#REF!&gt;2,#REF!&lt;-2),"",#REF!)</f>
        <v>#REF!</v>
      </c>
      <c r="GG15" s="7" t="e">
        <f>IF(OR(#REF!&gt;2,#REF!&lt;-2),"",#REF!)</f>
        <v>#REF!</v>
      </c>
      <c r="GH15" s="7" t="e">
        <f>IF(OR(#REF!&gt;2,#REF!&lt;-2),"",#REF!)</f>
        <v>#REF!</v>
      </c>
      <c r="GI15" s="7" t="e">
        <f>IF(OR(#REF!&gt;2,#REF!&lt;-2),"",#REF!)</f>
        <v>#REF!</v>
      </c>
      <c r="GJ15" s="7" t="e">
        <f>IF(OR(#REF!&gt;2,#REF!&lt;-2),"",#REF!)</f>
        <v>#REF!</v>
      </c>
      <c r="GK15" s="7" t="e">
        <f>IF(OR(#REF!&gt;2,#REF!&lt;-2),"",#REF!)</f>
        <v>#REF!</v>
      </c>
      <c r="GL15" s="7" t="e">
        <f>IF(OR(#REF!&gt;2,#REF!&lt;-2),"",#REF!)</f>
        <v>#REF!</v>
      </c>
      <c r="GM15" s="7" t="e">
        <f>IF(OR(#REF!&gt;2,#REF!&lt;-2),"",#REF!)</f>
        <v>#REF!</v>
      </c>
      <c r="GN15" s="7" t="e">
        <f>IF(OR(#REF!&gt;2,#REF!&lt;-2),"",#REF!)</f>
        <v>#REF!</v>
      </c>
      <c r="GO15" s="7" t="e">
        <f>IF(OR(#REF!&gt;2,#REF!&lt;-2),"",#REF!)</f>
        <v>#REF!</v>
      </c>
      <c r="GP15" s="7" t="e">
        <f>IF(OR(#REF!&gt;2,#REF!&lt;-2),"",#REF!)</f>
        <v>#REF!</v>
      </c>
      <c r="GQ15" s="7" t="e">
        <f>IF(OR(#REF!&gt;2,#REF!&lt;-2),"",#REF!)</f>
        <v>#REF!</v>
      </c>
      <c r="GR15" s="7" t="e">
        <f>IF(OR(#REF!&gt;2,#REF!&lt;-2),"",#REF!)</f>
        <v>#REF!</v>
      </c>
      <c r="GS15" s="7" t="e">
        <f>IF(OR(#REF!&gt;2,#REF!&lt;-2),"",#REF!)</f>
        <v>#REF!</v>
      </c>
      <c r="GT15" s="7" t="e">
        <f>IF(OR(#REF!&gt;2,#REF!&lt;-2),"",#REF!)</f>
        <v>#REF!</v>
      </c>
      <c r="GU15" s="7" t="e">
        <f>IF(OR(#REF!&gt;2,#REF!&lt;-2),"",#REF!)</f>
        <v>#REF!</v>
      </c>
      <c r="GV15" s="7" t="e">
        <f>IF(OR(#REF!&gt;2,#REF!&lt;-2),"",#REF!)</f>
        <v>#REF!</v>
      </c>
      <c r="GW15" s="7" t="e">
        <f>IF(OR(#REF!&gt;2,#REF!&lt;-2),"",#REF!)</f>
        <v>#REF!</v>
      </c>
      <c r="GX15" s="7" t="e">
        <f>IF(OR(#REF!&gt;2,#REF!&lt;-2),"",#REF!)</f>
        <v>#REF!</v>
      </c>
      <c r="GY15" s="7" t="e">
        <f>IF(OR(#REF!&gt;2,#REF!&lt;-2),"",#REF!)</f>
        <v>#REF!</v>
      </c>
      <c r="GZ15" s="7" t="e">
        <f>IF(OR(#REF!&gt;2,#REF!&lt;-2),"",#REF!)</f>
        <v>#REF!</v>
      </c>
      <c r="HA15" s="7" t="e">
        <f>IF(OR(#REF!&gt;2,#REF!&lt;-2),"",#REF!)</f>
        <v>#REF!</v>
      </c>
      <c r="HB15" s="7" t="e">
        <f>IF(OR(#REF!&gt;2,#REF!&lt;-2),"",#REF!)</f>
        <v>#REF!</v>
      </c>
      <c r="HC15" s="7" t="e">
        <f>IF(OR(#REF!&gt;2,#REF!&lt;-2),"",#REF!)</f>
        <v>#REF!</v>
      </c>
      <c r="HD15" s="7" t="e">
        <f>IF(OR(#REF!&gt;2,#REF!&lt;-2),"",#REF!)</f>
        <v>#REF!</v>
      </c>
      <c r="HE15" s="7" t="e">
        <f>IF(OR(#REF!&gt;2,#REF!&lt;-2),"",#REF!)</f>
        <v>#REF!</v>
      </c>
      <c r="HF15" s="7" t="e">
        <f>IF(OR(#REF!&gt;2,#REF!&lt;-2),"",#REF!)</f>
        <v>#REF!</v>
      </c>
      <c r="HG15" s="7" t="e">
        <f>IF(OR(#REF!&gt;2,#REF!&lt;-2),"",#REF!)</f>
        <v>#REF!</v>
      </c>
      <c r="HH15" s="7" t="e">
        <f>IF(OR(#REF!&gt;2,#REF!&lt;-2),"",#REF!)</f>
        <v>#REF!</v>
      </c>
      <c r="HI15" s="7" t="e">
        <f>IF(OR(#REF!&gt;2,#REF!&lt;-2),"",#REF!)</f>
        <v>#REF!</v>
      </c>
      <c r="HJ15" s="7" t="e">
        <f>IF(OR(#REF!&gt;2,#REF!&lt;-2),"",#REF!)</f>
        <v>#REF!</v>
      </c>
      <c r="HK15" s="7" t="e">
        <f>IF(OR(#REF!&gt;2,#REF!&lt;-2),"",#REF!)</f>
        <v>#REF!</v>
      </c>
      <c r="HL15" s="7" t="e">
        <f>IF(OR(#REF!&gt;2,#REF!&lt;-2),"",#REF!)</f>
        <v>#REF!</v>
      </c>
      <c r="HM15" s="7" t="e">
        <f>IF(OR(#REF!&gt;2,#REF!&lt;-2),"",#REF!)</f>
        <v>#REF!</v>
      </c>
      <c r="HN15" s="7" t="e">
        <f>IF(OR(#REF!&gt;2,#REF!&lt;-2),"",#REF!)</f>
        <v>#REF!</v>
      </c>
      <c r="HO15" s="7" t="e">
        <f>IF(OR(#REF!&gt;2,#REF!&lt;-2),"",#REF!)</f>
        <v>#REF!</v>
      </c>
      <c r="HP15" s="7" t="e">
        <f>IF(OR(#REF!&gt;2,#REF!&lt;-2),"",#REF!)</f>
        <v>#REF!</v>
      </c>
      <c r="HQ15" s="7" t="e">
        <f>IF(OR(#REF!&gt;2,#REF!&lt;-2),"",#REF!)</f>
        <v>#REF!</v>
      </c>
      <c r="HR15" s="7" t="e">
        <f>IF(OR(#REF!&gt;2,#REF!&lt;-2),"",#REF!)</f>
        <v>#REF!</v>
      </c>
      <c r="HS15" s="7" t="e">
        <f>IF(OR(#REF!&gt;2,#REF!&lt;-2),"",#REF!)</f>
        <v>#REF!</v>
      </c>
      <c r="HT15" s="7" t="e">
        <f>IF(OR(#REF!&gt;2,#REF!&lt;-2),"",#REF!)</f>
        <v>#REF!</v>
      </c>
      <c r="HU15" s="7" t="e">
        <f>IF(OR(#REF!&gt;2,#REF!&lt;-2),"",#REF!)</f>
        <v>#REF!</v>
      </c>
      <c r="HV15" s="7" t="e">
        <f>IF(OR(#REF!&gt;2,#REF!&lt;-2),"",#REF!)</f>
        <v>#REF!</v>
      </c>
      <c r="HW15" s="7" t="e">
        <f>IF(OR(#REF!&gt;2,#REF!&lt;-2),"",#REF!)</f>
        <v>#REF!</v>
      </c>
      <c r="HX15" s="7" t="e">
        <f>IF(OR(#REF!&gt;2,#REF!&lt;-2),"",#REF!)</f>
        <v>#REF!</v>
      </c>
      <c r="HY15" s="7" t="e">
        <f>IF(OR(#REF!&gt;2,#REF!&lt;-2),"",#REF!)</f>
        <v>#REF!</v>
      </c>
      <c r="HZ15" s="7" t="e">
        <f>IF(OR(#REF!&gt;2,#REF!&lt;-2),"",#REF!)</f>
        <v>#REF!</v>
      </c>
      <c r="IA15" s="7" t="e">
        <f>IF(OR(#REF!&gt;2,#REF!&lt;-2),"",#REF!)</f>
        <v>#REF!</v>
      </c>
      <c r="IB15" s="7" t="e">
        <f>IF(OR(#REF!&gt;2,#REF!&lt;-2),"",#REF!)</f>
        <v>#REF!</v>
      </c>
      <c r="IC15" s="7" t="e">
        <f>IF(OR(#REF!&gt;2,#REF!&lt;-2),"",#REF!)</f>
        <v>#REF!</v>
      </c>
      <c r="ID15" s="7" t="e">
        <f>IF(OR(#REF!&gt;2,#REF!&lt;-2),"",#REF!)</f>
        <v>#REF!</v>
      </c>
      <c r="IE15" s="7" t="e">
        <f>IF(OR(#REF!&gt;2,#REF!&lt;-2),"",#REF!)</f>
        <v>#REF!</v>
      </c>
      <c r="IF15" s="7" t="e">
        <f>IF(OR(#REF!&gt;2,#REF!&lt;-2),"",#REF!)</f>
        <v>#REF!</v>
      </c>
      <c r="IG15" s="7" t="e">
        <f>IF(OR(#REF!&gt;2,#REF!&lt;-2),"",#REF!)</f>
        <v>#REF!</v>
      </c>
      <c r="IH15" s="7" t="e">
        <f>IF(OR(#REF!&gt;2,#REF!&lt;-2),"",#REF!)</f>
        <v>#REF!</v>
      </c>
      <c r="II15" s="7" t="e">
        <f>IF(OR(#REF!&gt;2,#REF!&lt;-2),"",#REF!)</f>
        <v>#REF!</v>
      </c>
      <c r="IJ15" s="7" t="e">
        <f>IF(OR(#REF!&gt;2,#REF!&lt;-2),"",#REF!)</f>
        <v>#REF!</v>
      </c>
      <c r="IK15" s="7" t="e">
        <f>IF(OR(#REF!&gt;2,#REF!&lt;-2),"",#REF!)</f>
        <v>#REF!</v>
      </c>
      <c r="IL15" s="7" t="e">
        <f>IF(OR(#REF!&gt;2,#REF!&lt;-2),"",#REF!)</f>
        <v>#REF!</v>
      </c>
      <c r="IM15" s="7" t="e">
        <f>IF(OR(#REF!&gt;2,#REF!&lt;-2),"",#REF!)</f>
        <v>#REF!</v>
      </c>
      <c r="IN15" s="7" t="e">
        <f>IF(OR(#REF!&gt;2,#REF!&lt;-2),"",#REF!)</f>
        <v>#REF!</v>
      </c>
      <c r="IO15" s="7" t="e">
        <f>IF(OR(#REF!&gt;2,#REF!&lt;-2),"",#REF!)</f>
        <v>#REF!</v>
      </c>
      <c r="IP15" s="7" t="e">
        <f>IF(OR(#REF!&gt;2,#REF!&lt;-2),"",#REF!)</f>
        <v>#REF!</v>
      </c>
      <c r="IQ15" s="7" t="e">
        <f>IF(OR(#REF!&gt;2,#REF!&lt;-2),"",#REF!)</f>
        <v>#REF!</v>
      </c>
      <c r="IR15" s="7" t="e">
        <f>IF(OR(#REF!&gt;2,#REF!&lt;-2),"",#REF!)</f>
        <v>#REF!</v>
      </c>
      <c r="IS15" s="7" t="e">
        <f>IF(OR(#REF!&gt;2,#REF!&lt;-2),"",#REF!)</f>
        <v>#REF!</v>
      </c>
      <c r="IT15" s="7" t="e">
        <f>IF(OR(#REF!&gt;2,#REF!&lt;-2),"",#REF!)</f>
        <v>#REF!</v>
      </c>
      <c r="IU15" s="7" t="e">
        <f>IF(OR(#REF!&gt;2,#REF!&lt;-2),"",#REF!)</f>
        <v>#REF!</v>
      </c>
      <c r="IV15" s="7" t="e">
        <f>IF(OR(#REF!&gt;2,#REF!&lt;-2),"",#REF!)</f>
        <v>#REF!</v>
      </c>
      <c r="IW15" s="7" t="e">
        <f>IF(OR(#REF!&gt;2,#REF!&lt;-2),"",#REF!)</f>
        <v>#REF!</v>
      </c>
      <c r="IX15" s="7" t="e">
        <f>IF(OR(#REF!&gt;2,#REF!&lt;-2),"",#REF!)</f>
        <v>#REF!</v>
      </c>
      <c r="IY15" s="7" t="e">
        <f>IF(OR(#REF!&gt;2,#REF!&lt;-2),"",#REF!)</f>
        <v>#REF!</v>
      </c>
      <c r="IZ15" s="7" t="e">
        <f>IF(OR(#REF!&gt;2,#REF!&lt;-2),"",#REF!)</f>
        <v>#REF!</v>
      </c>
      <c r="JA15" s="7" t="e">
        <f>IF(OR(#REF!&gt;2,#REF!&lt;-2),"",#REF!)</f>
        <v>#REF!</v>
      </c>
      <c r="JB15" s="7" t="e">
        <f>IF(OR(#REF!&gt;2,#REF!&lt;-2),"",#REF!)</f>
        <v>#REF!</v>
      </c>
      <c r="JC15" s="7" t="e">
        <f>IF(OR(#REF!&gt;2,#REF!&lt;-2),"",#REF!)</f>
        <v>#REF!</v>
      </c>
      <c r="JD15" s="7" t="e">
        <f>IF(OR(#REF!&gt;2,#REF!&lt;-2),"",#REF!)</f>
        <v>#REF!</v>
      </c>
      <c r="JE15" s="7" t="e">
        <f>IF(OR(#REF!&gt;2,#REF!&lt;-2),"",#REF!)</f>
        <v>#REF!</v>
      </c>
      <c r="JF15" s="7" t="e">
        <f>IF(OR(#REF!&gt;2,#REF!&lt;-2),"",#REF!)</f>
        <v>#REF!</v>
      </c>
      <c r="JG15" s="7" t="e">
        <f>IF(OR(#REF!&gt;2,#REF!&lt;-2),"",#REF!)</f>
        <v>#REF!</v>
      </c>
      <c r="JH15" s="7" t="e">
        <f>IF(OR(#REF!&gt;2,#REF!&lt;-2),"",#REF!)</f>
        <v>#REF!</v>
      </c>
      <c r="JI15" s="7" t="e">
        <f>IF(OR(#REF!&gt;2,#REF!&lt;-2),"",#REF!)</f>
        <v>#REF!</v>
      </c>
      <c r="JJ15" s="7" t="e">
        <f>IF(OR(#REF!&gt;2,#REF!&lt;-2),"",#REF!)</f>
        <v>#REF!</v>
      </c>
      <c r="JK15" s="7" t="e">
        <f>IF(OR(#REF!&gt;2,#REF!&lt;-2),"",#REF!)</f>
        <v>#REF!</v>
      </c>
      <c r="JL15" s="7" t="e">
        <f>IF(OR(#REF!&gt;2,#REF!&lt;-2),"",#REF!)</f>
        <v>#REF!</v>
      </c>
      <c r="JM15" s="7" t="e">
        <f>IF(OR(#REF!&gt;2,#REF!&lt;-2),"",#REF!)</f>
        <v>#REF!</v>
      </c>
      <c r="JN15" s="7" t="e">
        <f>IF(OR(#REF!&gt;2,#REF!&lt;-2),"",#REF!)</f>
        <v>#REF!</v>
      </c>
      <c r="JO15" s="7" t="e">
        <f>IF(OR(#REF!&gt;2,#REF!&lt;-2),"",#REF!)</f>
        <v>#REF!</v>
      </c>
      <c r="JP15" s="7" t="e">
        <f>IF(OR(#REF!&gt;2,#REF!&lt;-2),"",#REF!)</f>
        <v>#REF!</v>
      </c>
      <c r="JQ15" s="7" t="e">
        <f>IF(OR(#REF!&gt;2,#REF!&lt;-2),"",#REF!)</f>
        <v>#REF!</v>
      </c>
      <c r="JR15" s="7" t="e">
        <f>IF(OR(#REF!&gt;2,#REF!&lt;-2),"",#REF!)</f>
        <v>#REF!</v>
      </c>
      <c r="JS15" s="7" t="e">
        <f>IF(OR(#REF!&gt;2,#REF!&lt;-2),"",#REF!)</f>
        <v>#REF!</v>
      </c>
      <c r="JT15" s="7" t="e">
        <f>IF(OR(#REF!&gt;2,#REF!&lt;-2),"",#REF!)</f>
        <v>#REF!</v>
      </c>
      <c r="JU15" s="7" t="e">
        <f>IF(OR(#REF!&gt;2,#REF!&lt;-2),"",#REF!)</f>
        <v>#REF!</v>
      </c>
      <c r="JV15" s="7" t="e">
        <f>IF(OR(#REF!&gt;2,#REF!&lt;-2),"",#REF!)</f>
        <v>#REF!</v>
      </c>
      <c r="JW15" s="7" t="e">
        <f>IF(OR(#REF!&gt;2,#REF!&lt;-2),"",#REF!)</f>
        <v>#REF!</v>
      </c>
      <c r="JX15" s="7" t="e">
        <f>IF(OR(#REF!&gt;2,#REF!&lt;-2),"",#REF!)</f>
        <v>#REF!</v>
      </c>
      <c r="JY15" s="7" t="e">
        <f>IF(OR(#REF!&gt;2,#REF!&lt;-2),"",#REF!)</f>
        <v>#REF!</v>
      </c>
      <c r="JZ15" s="7" t="e">
        <f>IF(OR(#REF!&gt;2,#REF!&lt;-2),"",#REF!)</f>
        <v>#REF!</v>
      </c>
      <c r="KA15" s="7" t="e">
        <f>IF(OR(#REF!&gt;2,#REF!&lt;-2),"",#REF!)</f>
        <v>#REF!</v>
      </c>
      <c r="KB15" s="7" t="e">
        <f>IF(OR(#REF!&gt;2,#REF!&lt;-2),"",#REF!)</f>
        <v>#REF!</v>
      </c>
      <c r="KC15" s="7" t="e">
        <f>IF(OR(#REF!&gt;2,#REF!&lt;-2),"",#REF!)</f>
        <v>#REF!</v>
      </c>
      <c r="KD15" s="7" t="e">
        <f>IF(OR(#REF!&gt;2,#REF!&lt;-2),"",#REF!)</f>
        <v>#REF!</v>
      </c>
      <c r="KE15" s="7" t="e">
        <f>IF(OR(#REF!&gt;2,#REF!&lt;-2),"",#REF!)</f>
        <v>#REF!</v>
      </c>
      <c r="KF15" s="7" t="e">
        <f>IF(OR(#REF!&gt;2,#REF!&lt;-2),"",#REF!)</f>
        <v>#REF!</v>
      </c>
      <c r="KG15" s="7" t="e">
        <f>IF(OR(#REF!&gt;2,#REF!&lt;-2),"",#REF!)</f>
        <v>#REF!</v>
      </c>
      <c r="KH15" s="7" t="e">
        <f>IF(OR(#REF!&gt;2,#REF!&lt;-2),"",#REF!)</f>
        <v>#REF!</v>
      </c>
      <c r="KI15" s="7" t="e">
        <f>IF(OR(#REF!&gt;2,#REF!&lt;-2),"",#REF!)</f>
        <v>#REF!</v>
      </c>
      <c r="KJ15" s="7" t="e">
        <f>IF(OR(#REF!&gt;2,#REF!&lt;-2),"",#REF!)</f>
        <v>#REF!</v>
      </c>
      <c r="KK15" s="7" t="e">
        <f>IF(OR(#REF!&gt;2,#REF!&lt;-2),"",#REF!)</f>
        <v>#REF!</v>
      </c>
      <c r="KL15" s="7" t="e">
        <f>IF(OR(#REF!&gt;2,#REF!&lt;-2),"",#REF!)</f>
        <v>#REF!</v>
      </c>
      <c r="KM15" s="7" t="e">
        <f>IF(OR(#REF!&gt;2,#REF!&lt;-2),"",#REF!)</f>
        <v>#REF!</v>
      </c>
      <c r="KN15" s="7" t="e">
        <f>IF(OR(#REF!&gt;2,#REF!&lt;-2),"",#REF!)</f>
        <v>#REF!</v>
      </c>
      <c r="KO15" s="7" t="e">
        <f>IF(OR(#REF!&gt;2,#REF!&lt;-2),"",#REF!)</f>
        <v>#REF!</v>
      </c>
      <c r="KP15" s="7" t="e">
        <f>IF(OR(#REF!&gt;2,#REF!&lt;-2),"",#REF!)</f>
        <v>#REF!</v>
      </c>
      <c r="KQ15" s="7" t="e">
        <f>IF(OR(#REF!&gt;2,#REF!&lt;-2),"",#REF!)</f>
        <v>#REF!</v>
      </c>
      <c r="KR15" s="7" t="e">
        <f>IF(OR(#REF!&gt;2,#REF!&lt;-2),"",#REF!)</f>
        <v>#REF!</v>
      </c>
      <c r="KS15" s="7" t="e">
        <f>IF(OR(#REF!&gt;2,#REF!&lt;-2),"",#REF!)</f>
        <v>#REF!</v>
      </c>
      <c r="KT15" s="7" t="e">
        <f>IF(OR(#REF!&gt;2,#REF!&lt;-2),"",#REF!)</f>
        <v>#REF!</v>
      </c>
      <c r="KU15" s="7" t="e">
        <f>IF(OR(#REF!&gt;2,#REF!&lt;-2),"",#REF!)</f>
        <v>#REF!</v>
      </c>
      <c r="KV15" s="7" t="e">
        <f>IF(OR(#REF!&gt;2,#REF!&lt;-2),"",#REF!)</f>
        <v>#REF!</v>
      </c>
      <c r="KW15" s="7" t="e">
        <f>IF(OR(#REF!&gt;2,#REF!&lt;-2),"",#REF!)</f>
        <v>#REF!</v>
      </c>
      <c r="KX15" s="7" t="e">
        <f>IF(OR(#REF!&gt;2,#REF!&lt;-2),"",#REF!)</f>
        <v>#REF!</v>
      </c>
      <c r="KY15" s="7" t="e">
        <f>IF(OR(#REF!&gt;2,#REF!&lt;-2),"",#REF!)</f>
        <v>#REF!</v>
      </c>
      <c r="KZ15" s="7" t="e">
        <f>IF(OR(#REF!&gt;2,#REF!&lt;-2),"",#REF!)</f>
        <v>#REF!</v>
      </c>
      <c r="LA15" s="7" t="e">
        <f>IF(OR(#REF!&gt;2,#REF!&lt;-2),"",#REF!)</f>
        <v>#REF!</v>
      </c>
      <c r="LB15" s="7" t="e">
        <f>IF(OR(#REF!&gt;2,#REF!&lt;-2),"",#REF!)</f>
        <v>#REF!</v>
      </c>
      <c r="LC15" s="7" t="e">
        <f>IF(OR(#REF!&gt;2,#REF!&lt;-2),"",#REF!)</f>
        <v>#REF!</v>
      </c>
      <c r="LD15" s="7" t="e">
        <f>IF(OR(#REF!&gt;2,#REF!&lt;-2),"",#REF!)</f>
        <v>#REF!</v>
      </c>
      <c r="LE15" s="7" t="e">
        <f>IF(OR(#REF!&gt;2,#REF!&lt;-2),"",#REF!)</f>
        <v>#REF!</v>
      </c>
      <c r="LF15" s="7" t="e">
        <f>IF(OR(#REF!&gt;2,#REF!&lt;-2),"",#REF!)</f>
        <v>#REF!</v>
      </c>
      <c r="LG15" s="7" t="e">
        <f>IF(OR(#REF!&gt;2,#REF!&lt;-2),"",#REF!)</f>
        <v>#REF!</v>
      </c>
      <c r="LH15" s="7" t="e">
        <f>IF(OR(#REF!&gt;2,#REF!&lt;-2),"",#REF!)</f>
        <v>#REF!</v>
      </c>
      <c r="LI15" s="7" t="e">
        <f>IF(OR(#REF!&gt;2,#REF!&lt;-2),"",#REF!)</f>
        <v>#REF!</v>
      </c>
      <c r="LJ15" s="7" t="e">
        <f>IF(OR(#REF!&gt;2,#REF!&lt;-2),"",#REF!)</f>
        <v>#REF!</v>
      </c>
      <c r="LK15" s="7" t="e">
        <f>IF(OR(#REF!&gt;2,#REF!&lt;-2),"",#REF!)</f>
        <v>#REF!</v>
      </c>
      <c r="LL15" s="7" t="e">
        <f>IF(OR(#REF!&gt;2,#REF!&lt;-2),"",#REF!)</f>
        <v>#REF!</v>
      </c>
      <c r="LM15" s="7" t="e">
        <f>IF(OR(#REF!&gt;2,#REF!&lt;-2),"",#REF!)</f>
        <v>#REF!</v>
      </c>
      <c r="LN15" s="7" t="e">
        <f>IF(OR(#REF!&gt;2,#REF!&lt;-2),"",#REF!)</f>
        <v>#REF!</v>
      </c>
      <c r="LO15" s="7" t="e">
        <f>IF(OR(#REF!&gt;2,#REF!&lt;-2),"",#REF!)</f>
        <v>#REF!</v>
      </c>
      <c r="LP15" s="7" t="e">
        <f>IF(OR(#REF!&gt;2,#REF!&lt;-2),"",#REF!)</f>
        <v>#REF!</v>
      </c>
      <c r="LQ15" s="7" t="e">
        <f>IF(OR(#REF!&gt;2,#REF!&lt;-2),"",#REF!)</f>
        <v>#REF!</v>
      </c>
      <c r="LR15" s="7" t="e">
        <f>IF(OR(#REF!&gt;2,#REF!&lt;-2),"",#REF!)</f>
        <v>#REF!</v>
      </c>
      <c r="LS15" s="7" t="e">
        <f>IF(OR(#REF!&gt;2,#REF!&lt;-2),"",#REF!)</f>
        <v>#REF!</v>
      </c>
      <c r="LT15" s="7" t="e">
        <f>IF(OR(#REF!&gt;2,#REF!&lt;-2),"",#REF!)</f>
        <v>#REF!</v>
      </c>
      <c r="LU15" s="7" t="e">
        <f>IF(OR(#REF!&gt;2,#REF!&lt;-2),"",#REF!)</f>
        <v>#REF!</v>
      </c>
      <c r="LV15" s="7" t="e">
        <f>IF(OR(#REF!&gt;2,#REF!&lt;-2),"",#REF!)</f>
        <v>#REF!</v>
      </c>
      <c r="LW15" s="7" t="e">
        <f>IF(OR(#REF!&gt;2,#REF!&lt;-2),"",#REF!)</f>
        <v>#REF!</v>
      </c>
      <c r="LX15" s="7" t="e">
        <f>IF(OR(#REF!&gt;2,#REF!&lt;-2),"",#REF!)</f>
        <v>#REF!</v>
      </c>
      <c r="LY15" s="7" t="e">
        <f>IF(OR(#REF!&gt;2,#REF!&lt;-2),"",#REF!)</f>
        <v>#REF!</v>
      </c>
      <c r="LZ15" s="7" t="e">
        <f>IF(OR(#REF!&gt;2,#REF!&lt;-2),"",#REF!)</f>
        <v>#REF!</v>
      </c>
      <c r="MA15" s="7" t="e">
        <f>IF(OR(#REF!&gt;2,#REF!&lt;-2),"",#REF!)</f>
        <v>#REF!</v>
      </c>
      <c r="MB15" s="7" t="e">
        <f>IF(OR(#REF!&gt;2,#REF!&lt;-2),"",#REF!)</f>
        <v>#REF!</v>
      </c>
      <c r="MC15" s="7" t="e">
        <f>IF(OR(#REF!&gt;2,#REF!&lt;-2),"",#REF!)</f>
        <v>#REF!</v>
      </c>
      <c r="MD15" s="7" t="e">
        <f>IF(OR(#REF!&gt;2,#REF!&lt;-2),"",#REF!)</f>
        <v>#REF!</v>
      </c>
      <c r="ME15" s="7" t="e">
        <f>IF(OR(#REF!&gt;2,#REF!&lt;-2),"",#REF!)</f>
        <v>#REF!</v>
      </c>
      <c r="MF15" s="7" t="e">
        <f>IF(OR(#REF!&gt;2,#REF!&lt;-2),"",#REF!)</f>
        <v>#REF!</v>
      </c>
      <c r="MG15" s="7" t="e">
        <f>IF(OR(#REF!&gt;2,#REF!&lt;-2),"",#REF!)</f>
        <v>#REF!</v>
      </c>
      <c r="MH15" s="7" t="e">
        <f>IF(OR(#REF!&gt;2,#REF!&lt;-2),"",#REF!)</f>
        <v>#REF!</v>
      </c>
      <c r="MI15" s="7" t="e">
        <f>IF(OR(#REF!&gt;2,#REF!&lt;-2),"",#REF!)</f>
        <v>#REF!</v>
      </c>
      <c r="MJ15" s="7" t="e">
        <f>IF(OR(#REF!&gt;2,#REF!&lt;-2),"",#REF!)</f>
        <v>#REF!</v>
      </c>
      <c r="MK15" s="7" t="e">
        <f>IF(OR(#REF!&gt;2,#REF!&lt;-2),"",#REF!)</f>
        <v>#REF!</v>
      </c>
      <c r="ML15" s="7" t="e">
        <f>IF(OR(#REF!&gt;2,#REF!&lt;-2),"",#REF!)</f>
        <v>#REF!</v>
      </c>
      <c r="MM15" s="7" t="e">
        <f>IF(OR(#REF!&gt;2,#REF!&lt;-2),"",#REF!)</f>
        <v>#REF!</v>
      </c>
      <c r="MN15" s="7" t="e">
        <f>IF(OR(#REF!&gt;2,#REF!&lt;-2),"",#REF!)</f>
        <v>#REF!</v>
      </c>
      <c r="MO15" s="7" t="e">
        <f>IF(OR(#REF!&gt;2,#REF!&lt;-2),"",#REF!)</f>
        <v>#REF!</v>
      </c>
      <c r="MP15" s="7" t="e">
        <f>IF(OR(#REF!&gt;2,#REF!&lt;-2),"",#REF!)</f>
        <v>#REF!</v>
      </c>
      <c r="MQ15" s="7" t="e">
        <f>IF(OR(#REF!&gt;2,#REF!&lt;-2),"",#REF!)</f>
        <v>#REF!</v>
      </c>
      <c r="MR15" s="7" t="e">
        <f>IF(OR(#REF!&gt;2,#REF!&lt;-2),"",#REF!)</f>
        <v>#REF!</v>
      </c>
      <c r="MS15" s="7" t="e">
        <f>IF(OR(#REF!&gt;2,#REF!&lt;-2),"",#REF!)</f>
        <v>#REF!</v>
      </c>
      <c r="MT15" s="7" t="e">
        <f>IF(OR(#REF!&gt;2,#REF!&lt;-2),"",#REF!)</f>
        <v>#REF!</v>
      </c>
      <c r="MU15" s="7" t="e">
        <f>IF(OR(#REF!&gt;2,#REF!&lt;-2),"",#REF!)</f>
        <v>#REF!</v>
      </c>
      <c r="MV15" s="7" t="e">
        <f>IF(OR(#REF!&gt;2,#REF!&lt;-2),"",#REF!)</f>
        <v>#REF!</v>
      </c>
      <c r="MW15" s="7" t="e">
        <f>IF(OR(#REF!&gt;2,#REF!&lt;-2),"",#REF!)</f>
        <v>#REF!</v>
      </c>
      <c r="MX15" s="7" t="e">
        <f>IF(OR(#REF!&gt;2,#REF!&lt;-2),"",#REF!)</f>
        <v>#REF!</v>
      </c>
      <c r="MY15" s="7" t="e">
        <f>IF(OR(#REF!&gt;2,#REF!&lt;-2),"",#REF!)</f>
        <v>#REF!</v>
      </c>
      <c r="MZ15" s="7" t="e">
        <f>IF(OR(#REF!&gt;2,#REF!&lt;-2),"",#REF!)</f>
        <v>#REF!</v>
      </c>
      <c r="NA15" s="7" t="e">
        <f>IF(OR(#REF!&gt;2,#REF!&lt;-2),"",#REF!)</f>
        <v>#REF!</v>
      </c>
      <c r="NB15" s="7" t="e">
        <f>IF(OR(#REF!&gt;2,#REF!&lt;-2),"",#REF!)</f>
        <v>#REF!</v>
      </c>
      <c r="NC15" s="7" t="e">
        <f>IF(OR(#REF!&gt;2,#REF!&lt;-2),"",#REF!)</f>
        <v>#REF!</v>
      </c>
      <c r="ND15" s="7" t="e">
        <f>IF(OR(#REF!&gt;2,#REF!&lt;-2),"",#REF!)</f>
        <v>#REF!</v>
      </c>
      <c r="NE15" s="7" t="e">
        <f>IF(OR(#REF!&gt;2,#REF!&lt;-2),"",#REF!)</f>
        <v>#REF!</v>
      </c>
      <c r="NF15" s="7" t="e">
        <f>IF(OR(#REF!&gt;2,#REF!&lt;-2),"",#REF!)</f>
        <v>#REF!</v>
      </c>
      <c r="NG15" s="7" t="e">
        <f>IF(OR(#REF!&gt;2,#REF!&lt;-2),"",#REF!)</f>
        <v>#REF!</v>
      </c>
      <c r="NH15" s="7" t="e">
        <f>IF(OR(#REF!&gt;2,#REF!&lt;-2),"",#REF!)</f>
        <v>#REF!</v>
      </c>
      <c r="NI15" s="7" t="e">
        <f>IF(OR(#REF!&gt;2,#REF!&lt;-2),"",#REF!)</f>
        <v>#REF!</v>
      </c>
      <c r="NJ15" s="7" t="e">
        <f>IF(OR(#REF!&gt;2,#REF!&lt;-2),"",#REF!)</f>
        <v>#REF!</v>
      </c>
      <c r="NK15" s="7" t="e">
        <f>IF(OR(#REF!&gt;2,#REF!&lt;-2),"",#REF!)</f>
        <v>#REF!</v>
      </c>
      <c r="NL15" s="7" t="e">
        <f>IF(OR(#REF!&gt;2,#REF!&lt;-2),"",#REF!)</f>
        <v>#REF!</v>
      </c>
      <c r="NM15" s="7" t="e">
        <f>IF(OR(#REF!&gt;2,#REF!&lt;-2),"",#REF!)</f>
        <v>#REF!</v>
      </c>
      <c r="NN15" s="7" t="e">
        <f>IF(OR(#REF!&gt;2,#REF!&lt;-2),"",#REF!)</f>
        <v>#REF!</v>
      </c>
      <c r="NO15" s="7" t="e">
        <f>IF(OR(#REF!&gt;2,#REF!&lt;-2),"",#REF!)</f>
        <v>#REF!</v>
      </c>
      <c r="NP15" s="7" t="e">
        <f>IF(OR(#REF!&gt;2,#REF!&lt;-2),"",#REF!)</f>
        <v>#REF!</v>
      </c>
      <c r="NQ15" s="7" t="e">
        <f>IF(OR(#REF!&gt;2,#REF!&lt;-2),"",#REF!)</f>
        <v>#REF!</v>
      </c>
      <c r="NR15" s="7" t="e">
        <f>IF(OR(#REF!&gt;2,#REF!&lt;-2),"",#REF!)</f>
        <v>#REF!</v>
      </c>
      <c r="NS15" s="7" t="e">
        <f>IF(OR(#REF!&gt;2,#REF!&lt;-2),"",#REF!)</f>
        <v>#REF!</v>
      </c>
      <c r="NT15" s="7" t="e">
        <f>IF(OR(#REF!&gt;2,#REF!&lt;-2),"",#REF!)</f>
        <v>#REF!</v>
      </c>
      <c r="NU15" s="7" t="e">
        <f>IF(OR(#REF!&gt;2,#REF!&lt;-2),"",#REF!)</f>
        <v>#REF!</v>
      </c>
      <c r="NV15" s="7" t="e">
        <f>IF(OR(#REF!&gt;2,#REF!&lt;-2),"",#REF!)</f>
        <v>#REF!</v>
      </c>
      <c r="NW15" s="7" t="e">
        <f>IF(OR(#REF!&gt;2,#REF!&lt;-2),"",#REF!)</f>
        <v>#REF!</v>
      </c>
      <c r="NX15" s="7" t="e">
        <f>IF(OR(#REF!&gt;2,#REF!&lt;-2),"",#REF!)</f>
        <v>#REF!</v>
      </c>
      <c r="NY15" s="7" t="e">
        <f>IF(OR(#REF!&gt;2,#REF!&lt;-2),"",#REF!)</f>
        <v>#REF!</v>
      </c>
      <c r="NZ15" s="7" t="e">
        <f>IF(OR(#REF!&gt;2,#REF!&lt;-2),"",#REF!)</f>
        <v>#REF!</v>
      </c>
      <c r="OA15" s="7" t="e">
        <f>IF(OR(#REF!&gt;2,#REF!&lt;-2),"",#REF!)</f>
        <v>#REF!</v>
      </c>
      <c r="OB15" s="7" t="e">
        <f>IF(OR(#REF!&gt;2,#REF!&lt;-2),"",#REF!)</f>
        <v>#REF!</v>
      </c>
      <c r="OC15" s="7" t="e">
        <f>IF(OR(#REF!&gt;2,#REF!&lt;-2),"",#REF!)</f>
        <v>#REF!</v>
      </c>
      <c r="OD15" s="7" t="e">
        <f>IF(OR(#REF!&gt;2,#REF!&lt;-2),"",#REF!)</f>
        <v>#REF!</v>
      </c>
      <c r="OE15" s="7" t="e">
        <f>IF(OR(#REF!&gt;2,#REF!&lt;-2),"",#REF!)</f>
        <v>#REF!</v>
      </c>
      <c r="OF15" s="7" t="e">
        <f>IF(OR(#REF!&gt;2,#REF!&lt;-2),"",#REF!)</f>
        <v>#REF!</v>
      </c>
      <c r="OG15" s="7" t="e">
        <f>IF(OR(#REF!&gt;2,#REF!&lt;-2),"",#REF!)</f>
        <v>#REF!</v>
      </c>
      <c r="OH15" s="7" t="e">
        <f>IF(OR(#REF!&gt;2,#REF!&lt;-2),"",#REF!)</f>
        <v>#REF!</v>
      </c>
      <c r="OI15" s="7" t="e">
        <f>IF(OR(#REF!&gt;2,#REF!&lt;-2),"",#REF!)</f>
        <v>#REF!</v>
      </c>
      <c r="OJ15" s="7" t="e">
        <f>IF(OR(#REF!&gt;2,#REF!&lt;-2),"",#REF!)</f>
        <v>#REF!</v>
      </c>
      <c r="OK15" s="7" t="e">
        <f>IF(OR(#REF!&gt;2,#REF!&lt;-2),"",#REF!)</f>
        <v>#REF!</v>
      </c>
      <c r="OL15" s="7" t="e">
        <f>IF(OR(#REF!&gt;2,#REF!&lt;-2),"",#REF!)</f>
        <v>#REF!</v>
      </c>
      <c r="OM15" s="7" t="e">
        <f>IF(OR(#REF!&gt;2,#REF!&lt;-2),"",#REF!)</f>
        <v>#REF!</v>
      </c>
      <c r="ON15" s="7" t="e">
        <f>IF(OR(#REF!&gt;2,#REF!&lt;-2),"",#REF!)</f>
        <v>#REF!</v>
      </c>
      <c r="OO15" s="7" t="e">
        <f>IF(OR(#REF!&gt;2,#REF!&lt;-2),"",#REF!)</f>
        <v>#REF!</v>
      </c>
      <c r="OP15" s="7" t="e">
        <f>IF(OR(#REF!&gt;2,#REF!&lt;-2),"",#REF!)</f>
        <v>#REF!</v>
      </c>
      <c r="OQ15" s="7" t="e">
        <f>IF(OR(#REF!&gt;2,#REF!&lt;-2),"",#REF!)</f>
        <v>#REF!</v>
      </c>
      <c r="OR15" s="7" t="e">
        <f>IF(OR(#REF!&gt;2,#REF!&lt;-2),"",#REF!)</f>
        <v>#REF!</v>
      </c>
      <c r="OS15" s="7" t="e">
        <f>IF(OR(#REF!&gt;2,#REF!&lt;-2),"",#REF!)</f>
        <v>#REF!</v>
      </c>
      <c r="OT15" s="7" t="e">
        <f>IF(OR(#REF!&gt;2,#REF!&lt;-2),"",#REF!)</f>
        <v>#REF!</v>
      </c>
      <c r="OU15" s="7" t="e">
        <f>IF(OR(#REF!&gt;2,#REF!&lt;-2),"",#REF!)</f>
        <v>#REF!</v>
      </c>
      <c r="OV15" s="7" t="e">
        <f>IF(OR(#REF!&gt;2,#REF!&lt;-2),"",#REF!)</f>
        <v>#REF!</v>
      </c>
      <c r="OW15" s="7" t="e">
        <f>IF(OR(#REF!&gt;2,#REF!&lt;-2),"",#REF!)</f>
        <v>#REF!</v>
      </c>
      <c r="OX15" s="7" t="e">
        <f>IF(OR(#REF!&gt;2,#REF!&lt;-2),"",#REF!)</f>
        <v>#REF!</v>
      </c>
      <c r="OY15" s="7" t="e">
        <f>IF(OR(#REF!&gt;2,#REF!&lt;-2),"",#REF!)</f>
        <v>#REF!</v>
      </c>
      <c r="OZ15" s="7" t="e">
        <f>IF(OR(#REF!&gt;2,#REF!&lt;-2),"",#REF!)</f>
        <v>#REF!</v>
      </c>
      <c r="PA15" s="7" t="e">
        <f>IF(OR(#REF!&gt;2,#REF!&lt;-2),"",#REF!)</f>
        <v>#REF!</v>
      </c>
      <c r="PB15" s="7" t="e">
        <f>IF(OR(#REF!&gt;2,#REF!&lt;-2),"",#REF!)</f>
        <v>#REF!</v>
      </c>
      <c r="PC15" s="7" t="e">
        <f>IF(OR(#REF!&gt;2,#REF!&lt;-2),"",#REF!)</f>
        <v>#REF!</v>
      </c>
      <c r="PD15" s="7" t="e">
        <f>IF(OR(#REF!&gt;2,#REF!&lt;-2),"",#REF!)</f>
        <v>#REF!</v>
      </c>
      <c r="PE15" s="7" t="e">
        <f>IF(OR(#REF!&gt;2,#REF!&lt;-2),"",#REF!)</f>
        <v>#REF!</v>
      </c>
      <c r="PF15" s="7" t="e">
        <f>IF(OR(#REF!&gt;2,#REF!&lt;-2),"",#REF!)</f>
        <v>#REF!</v>
      </c>
      <c r="PG15" s="7" t="e">
        <f>IF(OR(#REF!&gt;2,#REF!&lt;-2),"",#REF!)</f>
        <v>#REF!</v>
      </c>
      <c r="PH15" s="7" t="e">
        <f>IF(OR(#REF!&gt;2,#REF!&lt;-2),"",#REF!)</f>
        <v>#REF!</v>
      </c>
      <c r="PI15" s="7" t="e">
        <f>IF(OR(#REF!&gt;2,#REF!&lt;-2),"",#REF!)</f>
        <v>#REF!</v>
      </c>
      <c r="PJ15" s="7" t="e">
        <f>IF(OR(#REF!&gt;2,#REF!&lt;-2),"",#REF!)</f>
        <v>#REF!</v>
      </c>
      <c r="PK15" s="7" t="e">
        <f>IF(OR(#REF!&gt;2,#REF!&lt;-2),"",#REF!)</f>
        <v>#REF!</v>
      </c>
      <c r="PL15" s="7" t="e">
        <f>IF(OR(#REF!&gt;2,#REF!&lt;-2),"",#REF!)</f>
        <v>#REF!</v>
      </c>
      <c r="PM15" s="7" t="e">
        <f>IF(OR(#REF!&gt;2,#REF!&lt;-2),"",#REF!)</f>
        <v>#REF!</v>
      </c>
      <c r="PN15" s="7" t="e">
        <f>IF(OR(#REF!&gt;2,#REF!&lt;-2),"",#REF!)</f>
        <v>#REF!</v>
      </c>
      <c r="PO15" s="7" t="e">
        <f>IF(OR(#REF!&gt;2,#REF!&lt;-2),"",#REF!)</f>
        <v>#REF!</v>
      </c>
      <c r="PP15" s="7" t="e">
        <f>IF(OR(#REF!&gt;2,#REF!&lt;-2),"",#REF!)</f>
        <v>#REF!</v>
      </c>
      <c r="PQ15" s="7" t="e">
        <f>IF(OR(#REF!&gt;2,#REF!&lt;-2),"",#REF!)</f>
        <v>#REF!</v>
      </c>
      <c r="PR15" s="7" t="e">
        <f>IF(OR(#REF!&gt;2,#REF!&lt;-2),"",#REF!)</f>
        <v>#REF!</v>
      </c>
      <c r="PS15" s="7" t="e">
        <f>IF(OR(#REF!&gt;2,#REF!&lt;-2),"",#REF!)</f>
        <v>#REF!</v>
      </c>
      <c r="PT15" s="7" t="e">
        <f>IF(OR(#REF!&gt;2,#REF!&lt;-2),"",#REF!)</f>
        <v>#REF!</v>
      </c>
      <c r="PU15" s="7" t="e">
        <f>IF(OR(#REF!&gt;2,#REF!&lt;-2),"",#REF!)</f>
        <v>#REF!</v>
      </c>
      <c r="PV15" s="7" t="e">
        <f>IF(OR(#REF!&gt;2,#REF!&lt;-2),"",#REF!)</f>
        <v>#REF!</v>
      </c>
      <c r="PW15" s="7" t="e">
        <f>IF(OR(#REF!&gt;2,#REF!&lt;-2),"",#REF!)</f>
        <v>#REF!</v>
      </c>
      <c r="PX15" s="7" t="e">
        <f>IF(OR(#REF!&gt;2,#REF!&lt;-2),"",#REF!)</f>
        <v>#REF!</v>
      </c>
      <c r="PY15" s="7" t="e">
        <f>IF(OR(#REF!&gt;2,#REF!&lt;-2),"",#REF!)</f>
        <v>#REF!</v>
      </c>
      <c r="PZ15" s="7" t="e">
        <f>IF(OR(#REF!&gt;2,#REF!&lt;-2),"",#REF!)</f>
        <v>#REF!</v>
      </c>
      <c r="QA15" s="7" t="e">
        <f>IF(OR(#REF!&gt;2,#REF!&lt;-2),"",#REF!)</f>
        <v>#REF!</v>
      </c>
      <c r="QB15" s="7" t="e">
        <f>IF(OR(#REF!&gt;2,#REF!&lt;-2),"",#REF!)</f>
        <v>#REF!</v>
      </c>
      <c r="QC15" s="7" t="e">
        <f>IF(OR(#REF!&gt;2,#REF!&lt;-2),"",#REF!)</f>
        <v>#REF!</v>
      </c>
      <c r="QD15" s="7" t="e">
        <f>IF(OR(#REF!&gt;2,#REF!&lt;-2),"",#REF!)</f>
        <v>#REF!</v>
      </c>
      <c r="QE15" s="7" t="e">
        <f>IF(OR(#REF!&gt;2,#REF!&lt;-2),"",#REF!)</f>
        <v>#REF!</v>
      </c>
      <c r="QF15" s="7" t="e">
        <f>IF(OR(#REF!&gt;2,#REF!&lt;-2),"",#REF!)</f>
        <v>#REF!</v>
      </c>
      <c r="QG15" s="7" t="e">
        <f>IF(OR(#REF!&gt;2,#REF!&lt;-2),"",#REF!)</f>
        <v>#REF!</v>
      </c>
      <c r="QH15" s="7" t="e">
        <f>IF(OR(#REF!&gt;2,#REF!&lt;-2),"",#REF!)</f>
        <v>#REF!</v>
      </c>
      <c r="QI15" s="7" t="e">
        <f>IF(OR(#REF!&gt;2,#REF!&lt;-2),"",#REF!)</f>
        <v>#REF!</v>
      </c>
      <c r="QJ15" s="7" t="e">
        <f>IF(OR(#REF!&gt;2,#REF!&lt;-2),"",#REF!)</f>
        <v>#REF!</v>
      </c>
      <c r="QK15" s="7" t="e">
        <f>IF(OR(#REF!&gt;2,#REF!&lt;-2),"",#REF!)</f>
        <v>#REF!</v>
      </c>
      <c r="QL15" s="7" t="e">
        <f>IF(OR(#REF!&gt;2,#REF!&lt;-2),"",#REF!)</f>
        <v>#REF!</v>
      </c>
      <c r="QM15" s="7" t="e">
        <f>IF(OR(#REF!&gt;2,#REF!&lt;-2),"",#REF!)</f>
        <v>#REF!</v>
      </c>
      <c r="QN15" s="7" t="e">
        <f>IF(OR(#REF!&gt;2,#REF!&lt;-2),"",#REF!)</f>
        <v>#REF!</v>
      </c>
      <c r="QO15" s="7" t="e">
        <f>IF(OR(#REF!&gt;2,#REF!&lt;-2),"",#REF!)</f>
        <v>#REF!</v>
      </c>
      <c r="QP15" s="7" t="e">
        <f>IF(OR(#REF!&gt;2,#REF!&lt;-2),"",#REF!)</f>
        <v>#REF!</v>
      </c>
      <c r="QQ15" s="7" t="e">
        <f>IF(OR(#REF!&gt;2,#REF!&lt;-2),"",#REF!)</f>
        <v>#REF!</v>
      </c>
      <c r="QR15" s="7" t="e">
        <f>IF(OR(#REF!&gt;2,#REF!&lt;-2),"",#REF!)</f>
        <v>#REF!</v>
      </c>
      <c r="QS15" s="7" t="e">
        <f>IF(OR(#REF!&gt;2,#REF!&lt;-2),"",#REF!)</f>
        <v>#REF!</v>
      </c>
      <c r="QT15" s="7" t="e">
        <f>IF(OR(#REF!&gt;2,#REF!&lt;-2),"",#REF!)</f>
        <v>#REF!</v>
      </c>
      <c r="QU15" s="7" t="e">
        <f>IF(OR(#REF!&gt;2,#REF!&lt;-2),"",#REF!)</f>
        <v>#REF!</v>
      </c>
      <c r="QV15" s="7" t="e">
        <f>IF(OR(#REF!&gt;2,#REF!&lt;-2),"",#REF!)</f>
        <v>#REF!</v>
      </c>
      <c r="QW15" s="7" t="e">
        <f>IF(OR(#REF!&gt;2,#REF!&lt;-2),"",#REF!)</f>
        <v>#REF!</v>
      </c>
      <c r="QX15" s="7" t="e">
        <f>IF(OR(#REF!&gt;2,#REF!&lt;-2),"",#REF!)</f>
        <v>#REF!</v>
      </c>
      <c r="QY15" s="7" t="e">
        <f>IF(OR(#REF!&gt;2,#REF!&lt;-2),"",#REF!)</f>
        <v>#REF!</v>
      </c>
      <c r="QZ15" s="7" t="e">
        <f>IF(OR(#REF!&gt;2,#REF!&lt;-2),"",#REF!)</f>
        <v>#REF!</v>
      </c>
      <c r="RA15" s="7" t="e">
        <f>IF(OR(#REF!&gt;2,#REF!&lt;-2),"",#REF!)</f>
        <v>#REF!</v>
      </c>
      <c r="RB15" s="7" t="e">
        <f>IF(OR(#REF!&gt;2,#REF!&lt;-2),"",#REF!)</f>
        <v>#REF!</v>
      </c>
      <c r="RC15" s="7" t="e">
        <f>IF(OR(#REF!&gt;2,#REF!&lt;-2),"",#REF!)</f>
        <v>#REF!</v>
      </c>
      <c r="RD15" s="7" t="e">
        <f>IF(OR(#REF!&gt;2,#REF!&lt;-2),"",#REF!)</f>
        <v>#REF!</v>
      </c>
      <c r="RE15" s="7" t="e">
        <f>IF(OR(#REF!&gt;2,#REF!&lt;-2),"",#REF!)</f>
        <v>#REF!</v>
      </c>
      <c r="RF15" s="7" t="e">
        <f>IF(OR(#REF!&gt;2,#REF!&lt;-2),"",#REF!)</f>
        <v>#REF!</v>
      </c>
      <c r="RG15" s="7" t="e">
        <f>IF(OR(#REF!&gt;2,#REF!&lt;-2),"",#REF!)</f>
        <v>#REF!</v>
      </c>
      <c r="RH15" s="7" t="e">
        <f>IF(OR(#REF!&gt;2,#REF!&lt;-2),"",#REF!)</f>
        <v>#REF!</v>
      </c>
      <c r="RI15" s="7" t="e">
        <f>IF(OR(#REF!&gt;2,#REF!&lt;-2),"",#REF!)</f>
        <v>#REF!</v>
      </c>
      <c r="RJ15" s="7" t="e">
        <f>IF(OR(#REF!&gt;2,#REF!&lt;-2),"",#REF!)</f>
        <v>#REF!</v>
      </c>
      <c r="RK15" s="7" t="e">
        <f>IF(OR(#REF!&gt;2,#REF!&lt;-2),"",#REF!)</f>
        <v>#REF!</v>
      </c>
      <c r="RL15" s="7" t="e">
        <f>IF(OR(#REF!&gt;2,#REF!&lt;-2),"",#REF!)</f>
        <v>#REF!</v>
      </c>
      <c r="RM15" s="7" t="e">
        <f>IF(OR(#REF!&gt;2,#REF!&lt;-2),"",#REF!)</f>
        <v>#REF!</v>
      </c>
      <c r="RN15" s="7" t="e">
        <f>IF(OR(#REF!&gt;2,#REF!&lt;-2),"",#REF!)</f>
        <v>#REF!</v>
      </c>
      <c r="RO15" s="7" t="e">
        <f>IF(OR(#REF!&gt;2,#REF!&lt;-2),"",#REF!)</f>
        <v>#REF!</v>
      </c>
      <c r="RP15" s="7" t="e">
        <f>IF(OR(#REF!&gt;2,#REF!&lt;-2),"",#REF!)</f>
        <v>#REF!</v>
      </c>
      <c r="RQ15" s="7" t="e">
        <f>IF(OR(#REF!&gt;2,#REF!&lt;-2),"",#REF!)</f>
        <v>#REF!</v>
      </c>
      <c r="RR15" s="7" t="e">
        <f>IF(OR(#REF!&gt;2,#REF!&lt;-2),"",#REF!)</f>
        <v>#REF!</v>
      </c>
      <c r="RS15" s="7" t="e">
        <f>IF(OR(#REF!&gt;2,#REF!&lt;-2),"",#REF!)</f>
        <v>#REF!</v>
      </c>
      <c r="RT15" s="7" t="e">
        <f>IF(OR(#REF!&gt;2,#REF!&lt;-2),"",#REF!)</f>
        <v>#REF!</v>
      </c>
      <c r="RU15" s="7" t="e">
        <f>IF(OR(#REF!&gt;2,#REF!&lt;-2),"",#REF!)</f>
        <v>#REF!</v>
      </c>
      <c r="RV15" s="7" t="e">
        <f>IF(OR(#REF!&gt;2,#REF!&lt;-2),"",#REF!)</f>
        <v>#REF!</v>
      </c>
      <c r="RW15" s="7" t="e">
        <f>IF(OR(#REF!&gt;2,#REF!&lt;-2),"",#REF!)</f>
        <v>#REF!</v>
      </c>
      <c r="RX15" s="7" t="e">
        <f>IF(OR(#REF!&gt;2,#REF!&lt;-2),"",#REF!)</f>
        <v>#REF!</v>
      </c>
      <c r="RY15" s="7" t="e">
        <f>IF(OR(#REF!&gt;2,#REF!&lt;-2),"",#REF!)</f>
        <v>#REF!</v>
      </c>
      <c r="RZ15" s="7" t="e">
        <f>IF(OR(#REF!&gt;2,#REF!&lt;-2),"",#REF!)</f>
        <v>#REF!</v>
      </c>
      <c r="SA15" s="7" t="e">
        <f>IF(OR(#REF!&gt;2,#REF!&lt;-2),"",#REF!)</f>
        <v>#REF!</v>
      </c>
      <c r="SB15" s="7" t="e">
        <f>IF(OR(#REF!&gt;2,#REF!&lt;-2),"",#REF!)</f>
        <v>#REF!</v>
      </c>
      <c r="SC15" s="7" t="e">
        <f>IF(OR(#REF!&gt;2,#REF!&lt;-2),"",#REF!)</f>
        <v>#REF!</v>
      </c>
      <c r="SD15" s="7" t="e">
        <f>IF(OR(#REF!&gt;2,#REF!&lt;-2),"",#REF!)</f>
        <v>#REF!</v>
      </c>
      <c r="SE15" s="7" t="e">
        <f>IF(OR(#REF!&gt;2,#REF!&lt;-2),"",#REF!)</f>
        <v>#REF!</v>
      </c>
      <c r="SF15" s="7" t="e">
        <f>IF(OR(#REF!&gt;2,#REF!&lt;-2),"",#REF!)</f>
        <v>#REF!</v>
      </c>
      <c r="SG15" s="7" t="e">
        <f>IF(OR(#REF!&gt;2,#REF!&lt;-2),"",#REF!)</f>
        <v>#REF!</v>
      </c>
      <c r="SH15" s="7" t="e">
        <f>IF(OR(#REF!&gt;2,#REF!&lt;-2),"",#REF!)</f>
        <v>#REF!</v>
      </c>
      <c r="SI15" s="7" t="e">
        <f>IF(OR(#REF!&gt;2,#REF!&lt;-2),"",#REF!)</f>
        <v>#REF!</v>
      </c>
      <c r="SJ15" s="7" t="e">
        <f>IF(OR(#REF!&gt;2,#REF!&lt;-2),"",#REF!)</f>
        <v>#REF!</v>
      </c>
      <c r="SK15" s="7" t="e">
        <f>IF(OR(#REF!&gt;2,#REF!&lt;-2),"",#REF!)</f>
        <v>#REF!</v>
      </c>
      <c r="SL15" s="7" t="e">
        <f>IF(OR(#REF!&gt;2,#REF!&lt;-2),"",#REF!)</f>
        <v>#REF!</v>
      </c>
      <c r="SM15" s="7" t="e">
        <f>IF(OR(#REF!&gt;2,#REF!&lt;-2),"",#REF!)</f>
        <v>#REF!</v>
      </c>
      <c r="SN15" s="7" t="e">
        <f>IF(OR(#REF!&gt;2,#REF!&lt;-2),"",#REF!)</f>
        <v>#REF!</v>
      </c>
      <c r="SO15" s="7" t="e">
        <f>IF(OR(#REF!&gt;2,#REF!&lt;-2),"",#REF!)</f>
        <v>#REF!</v>
      </c>
      <c r="SP15" s="7" t="e">
        <f>IF(OR(#REF!&gt;2,#REF!&lt;-2),"",#REF!)</f>
        <v>#REF!</v>
      </c>
      <c r="SQ15" s="7" t="e">
        <f>IF(OR(#REF!&gt;2,#REF!&lt;-2),"",#REF!)</f>
        <v>#REF!</v>
      </c>
      <c r="SR15" s="7" t="e">
        <f>IF(OR(#REF!&gt;2,#REF!&lt;-2),"",#REF!)</f>
        <v>#REF!</v>
      </c>
      <c r="SS15" s="7" t="e">
        <f>IF(OR(#REF!&gt;2,#REF!&lt;-2),"",#REF!)</f>
        <v>#REF!</v>
      </c>
      <c r="ST15" s="7" t="e">
        <f>IF(OR(#REF!&gt;2,#REF!&lt;-2),"",#REF!)</f>
        <v>#REF!</v>
      </c>
      <c r="SU15" s="7" t="e">
        <f>IF(OR(#REF!&gt;2,#REF!&lt;-2),"",#REF!)</f>
        <v>#REF!</v>
      </c>
      <c r="SV15" s="7" t="e">
        <f>IF(OR(#REF!&gt;2,#REF!&lt;-2),"",#REF!)</f>
        <v>#REF!</v>
      </c>
      <c r="SW15" s="7" t="e">
        <f>IF(OR(#REF!&gt;2,#REF!&lt;-2),"",#REF!)</f>
        <v>#REF!</v>
      </c>
      <c r="SX15" s="7" t="e">
        <f>IF(OR(#REF!&gt;2,#REF!&lt;-2),"",#REF!)</f>
        <v>#REF!</v>
      </c>
      <c r="SY15" s="7" t="e">
        <f>IF(OR(#REF!&gt;2,#REF!&lt;-2),"",#REF!)</f>
        <v>#REF!</v>
      </c>
      <c r="SZ15" s="7" t="e">
        <f>IF(OR(#REF!&gt;2,#REF!&lt;-2),"",#REF!)</f>
        <v>#REF!</v>
      </c>
      <c r="TA15" s="7" t="e">
        <f>IF(OR(#REF!&gt;2,#REF!&lt;-2),"",#REF!)</f>
        <v>#REF!</v>
      </c>
      <c r="TB15" s="7" t="e">
        <f>IF(OR(#REF!&gt;2,#REF!&lt;-2),"",#REF!)</f>
        <v>#REF!</v>
      </c>
      <c r="TC15" s="7" t="e">
        <f>IF(OR(#REF!&gt;2,#REF!&lt;-2),"",#REF!)</f>
        <v>#REF!</v>
      </c>
      <c r="TD15" s="7" t="e">
        <f>IF(OR(#REF!&gt;2,#REF!&lt;-2),"",#REF!)</f>
        <v>#REF!</v>
      </c>
      <c r="TE15" s="7" t="e">
        <f>IF(OR(#REF!&gt;2,#REF!&lt;-2),"",#REF!)</f>
        <v>#REF!</v>
      </c>
      <c r="TF15" s="7" t="e">
        <f>IF(OR(#REF!&gt;2,#REF!&lt;-2),"",#REF!)</f>
        <v>#REF!</v>
      </c>
      <c r="TG15" s="7" t="e">
        <f>IF(OR(#REF!&gt;2,#REF!&lt;-2),"",#REF!)</f>
        <v>#REF!</v>
      </c>
      <c r="TH15" s="7" t="e">
        <f>IF(OR(#REF!&gt;2,#REF!&lt;-2),"",#REF!)</f>
        <v>#REF!</v>
      </c>
      <c r="TI15" s="7" t="e">
        <f>IF(OR(#REF!&gt;2,#REF!&lt;-2),"",#REF!)</f>
        <v>#REF!</v>
      </c>
      <c r="TJ15" s="7" t="e">
        <f>IF(OR(#REF!&gt;2,#REF!&lt;-2),"",#REF!)</f>
        <v>#REF!</v>
      </c>
      <c r="TK15" s="7" t="e">
        <f>IF(OR(#REF!&gt;2,#REF!&lt;-2),"",#REF!)</f>
        <v>#REF!</v>
      </c>
      <c r="TL15" s="7" t="e">
        <f>IF(OR(#REF!&gt;2,#REF!&lt;-2),"",#REF!)</f>
        <v>#REF!</v>
      </c>
      <c r="TM15" s="7" t="e">
        <f>IF(OR(#REF!&gt;2,#REF!&lt;-2),"",#REF!)</f>
        <v>#REF!</v>
      </c>
      <c r="TN15" s="7" t="e">
        <f>IF(OR(#REF!&gt;2,#REF!&lt;-2),"",#REF!)</f>
        <v>#REF!</v>
      </c>
      <c r="TO15" s="7" t="e">
        <f>IF(OR(#REF!&gt;2,#REF!&lt;-2),"",#REF!)</f>
        <v>#REF!</v>
      </c>
      <c r="TP15" s="7" t="e">
        <f>IF(OR(#REF!&gt;2,#REF!&lt;-2),"",#REF!)</f>
        <v>#REF!</v>
      </c>
      <c r="TQ15" s="7" t="e">
        <f>IF(OR(#REF!&gt;2,#REF!&lt;-2),"",#REF!)</f>
        <v>#REF!</v>
      </c>
      <c r="TR15" s="7" t="e">
        <f>IF(OR(#REF!&gt;2,#REF!&lt;-2),"",#REF!)</f>
        <v>#REF!</v>
      </c>
      <c r="TS15" s="7" t="e">
        <f>IF(OR(#REF!&gt;2,#REF!&lt;-2),"",#REF!)</f>
        <v>#REF!</v>
      </c>
      <c r="TT15" s="7" t="e">
        <f>IF(OR(#REF!&gt;2,#REF!&lt;-2),"",#REF!)</f>
        <v>#REF!</v>
      </c>
      <c r="TU15" s="7" t="e">
        <f>IF(OR(#REF!&gt;2,#REF!&lt;-2),"",#REF!)</f>
        <v>#REF!</v>
      </c>
      <c r="TV15" s="7" t="e">
        <f>IF(OR(#REF!&gt;2,#REF!&lt;-2),"",#REF!)</f>
        <v>#REF!</v>
      </c>
      <c r="TW15" s="7" t="e">
        <f>IF(OR(#REF!&gt;2,#REF!&lt;-2),"",#REF!)</f>
        <v>#REF!</v>
      </c>
      <c r="TX15" s="7" t="e">
        <f>IF(OR(#REF!&gt;2,#REF!&lt;-2),"",#REF!)</f>
        <v>#REF!</v>
      </c>
      <c r="TY15" s="7" t="e">
        <f>IF(OR(#REF!&gt;2,#REF!&lt;-2),"",#REF!)</f>
        <v>#REF!</v>
      </c>
      <c r="TZ15" s="7" t="e">
        <f>IF(OR(#REF!&gt;2,#REF!&lt;-2),"",#REF!)</f>
        <v>#REF!</v>
      </c>
      <c r="UA15" s="7" t="e">
        <f>IF(OR(#REF!&gt;2,#REF!&lt;-2),"",#REF!)</f>
        <v>#REF!</v>
      </c>
      <c r="UB15" s="7" t="e">
        <f>IF(OR(#REF!&gt;2,#REF!&lt;-2),"",#REF!)</f>
        <v>#REF!</v>
      </c>
      <c r="UC15" s="7" t="e">
        <f>IF(OR(#REF!&gt;2,#REF!&lt;-2),"",#REF!)</f>
        <v>#REF!</v>
      </c>
      <c r="UD15" s="7" t="e">
        <f>IF(OR(#REF!&gt;2,#REF!&lt;-2),"",#REF!)</f>
        <v>#REF!</v>
      </c>
      <c r="UE15" s="7" t="e">
        <f>IF(OR(#REF!&gt;2,#REF!&lt;-2),"",#REF!)</f>
        <v>#REF!</v>
      </c>
      <c r="UF15" s="7" t="e">
        <f>IF(OR(#REF!&gt;2,#REF!&lt;-2),"",#REF!)</f>
        <v>#REF!</v>
      </c>
      <c r="UG15" s="7" t="e">
        <f>IF(OR(#REF!&gt;2,#REF!&lt;-2),"",#REF!)</f>
        <v>#REF!</v>
      </c>
      <c r="UH15" s="7" t="e">
        <f>IF(OR(#REF!&gt;2,#REF!&lt;-2),"",#REF!)</f>
        <v>#REF!</v>
      </c>
      <c r="UI15" s="7" t="e">
        <f>IF(OR(#REF!&gt;2,#REF!&lt;-2),"",#REF!)</f>
        <v>#REF!</v>
      </c>
      <c r="UJ15" s="7" t="e">
        <f>IF(OR(#REF!&gt;2,#REF!&lt;-2),"",#REF!)</f>
        <v>#REF!</v>
      </c>
      <c r="UK15" s="7" t="e">
        <f>IF(OR(#REF!&gt;2,#REF!&lt;-2),"",#REF!)</f>
        <v>#REF!</v>
      </c>
      <c r="UL15" s="7" t="e">
        <f>IF(OR(#REF!&gt;2,#REF!&lt;-2),"",#REF!)</f>
        <v>#REF!</v>
      </c>
      <c r="UM15" s="7" t="e">
        <f>IF(OR(#REF!&gt;2,#REF!&lt;-2),"",#REF!)</f>
        <v>#REF!</v>
      </c>
      <c r="UN15" s="7" t="e">
        <f>IF(OR(#REF!&gt;2,#REF!&lt;-2),"",#REF!)</f>
        <v>#REF!</v>
      </c>
      <c r="UO15" s="7" t="e">
        <f>IF(OR(#REF!&gt;2,#REF!&lt;-2),"",#REF!)</f>
        <v>#REF!</v>
      </c>
      <c r="UP15" s="7" t="e">
        <f>IF(OR(#REF!&gt;2,#REF!&lt;-2),"",#REF!)</f>
        <v>#REF!</v>
      </c>
    </row>
    <row r="16" spans="1:562" x14ac:dyDescent="0.35">
      <c r="A16">
        <v>178</v>
      </c>
      <c r="B16">
        <v>1</v>
      </c>
      <c r="C16" s="7" t="e">
        <f>IF(OR(#REF!&gt;2,#REF!&lt;-2),"",#REF!)</f>
        <v>#REF!</v>
      </c>
      <c r="D16" s="7" t="e">
        <f>IF(OR(#REF!&gt;2,#REF!&lt;-2),"",#REF!)</f>
        <v>#REF!</v>
      </c>
      <c r="E16" s="7" t="e">
        <f>IF(OR(#REF!&gt;2,#REF!&lt;-2),"",#REF!)</f>
        <v>#REF!</v>
      </c>
      <c r="F16" s="7" t="e">
        <f>IF(OR(#REF!&gt;2,#REF!&lt;-2),"",#REF!)</f>
        <v>#REF!</v>
      </c>
      <c r="G16" s="7" t="e">
        <f>IF(OR(#REF!&gt;2,#REF!&lt;-2),"",#REF!)</f>
        <v>#REF!</v>
      </c>
      <c r="H16" s="7" t="e">
        <f>IF(OR(#REF!&gt;2,#REF!&lt;-2),"",#REF!)</f>
        <v>#REF!</v>
      </c>
      <c r="I16" s="7" t="e">
        <f>IF(OR(#REF!&gt;2,#REF!&lt;-2),"",#REF!)</f>
        <v>#REF!</v>
      </c>
      <c r="J16" s="7" t="e">
        <f>IF(OR(#REF!&gt;2,#REF!&lt;-2),"",#REF!)</f>
        <v>#REF!</v>
      </c>
      <c r="K16" s="7" t="e">
        <f>IF(OR(#REF!&gt;2,#REF!&lt;-2),"",#REF!)</f>
        <v>#REF!</v>
      </c>
      <c r="L16" s="7" t="e">
        <f>IF(OR(#REF!&gt;2,#REF!&lt;-2),"",#REF!)</f>
        <v>#REF!</v>
      </c>
      <c r="M16" s="7" t="e">
        <f>IF(OR(#REF!&gt;2,#REF!&lt;-2),"",#REF!)</f>
        <v>#REF!</v>
      </c>
      <c r="N16" s="7" t="e">
        <f>IF(OR(#REF!&gt;2,#REF!&lt;-2),"",#REF!)</f>
        <v>#REF!</v>
      </c>
      <c r="O16" s="7" t="e">
        <f>IF(OR(#REF!&gt;2,#REF!&lt;-2),"",#REF!)</f>
        <v>#REF!</v>
      </c>
      <c r="P16" s="7" t="e">
        <f>IF(OR(#REF!&gt;2,#REF!&lt;-2),"",#REF!)</f>
        <v>#REF!</v>
      </c>
      <c r="Q16" s="7" t="e">
        <f>IF(OR(#REF!&gt;2,#REF!&lt;-2),"",#REF!)</f>
        <v>#REF!</v>
      </c>
      <c r="R16" s="7" t="e">
        <f>IF(OR(#REF!&gt;2,#REF!&lt;-2),"",#REF!)</f>
        <v>#REF!</v>
      </c>
      <c r="S16" s="7" t="e">
        <f>IF(OR(#REF!&gt;2,#REF!&lt;-2),"",#REF!)</f>
        <v>#REF!</v>
      </c>
      <c r="T16" s="7" t="e">
        <f>IF(OR(#REF!&gt;2,#REF!&lt;-2),"",#REF!)</f>
        <v>#REF!</v>
      </c>
      <c r="U16" s="7" t="e">
        <f>IF(OR(#REF!&gt;2,#REF!&lt;-2),"",#REF!)</f>
        <v>#REF!</v>
      </c>
      <c r="V16" s="7" t="e">
        <f>IF(OR(#REF!&gt;2,#REF!&lt;-2),"",#REF!)</f>
        <v>#REF!</v>
      </c>
      <c r="W16" s="7" t="e">
        <f>IF(OR(#REF!&gt;2,#REF!&lt;-2),"",#REF!)</f>
        <v>#REF!</v>
      </c>
      <c r="X16" s="7" t="e">
        <f>IF(OR(#REF!&gt;2,#REF!&lt;-2),"",#REF!)</f>
        <v>#REF!</v>
      </c>
      <c r="Y16" s="7" t="e">
        <f>IF(OR(#REF!&gt;2,#REF!&lt;-2),"",#REF!)</f>
        <v>#REF!</v>
      </c>
      <c r="Z16" s="7" t="e">
        <f>IF(OR(#REF!&gt;2,#REF!&lt;-2),"",#REF!)</f>
        <v>#REF!</v>
      </c>
      <c r="AA16" s="7" t="e">
        <f>IF(OR(#REF!&gt;2,#REF!&lt;-2),"",#REF!)</f>
        <v>#REF!</v>
      </c>
      <c r="AB16" s="7" t="e">
        <f>IF(OR(#REF!&gt;2,#REF!&lt;-2),"",#REF!)</f>
        <v>#REF!</v>
      </c>
      <c r="AC16" s="7" t="e">
        <f>IF(OR(#REF!&gt;2,#REF!&lt;-2),"",#REF!)</f>
        <v>#REF!</v>
      </c>
      <c r="AD16" s="7" t="e">
        <f>IF(OR(#REF!&gt;2,#REF!&lt;-2),"",#REF!)</f>
        <v>#REF!</v>
      </c>
      <c r="AE16" s="7" t="e">
        <f>IF(OR(#REF!&gt;2,#REF!&lt;-2),"",#REF!)</f>
        <v>#REF!</v>
      </c>
      <c r="AF16" s="7" t="e">
        <f>IF(OR(#REF!&gt;2,#REF!&lt;-2),"",#REF!)</f>
        <v>#REF!</v>
      </c>
      <c r="AG16" s="7" t="e">
        <f>IF(OR(#REF!&gt;2,#REF!&lt;-2),"",#REF!)</f>
        <v>#REF!</v>
      </c>
      <c r="AH16" s="7" t="e">
        <f>IF(OR(#REF!&gt;2,#REF!&lt;-2),"",#REF!)</f>
        <v>#REF!</v>
      </c>
      <c r="AI16" s="7" t="e">
        <f>IF(OR(#REF!&gt;2,#REF!&lt;-2),"",#REF!)</f>
        <v>#REF!</v>
      </c>
      <c r="AJ16" s="7" t="e">
        <f>IF(OR(#REF!&gt;2,#REF!&lt;-2),"",#REF!)</f>
        <v>#REF!</v>
      </c>
      <c r="AK16" s="7" t="e">
        <f>IF(OR(#REF!&gt;2,#REF!&lt;-2),"",#REF!)</f>
        <v>#REF!</v>
      </c>
      <c r="AL16" s="7" t="e">
        <f>IF(OR(#REF!&gt;2,#REF!&lt;-2),"",#REF!)</f>
        <v>#REF!</v>
      </c>
      <c r="AM16" s="7" t="e">
        <f>IF(OR(#REF!&gt;2,#REF!&lt;-2),"",#REF!)</f>
        <v>#REF!</v>
      </c>
      <c r="AN16" s="7" t="e">
        <f>IF(OR(#REF!&gt;2,#REF!&lt;-2),"",#REF!)</f>
        <v>#REF!</v>
      </c>
      <c r="AO16" s="7" t="e">
        <f>IF(OR(#REF!&gt;2,#REF!&lt;-2),"",#REF!)</f>
        <v>#REF!</v>
      </c>
      <c r="AP16" s="7" t="e">
        <f>IF(OR(#REF!&gt;2,#REF!&lt;-2),"",#REF!)</f>
        <v>#REF!</v>
      </c>
      <c r="AQ16" s="7" t="e">
        <f>IF(OR(#REF!&gt;2,#REF!&lt;-2),"",#REF!)</f>
        <v>#REF!</v>
      </c>
      <c r="AR16" s="7" t="e">
        <f>IF(OR(#REF!&gt;2,#REF!&lt;-2),"",#REF!)</f>
        <v>#REF!</v>
      </c>
      <c r="AS16" s="7" t="e">
        <f>IF(OR(#REF!&gt;2,#REF!&lt;-2),"",#REF!)</f>
        <v>#REF!</v>
      </c>
      <c r="AT16" s="7" t="e">
        <f>IF(OR(#REF!&gt;2,#REF!&lt;-2),"",#REF!)</f>
        <v>#REF!</v>
      </c>
      <c r="AU16" s="7" t="e">
        <f>IF(OR(#REF!&gt;2,#REF!&lt;-2),"",#REF!)</f>
        <v>#REF!</v>
      </c>
      <c r="AV16" s="7" t="e">
        <f>IF(OR(#REF!&gt;2,#REF!&lt;-2),"",#REF!)</f>
        <v>#REF!</v>
      </c>
      <c r="AW16" s="7" t="e">
        <f>IF(OR(#REF!&gt;2,#REF!&lt;-2),"",#REF!)</f>
        <v>#REF!</v>
      </c>
      <c r="AX16" s="7" t="e">
        <f>IF(OR(#REF!&gt;2,#REF!&lt;-2),"",#REF!)</f>
        <v>#REF!</v>
      </c>
      <c r="AY16" s="7" t="e">
        <f>IF(OR(#REF!&gt;2,#REF!&lt;-2),"",#REF!)</f>
        <v>#REF!</v>
      </c>
      <c r="AZ16" s="7" t="e">
        <f>IF(OR(#REF!&gt;2,#REF!&lt;-2),"",#REF!)</f>
        <v>#REF!</v>
      </c>
      <c r="BA16" s="7" t="e">
        <f>IF(OR(#REF!&gt;2,#REF!&lt;-2),"",#REF!)</f>
        <v>#REF!</v>
      </c>
      <c r="BB16" s="7" t="e">
        <f>IF(OR(#REF!&gt;2,#REF!&lt;-2),"",#REF!)</f>
        <v>#REF!</v>
      </c>
      <c r="BC16" s="7" t="e">
        <f>IF(OR(#REF!&gt;2,#REF!&lt;-2),"",#REF!)</f>
        <v>#REF!</v>
      </c>
      <c r="BD16" s="7" t="e">
        <f>IF(OR(#REF!&gt;2,#REF!&lt;-2),"",#REF!)</f>
        <v>#REF!</v>
      </c>
      <c r="BE16" s="7" t="e">
        <f>IF(OR(#REF!&gt;2,#REF!&lt;-2),"",#REF!)</f>
        <v>#REF!</v>
      </c>
      <c r="BF16" s="7" t="e">
        <f>IF(OR(#REF!&gt;2,#REF!&lt;-2),"",#REF!)</f>
        <v>#REF!</v>
      </c>
      <c r="BG16" s="7" t="e">
        <f>IF(OR(#REF!&gt;2,#REF!&lt;-2),"",#REF!)</f>
        <v>#REF!</v>
      </c>
      <c r="BH16" s="7" t="e">
        <f>IF(OR(#REF!&gt;2,#REF!&lt;-2),"",#REF!)</f>
        <v>#REF!</v>
      </c>
      <c r="BI16" s="7" t="e">
        <f>IF(OR(#REF!&gt;2,#REF!&lt;-2),"",#REF!)</f>
        <v>#REF!</v>
      </c>
      <c r="BJ16" s="7" t="e">
        <f>IF(OR(#REF!&gt;2,#REF!&lt;-2),"",#REF!)</f>
        <v>#REF!</v>
      </c>
      <c r="BK16" s="7" t="e">
        <f>IF(OR(#REF!&gt;2,#REF!&lt;-2),"",#REF!)</f>
        <v>#REF!</v>
      </c>
      <c r="BL16" s="7" t="e">
        <f>IF(OR(#REF!&gt;2,#REF!&lt;-2),"",#REF!)</f>
        <v>#REF!</v>
      </c>
      <c r="BM16" s="7" t="e">
        <f>IF(OR(#REF!&gt;2,#REF!&lt;-2),"",#REF!)</f>
        <v>#REF!</v>
      </c>
      <c r="BN16" s="7" t="e">
        <f>IF(OR(#REF!&gt;2,#REF!&lt;-2),"",#REF!)</f>
        <v>#REF!</v>
      </c>
      <c r="BO16" s="7" t="e">
        <f>IF(OR(#REF!&gt;2,#REF!&lt;-2),"",#REF!)</f>
        <v>#REF!</v>
      </c>
      <c r="BP16" s="7" t="e">
        <f>IF(OR(#REF!&gt;2,#REF!&lt;-2),"",#REF!)</f>
        <v>#REF!</v>
      </c>
      <c r="BQ16" s="7" t="e">
        <f>IF(OR(#REF!&gt;2,#REF!&lt;-2),"",#REF!)</f>
        <v>#REF!</v>
      </c>
      <c r="BR16" s="7" t="e">
        <f>IF(OR(#REF!&gt;2,#REF!&lt;-2),"",#REF!)</f>
        <v>#REF!</v>
      </c>
      <c r="BS16" s="7" t="e">
        <f>IF(OR(#REF!&gt;2,#REF!&lt;-2),"",#REF!)</f>
        <v>#REF!</v>
      </c>
      <c r="BT16" s="7" t="e">
        <f>IF(OR(#REF!&gt;2,#REF!&lt;-2),"",#REF!)</f>
        <v>#REF!</v>
      </c>
      <c r="BU16" s="7" t="e">
        <f>IF(OR(#REF!&gt;2,#REF!&lt;-2),"",#REF!)</f>
        <v>#REF!</v>
      </c>
      <c r="BV16" s="7" t="e">
        <f>IF(OR(#REF!&gt;2,#REF!&lt;-2),"",#REF!)</f>
        <v>#REF!</v>
      </c>
      <c r="BW16" s="7" t="e">
        <f>IF(OR(#REF!&gt;2,#REF!&lt;-2),"",#REF!)</f>
        <v>#REF!</v>
      </c>
      <c r="BX16" s="7" t="e">
        <f>IF(OR(#REF!&gt;2,#REF!&lt;-2),"",#REF!)</f>
        <v>#REF!</v>
      </c>
      <c r="BY16" s="7" t="e">
        <f>IF(OR(#REF!&gt;2,#REF!&lt;-2),"",#REF!)</f>
        <v>#REF!</v>
      </c>
      <c r="BZ16" s="7" t="e">
        <f>IF(OR(#REF!&gt;2,#REF!&lt;-2),"",#REF!)</f>
        <v>#REF!</v>
      </c>
      <c r="CA16" s="7" t="e">
        <f>IF(OR(#REF!&gt;2,#REF!&lt;-2),"",#REF!)</f>
        <v>#REF!</v>
      </c>
      <c r="CB16" s="7" t="e">
        <f>IF(OR(#REF!&gt;2,#REF!&lt;-2),"",#REF!)</f>
        <v>#REF!</v>
      </c>
      <c r="CC16" s="7" t="e">
        <f>IF(OR(#REF!&gt;2,#REF!&lt;-2),"",#REF!)</f>
        <v>#REF!</v>
      </c>
      <c r="CD16" s="7" t="e">
        <f>IF(OR(#REF!&gt;2,#REF!&lt;-2),"",#REF!)</f>
        <v>#REF!</v>
      </c>
      <c r="CE16" s="7" t="e">
        <f>IF(OR(#REF!&gt;2,#REF!&lt;-2),"",#REF!)</f>
        <v>#REF!</v>
      </c>
      <c r="CF16" s="7" t="e">
        <f>IF(OR(#REF!&gt;2,#REF!&lt;-2),"",#REF!)</f>
        <v>#REF!</v>
      </c>
      <c r="CG16" s="7" t="e">
        <f>IF(OR(#REF!&gt;2,#REF!&lt;-2),"",#REF!)</f>
        <v>#REF!</v>
      </c>
      <c r="CH16" s="7" t="e">
        <f>IF(OR(#REF!&gt;2,#REF!&lt;-2),"",#REF!)</f>
        <v>#REF!</v>
      </c>
      <c r="CI16" s="7" t="e">
        <f>IF(OR(#REF!&gt;2,#REF!&lt;-2),"",#REF!)</f>
        <v>#REF!</v>
      </c>
      <c r="CJ16" s="7" t="e">
        <f>IF(OR(#REF!&gt;2,#REF!&lt;-2),"",#REF!)</f>
        <v>#REF!</v>
      </c>
      <c r="CK16" s="7" t="e">
        <f>IF(OR(#REF!&gt;2,#REF!&lt;-2),"",#REF!)</f>
        <v>#REF!</v>
      </c>
      <c r="CL16" s="7" t="e">
        <f>IF(OR(#REF!&gt;2,#REF!&lt;-2),"",#REF!)</f>
        <v>#REF!</v>
      </c>
      <c r="CM16" s="7" t="e">
        <f>IF(OR(#REF!&gt;2,#REF!&lt;-2),"",#REF!)</f>
        <v>#REF!</v>
      </c>
      <c r="CN16" s="7" t="e">
        <f>IF(OR(#REF!&gt;2,#REF!&lt;-2),"",#REF!)</f>
        <v>#REF!</v>
      </c>
      <c r="CO16" s="7" t="e">
        <f>IF(OR(#REF!&gt;2,#REF!&lt;-2),"",#REF!)</f>
        <v>#REF!</v>
      </c>
      <c r="CP16" s="7" t="e">
        <f>IF(OR(#REF!&gt;2,#REF!&lt;-2),"",#REF!)</f>
        <v>#REF!</v>
      </c>
      <c r="CQ16" s="7" t="e">
        <f>IF(OR(#REF!&gt;2,#REF!&lt;-2),"",#REF!)</f>
        <v>#REF!</v>
      </c>
      <c r="CR16" s="7" t="e">
        <f>IF(OR(#REF!&gt;2,#REF!&lt;-2),"",#REF!)</f>
        <v>#REF!</v>
      </c>
      <c r="CS16" s="7" t="e">
        <f>IF(OR(#REF!&gt;2,#REF!&lt;-2),"",#REF!)</f>
        <v>#REF!</v>
      </c>
      <c r="CT16" s="7" t="e">
        <f>IF(OR(#REF!&gt;2,#REF!&lt;-2),"",#REF!)</f>
        <v>#REF!</v>
      </c>
      <c r="CU16" s="7" t="e">
        <f>IF(OR(#REF!&gt;2,#REF!&lt;-2),"",#REF!)</f>
        <v>#REF!</v>
      </c>
      <c r="CV16" s="7" t="e">
        <f>IF(OR(#REF!&gt;2,#REF!&lt;-2),"",#REF!)</f>
        <v>#REF!</v>
      </c>
      <c r="CW16" s="7" t="e">
        <f>IF(OR(#REF!&gt;2,#REF!&lt;-2),"",#REF!)</f>
        <v>#REF!</v>
      </c>
      <c r="CX16" s="7" t="e">
        <f>IF(OR(#REF!&gt;2,#REF!&lt;-2),"",#REF!)</f>
        <v>#REF!</v>
      </c>
      <c r="CY16" s="7" t="e">
        <f>IF(OR(#REF!&gt;2,#REF!&lt;-2),"",#REF!)</f>
        <v>#REF!</v>
      </c>
      <c r="CZ16" s="7" t="e">
        <f>IF(OR(#REF!&gt;2,#REF!&lt;-2),"",#REF!)</f>
        <v>#REF!</v>
      </c>
      <c r="DA16" s="7" t="e">
        <f>IF(OR(#REF!&gt;2,#REF!&lt;-2),"",#REF!)</f>
        <v>#REF!</v>
      </c>
      <c r="DB16" s="7" t="e">
        <f>IF(OR(#REF!&gt;2,#REF!&lt;-2),"",#REF!)</f>
        <v>#REF!</v>
      </c>
      <c r="DC16" s="7" t="e">
        <f>IF(OR(#REF!&gt;2,#REF!&lt;-2),"",#REF!)</f>
        <v>#REF!</v>
      </c>
      <c r="DD16" s="7" t="e">
        <f>IF(OR(#REF!&gt;2,#REF!&lt;-2),"",#REF!)</f>
        <v>#REF!</v>
      </c>
      <c r="DE16" s="7" t="e">
        <f>IF(OR(#REF!&gt;2,#REF!&lt;-2),"",#REF!)</f>
        <v>#REF!</v>
      </c>
      <c r="DF16" s="7" t="e">
        <f>IF(OR(#REF!&gt;2,#REF!&lt;-2),"",#REF!)</f>
        <v>#REF!</v>
      </c>
      <c r="DG16" s="7" t="e">
        <f>IF(OR(#REF!&gt;2,#REF!&lt;-2),"",#REF!)</f>
        <v>#REF!</v>
      </c>
      <c r="DH16" s="7" t="e">
        <f>IF(OR(#REF!&gt;2,#REF!&lt;-2),"",#REF!)</f>
        <v>#REF!</v>
      </c>
      <c r="DI16" s="7" t="e">
        <f>IF(OR(#REF!&gt;2,#REF!&lt;-2),"",#REF!)</f>
        <v>#REF!</v>
      </c>
      <c r="DJ16" s="7" t="e">
        <f>IF(OR(#REF!&gt;2,#REF!&lt;-2),"",#REF!)</f>
        <v>#REF!</v>
      </c>
      <c r="DK16" s="7" t="e">
        <f>IF(OR(#REF!&gt;2,#REF!&lt;-2),"",#REF!)</f>
        <v>#REF!</v>
      </c>
      <c r="DL16" s="7" t="e">
        <f>IF(OR(#REF!&gt;2,#REF!&lt;-2),"",#REF!)</f>
        <v>#REF!</v>
      </c>
      <c r="DM16" s="7" t="e">
        <f>IF(OR(#REF!&gt;2,#REF!&lt;-2),"",#REF!)</f>
        <v>#REF!</v>
      </c>
      <c r="DN16" s="7" t="e">
        <f>IF(OR(#REF!&gt;2,#REF!&lt;-2),"",#REF!)</f>
        <v>#REF!</v>
      </c>
      <c r="DO16" s="7" t="e">
        <f>IF(OR(#REF!&gt;2,#REF!&lt;-2),"",#REF!)</f>
        <v>#REF!</v>
      </c>
      <c r="DP16" s="7" t="e">
        <f>IF(OR(#REF!&gt;2,#REF!&lt;-2),"",#REF!)</f>
        <v>#REF!</v>
      </c>
      <c r="DQ16" s="7" t="e">
        <f>IF(OR(#REF!&gt;2,#REF!&lt;-2),"",#REF!)</f>
        <v>#REF!</v>
      </c>
      <c r="DR16" s="7" t="e">
        <f>IF(OR(#REF!&gt;2,#REF!&lt;-2),"",#REF!)</f>
        <v>#REF!</v>
      </c>
      <c r="DS16" s="7" t="e">
        <f>IF(OR(#REF!&gt;2,#REF!&lt;-2),"",#REF!)</f>
        <v>#REF!</v>
      </c>
      <c r="DT16" s="7" t="e">
        <f>IF(OR(#REF!&gt;2,#REF!&lt;-2),"",#REF!)</f>
        <v>#REF!</v>
      </c>
      <c r="DU16" s="7" t="e">
        <f>IF(OR(#REF!&gt;2,#REF!&lt;-2),"",#REF!)</f>
        <v>#REF!</v>
      </c>
      <c r="DV16" s="7" t="e">
        <f>IF(OR(#REF!&gt;2,#REF!&lt;-2),"",#REF!)</f>
        <v>#REF!</v>
      </c>
      <c r="DW16" s="7" t="e">
        <f>IF(OR(#REF!&gt;2,#REF!&lt;-2),"",#REF!)</f>
        <v>#REF!</v>
      </c>
      <c r="DX16" s="7" t="e">
        <f>IF(OR(#REF!&gt;2,#REF!&lt;-2),"",#REF!)</f>
        <v>#REF!</v>
      </c>
      <c r="DY16" s="7" t="e">
        <f>IF(OR(#REF!&gt;2,#REF!&lt;-2),"",#REF!)</f>
        <v>#REF!</v>
      </c>
      <c r="DZ16" s="7" t="e">
        <f>IF(OR(#REF!&gt;2,#REF!&lt;-2),"",#REF!)</f>
        <v>#REF!</v>
      </c>
      <c r="EA16" s="7" t="e">
        <f>IF(OR(#REF!&gt;2,#REF!&lt;-2),"",#REF!)</f>
        <v>#REF!</v>
      </c>
      <c r="EB16" s="7" t="e">
        <f>IF(OR(#REF!&gt;2,#REF!&lt;-2),"",#REF!)</f>
        <v>#REF!</v>
      </c>
      <c r="EC16" s="7" t="e">
        <f>IF(OR(#REF!&gt;2,#REF!&lt;-2),"",#REF!)</f>
        <v>#REF!</v>
      </c>
      <c r="ED16" s="7" t="e">
        <f>IF(OR(#REF!&gt;2,#REF!&lt;-2),"",#REF!)</f>
        <v>#REF!</v>
      </c>
      <c r="EE16" s="7" t="e">
        <f>IF(OR(#REF!&gt;2,#REF!&lt;-2),"",#REF!)</f>
        <v>#REF!</v>
      </c>
      <c r="EF16" s="7" t="e">
        <f>IF(OR(#REF!&gt;2,#REF!&lt;-2),"",#REF!)</f>
        <v>#REF!</v>
      </c>
      <c r="EG16" s="7" t="e">
        <f>IF(OR(#REF!&gt;2,#REF!&lt;-2),"",#REF!)</f>
        <v>#REF!</v>
      </c>
      <c r="EH16" s="7" t="e">
        <f>IF(OR(#REF!&gt;2,#REF!&lt;-2),"",#REF!)</f>
        <v>#REF!</v>
      </c>
      <c r="EI16" s="7" t="e">
        <f>IF(OR(#REF!&gt;2,#REF!&lt;-2),"",#REF!)</f>
        <v>#REF!</v>
      </c>
      <c r="EJ16" s="7" t="e">
        <f>IF(OR(#REF!&gt;2,#REF!&lt;-2),"",#REF!)</f>
        <v>#REF!</v>
      </c>
      <c r="EK16" s="7" t="e">
        <f>IF(OR(#REF!&gt;2,#REF!&lt;-2),"",#REF!)</f>
        <v>#REF!</v>
      </c>
      <c r="EL16" s="7" t="e">
        <f>IF(OR(#REF!&gt;2,#REF!&lt;-2),"",#REF!)</f>
        <v>#REF!</v>
      </c>
      <c r="EM16" s="7" t="e">
        <f>IF(OR(#REF!&gt;2,#REF!&lt;-2),"",#REF!)</f>
        <v>#REF!</v>
      </c>
      <c r="EN16" s="7" t="e">
        <f>IF(OR(#REF!&gt;2,#REF!&lt;-2),"",#REF!)</f>
        <v>#REF!</v>
      </c>
      <c r="EO16" s="7" t="e">
        <f>IF(OR(#REF!&gt;2,#REF!&lt;-2),"",#REF!)</f>
        <v>#REF!</v>
      </c>
      <c r="EP16" s="7" t="e">
        <f>IF(OR(#REF!&gt;2,#REF!&lt;-2),"",#REF!)</f>
        <v>#REF!</v>
      </c>
      <c r="EQ16" s="7" t="e">
        <f>IF(OR(#REF!&gt;2,#REF!&lt;-2),"",#REF!)</f>
        <v>#REF!</v>
      </c>
      <c r="ER16" s="7" t="e">
        <f>IF(OR(#REF!&gt;2,#REF!&lt;-2),"",#REF!)</f>
        <v>#REF!</v>
      </c>
      <c r="ES16" s="7" t="e">
        <f>IF(OR(#REF!&gt;2,#REF!&lt;-2),"",#REF!)</f>
        <v>#REF!</v>
      </c>
      <c r="ET16" s="7" t="e">
        <f>IF(OR(#REF!&gt;2,#REF!&lt;-2),"",#REF!)</f>
        <v>#REF!</v>
      </c>
      <c r="EU16" s="7" t="e">
        <f>IF(OR(#REF!&gt;2,#REF!&lt;-2),"",#REF!)</f>
        <v>#REF!</v>
      </c>
      <c r="EV16" s="7" t="e">
        <f>IF(OR(#REF!&gt;2,#REF!&lt;-2),"",#REF!)</f>
        <v>#REF!</v>
      </c>
      <c r="EW16" s="7" t="e">
        <f>IF(OR(#REF!&gt;2,#REF!&lt;-2),"",#REF!)</f>
        <v>#REF!</v>
      </c>
      <c r="EX16" s="7" t="e">
        <f>IF(OR(#REF!&gt;2,#REF!&lt;-2),"",#REF!)</f>
        <v>#REF!</v>
      </c>
      <c r="EY16" s="7" t="e">
        <f>IF(OR(#REF!&gt;2,#REF!&lt;-2),"",#REF!)</f>
        <v>#REF!</v>
      </c>
      <c r="EZ16" s="7" t="e">
        <f>IF(OR(#REF!&gt;2,#REF!&lt;-2),"",#REF!)</f>
        <v>#REF!</v>
      </c>
      <c r="FA16" s="7" t="e">
        <f>IF(OR(#REF!&gt;2,#REF!&lt;-2),"",#REF!)</f>
        <v>#REF!</v>
      </c>
      <c r="FB16" s="7" t="e">
        <f>IF(OR(#REF!&gt;2,#REF!&lt;-2),"",#REF!)</f>
        <v>#REF!</v>
      </c>
      <c r="FC16" s="7" t="e">
        <f>IF(OR(#REF!&gt;2,#REF!&lt;-2),"",#REF!)</f>
        <v>#REF!</v>
      </c>
      <c r="FD16" s="7" t="e">
        <f>IF(OR(#REF!&gt;2,#REF!&lt;-2),"",#REF!)</f>
        <v>#REF!</v>
      </c>
      <c r="FE16" s="7" t="e">
        <f>IF(OR(#REF!&gt;2,#REF!&lt;-2),"",#REF!)</f>
        <v>#REF!</v>
      </c>
      <c r="FF16" s="7" t="e">
        <f>IF(OR(#REF!&gt;2,#REF!&lt;-2),"",#REF!)</f>
        <v>#REF!</v>
      </c>
      <c r="FG16" s="7" t="e">
        <f>IF(OR(#REF!&gt;2,#REF!&lt;-2),"",#REF!)</f>
        <v>#REF!</v>
      </c>
      <c r="FH16" s="7" t="e">
        <f>IF(OR(#REF!&gt;2,#REF!&lt;-2),"",#REF!)</f>
        <v>#REF!</v>
      </c>
      <c r="FI16" s="7" t="e">
        <f>IF(OR(#REF!&gt;2,#REF!&lt;-2),"",#REF!)</f>
        <v>#REF!</v>
      </c>
      <c r="FJ16" s="7" t="e">
        <f>IF(OR(#REF!&gt;2,#REF!&lt;-2),"",#REF!)</f>
        <v>#REF!</v>
      </c>
      <c r="FK16" s="7" t="e">
        <f>IF(OR(#REF!&gt;2,#REF!&lt;-2),"",#REF!)</f>
        <v>#REF!</v>
      </c>
      <c r="FL16" s="7" t="e">
        <f>IF(OR(#REF!&gt;2,#REF!&lt;-2),"",#REF!)</f>
        <v>#REF!</v>
      </c>
      <c r="FM16" s="7" t="e">
        <f>IF(OR(#REF!&gt;2,#REF!&lt;-2),"",#REF!)</f>
        <v>#REF!</v>
      </c>
      <c r="FN16" s="7" t="e">
        <f>IF(OR(#REF!&gt;2,#REF!&lt;-2),"",#REF!)</f>
        <v>#REF!</v>
      </c>
      <c r="FO16" s="7" t="e">
        <f>IF(OR(#REF!&gt;2,#REF!&lt;-2),"",#REF!)</f>
        <v>#REF!</v>
      </c>
      <c r="FP16" s="7" t="e">
        <f>IF(OR(#REF!&gt;2,#REF!&lt;-2),"",#REF!)</f>
        <v>#REF!</v>
      </c>
      <c r="FQ16" s="7" t="e">
        <f>IF(OR(#REF!&gt;2,#REF!&lt;-2),"",#REF!)</f>
        <v>#REF!</v>
      </c>
      <c r="FR16" s="7" t="e">
        <f>IF(OR(#REF!&gt;2,#REF!&lt;-2),"",#REF!)</f>
        <v>#REF!</v>
      </c>
      <c r="FS16" s="7" t="e">
        <f>IF(OR(#REF!&gt;2,#REF!&lt;-2),"",#REF!)</f>
        <v>#REF!</v>
      </c>
      <c r="FT16" s="7" t="e">
        <f>IF(OR(#REF!&gt;2,#REF!&lt;-2),"",#REF!)</f>
        <v>#REF!</v>
      </c>
      <c r="FU16" s="7" t="e">
        <f>IF(OR(#REF!&gt;2,#REF!&lt;-2),"",#REF!)</f>
        <v>#REF!</v>
      </c>
      <c r="FV16" s="7" t="e">
        <f>IF(OR(#REF!&gt;2,#REF!&lt;-2),"",#REF!)</f>
        <v>#REF!</v>
      </c>
      <c r="FW16" s="7" t="e">
        <f>IF(OR(#REF!&gt;2,#REF!&lt;-2),"",#REF!)</f>
        <v>#REF!</v>
      </c>
      <c r="FX16" s="7" t="e">
        <f>IF(OR(#REF!&gt;2,#REF!&lt;-2),"",#REF!)</f>
        <v>#REF!</v>
      </c>
      <c r="FY16" s="7" t="e">
        <f>IF(OR(#REF!&gt;2,#REF!&lt;-2),"",#REF!)</f>
        <v>#REF!</v>
      </c>
      <c r="FZ16" s="7" t="e">
        <f>IF(OR(#REF!&gt;2,#REF!&lt;-2),"",#REF!)</f>
        <v>#REF!</v>
      </c>
      <c r="GA16" s="7" t="e">
        <f>IF(OR(#REF!&gt;2,#REF!&lt;-2),"",#REF!)</f>
        <v>#REF!</v>
      </c>
      <c r="GB16" s="7" t="e">
        <f>IF(OR(#REF!&gt;2,#REF!&lt;-2),"",#REF!)</f>
        <v>#REF!</v>
      </c>
      <c r="GC16" s="7" t="e">
        <f>IF(OR(#REF!&gt;2,#REF!&lt;-2),"",#REF!)</f>
        <v>#REF!</v>
      </c>
      <c r="GD16" s="7" t="e">
        <f>IF(OR(#REF!&gt;2,#REF!&lt;-2),"",#REF!)</f>
        <v>#REF!</v>
      </c>
      <c r="GE16" s="7" t="e">
        <f>IF(OR(#REF!&gt;2,#REF!&lt;-2),"",#REF!)</f>
        <v>#REF!</v>
      </c>
      <c r="GF16" s="7" t="e">
        <f>IF(OR(#REF!&gt;2,#REF!&lt;-2),"",#REF!)</f>
        <v>#REF!</v>
      </c>
      <c r="GG16" s="7" t="e">
        <f>IF(OR(#REF!&gt;2,#REF!&lt;-2),"",#REF!)</f>
        <v>#REF!</v>
      </c>
      <c r="GH16" s="7" t="e">
        <f>IF(OR(#REF!&gt;2,#REF!&lt;-2),"",#REF!)</f>
        <v>#REF!</v>
      </c>
      <c r="GI16" s="7" t="e">
        <f>IF(OR(#REF!&gt;2,#REF!&lt;-2),"",#REF!)</f>
        <v>#REF!</v>
      </c>
      <c r="GJ16" s="7" t="e">
        <f>IF(OR(#REF!&gt;2,#REF!&lt;-2),"",#REF!)</f>
        <v>#REF!</v>
      </c>
      <c r="GK16" s="7" t="e">
        <f>IF(OR(#REF!&gt;2,#REF!&lt;-2),"",#REF!)</f>
        <v>#REF!</v>
      </c>
      <c r="GL16" s="7" t="e">
        <f>IF(OR(#REF!&gt;2,#REF!&lt;-2),"",#REF!)</f>
        <v>#REF!</v>
      </c>
      <c r="GM16" s="7" t="e">
        <f>IF(OR(#REF!&gt;2,#REF!&lt;-2),"",#REF!)</f>
        <v>#REF!</v>
      </c>
      <c r="GN16" s="7" t="e">
        <f>IF(OR(#REF!&gt;2,#REF!&lt;-2),"",#REF!)</f>
        <v>#REF!</v>
      </c>
      <c r="GO16" s="7" t="e">
        <f>IF(OR(#REF!&gt;2,#REF!&lt;-2),"",#REF!)</f>
        <v>#REF!</v>
      </c>
      <c r="GP16" s="7" t="e">
        <f>IF(OR(#REF!&gt;2,#REF!&lt;-2),"",#REF!)</f>
        <v>#REF!</v>
      </c>
      <c r="GQ16" s="7" t="e">
        <f>IF(OR(#REF!&gt;2,#REF!&lt;-2),"",#REF!)</f>
        <v>#REF!</v>
      </c>
      <c r="GR16" s="7" t="e">
        <f>IF(OR(#REF!&gt;2,#REF!&lt;-2),"",#REF!)</f>
        <v>#REF!</v>
      </c>
      <c r="GS16" s="7" t="e">
        <f>IF(OR(#REF!&gt;2,#REF!&lt;-2),"",#REF!)</f>
        <v>#REF!</v>
      </c>
      <c r="GT16" s="7" t="e">
        <f>IF(OR(#REF!&gt;2,#REF!&lt;-2),"",#REF!)</f>
        <v>#REF!</v>
      </c>
      <c r="GU16" s="7" t="e">
        <f>IF(OR(#REF!&gt;2,#REF!&lt;-2),"",#REF!)</f>
        <v>#REF!</v>
      </c>
      <c r="GV16" s="7" t="e">
        <f>IF(OR(#REF!&gt;2,#REF!&lt;-2),"",#REF!)</f>
        <v>#REF!</v>
      </c>
      <c r="GW16" s="7" t="e">
        <f>IF(OR(#REF!&gt;2,#REF!&lt;-2),"",#REF!)</f>
        <v>#REF!</v>
      </c>
      <c r="GX16" s="7" t="e">
        <f>IF(OR(#REF!&gt;2,#REF!&lt;-2),"",#REF!)</f>
        <v>#REF!</v>
      </c>
      <c r="GY16" s="7" t="e">
        <f>IF(OR(#REF!&gt;2,#REF!&lt;-2),"",#REF!)</f>
        <v>#REF!</v>
      </c>
      <c r="GZ16" s="7" t="e">
        <f>IF(OR(#REF!&gt;2,#REF!&lt;-2),"",#REF!)</f>
        <v>#REF!</v>
      </c>
      <c r="HA16" s="7" t="e">
        <f>IF(OR(#REF!&gt;2,#REF!&lt;-2),"",#REF!)</f>
        <v>#REF!</v>
      </c>
      <c r="HB16" s="7" t="e">
        <f>IF(OR(#REF!&gt;2,#REF!&lt;-2),"",#REF!)</f>
        <v>#REF!</v>
      </c>
      <c r="HC16" s="7" t="e">
        <f>IF(OR(#REF!&gt;2,#REF!&lt;-2),"",#REF!)</f>
        <v>#REF!</v>
      </c>
      <c r="HD16" s="7" t="e">
        <f>IF(OR(#REF!&gt;2,#REF!&lt;-2),"",#REF!)</f>
        <v>#REF!</v>
      </c>
      <c r="HE16" s="7" t="e">
        <f>IF(OR(#REF!&gt;2,#REF!&lt;-2),"",#REF!)</f>
        <v>#REF!</v>
      </c>
      <c r="HF16" s="7" t="e">
        <f>IF(OR(#REF!&gt;2,#REF!&lt;-2),"",#REF!)</f>
        <v>#REF!</v>
      </c>
      <c r="HG16" s="7" t="e">
        <f>IF(OR(#REF!&gt;2,#REF!&lt;-2),"",#REF!)</f>
        <v>#REF!</v>
      </c>
      <c r="HH16" s="7" t="e">
        <f>IF(OR(#REF!&gt;2,#REF!&lt;-2),"",#REF!)</f>
        <v>#REF!</v>
      </c>
      <c r="HI16" s="7" t="e">
        <f>IF(OR(#REF!&gt;2,#REF!&lt;-2),"",#REF!)</f>
        <v>#REF!</v>
      </c>
      <c r="HJ16" s="7" t="e">
        <f>IF(OR(#REF!&gt;2,#REF!&lt;-2),"",#REF!)</f>
        <v>#REF!</v>
      </c>
      <c r="HK16" s="7" t="e">
        <f>IF(OR(#REF!&gt;2,#REF!&lt;-2),"",#REF!)</f>
        <v>#REF!</v>
      </c>
      <c r="HL16" s="7" t="e">
        <f>IF(OR(#REF!&gt;2,#REF!&lt;-2),"",#REF!)</f>
        <v>#REF!</v>
      </c>
      <c r="HM16" s="7" t="e">
        <f>IF(OR(#REF!&gt;2,#REF!&lt;-2),"",#REF!)</f>
        <v>#REF!</v>
      </c>
      <c r="HN16" s="7" t="e">
        <f>IF(OR(#REF!&gt;2,#REF!&lt;-2),"",#REF!)</f>
        <v>#REF!</v>
      </c>
      <c r="HO16" s="7" t="e">
        <f>IF(OR(#REF!&gt;2,#REF!&lt;-2),"",#REF!)</f>
        <v>#REF!</v>
      </c>
      <c r="HP16" s="7" t="e">
        <f>IF(OR(#REF!&gt;2,#REF!&lt;-2),"",#REF!)</f>
        <v>#REF!</v>
      </c>
      <c r="HQ16" s="7" t="e">
        <f>IF(OR(#REF!&gt;2,#REF!&lt;-2),"",#REF!)</f>
        <v>#REF!</v>
      </c>
      <c r="HR16" s="7" t="e">
        <f>IF(OR(#REF!&gt;2,#REF!&lt;-2),"",#REF!)</f>
        <v>#REF!</v>
      </c>
      <c r="HS16" s="7" t="e">
        <f>IF(OR(#REF!&gt;2,#REF!&lt;-2),"",#REF!)</f>
        <v>#REF!</v>
      </c>
      <c r="HT16" s="7" t="e">
        <f>IF(OR(#REF!&gt;2,#REF!&lt;-2),"",#REF!)</f>
        <v>#REF!</v>
      </c>
      <c r="HU16" s="7" t="e">
        <f>IF(OR(#REF!&gt;2,#REF!&lt;-2),"",#REF!)</f>
        <v>#REF!</v>
      </c>
      <c r="HV16" s="7" t="e">
        <f>IF(OR(#REF!&gt;2,#REF!&lt;-2),"",#REF!)</f>
        <v>#REF!</v>
      </c>
      <c r="HW16" s="7" t="e">
        <f>IF(OR(#REF!&gt;2,#REF!&lt;-2),"",#REF!)</f>
        <v>#REF!</v>
      </c>
      <c r="HX16" s="7" t="e">
        <f>IF(OR(#REF!&gt;2,#REF!&lt;-2),"",#REF!)</f>
        <v>#REF!</v>
      </c>
      <c r="HY16" s="7" t="e">
        <f>IF(OR(#REF!&gt;2,#REF!&lt;-2),"",#REF!)</f>
        <v>#REF!</v>
      </c>
      <c r="HZ16" s="7" t="e">
        <f>IF(OR(#REF!&gt;2,#REF!&lt;-2),"",#REF!)</f>
        <v>#REF!</v>
      </c>
      <c r="IA16" s="7" t="e">
        <f>IF(OR(#REF!&gt;2,#REF!&lt;-2),"",#REF!)</f>
        <v>#REF!</v>
      </c>
      <c r="IB16" s="7" t="e">
        <f>IF(OR(#REF!&gt;2,#REF!&lt;-2),"",#REF!)</f>
        <v>#REF!</v>
      </c>
      <c r="IC16" s="7" t="e">
        <f>IF(OR(#REF!&gt;2,#REF!&lt;-2),"",#REF!)</f>
        <v>#REF!</v>
      </c>
      <c r="ID16" s="7" t="e">
        <f>IF(OR(#REF!&gt;2,#REF!&lt;-2),"",#REF!)</f>
        <v>#REF!</v>
      </c>
      <c r="IE16" s="7" t="e">
        <f>IF(OR(#REF!&gt;2,#REF!&lt;-2),"",#REF!)</f>
        <v>#REF!</v>
      </c>
      <c r="IF16" s="7" t="e">
        <f>IF(OR(#REF!&gt;2,#REF!&lt;-2),"",#REF!)</f>
        <v>#REF!</v>
      </c>
      <c r="IG16" s="7" t="e">
        <f>IF(OR(#REF!&gt;2,#REF!&lt;-2),"",#REF!)</f>
        <v>#REF!</v>
      </c>
      <c r="IH16" s="7" t="e">
        <f>IF(OR(#REF!&gt;2,#REF!&lt;-2),"",#REF!)</f>
        <v>#REF!</v>
      </c>
      <c r="II16" s="7" t="e">
        <f>IF(OR(#REF!&gt;2,#REF!&lt;-2),"",#REF!)</f>
        <v>#REF!</v>
      </c>
      <c r="IJ16" s="7" t="e">
        <f>IF(OR(#REF!&gt;2,#REF!&lt;-2),"",#REF!)</f>
        <v>#REF!</v>
      </c>
      <c r="IK16" s="7" t="e">
        <f>IF(OR(#REF!&gt;2,#REF!&lt;-2),"",#REF!)</f>
        <v>#REF!</v>
      </c>
      <c r="IL16" s="7" t="e">
        <f>IF(OR(#REF!&gt;2,#REF!&lt;-2),"",#REF!)</f>
        <v>#REF!</v>
      </c>
      <c r="IM16" s="7" t="e">
        <f>IF(OR(#REF!&gt;2,#REF!&lt;-2),"",#REF!)</f>
        <v>#REF!</v>
      </c>
      <c r="IN16" s="7" t="e">
        <f>IF(OR(#REF!&gt;2,#REF!&lt;-2),"",#REF!)</f>
        <v>#REF!</v>
      </c>
      <c r="IO16" s="7" t="e">
        <f>IF(OR(#REF!&gt;2,#REF!&lt;-2),"",#REF!)</f>
        <v>#REF!</v>
      </c>
      <c r="IP16" s="7" t="e">
        <f>IF(OR(#REF!&gt;2,#REF!&lt;-2),"",#REF!)</f>
        <v>#REF!</v>
      </c>
      <c r="IQ16" s="7" t="e">
        <f>IF(OR(#REF!&gt;2,#REF!&lt;-2),"",#REF!)</f>
        <v>#REF!</v>
      </c>
      <c r="IR16" s="7" t="e">
        <f>IF(OR(#REF!&gt;2,#REF!&lt;-2),"",#REF!)</f>
        <v>#REF!</v>
      </c>
      <c r="IS16" s="7" t="e">
        <f>IF(OR(#REF!&gt;2,#REF!&lt;-2),"",#REF!)</f>
        <v>#REF!</v>
      </c>
      <c r="IT16" s="7" t="e">
        <f>IF(OR(#REF!&gt;2,#REF!&lt;-2),"",#REF!)</f>
        <v>#REF!</v>
      </c>
      <c r="IU16" s="7" t="e">
        <f>IF(OR(#REF!&gt;2,#REF!&lt;-2),"",#REF!)</f>
        <v>#REF!</v>
      </c>
      <c r="IV16" s="7" t="e">
        <f>IF(OR(#REF!&gt;2,#REF!&lt;-2),"",#REF!)</f>
        <v>#REF!</v>
      </c>
      <c r="IW16" s="7" t="e">
        <f>IF(OR(#REF!&gt;2,#REF!&lt;-2),"",#REF!)</f>
        <v>#REF!</v>
      </c>
      <c r="IX16" s="7" t="e">
        <f>IF(OR(#REF!&gt;2,#REF!&lt;-2),"",#REF!)</f>
        <v>#REF!</v>
      </c>
      <c r="IY16" s="7" t="e">
        <f>IF(OR(#REF!&gt;2,#REF!&lt;-2),"",#REF!)</f>
        <v>#REF!</v>
      </c>
      <c r="IZ16" s="7" t="e">
        <f>IF(OR(#REF!&gt;2,#REF!&lt;-2),"",#REF!)</f>
        <v>#REF!</v>
      </c>
      <c r="JA16" s="7" t="e">
        <f>IF(OR(#REF!&gt;2,#REF!&lt;-2),"",#REF!)</f>
        <v>#REF!</v>
      </c>
      <c r="JB16" s="7" t="e">
        <f>IF(OR(#REF!&gt;2,#REF!&lt;-2),"",#REF!)</f>
        <v>#REF!</v>
      </c>
      <c r="JC16" s="7" t="e">
        <f>IF(OR(#REF!&gt;2,#REF!&lt;-2),"",#REF!)</f>
        <v>#REF!</v>
      </c>
      <c r="JD16" s="7" t="e">
        <f>IF(OR(#REF!&gt;2,#REF!&lt;-2),"",#REF!)</f>
        <v>#REF!</v>
      </c>
      <c r="JE16" s="7" t="e">
        <f>IF(OR(#REF!&gt;2,#REF!&lt;-2),"",#REF!)</f>
        <v>#REF!</v>
      </c>
      <c r="JF16" s="7" t="e">
        <f>IF(OR(#REF!&gt;2,#REF!&lt;-2),"",#REF!)</f>
        <v>#REF!</v>
      </c>
      <c r="JG16" s="7" t="e">
        <f>IF(OR(#REF!&gt;2,#REF!&lt;-2),"",#REF!)</f>
        <v>#REF!</v>
      </c>
      <c r="JH16" s="7" t="e">
        <f>IF(OR(#REF!&gt;2,#REF!&lt;-2),"",#REF!)</f>
        <v>#REF!</v>
      </c>
      <c r="JI16" s="7" t="e">
        <f>IF(OR(#REF!&gt;2,#REF!&lt;-2),"",#REF!)</f>
        <v>#REF!</v>
      </c>
      <c r="JJ16" s="7" t="e">
        <f>IF(OR(#REF!&gt;2,#REF!&lt;-2),"",#REF!)</f>
        <v>#REF!</v>
      </c>
      <c r="JK16" s="7" t="e">
        <f>IF(OR(#REF!&gt;2,#REF!&lt;-2),"",#REF!)</f>
        <v>#REF!</v>
      </c>
      <c r="JL16" s="7" t="e">
        <f>IF(OR(#REF!&gt;2,#REF!&lt;-2),"",#REF!)</f>
        <v>#REF!</v>
      </c>
      <c r="JM16" s="7" t="e">
        <f>IF(OR(#REF!&gt;2,#REF!&lt;-2),"",#REF!)</f>
        <v>#REF!</v>
      </c>
      <c r="JN16" s="7" t="e">
        <f>IF(OR(#REF!&gt;2,#REF!&lt;-2),"",#REF!)</f>
        <v>#REF!</v>
      </c>
      <c r="JO16" s="7" t="e">
        <f>IF(OR(#REF!&gt;2,#REF!&lt;-2),"",#REF!)</f>
        <v>#REF!</v>
      </c>
      <c r="JP16" s="7" t="e">
        <f>IF(OR(#REF!&gt;2,#REF!&lt;-2),"",#REF!)</f>
        <v>#REF!</v>
      </c>
      <c r="JQ16" s="7" t="e">
        <f>IF(OR(#REF!&gt;2,#REF!&lt;-2),"",#REF!)</f>
        <v>#REF!</v>
      </c>
      <c r="JR16" s="7" t="e">
        <f>IF(OR(#REF!&gt;2,#REF!&lt;-2),"",#REF!)</f>
        <v>#REF!</v>
      </c>
      <c r="JS16" s="7" t="e">
        <f>IF(OR(#REF!&gt;2,#REF!&lt;-2),"",#REF!)</f>
        <v>#REF!</v>
      </c>
      <c r="JT16" s="7" t="e">
        <f>IF(OR(#REF!&gt;2,#REF!&lt;-2),"",#REF!)</f>
        <v>#REF!</v>
      </c>
      <c r="JU16" s="7" t="e">
        <f>IF(OR(#REF!&gt;2,#REF!&lt;-2),"",#REF!)</f>
        <v>#REF!</v>
      </c>
      <c r="JV16" s="7" t="e">
        <f>IF(OR(#REF!&gt;2,#REF!&lt;-2),"",#REF!)</f>
        <v>#REF!</v>
      </c>
      <c r="JW16" s="7" t="e">
        <f>IF(OR(#REF!&gt;2,#REF!&lt;-2),"",#REF!)</f>
        <v>#REF!</v>
      </c>
      <c r="JX16" s="7" t="e">
        <f>IF(OR(#REF!&gt;2,#REF!&lt;-2),"",#REF!)</f>
        <v>#REF!</v>
      </c>
      <c r="JY16" s="7" t="e">
        <f>IF(OR(#REF!&gt;2,#REF!&lt;-2),"",#REF!)</f>
        <v>#REF!</v>
      </c>
      <c r="JZ16" s="7" t="e">
        <f>IF(OR(#REF!&gt;2,#REF!&lt;-2),"",#REF!)</f>
        <v>#REF!</v>
      </c>
      <c r="KA16" s="7" t="e">
        <f>IF(OR(#REF!&gt;2,#REF!&lt;-2),"",#REF!)</f>
        <v>#REF!</v>
      </c>
      <c r="KB16" s="7" t="e">
        <f>IF(OR(#REF!&gt;2,#REF!&lt;-2),"",#REF!)</f>
        <v>#REF!</v>
      </c>
      <c r="KC16" s="7" t="e">
        <f>IF(OR(#REF!&gt;2,#REF!&lt;-2),"",#REF!)</f>
        <v>#REF!</v>
      </c>
      <c r="KD16" s="7" t="e">
        <f>IF(OR(#REF!&gt;2,#REF!&lt;-2),"",#REF!)</f>
        <v>#REF!</v>
      </c>
      <c r="KE16" s="7" t="e">
        <f>IF(OR(#REF!&gt;2,#REF!&lt;-2),"",#REF!)</f>
        <v>#REF!</v>
      </c>
      <c r="KF16" s="7" t="e">
        <f>IF(OR(#REF!&gt;2,#REF!&lt;-2),"",#REF!)</f>
        <v>#REF!</v>
      </c>
      <c r="KG16" s="7" t="e">
        <f>IF(OR(#REF!&gt;2,#REF!&lt;-2),"",#REF!)</f>
        <v>#REF!</v>
      </c>
      <c r="KH16" s="7" t="e">
        <f>IF(OR(#REF!&gt;2,#REF!&lt;-2),"",#REF!)</f>
        <v>#REF!</v>
      </c>
      <c r="KI16" s="7" t="e">
        <f>IF(OR(#REF!&gt;2,#REF!&lt;-2),"",#REF!)</f>
        <v>#REF!</v>
      </c>
      <c r="KJ16" s="7" t="e">
        <f>IF(OR(#REF!&gt;2,#REF!&lt;-2),"",#REF!)</f>
        <v>#REF!</v>
      </c>
      <c r="KK16" s="7" t="e">
        <f>IF(OR(#REF!&gt;2,#REF!&lt;-2),"",#REF!)</f>
        <v>#REF!</v>
      </c>
      <c r="KL16" s="7" t="e">
        <f>IF(OR(#REF!&gt;2,#REF!&lt;-2),"",#REF!)</f>
        <v>#REF!</v>
      </c>
      <c r="KM16" s="7" t="e">
        <f>IF(OR(#REF!&gt;2,#REF!&lt;-2),"",#REF!)</f>
        <v>#REF!</v>
      </c>
      <c r="KN16" s="7" t="e">
        <f>IF(OR(#REF!&gt;2,#REF!&lt;-2),"",#REF!)</f>
        <v>#REF!</v>
      </c>
      <c r="KO16" s="7" t="e">
        <f>IF(OR(#REF!&gt;2,#REF!&lt;-2),"",#REF!)</f>
        <v>#REF!</v>
      </c>
      <c r="KP16" s="7" t="e">
        <f>IF(OR(#REF!&gt;2,#REF!&lt;-2),"",#REF!)</f>
        <v>#REF!</v>
      </c>
      <c r="KQ16" s="7" t="e">
        <f>IF(OR(#REF!&gt;2,#REF!&lt;-2),"",#REF!)</f>
        <v>#REF!</v>
      </c>
      <c r="KR16" s="7" t="e">
        <f>IF(OR(#REF!&gt;2,#REF!&lt;-2),"",#REF!)</f>
        <v>#REF!</v>
      </c>
      <c r="KS16" s="7" t="e">
        <f>IF(OR(#REF!&gt;2,#REF!&lt;-2),"",#REF!)</f>
        <v>#REF!</v>
      </c>
      <c r="KT16" s="7" t="e">
        <f>IF(OR(#REF!&gt;2,#REF!&lt;-2),"",#REF!)</f>
        <v>#REF!</v>
      </c>
      <c r="KU16" s="7" t="e">
        <f>IF(OR(#REF!&gt;2,#REF!&lt;-2),"",#REF!)</f>
        <v>#REF!</v>
      </c>
      <c r="KV16" s="7" t="e">
        <f>IF(OR(#REF!&gt;2,#REF!&lt;-2),"",#REF!)</f>
        <v>#REF!</v>
      </c>
      <c r="KW16" s="7" t="e">
        <f>IF(OR(#REF!&gt;2,#REF!&lt;-2),"",#REF!)</f>
        <v>#REF!</v>
      </c>
      <c r="KX16" s="7" t="e">
        <f>IF(OR(#REF!&gt;2,#REF!&lt;-2),"",#REF!)</f>
        <v>#REF!</v>
      </c>
      <c r="KY16" s="7" t="e">
        <f>IF(OR(#REF!&gt;2,#REF!&lt;-2),"",#REF!)</f>
        <v>#REF!</v>
      </c>
      <c r="KZ16" s="7" t="e">
        <f>IF(OR(#REF!&gt;2,#REF!&lt;-2),"",#REF!)</f>
        <v>#REF!</v>
      </c>
      <c r="LA16" s="7" t="e">
        <f>IF(OR(#REF!&gt;2,#REF!&lt;-2),"",#REF!)</f>
        <v>#REF!</v>
      </c>
      <c r="LB16" s="7" t="e">
        <f>IF(OR(#REF!&gt;2,#REF!&lt;-2),"",#REF!)</f>
        <v>#REF!</v>
      </c>
      <c r="LC16" s="7" t="e">
        <f>IF(OR(#REF!&gt;2,#REF!&lt;-2),"",#REF!)</f>
        <v>#REF!</v>
      </c>
      <c r="LD16" s="7" t="e">
        <f>IF(OR(#REF!&gt;2,#REF!&lt;-2),"",#REF!)</f>
        <v>#REF!</v>
      </c>
      <c r="LE16" s="7" t="e">
        <f>IF(OR(#REF!&gt;2,#REF!&lt;-2),"",#REF!)</f>
        <v>#REF!</v>
      </c>
      <c r="LF16" s="7" t="e">
        <f>IF(OR(#REF!&gt;2,#REF!&lt;-2),"",#REF!)</f>
        <v>#REF!</v>
      </c>
      <c r="LG16" s="7" t="e">
        <f>IF(OR(#REF!&gt;2,#REF!&lt;-2),"",#REF!)</f>
        <v>#REF!</v>
      </c>
      <c r="LH16" s="7" t="e">
        <f>IF(OR(#REF!&gt;2,#REF!&lt;-2),"",#REF!)</f>
        <v>#REF!</v>
      </c>
      <c r="LI16" s="7" t="e">
        <f>IF(OR(#REF!&gt;2,#REF!&lt;-2),"",#REF!)</f>
        <v>#REF!</v>
      </c>
      <c r="LJ16" s="7" t="e">
        <f>IF(OR(#REF!&gt;2,#REF!&lt;-2),"",#REF!)</f>
        <v>#REF!</v>
      </c>
      <c r="LK16" s="7" t="e">
        <f>IF(OR(#REF!&gt;2,#REF!&lt;-2),"",#REF!)</f>
        <v>#REF!</v>
      </c>
      <c r="LL16" s="7" t="e">
        <f>IF(OR(#REF!&gt;2,#REF!&lt;-2),"",#REF!)</f>
        <v>#REF!</v>
      </c>
      <c r="LM16" s="7" t="e">
        <f>IF(OR(#REF!&gt;2,#REF!&lt;-2),"",#REF!)</f>
        <v>#REF!</v>
      </c>
      <c r="LN16" s="7" t="e">
        <f>IF(OR(#REF!&gt;2,#REF!&lt;-2),"",#REF!)</f>
        <v>#REF!</v>
      </c>
      <c r="LO16" s="7" t="e">
        <f>IF(OR(#REF!&gt;2,#REF!&lt;-2),"",#REF!)</f>
        <v>#REF!</v>
      </c>
      <c r="LP16" s="7" t="e">
        <f>IF(OR(#REF!&gt;2,#REF!&lt;-2),"",#REF!)</f>
        <v>#REF!</v>
      </c>
      <c r="LQ16" s="7" t="e">
        <f>IF(OR(#REF!&gt;2,#REF!&lt;-2),"",#REF!)</f>
        <v>#REF!</v>
      </c>
      <c r="LR16" s="7" t="e">
        <f>IF(OR(#REF!&gt;2,#REF!&lt;-2),"",#REF!)</f>
        <v>#REF!</v>
      </c>
      <c r="LS16" s="7" t="e">
        <f>IF(OR(#REF!&gt;2,#REF!&lt;-2),"",#REF!)</f>
        <v>#REF!</v>
      </c>
      <c r="LT16" s="7" t="e">
        <f>IF(OR(#REF!&gt;2,#REF!&lt;-2),"",#REF!)</f>
        <v>#REF!</v>
      </c>
      <c r="LU16" s="7" t="e">
        <f>IF(OR(#REF!&gt;2,#REF!&lt;-2),"",#REF!)</f>
        <v>#REF!</v>
      </c>
      <c r="LV16" s="7" t="e">
        <f>IF(OR(#REF!&gt;2,#REF!&lt;-2),"",#REF!)</f>
        <v>#REF!</v>
      </c>
      <c r="LW16" s="7" t="e">
        <f>IF(OR(#REF!&gt;2,#REF!&lt;-2),"",#REF!)</f>
        <v>#REF!</v>
      </c>
      <c r="LX16" s="7" t="e">
        <f>IF(OR(#REF!&gt;2,#REF!&lt;-2),"",#REF!)</f>
        <v>#REF!</v>
      </c>
      <c r="LY16" s="7" t="e">
        <f>IF(OR(#REF!&gt;2,#REF!&lt;-2),"",#REF!)</f>
        <v>#REF!</v>
      </c>
      <c r="LZ16" s="7" t="e">
        <f>IF(OR(#REF!&gt;2,#REF!&lt;-2),"",#REF!)</f>
        <v>#REF!</v>
      </c>
      <c r="MA16" s="7" t="e">
        <f>IF(OR(#REF!&gt;2,#REF!&lt;-2),"",#REF!)</f>
        <v>#REF!</v>
      </c>
      <c r="MB16" s="7" t="e">
        <f>IF(OR(#REF!&gt;2,#REF!&lt;-2),"",#REF!)</f>
        <v>#REF!</v>
      </c>
      <c r="MC16" s="7" t="e">
        <f>IF(OR(#REF!&gt;2,#REF!&lt;-2),"",#REF!)</f>
        <v>#REF!</v>
      </c>
      <c r="MD16" s="7" t="e">
        <f>IF(OR(#REF!&gt;2,#REF!&lt;-2),"",#REF!)</f>
        <v>#REF!</v>
      </c>
      <c r="ME16" s="7" t="e">
        <f>IF(OR(#REF!&gt;2,#REF!&lt;-2),"",#REF!)</f>
        <v>#REF!</v>
      </c>
      <c r="MF16" s="7" t="e">
        <f>IF(OR(#REF!&gt;2,#REF!&lt;-2),"",#REF!)</f>
        <v>#REF!</v>
      </c>
      <c r="MG16" s="7" t="e">
        <f>IF(OR(#REF!&gt;2,#REF!&lt;-2),"",#REF!)</f>
        <v>#REF!</v>
      </c>
      <c r="MH16" s="7" t="e">
        <f>IF(OR(#REF!&gt;2,#REF!&lt;-2),"",#REF!)</f>
        <v>#REF!</v>
      </c>
      <c r="MI16" s="7" t="e">
        <f>IF(OR(#REF!&gt;2,#REF!&lt;-2),"",#REF!)</f>
        <v>#REF!</v>
      </c>
      <c r="MJ16" s="7" t="e">
        <f>IF(OR(#REF!&gt;2,#REF!&lt;-2),"",#REF!)</f>
        <v>#REF!</v>
      </c>
      <c r="MK16" s="7" t="e">
        <f>IF(OR(#REF!&gt;2,#REF!&lt;-2),"",#REF!)</f>
        <v>#REF!</v>
      </c>
      <c r="ML16" s="7" t="e">
        <f>IF(OR(#REF!&gt;2,#REF!&lt;-2),"",#REF!)</f>
        <v>#REF!</v>
      </c>
      <c r="MM16" s="7" t="e">
        <f>IF(OR(#REF!&gt;2,#REF!&lt;-2),"",#REF!)</f>
        <v>#REF!</v>
      </c>
      <c r="MN16" s="7" t="e">
        <f>IF(OR(#REF!&gt;2,#REF!&lt;-2),"",#REF!)</f>
        <v>#REF!</v>
      </c>
      <c r="MO16" s="7" t="e">
        <f>IF(OR(#REF!&gt;2,#REF!&lt;-2),"",#REF!)</f>
        <v>#REF!</v>
      </c>
      <c r="MP16" s="7" t="e">
        <f>IF(OR(#REF!&gt;2,#REF!&lt;-2),"",#REF!)</f>
        <v>#REF!</v>
      </c>
      <c r="MQ16" s="7" t="e">
        <f>IF(OR(#REF!&gt;2,#REF!&lt;-2),"",#REF!)</f>
        <v>#REF!</v>
      </c>
      <c r="MR16" s="7" t="e">
        <f>IF(OR(#REF!&gt;2,#REF!&lt;-2),"",#REF!)</f>
        <v>#REF!</v>
      </c>
      <c r="MS16" s="7" t="e">
        <f>IF(OR(#REF!&gt;2,#REF!&lt;-2),"",#REF!)</f>
        <v>#REF!</v>
      </c>
      <c r="MT16" s="7" t="e">
        <f>IF(OR(#REF!&gt;2,#REF!&lt;-2),"",#REF!)</f>
        <v>#REF!</v>
      </c>
      <c r="MU16" s="7" t="e">
        <f>IF(OR(#REF!&gt;2,#REF!&lt;-2),"",#REF!)</f>
        <v>#REF!</v>
      </c>
      <c r="MV16" s="7" t="e">
        <f>IF(OR(#REF!&gt;2,#REF!&lt;-2),"",#REF!)</f>
        <v>#REF!</v>
      </c>
      <c r="MW16" s="7" t="e">
        <f>IF(OR(#REF!&gt;2,#REF!&lt;-2),"",#REF!)</f>
        <v>#REF!</v>
      </c>
      <c r="MX16" s="7" t="e">
        <f>IF(OR(#REF!&gt;2,#REF!&lt;-2),"",#REF!)</f>
        <v>#REF!</v>
      </c>
      <c r="MY16" s="7" t="e">
        <f>IF(OR(#REF!&gt;2,#REF!&lt;-2),"",#REF!)</f>
        <v>#REF!</v>
      </c>
      <c r="MZ16" s="7" t="e">
        <f>IF(OR(#REF!&gt;2,#REF!&lt;-2),"",#REF!)</f>
        <v>#REF!</v>
      </c>
      <c r="NA16" s="7" t="e">
        <f>IF(OR(#REF!&gt;2,#REF!&lt;-2),"",#REF!)</f>
        <v>#REF!</v>
      </c>
      <c r="NB16" s="7" t="e">
        <f>IF(OR(#REF!&gt;2,#REF!&lt;-2),"",#REF!)</f>
        <v>#REF!</v>
      </c>
      <c r="NC16" s="7" t="e">
        <f>IF(OR(#REF!&gt;2,#REF!&lt;-2),"",#REF!)</f>
        <v>#REF!</v>
      </c>
      <c r="ND16" s="7" t="e">
        <f>IF(OR(#REF!&gt;2,#REF!&lt;-2),"",#REF!)</f>
        <v>#REF!</v>
      </c>
      <c r="NE16" s="7" t="e">
        <f>IF(OR(#REF!&gt;2,#REF!&lt;-2),"",#REF!)</f>
        <v>#REF!</v>
      </c>
      <c r="NF16" s="7" t="e">
        <f>IF(OR(#REF!&gt;2,#REF!&lt;-2),"",#REF!)</f>
        <v>#REF!</v>
      </c>
      <c r="NG16" s="7" t="e">
        <f>IF(OR(#REF!&gt;2,#REF!&lt;-2),"",#REF!)</f>
        <v>#REF!</v>
      </c>
      <c r="NH16" s="7" t="e">
        <f>IF(OR(#REF!&gt;2,#REF!&lt;-2),"",#REF!)</f>
        <v>#REF!</v>
      </c>
      <c r="NI16" s="7" t="e">
        <f>IF(OR(#REF!&gt;2,#REF!&lt;-2),"",#REF!)</f>
        <v>#REF!</v>
      </c>
      <c r="NJ16" s="7" t="e">
        <f>IF(OR(#REF!&gt;2,#REF!&lt;-2),"",#REF!)</f>
        <v>#REF!</v>
      </c>
      <c r="NK16" s="7" t="e">
        <f>IF(OR(#REF!&gt;2,#REF!&lt;-2),"",#REF!)</f>
        <v>#REF!</v>
      </c>
      <c r="NL16" s="7" t="e">
        <f>IF(OR(#REF!&gt;2,#REF!&lt;-2),"",#REF!)</f>
        <v>#REF!</v>
      </c>
      <c r="NM16" s="7" t="e">
        <f>IF(OR(#REF!&gt;2,#REF!&lt;-2),"",#REF!)</f>
        <v>#REF!</v>
      </c>
      <c r="NN16" s="7" t="e">
        <f>IF(OR(#REF!&gt;2,#REF!&lt;-2),"",#REF!)</f>
        <v>#REF!</v>
      </c>
      <c r="NO16" s="7" t="e">
        <f>IF(OR(#REF!&gt;2,#REF!&lt;-2),"",#REF!)</f>
        <v>#REF!</v>
      </c>
      <c r="NP16" s="7" t="e">
        <f>IF(OR(#REF!&gt;2,#REF!&lt;-2),"",#REF!)</f>
        <v>#REF!</v>
      </c>
      <c r="NQ16" s="7" t="e">
        <f>IF(OR(#REF!&gt;2,#REF!&lt;-2),"",#REF!)</f>
        <v>#REF!</v>
      </c>
      <c r="NR16" s="7" t="e">
        <f>IF(OR(#REF!&gt;2,#REF!&lt;-2),"",#REF!)</f>
        <v>#REF!</v>
      </c>
      <c r="NS16" s="7" t="e">
        <f>IF(OR(#REF!&gt;2,#REF!&lt;-2),"",#REF!)</f>
        <v>#REF!</v>
      </c>
      <c r="NT16" s="7" t="e">
        <f>IF(OR(#REF!&gt;2,#REF!&lt;-2),"",#REF!)</f>
        <v>#REF!</v>
      </c>
      <c r="NU16" s="7" t="e">
        <f>IF(OR(#REF!&gt;2,#REF!&lt;-2),"",#REF!)</f>
        <v>#REF!</v>
      </c>
      <c r="NV16" s="7" t="e">
        <f>IF(OR(#REF!&gt;2,#REF!&lt;-2),"",#REF!)</f>
        <v>#REF!</v>
      </c>
      <c r="NW16" s="7" t="e">
        <f>IF(OR(#REF!&gt;2,#REF!&lt;-2),"",#REF!)</f>
        <v>#REF!</v>
      </c>
      <c r="NX16" s="7" t="e">
        <f>IF(OR(#REF!&gt;2,#REF!&lt;-2),"",#REF!)</f>
        <v>#REF!</v>
      </c>
      <c r="NY16" s="7" t="e">
        <f>IF(OR(#REF!&gt;2,#REF!&lt;-2),"",#REF!)</f>
        <v>#REF!</v>
      </c>
      <c r="NZ16" s="7" t="e">
        <f>IF(OR(#REF!&gt;2,#REF!&lt;-2),"",#REF!)</f>
        <v>#REF!</v>
      </c>
      <c r="OA16" s="7" t="e">
        <f>IF(OR(#REF!&gt;2,#REF!&lt;-2),"",#REF!)</f>
        <v>#REF!</v>
      </c>
      <c r="OB16" s="7" t="e">
        <f>IF(OR(#REF!&gt;2,#REF!&lt;-2),"",#REF!)</f>
        <v>#REF!</v>
      </c>
      <c r="OC16" s="7" t="e">
        <f>IF(OR(#REF!&gt;2,#REF!&lt;-2),"",#REF!)</f>
        <v>#REF!</v>
      </c>
      <c r="OD16" s="7" t="e">
        <f>IF(OR(#REF!&gt;2,#REF!&lt;-2),"",#REF!)</f>
        <v>#REF!</v>
      </c>
      <c r="OE16" s="7" t="e">
        <f>IF(OR(#REF!&gt;2,#REF!&lt;-2),"",#REF!)</f>
        <v>#REF!</v>
      </c>
      <c r="OF16" s="7" t="e">
        <f>IF(OR(#REF!&gt;2,#REF!&lt;-2),"",#REF!)</f>
        <v>#REF!</v>
      </c>
      <c r="OG16" s="7" t="e">
        <f>IF(OR(#REF!&gt;2,#REF!&lt;-2),"",#REF!)</f>
        <v>#REF!</v>
      </c>
      <c r="OH16" s="7" t="e">
        <f>IF(OR(#REF!&gt;2,#REF!&lt;-2),"",#REF!)</f>
        <v>#REF!</v>
      </c>
      <c r="OI16" s="7" t="e">
        <f>IF(OR(#REF!&gt;2,#REF!&lt;-2),"",#REF!)</f>
        <v>#REF!</v>
      </c>
      <c r="OJ16" s="7" t="e">
        <f>IF(OR(#REF!&gt;2,#REF!&lt;-2),"",#REF!)</f>
        <v>#REF!</v>
      </c>
      <c r="OK16" s="7" t="e">
        <f>IF(OR(#REF!&gt;2,#REF!&lt;-2),"",#REF!)</f>
        <v>#REF!</v>
      </c>
      <c r="OL16" s="7" t="e">
        <f>IF(OR(#REF!&gt;2,#REF!&lt;-2),"",#REF!)</f>
        <v>#REF!</v>
      </c>
      <c r="OM16" s="7" t="e">
        <f>IF(OR(#REF!&gt;2,#REF!&lt;-2),"",#REF!)</f>
        <v>#REF!</v>
      </c>
      <c r="ON16" s="7" t="e">
        <f>IF(OR(#REF!&gt;2,#REF!&lt;-2),"",#REF!)</f>
        <v>#REF!</v>
      </c>
      <c r="OO16" s="7" t="e">
        <f>IF(OR(#REF!&gt;2,#REF!&lt;-2),"",#REF!)</f>
        <v>#REF!</v>
      </c>
      <c r="OP16" s="7" t="e">
        <f>IF(OR(#REF!&gt;2,#REF!&lt;-2),"",#REF!)</f>
        <v>#REF!</v>
      </c>
      <c r="OQ16" s="7" t="e">
        <f>IF(OR(#REF!&gt;2,#REF!&lt;-2),"",#REF!)</f>
        <v>#REF!</v>
      </c>
      <c r="OR16" s="7" t="e">
        <f>IF(OR(#REF!&gt;2,#REF!&lt;-2),"",#REF!)</f>
        <v>#REF!</v>
      </c>
      <c r="OS16" s="7" t="e">
        <f>IF(OR(#REF!&gt;2,#REF!&lt;-2),"",#REF!)</f>
        <v>#REF!</v>
      </c>
      <c r="OT16" s="7" t="e">
        <f>IF(OR(#REF!&gt;2,#REF!&lt;-2),"",#REF!)</f>
        <v>#REF!</v>
      </c>
      <c r="OU16" s="7" t="e">
        <f>IF(OR(#REF!&gt;2,#REF!&lt;-2),"",#REF!)</f>
        <v>#REF!</v>
      </c>
      <c r="OV16" s="7" t="e">
        <f>IF(OR(#REF!&gt;2,#REF!&lt;-2),"",#REF!)</f>
        <v>#REF!</v>
      </c>
      <c r="OW16" s="7" t="e">
        <f>IF(OR(#REF!&gt;2,#REF!&lt;-2),"",#REF!)</f>
        <v>#REF!</v>
      </c>
      <c r="OX16" s="7" t="e">
        <f>IF(OR(#REF!&gt;2,#REF!&lt;-2),"",#REF!)</f>
        <v>#REF!</v>
      </c>
      <c r="OY16" s="7" t="e">
        <f>IF(OR(#REF!&gt;2,#REF!&lt;-2),"",#REF!)</f>
        <v>#REF!</v>
      </c>
      <c r="OZ16" s="7" t="e">
        <f>IF(OR(#REF!&gt;2,#REF!&lt;-2),"",#REF!)</f>
        <v>#REF!</v>
      </c>
      <c r="PA16" s="7" t="e">
        <f>IF(OR(#REF!&gt;2,#REF!&lt;-2),"",#REF!)</f>
        <v>#REF!</v>
      </c>
      <c r="PB16" s="7" t="e">
        <f>IF(OR(#REF!&gt;2,#REF!&lt;-2),"",#REF!)</f>
        <v>#REF!</v>
      </c>
      <c r="PC16" s="7" t="e">
        <f>IF(OR(#REF!&gt;2,#REF!&lt;-2),"",#REF!)</f>
        <v>#REF!</v>
      </c>
      <c r="PD16" s="7" t="e">
        <f>IF(OR(#REF!&gt;2,#REF!&lt;-2),"",#REF!)</f>
        <v>#REF!</v>
      </c>
      <c r="PE16" s="7" t="e">
        <f>IF(OR(#REF!&gt;2,#REF!&lt;-2),"",#REF!)</f>
        <v>#REF!</v>
      </c>
      <c r="PF16" s="7" t="e">
        <f>IF(OR(#REF!&gt;2,#REF!&lt;-2),"",#REF!)</f>
        <v>#REF!</v>
      </c>
      <c r="PG16" s="7" t="e">
        <f>IF(OR(#REF!&gt;2,#REF!&lt;-2),"",#REF!)</f>
        <v>#REF!</v>
      </c>
      <c r="PH16" s="7" t="e">
        <f>IF(OR(#REF!&gt;2,#REF!&lt;-2),"",#REF!)</f>
        <v>#REF!</v>
      </c>
      <c r="PI16" s="7" t="e">
        <f>IF(OR(#REF!&gt;2,#REF!&lt;-2),"",#REF!)</f>
        <v>#REF!</v>
      </c>
      <c r="PJ16" s="7" t="e">
        <f>IF(OR(#REF!&gt;2,#REF!&lt;-2),"",#REF!)</f>
        <v>#REF!</v>
      </c>
      <c r="PK16" s="7" t="e">
        <f>IF(OR(#REF!&gt;2,#REF!&lt;-2),"",#REF!)</f>
        <v>#REF!</v>
      </c>
      <c r="PL16" s="7" t="e">
        <f>IF(OR(#REF!&gt;2,#REF!&lt;-2),"",#REF!)</f>
        <v>#REF!</v>
      </c>
      <c r="PM16" s="7" t="e">
        <f>IF(OR(#REF!&gt;2,#REF!&lt;-2),"",#REF!)</f>
        <v>#REF!</v>
      </c>
      <c r="PN16" s="7" t="e">
        <f>IF(OR(#REF!&gt;2,#REF!&lt;-2),"",#REF!)</f>
        <v>#REF!</v>
      </c>
      <c r="PO16" s="7" t="e">
        <f>IF(OR(#REF!&gt;2,#REF!&lt;-2),"",#REF!)</f>
        <v>#REF!</v>
      </c>
      <c r="PP16" s="7" t="e">
        <f>IF(OR(#REF!&gt;2,#REF!&lt;-2),"",#REF!)</f>
        <v>#REF!</v>
      </c>
      <c r="PQ16" s="7" t="e">
        <f>IF(OR(#REF!&gt;2,#REF!&lt;-2),"",#REF!)</f>
        <v>#REF!</v>
      </c>
      <c r="PR16" s="7" t="e">
        <f>IF(OR(#REF!&gt;2,#REF!&lt;-2),"",#REF!)</f>
        <v>#REF!</v>
      </c>
      <c r="PS16" s="7" t="e">
        <f>IF(OR(#REF!&gt;2,#REF!&lt;-2),"",#REF!)</f>
        <v>#REF!</v>
      </c>
      <c r="PT16" s="7" t="e">
        <f>IF(OR(#REF!&gt;2,#REF!&lt;-2),"",#REF!)</f>
        <v>#REF!</v>
      </c>
      <c r="PU16" s="7" t="e">
        <f>IF(OR(#REF!&gt;2,#REF!&lt;-2),"",#REF!)</f>
        <v>#REF!</v>
      </c>
      <c r="PV16" s="7" t="e">
        <f>IF(OR(#REF!&gt;2,#REF!&lt;-2),"",#REF!)</f>
        <v>#REF!</v>
      </c>
      <c r="PW16" s="7" t="e">
        <f>IF(OR(#REF!&gt;2,#REF!&lt;-2),"",#REF!)</f>
        <v>#REF!</v>
      </c>
      <c r="PX16" s="7" t="e">
        <f>IF(OR(#REF!&gt;2,#REF!&lt;-2),"",#REF!)</f>
        <v>#REF!</v>
      </c>
      <c r="PY16" s="7" t="e">
        <f>IF(OR(#REF!&gt;2,#REF!&lt;-2),"",#REF!)</f>
        <v>#REF!</v>
      </c>
      <c r="PZ16" s="7" t="e">
        <f>IF(OR(#REF!&gt;2,#REF!&lt;-2),"",#REF!)</f>
        <v>#REF!</v>
      </c>
      <c r="QA16" s="7" t="e">
        <f>IF(OR(#REF!&gt;2,#REF!&lt;-2),"",#REF!)</f>
        <v>#REF!</v>
      </c>
      <c r="QB16" s="7" t="e">
        <f>IF(OR(#REF!&gt;2,#REF!&lt;-2),"",#REF!)</f>
        <v>#REF!</v>
      </c>
      <c r="QC16" s="7" t="e">
        <f>IF(OR(#REF!&gt;2,#REF!&lt;-2),"",#REF!)</f>
        <v>#REF!</v>
      </c>
      <c r="QD16" s="7" t="e">
        <f>IF(OR(#REF!&gt;2,#REF!&lt;-2),"",#REF!)</f>
        <v>#REF!</v>
      </c>
      <c r="QE16" s="7" t="e">
        <f>IF(OR(#REF!&gt;2,#REF!&lt;-2),"",#REF!)</f>
        <v>#REF!</v>
      </c>
      <c r="QF16" s="7" t="e">
        <f>IF(OR(#REF!&gt;2,#REF!&lt;-2),"",#REF!)</f>
        <v>#REF!</v>
      </c>
      <c r="QG16" s="7" t="e">
        <f>IF(OR(#REF!&gt;2,#REF!&lt;-2),"",#REF!)</f>
        <v>#REF!</v>
      </c>
      <c r="QH16" s="7" t="e">
        <f>IF(OR(#REF!&gt;2,#REF!&lt;-2),"",#REF!)</f>
        <v>#REF!</v>
      </c>
      <c r="QI16" s="7" t="e">
        <f>IF(OR(#REF!&gt;2,#REF!&lt;-2),"",#REF!)</f>
        <v>#REF!</v>
      </c>
      <c r="QJ16" s="7" t="e">
        <f>IF(OR(#REF!&gt;2,#REF!&lt;-2),"",#REF!)</f>
        <v>#REF!</v>
      </c>
      <c r="QK16" s="7" t="e">
        <f>IF(OR(#REF!&gt;2,#REF!&lt;-2),"",#REF!)</f>
        <v>#REF!</v>
      </c>
      <c r="QL16" s="7" t="e">
        <f>IF(OR(#REF!&gt;2,#REF!&lt;-2),"",#REF!)</f>
        <v>#REF!</v>
      </c>
      <c r="QM16" s="7" t="e">
        <f>IF(OR(#REF!&gt;2,#REF!&lt;-2),"",#REF!)</f>
        <v>#REF!</v>
      </c>
      <c r="QN16" s="7" t="e">
        <f>IF(OR(#REF!&gt;2,#REF!&lt;-2),"",#REF!)</f>
        <v>#REF!</v>
      </c>
      <c r="QO16" s="7" t="e">
        <f>IF(OR(#REF!&gt;2,#REF!&lt;-2),"",#REF!)</f>
        <v>#REF!</v>
      </c>
      <c r="QP16" s="7" t="e">
        <f>IF(OR(#REF!&gt;2,#REF!&lt;-2),"",#REF!)</f>
        <v>#REF!</v>
      </c>
      <c r="QQ16" s="7" t="e">
        <f>IF(OR(#REF!&gt;2,#REF!&lt;-2),"",#REF!)</f>
        <v>#REF!</v>
      </c>
      <c r="QR16" s="7" t="e">
        <f>IF(OR(#REF!&gt;2,#REF!&lt;-2),"",#REF!)</f>
        <v>#REF!</v>
      </c>
      <c r="QS16" s="7" t="e">
        <f>IF(OR(#REF!&gt;2,#REF!&lt;-2),"",#REF!)</f>
        <v>#REF!</v>
      </c>
      <c r="QT16" s="7" t="e">
        <f>IF(OR(#REF!&gt;2,#REF!&lt;-2),"",#REF!)</f>
        <v>#REF!</v>
      </c>
      <c r="QU16" s="7" t="e">
        <f>IF(OR(#REF!&gt;2,#REF!&lt;-2),"",#REF!)</f>
        <v>#REF!</v>
      </c>
      <c r="QV16" s="7" t="e">
        <f>IF(OR(#REF!&gt;2,#REF!&lt;-2),"",#REF!)</f>
        <v>#REF!</v>
      </c>
      <c r="QW16" s="7" t="e">
        <f>IF(OR(#REF!&gt;2,#REF!&lt;-2),"",#REF!)</f>
        <v>#REF!</v>
      </c>
      <c r="QX16" s="7" t="e">
        <f>IF(OR(#REF!&gt;2,#REF!&lt;-2),"",#REF!)</f>
        <v>#REF!</v>
      </c>
      <c r="QY16" s="7" t="e">
        <f>IF(OR(#REF!&gt;2,#REF!&lt;-2),"",#REF!)</f>
        <v>#REF!</v>
      </c>
      <c r="QZ16" s="7" t="e">
        <f>IF(OR(#REF!&gt;2,#REF!&lt;-2),"",#REF!)</f>
        <v>#REF!</v>
      </c>
      <c r="RA16" s="7" t="e">
        <f>IF(OR(#REF!&gt;2,#REF!&lt;-2),"",#REF!)</f>
        <v>#REF!</v>
      </c>
      <c r="RB16" s="7" t="e">
        <f>IF(OR(#REF!&gt;2,#REF!&lt;-2),"",#REF!)</f>
        <v>#REF!</v>
      </c>
      <c r="RC16" s="7" t="e">
        <f>IF(OR(#REF!&gt;2,#REF!&lt;-2),"",#REF!)</f>
        <v>#REF!</v>
      </c>
      <c r="RD16" s="7" t="e">
        <f>IF(OR(#REF!&gt;2,#REF!&lt;-2),"",#REF!)</f>
        <v>#REF!</v>
      </c>
      <c r="RE16" s="7" t="e">
        <f>IF(OR(#REF!&gt;2,#REF!&lt;-2),"",#REF!)</f>
        <v>#REF!</v>
      </c>
      <c r="RF16" s="7" t="e">
        <f>IF(OR(#REF!&gt;2,#REF!&lt;-2),"",#REF!)</f>
        <v>#REF!</v>
      </c>
      <c r="RG16" s="7" t="e">
        <f>IF(OR(#REF!&gt;2,#REF!&lt;-2),"",#REF!)</f>
        <v>#REF!</v>
      </c>
      <c r="RH16" s="7" t="e">
        <f>IF(OR(#REF!&gt;2,#REF!&lt;-2),"",#REF!)</f>
        <v>#REF!</v>
      </c>
      <c r="RI16" s="7" t="e">
        <f>IF(OR(#REF!&gt;2,#REF!&lt;-2),"",#REF!)</f>
        <v>#REF!</v>
      </c>
      <c r="RJ16" s="7" t="e">
        <f>IF(OR(#REF!&gt;2,#REF!&lt;-2),"",#REF!)</f>
        <v>#REF!</v>
      </c>
      <c r="RK16" s="7" t="e">
        <f>IF(OR(#REF!&gt;2,#REF!&lt;-2),"",#REF!)</f>
        <v>#REF!</v>
      </c>
      <c r="RL16" s="7" t="e">
        <f>IF(OR(#REF!&gt;2,#REF!&lt;-2),"",#REF!)</f>
        <v>#REF!</v>
      </c>
      <c r="RM16" s="7" t="e">
        <f>IF(OR(#REF!&gt;2,#REF!&lt;-2),"",#REF!)</f>
        <v>#REF!</v>
      </c>
      <c r="RN16" s="7" t="e">
        <f>IF(OR(#REF!&gt;2,#REF!&lt;-2),"",#REF!)</f>
        <v>#REF!</v>
      </c>
      <c r="RO16" s="7" t="e">
        <f>IF(OR(#REF!&gt;2,#REF!&lt;-2),"",#REF!)</f>
        <v>#REF!</v>
      </c>
      <c r="RP16" s="7" t="e">
        <f>IF(OR(#REF!&gt;2,#REF!&lt;-2),"",#REF!)</f>
        <v>#REF!</v>
      </c>
      <c r="RQ16" s="7" t="e">
        <f>IF(OR(#REF!&gt;2,#REF!&lt;-2),"",#REF!)</f>
        <v>#REF!</v>
      </c>
      <c r="RR16" s="7" t="e">
        <f>IF(OR(#REF!&gt;2,#REF!&lt;-2),"",#REF!)</f>
        <v>#REF!</v>
      </c>
      <c r="RS16" s="7" t="e">
        <f>IF(OR(#REF!&gt;2,#REF!&lt;-2),"",#REF!)</f>
        <v>#REF!</v>
      </c>
      <c r="RT16" s="7" t="e">
        <f>IF(OR(#REF!&gt;2,#REF!&lt;-2),"",#REF!)</f>
        <v>#REF!</v>
      </c>
      <c r="RU16" s="7" t="e">
        <f>IF(OR(#REF!&gt;2,#REF!&lt;-2),"",#REF!)</f>
        <v>#REF!</v>
      </c>
      <c r="RV16" s="7" t="e">
        <f>IF(OR(#REF!&gt;2,#REF!&lt;-2),"",#REF!)</f>
        <v>#REF!</v>
      </c>
      <c r="RW16" s="7" t="e">
        <f>IF(OR(#REF!&gt;2,#REF!&lt;-2),"",#REF!)</f>
        <v>#REF!</v>
      </c>
      <c r="RX16" s="7" t="e">
        <f>IF(OR(#REF!&gt;2,#REF!&lt;-2),"",#REF!)</f>
        <v>#REF!</v>
      </c>
      <c r="RY16" s="7" t="e">
        <f>IF(OR(#REF!&gt;2,#REF!&lt;-2),"",#REF!)</f>
        <v>#REF!</v>
      </c>
      <c r="RZ16" s="7" t="e">
        <f>IF(OR(#REF!&gt;2,#REF!&lt;-2),"",#REF!)</f>
        <v>#REF!</v>
      </c>
      <c r="SA16" s="7" t="e">
        <f>IF(OR(#REF!&gt;2,#REF!&lt;-2),"",#REF!)</f>
        <v>#REF!</v>
      </c>
      <c r="SB16" s="7" t="e">
        <f>IF(OR(#REF!&gt;2,#REF!&lt;-2),"",#REF!)</f>
        <v>#REF!</v>
      </c>
      <c r="SC16" s="7" t="e">
        <f>IF(OR(#REF!&gt;2,#REF!&lt;-2),"",#REF!)</f>
        <v>#REF!</v>
      </c>
      <c r="SD16" s="7" t="e">
        <f>IF(OR(#REF!&gt;2,#REF!&lt;-2),"",#REF!)</f>
        <v>#REF!</v>
      </c>
      <c r="SE16" s="7" t="e">
        <f>IF(OR(#REF!&gt;2,#REF!&lt;-2),"",#REF!)</f>
        <v>#REF!</v>
      </c>
      <c r="SF16" s="7" t="e">
        <f>IF(OR(#REF!&gt;2,#REF!&lt;-2),"",#REF!)</f>
        <v>#REF!</v>
      </c>
      <c r="SG16" s="7" t="e">
        <f>IF(OR(#REF!&gt;2,#REF!&lt;-2),"",#REF!)</f>
        <v>#REF!</v>
      </c>
      <c r="SH16" s="7" t="e">
        <f>IF(OR(#REF!&gt;2,#REF!&lt;-2),"",#REF!)</f>
        <v>#REF!</v>
      </c>
      <c r="SI16" s="7" t="e">
        <f>IF(OR(#REF!&gt;2,#REF!&lt;-2),"",#REF!)</f>
        <v>#REF!</v>
      </c>
      <c r="SJ16" s="7" t="e">
        <f>IF(OR(#REF!&gt;2,#REF!&lt;-2),"",#REF!)</f>
        <v>#REF!</v>
      </c>
      <c r="SK16" s="7" t="e">
        <f>IF(OR(#REF!&gt;2,#REF!&lt;-2),"",#REF!)</f>
        <v>#REF!</v>
      </c>
      <c r="SL16" s="7" t="e">
        <f>IF(OR(#REF!&gt;2,#REF!&lt;-2),"",#REF!)</f>
        <v>#REF!</v>
      </c>
      <c r="SM16" s="7" t="e">
        <f>IF(OR(#REF!&gt;2,#REF!&lt;-2),"",#REF!)</f>
        <v>#REF!</v>
      </c>
      <c r="SN16" s="7" t="e">
        <f>IF(OR(#REF!&gt;2,#REF!&lt;-2),"",#REF!)</f>
        <v>#REF!</v>
      </c>
      <c r="SO16" s="7" t="e">
        <f>IF(OR(#REF!&gt;2,#REF!&lt;-2),"",#REF!)</f>
        <v>#REF!</v>
      </c>
      <c r="SP16" s="7" t="e">
        <f>IF(OR(#REF!&gt;2,#REF!&lt;-2),"",#REF!)</f>
        <v>#REF!</v>
      </c>
      <c r="SQ16" s="7" t="e">
        <f>IF(OR(#REF!&gt;2,#REF!&lt;-2),"",#REF!)</f>
        <v>#REF!</v>
      </c>
      <c r="SR16" s="7" t="e">
        <f>IF(OR(#REF!&gt;2,#REF!&lt;-2),"",#REF!)</f>
        <v>#REF!</v>
      </c>
      <c r="SS16" s="7" t="e">
        <f>IF(OR(#REF!&gt;2,#REF!&lt;-2),"",#REF!)</f>
        <v>#REF!</v>
      </c>
      <c r="ST16" s="7" t="e">
        <f>IF(OR(#REF!&gt;2,#REF!&lt;-2),"",#REF!)</f>
        <v>#REF!</v>
      </c>
      <c r="SU16" s="7" t="e">
        <f>IF(OR(#REF!&gt;2,#REF!&lt;-2),"",#REF!)</f>
        <v>#REF!</v>
      </c>
      <c r="SV16" s="7" t="e">
        <f>IF(OR(#REF!&gt;2,#REF!&lt;-2),"",#REF!)</f>
        <v>#REF!</v>
      </c>
      <c r="SW16" s="7" t="e">
        <f>IF(OR(#REF!&gt;2,#REF!&lt;-2),"",#REF!)</f>
        <v>#REF!</v>
      </c>
      <c r="SX16" s="7" t="e">
        <f>IF(OR(#REF!&gt;2,#REF!&lt;-2),"",#REF!)</f>
        <v>#REF!</v>
      </c>
      <c r="SY16" s="7" t="e">
        <f>IF(OR(#REF!&gt;2,#REF!&lt;-2),"",#REF!)</f>
        <v>#REF!</v>
      </c>
      <c r="SZ16" s="7" t="e">
        <f>IF(OR(#REF!&gt;2,#REF!&lt;-2),"",#REF!)</f>
        <v>#REF!</v>
      </c>
      <c r="TA16" s="7" t="e">
        <f>IF(OR(#REF!&gt;2,#REF!&lt;-2),"",#REF!)</f>
        <v>#REF!</v>
      </c>
      <c r="TB16" s="7" t="e">
        <f>IF(OR(#REF!&gt;2,#REF!&lt;-2),"",#REF!)</f>
        <v>#REF!</v>
      </c>
      <c r="TC16" s="7" t="e">
        <f>IF(OR(#REF!&gt;2,#REF!&lt;-2),"",#REF!)</f>
        <v>#REF!</v>
      </c>
      <c r="TD16" s="7" t="e">
        <f>IF(OR(#REF!&gt;2,#REF!&lt;-2),"",#REF!)</f>
        <v>#REF!</v>
      </c>
      <c r="TE16" s="7" t="e">
        <f>IF(OR(#REF!&gt;2,#REF!&lt;-2),"",#REF!)</f>
        <v>#REF!</v>
      </c>
      <c r="TF16" s="7" t="e">
        <f>IF(OR(#REF!&gt;2,#REF!&lt;-2),"",#REF!)</f>
        <v>#REF!</v>
      </c>
      <c r="TG16" s="7" t="e">
        <f>IF(OR(#REF!&gt;2,#REF!&lt;-2),"",#REF!)</f>
        <v>#REF!</v>
      </c>
      <c r="TH16" s="7" t="e">
        <f>IF(OR(#REF!&gt;2,#REF!&lt;-2),"",#REF!)</f>
        <v>#REF!</v>
      </c>
      <c r="TI16" s="7" t="e">
        <f>IF(OR(#REF!&gt;2,#REF!&lt;-2),"",#REF!)</f>
        <v>#REF!</v>
      </c>
      <c r="TJ16" s="7" t="e">
        <f>IF(OR(#REF!&gt;2,#REF!&lt;-2),"",#REF!)</f>
        <v>#REF!</v>
      </c>
      <c r="TK16" s="7" t="e">
        <f>IF(OR(#REF!&gt;2,#REF!&lt;-2),"",#REF!)</f>
        <v>#REF!</v>
      </c>
      <c r="TL16" s="7" t="e">
        <f>IF(OR(#REF!&gt;2,#REF!&lt;-2),"",#REF!)</f>
        <v>#REF!</v>
      </c>
      <c r="TM16" s="7" t="e">
        <f>IF(OR(#REF!&gt;2,#REF!&lt;-2),"",#REF!)</f>
        <v>#REF!</v>
      </c>
      <c r="TN16" s="7" t="e">
        <f>IF(OR(#REF!&gt;2,#REF!&lt;-2),"",#REF!)</f>
        <v>#REF!</v>
      </c>
      <c r="TO16" s="7" t="e">
        <f>IF(OR(#REF!&gt;2,#REF!&lt;-2),"",#REF!)</f>
        <v>#REF!</v>
      </c>
      <c r="TP16" s="7" t="e">
        <f>IF(OR(#REF!&gt;2,#REF!&lt;-2),"",#REF!)</f>
        <v>#REF!</v>
      </c>
      <c r="TQ16" s="7" t="e">
        <f>IF(OR(#REF!&gt;2,#REF!&lt;-2),"",#REF!)</f>
        <v>#REF!</v>
      </c>
      <c r="TR16" s="7" t="e">
        <f>IF(OR(#REF!&gt;2,#REF!&lt;-2),"",#REF!)</f>
        <v>#REF!</v>
      </c>
      <c r="TS16" s="7" t="e">
        <f>IF(OR(#REF!&gt;2,#REF!&lt;-2),"",#REF!)</f>
        <v>#REF!</v>
      </c>
      <c r="TT16" s="7" t="e">
        <f>IF(OR(#REF!&gt;2,#REF!&lt;-2),"",#REF!)</f>
        <v>#REF!</v>
      </c>
      <c r="TU16" s="7" t="e">
        <f>IF(OR(#REF!&gt;2,#REF!&lt;-2),"",#REF!)</f>
        <v>#REF!</v>
      </c>
      <c r="TV16" s="7" t="e">
        <f>IF(OR(#REF!&gt;2,#REF!&lt;-2),"",#REF!)</f>
        <v>#REF!</v>
      </c>
      <c r="TW16" s="7" t="e">
        <f>IF(OR(#REF!&gt;2,#REF!&lt;-2),"",#REF!)</f>
        <v>#REF!</v>
      </c>
      <c r="TX16" s="7" t="e">
        <f>IF(OR(#REF!&gt;2,#REF!&lt;-2),"",#REF!)</f>
        <v>#REF!</v>
      </c>
      <c r="TY16" s="7" t="e">
        <f>IF(OR(#REF!&gt;2,#REF!&lt;-2),"",#REF!)</f>
        <v>#REF!</v>
      </c>
      <c r="TZ16" s="7" t="e">
        <f>IF(OR(#REF!&gt;2,#REF!&lt;-2),"",#REF!)</f>
        <v>#REF!</v>
      </c>
      <c r="UA16" s="7" t="e">
        <f>IF(OR(#REF!&gt;2,#REF!&lt;-2),"",#REF!)</f>
        <v>#REF!</v>
      </c>
      <c r="UB16" s="7" t="e">
        <f>IF(OR(#REF!&gt;2,#REF!&lt;-2),"",#REF!)</f>
        <v>#REF!</v>
      </c>
      <c r="UC16" s="7" t="e">
        <f>IF(OR(#REF!&gt;2,#REF!&lt;-2),"",#REF!)</f>
        <v>#REF!</v>
      </c>
      <c r="UD16" s="7" t="e">
        <f>IF(OR(#REF!&gt;2,#REF!&lt;-2),"",#REF!)</f>
        <v>#REF!</v>
      </c>
      <c r="UE16" s="7" t="e">
        <f>IF(OR(#REF!&gt;2,#REF!&lt;-2),"",#REF!)</f>
        <v>#REF!</v>
      </c>
      <c r="UF16" s="7" t="e">
        <f>IF(OR(#REF!&gt;2,#REF!&lt;-2),"",#REF!)</f>
        <v>#REF!</v>
      </c>
      <c r="UG16" s="7" t="e">
        <f>IF(OR(#REF!&gt;2,#REF!&lt;-2),"",#REF!)</f>
        <v>#REF!</v>
      </c>
      <c r="UH16" s="7" t="e">
        <f>IF(OR(#REF!&gt;2,#REF!&lt;-2),"",#REF!)</f>
        <v>#REF!</v>
      </c>
      <c r="UI16" s="7" t="e">
        <f>IF(OR(#REF!&gt;2,#REF!&lt;-2),"",#REF!)</f>
        <v>#REF!</v>
      </c>
      <c r="UJ16" s="7" t="e">
        <f>IF(OR(#REF!&gt;2,#REF!&lt;-2),"",#REF!)</f>
        <v>#REF!</v>
      </c>
      <c r="UK16" s="7" t="e">
        <f>IF(OR(#REF!&gt;2,#REF!&lt;-2),"",#REF!)</f>
        <v>#REF!</v>
      </c>
      <c r="UL16" s="7" t="e">
        <f>IF(OR(#REF!&gt;2,#REF!&lt;-2),"",#REF!)</f>
        <v>#REF!</v>
      </c>
      <c r="UM16" s="7" t="e">
        <f>IF(OR(#REF!&gt;2,#REF!&lt;-2),"",#REF!)</f>
        <v>#REF!</v>
      </c>
      <c r="UN16" s="7" t="e">
        <f>IF(OR(#REF!&gt;2,#REF!&lt;-2),"",#REF!)</f>
        <v>#REF!</v>
      </c>
      <c r="UO16" s="7" t="e">
        <f>IF(OR(#REF!&gt;2,#REF!&lt;-2),"",#REF!)</f>
        <v>#REF!</v>
      </c>
      <c r="UP16" s="7" t="e">
        <f>IF(OR(#REF!&gt;2,#REF!&lt;-2),"",#REF!)</f>
        <v>#REF!</v>
      </c>
    </row>
    <row r="17" spans="1:562" x14ac:dyDescent="0.35">
      <c r="A17">
        <v>179</v>
      </c>
      <c r="B17">
        <v>1</v>
      </c>
      <c r="C17" s="7" t="e">
        <f>IF(OR(#REF!&gt;2,#REF!&lt;-2),"",#REF!)</f>
        <v>#REF!</v>
      </c>
      <c r="D17" s="7" t="e">
        <f>IF(OR(#REF!&gt;2,#REF!&lt;-2),"",#REF!)</f>
        <v>#REF!</v>
      </c>
      <c r="E17" s="7" t="e">
        <f>IF(OR(#REF!&gt;2,#REF!&lt;-2),"",#REF!)</f>
        <v>#REF!</v>
      </c>
      <c r="F17" s="7" t="e">
        <f>IF(OR(#REF!&gt;2,#REF!&lt;-2),"",#REF!)</f>
        <v>#REF!</v>
      </c>
      <c r="G17" s="7" t="e">
        <f>IF(OR(#REF!&gt;2,#REF!&lt;-2),"",#REF!)</f>
        <v>#REF!</v>
      </c>
      <c r="H17" s="7" t="e">
        <f>IF(OR(#REF!&gt;2,#REF!&lt;-2),"",#REF!)</f>
        <v>#REF!</v>
      </c>
      <c r="I17" s="7" t="e">
        <f>IF(OR(#REF!&gt;2,#REF!&lt;-2),"",#REF!)</f>
        <v>#REF!</v>
      </c>
      <c r="J17" s="7" t="e">
        <f>IF(OR(#REF!&gt;2,#REF!&lt;-2),"",#REF!)</f>
        <v>#REF!</v>
      </c>
      <c r="K17" s="7" t="e">
        <f>IF(OR(#REF!&gt;2,#REF!&lt;-2),"",#REF!)</f>
        <v>#REF!</v>
      </c>
      <c r="L17" s="7" t="e">
        <f>IF(OR(#REF!&gt;2,#REF!&lt;-2),"",#REF!)</f>
        <v>#REF!</v>
      </c>
      <c r="M17" s="7" t="e">
        <f>IF(OR(#REF!&gt;2,#REF!&lt;-2),"",#REF!)</f>
        <v>#REF!</v>
      </c>
      <c r="N17" s="7" t="e">
        <f>IF(OR(#REF!&gt;2,#REF!&lt;-2),"",#REF!)</f>
        <v>#REF!</v>
      </c>
      <c r="O17" s="7" t="e">
        <f>IF(OR(#REF!&gt;2,#REF!&lt;-2),"",#REF!)</f>
        <v>#REF!</v>
      </c>
      <c r="P17" s="7" t="e">
        <f>IF(OR(#REF!&gt;2,#REF!&lt;-2),"",#REF!)</f>
        <v>#REF!</v>
      </c>
      <c r="Q17" s="7" t="e">
        <f>IF(OR(#REF!&gt;2,#REF!&lt;-2),"",#REF!)</f>
        <v>#REF!</v>
      </c>
      <c r="R17" s="7" t="e">
        <f>IF(OR(#REF!&gt;2,#REF!&lt;-2),"",#REF!)</f>
        <v>#REF!</v>
      </c>
      <c r="S17" s="7" t="e">
        <f>IF(OR(#REF!&gt;2,#REF!&lt;-2),"",#REF!)</f>
        <v>#REF!</v>
      </c>
      <c r="T17" s="7" t="e">
        <f>IF(OR(#REF!&gt;2,#REF!&lt;-2),"",#REF!)</f>
        <v>#REF!</v>
      </c>
      <c r="U17" s="7" t="e">
        <f>IF(OR(#REF!&gt;2,#REF!&lt;-2),"",#REF!)</f>
        <v>#REF!</v>
      </c>
      <c r="V17" s="7" t="e">
        <f>IF(OR(#REF!&gt;2,#REF!&lt;-2),"",#REF!)</f>
        <v>#REF!</v>
      </c>
      <c r="W17" s="7" t="e">
        <f>IF(OR(#REF!&gt;2,#REF!&lt;-2),"",#REF!)</f>
        <v>#REF!</v>
      </c>
      <c r="X17" s="7" t="e">
        <f>IF(OR(#REF!&gt;2,#REF!&lt;-2),"",#REF!)</f>
        <v>#REF!</v>
      </c>
      <c r="Y17" s="7" t="e">
        <f>IF(OR(#REF!&gt;2,#REF!&lt;-2),"",#REF!)</f>
        <v>#REF!</v>
      </c>
      <c r="Z17" s="7" t="e">
        <f>IF(OR(#REF!&gt;2,#REF!&lt;-2),"",#REF!)</f>
        <v>#REF!</v>
      </c>
      <c r="AA17" s="7" t="e">
        <f>IF(OR(#REF!&gt;2,#REF!&lt;-2),"",#REF!)</f>
        <v>#REF!</v>
      </c>
      <c r="AB17" s="7" t="e">
        <f>IF(OR(#REF!&gt;2,#REF!&lt;-2),"",#REF!)</f>
        <v>#REF!</v>
      </c>
      <c r="AC17" s="7" t="e">
        <f>IF(OR(#REF!&gt;2,#REF!&lt;-2),"",#REF!)</f>
        <v>#REF!</v>
      </c>
      <c r="AD17" s="7" t="e">
        <f>IF(OR(#REF!&gt;2,#REF!&lt;-2),"",#REF!)</f>
        <v>#REF!</v>
      </c>
      <c r="AE17" s="7" t="e">
        <f>IF(OR(#REF!&gt;2,#REF!&lt;-2),"",#REF!)</f>
        <v>#REF!</v>
      </c>
      <c r="AF17" s="7" t="e">
        <f>IF(OR(#REF!&gt;2,#REF!&lt;-2),"",#REF!)</f>
        <v>#REF!</v>
      </c>
      <c r="AG17" s="7" t="e">
        <f>IF(OR(#REF!&gt;2,#REF!&lt;-2),"",#REF!)</f>
        <v>#REF!</v>
      </c>
      <c r="AH17" s="7" t="e">
        <f>IF(OR(#REF!&gt;2,#REF!&lt;-2),"",#REF!)</f>
        <v>#REF!</v>
      </c>
      <c r="AI17" s="7" t="e">
        <f>IF(OR(#REF!&gt;2,#REF!&lt;-2),"",#REF!)</f>
        <v>#REF!</v>
      </c>
      <c r="AJ17" s="7" t="e">
        <f>IF(OR(#REF!&gt;2,#REF!&lt;-2),"",#REF!)</f>
        <v>#REF!</v>
      </c>
      <c r="AK17" s="7" t="e">
        <f>IF(OR(#REF!&gt;2,#REF!&lt;-2),"",#REF!)</f>
        <v>#REF!</v>
      </c>
      <c r="AL17" s="7" t="e">
        <f>IF(OR(#REF!&gt;2,#REF!&lt;-2),"",#REF!)</f>
        <v>#REF!</v>
      </c>
      <c r="AM17" s="7" t="e">
        <f>IF(OR(#REF!&gt;2,#REF!&lt;-2),"",#REF!)</f>
        <v>#REF!</v>
      </c>
      <c r="AN17" s="7" t="e">
        <f>IF(OR(#REF!&gt;2,#REF!&lt;-2),"",#REF!)</f>
        <v>#REF!</v>
      </c>
      <c r="AO17" s="7" t="e">
        <f>IF(OR(#REF!&gt;2,#REF!&lt;-2),"",#REF!)</f>
        <v>#REF!</v>
      </c>
      <c r="AP17" s="7" t="e">
        <f>IF(OR(#REF!&gt;2,#REF!&lt;-2),"",#REF!)</f>
        <v>#REF!</v>
      </c>
      <c r="AQ17" s="7" t="e">
        <f>IF(OR(#REF!&gt;2,#REF!&lt;-2),"",#REF!)</f>
        <v>#REF!</v>
      </c>
      <c r="AR17" s="7" t="e">
        <f>IF(OR(#REF!&gt;2,#REF!&lt;-2),"",#REF!)</f>
        <v>#REF!</v>
      </c>
      <c r="AS17" s="7" t="e">
        <f>IF(OR(#REF!&gt;2,#REF!&lt;-2),"",#REF!)</f>
        <v>#REF!</v>
      </c>
      <c r="AT17" s="7" t="e">
        <f>IF(OR(#REF!&gt;2,#REF!&lt;-2),"",#REF!)</f>
        <v>#REF!</v>
      </c>
      <c r="AU17" s="7" t="e">
        <f>IF(OR(#REF!&gt;2,#REF!&lt;-2),"",#REF!)</f>
        <v>#REF!</v>
      </c>
      <c r="AV17" s="7" t="e">
        <f>IF(OR(#REF!&gt;2,#REF!&lt;-2),"",#REF!)</f>
        <v>#REF!</v>
      </c>
      <c r="AW17" s="7" t="e">
        <f>IF(OR(#REF!&gt;2,#REF!&lt;-2),"",#REF!)</f>
        <v>#REF!</v>
      </c>
      <c r="AX17" s="7" t="e">
        <f>IF(OR(#REF!&gt;2,#REF!&lt;-2),"",#REF!)</f>
        <v>#REF!</v>
      </c>
      <c r="AY17" s="7" t="e">
        <f>IF(OR(#REF!&gt;2,#REF!&lt;-2),"",#REF!)</f>
        <v>#REF!</v>
      </c>
      <c r="AZ17" s="7" t="e">
        <f>IF(OR(#REF!&gt;2,#REF!&lt;-2),"",#REF!)</f>
        <v>#REF!</v>
      </c>
      <c r="BA17" s="7" t="e">
        <f>IF(OR(#REF!&gt;2,#REF!&lt;-2),"",#REF!)</f>
        <v>#REF!</v>
      </c>
      <c r="BB17" s="7" t="e">
        <f>IF(OR(#REF!&gt;2,#REF!&lt;-2),"",#REF!)</f>
        <v>#REF!</v>
      </c>
      <c r="BC17" s="7" t="e">
        <f>IF(OR(#REF!&gt;2,#REF!&lt;-2),"",#REF!)</f>
        <v>#REF!</v>
      </c>
      <c r="BD17" s="7" t="e">
        <f>IF(OR(#REF!&gt;2,#REF!&lt;-2),"",#REF!)</f>
        <v>#REF!</v>
      </c>
      <c r="BE17" s="7" t="e">
        <f>IF(OR(#REF!&gt;2,#REF!&lt;-2),"",#REF!)</f>
        <v>#REF!</v>
      </c>
      <c r="BF17" s="7" t="e">
        <f>IF(OR(#REF!&gt;2,#REF!&lt;-2),"",#REF!)</f>
        <v>#REF!</v>
      </c>
      <c r="BG17" s="7" t="e">
        <f>IF(OR(#REF!&gt;2,#REF!&lt;-2),"",#REF!)</f>
        <v>#REF!</v>
      </c>
      <c r="BH17" s="7" t="e">
        <f>IF(OR(#REF!&gt;2,#REF!&lt;-2),"",#REF!)</f>
        <v>#REF!</v>
      </c>
      <c r="BI17" s="7" t="e">
        <f>IF(OR(#REF!&gt;2,#REF!&lt;-2),"",#REF!)</f>
        <v>#REF!</v>
      </c>
      <c r="BJ17" s="7" t="e">
        <f>IF(OR(#REF!&gt;2,#REF!&lt;-2),"",#REF!)</f>
        <v>#REF!</v>
      </c>
      <c r="BK17" s="7" t="e">
        <f>IF(OR(#REF!&gt;2,#REF!&lt;-2),"",#REF!)</f>
        <v>#REF!</v>
      </c>
      <c r="BL17" s="7" t="e">
        <f>IF(OR(#REF!&gt;2,#REF!&lt;-2),"",#REF!)</f>
        <v>#REF!</v>
      </c>
      <c r="BM17" s="7" t="e">
        <f>IF(OR(#REF!&gt;2,#REF!&lt;-2),"",#REF!)</f>
        <v>#REF!</v>
      </c>
      <c r="BN17" s="7" t="e">
        <f>IF(OR(#REF!&gt;2,#REF!&lt;-2),"",#REF!)</f>
        <v>#REF!</v>
      </c>
      <c r="BO17" s="7" t="e">
        <f>IF(OR(#REF!&gt;2,#REF!&lt;-2),"",#REF!)</f>
        <v>#REF!</v>
      </c>
      <c r="BP17" s="7" t="e">
        <f>IF(OR(#REF!&gt;2,#REF!&lt;-2),"",#REF!)</f>
        <v>#REF!</v>
      </c>
      <c r="BQ17" s="7" t="e">
        <f>IF(OR(#REF!&gt;2,#REF!&lt;-2),"",#REF!)</f>
        <v>#REF!</v>
      </c>
      <c r="BR17" s="7" t="e">
        <f>IF(OR(#REF!&gt;2,#REF!&lt;-2),"",#REF!)</f>
        <v>#REF!</v>
      </c>
      <c r="BS17" s="7" t="e">
        <f>IF(OR(#REF!&gt;2,#REF!&lt;-2),"",#REF!)</f>
        <v>#REF!</v>
      </c>
      <c r="BT17" s="7" t="e">
        <f>IF(OR(#REF!&gt;2,#REF!&lt;-2),"",#REF!)</f>
        <v>#REF!</v>
      </c>
      <c r="BU17" s="7" t="e">
        <f>IF(OR(#REF!&gt;2,#REF!&lt;-2),"",#REF!)</f>
        <v>#REF!</v>
      </c>
      <c r="BV17" s="7" t="e">
        <f>IF(OR(#REF!&gt;2,#REF!&lt;-2),"",#REF!)</f>
        <v>#REF!</v>
      </c>
      <c r="BW17" s="7" t="e">
        <f>IF(OR(#REF!&gt;2,#REF!&lt;-2),"",#REF!)</f>
        <v>#REF!</v>
      </c>
      <c r="BX17" s="7" t="e">
        <f>IF(OR(#REF!&gt;2,#REF!&lt;-2),"",#REF!)</f>
        <v>#REF!</v>
      </c>
      <c r="BY17" s="7" t="e">
        <f>IF(OR(#REF!&gt;2,#REF!&lt;-2),"",#REF!)</f>
        <v>#REF!</v>
      </c>
      <c r="BZ17" s="7" t="e">
        <f>IF(OR(#REF!&gt;2,#REF!&lt;-2),"",#REF!)</f>
        <v>#REF!</v>
      </c>
      <c r="CA17" s="7" t="e">
        <f>IF(OR(#REF!&gt;2,#REF!&lt;-2),"",#REF!)</f>
        <v>#REF!</v>
      </c>
      <c r="CB17" s="7" t="e">
        <f>IF(OR(#REF!&gt;2,#REF!&lt;-2),"",#REF!)</f>
        <v>#REF!</v>
      </c>
      <c r="CC17" s="7" t="e">
        <f>IF(OR(#REF!&gt;2,#REF!&lt;-2),"",#REF!)</f>
        <v>#REF!</v>
      </c>
      <c r="CD17" s="7" t="e">
        <f>IF(OR(#REF!&gt;2,#REF!&lt;-2),"",#REF!)</f>
        <v>#REF!</v>
      </c>
      <c r="CE17" s="7" t="e">
        <f>IF(OR(#REF!&gt;2,#REF!&lt;-2),"",#REF!)</f>
        <v>#REF!</v>
      </c>
      <c r="CF17" s="7" t="e">
        <f>IF(OR(#REF!&gt;2,#REF!&lt;-2),"",#REF!)</f>
        <v>#REF!</v>
      </c>
      <c r="CG17" s="7" t="e">
        <f>IF(OR(#REF!&gt;2,#REF!&lt;-2),"",#REF!)</f>
        <v>#REF!</v>
      </c>
      <c r="CH17" s="7" t="e">
        <f>IF(OR(#REF!&gt;2,#REF!&lt;-2),"",#REF!)</f>
        <v>#REF!</v>
      </c>
      <c r="CI17" s="7" t="e">
        <f>IF(OR(#REF!&gt;2,#REF!&lt;-2),"",#REF!)</f>
        <v>#REF!</v>
      </c>
      <c r="CJ17" s="7" t="e">
        <f>IF(OR(#REF!&gt;2,#REF!&lt;-2),"",#REF!)</f>
        <v>#REF!</v>
      </c>
      <c r="CK17" s="7" t="e">
        <f>IF(OR(#REF!&gt;2,#REF!&lt;-2),"",#REF!)</f>
        <v>#REF!</v>
      </c>
      <c r="CL17" s="7" t="e">
        <f>IF(OR(#REF!&gt;2,#REF!&lt;-2),"",#REF!)</f>
        <v>#REF!</v>
      </c>
      <c r="CM17" s="7" t="e">
        <f>IF(OR(#REF!&gt;2,#REF!&lt;-2),"",#REF!)</f>
        <v>#REF!</v>
      </c>
      <c r="CN17" s="7" t="e">
        <f>IF(OR(#REF!&gt;2,#REF!&lt;-2),"",#REF!)</f>
        <v>#REF!</v>
      </c>
      <c r="CO17" s="7" t="e">
        <f>IF(OR(#REF!&gt;2,#REF!&lt;-2),"",#REF!)</f>
        <v>#REF!</v>
      </c>
      <c r="CP17" s="7" t="e">
        <f>IF(OR(#REF!&gt;2,#REF!&lt;-2),"",#REF!)</f>
        <v>#REF!</v>
      </c>
      <c r="CQ17" s="7" t="e">
        <f>IF(OR(#REF!&gt;2,#REF!&lt;-2),"",#REF!)</f>
        <v>#REF!</v>
      </c>
      <c r="CR17" s="7" t="e">
        <f>IF(OR(#REF!&gt;2,#REF!&lt;-2),"",#REF!)</f>
        <v>#REF!</v>
      </c>
      <c r="CS17" s="7" t="e">
        <f>IF(OR(#REF!&gt;2,#REF!&lt;-2),"",#REF!)</f>
        <v>#REF!</v>
      </c>
      <c r="CT17" s="7" t="e">
        <f>IF(OR(#REF!&gt;2,#REF!&lt;-2),"",#REF!)</f>
        <v>#REF!</v>
      </c>
      <c r="CU17" s="7" t="e">
        <f>IF(OR(#REF!&gt;2,#REF!&lt;-2),"",#REF!)</f>
        <v>#REF!</v>
      </c>
      <c r="CV17" s="7" t="e">
        <f>IF(OR(#REF!&gt;2,#REF!&lt;-2),"",#REF!)</f>
        <v>#REF!</v>
      </c>
      <c r="CW17" s="7" t="e">
        <f>IF(OR(#REF!&gt;2,#REF!&lt;-2),"",#REF!)</f>
        <v>#REF!</v>
      </c>
      <c r="CX17" s="7" t="e">
        <f>IF(OR(#REF!&gt;2,#REF!&lt;-2),"",#REF!)</f>
        <v>#REF!</v>
      </c>
      <c r="CY17" s="7" t="e">
        <f>IF(OR(#REF!&gt;2,#REF!&lt;-2),"",#REF!)</f>
        <v>#REF!</v>
      </c>
      <c r="CZ17" s="7" t="e">
        <f>IF(OR(#REF!&gt;2,#REF!&lt;-2),"",#REF!)</f>
        <v>#REF!</v>
      </c>
      <c r="DA17" s="7" t="e">
        <f>IF(OR(#REF!&gt;2,#REF!&lt;-2),"",#REF!)</f>
        <v>#REF!</v>
      </c>
      <c r="DB17" s="7" t="e">
        <f>IF(OR(#REF!&gt;2,#REF!&lt;-2),"",#REF!)</f>
        <v>#REF!</v>
      </c>
      <c r="DC17" s="7" t="e">
        <f>IF(OR(#REF!&gt;2,#REF!&lt;-2),"",#REF!)</f>
        <v>#REF!</v>
      </c>
      <c r="DD17" s="7" t="e">
        <f>IF(OR(#REF!&gt;2,#REF!&lt;-2),"",#REF!)</f>
        <v>#REF!</v>
      </c>
      <c r="DE17" s="7" t="e">
        <f>IF(OR(#REF!&gt;2,#REF!&lt;-2),"",#REF!)</f>
        <v>#REF!</v>
      </c>
      <c r="DF17" s="7" t="e">
        <f>IF(OR(#REF!&gt;2,#REF!&lt;-2),"",#REF!)</f>
        <v>#REF!</v>
      </c>
      <c r="DG17" s="7" t="e">
        <f>IF(OR(#REF!&gt;2,#REF!&lt;-2),"",#REF!)</f>
        <v>#REF!</v>
      </c>
      <c r="DH17" s="7" t="e">
        <f>IF(OR(#REF!&gt;2,#REF!&lt;-2),"",#REF!)</f>
        <v>#REF!</v>
      </c>
      <c r="DI17" s="7" t="e">
        <f>IF(OR(#REF!&gt;2,#REF!&lt;-2),"",#REF!)</f>
        <v>#REF!</v>
      </c>
      <c r="DJ17" s="7" t="e">
        <f>IF(OR(#REF!&gt;2,#REF!&lt;-2),"",#REF!)</f>
        <v>#REF!</v>
      </c>
      <c r="DK17" s="7" t="e">
        <f>IF(OR(#REF!&gt;2,#REF!&lt;-2),"",#REF!)</f>
        <v>#REF!</v>
      </c>
      <c r="DL17" s="7" t="e">
        <f>IF(OR(#REF!&gt;2,#REF!&lt;-2),"",#REF!)</f>
        <v>#REF!</v>
      </c>
      <c r="DM17" s="7" t="e">
        <f>IF(OR(#REF!&gt;2,#REF!&lt;-2),"",#REF!)</f>
        <v>#REF!</v>
      </c>
      <c r="DN17" s="7" t="e">
        <f>IF(OR(#REF!&gt;2,#REF!&lt;-2),"",#REF!)</f>
        <v>#REF!</v>
      </c>
      <c r="DO17" s="7" t="e">
        <f>IF(OR(#REF!&gt;2,#REF!&lt;-2),"",#REF!)</f>
        <v>#REF!</v>
      </c>
      <c r="DP17" s="7" t="e">
        <f>IF(OR(#REF!&gt;2,#REF!&lt;-2),"",#REF!)</f>
        <v>#REF!</v>
      </c>
      <c r="DQ17" s="7" t="e">
        <f>IF(OR(#REF!&gt;2,#REF!&lt;-2),"",#REF!)</f>
        <v>#REF!</v>
      </c>
      <c r="DR17" s="7" t="e">
        <f>IF(OR(#REF!&gt;2,#REF!&lt;-2),"",#REF!)</f>
        <v>#REF!</v>
      </c>
      <c r="DS17" s="7" t="e">
        <f>IF(OR(#REF!&gt;2,#REF!&lt;-2),"",#REF!)</f>
        <v>#REF!</v>
      </c>
      <c r="DT17" s="7" t="e">
        <f>IF(OR(#REF!&gt;2,#REF!&lt;-2),"",#REF!)</f>
        <v>#REF!</v>
      </c>
      <c r="DU17" s="7" t="e">
        <f>IF(OR(#REF!&gt;2,#REF!&lt;-2),"",#REF!)</f>
        <v>#REF!</v>
      </c>
      <c r="DV17" s="7" t="e">
        <f>IF(OR(#REF!&gt;2,#REF!&lt;-2),"",#REF!)</f>
        <v>#REF!</v>
      </c>
      <c r="DW17" s="7" t="e">
        <f>IF(OR(#REF!&gt;2,#REF!&lt;-2),"",#REF!)</f>
        <v>#REF!</v>
      </c>
      <c r="DX17" s="7" t="e">
        <f>IF(OR(#REF!&gt;2,#REF!&lt;-2),"",#REF!)</f>
        <v>#REF!</v>
      </c>
      <c r="DY17" s="7" t="e">
        <f>IF(OR(#REF!&gt;2,#REF!&lt;-2),"",#REF!)</f>
        <v>#REF!</v>
      </c>
      <c r="DZ17" s="7" t="e">
        <f>IF(OR(#REF!&gt;2,#REF!&lt;-2),"",#REF!)</f>
        <v>#REF!</v>
      </c>
      <c r="EA17" s="7" t="e">
        <f>IF(OR(#REF!&gt;2,#REF!&lt;-2),"",#REF!)</f>
        <v>#REF!</v>
      </c>
      <c r="EB17" s="7" t="e">
        <f>IF(OR(#REF!&gt;2,#REF!&lt;-2),"",#REF!)</f>
        <v>#REF!</v>
      </c>
      <c r="EC17" s="7" t="e">
        <f>IF(OR(#REF!&gt;2,#REF!&lt;-2),"",#REF!)</f>
        <v>#REF!</v>
      </c>
      <c r="ED17" s="7" t="e">
        <f>IF(OR(#REF!&gt;2,#REF!&lt;-2),"",#REF!)</f>
        <v>#REF!</v>
      </c>
      <c r="EE17" s="7" t="e">
        <f>IF(OR(#REF!&gt;2,#REF!&lt;-2),"",#REF!)</f>
        <v>#REF!</v>
      </c>
      <c r="EF17" s="7" t="e">
        <f>IF(OR(#REF!&gt;2,#REF!&lt;-2),"",#REF!)</f>
        <v>#REF!</v>
      </c>
      <c r="EG17" s="7" t="e">
        <f>IF(OR(#REF!&gt;2,#REF!&lt;-2),"",#REF!)</f>
        <v>#REF!</v>
      </c>
      <c r="EH17" s="7" t="e">
        <f>IF(OR(#REF!&gt;2,#REF!&lt;-2),"",#REF!)</f>
        <v>#REF!</v>
      </c>
      <c r="EI17" s="7" t="e">
        <f>IF(OR(#REF!&gt;2,#REF!&lt;-2),"",#REF!)</f>
        <v>#REF!</v>
      </c>
      <c r="EJ17" s="7" t="e">
        <f>IF(OR(#REF!&gt;2,#REF!&lt;-2),"",#REF!)</f>
        <v>#REF!</v>
      </c>
      <c r="EK17" s="7" t="e">
        <f>IF(OR(#REF!&gt;2,#REF!&lt;-2),"",#REF!)</f>
        <v>#REF!</v>
      </c>
      <c r="EL17" s="7" t="e">
        <f>IF(OR(#REF!&gt;2,#REF!&lt;-2),"",#REF!)</f>
        <v>#REF!</v>
      </c>
      <c r="EM17" s="7" t="e">
        <f>IF(OR(#REF!&gt;2,#REF!&lt;-2),"",#REF!)</f>
        <v>#REF!</v>
      </c>
      <c r="EN17" s="7" t="e">
        <f>IF(OR(#REF!&gt;2,#REF!&lt;-2),"",#REF!)</f>
        <v>#REF!</v>
      </c>
      <c r="EO17" s="7" t="e">
        <f>IF(OR(#REF!&gt;2,#REF!&lt;-2),"",#REF!)</f>
        <v>#REF!</v>
      </c>
      <c r="EP17" s="7" t="e">
        <f>IF(OR(#REF!&gt;2,#REF!&lt;-2),"",#REF!)</f>
        <v>#REF!</v>
      </c>
      <c r="EQ17" s="7" t="e">
        <f>IF(OR(#REF!&gt;2,#REF!&lt;-2),"",#REF!)</f>
        <v>#REF!</v>
      </c>
      <c r="ER17" s="7" t="e">
        <f>IF(OR(#REF!&gt;2,#REF!&lt;-2),"",#REF!)</f>
        <v>#REF!</v>
      </c>
      <c r="ES17" s="7" t="e">
        <f>IF(OR(#REF!&gt;2,#REF!&lt;-2),"",#REF!)</f>
        <v>#REF!</v>
      </c>
      <c r="ET17" s="7" t="e">
        <f>IF(OR(#REF!&gt;2,#REF!&lt;-2),"",#REF!)</f>
        <v>#REF!</v>
      </c>
      <c r="EU17" s="7" t="e">
        <f>IF(OR(#REF!&gt;2,#REF!&lt;-2),"",#REF!)</f>
        <v>#REF!</v>
      </c>
      <c r="EV17" s="7" t="e">
        <f>IF(OR(#REF!&gt;2,#REF!&lt;-2),"",#REF!)</f>
        <v>#REF!</v>
      </c>
      <c r="EW17" s="7" t="e">
        <f>IF(OR(#REF!&gt;2,#REF!&lt;-2),"",#REF!)</f>
        <v>#REF!</v>
      </c>
      <c r="EX17" s="7" t="e">
        <f>IF(OR(#REF!&gt;2,#REF!&lt;-2),"",#REF!)</f>
        <v>#REF!</v>
      </c>
      <c r="EY17" s="7" t="e">
        <f>IF(OR(#REF!&gt;2,#REF!&lt;-2),"",#REF!)</f>
        <v>#REF!</v>
      </c>
      <c r="EZ17" s="7" t="e">
        <f>IF(OR(#REF!&gt;2,#REF!&lt;-2),"",#REF!)</f>
        <v>#REF!</v>
      </c>
      <c r="FA17" s="7" t="e">
        <f>IF(OR(#REF!&gt;2,#REF!&lt;-2),"",#REF!)</f>
        <v>#REF!</v>
      </c>
      <c r="FB17" s="7" t="e">
        <f>IF(OR(#REF!&gt;2,#REF!&lt;-2),"",#REF!)</f>
        <v>#REF!</v>
      </c>
      <c r="FC17" s="7" t="e">
        <f>IF(OR(#REF!&gt;2,#REF!&lt;-2),"",#REF!)</f>
        <v>#REF!</v>
      </c>
      <c r="FD17" s="7" t="e">
        <f>IF(OR(#REF!&gt;2,#REF!&lt;-2),"",#REF!)</f>
        <v>#REF!</v>
      </c>
      <c r="FE17" s="7" t="e">
        <f>IF(OR(#REF!&gt;2,#REF!&lt;-2),"",#REF!)</f>
        <v>#REF!</v>
      </c>
      <c r="FF17" s="7" t="e">
        <f>IF(OR(#REF!&gt;2,#REF!&lt;-2),"",#REF!)</f>
        <v>#REF!</v>
      </c>
      <c r="FG17" s="7" t="e">
        <f>IF(OR(#REF!&gt;2,#REF!&lt;-2),"",#REF!)</f>
        <v>#REF!</v>
      </c>
      <c r="FH17" s="7" t="e">
        <f>IF(OR(#REF!&gt;2,#REF!&lt;-2),"",#REF!)</f>
        <v>#REF!</v>
      </c>
      <c r="FI17" s="7" t="e">
        <f>IF(OR(#REF!&gt;2,#REF!&lt;-2),"",#REF!)</f>
        <v>#REF!</v>
      </c>
      <c r="FJ17" s="7" t="e">
        <f>IF(OR(#REF!&gt;2,#REF!&lt;-2),"",#REF!)</f>
        <v>#REF!</v>
      </c>
      <c r="FK17" s="7" t="e">
        <f>IF(OR(#REF!&gt;2,#REF!&lt;-2),"",#REF!)</f>
        <v>#REF!</v>
      </c>
      <c r="FL17" s="7" t="e">
        <f>IF(OR(#REF!&gt;2,#REF!&lt;-2),"",#REF!)</f>
        <v>#REF!</v>
      </c>
      <c r="FM17" s="7" t="e">
        <f>IF(OR(#REF!&gt;2,#REF!&lt;-2),"",#REF!)</f>
        <v>#REF!</v>
      </c>
      <c r="FN17" s="7" t="e">
        <f>IF(OR(#REF!&gt;2,#REF!&lt;-2),"",#REF!)</f>
        <v>#REF!</v>
      </c>
      <c r="FO17" s="7" t="e">
        <f>IF(OR(#REF!&gt;2,#REF!&lt;-2),"",#REF!)</f>
        <v>#REF!</v>
      </c>
      <c r="FP17" s="7" t="e">
        <f>IF(OR(#REF!&gt;2,#REF!&lt;-2),"",#REF!)</f>
        <v>#REF!</v>
      </c>
      <c r="FQ17" s="7" t="e">
        <f>IF(OR(#REF!&gt;2,#REF!&lt;-2),"",#REF!)</f>
        <v>#REF!</v>
      </c>
      <c r="FR17" s="7" t="e">
        <f>IF(OR(#REF!&gt;2,#REF!&lt;-2),"",#REF!)</f>
        <v>#REF!</v>
      </c>
      <c r="FS17" s="7" t="e">
        <f>IF(OR(#REF!&gt;2,#REF!&lt;-2),"",#REF!)</f>
        <v>#REF!</v>
      </c>
      <c r="FT17" s="7" t="e">
        <f>IF(OR(#REF!&gt;2,#REF!&lt;-2),"",#REF!)</f>
        <v>#REF!</v>
      </c>
      <c r="FU17" s="7" t="e">
        <f>IF(OR(#REF!&gt;2,#REF!&lt;-2),"",#REF!)</f>
        <v>#REF!</v>
      </c>
      <c r="FV17" s="7" t="e">
        <f>IF(OR(#REF!&gt;2,#REF!&lt;-2),"",#REF!)</f>
        <v>#REF!</v>
      </c>
      <c r="FW17" s="7" t="e">
        <f>IF(OR(#REF!&gt;2,#REF!&lt;-2),"",#REF!)</f>
        <v>#REF!</v>
      </c>
      <c r="FX17" s="7" t="e">
        <f>IF(OR(#REF!&gt;2,#REF!&lt;-2),"",#REF!)</f>
        <v>#REF!</v>
      </c>
      <c r="FY17" s="7" t="e">
        <f>IF(OR(#REF!&gt;2,#REF!&lt;-2),"",#REF!)</f>
        <v>#REF!</v>
      </c>
      <c r="FZ17" s="7" t="e">
        <f>IF(OR(#REF!&gt;2,#REF!&lt;-2),"",#REF!)</f>
        <v>#REF!</v>
      </c>
      <c r="GA17" s="7" t="e">
        <f>IF(OR(#REF!&gt;2,#REF!&lt;-2),"",#REF!)</f>
        <v>#REF!</v>
      </c>
      <c r="GB17" s="7" t="e">
        <f>IF(OR(#REF!&gt;2,#REF!&lt;-2),"",#REF!)</f>
        <v>#REF!</v>
      </c>
      <c r="GC17" s="7" t="e">
        <f>IF(OR(#REF!&gt;2,#REF!&lt;-2),"",#REF!)</f>
        <v>#REF!</v>
      </c>
      <c r="GD17" s="7" t="e">
        <f>IF(OR(#REF!&gt;2,#REF!&lt;-2),"",#REF!)</f>
        <v>#REF!</v>
      </c>
      <c r="GE17" s="7" t="e">
        <f>IF(OR(#REF!&gt;2,#REF!&lt;-2),"",#REF!)</f>
        <v>#REF!</v>
      </c>
      <c r="GF17" s="7" t="e">
        <f>IF(OR(#REF!&gt;2,#REF!&lt;-2),"",#REF!)</f>
        <v>#REF!</v>
      </c>
      <c r="GG17" s="7" t="e">
        <f>IF(OR(#REF!&gt;2,#REF!&lt;-2),"",#REF!)</f>
        <v>#REF!</v>
      </c>
      <c r="GH17" s="7" t="e">
        <f>IF(OR(#REF!&gt;2,#REF!&lt;-2),"",#REF!)</f>
        <v>#REF!</v>
      </c>
      <c r="GI17" s="7" t="e">
        <f>IF(OR(#REF!&gt;2,#REF!&lt;-2),"",#REF!)</f>
        <v>#REF!</v>
      </c>
      <c r="GJ17" s="7" t="e">
        <f>IF(OR(#REF!&gt;2,#REF!&lt;-2),"",#REF!)</f>
        <v>#REF!</v>
      </c>
      <c r="GK17" s="7" t="e">
        <f>IF(OR(#REF!&gt;2,#REF!&lt;-2),"",#REF!)</f>
        <v>#REF!</v>
      </c>
      <c r="GL17" s="7" t="e">
        <f>IF(OR(#REF!&gt;2,#REF!&lt;-2),"",#REF!)</f>
        <v>#REF!</v>
      </c>
      <c r="GM17" s="7" t="e">
        <f>IF(OR(#REF!&gt;2,#REF!&lt;-2),"",#REF!)</f>
        <v>#REF!</v>
      </c>
      <c r="GN17" s="7" t="e">
        <f>IF(OR(#REF!&gt;2,#REF!&lt;-2),"",#REF!)</f>
        <v>#REF!</v>
      </c>
      <c r="GO17" s="7" t="e">
        <f>IF(OR(#REF!&gt;2,#REF!&lt;-2),"",#REF!)</f>
        <v>#REF!</v>
      </c>
      <c r="GP17" s="7" t="e">
        <f>IF(OR(#REF!&gt;2,#REF!&lt;-2),"",#REF!)</f>
        <v>#REF!</v>
      </c>
      <c r="GQ17" s="7" t="e">
        <f>IF(OR(#REF!&gt;2,#REF!&lt;-2),"",#REF!)</f>
        <v>#REF!</v>
      </c>
      <c r="GR17" s="7" t="e">
        <f>IF(OR(#REF!&gt;2,#REF!&lt;-2),"",#REF!)</f>
        <v>#REF!</v>
      </c>
      <c r="GS17" s="7" t="e">
        <f>IF(OR(#REF!&gt;2,#REF!&lt;-2),"",#REF!)</f>
        <v>#REF!</v>
      </c>
      <c r="GT17" s="7" t="e">
        <f>IF(OR(#REF!&gt;2,#REF!&lt;-2),"",#REF!)</f>
        <v>#REF!</v>
      </c>
      <c r="GU17" s="7" t="e">
        <f>IF(OR(#REF!&gt;2,#REF!&lt;-2),"",#REF!)</f>
        <v>#REF!</v>
      </c>
      <c r="GV17" s="7" t="e">
        <f>IF(OR(#REF!&gt;2,#REF!&lt;-2),"",#REF!)</f>
        <v>#REF!</v>
      </c>
      <c r="GW17" s="7" t="e">
        <f>IF(OR(#REF!&gt;2,#REF!&lt;-2),"",#REF!)</f>
        <v>#REF!</v>
      </c>
      <c r="GX17" s="7" t="e">
        <f>IF(OR(#REF!&gt;2,#REF!&lt;-2),"",#REF!)</f>
        <v>#REF!</v>
      </c>
      <c r="GY17" s="7" t="e">
        <f>IF(OR(#REF!&gt;2,#REF!&lt;-2),"",#REF!)</f>
        <v>#REF!</v>
      </c>
      <c r="GZ17" s="7" t="e">
        <f>IF(OR(#REF!&gt;2,#REF!&lt;-2),"",#REF!)</f>
        <v>#REF!</v>
      </c>
      <c r="HA17" s="7" t="e">
        <f>IF(OR(#REF!&gt;2,#REF!&lt;-2),"",#REF!)</f>
        <v>#REF!</v>
      </c>
      <c r="HB17" s="7" t="e">
        <f>IF(OR(#REF!&gt;2,#REF!&lt;-2),"",#REF!)</f>
        <v>#REF!</v>
      </c>
      <c r="HC17" s="7" t="e">
        <f>IF(OR(#REF!&gt;2,#REF!&lt;-2),"",#REF!)</f>
        <v>#REF!</v>
      </c>
      <c r="HD17" s="7" t="e">
        <f>IF(OR(#REF!&gt;2,#REF!&lt;-2),"",#REF!)</f>
        <v>#REF!</v>
      </c>
      <c r="HE17" s="7" t="e">
        <f>IF(OR(#REF!&gt;2,#REF!&lt;-2),"",#REF!)</f>
        <v>#REF!</v>
      </c>
      <c r="HF17" s="7" t="e">
        <f>IF(OR(#REF!&gt;2,#REF!&lt;-2),"",#REF!)</f>
        <v>#REF!</v>
      </c>
      <c r="HG17" s="7" t="e">
        <f>IF(OR(#REF!&gt;2,#REF!&lt;-2),"",#REF!)</f>
        <v>#REF!</v>
      </c>
      <c r="HH17" s="7" t="e">
        <f>IF(OR(#REF!&gt;2,#REF!&lt;-2),"",#REF!)</f>
        <v>#REF!</v>
      </c>
      <c r="HI17" s="7" t="e">
        <f>IF(OR(#REF!&gt;2,#REF!&lt;-2),"",#REF!)</f>
        <v>#REF!</v>
      </c>
      <c r="HJ17" s="7" t="e">
        <f>IF(OR(#REF!&gt;2,#REF!&lt;-2),"",#REF!)</f>
        <v>#REF!</v>
      </c>
      <c r="HK17" s="7" t="e">
        <f>IF(OR(#REF!&gt;2,#REF!&lt;-2),"",#REF!)</f>
        <v>#REF!</v>
      </c>
      <c r="HL17" s="7" t="e">
        <f>IF(OR(#REF!&gt;2,#REF!&lt;-2),"",#REF!)</f>
        <v>#REF!</v>
      </c>
      <c r="HM17" s="7" t="e">
        <f>IF(OR(#REF!&gt;2,#REF!&lt;-2),"",#REF!)</f>
        <v>#REF!</v>
      </c>
      <c r="HN17" s="7" t="e">
        <f>IF(OR(#REF!&gt;2,#REF!&lt;-2),"",#REF!)</f>
        <v>#REF!</v>
      </c>
      <c r="HO17" s="7" t="e">
        <f>IF(OR(#REF!&gt;2,#REF!&lt;-2),"",#REF!)</f>
        <v>#REF!</v>
      </c>
      <c r="HP17" s="7" t="e">
        <f>IF(OR(#REF!&gt;2,#REF!&lt;-2),"",#REF!)</f>
        <v>#REF!</v>
      </c>
      <c r="HQ17" s="7" t="e">
        <f>IF(OR(#REF!&gt;2,#REF!&lt;-2),"",#REF!)</f>
        <v>#REF!</v>
      </c>
      <c r="HR17" s="7" t="e">
        <f>IF(OR(#REF!&gt;2,#REF!&lt;-2),"",#REF!)</f>
        <v>#REF!</v>
      </c>
      <c r="HS17" s="7" t="e">
        <f>IF(OR(#REF!&gt;2,#REF!&lt;-2),"",#REF!)</f>
        <v>#REF!</v>
      </c>
      <c r="HT17" s="7" t="e">
        <f>IF(OR(#REF!&gt;2,#REF!&lt;-2),"",#REF!)</f>
        <v>#REF!</v>
      </c>
      <c r="HU17" s="7" t="e">
        <f>IF(OR(#REF!&gt;2,#REF!&lt;-2),"",#REF!)</f>
        <v>#REF!</v>
      </c>
      <c r="HV17" s="7" t="e">
        <f>IF(OR(#REF!&gt;2,#REF!&lt;-2),"",#REF!)</f>
        <v>#REF!</v>
      </c>
      <c r="HW17" s="7" t="e">
        <f>IF(OR(#REF!&gt;2,#REF!&lt;-2),"",#REF!)</f>
        <v>#REF!</v>
      </c>
      <c r="HX17" s="7" t="e">
        <f>IF(OR(#REF!&gt;2,#REF!&lt;-2),"",#REF!)</f>
        <v>#REF!</v>
      </c>
      <c r="HY17" s="7" t="e">
        <f>IF(OR(#REF!&gt;2,#REF!&lt;-2),"",#REF!)</f>
        <v>#REF!</v>
      </c>
      <c r="HZ17" s="7" t="e">
        <f>IF(OR(#REF!&gt;2,#REF!&lt;-2),"",#REF!)</f>
        <v>#REF!</v>
      </c>
      <c r="IA17" s="7" t="e">
        <f>IF(OR(#REF!&gt;2,#REF!&lt;-2),"",#REF!)</f>
        <v>#REF!</v>
      </c>
      <c r="IB17" s="7" t="e">
        <f>IF(OR(#REF!&gt;2,#REF!&lt;-2),"",#REF!)</f>
        <v>#REF!</v>
      </c>
      <c r="IC17" s="7" t="e">
        <f>IF(OR(#REF!&gt;2,#REF!&lt;-2),"",#REF!)</f>
        <v>#REF!</v>
      </c>
      <c r="ID17" s="7" t="e">
        <f>IF(OR(#REF!&gt;2,#REF!&lt;-2),"",#REF!)</f>
        <v>#REF!</v>
      </c>
      <c r="IE17" s="7" t="e">
        <f>IF(OR(#REF!&gt;2,#REF!&lt;-2),"",#REF!)</f>
        <v>#REF!</v>
      </c>
      <c r="IF17" s="7" t="e">
        <f>IF(OR(#REF!&gt;2,#REF!&lt;-2),"",#REF!)</f>
        <v>#REF!</v>
      </c>
      <c r="IG17" s="7" t="e">
        <f>IF(OR(#REF!&gt;2,#REF!&lt;-2),"",#REF!)</f>
        <v>#REF!</v>
      </c>
      <c r="IH17" s="7" t="e">
        <f>IF(OR(#REF!&gt;2,#REF!&lt;-2),"",#REF!)</f>
        <v>#REF!</v>
      </c>
      <c r="II17" s="7" t="e">
        <f>IF(OR(#REF!&gt;2,#REF!&lt;-2),"",#REF!)</f>
        <v>#REF!</v>
      </c>
      <c r="IJ17" s="7" t="e">
        <f>IF(OR(#REF!&gt;2,#REF!&lt;-2),"",#REF!)</f>
        <v>#REF!</v>
      </c>
      <c r="IK17" s="7" t="e">
        <f>IF(OR(#REF!&gt;2,#REF!&lt;-2),"",#REF!)</f>
        <v>#REF!</v>
      </c>
      <c r="IL17" s="7" t="e">
        <f>IF(OR(#REF!&gt;2,#REF!&lt;-2),"",#REF!)</f>
        <v>#REF!</v>
      </c>
      <c r="IM17" s="7" t="e">
        <f>IF(OR(#REF!&gt;2,#REF!&lt;-2),"",#REF!)</f>
        <v>#REF!</v>
      </c>
      <c r="IN17" s="7" t="e">
        <f>IF(OR(#REF!&gt;2,#REF!&lt;-2),"",#REF!)</f>
        <v>#REF!</v>
      </c>
      <c r="IO17" s="7" t="e">
        <f>IF(OR(#REF!&gt;2,#REF!&lt;-2),"",#REF!)</f>
        <v>#REF!</v>
      </c>
      <c r="IP17" s="7" t="e">
        <f>IF(OR(#REF!&gt;2,#REF!&lt;-2),"",#REF!)</f>
        <v>#REF!</v>
      </c>
      <c r="IQ17" s="7" t="e">
        <f>IF(OR(#REF!&gt;2,#REF!&lt;-2),"",#REF!)</f>
        <v>#REF!</v>
      </c>
      <c r="IR17" s="7" t="e">
        <f>IF(OR(#REF!&gt;2,#REF!&lt;-2),"",#REF!)</f>
        <v>#REF!</v>
      </c>
      <c r="IS17" s="7" t="e">
        <f>IF(OR(#REF!&gt;2,#REF!&lt;-2),"",#REF!)</f>
        <v>#REF!</v>
      </c>
      <c r="IT17" s="7" t="e">
        <f>IF(OR(#REF!&gt;2,#REF!&lt;-2),"",#REF!)</f>
        <v>#REF!</v>
      </c>
      <c r="IU17" s="7" t="e">
        <f>IF(OR(#REF!&gt;2,#REF!&lt;-2),"",#REF!)</f>
        <v>#REF!</v>
      </c>
      <c r="IV17" s="7" t="e">
        <f>IF(OR(#REF!&gt;2,#REF!&lt;-2),"",#REF!)</f>
        <v>#REF!</v>
      </c>
      <c r="IW17" s="7" t="e">
        <f>IF(OR(#REF!&gt;2,#REF!&lt;-2),"",#REF!)</f>
        <v>#REF!</v>
      </c>
      <c r="IX17" s="7" t="e">
        <f>IF(OR(#REF!&gt;2,#REF!&lt;-2),"",#REF!)</f>
        <v>#REF!</v>
      </c>
      <c r="IY17" s="7" t="e">
        <f>IF(OR(#REF!&gt;2,#REF!&lt;-2),"",#REF!)</f>
        <v>#REF!</v>
      </c>
      <c r="IZ17" s="7" t="e">
        <f>IF(OR(#REF!&gt;2,#REF!&lt;-2),"",#REF!)</f>
        <v>#REF!</v>
      </c>
      <c r="JA17" s="7" t="e">
        <f>IF(OR(#REF!&gt;2,#REF!&lt;-2),"",#REF!)</f>
        <v>#REF!</v>
      </c>
      <c r="JB17" s="7" t="e">
        <f>IF(OR(#REF!&gt;2,#REF!&lt;-2),"",#REF!)</f>
        <v>#REF!</v>
      </c>
      <c r="JC17" s="7" t="e">
        <f>IF(OR(#REF!&gt;2,#REF!&lt;-2),"",#REF!)</f>
        <v>#REF!</v>
      </c>
      <c r="JD17" s="7" t="e">
        <f>IF(OR(#REF!&gt;2,#REF!&lt;-2),"",#REF!)</f>
        <v>#REF!</v>
      </c>
      <c r="JE17" s="7" t="e">
        <f>IF(OR(#REF!&gt;2,#REF!&lt;-2),"",#REF!)</f>
        <v>#REF!</v>
      </c>
      <c r="JF17" s="7" t="e">
        <f>IF(OR(#REF!&gt;2,#REF!&lt;-2),"",#REF!)</f>
        <v>#REF!</v>
      </c>
      <c r="JG17" s="7" t="e">
        <f>IF(OR(#REF!&gt;2,#REF!&lt;-2),"",#REF!)</f>
        <v>#REF!</v>
      </c>
      <c r="JH17" s="7" t="e">
        <f>IF(OR(#REF!&gt;2,#REF!&lt;-2),"",#REF!)</f>
        <v>#REF!</v>
      </c>
      <c r="JI17" s="7" t="e">
        <f>IF(OR(#REF!&gt;2,#REF!&lt;-2),"",#REF!)</f>
        <v>#REF!</v>
      </c>
      <c r="JJ17" s="7" t="e">
        <f>IF(OR(#REF!&gt;2,#REF!&lt;-2),"",#REF!)</f>
        <v>#REF!</v>
      </c>
      <c r="JK17" s="7" t="e">
        <f>IF(OR(#REF!&gt;2,#REF!&lt;-2),"",#REF!)</f>
        <v>#REF!</v>
      </c>
      <c r="JL17" s="7" t="e">
        <f>IF(OR(#REF!&gt;2,#REF!&lt;-2),"",#REF!)</f>
        <v>#REF!</v>
      </c>
      <c r="JM17" s="7" t="e">
        <f>IF(OR(#REF!&gt;2,#REF!&lt;-2),"",#REF!)</f>
        <v>#REF!</v>
      </c>
      <c r="JN17" s="7" t="e">
        <f>IF(OR(#REF!&gt;2,#REF!&lt;-2),"",#REF!)</f>
        <v>#REF!</v>
      </c>
      <c r="JO17" s="7" t="e">
        <f>IF(OR(#REF!&gt;2,#REF!&lt;-2),"",#REF!)</f>
        <v>#REF!</v>
      </c>
      <c r="JP17" s="7" t="e">
        <f>IF(OR(#REF!&gt;2,#REF!&lt;-2),"",#REF!)</f>
        <v>#REF!</v>
      </c>
      <c r="JQ17" s="7" t="e">
        <f>IF(OR(#REF!&gt;2,#REF!&lt;-2),"",#REF!)</f>
        <v>#REF!</v>
      </c>
      <c r="JR17" s="7" t="e">
        <f>IF(OR(#REF!&gt;2,#REF!&lt;-2),"",#REF!)</f>
        <v>#REF!</v>
      </c>
      <c r="JS17" s="7" t="e">
        <f>IF(OR(#REF!&gt;2,#REF!&lt;-2),"",#REF!)</f>
        <v>#REF!</v>
      </c>
      <c r="JT17" s="7" t="e">
        <f>IF(OR(#REF!&gt;2,#REF!&lt;-2),"",#REF!)</f>
        <v>#REF!</v>
      </c>
      <c r="JU17" s="7" t="e">
        <f>IF(OR(#REF!&gt;2,#REF!&lt;-2),"",#REF!)</f>
        <v>#REF!</v>
      </c>
      <c r="JV17" s="7" t="e">
        <f>IF(OR(#REF!&gt;2,#REF!&lt;-2),"",#REF!)</f>
        <v>#REF!</v>
      </c>
      <c r="JW17" s="7" t="e">
        <f>IF(OR(#REF!&gt;2,#REF!&lt;-2),"",#REF!)</f>
        <v>#REF!</v>
      </c>
      <c r="JX17" s="7" t="e">
        <f>IF(OR(#REF!&gt;2,#REF!&lt;-2),"",#REF!)</f>
        <v>#REF!</v>
      </c>
      <c r="JY17" s="7" t="e">
        <f>IF(OR(#REF!&gt;2,#REF!&lt;-2),"",#REF!)</f>
        <v>#REF!</v>
      </c>
      <c r="JZ17" s="7" t="e">
        <f>IF(OR(#REF!&gt;2,#REF!&lt;-2),"",#REF!)</f>
        <v>#REF!</v>
      </c>
      <c r="KA17" s="7" t="e">
        <f>IF(OR(#REF!&gt;2,#REF!&lt;-2),"",#REF!)</f>
        <v>#REF!</v>
      </c>
      <c r="KB17" s="7" t="e">
        <f>IF(OR(#REF!&gt;2,#REF!&lt;-2),"",#REF!)</f>
        <v>#REF!</v>
      </c>
      <c r="KC17" s="7" t="e">
        <f>IF(OR(#REF!&gt;2,#REF!&lt;-2),"",#REF!)</f>
        <v>#REF!</v>
      </c>
      <c r="KD17" s="7" t="e">
        <f>IF(OR(#REF!&gt;2,#REF!&lt;-2),"",#REF!)</f>
        <v>#REF!</v>
      </c>
      <c r="KE17" s="7" t="e">
        <f>IF(OR(#REF!&gt;2,#REF!&lt;-2),"",#REF!)</f>
        <v>#REF!</v>
      </c>
      <c r="KF17" s="7" t="e">
        <f>IF(OR(#REF!&gt;2,#REF!&lt;-2),"",#REF!)</f>
        <v>#REF!</v>
      </c>
      <c r="KG17" s="7" t="e">
        <f>IF(OR(#REF!&gt;2,#REF!&lt;-2),"",#REF!)</f>
        <v>#REF!</v>
      </c>
      <c r="KH17" s="7" t="e">
        <f>IF(OR(#REF!&gt;2,#REF!&lt;-2),"",#REF!)</f>
        <v>#REF!</v>
      </c>
      <c r="KI17" s="7" t="e">
        <f>IF(OR(#REF!&gt;2,#REF!&lt;-2),"",#REF!)</f>
        <v>#REF!</v>
      </c>
      <c r="KJ17" s="7" t="e">
        <f>IF(OR(#REF!&gt;2,#REF!&lt;-2),"",#REF!)</f>
        <v>#REF!</v>
      </c>
      <c r="KK17" s="7" t="e">
        <f>IF(OR(#REF!&gt;2,#REF!&lt;-2),"",#REF!)</f>
        <v>#REF!</v>
      </c>
      <c r="KL17" s="7" t="e">
        <f>IF(OR(#REF!&gt;2,#REF!&lt;-2),"",#REF!)</f>
        <v>#REF!</v>
      </c>
      <c r="KM17" s="7" t="e">
        <f>IF(OR(#REF!&gt;2,#REF!&lt;-2),"",#REF!)</f>
        <v>#REF!</v>
      </c>
      <c r="KN17" s="7" t="e">
        <f>IF(OR(#REF!&gt;2,#REF!&lt;-2),"",#REF!)</f>
        <v>#REF!</v>
      </c>
      <c r="KO17" s="7" t="e">
        <f>IF(OR(#REF!&gt;2,#REF!&lt;-2),"",#REF!)</f>
        <v>#REF!</v>
      </c>
      <c r="KP17" s="7" t="e">
        <f>IF(OR(#REF!&gt;2,#REF!&lt;-2),"",#REF!)</f>
        <v>#REF!</v>
      </c>
      <c r="KQ17" s="7" t="e">
        <f>IF(OR(#REF!&gt;2,#REF!&lt;-2),"",#REF!)</f>
        <v>#REF!</v>
      </c>
      <c r="KR17" s="7" t="e">
        <f>IF(OR(#REF!&gt;2,#REF!&lt;-2),"",#REF!)</f>
        <v>#REF!</v>
      </c>
      <c r="KS17" s="7" t="e">
        <f>IF(OR(#REF!&gt;2,#REF!&lt;-2),"",#REF!)</f>
        <v>#REF!</v>
      </c>
      <c r="KT17" s="7" t="e">
        <f>IF(OR(#REF!&gt;2,#REF!&lt;-2),"",#REF!)</f>
        <v>#REF!</v>
      </c>
      <c r="KU17" s="7" t="e">
        <f>IF(OR(#REF!&gt;2,#REF!&lt;-2),"",#REF!)</f>
        <v>#REF!</v>
      </c>
      <c r="KV17" s="7" t="e">
        <f>IF(OR(#REF!&gt;2,#REF!&lt;-2),"",#REF!)</f>
        <v>#REF!</v>
      </c>
      <c r="KW17" s="7" t="e">
        <f>IF(OR(#REF!&gt;2,#REF!&lt;-2),"",#REF!)</f>
        <v>#REF!</v>
      </c>
      <c r="KX17" s="7" t="e">
        <f>IF(OR(#REF!&gt;2,#REF!&lt;-2),"",#REF!)</f>
        <v>#REF!</v>
      </c>
      <c r="KY17" s="7" t="e">
        <f>IF(OR(#REF!&gt;2,#REF!&lt;-2),"",#REF!)</f>
        <v>#REF!</v>
      </c>
      <c r="KZ17" s="7" t="e">
        <f>IF(OR(#REF!&gt;2,#REF!&lt;-2),"",#REF!)</f>
        <v>#REF!</v>
      </c>
      <c r="LA17" s="7" t="e">
        <f>IF(OR(#REF!&gt;2,#REF!&lt;-2),"",#REF!)</f>
        <v>#REF!</v>
      </c>
      <c r="LB17" s="7" t="e">
        <f>IF(OR(#REF!&gt;2,#REF!&lt;-2),"",#REF!)</f>
        <v>#REF!</v>
      </c>
      <c r="LC17" s="7" t="e">
        <f>IF(OR(#REF!&gt;2,#REF!&lt;-2),"",#REF!)</f>
        <v>#REF!</v>
      </c>
      <c r="LD17" s="7" t="e">
        <f>IF(OR(#REF!&gt;2,#REF!&lt;-2),"",#REF!)</f>
        <v>#REF!</v>
      </c>
      <c r="LE17" s="7" t="e">
        <f>IF(OR(#REF!&gt;2,#REF!&lt;-2),"",#REF!)</f>
        <v>#REF!</v>
      </c>
      <c r="LF17" s="7" t="e">
        <f>IF(OR(#REF!&gt;2,#REF!&lt;-2),"",#REF!)</f>
        <v>#REF!</v>
      </c>
      <c r="LG17" s="7" t="e">
        <f>IF(OR(#REF!&gt;2,#REF!&lt;-2),"",#REF!)</f>
        <v>#REF!</v>
      </c>
      <c r="LH17" s="7" t="e">
        <f>IF(OR(#REF!&gt;2,#REF!&lt;-2),"",#REF!)</f>
        <v>#REF!</v>
      </c>
      <c r="LI17" s="7" t="e">
        <f>IF(OR(#REF!&gt;2,#REF!&lt;-2),"",#REF!)</f>
        <v>#REF!</v>
      </c>
      <c r="LJ17" s="7" t="e">
        <f>IF(OR(#REF!&gt;2,#REF!&lt;-2),"",#REF!)</f>
        <v>#REF!</v>
      </c>
      <c r="LK17" s="7" t="e">
        <f>IF(OR(#REF!&gt;2,#REF!&lt;-2),"",#REF!)</f>
        <v>#REF!</v>
      </c>
      <c r="LL17" s="7" t="e">
        <f>IF(OR(#REF!&gt;2,#REF!&lt;-2),"",#REF!)</f>
        <v>#REF!</v>
      </c>
      <c r="LM17" s="7" t="e">
        <f>IF(OR(#REF!&gt;2,#REF!&lt;-2),"",#REF!)</f>
        <v>#REF!</v>
      </c>
      <c r="LN17" s="7" t="e">
        <f>IF(OR(#REF!&gt;2,#REF!&lt;-2),"",#REF!)</f>
        <v>#REF!</v>
      </c>
      <c r="LO17" s="7" t="e">
        <f>IF(OR(#REF!&gt;2,#REF!&lt;-2),"",#REF!)</f>
        <v>#REF!</v>
      </c>
      <c r="LP17" s="7" t="e">
        <f>IF(OR(#REF!&gt;2,#REF!&lt;-2),"",#REF!)</f>
        <v>#REF!</v>
      </c>
      <c r="LQ17" s="7" t="e">
        <f>IF(OR(#REF!&gt;2,#REF!&lt;-2),"",#REF!)</f>
        <v>#REF!</v>
      </c>
      <c r="LR17" s="7" t="e">
        <f>IF(OR(#REF!&gt;2,#REF!&lt;-2),"",#REF!)</f>
        <v>#REF!</v>
      </c>
      <c r="LS17" s="7" t="e">
        <f>IF(OR(#REF!&gt;2,#REF!&lt;-2),"",#REF!)</f>
        <v>#REF!</v>
      </c>
      <c r="LT17" s="7" t="e">
        <f>IF(OR(#REF!&gt;2,#REF!&lt;-2),"",#REF!)</f>
        <v>#REF!</v>
      </c>
      <c r="LU17" s="7" t="e">
        <f>IF(OR(#REF!&gt;2,#REF!&lt;-2),"",#REF!)</f>
        <v>#REF!</v>
      </c>
      <c r="LV17" s="7" t="e">
        <f>IF(OR(#REF!&gt;2,#REF!&lt;-2),"",#REF!)</f>
        <v>#REF!</v>
      </c>
      <c r="LW17" s="7" t="e">
        <f>IF(OR(#REF!&gt;2,#REF!&lt;-2),"",#REF!)</f>
        <v>#REF!</v>
      </c>
      <c r="LX17" s="7" t="e">
        <f>IF(OR(#REF!&gt;2,#REF!&lt;-2),"",#REF!)</f>
        <v>#REF!</v>
      </c>
      <c r="LY17" s="7" t="e">
        <f>IF(OR(#REF!&gt;2,#REF!&lt;-2),"",#REF!)</f>
        <v>#REF!</v>
      </c>
      <c r="LZ17" s="7" t="e">
        <f>IF(OR(#REF!&gt;2,#REF!&lt;-2),"",#REF!)</f>
        <v>#REF!</v>
      </c>
      <c r="MA17" s="7" t="e">
        <f>IF(OR(#REF!&gt;2,#REF!&lt;-2),"",#REF!)</f>
        <v>#REF!</v>
      </c>
      <c r="MB17" s="7" t="e">
        <f>IF(OR(#REF!&gt;2,#REF!&lt;-2),"",#REF!)</f>
        <v>#REF!</v>
      </c>
      <c r="MC17" s="7" t="e">
        <f>IF(OR(#REF!&gt;2,#REF!&lt;-2),"",#REF!)</f>
        <v>#REF!</v>
      </c>
      <c r="MD17" s="7" t="e">
        <f>IF(OR(#REF!&gt;2,#REF!&lt;-2),"",#REF!)</f>
        <v>#REF!</v>
      </c>
      <c r="ME17" s="7" t="e">
        <f>IF(OR(#REF!&gt;2,#REF!&lt;-2),"",#REF!)</f>
        <v>#REF!</v>
      </c>
      <c r="MF17" s="7" t="e">
        <f>IF(OR(#REF!&gt;2,#REF!&lt;-2),"",#REF!)</f>
        <v>#REF!</v>
      </c>
      <c r="MG17" s="7" t="e">
        <f>IF(OR(#REF!&gt;2,#REF!&lt;-2),"",#REF!)</f>
        <v>#REF!</v>
      </c>
      <c r="MH17" s="7" t="e">
        <f>IF(OR(#REF!&gt;2,#REF!&lt;-2),"",#REF!)</f>
        <v>#REF!</v>
      </c>
      <c r="MI17" s="7" t="e">
        <f>IF(OR(#REF!&gt;2,#REF!&lt;-2),"",#REF!)</f>
        <v>#REF!</v>
      </c>
      <c r="MJ17" s="7" t="e">
        <f>IF(OR(#REF!&gt;2,#REF!&lt;-2),"",#REF!)</f>
        <v>#REF!</v>
      </c>
      <c r="MK17" s="7" t="e">
        <f>IF(OR(#REF!&gt;2,#REF!&lt;-2),"",#REF!)</f>
        <v>#REF!</v>
      </c>
      <c r="ML17" s="7" t="e">
        <f>IF(OR(#REF!&gt;2,#REF!&lt;-2),"",#REF!)</f>
        <v>#REF!</v>
      </c>
      <c r="MM17" s="7" t="e">
        <f>IF(OR(#REF!&gt;2,#REF!&lt;-2),"",#REF!)</f>
        <v>#REF!</v>
      </c>
      <c r="MN17" s="7" t="e">
        <f>IF(OR(#REF!&gt;2,#REF!&lt;-2),"",#REF!)</f>
        <v>#REF!</v>
      </c>
      <c r="MO17" s="7" t="e">
        <f>IF(OR(#REF!&gt;2,#REF!&lt;-2),"",#REF!)</f>
        <v>#REF!</v>
      </c>
      <c r="MP17" s="7" t="e">
        <f>IF(OR(#REF!&gt;2,#REF!&lt;-2),"",#REF!)</f>
        <v>#REF!</v>
      </c>
      <c r="MQ17" s="7" t="e">
        <f>IF(OR(#REF!&gt;2,#REF!&lt;-2),"",#REF!)</f>
        <v>#REF!</v>
      </c>
      <c r="MR17" s="7" t="e">
        <f>IF(OR(#REF!&gt;2,#REF!&lt;-2),"",#REF!)</f>
        <v>#REF!</v>
      </c>
      <c r="MS17" s="7" t="e">
        <f>IF(OR(#REF!&gt;2,#REF!&lt;-2),"",#REF!)</f>
        <v>#REF!</v>
      </c>
      <c r="MT17" s="7" t="e">
        <f>IF(OR(#REF!&gt;2,#REF!&lt;-2),"",#REF!)</f>
        <v>#REF!</v>
      </c>
      <c r="MU17" s="7" t="e">
        <f>IF(OR(#REF!&gt;2,#REF!&lt;-2),"",#REF!)</f>
        <v>#REF!</v>
      </c>
      <c r="MV17" s="7" t="e">
        <f>IF(OR(#REF!&gt;2,#REF!&lt;-2),"",#REF!)</f>
        <v>#REF!</v>
      </c>
      <c r="MW17" s="7" t="e">
        <f>IF(OR(#REF!&gt;2,#REF!&lt;-2),"",#REF!)</f>
        <v>#REF!</v>
      </c>
      <c r="MX17" s="7" t="e">
        <f>IF(OR(#REF!&gt;2,#REF!&lt;-2),"",#REF!)</f>
        <v>#REF!</v>
      </c>
      <c r="MY17" s="7" t="e">
        <f>IF(OR(#REF!&gt;2,#REF!&lt;-2),"",#REF!)</f>
        <v>#REF!</v>
      </c>
      <c r="MZ17" s="7" t="e">
        <f>IF(OR(#REF!&gt;2,#REF!&lt;-2),"",#REF!)</f>
        <v>#REF!</v>
      </c>
      <c r="NA17" s="7" t="e">
        <f>IF(OR(#REF!&gt;2,#REF!&lt;-2),"",#REF!)</f>
        <v>#REF!</v>
      </c>
      <c r="NB17" s="7" t="e">
        <f>IF(OR(#REF!&gt;2,#REF!&lt;-2),"",#REF!)</f>
        <v>#REF!</v>
      </c>
      <c r="NC17" s="7" t="e">
        <f>IF(OR(#REF!&gt;2,#REF!&lt;-2),"",#REF!)</f>
        <v>#REF!</v>
      </c>
      <c r="ND17" s="7" t="e">
        <f>IF(OR(#REF!&gt;2,#REF!&lt;-2),"",#REF!)</f>
        <v>#REF!</v>
      </c>
      <c r="NE17" s="7" t="e">
        <f>IF(OR(#REF!&gt;2,#REF!&lt;-2),"",#REF!)</f>
        <v>#REF!</v>
      </c>
      <c r="NF17" s="7" t="e">
        <f>IF(OR(#REF!&gt;2,#REF!&lt;-2),"",#REF!)</f>
        <v>#REF!</v>
      </c>
      <c r="NG17" s="7" t="e">
        <f>IF(OR(#REF!&gt;2,#REF!&lt;-2),"",#REF!)</f>
        <v>#REF!</v>
      </c>
      <c r="NH17" s="7" t="e">
        <f>IF(OR(#REF!&gt;2,#REF!&lt;-2),"",#REF!)</f>
        <v>#REF!</v>
      </c>
      <c r="NI17" s="7" t="e">
        <f>IF(OR(#REF!&gt;2,#REF!&lt;-2),"",#REF!)</f>
        <v>#REF!</v>
      </c>
      <c r="NJ17" s="7" t="e">
        <f>IF(OR(#REF!&gt;2,#REF!&lt;-2),"",#REF!)</f>
        <v>#REF!</v>
      </c>
      <c r="NK17" s="7" t="e">
        <f>IF(OR(#REF!&gt;2,#REF!&lt;-2),"",#REF!)</f>
        <v>#REF!</v>
      </c>
      <c r="NL17" s="7" t="e">
        <f>IF(OR(#REF!&gt;2,#REF!&lt;-2),"",#REF!)</f>
        <v>#REF!</v>
      </c>
      <c r="NM17" s="7" t="e">
        <f>IF(OR(#REF!&gt;2,#REF!&lt;-2),"",#REF!)</f>
        <v>#REF!</v>
      </c>
      <c r="NN17" s="7" t="e">
        <f>IF(OR(#REF!&gt;2,#REF!&lt;-2),"",#REF!)</f>
        <v>#REF!</v>
      </c>
      <c r="NO17" s="7" t="e">
        <f>IF(OR(#REF!&gt;2,#REF!&lt;-2),"",#REF!)</f>
        <v>#REF!</v>
      </c>
      <c r="NP17" s="7" t="e">
        <f>IF(OR(#REF!&gt;2,#REF!&lt;-2),"",#REF!)</f>
        <v>#REF!</v>
      </c>
      <c r="NQ17" s="7" t="e">
        <f>IF(OR(#REF!&gt;2,#REF!&lt;-2),"",#REF!)</f>
        <v>#REF!</v>
      </c>
      <c r="NR17" s="7" t="e">
        <f>IF(OR(#REF!&gt;2,#REF!&lt;-2),"",#REF!)</f>
        <v>#REF!</v>
      </c>
      <c r="NS17" s="7" t="e">
        <f>IF(OR(#REF!&gt;2,#REF!&lt;-2),"",#REF!)</f>
        <v>#REF!</v>
      </c>
      <c r="NT17" s="7" t="e">
        <f>IF(OR(#REF!&gt;2,#REF!&lt;-2),"",#REF!)</f>
        <v>#REF!</v>
      </c>
      <c r="NU17" s="7" t="e">
        <f>IF(OR(#REF!&gt;2,#REF!&lt;-2),"",#REF!)</f>
        <v>#REF!</v>
      </c>
      <c r="NV17" s="7" t="e">
        <f>IF(OR(#REF!&gt;2,#REF!&lt;-2),"",#REF!)</f>
        <v>#REF!</v>
      </c>
      <c r="NW17" s="7" t="e">
        <f>IF(OR(#REF!&gt;2,#REF!&lt;-2),"",#REF!)</f>
        <v>#REF!</v>
      </c>
      <c r="NX17" s="7" t="e">
        <f>IF(OR(#REF!&gt;2,#REF!&lt;-2),"",#REF!)</f>
        <v>#REF!</v>
      </c>
      <c r="NY17" s="7" t="e">
        <f>IF(OR(#REF!&gt;2,#REF!&lt;-2),"",#REF!)</f>
        <v>#REF!</v>
      </c>
      <c r="NZ17" s="7" t="e">
        <f>IF(OR(#REF!&gt;2,#REF!&lt;-2),"",#REF!)</f>
        <v>#REF!</v>
      </c>
      <c r="OA17" s="7" t="e">
        <f>IF(OR(#REF!&gt;2,#REF!&lt;-2),"",#REF!)</f>
        <v>#REF!</v>
      </c>
      <c r="OB17" s="7" t="e">
        <f>IF(OR(#REF!&gt;2,#REF!&lt;-2),"",#REF!)</f>
        <v>#REF!</v>
      </c>
      <c r="OC17" s="7" t="e">
        <f>IF(OR(#REF!&gt;2,#REF!&lt;-2),"",#REF!)</f>
        <v>#REF!</v>
      </c>
      <c r="OD17" s="7" t="e">
        <f>IF(OR(#REF!&gt;2,#REF!&lt;-2),"",#REF!)</f>
        <v>#REF!</v>
      </c>
      <c r="OE17" s="7" t="e">
        <f>IF(OR(#REF!&gt;2,#REF!&lt;-2),"",#REF!)</f>
        <v>#REF!</v>
      </c>
      <c r="OF17" s="7" t="e">
        <f>IF(OR(#REF!&gt;2,#REF!&lt;-2),"",#REF!)</f>
        <v>#REF!</v>
      </c>
      <c r="OG17" s="7" t="e">
        <f>IF(OR(#REF!&gt;2,#REF!&lt;-2),"",#REF!)</f>
        <v>#REF!</v>
      </c>
      <c r="OH17" s="7" t="e">
        <f>IF(OR(#REF!&gt;2,#REF!&lt;-2),"",#REF!)</f>
        <v>#REF!</v>
      </c>
      <c r="OI17" s="7" t="e">
        <f>IF(OR(#REF!&gt;2,#REF!&lt;-2),"",#REF!)</f>
        <v>#REF!</v>
      </c>
      <c r="OJ17" s="7" t="e">
        <f>IF(OR(#REF!&gt;2,#REF!&lt;-2),"",#REF!)</f>
        <v>#REF!</v>
      </c>
      <c r="OK17" s="7" t="e">
        <f>IF(OR(#REF!&gt;2,#REF!&lt;-2),"",#REF!)</f>
        <v>#REF!</v>
      </c>
      <c r="OL17" s="7" t="e">
        <f>IF(OR(#REF!&gt;2,#REF!&lt;-2),"",#REF!)</f>
        <v>#REF!</v>
      </c>
      <c r="OM17" s="7" t="e">
        <f>IF(OR(#REF!&gt;2,#REF!&lt;-2),"",#REF!)</f>
        <v>#REF!</v>
      </c>
      <c r="ON17" s="7" t="e">
        <f>IF(OR(#REF!&gt;2,#REF!&lt;-2),"",#REF!)</f>
        <v>#REF!</v>
      </c>
      <c r="OO17" s="7" t="e">
        <f>IF(OR(#REF!&gt;2,#REF!&lt;-2),"",#REF!)</f>
        <v>#REF!</v>
      </c>
      <c r="OP17" s="7" t="e">
        <f>IF(OR(#REF!&gt;2,#REF!&lt;-2),"",#REF!)</f>
        <v>#REF!</v>
      </c>
      <c r="OQ17" s="7" t="e">
        <f>IF(OR(#REF!&gt;2,#REF!&lt;-2),"",#REF!)</f>
        <v>#REF!</v>
      </c>
      <c r="OR17" s="7" t="e">
        <f>IF(OR(#REF!&gt;2,#REF!&lt;-2),"",#REF!)</f>
        <v>#REF!</v>
      </c>
      <c r="OS17" s="7" t="e">
        <f>IF(OR(#REF!&gt;2,#REF!&lt;-2),"",#REF!)</f>
        <v>#REF!</v>
      </c>
      <c r="OT17" s="7" t="e">
        <f>IF(OR(#REF!&gt;2,#REF!&lt;-2),"",#REF!)</f>
        <v>#REF!</v>
      </c>
      <c r="OU17" s="7" t="e">
        <f>IF(OR(#REF!&gt;2,#REF!&lt;-2),"",#REF!)</f>
        <v>#REF!</v>
      </c>
      <c r="OV17" s="7" t="e">
        <f>IF(OR(#REF!&gt;2,#REF!&lt;-2),"",#REF!)</f>
        <v>#REF!</v>
      </c>
      <c r="OW17" s="7" t="e">
        <f>IF(OR(#REF!&gt;2,#REF!&lt;-2),"",#REF!)</f>
        <v>#REF!</v>
      </c>
      <c r="OX17" s="7" t="e">
        <f>IF(OR(#REF!&gt;2,#REF!&lt;-2),"",#REF!)</f>
        <v>#REF!</v>
      </c>
      <c r="OY17" s="7" t="e">
        <f>IF(OR(#REF!&gt;2,#REF!&lt;-2),"",#REF!)</f>
        <v>#REF!</v>
      </c>
      <c r="OZ17" s="7" t="e">
        <f>IF(OR(#REF!&gt;2,#REF!&lt;-2),"",#REF!)</f>
        <v>#REF!</v>
      </c>
      <c r="PA17" s="7" t="e">
        <f>IF(OR(#REF!&gt;2,#REF!&lt;-2),"",#REF!)</f>
        <v>#REF!</v>
      </c>
      <c r="PB17" s="7" t="e">
        <f>IF(OR(#REF!&gt;2,#REF!&lt;-2),"",#REF!)</f>
        <v>#REF!</v>
      </c>
      <c r="PC17" s="7" t="e">
        <f>IF(OR(#REF!&gt;2,#REF!&lt;-2),"",#REF!)</f>
        <v>#REF!</v>
      </c>
      <c r="PD17" s="7" t="e">
        <f>IF(OR(#REF!&gt;2,#REF!&lt;-2),"",#REF!)</f>
        <v>#REF!</v>
      </c>
      <c r="PE17" s="7" t="e">
        <f>IF(OR(#REF!&gt;2,#REF!&lt;-2),"",#REF!)</f>
        <v>#REF!</v>
      </c>
      <c r="PF17" s="7" t="e">
        <f>IF(OR(#REF!&gt;2,#REF!&lt;-2),"",#REF!)</f>
        <v>#REF!</v>
      </c>
      <c r="PG17" s="7" t="e">
        <f>IF(OR(#REF!&gt;2,#REF!&lt;-2),"",#REF!)</f>
        <v>#REF!</v>
      </c>
      <c r="PH17" s="7" t="e">
        <f>IF(OR(#REF!&gt;2,#REF!&lt;-2),"",#REF!)</f>
        <v>#REF!</v>
      </c>
      <c r="PI17" s="7" t="e">
        <f>IF(OR(#REF!&gt;2,#REF!&lt;-2),"",#REF!)</f>
        <v>#REF!</v>
      </c>
      <c r="PJ17" s="7" t="e">
        <f>IF(OR(#REF!&gt;2,#REF!&lt;-2),"",#REF!)</f>
        <v>#REF!</v>
      </c>
      <c r="PK17" s="7" t="e">
        <f>IF(OR(#REF!&gt;2,#REF!&lt;-2),"",#REF!)</f>
        <v>#REF!</v>
      </c>
      <c r="PL17" s="7" t="e">
        <f>IF(OR(#REF!&gt;2,#REF!&lt;-2),"",#REF!)</f>
        <v>#REF!</v>
      </c>
      <c r="PM17" s="7" t="e">
        <f>IF(OR(#REF!&gt;2,#REF!&lt;-2),"",#REF!)</f>
        <v>#REF!</v>
      </c>
      <c r="PN17" s="7" t="e">
        <f>IF(OR(#REF!&gt;2,#REF!&lt;-2),"",#REF!)</f>
        <v>#REF!</v>
      </c>
      <c r="PO17" s="7" t="e">
        <f>IF(OR(#REF!&gt;2,#REF!&lt;-2),"",#REF!)</f>
        <v>#REF!</v>
      </c>
      <c r="PP17" s="7" t="e">
        <f>IF(OR(#REF!&gt;2,#REF!&lt;-2),"",#REF!)</f>
        <v>#REF!</v>
      </c>
      <c r="PQ17" s="7" t="e">
        <f>IF(OR(#REF!&gt;2,#REF!&lt;-2),"",#REF!)</f>
        <v>#REF!</v>
      </c>
      <c r="PR17" s="7" t="e">
        <f>IF(OR(#REF!&gt;2,#REF!&lt;-2),"",#REF!)</f>
        <v>#REF!</v>
      </c>
      <c r="PS17" s="7" t="e">
        <f>IF(OR(#REF!&gt;2,#REF!&lt;-2),"",#REF!)</f>
        <v>#REF!</v>
      </c>
      <c r="PT17" s="7" t="e">
        <f>IF(OR(#REF!&gt;2,#REF!&lt;-2),"",#REF!)</f>
        <v>#REF!</v>
      </c>
      <c r="PU17" s="7" t="e">
        <f>IF(OR(#REF!&gt;2,#REF!&lt;-2),"",#REF!)</f>
        <v>#REF!</v>
      </c>
      <c r="PV17" s="7" t="e">
        <f>IF(OR(#REF!&gt;2,#REF!&lt;-2),"",#REF!)</f>
        <v>#REF!</v>
      </c>
      <c r="PW17" s="7" t="e">
        <f>IF(OR(#REF!&gt;2,#REF!&lt;-2),"",#REF!)</f>
        <v>#REF!</v>
      </c>
      <c r="PX17" s="7" t="e">
        <f>IF(OR(#REF!&gt;2,#REF!&lt;-2),"",#REF!)</f>
        <v>#REF!</v>
      </c>
      <c r="PY17" s="7" t="e">
        <f>IF(OR(#REF!&gt;2,#REF!&lt;-2),"",#REF!)</f>
        <v>#REF!</v>
      </c>
      <c r="PZ17" s="7" t="e">
        <f>IF(OR(#REF!&gt;2,#REF!&lt;-2),"",#REF!)</f>
        <v>#REF!</v>
      </c>
      <c r="QA17" s="7" t="e">
        <f>IF(OR(#REF!&gt;2,#REF!&lt;-2),"",#REF!)</f>
        <v>#REF!</v>
      </c>
      <c r="QB17" s="7" t="e">
        <f>IF(OR(#REF!&gt;2,#REF!&lt;-2),"",#REF!)</f>
        <v>#REF!</v>
      </c>
      <c r="QC17" s="7" t="e">
        <f>IF(OR(#REF!&gt;2,#REF!&lt;-2),"",#REF!)</f>
        <v>#REF!</v>
      </c>
      <c r="QD17" s="7" t="e">
        <f>IF(OR(#REF!&gt;2,#REF!&lt;-2),"",#REF!)</f>
        <v>#REF!</v>
      </c>
      <c r="QE17" s="7" t="e">
        <f>IF(OR(#REF!&gt;2,#REF!&lt;-2),"",#REF!)</f>
        <v>#REF!</v>
      </c>
      <c r="QF17" s="7" t="e">
        <f>IF(OR(#REF!&gt;2,#REF!&lt;-2),"",#REF!)</f>
        <v>#REF!</v>
      </c>
      <c r="QG17" s="7" t="e">
        <f>IF(OR(#REF!&gt;2,#REF!&lt;-2),"",#REF!)</f>
        <v>#REF!</v>
      </c>
      <c r="QH17" s="7" t="e">
        <f>IF(OR(#REF!&gt;2,#REF!&lt;-2),"",#REF!)</f>
        <v>#REF!</v>
      </c>
      <c r="QI17" s="7" t="e">
        <f>IF(OR(#REF!&gt;2,#REF!&lt;-2),"",#REF!)</f>
        <v>#REF!</v>
      </c>
      <c r="QJ17" s="7" t="e">
        <f>IF(OR(#REF!&gt;2,#REF!&lt;-2),"",#REF!)</f>
        <v>#REF!</v>
      </c>
      <c r="QK17" s="7" t="e">
        <f>IF(OR(#REF!&gt;2,#REF!&lt;-2),"",#REF!)</f>
        <v>#REF!</v>
      </c>
      <c r="QL17" s="7" t="e">
        <f>IF(OR(#REF!&gt;2,#REF!&lt;-2),"",#REF!)</f>
        <v>#REF!</v>
      </c>
      <c r="QM17" s="7" t="e">
        <f>IF(OR(#REF!&gt;2,#REF!&lt;-2),"",#REF!)</f>
        <v>#REF!</v>
      </c>
      <c r="QN17" s="7" t="e">
        <f>IF(OR(#REF!&gt;2,#REF!&lt;-2),"",#REF!)</f>
        <v>#REF!</v>
      </c>
      <c r="QO17" s="7" t="e">
        <f>IF(OR(#REF!&gt;2,#REF!&lt;-2),"",#REF!)</f>
        <v>#REF!</v>
      </c>
      <c r="QP17" s="7" t="e">
        <f>IF(OR(#REF!&gt;2,#REF!&lt;-2),"",#REF!)</f>
        <v>#REF!</v>
      </c>
      <c r="QQ17" s="7" t="e">
        <f>IF(OR(#REF!&gt;2,#REF!&lt;-2),"",#REF!)</f>
        <v>#REF!</v>
      </c>
      <c r="QR17" s="7" t="e">
        <f>IF(OR(#REF!&gt;2,#REF!&lt;-2),"",#REF!)</f>
        <v>#REF!</v>
      </c>
      <c r="QS17" s="7" t="e">
        <f>IF(OR(#REF!&gt;2,#REF!&lt;-2),"",#REF!)</f>
        <v>#REF!</v>
      </c>
      <c r="QT17" s="7" t="e">
        <f>IF(OR(#REF!&gt;2,#REF!&lt;-2),"",#REF!)</f>
        <v>#REF!</v>
      </c>
      <c r="QU17" s="7" t="e">
        <f>IF(OR(#REF!&gt;2,#REF!&lt;-2),"",#REF!)</f>
        <v>#REF!</v>
      </c>
      <c r="QV17" s="7" t="e">
        <f>IF(OR(#REF!&gt;2,#REF!&lt;-2),"",#REF!)</f>
        <v>#REF!</v>
      </c>
      <c r="QW17" s="7" t="e">
        <f>IF(OR(#REF!&gt;2,#REF!&lt;-2),"",#REF!)</f>
        <v>#REF!</v>
      </c>
      <c r="QX17" s="7" t="e">
        <f>IF(OR(#REF!&gt;2,#REF!&lt;-2),"",#REF!)</f>
        <v>#REF!</v>
      </c>
      <c r="QY17" s="7" t="e">
        <f>IF(OR(#REF!&gt;2,#REF!&lt;-2),"",#REF!)</f>
        <v>#REF!</v>
      </c>
      <c r="QZ17" s="7" t="e">
        <f>IF(OR(#REF!&gt;2,#REF!&lt;-2),"",#REF!)</f>
        <v>#REF!</v>
      </c>
      <c r="RA17" s="7" t="e">
        <f>IF(OR(#REF!&gt;2,#REF!&lt;-2),"",#REF!)</f>
        <v>#REF!</v>
      </c>
      <c r="RB17" s="7" t="e">
        <f>IF(OR(#REF!&gt;2,#REF!&lt;-2),"",#REF!)</f>
        <v>#REF!</v>
      </c>
      <c r="RC17" s="7" t="e">
        <f>IF(OR(#REF!&gt;2,#REF!&lt;-2),"",#REF!)</f>
        <v>#REF!</v>
      </c>
      <c r="RD17" s="7" t="e">
        <f>IF(OR(#REF!&gt;2,#REF!&lt;-2),"",#REF!)</f>
        <v>#REF!</v>
      </c>
      <c r="RE17" s="7" t="e">
        <f>IF(OR(#REF!&gt;2,#REF!&lt;-2),"",#REF!)</f>
        <v>#REF!</v>
      </c>
      <c r="RF17" s="7" t="e">
        <f>IF(OR(#REF!&gt;2,#REF!&lt;-2),"",#REF!)</f>
        <v>#REF!</v>
      </c>
      <c r="RG17" s="7" t="e">
        <f>IF(OR(#REF!&gt;2,#REF!&lt;-2),"",#REF!)</f>
        <v>#REF!</v>
      </c>
      <c r="RH17" s="7" t="e">
        <f>IF(OR(#REF!&gt;2,#REF!&lt;-2),"",#REF!)</f>
        <v>#REF!</v>
      </c>
      <c r="RI17" s="7" t="e">
        <f>IF(OR(#REF!&gt;2,#REF!&lt;-2),"",#REF!)</f>
        <v>#REF!</v>
      </c>
      <c r="RJ17" s="7" t="e">
        <f>IF(OR(#REF!&gt;2,#REF!&lt;-2),"",#REF!)</f>
        <v>#REF!</v>
      </c>
      <c r="RK17" s="7" t="e">
        <f>IF(OR(#REF!&gt;2,#REF!&lt;-2),"",#REF!)</f>
        <v>#REF!</v>
      </c>
      <c r="RL17" s="7" t="e">
        <f>IF(OR(#REF!&gt;2,#REF!&lt;-2),"",#REF!)</f>
        <v>#REF!</v>
      </c>
      <c r="RM17" s="7" t="e">
        <f>IF(OR(#REF!&gt;2,#REF!&lt;-2),"",#REF!)</f>
        <v>#REF!</v>
      </c>
      <c r="RN17" s="7" t="e">
        <f>IF(OR(#REF!&gt;2,#REF!&lt;-2),"",#REF!)</f>
        <v>#REF!</v>
      </c>
      <c r="RO17" s="7" t="e">
        <f>IF(OR(#REF!&gt;2,#REF!&lt;-2),"",#REF!)</f>
        <v>#REF!</v>
      </c>
      <c r="RP17" s="7" t="e">
        <f>IF(OR(#REF!&gt;2,#REF!&lt;-2),"",#REF!)</f>
        <v>#REF!</v>
      </c>
      <c r="RQ17" s="7" t="e">
        <f>IF(OR(#REF!&gt;2,#REF!&lt;-2),"",#REF!)</f>
        <v>#REF!</v>
      </c>
      <c r="RR17" s="7" t="e">
        <f>IF(OR(#REF!&gt;2,#REF!&lt;-2),"",#REF!)</f>
        <v>#REF!</v>
      </c>
      <c r="RS17" s="7" t="e">
        <f>IF(OR(#REF!&gt;2,#REF!&lt;-2),"",#REF!)</f>
        <v>#REF!</v>
      </c>
      <c r="RT17" s="7" t="e">
        <f>IF(OR(#REF!&gt;2,#REF!&lt;-2),"",#REF!)</f>
        <v>#REF!</v>
      </c>
      <c r="RU17" s="7" t="e">
        <f>IF(OR(#REF!&gt;2,#REF!&lt;-2),"",#REF!)</f>
        <v>#REF!</v>
      </c>
      <c r="RV17" s="7" t="e">
        <f>IF(OR(#REF!&gt;2,#REF!&lt;-2),"",#REF!)</f>
        <v>#REF!</v>
      </c>
      <c r="RW17" s="7" t="e">
        <f>IF(OR(#REF!&gt;2,#REF!&lt;-2),"",#REF!)</f>
        <v>#REF!</v>
      </c>
      <c r="RX17" s="7" t="e">
        <f>IF(OR(#REF!&gt;2,#REF!&lt;-2),"",#REF!)</f>
        <v>#REF!</v>
      </c>
      <c r="RY17" s="7" t="e">
        <f>IF(OR(#REF!&gt;2,#REF!&lt;-2),"",#REF!)</f>
        <v>#REF!</v>
      </c>
      <c r="RZ17" s="7" t="e">
        <f>IF(OR(#REF!&gt;2,#REF!&lt;-2),"",#REF!)</f>
        <v>#REF!</v>
      </c>
      <c r="SA17" s="7" t="e">
        <f>IF(OR(#REF!&gt;2,#REF!&lt;-2),"",#REF!)</f>
        <v>#REF!</v>
      </c>
      <c r="SB17" s="7" t="e">
        <f>IF(OR(#REF!&gt;2,#REF!&lt;-2),"",#REF!)</f>
        <v>#REF!</v>
      </c>
      <c r="SC17" s="7" t="e">
        <f>IF(OR(#REF!&gt;2,#REF!&lt;-2),"",#REF!)</f>
        <v>#REF!</v>
      </c>
      <c r="SD17" s="7" t="e">
        <f>IF(OR(#REF!&gt;2,#REF!&lt;-2),"",#REF!)</f>
        <v>#REF!</v>
      </c>
      <c r="SE17" s="7" t="e">
        <f>IF(OR(#REF!&gt;2,#REF!&lt;-2),"",#REF!)</f>
        <v>#REF!</v>
      </c>
      <c r="SF17" s="7" t="e">
        <f>IF(OR(#REF!&gt;2,#REF!&lt;-2),"",#REF!)</f>
        <v>#REF!</v>
      </c>
      <c r="SG17" s="7" t="e">
        <f>IF(OR(#REF!&gt;2,#REF!&lt;-2),"",#REF!)</f>
        <v>#REF!</v>
      </c>
      <c r="SH17" s="7" t="e">
        <f>IF(OR(#REF!&gt;2,#REF!&lt;-2),"",#REF!)</f>
        <v>#REF!</v>
      </c>
      <c r="SI17" s="7" t="e">
        <f>IF(OR(#REF!&gt;2,#REF!&lt;-2),"",#REF!)</f>
        <v>#REF!</v>
      </c>
      <c r="SJ17" s="7" t="e">
        <f>IF(OR(#REF!&gt;2,#REF!&lt;-2),"",#REF!)</f>
        <v>#REF!</v>
      </c>
      <c r="SK17" s="7" t="e">
        <f>IF(OR(#REF!&gt;2,#REF!&lt;-2),"",#REF!)</f>
        <v>#REF!</v>
      </c>
      <c r="SL17" s="7" t="e">
        <f>IF(OR(#REF!&gt;2,#REF!&lt;-2),"",#REF!)</f>
        <v>#REF!</v>
      </c>
      <c r="SM17" s="7" t="e">
        <f>IF(OR(#REF!&gt;2,#REF!&lt;-2),"",#REF!)</f>
        <v>#REF!</v>
      </c>
      <c r="SN17" s="7" t="e">
        <f>IF(OR(#REF!&gt;2,#REF!&lt;-2),"",#REF!)</f>
        <v>#REF!</v>
      </c>
      <c r="SO17" s="7" t="e">
        <f>IF(OR(#REF!&gt;2,#REF!&lt;-2),"",#REF!)</f>
        <v>#REF!</v>
      </c>
      <c r="SP17" s="7" t="e">
        <f>IF(OR(#REF!&gt;2,#REF!&lt;-2),"",#REF!)</f>
        <v>#REF!</v>
      </c>
      <c r="SQ17" s="7" t="e">
        <f>IF(OR(#REF!&gt;2,#REF!&lt;-2),"",#REF!)</f>
        <v>#REF!</v>
      </c>
      <c r="SR17" s="7" t="e">
        <f>IF(OR(#REF!&gt;2,#REF!&lt;-2),"",#REF!)</f>
        <v>#REF!</v>
      </c>
      <c r="SS17" s="7" t="e">
        <f>IF(OR(#REF!&gt;2,#REF!&lt;-2),"",#REF!)</f>
        <v>#REF!</v>
      </c>
      <c r="ST17" s="7" t="e">
        <f>IF(OR(#REF!&gt;2,#REF!&lt;-2),"",#REF!)</f>
        <v>#REF!</v>
      </c>
      <c r="SU17" s="7" t="e">
        <f>IF(OR(#REF!&gt;2,#REF!&lt;-2),"",#REF!)</f>
        <v>#REF!</v>
      </c>
      <c r="SV17" s="7" t="e">
        <f>IF(OR(#REF!&gt;2,#REF!&lt;-2),"",#REF!)</f>
        <v>#REF!</v>
      </c>
      <c r="SW17" s="7" t="e">
        <f>IF(OR(#REF!&gt;2,#REF!&lt;-2),"",#REF!)</f>
        <v>#REF!</v>
      </c>
      <c r="SX17" s="7" t="e">
        <f>IF(OR(#REF!&gt;2,#REF!&lt;-2),"",#REF!)</f>
        <v>#REF!</v>
      </c>
      <c r="SY17" s="7" t="e">
        <f>IF(OR(#REF!&gt;2,#REF!&lt;-2),"",#REF!)</f>
        <v>#REF!</v>
      </c>
      <c r="SZ17" s="7" t="e">
        <f>IF(OR(#REF!&gt;2,#REF!&lt;-2),"",#REF!)</f>
        <v>#REF!</v>
      </c>
      <c r="TA17" s="7" t="e">
        <f>IF(OR(#REF!&gt;2,#REF!&lt;-2),"",#REF!)</f>
        <v>#REF!</v>
      </c>
      <c r="TB17" s="7" t="e">
        <f>IF(OR(#REF!&gt;2,#REF!&lt;-2),"",#REF!)</f>
        <v>#REF!</v>
      </c>
      <c r="TC17" s="7" t="e">
        <f>IF(OR(#REF!&gt;2,#REF!&lt;-2),"",#REF!)</f>
        <v>#REF!</v>
      </c>
      <c r="TD17" s="7" t="e">
        <f>IF(OR(#REF!&gt;2,#REF!&lt;-2),"",#REF!)</f>
        <v>#REF!</v>
      </c>
      <c r="TE17" s="7" t="e">
        <f>IF(OR(#REF!&gt;2,#REF!&lt;-2),"",#REF!)</f>
        <v>#REF!</v>
      </c>
      <c r="TF17" s="7" t="e">
        <f>IF(OR(#REF!&gt;2,#REF!&lt;-2),"",#REF!)</f>
        <v>#REF!</v>
      </c>
      <c r="TG17" s="7" t="e">
        <f>IF(OR(#REF!&gt;2,#REF!&lt;-2),"",#REF!)</f>
        <v>#REF!</v>
      </c>
      <c r="TH17" s="7" t="e">
        <f>IF(OR(#REF!&gt;2,#REF!&lt;-2),"",#REF!)</f>
        <v>#REF!</v>
      </c>
      <c r="TI17" s="7" t="e">
        <f>IF(OR(#REF!&gt;2,#REF!&lt;-2),"",#REF!)</f>
        <v>#REF!</v>
      </c>
      <c r="TJ17" s="7" t="e">
        <f>IF(OR(#REF!&gt;2,#REF!&lt;-2),"",#REF!)</f>
        <v>#REF!</v>
      </c>
      <c r="TK17" s="7" t="e">
        <f>IF(OR(#REF!&gt;2,#REF!&lt;-2),"",#REF!)</f>
        <v>#REF!</v>
      </c>
      <c r="TL17" s="7" t="e">
        <f>IF(OR(#REF!&gt;2,#REF!&lt;-2),"",#REF!)</f>
        <v>#REF!</v>
      </c>
      <c r="TM17" s="7" t="e">
        <f>IF(OR(#REF!&gt;2,#REF!&lt;-2),"",#REF!)</f>
        <v>#REF!</v>
      </c>
      <c r="TN17" s="7" t="e">
        <f>IF(OR(#REF!&gt;2,#REF!&lt;-2),"",#REF!)</f>
        <v>#REF!</v>
      </c>
      <c r="TO17" s="7" t="e">
        <f>IF(OR(#REF!&gt;2,#REF!&lt;-2),"",#REF!)</f>
        <v>#REF!</v>
      </c>
      <c r="TP17" s="7" t="e">
        <f>IF(OR(#REF!&gt;2,#REF!&lt;-2),"",#REF!)</f>
        <v>#REF!</v>
      </c>
      <c r="TQ17" s="7" t="e">
        <f>IF(OR(#REF!&gt;2,#REF!&lt;-2),"",#REF!)</f>
        <v>#REF!</v>
      </c>
      <c r="TR17" s="7" t="e">
        <f>IF(OR(#REF!&gt;2,#REF!&lt;-2),"",#REF!)</f>
        <v>#REF!</v>
      </c>
      <c r="TS17" s="7" t="e">
        <f>IF(OR(#REF!&gt;2,#REF!&lt;-2),"",#REF!)</f>
        <v>#REF!</v>
      </c>
      <c r="TT17" s="7" t="e">
        <f>IF(OR(#REF!&gt;2,#REF!&lt;-2),"",#REF!)</f>
        <v>#REF!</v>
      </c>
      <c r="TU17" s="7" t="e">
        <f>IF(OR(#REF!&gt;2,#REF!&lt;-2),"",#REF!)</f>
        <v>#REF!</v>
      </c>
      <c r="TV17" s="7" t="e">
        <f>IF(OR(#REF!&gt;2,#REF!&lt;-2),"",#REF!)</f>
        <v>#REF!</v>
      </c>
      <c r="TW17" s="7" t="e">
        <f>IF(OR(#REF!&gt;2,#REF!&lt;-2),"",#REF!)</f>
        <v>#REF!</v>
      </c>
      <c r="TX17" s="7" t="e">
        <f>IF(OR(#REF!&gt;2,#REF!&lt;-2),"",#REF!)</f>
        <v>#REF!</v>
      </c>
      <c r="TY17" s="7" t="e">
        <f>IF(OR(#REF!&gt;2,#REF!&lt;-2),"",#REF!)</f>
        <v>#REF!</v>
      </c>
      <c r="TZ17" s="7" t="e">
        <f>IF(OR(#REF!&gt;2,#REF!&lt;-2),"",#REF!)</f>
        <v>#REF!</v>
      </c>
      <c r="UA17" s="7" t="e">
        <f>IF(OR(#REF!&gt;2,#REF!&lt;-2),"",#REF!)</f>
        <v>#REF!</v>
      </c>
      <c r="UB17" s="7" t="e">
        <f>IF(OR(#REF!&gt;2,#REF!&lt;-2),"",#REF!)</f>
        <v>#REF!</v>
      </c>
      <c r="UC17" s="7" t="e">
        <f>IF(OR(#REF!&gt;2,#REF!&lt;-2),"",#REF!)</f>
        <v>#REF!</v>
      </c>
      <c r="UD17" s="7" t="e">
        <f>IF(OR(#REF!&gt;2,#REF!&lt;-2),"",#REF!)</f>
        <v>#REF!</v>
      </c>
      <c r="UE17" s="7" t="e">
        <f>IF(OR(#REF!&gt;2,#REF!&lt;-2),"",#REF!)</f>
        <v>#REF!</v>
      </c>
      <c r="UF17" s="7" t="e">
        <f>IF(OR(#REF!&gt;2,#REF!&lt;-2),"",#REF!)</f>
        <v>#REF!</v>
      </c>
      <c r="UG17" s="7" t="e">
        <f>IF(OR(#REF!&gt;2,#REF!&lt;-2),"",#REF!)</f>
        <v>#REF!</v>
      </c>
      <c r="UH17" s="7" t="e">
        <f>IF(OR(#REF!&gt;2,#REF!&lt;-2),"",#REF!)</f>
        <v>#REF!</v>
      </c>
      <c r="UI17" s="7" t="e">
        <f>IF(OR(#REF!&gt;2,#REF!&lt;-2),"",#REF!)</f>
        <v>#REF!</v>
      </c>
      <c r="UJ17" s="7" t="e">
        <f>IF(OR(#REF!&gt;2,#REF!&lt;-2),"",#REF!)</f>
        <v>#REF!</v>
      </c>
      <c r="UK17" s="7" t="e">
        <f>IF(OR(#REF!&gt;2,#REF!&lt;-2),"",#REF!)</f>
        <v>#REF!</v>
      </c>
      <c r="UL17" s="7" t="e">
        <f>IF(OR(#REF!&gt;2,#REF!&lt;-2),"",#REF!)</f>
        <v>#REF!</v>
      </c>
      <c r="UM17" s="7" t="e">
        <f>IF(OR(#REF!&gt;2,#REF!&lt;-2),"",#REF!)</f>
        <v>#REF!</v>
      </c>
      <c r="UN17" s="7" t="e">
        <f>IF(OR(#REF!&gt;2,#REF!&lt;-2),"",#REF!)</f>
        <v>#REF!</v>
      </c>
      <c r="UO17" s="7" t="e">
        <f>IF(OR(#REF!&gt;2,#REF!&lt;-2),"",#REF!)</f>
        <v>#REF!</v>
      </c>
      <c r="UP17" s="7" t="e">
        <f>IF(OR(#REF!&gt;2,#REF!&lt;-2),"",#REF!)</f>
        <v>#REF!</v>
      </c>
    </row>
    <row r="18" spans="1:562" x14ac:dyDescent="0.35">
      <c r="A18">
        <v>180</v>
      </c>
      <c r="B18">
        <v>1</v>
      </c>
      <c r="C18" s="7" t="e">
        <f>IF(OR(#REF!&gt;2,#REF!&lt;-2),"",#REF!)</f>
        <v>#REF!</v>
      </c>
      <c r="D18" s="7" t="e">
        <f>IF(OR(#REF!&gt;2,#REF!&lt;-2),"",#REF!)</f>
        <v>#REF!</v>
      </c>
      <c r="E18" s="7" t="e">
        <f>IF(OR(#REF!&gt;2,#REF!&lt;-2),"",#REF!)</f>
        <v>#REF!</v>
      </c>
      <c r="F18" s="7" t="e">
        <f>IF(OR(#REF!&gt;2,#REF!&lt;-2),"",#REF!)</f>
        <v>#REF!</v>
      </c>
      <c r="G18" s="7" t="e">
        <f>IF(OR(#REF!&gt;2,#REF!&lt;-2),"",#REF!)</f>
        <v>#REF!</v>
      </c>
      <c r="H18" s="7" t="e">
        <f>IF(OR(#REF!&gt;2,#REF!&lt;-2),"",#REF!)</f>
        <v>#REF!</v>
      </c>
      <c r="I18" s="7" t="e">
        <f>IF(OR(#REF!&gt;2,#REF!&lt;-2),"",#REF!)</f>
        <v>#REF!</v>
      </c>
      <c r="J18" s="7" t="e">
        <f>IF(OR(#REF!&gt;2,#REF!&lt;-2),"",#REF!)</f>
        <v>#REF!</v>
      </c>
      <c r="K18" s="7" t="e">
        <f>IF(OR(#REF!&gt;2,#REF!&lt;-2),"",#REF!)</f>
        <v>#REF!</v>
      </c>
      <c r="L18" s="7" t="e">
        <f>IF(OR(#REF!&gt;2,#REF!&lt;-2),"",#REF!)</f>
        <v>#REF!</v>
      </c>
      <c r="M18" s="7" t="e">
        <f>IF(OR(#REF!&gt;2,#REF!&lt;-2),"",#REF!)</f>
        <v>#REF!</v>
      </c>
      <c r="N18" s="7" t="e">
        <f>IF(OR(#REF!&gt;2,#REF!&lt;-2),"",#REF!)</f>
        <v>#REF!</v>
      </c>
      <c r="O18" s="7" t="e">
        <f>IF(OR(#REF!&gt;2,#REF!&lt;-2),"",#REF!)</f>
        <v>#REF!</v>
      </c>
      <c r="P18" s="7" t="e">
        <f>IF(OR(#REF!&gt;2,#REF!&lt;-2),"",#REF!)</f>
        <v>#REF!</v>
      </c>
      <c r="Q18" s="7" t="e">
        <f>IF(OR(#REF!&gt;2,#REF!&lt;-2),"",#REF!)</f>
        <v>#REF!</v>
      </c>
      <c r="R18" s="7" t="e">
        <f>IF(OR(#REF!&gt;2,#REF!&lt;-2),"",#REF!)</f>
        <v>#REF!</v>
      </c>
      <c r="S18" s="7" t="e">
        <f>IF(OR(#REF!&gt;2,#REF!&lt;-2),"",#REF!)</f>
        <v>#REF!</v>
      </c>
      <c r="T18" s="7" t="e">
        <f>IF(OR(#REF!&gt;2,#REF!&lt;-2),"",#REF!)</f>
        <v>#REF!</v>
      </c>
      <c r="U18" s="7" t="e">
        <f>IF(OR(#REF!&gt;2,#REF!&lt;-2),"",#REF!)</f>
        <v>#REF!</v>
      </c>
      <c r="V18" s="7" t="e">
        <f>IF(OR(#REF!&gt;2,#REF!&lt;-2),"",#REF!)</f>
        <v>#REF!</v>
      </c>
      <c r="W18" s="7" t="e">
        <f>IF(OR(#REF!&gt;2,#REF!&lt;-2),"",#REF!)</f>
        <v>#REF!</v>
      </c>
      <c r="X18" s="7" t="e">
        <f>IF(OR(#REF!&gt;2,#REF!&lt;-2),"",#REF!)</f>
        <v>#REF!</v>
      </c>
      <c r="Y18" s="7" t="e">
        <f>IF(OR(#REF!&gt;2,#REF!&lt;-2),"",#REF!)</f>
        <v>#REF!</v>
      </c>
      <c r="Z18" s="7" t="e">
        <f>IF(OR(#REF!&gt;2,#REF!&lt;-2),"",#REF!)</f>
        <v>#REF!</v>
      </c>
      <c r="AA18" s="7" t="e">
        <f>IF(OR(#REF!&gt;2,#REF!&lt;-2),"",#REF!)</f>
        <v>#REF!</v>
      </c>
      <c r="AB18" s="7" t="e">
        <f>IF(OR(#REF!&gt;2,#REF!&lt;-2),"",#REF!)</f>
        <v>#REF!</v>
      </c>
      <c r="AC18" s="7" t="e">
        <f>IF(OR(#REF!&gt;2,#REF!&lt;-2),"",#REF!)</f>
        <v>#REF!</v>
      </c>
      <c r="AD18" s="7" t="e">
        <f>IF(OR(#REF!&gt;2,#REF!&lt;-2),"",#REF!)</f>
        <v>#REF!</v>
      </c>
      <c r="AE18" s="7" t="e">
        <f>IF(OR(#REF!&gt;2,#REF!&lt;-2),"",#REF!)</f>
        <v>#REF!</v>
      </c>
      <c r="AF18" s="7" t="e">
        <f>IF(OR(#REF!&gt;2,#REF!&lt;-2),"",#REF!)</f>
        <v>#REF!</v>
      </c>
      <c r="AG18" s="7" t="e">
        <f>IF(OR(#REF!&gt;2,#REF!&lt;-2),"",#REF!)</f>
        <v>#REF!</v>
      </c>
      <c r="AH18" s="7" t="e">
        <f>IF(OR(#REF!&gt;2,#REF!&lt;-2),"",#REF!)</f>
        <v>#REF!</v>
      </c>
      <c r="AI18" s="7" t="e">
        <f>IF(OR(#REF!&gt;2,#REF!&lt;-2),"",#REF!)</f>
        <v>#REF!</v>
      </c>
      <c r="AJ18" s="7" t="e">
        <f>IF(OR(#REF!&gt;2,#REF!&lt;-2),"",#REF!)</f>
        <v>#REF!</v>
      </c>
      <c r="AK18" s="7" t="e">
        <f>IF(OR(#REF!&gt;2,#REF!&lt;-2),"",#REF!)</f>
        <v>#REF!</v>
      </c>
      <c r="AL18" s="7" t="e">
        <f>IF(OR(#REF!&gt;2,#REF!&lt;-2),"",#REF!)</f>
        <v>#REF!</v>
      </c>
      <c r="AM18" s="7" t="e">
        <f>IF(OR(#REF!&gt;2,#REF!&lt;-2),"",#REF!)</f>
        <v>#REF!</v>
      </c>
      <c r="AN18" s="7" t="e">
        <f>IF(OR(#REF!&gt;2,#REF!&lt;-2),"",#REF!)</f>
        <v>#REF!</v>
      </c>
      <c r="AO18" s="7" t="e">
        <f>IF(OR(#REF!&gt;2,#REF!&lt;-2),"",#REF!)</f>
        <v>#REF!</v>
      </c>
      <c r="AP18" s="7" t="e">
        <f>IF(OR(#REF!&gt;2,#REF!&lt;-2),"",#REF!)</f>
        <v>#REF!</v>
      </c>
      <c r="AQ18" s="7" t="e">
        <f>IF(OR(#REF!&gt;2,#REF!&lt;-2),"",#REF!)</f>
        <v>#REF!</v>
      </c>
      <c r="AR18" s="7" t="e">
        <f>IF(OR(#REF!&gt;2,#REF!&lt;-2),"",#REF!)</f>
        <v>#REF!</v>
      </c>
      <c r="AS18" s="7" t="e">
        <f>IF(OR(#REF!&gt;2,#REF!&lt;-2),"",#REF!)</f>
        <v>#REF!</v>
      </c>
      <c r="AT18" s="7" t="e">
        <f>IF(OR(#REF!&gt;2,#REF!&lt;-2),"",#REF!)</f>
        <v>#REF!</v>
      </c>
      <c r="AU18" s="7" t="e">
        <f>IF(OR(#REF!&gt;2,#REF!&lt;-2),"",#REF!)</f>
        <v>#REF!</v>
      </c>
      <c r="AV18" s="7" t="e">
        <f>IF(OR(#REF!&gt;2,#REF!&lt;-2),"",#REF!)</f>
        <v>#REF!</v>
      </c>
      <c r="AW18" s="7" t="e">
        <f>IF(OR(#REF!&gt;2,#REF!&lt;-2),"",#REF!)</f>
        <v>#REF!</v>
      </c>
      <c r="AX18" s="7" t="e">
        <f>IF(OR(#REF!&gt;2,#REF!&lt;-2),"",#REF!)</f>
        <v>#REF!</v>
      </c>
      <c r="AY18" s="7" t="e">
        <f>IF(OR(#REF!&gt;2,#REF!&lt;-2),"",#REF!)</f>
        <v>#REF!</v>
      </c>
      <c r="AZ18" s="7" t="e">
        <f>IF(OR(#REF!&gt;2,#REF!&lt;-2),"",#REF!)</f>
        <v>#REF!</v>
      </c>
      <c r="BA18" s="7" t="e">
        <f>IF(OR(#REF!&gt;2,#REF!&lt;-2),"",#REF!)</f>
        <v>#REF!</v>
      </c>
      <c r="BB18" s="7" t="e">
        <f>IF(OR(#REF!&gt;2,#REF!&lt;-2),"",#REF!)</f>
        <v>#REF!</v>
      </c>
      <c r="BC18" s="7" t="e">
        <f>IF(OR(#REF!&gt;2,#REF!&lt;-2),"",#REF!)</f>
        <v>#REF!</v>
      </c>
      <c r="BD18" s="7" t="e">
        <f>IF(OR(#REF!&gt;2,#REF!&lt;-2),"",#REF!)</f>
        <v>#REF!</v>
      </c>
      <c r="BE18" s="7" t="e">
        <f>IF(OR(#REF!&gt;2,#REF!&lt;-2),"",#REF!)</f>
        <v>#REF!</v>
      </c>
      <c r="BF18" s="7" t="e">
        <f>IF(OR(#REF!&gt;2,#REF!&lt;-2),"",#REF!)</f>
        <v>#REF!</v>
      </c>
      <c r="BG18" s="7" t="e">
        <f>IF(OR(#REF!&gt;2,#REF!&lt;-2),"",#REF!)</f>
        <v>#REF!</v>
      </c>
      <c r="BH18" s="7" t="e">
        <f>IF(OR(#REF!&gt;2,#REF!&lt;-2),"",#REF!)</f>
        <v>#REF!</v>
      </c>
      <c r="BI18" s="7" t="e">
        <f>IF(OR(#REF!&gt;2,#REF!&lt;-2),"",#REF!)</f>
        <v>#REF!</v>
      </c>
      <c r="BJ18" s="7" t="e">
        <f>IF(OR(#REF!&gt;2,#REF!&lt;-2),"",#REF!)</f>
        <v>#REF!</v>
      </c>
      <c r="BK18" s="7" t="e">
        <f>IF(OR(#REF!&gt;2,#REF!&lt;-2),"",#REF!)</f>
        <v>#REF!</v>
      </c>
      <c r="BL18" s="7" t="e">
        <f>IF(OR(#REF!&gt;2,#REF!&lt;-2),"",#REF!)</f>
        <v>#REF!</v>
      </c>
      <c r="BM18" s="7" t="e">
        <f>IF(OR(#REF!&gt;2,#REF!&lt;-2),"",#REF!)</f>
        <v>#REF!</v>
      </c>
      <c r="BN18" s="7" t="e">
        <f>IF(OR(#REF!&gt;2,#REF!&lt;-2),"",#REF!)</f>
        <v>#REF!</v>
      </c>
      <c r="BO18" s="7" t="e">
        <f>IF(OR(#REF!&gt;2,#REF!&lt;-2),"",#REF!)</f>
        <v>#REF!</v>
      </c>
      <c r="BP18" s="7" t="e">
        <f>IF(OR(#REF!&gt;2,#REF!&lt;-2),"",#REF!)</f>
        <v>#REF!</v>
      </c>
      <c r="BQ18" s="7" t="e">
        <f>IF(OR(#REF!&gt;2,#REF!&lt;-2),"",#REF!)</f>
        <v>#REF!</v>
      </c>
      <c r="BR18" s="7" t="e">
        <f>IF(OR(#REF!&gt;2,#REF!&lt;-2),"",#REF!)</f>
        <v>#REF!</v>
      </c>
      <c r="BS18" s="7" t="e">
        <f>IF(OR(#REF!&gt;2,#REF!&lt;-2),"",#REF!)</f>
        <v>#REF!</v>
      </c>
      <c r="BT18" s="7" t="e">
        <f>IF(OR(#REF!&gt;2,#REF!&lt;-2),"",#REF!)</f>
        <v>#REF!</v>
      </c>
      <c r="BU18" s="7" t="e">
        <f>IF(OR(#REF!&gt;2,#REF!&lt;-2),"",#REF!)</f>
        <v>#REF!</v>
      </c>
      <c r="BV18" s="7" t="e">
        <f>IF(OR(#REF!&gt;2,#REF!&lt;-2),"",#REF!)</f>
        <v>#REF!</v>
      </c>
      <c r="BW18" s="7" t="e">
        <f>IF(OR(#REF!&gt;2,#REF!&lt;-2),"",#REF!)</f>
        <v>#REF!</v>
      </c>
      <c r="BX18" s="7" t="e">
        <f>IF(OR(#REF!&gt;2,#REF!&lt;-2),"",#REF!)</f>
        <v>#REF!</v>
      </c>
      <c r="BY18" s="7" t="e">
        <f>IF(OR(#REF!&gt;2,#REF!&lt;-2),"",#REF!)</f>
        <v>#REF!</v>
      </c>
      <c r="BZ18" s="7" t="e">
        <f>IF(OR(#REF!&gt;2,#REF!&lt;-2),"",#REF!)</f>
        <v>#REF!</v>
      </c>
      <c r="CA18" s="7" t="e">
        <f>IF(OR(#REF!&gt;2,#REF!&lt;-2),"",#REF!)</f>
        <v>#REF!</v>
      </c>
      <c r="CB18" s="7" t="e">
        <f>IF(OR(#REF!&gt;2,#REF!&lt;-2),"",#REF!)</f>
        <v>#REF!</v>
      </c>
      <c r="CC18" s="7" t="e">
        <f>IF(OR(#REF!&gt;2,#REF!&lt;-2),"",#REF!)</f>
        <v>#REF!</v>
      </c>
      <c r="CD18" s="7" t="e">
        <f>IF(OR(#REF!&gt;2,#REF!&lt;-2),"",#REF!)</f>
        <v>#REF!</v>
      </c>
      <c r="CE18" s="7" t="e">
        <f>IF(OR(#REF!&gt;2,#REF!&lt;-2),"",#REF!)</f>
        <v>#REF!</v>
      </c>
      <c r="CF18" s="7" t="e">
        <f>IF(OR(#REF!&gt;2,#REF!&lt;-2),"",#REF!)</f>
        <v>#REF!</v>
      </c>
      <c r="CG18" s="7" t="e">
        <f>IF(OR(#REF!&gt;2,#REF!&lt;-2),"",#REF!)</f>
        <v>#REF!</v>
      </c>
      <c r="CH18" s="7" t="e">
        <f>IF(OR(#REF!&gt;2,#REF!&lt;-2),"",#REF!)</f>
        <v>#REF!</v>
      </c>
      <c r="CI18" s="7" t="e">
        <f>IF(OR(#REF!&gt;2,#REF!&lt;-2),"",#REF!)</f>
        <v>#REF!</v>
      </c>
      <c r="CJ18" s="7" t="e">
        <f>IF(OR(#REF!&gt;2,#REF!&lt;-2),"",#REF!)</f>
        <v>#REF!</v>
      </c>
      <c r="CK18" s="7" t="e">
        <f>IF(OR(#REF!&gt;2,#REF!&lt;-2),"",#REF!)</f>
        <v>#REF!</v>
      </c>
      <c r="CL18" s="7" t="e">
        <f>IF(OR(#REF!&gt;2,#REF!&lt;-2),"",#REF!)</f>
        <v>#REF!</v>
      </c>
      <c r="CM18" s="7" t="e">
        <f>IF(OR(#REF!&gt;2,#REF!&lt;-2),"",#REF!)</f>
        <v>#REF!</v>
      </c>
      <c r="CN18" s="7" t="e">
        <f>IF(OR(#REF!&gt;2,#REF!&lt;-2),"",#REF!)</f>
        <v>#REF!</v>
      </c>
      <c r="CO18" s="7" t="e">
        <f>IF(OR(#REF!&gt;2,#REF!&lt;-2),"",#REF!)</f>
        <v>#REF!</v>
      </c>
      <c r="CP18" s="7" t="e">
        <f>IF(OR(#REF!&gt;2,#REF!&lt;-2),"",#REF!)</f>
        <v>#REF!</v>
      </c>
      <c r="CQ18" s="7" t="e">
        <f>IF(OR(#REF!&gt;2,#REF!&lt;-2),"",#REF!)</f>
        <v>#REF!</v>
      </c>
      <c r="CR18" s="7" t="e">
        <f>IF(OR(#REF!&gt;2,#REF!&lt;-2),"",#REF!)</f>
        <v>#REF!</v>
      </c>
      <c r="CS18" s="7" t="e">
        <f>IF(OR(#REF!&gt;2,#REF!&lt;-2),"",#REF!)</f>
        <v>#REF!</v>
      </c>
      <c r="CT18" s="7" t="e">
        <f>IF(OR(#REF!&gt;2,#REF!&lt;-2),"",#REF!)</f>
        <v>#REF!</v>
      </c>
      <c r="CU18" s="7" t="e">
        <f>IF(OR(#REF!&gt;2,#REF!&lt;-2),"",#REF!)</f>
        <v>#REF!</v>
      </c>
      <c r="CV18" s="7" t="e">
        <f>IF(OR(#REF!&gt;2,#REF!&lt;-2),"",#REF!)</f>
        <v>#REF!</v>
      </c>
      <c r="CW18" s="7" t="e">
        <f>IF(OR(#REF!&gt;2,#REF!&lt;-2),"",#REF!)</f>
        <v>#REF!</v>
      </c>
      <c r="CX18" s="7" t="e">
        <f>IF(OR(#REF!&gt;2,#REF!&lt;-2),"",#REF!)</f>
        <v>#REF!</v>
      </c>
      <c r="CY18" s="7" t="e">
        <f>IF(OR(#REF!&gt;2,#REF!&lt;-2),"",#REF!)</f>
        <v>#REF!</v>
      </c>
      <c r="CZ18" s="7" t="e">
        <f>IF(OR(#REF!&gt;2,#REF!&lt;-2),"",#REF!)</f>
        <v>#REF!</v>
      </c>
      <c r="DA18" s="7" t="e">
        <f>IF(OR(#REF!&gt;2,#REF!&lt;-2),"",#REF!)</f>
        <v>#REF!</v>
      </c>
      <c r="DB18" s="7" t="e">
        <f>IF(OR(#REF!&gt;2,#REF!&lt;-2),"",#REF!)</f>
        <v>#REF!</v>
      </c>
      <c r="DC18" s="7" t="e">
        <f>IF(OR(#REF!&gt;2,#REF!&lt;-2),"",#REF!)</f>
        <v>#REF!</v>
      </c>
      <c r="DD18" s="7" t="e">
        <f>IF(OR(#REF!&gt;2,#REF!&lt;-2),"",#REF!)</f>
        <v>#REF!</v>
      </c>
      <c r="DE18" s="7" t="e">
        <f>IF(OR(#REF!&gt;2,#REF!&lt;-2),"",#REF!)</f>
        <v>#REF!</v>
      </c>
      <c r="DF18" s="7" t="e">
        <f>IF(OR(#REF!&gt;2,#REF!&lt;-2),"",#REF!)</f>
        <v>#REF!</v>
      </c>
      <c r="DG18" s="7" t="e">
        <f>IF(OR(#REF!&gt;2,#REF!&lt;-2),"",#REF!)</f>
        <v>#REF!</v>
      </c>
      <c r="DH18" s="7" t="e">
        <f>IF(OR(#REF!&gt;2,#REF!&lt;-2),"",#REF!)</f>
        <v>#REF!</v>
      </c>
      <c r="DI18" s="7" t="e">
        <f>IF(OR(#REF!&gt;2,#REF!&lt;-2),"",#REF!)</f>
        <v>#REF!</v>
      </c>
      <c r="DJ18" s="7" t="e">
        <f>IF(OR(#REF!&gt;2,#REF!&lt;-2),"",#REF!)</f>
        <v>#REF!</v>
      </c>
      <c r="DK18" s="7" t="e">
        <f>IF(OR(#REF!&gt;2,#REF!&lt;-2),"",#REF!)</f>
        <v>#REF!</v>
      </c>
      <c r="DL18" s="7" t="e">
        <f>IF(OR(#REF!&gt;2,#REF!&lt;-2),"",#REF!)</f>
        <v>#REF!</v>
      </c>
      <c r="DM18" s="7" t="e">
        <f>IF(OR(#REF!&gt;2,#REF!&lt;-2),"",#REF!)</f>
        <v>#REF!</v>
      </c>
      <c r="DN18" s="7" t="e">
        <f>IF(OR(#REF!&gt;2,#REF!&lt;-2),"",#REF!)</f>
        <v>#REF!</v>
      </c>
      <c r="DO18" s="7" t="e">
        <f>IF(OR(#REF!&gt;2,#REF!&lt;-2),"",#REF!)</f>
        <v>#REF!</v>
      </c>
      <c r="DP18" s="7" t="e">
        <f>IF(OR(#REF!&gt;2,#REF!&lt;-2),"",#REF!)</f>
        <v>#REF!</v>
      </c>
      <c r="DQ18" s="7" t="e">
        <f>IF(OR(#REF!&gt;2,#REF!&lt;-2),"",#REF!)</f>
        <v>#REF!</v>
      </c>
      <c r="DR18" s="7" t="e">
        <f>IF(OR(#REF!&gt;2,#REF!&lt;-2),"",#REF!)</f>
        <v>#REF!</v>
      </c>
      <c r="DS18" s="7" t="e">
        <f>IF(OR(#REF!&gt;2,#REF!&lt;-2),"",#REF!)</f>
        <v>#REF!</v>
      </c>
      <c r="DT18" s="7" t="e">
        <f>IF(OR(#REF!&gt;2,#REF!&lt;-2),"",#REF!)</f>
        <v>#REF!</v>
      </c>
      <c r="DU18" s="7" t="e">
        <f>IF(OR(#REF!&gt;2,#REF!&lt;-2),"",#REF!)</f>
        <v>#REF!</v>
      </c>
      <c r="DV18" s="7" t="e">
        <f>IF(OR(#REF!&gt;2,#REF!&lt;-2),"",#REF!)</f>
        <v>#REF!</v>
      </c>
      <c r="DW18" s="7" t="e">
        <f>IF(OR(#REF!&gt;2,#REF!&lt;-2),"",#REF!)</f>
        <v>#REF!</v>
      </c>
      <c r="DX18" s="7" t="e">
        <f>IF(OR(#REF!&gt;2,#REF!&lt;-2),"",#REF!)</f>
        <v>#REF!</v>
      </c>
      <c r="DY18" s="7" t="e">
        <f>IF(OR(#REF!&gt;2,#REF!&lt;-2),"",#REF!)</f>
        <v>#REF!</v>
      </c>
      <c r="DZ18" s="7" t="e">
        <f>IF(OR(#REF!&gt;2,#REF!&lt;-2),"",#REF!)</f>
        <v>#REF!</v>
      </c>
      <c r="EA18" s="7" t="e">
        <f>IF(OR(#REF!&gt;2,#REF!&lt;-2),"",#REF!)</f>
        <v>#REF!</v>
      </c>
      <c r="EB18" s="7" t="e">
        <f>IF(OR(#REF!&gt;2,#REF!&lt;-2),"",#REF!)</f>
        <v>#REF!</v>
      </c>
      <c r="EC18" s="7" t="e">
        <f>IF(OR(#REF!&gt;2,#REF!&lt;-2),"",#REF!)</f>
        <v>#REF!</v>
      </c>
      <c r="ED18" s="7" t="e">
        <f>IF(OR(#REF!&gt;2,#REF!&lt;-2),"",#REF!)</f>
        <v>#REF!</v>
      </c>
      <c r="EE18" s="7" t="e">
        <f>IF(OR(#REF!&gt;2,#REF!&lt;-2),"",#REF!)</f>
        <v>#REF!</v>
      </c>
      <c r="EF18" s="7" t="e">
        <f>IF(OR(#REF!&gt;2,#REF!&lt;-2),"",#REF!)</f>
        <v>#REF!</v>
      </c>
      <c r="EG18" s="7" t="e">
        <f>IF(OR(#REF!&gt;2,#REF!&lt;-2),"",#REF!)</f>
        <v>#REF!</v>
      </c>
      <c r="EH18" s="7" t="e">
        <f>IF(OR(#REF!&gt;2,#REF!&lt;-2),"",#REF!)</f>
        <v>#REF!</v>
      </c>
      <c r="EI18" s="7" t="e">
        <f>IF(OR(#REF!&gt;2,#REF!&lt;-2),"",#REF!)</f>
        <v>#REF!</v>
      </c>
      <c r="EJ18" s="7" t="e">
        <f>IF(OR(#REF!&gt;2,#REF!&lt;-2),"",#REF!)</f>
        <v>#REF!</v>
      </c>
      <c r="EK18" s="7" t="e">
        <f>IF(OR(#REF!&gt;2,#REF!&lt;-2),"",#REF!)</f>
        <v>#REF!</v>
      </c>
      <c r="EL18" s="7" t="e">
        <f>IF(OR(#REF!&gt;2,#REF!&lt;-2),"",#REF!)</f>
        <v>#REF!</v>
      </c>
      <c r="EM18" s="7" t="e">
        <f>IF(OR(#REF!&gt;2,#REF!&lt;-2),"",#REF!)</f>
        <v>#REF!</v>
      </c>
      <c r="EN18" s="7" t="e">
        <f>IF(OR(#REF!&gt;2,#REF!&lt;-2),"",#REF!)</f>
        <v>#REF!</v>
      </c>
      <c r="EO18" s="7" t="e">
        <f>IF(OR(#REF!&gt;2,#REF!&lt;-2),"",#REF!)</f>
        <v>#REF!</v>
      </c>
      <c r="EP18" s="7" t="e">
        <f>IF(OR(#REF!&gt;2,#REF!&lt;-2),"",#REF!)</f>
        <v>#REF!</v>
      </c>
      <c r="EQ18" s="7" t="e">
        <f>IF(OR(#REF!&gt;2,#REF!&lt;-2),"",#REF!)</f>
        <v>#REF!</v>
      </c>
      <c r="ER18" s="7" t="e">
        <f>IF(OR(#REF!&gt;2,#REF!&lt;-2),"",#REF!)</f>
        <v>#REF!</v>
      </c>
      <c r="ES18" s="7" t="e">
        <f>IF(OR(#REF!&gt;2,#REF!&lt;-2),"",#REF!)</f>
        <v>#REF!</v>
      </c>
      <c r="ET18" s="7" t="e">
        <f>IF(OR(#REF!&gt;2,#REF!&lt;-2),"",#REF!)</f>
        <v>#REF!</v>
      </c>
      <c r="EU18" s="7" t="e">
        <f>IF(OR(#REF!&gt;2,#REF!&lt;-2),"",#REF!)</f>
        <v>#REF!</v>
      </c>
      <c r="EV18" s="7" t="e">
        <f>IF(OR(#REF!&gt;2,#REF!&lt;-2),"",#REF!)</f>
        <v>#REF!</v>
      </c>
      <c r="EW18" s="7" t="e">
        <f>IF(OR(#REF!&gt;2,#REF!&lt;-2),"",#REF!)</f>
        <v>#REF!</v>
      </c>
      <c r="EX18" s="7" t="e">
        <f>IF(OR(#REF!&gt;2,#REF!&lt;-2),"",#REF!)</f>
        <v>#REF!</v>
      </c>
      <c r="EY18" s="7" t="e">
        <f>IF(OR(#REF!&gt;2,#REF!&lt;-2),"",#REF!)</f>
        <v>#REF!</v>
      </c>
      <c r="EZ18" s="7" t="e">
        <f>IF(OR(#REF!&gt;2,#REF!&lt;-2),"",#REF!)</f>
        <v>#REF!</v>
      </c>
      <c r="FA18" s="7" t="e">
        <f>IF(OR(#REF!&gt;2,#REF!&lt;-2),"",#REF!)</f>
        <v>#REF!</v>
      </c>
      <c r="FB18" s="7" t="e">
        <f>IF(OR(#REF!&gt;2,#REF!&lt;-2),"",#REF!)</f>
        <v>#REF!</v>
      </c>
      <c r="FC18" s="7" t="e">
        <f>IF(OR(#REF!&gt;2,#REF!&lt;-2),"",#REF!)</f>
        <v>#REF!</v>
      </c>
      <c r="FD18" s="7" t="e">
        <f>IF(OR(#REF!&gt;2,#REF!&lt;-2),"",#REF!)</f>
        <v>#REF!</v>
      </c>
      <c r="FE18" s="7" t="e">
        <f>IF(OR(#REF!&gt;2,#REF!&lt;-2),"",#REF!)</f>
        <v>#REF!</v>
      </c>
      <c r="FF18" s="7" t="e">
        <f>IF(OR(#REF!&gt;2,#REF!&lt;-2),"",#REF!)</f>
        <v>#REF!</v>
      </c>
      <c r="FG18" s="7" t="e">
        <f>IF(OR(#REF!&gt;2,#REF!&lt;-2),"",#REF!)</f>
        <v>#REF!</v>
      </c>
      <c r="FH18" s="7" t="e">
        <f>IF(OR(#REF!&gt;2,#REF!&lt;-2),"",#REF!)</f>
        <v>#REF!</v>
      </c>
      <c r="FI18" s="7" t="e">
        <f>IF(OR(#REF!&gt;2,#REF!&lt;-2),"",#REF!)</f>
        <v>#REF!</v>
      </c>
      <c r="FJ18" s="7" t="e">
        <f>IF(OR(#REF!&gt;2,#REF!&lt;-2),"",#REF!)</f>
        <v>#REF!</v>
      </c>
      <c r="FK18" s="7" t="e">
        <f>IF(OR(#REF!&gt;2,#REF!&lt;-2),"",#REF!)</f>
        <v>#REF!</v>
      </c>
      <c r="FL18" s="7" t="e">
        <f>IF(OR(#REF!&gt;2,#REF!&lt;-2),"",#REF!)</f>
        <v>#REF!</v>
      </c>
      <c r="FM18" s="7" t="e">
        <f>IF(OR(#REF!&gt;2,#REF!&lt;-2),"",#REF!)</f>
        <v>#REF!</v>
      </c>
      <c r="FN18" s="7" t="e">
        <f>IF(OR(#REF!&gt;2,#REF!&lt;-2),"",#REF!)</f>
        <v>#REF!</v>
      </c>
      <c r="FO18" s="7" t="e">
        <f>IF(OR(#REF!&gt;2,#REF!&lt;-2),"",#REF!)</f>
        <v>#REF!</v>
      </c>
      <c r="FP18" s="7" t="e">
        <f>IF(OR(#REF!&gt;2,#REF!&lt;-2),"",#REF!)</f>
        <v>#REF!</v>
      </c>
      <c r="FQ18" s="7" t="e">
        <f>IF(OR(#REF!&gt;2,#REF!&lt;-2),"",#REF!)</f>
        <v>#REF!</v>
      </c>
      <c r="FR18" s="7" t="e">
        <f>IF(OR(#REF!&gt;2,#REF!&lt;-2),"",#REF!)</f>
        <v>#REF!</v>
      </c>
      <c r="FS18" s="7" t="e">
        <f>IF(OR(#REF!&gt;2,#REF!&lt;-2),"",#REF!)</f>
        <v>#REF!</v>
      </c>
      <c r="FT18" s="7" t="e">
        <f>IF(OR(#REF!&gt;2,#REF!&lt;-2),"",#REF!)</f>
        <v>#REF!</v>
      </c>
      <c r="FU18" s="7" t="e">
        <f>IF(OR(#REF!&gt;2,#REF!&lt;-2),"",#REF!)</f>
        <v>#REF!</v>
      </c>
      <c r="FV18" s="7" t="e">
        <f>IF(OR(#REF!&gt;2,#REF!&lt;-2),"",#REF!)</f>
        <v>#REF!</v>
      </c>
      <c r="FW18" s="7" t="e">
        <f>IF(OR(#REF!&gt;2,#REF!&lt;-2),"",#REF!)</f>
        <v>#REF!</v>
      </c>
      <c r="FX18" s="7" t="e">
        <f>IF(OR(#REF!&gt;2,#REF!&lt;-2),"",#REF!)</f>
        <v>#REF!</v>
      </c>
      <c r="FY18" s="7" t="e">
        <f>IF(OR(#REF!&gt;2,#REF!&lt;-2),"",#REF!)</f>
        <v>#REF!</v>
      </c>
      <c r="FZ18" s="7" t="e">
        <f>IF(OR(#REF!&gt;2,#REF!&lt;-2),"",#REF!)</f>
        <v>#REF!</v>
      </c>
      <c r="GA18" s="7" t="e">
        <f>IF(OR(#REF!&gt;2,#REF!&lt;-2),"",#REF!)</f>
        <v>#REF!</v>
      </c>
      <c r="GB18" s="7" t="e">
        <f>IF(OR(#REF!&gt;2,#REF!&lt;-2),"",#REF!)</f>
        <v>#REF!</v>
      </c>
      <c r="GC18" s="7" t="e">
        <f>IF(OR(#REF!&gt;2,#REF!&lt;-2),"",#REF!)</f>
        <v>#REF!</v>
      </c>
      <c r="GD18" s="7" t="e">
        <f>IF(OR(#REF!&gt;2,#REF!&lt;-2),"",#REF!)</f>
        <v>#REF!</v>
      </c>
      <c r="GE18" s="7" t="e">
        <f>IF(OR(#REF!&gt;2,#REF!&lt;-2),"",#REF!)</f>
        <v>#REF!</v>
      </c>
      <c r="GF18" s="7" t="e">
        <f>IF(OR(#REF!&gt;2,#REF!&lt;-2),"",#REF!)</f>
        <v>#REF!</v>
      </c>
      <c r="GG18" s="7" t="e">
        <f>IF(OR(#REF!&gt;2,#REF!&lt;-2),"",#REF!)</f>
        <v>#REF!</v>
      </c>
      <c r="GH18" s="7" t="e">
        <f>IF(OR(#REF!&gt;2,#REF!&lt;-2),"",#REF!)</f>
        <v>#REF!</v>
      </c>
      <c r="GI18" s="7" t="e">
        <f>IF(OR(#REF!&gt;2,#REF!&lt;-2),"",#REF!)</f>
        <v>#REF!</v>
      </c>
      <c r="GJ18" s="7" t="e">
        <f>IF(OR(#REF!&gt;2,#REF!&lt;-2),"",#REF!)</f>
        <v>#REF!</v>
      </c>
      <c r="GK18" s="7" t="e">
        <f>IF(OR(#REF!&gt;2,#REF!&lt;-2),"",#REF!)</f>
        <v>#REF!</v>
      </c>
      <c r="GL18" s="7" t="e">
        <f>IF(OR(#REF!&gt;2,#REF!&lt;-2),"",#REF!)</f>
        <v>#REF!</v>
      </c>
      <c r="GM18" s="7" t="e">
        <f>IF(OR(#REF!&gt;2,#REF!&lt;-2),"",#REF!)</f>
        <v>#REF!</v>
      </c>
      <c r="GN18" s="7" t="e">
        <f>IF(OR(#REF!&gt;2,#REF!&lt;-2),"",#REF!)</f>
        <v>#REF!</v>
      </c>
      <c r="GO18" s="7" t="e">
        <f>IF(OR(#REF!&gt;2,#REF!&lt;-2),"",#REF!)</f>
        <v>#REF!</v>
      </c>
      <c r="GP18" s="7" t="e">
        <f>IF(OR(#REF!&gt;2,#REF!&lt;-2),"",#REF!)</f>
        <v>#REF!</v>
      </c>
      <c r="GQ18" s="7" t="e">
        <f>IF(OR(#REF!&gt;2,#REF!&lt;-2),"",#REF!)</f>
        <v>#REF!</v>
      </c>
      <c r="GR18" s="7" t="e">
        <f>IF(OR(#REF!&gt;2,#REF!&lt;-2),"",#REF!)</f>
        <v>#REF!</v>
      </c>
      <c r="GS18" s="7" t="e">
        <f>IF(OR(#REF!&gt;2,#REF!&lt;-2),"",#REF!)</f>
        <v>#REF!</v>
      </c>
      <c r="GT18" s="7" t="e">
        <f>IF(OR(#REF!&gt;2,#REF!&lt;-2),"",#REF!)</f>
        <v>#REF!</v>
      </c>
      <c r="GU18" s="7" t="e">
        <f>IF(OR(#REF!&gt;2,#REF!&lt;-2),"",#REF!)</f>
        <v>#REF!</v>
      </c>
      <c r="GV18" s="7" t="e">
        <f>IF(OR(#REF!&gt;2,#REF!&lt;-2),"",#REF!)</f>
        <v>#REF!</v>
      </c>
      <c r="GW18" s="7" t="e">
        <f>IF(OR(#REF!&gt;2,#REF!&lt;-2),"",#REF!)</f>
        <v>#REF!</v>
      </c>
      <c r="GX18" s="7" t="e">
        <f>IF(OR(#REF!&gt;2,#REF!&lt;-2),"",#REF!)</f>
        <v>#REF!</v>
      </c>
      <c r="GY18" s="7" t="e">
        <f>IF(OR(#REF!&gt;2,#REF!&lt;-2),"",#REF!)</f>
        <v>#REF!</v>
      </c>
      <c r="GZ18" s="7" t="e">
        <f>IF(OR(#REF!&gt;2,#REF!&lt;-2),"",#REF!)</f>
        <v>#REF!</v>
      </c>
      <c r="HA18" s="7" t="e">
        <f>IF(OR(#REF!&gt;2,#REF!&lt;-2),"",#REF!)</f>
        <v>#REF!</v>
      </c>
      <c r="HB18" s="7" t="e">
        <f>IF(OR(#REF!&gt;2,#REF!&lt;-2),"",#REF!)</f>
        <v>#REF!</v>
      </c>
      <c r="HC18" s="7" t="e">
        <f>IF(OR(#REF!&gt;2,#REF!&lt;-2),"",#REF!)</f>
        <v>#REF!</v>
      </c>
      <c r="HD18" s="7" t="e">
        <f>IF(OR(#REF!&gt;2,#REF!&lt;-2),"",#REF!)</f>
        <v>#REF!</v>
      </c>
      <c r="HE18" s="7" t="e">
        <f>IF(OR(#REF!&gt;2,#REF!&lt;-2),"",#REF!)</f>
        <v>#REF!</v>
      </c>
      <c r="HF18" s="7" t="e">
        <f>IF(OR(#REF!&gt;2,#REF!&lt;-2),"",#REF!)</f>
        <v>#REF!</v>
      </c>
      <c r="HG18" s="7" t="e">
        <f>IF(OR(#REF!&gt;2,#REF!&lt;-2),"",#REF!)</f>
        <v>#REF!</v>
      </c>
      <c r="HH18" s="7" t="e">
        <f>IF(OR(#REF!&gt;2,#REF!&lt;-2),"",#REF!)</f>
        <v>#REF!</v>
      </c>
      <c r="HI18" s="7" t="e">
        <f>IF(OR(#REF!&gt;2,#REF!&lt;-2),"",#REF!)</f>
        <v>#REF!</v>
      </c>
      <c r="HJ18" s="7" t="e">
        <f>IF(OR(#REF!&gt;2,#REF!&lt;-2),"",#REF!)</f>
        <v>#REF!</v>
      </c>
      <c r="HK18" s="7" t="e">
        <f>IF(OR(#REF!&gt;2,#REF!&lt;-2),"",#REF!)</f>
        <v>#REF!</v>
      </c>
      <c r="HL18" s="7" t="e">
        <f>IF(OR(#REF!&gt;2,#REF!&lt;-2),"",#REF!)</f>
        <v>#REF!</v>
      </c>
      <c r="HM18" s="7" t="e">
        <f>IF(OR(#REF!&gt;2,#REF!&lt;-2),"",#REF!)</f>
        <v>#REF!</v>
      </c>
      <c r="HN18" s="7" t="e">
        <f>IF(OR(#REF!&gt;2,#REF!&lt;-2),"",#REF!)</f>
        <v>#REF!</v>
      </c>
      <c r="HO18" s="7" t="e">
        <f>IF(OR(#REF!&gt;2,#REF!&lt;-2),"",#REF!)</f>
        <v>#REF!</v>
      </c>
      <c r="HP18" s="7" t="e">
        <f>IF(OR(#REF!&gt;2,#REF!&lt;-2),"",#REF!)</f>
        <v>#REF!</v>
      </c>
      <c r="HQ18" s="7" t="e">
        <f>IF(OR(#REF!&gt;2,#REF!&lt;-2),"",#REF!)</f>
        <v>#REF!</v>
      </c>
      <c r="HR18" s="7" t="e">
        <f>IF(OR(#REF!&gt;2,#REF!&lt;-2),"",#REF!)</f>
        <v>#REF!</v>
      </c>
      <c r="HS18" s="7" t="e">
        <f>IF(OR(#REF!&gt;2,#REF!&lt;-2),"",#REF!)</f>
        <v>#REF!</v>
      </c>
      <c r="HT18" s="7" t="e">
        <f>IF(OR(#REF!&gt;2,#REF!&lt;-2),"",#REF!)</f>
        <v>#REF!</v>
      </c>
      <c r="HU18" s="7" t="e">
        <f>IF(OR(#REF!&gt;2,#REF!&lt;-2),"",#REF!)</f>
        <v>#REF!</v>
      </c>
      <c r="HV18" s="7" t="e">
        <f>IF(OR(#REF!&gt;2,#REF!&lt;-2),"",#REF!)</f>
        <v>#REF!</v>
      </c>
      <c r="HW18" s="7" t="e">
        <f>IF(OR(#REF!&gt;2,#REF!&lt;-2),"",#REF!)</f>
        <v>#REF!</v>
      </c>
      <c r="HX18" s="7" t="e">
        <f>IF(OR(#REF!&gt;2,#REF!&lt;-2),"",#REF!)</f>
        <v>#REF!</v>
      </c>
      <c r="HY18" s="7" t="e">
        <f>IF(OR(#REF!&gt;2,#REF!&lt;-2),"",#REF!)</f>
        <v>#REF!</v>
      </c>
      <c r="HZ18" s="7" t="e">
        <f>IF(OR(#REF!&gt;2,#REF!&lt;-2),"",#REF!)</f>
        <v>#REF!</v>
      </c>
      <c r="IA18" s="7" t="e">
        <f>IF(OR(#REF!&gt;2,#REF!&lt;-2),"",#REF!)</f>
        <v>#REF!</v>
      </c>
      <c r="IB18" s="7" t="e">
        <f>IF(OR(#REF!&gt;2,#REF!&lt;-2),"",#REF!)</f>
        <v>#REF!</v>
      </c>
      <c r="IC18" s="7" t="e">
        <f>IF(OR(#REF!&gt;2,#REF!&lt;-2),"",#REF!)</f>
        <v>#REF!</v>
      </c>
      <c r="ID18" s="7" t="e">
        <f>IF(OR(#REF!&gt;2,#REF!&lt;-2),"",#REF!)</f>
        <v>#REF!</v>
      </c>
      <c r="IE18" s="7" t="e">
        <f>IF(OR(#REF!&gt;2,#REF!&lt;-2),"",#REF!)</f>
        <v>#REF!</v>
      </c>
      <c r="IF18" s="7" t="e">
        <f>IF(OR(#REF!&gt;2,#REF!&lt;-2),"",#REF!)</f>
        <v>#REF!</v>
      </c>
      <c r="IG18" s="7" t="e">
        <f>IF(OR(#REF!&gt;2,#REF!&lt;-2),"",#REF!)</f>
        <v>#REF!</v>
      </c>
      <c r="IH18" s="7" t="e">
        <f>IF(OR(#REF!&gt;2,#REF!&lt;-2),"",#REF!)</f>
        <v>#REF!</v>
      </c>
      <c r="II18" s="7" t="e">
        <f>IF(OR(#REF!&gt;2,#REF!&lt;-2),"",#REF!)</f>
        <v>#REF!</v>
      </c>
      <c r="IJ18" s="7" t="e">
        <f>IF(OR(#REF!&gt;2,#REF!&lt;-2),"",#REF!)</f>
        <v>#REF!</v>
      </c>
      <c r="IK18" s="7" t="e">
        <f>IF(OR(#REF!&gt;2,#REF!&lt;-2),"",#REF!)</f>
        <v>#REF!</v>
      </c>
      <c r="IL18" s="7" t="e">
        <f>IF(OR(#REF!&gt;2,#REF!&lt;-2),"",#REF!)</f>
        <v>#REF!</v>
      </c>
      <c r="IM18" s="7" t="e">
        <f>IF(OR(#REF!&gt;2,#REF!&lt;-2),"",#REF!)</f>
        <v>#REF!</v>
      </c>
      <c r="IN18" s="7" t="e">
        <f>IF(OR(#REF!&gt;2,#REF!&lt;-2),"",#REF!)</f>
        <v>#REF!</v>
      </c>
      <c r="IO18" s="7" t="e">
        <f>IF(OR(#REF!&gt;2,#REF!&lt;-2),"",#REF!)</f>
        <v>#REF!</v>
      </c>
      <c r="IP18" s="7" t="e">
        <f>IF(OR(#REF!&gt;2,#REF!&lt;-2),"",#REF!)</f>
        <v>#REF!</v>
      </c>
      <c r="IQ18" s="7" t="e">
        <f>IF(OR(#REF!&gt;2,#REF!&lt;-2),"",#REF!)</f>
        <v>#REF!</v>
      </c>
      <c r="IR18" s="7" t="e">
        <f>IF(OR(#REF!&gt;2,#REF!&lt;-2),"",#REF!)</f>
        <v>#REF!</v>
      </c>
      <c r="IS18" s="7" t="e">
        <f>IF(OR(#REF!&gt;2,#REF!&lt;-2),"",#REF!)</f>
        <v>#REF!</v>
      </c>
      <c r="IT18" s="7" t="e">
        <f>IF(OR(#REF!&gt;2,#REF!&lt;-2),"",#REF!)</f>
        <v>#REF!</v>
      </c>
      <c r="IU18" s="7" t="e">
        <f>IF(OR(#REF!&gt;2,#REF!&lt;-2),"",#REF!)</f>
        <v>#REF!</v>
      </c>
      <c r="IV18" s="7" t="e">
        <f>IF(OR(#REF!&gt;2,#REF!&lt;-2),"",#REF!)</f>
        <v>#REF!</v>
      </c>
      <c r="IW18" s="7" t="e">
        <f>IF(OR(#REF!&gt;2,#REF!&lt;-2),"",#REF!)</f>
        <v>#REF!</v>
      </c>
      <c r="IX18" s="7" t="e">
        <f>IF(OR(#REF!&gt;2,#REF!&lt;-2),"",#REF!)</f>
        <v>#REF!</v>
      </c>
      <c r="IY18" s="7" t="e">
        <f>IF(OR(#REF!&gt;2,#REF!&lt;-2),"",#REF!)</f>
        <v>#REF!</v>
      </c>
      <c r="IZ18" s="7" t="e">
        <f>IF(OR(#REF!&gt;2,#REF!&lt;-2),"",#REF!)</f>
        <v>#REF!</v>
      </c>
      <c r="JA18" s="7" t="e">
        <f>IF(OR(#REF!&gt;2,#REF!&lt;-2),"",#REF!)</f>
        <v>#REF!</v>
      </c>
      <c r="JB18" s="7" t="e">
        <f>IF(OR(#REF!&gt;2,#REF!&lt;-2),"",#REF!)</f>
        <v>#REF!</v>
      </c>
      <c r="JC18" s="7" t="e">
        <f>IF(OR(#REF!&gt;2,#REF!&lt;-2),"",#REF!)</f>
        <v>#REF!</v>
      </c>
      <c r="JD18" s="7" t="e">
        <f>IF(OR(#REF!&gt;2,#REF!&lt;-2),"",#REF!)</f>
        <v>#REF!</v>
      </c>
      <c r="JE18" s="7" t="e">
        <f>IF(OR(#REF!&gt;2,#REF!&lt;-2),"",#REF!)</f>
        <v>#REF!</v>
      </c>
      <c r="JF18" s="7" t="e">
        <f>IF(OR(#REF!&gt;2,#REF!&lt;-2),"",#REF!)</f>
        <v>#REF!</v>
      </c>
      <c r="JG18" s="7" t="e">
        <f>IF(OR(#REF!&gt;2,#REF!&lt;-2),"",#REF!)</f>
        <v>#REF!</v>
      </c>
      <c r="JH18" s="7" t="e">
        <f>IF(OR(#REF!&gt;2,#REF!&lt;-2),"",#REF!)</f>
        <v>#REF!</v>
      </c>
      <c r="JI18" s="7" t="e">
        <f>IF(OR(#REF!&gt;2,#REF!&lt;-2),"",#REF!)</f>
        <v>#REF!</v>
      </c>
      <c r="JJ18" s="7" t="e">
        <f>IF(OR(#REF!&gt;2,#REF!&lt;-2),"",#REF!)</f>
        <v>#REF!</v>
      </c>
      <c r="JK18" s="7" t="e">
        <f>IF(OR(#REF!&gt;2,#REF!&lt;-2),"",#REF!)</f>
        <v>#REF!</v>
      </c>
      <c r="JL18" s="7" t="e">
        <f>IF(OR(#REF!&gt;2,#REF!&lt;-2),"",#REF!)</f>
        <v>#REF!</v>
      </c>
      <c r="JM18" s="7" t="e">
        <f>IF(OR(#REF!&gt;2,#REF!&lt;-2),"",#REF!)</f>
        <v>#REF!</v>
      </c>
      <c r="JN18" s="7" t="e">
        <f>IF(OR(#REF!&gt;2,#REF!&lt;-2),"",#REF!)</f>
        <v>#REF!</v>
      </c>
      <c r="JO18" s="7" t="e">
        <f>IF(OR(#REF!&gt;2,#REF!&lt;-2),"",#REF!)</f>
        <v>#REF!</v>
      </c>
      <c r="JP18" s="7" t="e">
        <f>IF(OR(#REF!&gt;2,#REF!&lt;-2),"",#REF!)</f>
        <v>#REF!</v>
      </c>
      <c r="JQ18" s="7" t="e">
        <f>IF(OR(#REF!&gt;2,#REF!&lt;-2),"",#REF!)</f>
        <v>#REF!</v>
      </c>
      <c r="JR18" s="7" t="e">
        <f>IF(OR(#REF!&gt;2,#REF!&lt;-2),"",#REF!)</f>
        <v>#REF!</v>
      </c>
      <c r="JS18" s="7" t="e">
        <f>IF(OR(#REF!&gt;2,#REF!&lt;-2),"",#REF!)</f>
        <v>#REF!</v>
      </c>
      <c r="JT18" s="7" t="e">
        <f>IF(OR(#REF!&gt;2,#REF!&lt;-2),"",#REF!)</f>
        <v>#REF!</v>
      </c>
      <c r="JU18" s="7" t="e">
        <f>IF(OR(#REF!&gt;2,#REF!&lt;-2),"",#REF!)</f>
        <v>#REF!</v>
      </c>
      <c r="JV18" s="7" t="e">
        <f>IF(OR(#REF!&gt;2,#REF!&lt;-2),"",#REF!)</f>
        <v>#REF!</v>
      </c>
      <c r="JW18" s="7" t="e">
        <f>IF(OR(#REF!&gt;2,#REF!&lt;-2),"",#REF!)</f>
        <v>#REF!</v>
      </c>
      <c r="JX18" s="7" t="e">
        <f>IF(OR(#REF!&gt;2,#REF!&lt;-2),"",#REF!)</f>
        <v>#REF!</v>
      </c>
      <c r="JY18" s="7" t="e">
        <f>IF(OR(#REF!&gt;2,#REF!&lt;-2),"",#REF!)</f>
        <v>#REF!</v>
      </c>
      <c r="JZ18" s="7" t="e">
        <f>IF(OR(#REF!&gt;2,#REF!&lt;-2),"",#REF!)</f>
        <v>#REF!</v>
      </c>
      <c r="KA18" s="7" t="e">
        <f>IF(OR(#REF!&gt;2,#REF!&lt;-2),"",#REF!)</f>
        <v>#REF!</v>
      </c>
      <c r="KB18" s="7" t="e">
        <f>IF(OR(#REF!&gt;2,#REF!&lt;-2),"",#REF!)</f>
        <v>#REF!</v>
      </c>
      <c r="KC18" s="7" t="e">
        <f>IF(OR(#REF!&gt;2,#REF!&lt;-2),"",#REF!)</f>
        <v>#REF!</v>
      </c>
      <c r="KD18" s="7" t="e">
        <f>IF(OR(#REF!&gt;2,#REF!&lt;-2),"",#REF!)</f>
        <v>#REF!</v>
      </c>
      <c r="KE18" s="7" t="e">
        <f>IF(OR(#REF!&gt;2,#REF!&lt;-2),"",#REF!)</f>
        <v>#REF!</v>
      </c>
      <c r="KF18" s="7" t="e">
        <f>IF(OR(#REF!&gt;2,#REF!&lt;-2),"",#REF!)</f>
        <v>#REF!</v>
      </c>
      <c r="KG18" s="7" t="e">
        <f>IF(OR(#REF!&gt;2,#REF!&lt;-2),"",#REF!)</f>
        <v>#REF!</v>
      </c>
      <c r="KH18" s="7" t="e">
        <f>IF(OR(#REF!&gt;2,#REF!&lt;-2),"",#REF!)</f>
        <v>#REF!</v>
      </c>
      <c r="KI18" s="7" t="e">
        <f>IF(OR(#REF!&gt;2,#REF!&lt;-2),"",#REF!)</f>
        <v>#REF!</v>
      </c>
      <c r="KJ18" s="7" t="e">
        <f>IF(OR(#REF!&gt;2,#REF!&lt;-2),"",#REF!)</f>
        <v>#REF!</v>
      </c>
      <c r="KK18" s="7" t="e">
        <f>IF(OR(#REF!&gt;2,#REF!&lt;-2),"",#REF!)</f>
        <v>#REF!</v>
      </c>
      <c r="KL18" s="7" t="e">
        <f>IF(OR(#REF!&gt;2,#REF!&lt;-2),"",#REF!)</f>
        <v>#REF!</v>
      </c>
      <c r="KM18" s="7" t="e">
        <f>IF(OR(#REF!&gt;2,#REF!&lt;-2),"",#REF!)</f>
        <v>#REF!</v>
      </c>
      <c r="KN18" s="7" t="e">
        <f>IF(OR(#REF!&gt;2,#REF!&lt;-2),"",#REF!)</f>
        <v>#REF!</v>
      </c>
      <c r="KO18" s="7" t="e">
        <f>IF(OR(#REF!&gt;2,#REF!&lt;-2),"",#REF!)</f>
        <v>#REF!</v>
      </c>
      <c r="KP18" s="7" t="e">
        <f>IF(OR(#REF!&gt;2,#REF!&lt;-2),"",#REF!)</f>
        <v>#REF!</v>
      </c>
      <c r="KQ18" s="7" t="e">
        <f>IF(OR(#REF!&gt;2,#REF!&lt;-2),"",#REF!)</f>
        <v>#REF!</v>
      </c>
      <c r="KR18" s="7" t="e">
        <f>IF(OR(#REF!&gt;2,#REF!&lt;-2),"",#REF!)</f>
        <v>#REF!</v>
      </c>
      <c r="KS18" s="7" t="e">
        <f>IF(OR(#REF!&gt;2,#REF!&lt;-2),"",#REF!)</f>
        <v>#REF!</v>
      </c>
      <c r="KT18" s="7" t="e">
        <f>IF(OR(#REF!&gt;2,#REF!&lt;-2),"",#REF!)</f>
        <v>#REF!</v>
      </c>
      <c r="KU18" s="7" t="e">
        <f>IF(OR(#REF!&gt;2,#REF!&lt;-2),"",#REF!)</f>
        <v>#REF!</v>
      </c>
      <c r="KV18" s="7" t="e">
        <f>IF(OR(#REF!&gt;2,#REF!&lt;-2),"",#REF!)</f>
        <v>#REF!</v>
      </c>
      <c r="KW18" s="7" t="e">
        <f>IF(OR(#REF!&gt;2,#REF!&lt;-2),"",#REF!)</f>
        <v>#REF!</v>
      </c>
      <c r="KX18" s="7" t="e">
        <f>IF(OR(#REF!&gt;2,#REF!&lt;-2),"",#REF!)</f>
        <v>#REF!</v>
      </c>
      <c r="KY18" s="7" t="e">
        <f>IF(OR(#REF!&gt;2,#REF!&lt;-2),"",#REF!)</f>
        <v>#REF!</v>
      </c>
      <c r="KZ18" s="7" t="e">
        <f>IF(OR(#REF!&gt;2,#REF!&lt;-2),"",#REF!)</f>
        <v>#REF!</v>
      </c>
      <c r="LA18" s="7" t="e">
        <f>IF(OR(#REF!&gt;2,#REF!&lt;-2),"",#REF!)</f>
        <v>#REF!</v>
      </c>
      <c r="LB18" s="7" t="e">
        <f>IF(OR(#REF!&gt;2,#REF!&lt;-2),"",#REF!)</f>
        <v>#REF!</v>
      </c>
      <c r="LC18" s="7" t="e">
        <f>IF(OR(#REF!&gt;2,#REF!&lt;-2),"",#REF!)</f>
        <v>#REF!</v>
      </c>
      <c r="LD18" s="7" t="e">
        <f>IF(OR(#REF!&gt;2,#REF!&lt;-2),"",#REF!)</f>
        <v>#REF!</v>
      </c>
      <c r="LE18" s="7" t="e">
        <f>IF(OR(#REF!&gt;2,#REF!&lt;-2),"",#REF!)</f>
        <v>#REF!</v>
      </c>
      <c r="LF18" s="7" t="e">
        <f>IF(OR(#REF!&gt;2,#REF!&lt;-2),"",#REF!)</f>
        <v>#REF!</v>
      </c>
      <c r="LG18" s="7" t="e">
        <f>IF(OR(#REF!&gt;2,#REF!&lt;-2),"",#REF!)</f>
        <v>#REF!</v>
      </c>
      <c r="LH18" s="7" t="e">
        <f>IF(OR(#REF!&gt;2,#REF!&lt;-2),"",#REF!)</f>
        <v>#REF!</v>
      </c>
      <c r="LI18" s="7" t="e">
        <f>IF(OR(#REF!&gt;2,#REF!&lt;-2),"",#REF!)</f>
        <v>#REF!</v>
      </c>
      <c r="LJ18" s="7" t="e">
        <f>IF(OR(#REF!&gt;2,#REF!&lt;-2),"",#REF!)</f>
        <v>#REF!</v>
      </c>
      <c r="LK18" s="7" t="e">
        <f>IF(OR(#REF!&gt;2,#REF!&lt;-2),"",#REF!)</f>
        <v>#REF!</v>
      </c>
      <c r="LL18" s="7" t="e">
        <f>IF(OR(#REF!&gt;2,#REF!&lt;-2),"",#REF!)</f>
        <v>#REF!</v>
      </c>
      <c r="LM18" s="7" t="e">
        <f>IF(OR(#REF!&gt;2,#REF!&lt;-2),"",#REF!)</f>
        <v>#REF!</v>
      </c>
      <c r="LN18" s="7" t="e">
        <f>IF(OR(#REF!&gt;2,#REF!&lt;-2),"",#REF!)</f>
        <v>#REF!</v>
      </c>
      <c r="LO18" s="7" t="e">
        <f>IF(OR(#REF!&gt;2,#REF!&lt;-2),"",#REF!)</f>
        <v>#REF!</v>
      </c>
      <c r="LP18" s="7" t="e">
        <f>IF(OR(#REF!&gt;2,#REF!&lt;-2),"",#REF!)</f>
        <v>#REF!</v>
      </c>
      <c r="LQ18" s="7" t="e">
        <f>IF(OR(#REF!&gt;2,#REF!&lt;-2),"",#REF!)</f>
        <v>#REF!</v>
      </c>
      <c r="LR18" s="7" t="e">
        <f>IF(OR(#REF!&gt;2,#REF!&lt;-2),"",#REF!)</f>
        <v>#REF!</v>
      </c>
      <c r="LS18" s="7" t="e">
        <f>IF(OR(#REF!&gt;2,#REF!&lt;-2),"",#REF!)</f>
        <v>#REF!</v>
      </c>
      <c r="LT18" s="7" t="e">
        <f>IF(OR(#REF!&gt;2,#REF!&lt;-2),"",#REF!)</f>
        <v>#REF!</v>
      </c>
      <c r="LU18" s="7" t="e">
        <f>IF(OR(#REF!&gt;2,#REF!&lt;-2),"",#REF!)</f>
        <v>#REF!</v>
      </c>
      <c r="LV18" s="7" t="e">
        <f>IF(OR(#REF!&gt;2,#REF!&lt;-2),"",#REF!)</f>
        <v>#REF!</v>
      </c>
      <c r="LW18" s="7" t="e">
        <f>IF(OR(#REF!&gt;2,#REF!&lt;-2),"",#REF!)</f>
        <v>#REF!</v>
      </c>
      <c r="LX18" s="7" t="e">
        <f>IF(OR(#REF!&gt;2,#REF!&lt;-2),"",#REF!)</f>
        <v>#REF!</v>
      </c>
      <c r="LY18" s="7" t="e">
        <f>IF(OR(#REF!&gt;2,#REF!&lt;-2),"",#REF!)</f>
        <v>#REF!</v>
      </c>
      <c r="LZ18" s="7" t="e">
        <f>IF(OR(#REF!&gt;2,#REF!&lt;-2),"",#REF!)</f>
        <v>#REF!</v>
      </c>
      <c r="MA18" s="7" t="e">
        <f>IF(OR(#REF!&gt;2,#REF!&lt;-2),"",#REF!)</f>
        <v>#REF!</v>
      </c>
      <c r="MB18" s="7" t="e">
        <f>IF(OR(#REF!&gt;2,#REF!&lt;-2),"",#REF!)</f>
        <v>#REF!</v>
      </c>
      <c r="MC18" s="7" t="e">
        <f>IF(OR(#REF!&gt;2,#REF!&lt;-2),"",#REF!)</f>
        <v>#REF!</v>
      </c>
      <c r="MD18" s="7" t="e">
        <f>IF(OR(#REF!&gt;2,#REF!&lt;-2),"",#REF!)</f>
        <v>#REF!</v>
      </c>
      <c r="ME18" s="7" t="e">
        <f>IF(OR(#REF!&gt;2,#REF!&lt;-2),"",#REF!)</f>
        <v>#REF!</v>
      </c>
      <c r="MF18" s="7" t="e">
        <f>IF(OR(#REF!&gt;2,#REF!&lt;-2),"",#REF!)</f>
        <v>#REF!</v>
      </c>
      <c r="MG18" s="7" t="e">
        <f>IF(OR(#REF!&gt;2,#REF!&lt;-2),"",#REF!)</f>
        <v>#REF!</v>
      </c>
      <c r="MH18" s="7" t="e">
        <f>IF(OR(#REF!&gt;2,#REF!&lt;-2),"",#REF!)</f>
        <v>#REF!</v>
      </c>
      <c r="MI18" s="7" t="e">
        <f>IF(OR(#REF!&gt;2,#REF!&lt;-2),"",#REF!)</f>
        <v>#REF!</v>
      </c>
      <c r="MJ18" s="7" t="e">
        <f>IF(OR(#REF!&gt;2,#REF!&lt;-2),"",#REF!)</f>
        <v>#REF!</v>
      </c>
      <c r="MK18" s="7" t="e">
        <f>IF(OR(#REF!&gt;2,#REF!&lt;-2),"",#REF!)</f>
        <v>#REF!</v>
      </c>
      <c r="ML18" s="7" t="e">
        <f>IF(OR(#REF!&gt;2,#REF!&lt;-2),"",#REF!)</f>
        <v>#REF!</v>
      </c>
      <c r="MM18" s="7" t="e">
        <f>IF(OR(#REF!&gt;2,#REF!&lt;-2),"",#REF!)</f>
        <v>#REF!</v>
      </c>
      <c r="MN18" s="7" t="e">
        <f>IF(OR(#REF!&gt;2,#REF!&lt;-2),"",#REF!)</f>
        <v>#REF!</v>
      </c>
      <c r="MO18" s="7" t="e">
        <f>IF(OR(#REF!&gt;2,#REF!&lt;-2),"",#REF!)</f>
        <v>#REF!</v>
      </c>
      <c r="MP18" s="7" t="e">
        <f>IF(OR(#REF!&gt;2,#REF!&lt;-2),"",#REF!)</f>
        <v>#REF!</v>
      </c>
      <c r="MQ18" s="7" t="e">
        <f>IF(OR(#REF!&gt;2,#REF!&lt;-2),"",#REF!)</f>
        <v>#REF!</v>
      </c>
      <c r="MR18" s="7" t="e">
        <f>IF(OR(#REF!&gt;2,#REF!&lt;-2),"",#REF!)</f>
        <v>#REF!</v>
      </c>
      <c r="MS18" s="7" t="e">
        <f>IF(OR(#REF!&gt;2,#REF!&lt;-2),"",#REF!)</f>
        <v>#REF!</v>
      </c>
      <c r="MT18" s="7" t="e">
        <f>IF(OR(#REF!&gt;2,#REF!&lt;-2),"",#REF!)</f>
        <v>#REF!</v>
      </c>
      <c r="MU18" s="7" t="e">
        <f>IF(OR(#REF!&gt;2,#REF!&lt;-2),"",#REF!)</f>
        <v>#REF!</v>
      </c>
      <c r="MV18" s="7" t="e">
        <f>IF(OR(#REF!&gt;2,#REF!&lt;-2),"",#REF!)</f>
        <v>#REF!</v>
      </c>
      <c r="MW18" s="7" t="e">
        <f>IF(OR(#REF!&gt;2,#REF!&lt;-2),"",#REF!)</f>
        <v>#REF!</v>
      </c>
      <c r="MX18" s="7" t="e">
        <f>IF(OR(#REF!&gt;2,#REF!&lt;-2),"",#REF!)</f>
        <v>#REF!</v>
      </c>
      <c r="MY18" s="7" t="e">
        <f>IF(OR(#REF!&gt;2,#REF!&lt;-2),"",#REF!)</f>
        <v>#REF!</v>
      </c>
      <c r="MZ18" s="7" t="e">
        <f>IF(OR(#REF!&gt;2,#REF!&lt;-2),"",#REF!)</f>
        <v>#REF!</v>
      </c>
      <c r="NA18" s="7" t="e">
        <f>IF(OR(#REF!&gt;2,#REF!&lt;-2),"",#REF!)</f>
        <v>#REF!</v>
      </c>
      <c r="NB18" s="7" t="e">
        <f>IF(OR(#REF!&gt;2,#REF!&lt;-2),"",#REF!)</f>
        <v>#REF!</v>
      </c>
      <c r="NC18" s="7" t="e">
        <f>IF(OR(#REF!&gt;2,#REF!&lt;-2),"",#REF!)</f>
        <v>#REF!</v>
      </c>
      <c r="ND18" s="7" t="e">
        <f>IF(OR(#REF!&gt;2,#REF!&lt;-2),"",#REF!)</f>
        <v>#REF!</v>
      </c>
      <c r="NE18" s="7" t="e">
        <f>IF(OR(#REF!&gt;2,#REF!&lt;-2),"",#REF!)</f>
        <v>#REF!</v>
      </c>
      <c r="NF18" s="7" t="e">
        <f>IF(OR(#REF!&gt;2,#REF!&lt;-2),"",#REF!)</f>
        <v>#REF!</v>
      </c>
      <c r="NG18" s="7" t="e">
        <f>IF(OR(#REF!&gt;2,#REF!&lt;-2),"",#REF!)</f>
        <v>#REF!</v>
      </c>
      <c r="NH18" s="7" t="e">
        <f>IF(OR(#REF!&gt;2,#REF!&lt;-2),"",#REF!)</f>
        <v>#REF!</v>
      </c>
      <c r="NI18" s="7" t="e">
        <f>IF(OR(#REF!&gt;2,#REF!&lt;-2),"",#REF!)</f>
        <v>#REF!</v>
      </c>
      <c r="NJ18" s="7" t="e">
        <f>IF(OR(#REF!&gt;2,#REF!&lt;-2),"",#REF!)</f>
        <v>#REF!</v>
      </c>
      <c r="NK18" s="7" t="e">
        <f>IF(OR(#REF!&gt;2,#REF!&lt;-2),"",#REF!)</f>
        <v>#REF!</v>
      </c>
      <c r="NL18" s="7" t="e">
        <f>IF(OR(#REF!&gt;2,#REF!&lt;-2),"",#REF!)</f>
        <v>#REF!</v>
      </c>
      <c r="NM18" s="7" t="e">
        <f>IF(OR(#REF!&gt;2,#REF!&lt;-2),"",#REF!)</f>
        <v>#REF!</v>
      </c>
      <c r="NN18" s="7" t="e">
        <f>IF(OR(#REF!&gt;2,#REF!&lt;-2),"",#REF!)</f>
        <v>#REF!</v>
      </c>
      <c r="NO18" s="7" t="e">
        <f>IF(OR(#REF!&gt;2,#REF!&lt;-2),"",#REF!)</f>
        <v>#REF!</v>
      </c>
      <c r="NP18" s="7" t="e">
        <f>IF(OR(#REF!&gt;2,#REF!&lt;-2),"",#REF!)</f>
        <v>#REF!</v>
      </c>
      <c r="NQ18" s="7" t="e">
        <f>IF(OR(#REF!&gt;2,#REF!&lt;-2),"",#REF!)</f>
        <v>#REF!</v>
      </c>
      <c r="NR18" s="7" t="e">
        <f>IF(OR(#REF!&gt;2,#REF!&lt;-2),"",#REF!)</f>
        <v>#REF!</v>
      </c>
      <c r="NS18" s="7" t="e">
        <f>IF(OR(#REF!&gt;2,#REF!&lt;-2),"",#REF!)</f>
        <v>#REF!</v>
      </c>
      <c r="NT18" s="7" t="e">
        <f>IF(OR(#REF!&gt;2,#REF!&lt;-2),"",#REF!)</f>
        <v>#REF!</v>
      </c>
      <c r="NU18" s="7" t="e">
        <f>IF(OR(#REF!&gt;2,#REF!&lt;-2),"",#REF!)</f>
        <v>#REF!</v>
      </c>
      <c r="NV18" s="7" t="e">
        <f>IF(OR(#REF!&gt;2,#REF!&lt;-2),"",#REF!)</f>
        <v>#REF!</v>
      </c>
      <c r="NW18" s="7" t="e">
        <f>IF(OR(#REF!&gt;2,#REF!&lt;-2),"",#REF!)</f>
        <v>#REF!</v>
      </c>
      <c r="NX18" s="7" t="e">
        <f>IF(OR(#REF!&gt;2,#REF!&lt;-2),"",#REF!)</f>
        <v>#REF!</v>
      </c>
      <c r="NY18" s="7" t="e">
        <f>IF(OR(#REF!&gt;2,#REF!&lt;-2),"",#REF!)</f>
        <v>#REF!</v>
      </c>
      <c r="NZ18" s="7" t="e">
        <f>IF(OR(#REF!&gt;2,#REF!&lt;-2),"",#REF!)</f>
        <v>#REF!</v>
      </c>
      <c r="OA18" s="7" t="e">
        <f>IF(OR(#REF!&gt;2,#REF!&lt;-2),"",#REF!)</f>
        <v>#REF!</v>
      </c>
      <c r="OB18" s="7" t="e">
        <f>IF(OR(#REF!&gt;2,#REF!&lt;-2),"",#REF!)</f>
        <v>#REF!</v>
      </c>
      <c r="OC18" s="7" t="e">
        <f>IF(OR(#REF!&gt;2,#REF!&lt;-2),"",#REF!)</f>
        <v>#REF!</v>
      </c>
      <c r="OD18" s="7" t="e">
        <f>IF(OR(#REF!&gt;2,#REF!&lt;-2),"",#REF!)</f>
        <v>#REF!</v>
      </c>
      <c r="OE18" s="7" t="e">
        <f>IF(OR(#REF!&gt;2,#REF!&lt;-2),"",#REF!)</f>
        <v>#REF!</v>
      </c>
      <c r="OF18" s="7" t="e">
        <f>IF(OR(#REF!&gt;2,#REF!&lt;-2),"",#REF!)</f>
        <v>#REF!</v>
      </c>
      <c r="OG18" s="7" t="e">
        <f>IF(OR(#REF!&gt;2,#REF!&lt;-2),"",#REF!)</f>
        <v>#REF!</v>
      </c>
      <c r="OH18" s="7" t="e">
        <f>IF(OR(#REF!&gt;2,#REF!&lt;-2),"",#REF!)</f>
        <v>#REF!</v>
      </c>
      <c r="OI18" s="7" t="e">
        <f>IF(OR(#REF!&gt;2,#REF!&lt;-2),"",#REF!)</f>
        <v>#REF!</v>
      </c>
      <c r="OJ18" s="7" t="e">
        <f>IF(OR(#REF!&gt;2,#REF!&lt;-2),"",#REF!)</f>
        <v>#REF!</v>
      </c>
      <c r="OK18" s="7" t="e">
        <f>IF(OR(#REF!&gt;2,#REF!&lt;-2),"",#REF!)</f>
        <v>#REF!</v>
      </c>
      <c r="OL18" s="7" t="e">
        <f>IF(OR(#REF!&gt;2,#REF!&lt;-2),"",#REF!)</f>
        <v>#REF!</v>
      </c>
      <c r="OM18" s="7" t="e">
        <f>IF(OR(#REF!&gt;2,#REF!&lt;-2),"",#REF!)</f>
        <v>#REF!</v>
      </c>
      <c r="ON18" s="7" t="e">
        <f>IF(OR(#REF!&gt;2,#REF!&lt;-2),"",#REF!)</f>
        <v>#REF!</v>
      </c>
      <c r="OO18" s="7" t="e">
        <f>IF(OR(#REF!&gt;2,#REF!&lt;-2),"",#REF!)</f>
        <v>#REF!</v>
      </c>
      <c r="OP18" s="7" t="e">
        <f>IF(OR(#REF!&gt;2,#REF!&lt;-2),"",#REF!)</f>
        <v>#REF!</v>
      </c>
      <c r="OQ18" s="7" t="e">
        <f>IF(OR(#REF!&gt;2,#REF!&lt;-2),"",#REF!)</f>
        <v>#REF!</v>
      </c>
      <c r="OR18" s="7" t="e">
        <f>IF(OR(#REF!&gt;2,#REF!&lt;-2),"",#REF!)</f>
        <v>#REF!</v>
      </c>
      <c r="OS18" s="7" t="e">
        <f>IF(OR(#REF!&gt;2,#REF!&lt;-2),"",#REF!)</f>
        <v>#REF!</v>
      </c>
      <c r="OT18" s="7" t="e">
        <f>IF(OR(#REF!&gt;2,#REF!&lt;-2),"",#REF!)</f>
        <v>#REF!</v>
      </c>
      <c r="OU18" s="7" t="e">
        <f>IF(OR(#REF!&gt;2,#REF!&lt;-2),"",#REF!)</f>
        <v>#REF!</v>
      </c>
      <c r="OV18" s="7" t="e">
        <f>IF(OR(#REF!&gt;2,#REF!&lt;-2),"",#REF!)</f>
        <v>#REF!</v>
      </c>
      <c r="OW18" s="7" t="e">
        <f>IF(OR(#REF!&gt;2,#REF!&lt;-2),"",#REF!)</f>
        <v>#REF!</v>
      </c>
      <c r="OX18" s="7" t="e">
        <f>IF(OR(#REF!&gt;2,#REF!&lt;-2),"",#REF!)</f>
        <v>#REF!</v>
      </c>
      <c r="OY18" s="7" t="e">
        <f>IF(OR(#REF!&gt;2,#REF!&lt;-2),"",#REF!)</f>
        <v>#REF!</v>
      </c>
      <c r="OZ18" s="7" t="e">
        <f>IF(OR(#REF!&gt;2,#REF!&lt;-2),"",#REF!)</f>
        <v>#REF!</v>
      </c>
      <c r="PA18" s="7" t="e">
        <f>IF(OR(#REF!&gt;2,#REF!&lt;-2),"",#REF!)</f>
        <v>#REF!</v>
      </c>
      <c r="PB18" s="7" t="e">
        <f>IF(OR(#REF!&gt;2,#REF!&lt;-2),"",#REF!)</f>
        <v>#REF!</v>
      </c>
      <c r="PC18" s="7" t="e">
        <f>IF(OR(#REF!&gt;2,#REF!&lt;-2),"",#REF!)</f>
        <v>#REF!</v>
      </c>
      <c r="PD18" s="7" t="e">
        <f>IF(OR(#REF!&gt;2,#REF!&lt;-2),"",#REF!)</f>
        <v>#REF!</v>
      </c>
      <c r="PE18" s="7" t="e">
        <f>IF(OR(#REF!&gt;2,#REF!&lt;-2),"",#REF!)</f>
        <v>#REF!</v>
      </c>
      <c r="PF18" s="7" t="e">
        <f>IF(OR(#REF!&gt;2,#REF!&lt;-2),"",#REF!)</f>
        <v>#REF!</v>
      </c>
      <c r="PG18" s="7" t="e">
        <f>IF(OR(#REF!&gt;2,#REF!&lt;-2),"",#REF!)</f>
        <v>#REF!</v>
      </c>
      <c r="PH18" s="7" t="e">
        <f>IF(OR(#REF!&gt;2,#REF!&lt;-2),"",#REF!)</f>
        <v>#REF!</v>
      </c>
      <c r="PI18" s="7" t="e">
        <f>IF(OR(#REF!&gt;2,#REF!&lt;-2),"",#REF!)</f>
        <v>#REF!</v>
      </c>
      <c r="PJ18" s="7" t="e">
        <f>IF(OR(#REF!&gt;2,#REF!&lt;-2),"",#REF!)</f>
        <v>#REF!</v>
      </c>
      <c r="PK18" s="7" t="e">
        <f>IF(OR(#REF!&gt;2,#REF!&lt;-2),"",#REF!)</f>
        <v>#REF!</v>
      </c>
      <c r="PL18" s="7" t="e">
        <f>IF(OR(#REF!&gt;2,#REF!&lt;-2),"",#REF!)</f>
        <v>#REF!</v>
      </c>
      <c r="PM18" s="7" t="e">
        <f>IF(OR(#REF!&gt;2,#REF!&lt;-2),"",#REF!)</f>
        <v>#REF!</v>
      </c>
      <c r="PN18" s="7" t="e">
        <f>IF(OR(#REF!&gt;2,#REF!&lt;-2),"",#REF!)</f>
        <v>#REF!</v>
      </c>
      <c r="PO18" s="7" t="e">
        <f>IF(OR(#REF!&gt;2,#REF!&lt;-2),"",#REF!)</f>
        <v>#REF!</v>
      </c>
      <c r="PP18" s="7" t="e">
        <f>IF(OR(#REF!&gt;2,#REF!&lt;-2),"",#REF!)</f>
        <v>#REF!</v>
      </c>
      <c r="PQ18" s="7" t="e">
        <f>IF(OR(#REF!&gt;2,#REF!&lt;-2),"",#REF!)</f>
        <v>#REF!</v>
      </c>
      <c r="PR18" s="7" t="e">
        <f>IF(OR(#REF!&gt;2,#REF!&lt;-2),"",#REF!)</f>
        <v>#REF!</v>
      </c>
      <c r="PS18" s="7" t="e">
        <f>IF(OR(#REF!&gt;2,#REF!&lt;-2),"",#REF!)</f>
        <v>#REF!</v>
      </c>
      <c r="PT18" s="7" t="e">
        <f>IF(OR(#REF!&gt;2,#REF!&lt;-2),"",#REF!)</f>
        <v>#REF!</v>
      </c>
      <c r="PU18" s="7" t="e">
        <f>IF(OR(#REF!&gt;2,#REF!&lt;-2),"",#REF!)</f>
        <v>#REF!</v>
      </c>
      <c r="PV18" s="7" t="e">
        <f>IF(OR(#REF!&gt;2,#REF!&lt;-2),"",#REF!)</f>
        <v>#REF!</v>
      </c>
      <c r="PW18" s="7" t="e">
        <f>IF(OR(#REF!&gt;2,#REF!&lt;-2),"",#REF!)</f>
        <v>#REF!</v>
      </c>
      <c r="PX18" s="7" t="e">
        <f>IF(OR(#REF!&gt;2,#REF!&lt;-2),"",#REF!)</f>
        <v>#REF!</v>
      </c>
      <c r="PY18" s="7" t="e">
        <f>IF(OR(#REF!&gt;2,#REF!&lt;-2),"",#REF!)</f>
        <v>#REF!</v>
      </c>
      <c r="PZ18" s="7" t="e">
        <f>IF(OR(#REF!&gt;2,#REF!&lt;-2),"",#REF!)</f>
        <v>#REF!</v>
      </c>
      <c r="QA18" s="7" t="e">
        <f>IF(OR(#REF!&gt;2,#REF!&lt;-2),"",#REF!)</f>
        <v>#REF!</v>
      </c>
      <c r="QB18" s="7" t="e">
        <f>IF(OR(#REF!&gt;2,#REF!&lt;-2),"",#REF!)</f>
        <v>#REF!</v>
      </c>
      <c r="QC18" s="7" t="e">
        <f>IF(OR(#REF!&gt;2,#REF!&lt;-2),"",#REF!)</f>
        <v>#REF!</v>
      </c>
      <c r="QD18" s="7" t="e">
        <f>IF(OR(#REF!&gt;2,#REF!&lt;-2),"",#REF!)</f>
        <v>#REF!</v>
      </c>
      <c r="QE18" s="7" t="e">
        <f>IF(OR(#REF!&gt;2,#REF!&lt;-2),"",#REF!)</f>
        <v>#REF!</v>
      </c>
      <c r="QF18" s="7" t="e">
        <f>IF(OR(#REF!&gt;2,#REF!&lt;-2),"",#REF!)</f>
        <v>#REF!</v>
      </c>
      <c r="QG18" s="7" t="e">
        <f>IF(OR(#REF!&gt;2,#REF!&lt;-2),"",#REF!)</f>
        <v>#REF!</v>
      </c>
      <c r="QH18" s="7" t="e">
        <f>IF(OR(#REF!&gt;2,#REF!&lt;-2),"",#REF!)</f>
        <v>#REF!</v>
      </c>
      <c r="QI18" s="7" t="e">
        <f>IF(OR(#REF!&gt;2,#REF!&lt;-2),"",#REF!)</f>
        <v>#REF!</v>
      </c>
      <c r="QJ18" s="7" t="e">
        <f>IF(OR(#REF!&gt;2,#REF!&lt;-2),"",#REF!)</f>
        <v>#REF!</v>
      </c>
      <c r="QK18" s="7" t="e">
        <f>IF(OR(#REF!&gt;2,#REF!&lt;-2),"",#REF!)</f>
        <v>#REF!</v>
      </c>
      <c r="QL18" s="7" t="e">
        <f>IF(OR(#REF!&gt;2,#REF!&lt;-2),"",#REF!)</f>
        <v>#REF!</v>
      </c>
      <c r="QM18" s="7" t="e">
        <f>IF(OR(#REF!&gt;2,#REF!&lt;-2),"",#REF!)</f>
        <v>#REF!</v>
      </c>
      <c r="QN18" s="7" t="e">
        <f>IF(OR(#REF!&gt;2,#REF!&lt;-2),"",#REF!)</f>
        <v>#REF!</v>
      </c>
      <c r="QO18" s="7" t="e">
        <f>IF(OR(#REF!&gt;2,#REF!&lt;-2),"",#REF!)</f>
        <v>#REF!</v>
      </c>
      <c r="QP18" s="7" t="e">
        <f>IF(OR(#REF!&gt;2,#REF!&lt;-2),"",#REF!)</f>
        <v>#REF!</v>
      </c>
      <c r="QQ18" s="7" t="e">
        <f>IF(OR(#REF!&gt;2,#REF!&lt;-2),"",#REF!)</f>
        <v>#REF!</v>
      </c>
      <c r="QR18" s="7" t="e">
        <f>IF(OR(#REF!&gt;2,#REF!&lt;-2),"",#REF!)</f>
        <v>#REF!</v>
      </c>
      <c r="QS18" s="7" t="e">
        <f>IF(OR(#REF!&gt;2,#REF!&lt;-2),"",#REF!)</f>
        <v>#REF!</v>
      </c>
      <c r="QT18" s="7" t="e">
        <f>IF(OR(#REF!&gt;2,#REF!&lt;-2),"",#REF!)</f>
        <v>#REF!</v>
      </c>
      <c r="QU18" s="7" t="e">
        <f>IF(OR(#REF!&gt;2,#REF!&lt;-2),"",#REF!)</f>
        <v>#REF!</v>
      </c>
      <c r="QV18" s="7" t="e">
        <f>IF(OR(#REF!&gt;2,#REF!&lt;-2),"",#REF!)</f>
        <v>#REF!</v>
      </c>
      <c r="QW18" s="7" t="e">
        <f>IF(OR(#REF!&gt;2,#REF!&lt;-2),"",#REF!)</f>
        <v>#REF!</v>
      </c>
      <c r="QX18" s="7" t="e">
        <f>IF(OR(#REF!&gt;2,#REF!&lt;-2),"",#REF!)</f>
        <v>#REF!</v>
      </c>
      <c r="QY18" s="7" t="e">
        <f>IF(OR(#REF!&gt;2,#REF!&lt;-2),"",#REF!)</f>
        <v>#REF!</v>
      </c>
      <c r="QZ18" s="7" t="e">
        <f>IF(OR(#REF!&gt;2,#REF!&lt;-2),"",#REF!)</f>
        <v>#REF!</v>
      </c>
      <c r="RA18" s="7" t="e">
        <f>IF(OR(#REF!&gt;2,#REF!&lt;-2),"",#REF!)</f>
        <v>#REF!</v>
      </c>
      <c r="RB18" s="7" t="e">
        <f>IF(OR(#REF!&gt;2,#REF!&lt;-2),"",#REF!)</f>
        <v>#REF!</v>
      </c>
      <c r="RC18" s="7" t="e">
        <f>IF(OR(#REF!&gt;2,#REF!&lt;-2),"",#REF!)</f>
        <v>#REF!</v>
      </c>
      <c r="RD18" s="7" t="e">
        <f>IF(OR(#REF!&gt;2,#REF!&lt;-2),"",#REF!)</f>
        <v>#REF!</v>
      </c>
      <c r="RE18" s="7" t="e">
        <f>IF(OR(#REF!&gt;2,#REF!&lt;-2),"",#REF!)</f>
        <v>#REF!</v>
      </c>
      <c r="RF18" s="7" t="e">
        <f>IF(OR(#REF!&gt;2,#REF!&lt;-2),"",#REF!)</f>
        <v>#REF!</v>
      </c>
      <c r="RG18" s="7" t="e">
        <f>IF(OR(#REF!&gt;2,#REF!&lt;-2),"",#REF!)</f>
        <v>#REF!</v>
      </c>
      <c r="RH18" s="7" t="e">
        <f>IF(OR(#REF!&gt;2,#REF!&lt;-2),"",#REF!)</f>
        <v>#REF!</v>
      </c>
      <c r="RI18" s="7" t="e">
        <f>IF(OR(#REF!&gt;2,#REF!&lt;-2),"",#REF!)</f>
        <v>#REF!</v>
      </c>
      <c r="RJ18" s="7" t="e">
        <f>IF(OR(#REF!&gt;2,#REF!&lt;-2),"",#REF!)</f>
        <v>#REF!</v>
      </c>
      <c r="RK18" s="7" t="e">
        <f>IF(OR(#REF!&gt;2,#REF!&lt;-2),"",#REF!)</f>
        <v>#REF!</v>
      </c>
      <c r="RL18" s="7" t="e">
        <f>IF(OR(#REF!&gt;2,#REF!&lt;-2),"",#REF!)</f>
        <v>#REF!</v>
      </c>
      <c r="RM18" s="7" t="e">
        <f>IF(OR(#REF!&gt;2,#REF!&lt;-2),"",#REF!)</f>
        <v>#REF!</v>
      </c>
      <c r="RN18" s="7" t="e">
        <f>IF(OR(#REF!&gt;2,#REF!&lt;-2),"",#REF!)</f>
        <v>#REF!</v>
      </c>
      <c r="RO18" s="7" t="e">
        <f>IF(OR(#REF!&gt;2,#REF!&lt;-2),"",#REF!)</f>
        <v>#REF!</v>
      </c>
      <c r="RP18" s="7" t="e">
        <f>IF(OR(#REF!&gt;2,#REF!&lt;-2),"",#REF!)</f>
        <v>#REF!</v>
      </c>
      <c r="RQ18" s="7" t="e">
        <f>IF(OR(#REF!&gt;2,#REF!&lt;-2),"",#REF!)</f>
        <v>#REF!</v>
      </c>
      <c r="RR18" s="7" t="e">
        <f>IF(OR(#REF!&gt;2,#REF!&lt;-2),"",#REF!)</f>
        <v>#REF!</v>
      </c>
      <c r="RS18" s="7" t="e">
        <f>IF(OR(#REF!&gt;2,#REF!&lt;-2),"",#REF!)</f>
        <v>#REF!</v>
      </c>
      <c r="RT18" s="7" t="e">
        <f>IF(OR(#REF!&gt;2,#REF!&lt;-2),"",#REF!)</f>
        <v>#REF!</v>
      </c>
      <c r="RU18" s="7" t="e">
        <f>IF(OR(#REF!&gt;2,#REF!&lt;-2),"",#REF!)</f>
        <v>#REF!</v>
      </c>
      <c r="RV18" s="7" t="e">
        <f>IF(OR(#REF!&gt;2,#REF!&lt;-2),"",#REF!)</f>
        <v>#REF!</v>
      </c>
      <c r="RW18" s="7" t="e">
        <f>IF(OR(#REF!&gt;2,#REF!&lt;-2),"",#REF!)</f>
        <v>#REF!</v>
      </c>
      <c r="RX18" s="7" t="e">
        <f>IF(OR(#REF!&gt;2,#REF!&lt;-2),"",#REF!)</f>
        <v>#REF!</v>
      </c>
      <c r="RY18" s="7" t="e">
        <f>IF(OR(#REF!&gt;2,#REF!&lt;-2),"",#REF!)</f>
        <v>#REF!</v>
      </c>
      <c r="RZ18" s="7" t="e">
        <f>IF(OR(#REF!&gt;2,#REF!&lt;-2),"",#REF!)</f>
        <v>#REF!</v>
      </c>
      <c r="SA18" s="7" t="e">
        <f>IF(OR(#REF!&gt;2,#REF!&lt;-2),"",#REF!)</f>
        <v>#REF!</v>
      </c>
      <c r="SB18" s="7" t="e">
        <f>IF(OR(#REF!&gt;2,#REF!&lt;-2),"",#REF!)</f>
        <v>#REF!</v>
      </c>
      <c r="SC18" s="7" t="e">
        <f>IF(OR(#REF!&gt;2,#REF!&lt;-2),"",#REF!)</f>
        <v>#REF!</v>
      </c>
      <c r="SD18" s="7" t="e">
        <f>IF(OR(#REF!&gt;2,#REF!&lt;-2),"",#REF!)</f>
        <v>#REF!</v>
      </c>
      <c r="SE18" s="7" t="e">
        <f>IF(OR(#REF!&gt;2,#REF!&lt;-2),"",#REF!)</f>
        <v>#REF!</v>
      </c>
      <c r="SF18" s="7" t="e">
        <f>IF(OR(#REF!&gt;2,#REF!&lt;-2),"",#REF!)</f>
        <v>#REF!</v>
      </c>
      <c r="SG18" s="7" t="e">
        <f>IF(OR(#REF!&gt;2,#REF!&lt;-2),"",#REF!)</f>
        <v>#REF!</v>
      </c>
      <c r="SH18" s="7" t="e">
        <f>IF(OR(#REF!&gt;2,#REF!&lt;-2),"",#REF!)</f>
        <v>#REF!</v>
      </c>
      <c r="SI18" s="7" t="e">
        <f>IF(OR(#REF!&gt;2,#REF!&lt;-2),"",#REF!)</f>
        <v>#REF!</v>
      </c>
      <c r="SJ18" s="7" t="e">
        <f>IF(OR(#REF!&gt;2,#REF!&lt;-2),"",#REF!)</f>
        <v>#REF!</v>
      </c>
      <c r="SK18" s="7" t="e">
        <f>IF(OR(#REF!&gt;2,#REF!&lt;-2),"",#REF!)</f>
        <v>#REF!</v>
      </c>
      <c r="SL18" s="7" t="e">
        <f>IF(OR(#REF!&gt;2,#REF!&lt;-2),"",#REF!)</f>
        <v>#REF!</v>
      </c>
      <c r="SM18" s="7" t="e">
        <f>IF(OR(#REF!&gt;2,#REF!&lt;-2),"",#REF!)</f>
        <v>#REF!</v>
      </c>
      <c r="SN18" s="7" t="e">
        <f>IF(OR(#REF!&gt;2,#REF!&lt;-2),"",#REF!)</f>
        <v>#REF!</v>
      </c>
      <c r="SO18" s="7" t="e">
        <f>IF(OR(#REF!&gt;2,#REF!&lt;-2),"",#REF!)</f>
        <v>#REF!</v>
      </c>
      <c r="SP18" s="7" t="e">
        <f>IF(OR(#REF!&gt;2,#REF!&lt;-2),"",#REF!)</f>
        <v>#REF!</v>
      </c>
      <c r="SQ18" s="7" t="e">
        <f>IF(OR(#REF!&gt;2,#REF!&lt;-2),"",#REF!)</f>
        <v>#REF!</v>
      </c>
      <c r="SR18" s="7" t="e">
        <f>IF(OR(#REF!&gt;2,#REF!&lt;-2),"",#REF!)</f>
        <v>#REF!</v>
      </c>
      <c r="SS18" s="7" t="e">
        <f>IF(OR(#REF!&gt;2,#REF!&lt;-2),"",#REF!)</f>
        <v>#REF!</v>
      </c>
      <c r="ST18" s="7" t="e">
        <f>IF(OR(#REF!&gt;2,#REF!&lt;-2),"",#REF!)</f>
        <v>#REF!</v>
      </c>
      <c r="SU18" s="7" t="e">
        <f>IF(OR(#REF!&gt;2,#REF!&lt;-2),"",#REF!)</f>
        <v>#REF!</v>
      </c>
      <c r="SV18" s="7" t="e">
        <f>IF(OR(#REF!&gt;2,#REF!&lt;-2),"",#REF!)</f>
        <v>#REF!</v>
      </c>
      <c r="SW18" s="7" t="e">
        <f>IF(OR(#REF!&gt;2,#REF!&lt;-2),"",#REF!)</f>
        <v>#REF!</v>
      </c>
      <c r="SX18" s="7" t="e">
        <f>IF(OR(#REF!&gt;2,#REF!&lt;-2),"",#REF!)</f>
        <v>#REF!</v>
      </c>
      <c r="SY18" s="7" t="e">
        <f>IF(OR(#REF!&gt;2,#REF!&lt;-2),"",#REF!)</f>
        <v>#REF!</v>
      </c>
      <c r="SZ18" s="7" t="e">
        <f>IF(OR(#REF!&gt;2,#REF!&lt;-2),"",#REF!)</f>
        <v>#REF!</v>
      </c>
      <c r="TA18" s="7" t="e">
        <f>IF(OR(#REF!&gt;2,#REF!&lt;-2),"",#REF!)</f>
        <v>#REF!</v>
      </c>
      <c r="TB18" s="7" t="e">
        <f>IF(OR(#REF!&gt;2,#REF!&lt;-2),"",#REF!)</f>
        <v>#REF!</v>
      </c>
      <c r="TC18" s="7" t="e">
        <f>IF(OR(#REF!&gt;2,#REF!&lt;-2),"",#REF!)</f>
        <v>#REF!</v>
      </c>
      <c r="TD18" s="7" t="e">
        <f>IF(OR(#REF!&gt;2,#REF!&lt;-2),"",#REF!)</f>
        <v>#REF!</v>
      </c>
      <c r="TE18" s="7" t="e">
        <f>IF(OR(#REF!&gt;2,#REF!&lt;-2),"",#REF!)</f>
        <v>#REF!</v>
      </c>
      <c r="TF18" s="7" t="e">
        <f>IF(OR(#REF!&gt;2,#REF!&lt;-2),"",#REF!)</f>
        <v>#REF!</v>
      </c>
      <c r="TG18" s="7" t="e">
        <f>IF(OR(#REF!&gt;2,#REF!&lt;-2),"",#REF!)</f>
        <v>#REF!</v>
      </c>
      <c r="TH18" s="7" t="e">
        <f>IF(OR(#REF!&gt;2,#REF!&lt;-2),"",#REF!)</f>
        <v>#REF!</v>
      </c>
      <c r="TI18" s="7" t="e">
        <f>IF(OR(#REF!&gt;2,#REF!&lt;-2),"",#REF!)</f>
        <v>#REF!</v>
      </c>
      <c r="TJ18" s="7" t="e">
        <f>IF(OR(#REF!&gt;2,#REF!&lt;-2),"",#REF!)</f>
        <v>#REF!</v>
      </c>
      <c r="TK18" s="7" t="e">
        <f>IF(OR(#REF!&gt;2,#REF!&lt;-2),"",#REF!)</f>
        <v>#REF!</v>
      </c>
      <c r="TL18" s="7" t="e">
        <f>IF(OR(#REF!&gt;2,#REF!&lt;-2),"",#REF!)</f>
        <v>#REF!</v>
      </c>
      <c r="TM18" s="7" t="e">
        <f>IF(OR(#REF!&gt;2,#REF!&lt;-2),"",#REF!)</f>
        <v>#REF!</v>
      </c>
      <c r="TN18" s="7" t="e">
        <f>IF(OR(#REF!&gt;2,#REF!&lt;-2),"",#REF!)</f>
        <v>#REF!</v>
      </c>
      <c r="TO18" s="7" t="e">
        <f>IF(OR(#REF!&gt;2,#REF!&lt;-2),"",#REF!)</f>
        <v>#REF!</v>
      </c>
      <c r="TP18" s="7" t="e">
        <f>IF(OR(#REF!&gt;2,#REF!&lt;-2),"",#REF!)</f>
        <v>#REF!</v>
      </c>
      <c r="TQ18" s="7" t="e">
        <f>IF(OR(#REF!&gt;2,#REF!&lt;-2),"",#REF!)</f>
        <v>#REF!</v>
      </c>
      <c r="TR18" s="7" t="e">
        <f>IF(OR(#REF!&gt;2,#REF!&lt;-2),"",#REF!)</f>
        <v>#REF!</v>
      </c>
      <c r="TS18" s="7" t="e">
        <f>IF(OR(#REF!&gt;2,#REF!&lt;-2),"",#REF!)</f>
        <v>#REF!</v>
      </c>
      <c r="TT18" s="7" t="e">
        <f>IF(OR(#REF!&gt;2,#REF!&lt;-2),"",#REF!)</f>
        <v>#REF!</v>
      </c>
      <c r="TU18" s="7" t="e">
        <f>IF(OR(#REF!&gt;2,#REF!&lt;-2),"",#REF!)</f>
        <v>#REF!</v>
      </c>
      <c r="TV18" s="7" t="e">
        <f>IF(OR(#REF!&gt;2,#REF!&lt;-2),"",#REF!)</f>
        <v>#REF!</v>
      </c>
      <c r="TW18" s="7" t="e">
        <f>IF(OR(#REF!&gt;2,#REF!&lt;-2),"",#REF!)</f>
        <v>#REF!</v>
      </c>
      <c r="TX18" s="7" t="e">
        <f>IF(OR(#REF!&gt;2,#REF!&lt;-2),"",#REF!)</f>
        <v>#REF!</v>
      </c>
      <c r="TY18" s="7" t="e">
        <f>IF(OR(#REF!&gt;2,#REF!&lt;-2),"",#REF!)</f>
        <v>#REF!</v>
      </c>
      <c r="TZ18" s="7" t="e">
        <f>IF(OR(#REF!&gt;2,#REF!&lt;-2),"",#REF!)</f>
        <v>#REF!</v>
      </c>
      <c r="UA18" s="7" t="e">
        <f>IF(OR(#REF!&gt;2,#REF!&lt;-2),"",#REF!)</f>
        <v>#REF!</v>
      </c>
      <c r="UB18" s="7" t="e">
        <f>IF(OR(#REF!&gt;2,#REF!&lt;-2),"",#REF!)</f>
        <v>#REF!</v>
      </c>
      <c r="UC18" s="7" t="e">
        <f>IF(OR(#REF!&gt;2,#REF!&lt;-2),"",#REF!)</f>
        <v>#REF!</v>
      </c>
      <c r="UD18" s="7" t="e">
        <f>IF(OR(#REF!&gt;2,#REF!&lt;-2),"",#REF!)</f>
        <v>#REF!</v>
      </c>
      <c r="UE18" s="7" t="e">
        <f>IF(OR(#REF!&gt;2,#REF!&lt;-2),"",#REF!)</f>
        <v>#REF!</v>
      </c>
      <c r="UF18" s="7" t="e">
        <f>IF(OR(#REF!&gt;2,#REF!&lt;-2),"",#REF!)</f>
        <v>#REF!</v>
      </c>
      <c r="UG18" s="7" t="e">
        <f>IF(OR(#REF!&gt;2,#REF!&lt;-2),"",#REF!)</f>
        <v>#REF!</v>
      </c>
      <c r="UH18" s="7" t="e">
        <f>IF(OR(#REF!&gt;2,#REF!&lt;-2),"",#REF!)</f>
        <v>#REF!</v>
      </c>
      <c r="UI18" s="7" t="e">
        <f>IF(OR(#REF!&gt;2,#REF!&lt;-2),"",#REF!)</f>
        <v>#REF!</v>
      </c>
      <c r="UJ18" s="7" t="e">
        <f>IF(OR(#REF!&gt;2,#REF!&lt;-2),"",#REF!)</f>
        <v>#REF!</v>
      </c>
      <c r="UK18" s="7" t="e">
        <f>IF(OR(#REF!&gt;2,#REF!&lt;-2),"",#REF!)</f>
        <v>#REF!</v>
      </c>
      <c r="UL18" s="7" t="e">
        <f>IF(OR(#REF!&gt;2,#REF!&lt;-2),"",#REF!)</f>
        <v>#REF!</v>
      </c>
      <c r="UM18" s="7" t="e">
        <f>IF(OR(#REF!&gt;2,#REF!&lt;-2),"",#REF!)</f>
        <v>#REF!</v>
      </c>
      <c r="UN18" s="7" t="e">
        <f>IF(OR(#REF!&gt;2,#REF!&lt;-2),"",#REF!)</f>
        <v>#REF!</v>
      </c>
      <c r="UO18" s="7" t="e">
        <f>IF(OR(#REF!&gt;2,#REF!&lt;-2),"",#REF!)</f>
        <v>#REF!</v>
      </c>
      <c r="UP18" s="7" t="e">
        <f>IF(OR(#REF!&gt;2,#REF!&lt;-2),"",#REF!)</f>
        <v>#REF!</v>
      </c>
    </row>
    <row r="19" spans="1:562" x14ac:dyDescent="0.35">
      <c r="A19">
        <v>184</v>
      </c>
      <c r="B19">
        <v>1</v>
      </c>
      <c r="C19" s="7" t="e">
        <f>IF(OR(#REF!&gt;2,#REF!&lt;-2),"",#REF!)</f>
        <v>#REF!</v>
      </c>
      <c r="D19" s="7" t="e">
        <f>IF(OR(#REF!&gt;2,#REF!&lt;-2),"",#REF!)</f>
        <v>#REF!</v>
      </c>
      <c r="E19" s="7" t="e">
        <f>IF(OR(#REF!&gt;2,#REF!&lt;-2),"",#REF!)</f>
        <v>#REF!</v>
      </c>
      <c r="F19" s="7" t="e">
        <f>IF(OR(#REF!&gt;2,#REF!&lt;-2),"",#REF!)</f>
        <v>#REF!</v>
      </c>
      <c r="G19" s="7" t="e">
        <f>IF(OR(#REF!&gt;2,#REF!&lt;-2),"",#REF!)</f>
        <v>#REF!</v>
      </c>
      <c r="H19" s="7" t="e">
        <f>IF(OR(#REF!&gt;2,#REF!&lt;-2),"",#REF!)</f>
        <v>#REF!</v>
      </c>
      <c r="I19" s="7" t="e">
        <f>IF(OR(#REF!&gt;2,#REF!&lt;-2),"",#REF!)</f>
        <v>#REF!</v>
      </c>
      <c r="J19" s="7" t="e">
        <f>IF(OR(#REF!&gt;2,#REF!&lt;-2),"",#REF!)</f>
        <v>#REF!</v>
      </c>
      <c r="K19" s="7" t="e">
        <f>IF(OR(#REF!&gt;2,#REF!&lt;-2),"",#REF!)</f>
        <v>#REF!</v>
      </c>
      <c r="L19" s="7" t="e">
        <f>IF(OR(#REF!&gt;2,#REF!&lt;-2),"",#REF!)</f>
        <v>#REF!</v>
      </c>
      <c r="M19" s="7" t="e">
        <f>IF(OR(#REF!&gt;2,#REF!&lt;-2),"",#REF!)</f>
        <v>#REF!</v>
      </c>
      <c r="N19" s="7" t="e">
        <f>IF(OR(#REF!&gt;2,#REF!&lt;-2),"",#REF!)</f>
        <v>#REF!</v>
      </c>
      <c r="O19" s="7" t="e">
        <f>IF(OR(#REF!&gt;2,#REF!&lt;-2),"",#REF!)</f>
        <v>#REF!</v>
      </c>
      <c r="P19" s="7" t="e">
        <f>IF(OR(#REF!&gt;2,#REF!&lt;-2),"",#REF!)</f>
        <v>#REF!</v>
      </c>
      <c r="Q19" s="7" t="e">
        <f>IF(OR(#REF!&gt;2,#REF!&lt;-2),"",#REF!)</f>
        <v>#REF!</v>
      </c>
      <c r="R19" s="7" t="e">
        <f>IF(OR(#REF!&gt;2,#REF!&lt;-2),"",#REF!)</f>
        <v>#REF!</v>
      </c>
      <c r="S19" s="7" t="e">
        <f>IF(OR(#REF!&gt;2,#REF!&lt;-2),"",#REF!)</f>
        <v>#REF!</v>
      </c>
      <c r="T19" s="7" t="e">
        <f>IF(OR(#REF!&gt;2,#REF!&lt;-2),"",#REF!)</f>
        <v>#REF!</v>
      </c>
      <c r="U19" s="7" t="e">
        <f>IF(OR(#REF!&gt;2,#REF!&lt;-2),"",#REF!)</f>
        <v>#REF!</v>
      </c>
      <c r="V19" s="7" t="e">
        <f>IF(OR(#REF!&gt;2,#REF!&lt;-2),"",#REF!)</f>
        <v>#REF!</v>
      </c>
      <c r="W19" s="7" t="e">
        <f>IF(OR(#REF!&gt;2,#REF!&lt;-2),"",#REF!)</f>
        <v>#REF!</v>
      </c>
      <c r="X19" s="7" t="e">
        <f>IF(OR(#REF!&gt;2,#REF!&lt;-2),"",#REF!)</f>
        <v>#REF!</v>
      </c>
      <c r="Y19" s="7" t="e">
        <f>IF(OR(#REF!&gt;2,#REF!&lt;-2),"",#REF!)</f>
        <v>#REF!</v>
      </c>
      <c r="Z19" s="7" t="e">
        <f>IF(OR(#REF!&gt;2,#REF!&lt;-2),"",#REF!)</f>
        <v>#REF!</v>
      </c>
      <c r="AA19" s="7" t="e">
        <f>IF(OR(#REF!&gt;2,#REF!&lt;-2),"",#REF!)</f>
        <v>#REF!</v>
      </c>
      <c r="AB19" s="7" t="e">
        <f>IF(OR(#REF!&gt;2,#REF!&lt;-2),"",#REF!)</f>
        <v>#REF!</v>
      </c>
      <c r="AC19" s="7" t="e">
        <f>IF(OR(#REF!&gt;2,#REF!&lt;-2),"",#REF!)</f>
        <v>#REF!</v>
      </c>
      <c r="AD19" s="7" t="e">
        <f>IF(OR(#REF!&gt;2,#REF!&lt;-2),"",#REF!)</f>
        <v>#REF!</v>
      </c>
      <c r="AE19" s="7" t="e">
        <f>IF(OR(#REF!&gt;2,#REF!&lt;-2),"",#REF!)</f>
        <v>#REF!</v>
      </c>
      <c r="AF19" s="7" t="e">
        <f>IF(OR(#REF!&gt;2,#REF!&lt;-2),"",#REF!)</f>
        <v>#REF!</v>
      </c>
      <c r="AG19" s="7" t="e">
        <f>IF(OR(#REF!&gt;2,#REF!&lt;-2),"",#REF!)</f>
        <v>#REF!</v>
      </c>
      <c r="AH19" s="7" t="e">
        <f>IF(OR(#REF!&gt;2,#REF!&lt;-2),"",#REF!)</f>
        <v>#REF!</v>
      </c>
      <c r="AI19" s="7" t="e">
        <f>IF(OR(#REF!&gt;2,#REF!&lt;-2),"",#REF!)</f>
        <v>#REF!</v>
      </c>
      <c r="AJ19" s="7" t="e">
        <f>IF(OR(#REF!&gt;2,#REF!&lt;-2),"",#REF!)</f>
        <v>#REF!</v>
      </c>
      <c r="AK19" s="7" t="e">
        <f>IF(OR(#REF!&gt;2,#REF!&lt;-2),"",#REF!)</f>
        <v>#REF!</v>
      </c>
      <c r="AL19" s="7" t="e">
        <f>IF(OR(#REF!&gt;2,#REF!&lt;-2),"",#REF!)</f>
        <v>#REF!</v>
      </c>
      <c r="AM19" s="7" t="e">
        <f>IF(OR(#REF!&gt;2,#REF!&lt;-2),"",#REF!)</f>
        <v>#REF!</v>
      </c>
      <c r="AN19" s="7" t="e">
        <f>IF(OR(#REF!&gt;2,#REF!&lt;-2),"",#REF!)</f>
        <v>#REF!</v>
      </c>
      <c r="AO19" s="7" t="e">
        <f>IF(OR(#REF!&gt;2,#REF!&lt;-2),"",#REF!)</f>
        <v>#REF!</v>
      </c>
      <c r="AP19" s="7" t="e">
        <f>IF(OR(#REF!&gt;2,#REF!&lt;-2),"",#REF!)</f>
        <v>#REF!</v>
      </c>
      <c r="AQ19" s="7" t="e">
        <f>IF(OR(#REF!&gt;2,#REF!&lt;-2),"",#REF!)</f>
        <v>#REF!</v>
      </c>
      <c r="AR19" s="7" t="e">
        <f>IF(OR(#REF!&gt;2,#REF!&lt;-2),"",#REF!)</f>
        <v>#REF!</v>
      </c>
      <c r="AS19" s="7" t="e">
        <f>IF(OR(#REF!&gt;2,#REF!&lt;-2),"",#REF!)</f>
        <v>#REF!</v>
      </c>
      <c r="AT19" s="7" t="e">
        <f>IF(OR(#REF!&gt;2,#REF!&lt;-2),"",#REF!)</f>
        <v>#REF!</v>
      </c>
      <c r="AU19" s="7" t="e">
        <f>IF(OR(#REF!&gt;2,#REF!&lt;-2),"",#REF!)</f>
        <v>#REF!</v>
      </c>
      <c r="AV19" s="7" t="e">
        <f>IF(OR(#REF!&gt;2,#REF!&lt;-2),"",#REF!)</f>
        <v>#REF!</v>
      </c>
      <c r="AW19" s="7" t="e">
        <f>IF(OR(#REF!&gt;2,#REF!&lt;-2),"",#REF!)</f>
        <v>#REF!</v>
      </c>
      <c r="AX19" s="7" t="e">
        <f>IF(OR(#REF!&gt;2,#REF!&lt;-2),"",#REF!)</f>
        <v>#REF!</v>
      </c>
      <c r="AY19" s="7" t="e">
        <f>IF(OR(#REF!&gt;2,#REF!&lt;-2),"",#REF!)</f>
        <v>#REF!</v>
      </c>
      <c r="AZ19" s="7" t="e">
        <f>IF(OR(#REF!&gt;2,#REF!&lt;-2),"",#REF!)</f>
        <v>#REF!</v>
      </c>
      <c r="BA19" s="7" t="e">
        <f>IF(OR(#REF!&gt;2,#REF!&lt;-2),"",#REF!)</f>
        <v>#REF!</v>
      </c>
      <c r="BB19" s="7" t="e">
        <f>IF(OR(#REF!&gt;2,#REF!&lt;-2),"",#REF!)</f>
        <v>#REF!</v>
      </c>
      <c r="BC19" s="7" t="e">
        <f>IF(OR(#REF!&gt;2,#REF!&lt;-2),"",#REF!)</f>
        <v>#REF!</v>
      </c>
      <c r="BD19" s="7" t="e">
        <f>IF(OR(#REF!&gt;2,#REF!&lt;-2),"",#REF!)</f>
        <v>#REF!</v>
      </c>
      <c r="BE19" s="7" t="e">
        <f>IF(OR(#REF!&gt;2,#REF!&lt;-2),"",#REF!)</f>
        <v>#REF!</v>
      </c>
      <c r="BF19" s="7" t="e">
        <f>IF(OR(#REF!&gt;2,#REF!&lt;-2),"",#REF!)</f>
        <v>#REF!</v>
      </c>
      <c r="BG19" s="7" t="e">
        <f>IF(OR(#REF!&gt;2,#REF!&lt;-2),"",#REF!)</f>
        <v>#REF!</v>
      </c>
      <c r="BH19" s="7" t="e">
        <f>IF(OR(#REF!&gt;2,#REF!&lt;-2),"",#REF!)</f>
        <v>#REF!</v>
      </c>
      <c r="BI19" s="7" t="e">
        <f>IF(OR(#REF!&gt;2,#REF!&lt;-2),"",#REF!)</f>
        <v>#REF!</v>
      </c>
      <c r="BJ19" s="7" t="e">
        <f>IF(OR(#REF!&gt;2,#REF!&lt;-2),"",#REF!)</f>
        <v>#REF!</v>
      </c>
      <c r="BK19" s="7" t="e">
        <f>IF(OR(#REF!&gt;2,#REF!&lt;-2),"",#REF!)</f>
        <v>#REF!</v>
      </c>
      <c r="BL19" s="7" t="e">
        <f>IF(OR(#REF!&gt;2,#REF!&lt;-2),"",#REF!)</f>
        <v>#REF!</v>
      </c>
      <c r="BM19" s="7" t="e">
        <f>IF(OR(#REF!&gt;2,#REF!&lt;-2),"",#REF!)</f>
        <v>#REF!</v>
      </c>
      <c r="BN19" s="7" t="e">
        <f>IF(OR(#REF!&gt;2,#REF!&lt;-2),"",#REF!)</f>
        <v>#REF!</v>
      </c>
      <c r="BO19" s="7" t="e">
        <f>IF(OR(#REF!&gt;2,#REF!&lt;-2),"",#REF!)</f>
        <v>#REF!</v>
      </c>
      <c r="BP19" s="7" t="e">
        <f>IF(OR(#REF!&gt;2,#REF!&lt;-2),"",#REF!)</f>
        <v>#REF!</v>
      </c>
      <c r="BQ19" s="7" t="e">
        <f>IF(OR(#REF!&gt;2,#REF!&lt;-2),"",#REF!)</f>
        <v>#REF!</v>
      </c>
      <c r="BR19" s="7" t="e">
        <f>IF(OR(#REF!&gt;2,#REF!&lt;-2),"",#REF!)</f>
        <v>#REF!</v>
      </c>
      <c r="BS19" s="7" t="e">
        <f>IF(OR(#REF!&gt;2,#REF!&lt;-2),"",#REF!)</f>
        <v>#REF!</v>
      </c>
      <c r="BT19" s="7" t="e">
        <f>IF(OR(#REF!&gt;2,#REF!&lt;-2),"",#REF!)</f>
        <v>#REF!</v>
      </c>
      <c r="BU19" s="7" t="e">
        <f>IF(OR(#REF!&gt;2,#REF!&lt;-2),"",#REF!)</f>
        <v>#REF!</v>
      </c>
      <c r="BV19" s="7" t="e">
        <f>IF(OR(#REF!&gt;2,#REF!&lt;-2),"",#REF!)</f>
        <v>#REF!</v>
      </c>
      <c r="BW19" s="7" t="e">
        <f>IF(OR(#REF!&gt;2,#REF!&lt;-2),"",#REF!)</f>
        <v>#REF!</v>
      </c>
      <c r="BX19" s="7" t="e">
        <f>IF(OR(#REF!&gt;2,#REF!&lt;-2),"",#REF!)</f>
        <v>#REF!</v>
      </c>
      <c r="BY19" s="7" t="e">
        <f>IF(OR(#REF!&gt;2,#REF!&lt;-2),"",#REF!)</f>
        <v>#REF!</v>
      </c>
      <c r="BZ19" s="7" t="e">
        <f>IF(OR(#REF!&gt;2,#REF!&lt;-2),"",#REF!)</f>
        <v>#REF!</v>
      </c>
      <c r="CA19" s="7" t="e">
        <f>IF(OR(#REF!&gt;2,#REF!&lt;-2),"",#REF!)</f>
        <v>#REF!</v>
      </c>
      <c r="CB19" s="7" t="e">
        <f>IF(OR(#REF!&gt;2,#REF!&lt;-2),"",#REF!)</f>
        <v>#REF!</v>
      </c>
      <c r="CC19" s="7" t="e">
        <f>IF(OR(#REF!&gt;2,#REF!&lt;-2),"",#REF!)</f>
        <v>#REF!</v>
      </c>
      <c r="CD19" s="7" t="e">
        <f>IF(OR(#REF!&gt;2,#REF!&lt;-2),"",#REF!)</f>
        <v>#REF!</v>
      </c>
      <c r="CE19" s="7" t="e">
        <f>IF(OR(#REF!&gt;2,#REF!&lt;-2),"",#REF!)</f>
        <v>#REF!</v>
      </c>
      <c r="CF19" s="7" t="e">
        <f>IF(OR(#REF!&gt;2,#REF!&lt;-2),"",#REF!)</f>
        <v>#REF!</v>
      </c>
      <c r="CG19" s="7" t="e">
        <f>IF(OR(#REF!&gt;2,#REF!&lt;-2),"",#REF!)</f>
        <v>#REF!</v>
      </c>
      <c r="CH19" s="7" t="e">
        <f>IF(OR(#REF!&gt;2,#REF!&lt;-2),"",#REF!)</f>
        <v>#REF!</v>
      </c>
      <c r="CI19" s="7" t="e">
        <f>IF(OR(#REF!&gt;2,#REF!&lt;-2),"",#REF!)</f>
        <v>#REF!</v>
      </c>
      <c r="CJ19" s="7" t="e">
        <f>IF(OR(#REF!&gt;2,#REF!&lt;-2),"",#REF!)</f>
        <v>#REF!</v>
      </c>
      <c r="CK19" s="7" t="e">
        <f>IF(OR(#REF!&gt;2,#REF!&lt;-2),"",#REF!)</f>
        <v>#REF!</v>
      </c>
      <c r="CL19" s="7" t="e">
        <f>IF(OR(#REF!&gt;2,#REF!&lt;-2),"",#REF!)</f>
        <v>#REF!</v>
      </c>
      <c r="CM19" s="7" t="e">
        <f>IF(OR(#REF!&gt;2,#REF!&lt;-2),"",#REF!)</f>
        <v>#REF!</v>
      </c>
      <c r="CN19" s="7" t="e">
        <f>IF(OR(#REF!&gt;2,#REF!&lt;-2),"",#REF!)</f>
        <v>#REF!</v>
      </c>
      <c r="CO19" s="7" t="e">
        <f>IF(OR(#REF!&gt;2,#REF!&lt;-2),"",#REF!)</f>
        <v>#REF!</v>
      </c>
      <c r="CP19" s="7" t="e">
        <f>IF(OR(#REF!&gt;2,#REF!&lt;-2),"",#REF!)</f>
        <v>#REF!</v>
      </c>
      <c r="CQ19" s="7" t="e">
        <f>IF(OR(#REF!&gt;2,#REF!&lt;-2),"",#REF!)</f>
        <v>#REF!</v>
      </c>
      <c r="CR19" s="7" t="e">
        <f>IF(OR(#REF!&gt;2,#REF!&lt;-2),"",#REF!)</f>
        <v>#REF!</v>
      </c>
      <c r="CS19" s="7" t="e">
        <f>IF(OR(#REF!&gt;2,#REF!&lt;-2),"",#REF!)</f>
        <v>#REF!</v>
      </c>
      <c r="CT19" s="7" t="e">
        <f>IF(OR(#REF!&gt;2,#REF!&lt;-2),"",#REF!)</f>
        <v>#REF!</v>
      </c>
      <c r="CU19" s="7" t="e">
        <f>IF(OR(#REF!&gt;2,#REF!&lt;-2),"",#REF!)</f>
        <v>#REF!</v>
      </c>
      <c r="CV19" s="7" t="e">
        <f>IF(OR(#REF!&gt;2,#REF!&lt;-2),"",#REF!)</f>
        <v>#REF!</v>
      </c>
      <c r="CW19" s="7" t="e">
        <f>IF(OR(#REF!&gt;2,#REF!&lt;-2),"",#REF!)</f>
        <v>#REF!</v>
      </c>
      <c r="CX19" s="7" t="e">
        <f>IF(OR(#REF!&gt;2,#REF!&lt;-2),"",#REF!)</f>
        <v>#REF!</v>
      </c>
      <c r="CY19" s="7" t="e">
        <f>IF(OR(#REF!&gt;2,#REF!&lt;-2),"",#REF!)</f>
        <v>#REF!</v>
      </c>
      <c r="CZ19" s="7" t="e">
        <f>IF(OR(#REF!&gt;2,#REF!&lt;-2),"",#REF!)</f>
        <v>#REF!</v>
      </c>
      <c r="DA19" s="7" t="e">
        <f>IF(OR(#REF!&gt;2,#REF!&lt;-2),"",#REF!)</f>
        <v>#REF!</v>
      </c>
      <c r="DB19" s="7" t="e">
        <f>IF(OR(#REF!&gt;2,#REF!&lt;-2),"",#REF!)</f>
        <v>#REF!</v>
      </c>
      <c r="DC19" s="7" t="e">
        <f>IF(OR(#REF!&gt;2,#REF!&lt;-2),"",#REF!)</f>
        <v>#REF!</v>
      </c>
      <c r="DD19" s="7" t="e">
        <f>IF(OR(#REF!&gt;2,#REF!&lt;-2),"",#REF!)</f>
        <v>#REF!</v>
      </c>
      <c r="DE19" s="7" t="e">
        <f>IF(OR(#REF!&gt;2,#REF!&lt;-2),"",#REF!)</f>
        <v>#REF!</v>
      </c>
      <c r="DF19" s="7" t="e">
        <f>IF(OR(#REF!&gt;2,#REF!&lt;-2),"",#REF!)</f>
        <v>#REF!</v>
      </c>
      <c r="DG19" s="7" t="e">
        <f>IF(OR(#REF!&gt;2,#REF!&lt;-2),"",#REF!)</f>
        <v>#REF!</v>
      </c>
      <c r="DH19" s="7" t="e">
        <f>IF(OR(#REF!&gt;2,#REF!&lt;-2),"",#REF!)</f>
        <v>#REF!</v>
      </c>
      <c r="DI19" s="7" t="e">
        <f>IF(OR(#REF!&gt;2,#REF!&lt;-2),"",#REF!)</f>
        <v>#REF!</v>
      </c>
      <c r="DJ19" s="7" t="e">
        <f>IF(OR(#REF!&gt;2,#REF!&lt;-2),"",#REF!)</f>
        <v>#REF!</v>
      </c>
      <c r="DK19" s="7" t="e">
        <f>IF(OR(#REF!&gt;2,#REF!&lt;-2),"",#REF!)</f>
        <v>#REF!</v>
      </c>
      <c r="DL19" s="7" t="e">
        <f>IF(OR(#REF!&gt;2,#REF!&lt;-2),"",#REF!)</f>
        <v>#REF!</v>
      </c>
      <c r="DM19" s="7" t="e">
        <f>IF(OR(#REF!&gt;2,#REF!&lt;-2),"",#REF!)</f>
        <v>#REF!</v>
      </c>
      <c r="DN19" s="7" t="e">
        <f>IF(OR(#REF!&gt;2,#REF!&lt;-2),"",#REF!)</f>
        <v>#REF!</v>
      </c>
      <c r="DO19" s="7" t="e">
        <f>IF(OR(#REF!&gt;2,#REF!&lt;-2),"",#REF!)</f>
        <v>#REF!</v>
      </c>
      <c r="DP19" s="7" t="e">
        <f>IF(OR(#REF!&gt;2,#REF!&lt;-2),"",#REF!)</f>
        <v>#REF!</v>
      </c>
      <c r="DQ19" s="7" t="e">
        <f>IF(OR(#REF!&gt;2,#REF!&lt;-2),"",#REF!)</f>
        <v>#REF!</v>
      </c>
      <c r="DR19" s="7" t="e">
        <f>IF(OR(#REF!&gt;2,#REF!&lt;-2),"",#REF!)</f>
        <v>#REF!</v>
      </c>
      <c r="DS19" s="7" t="e">
        <f>IF(OR(#REF!&gt;2,#REF!&lt;-2),"",#REF!)</f>
        <v>#REF!</v>
      </c>
      <c r="DT19" s="7" t="e">
        <f>IF(OR(#REF!&gt;2,#REF!&lt;-2),"",#REF!)</f>
        <v>#REF!</v>
      </c>
      <c r="DU19" s="7" t="e">
        <f>IF(OR(#REF!&gt;2,#REF!&lt;-2),"",#REF!)</f>
        <v>#REF!</v>
      </c>
      <c r="DV19" s="7" t="e">
        <f>IF(OR(#REF!&gt;2,#REF!&lt;-2),"",#REF!)</f>
        <v>#REF!</v>
      </c>
      <c r="DW19" s="7" t="e">
        <f>IF(OR(#REF!&gt;2,#REF!&lt;-2),"",#REF!)</f>
        <v>#REF!</v>
      </c>
      <c r="DX19" s="7" t="e">
        <f>IF(OR(#REF!&gt;2,#REF!&lt;-2),"",#REF!)</f>
        <v>#REF!</v>
      </c>
      <c r="DY19" s="7" t="e">
        <f>IF(OR(#REF!&gt;2,#REF!&lt;-2),"",#REF!)</f>
        <v>#REF!</v>
      </c>
      <c r="DZ19" s="7" t="e">
        <f>IF(OR(#REF!&gt;2,#REF!&lt;-2),"",#REF!)</f>
        <v>#REF!</v>
      </c>
      <c r="EA19" s="7" t="e">
        <f>IF(OR(#REF!&gt;2,#REF!&lt;-2),"",#REF!)</f>
        <v>#REF!</v>
      </c>
      <c r="EB19" s="7" t="e">
        <f>IF(OR(#REF!&gt;2,#REF!&lt;-2),"",#REF!)</f>
        <v>#REF!</v>
      </c>
      <c r="EC19" s="7" t="e">
        <f>IF(OR(#REF!&gt;2,#REF!&lt;-2),"",#REF!)</f>
        <v>#REF!</v>
      </c>
      <c r="ED19" s="7" t="e">
        <f>IF(OR(#REF!&gt;2,#REF!&lt;-2),"",#REF!)</f>
        <v>#REF!</v>
      </c>
      <c r="EE19" s="7" t="e">
        <f>IF(OR(#REF!&gt;2,#REF!&lt;-2),"",#REF!)</f>
        <v>#REF!</v>
      </c>
      <c r="EF19" s="7" t="e">
        <f>IF(OR(#REF!&gt;2,#REF!&lt;-2),"",#REF!)</f>
        <v>#REF!</v>
      </c>
      <c r="EG19" s="7" t="e">
        <f>IF(OR(#REF!&gt;2,#REF!&lt;-2),"",#REF!)</f>
        <v>#REF!</v>
      </c>
      <c r="EH19" s="7" t="e">
        <f>IF(OR(#REF!&gt;2,#REF!&lt;-2),"",#REF!)</f>
        <v>#REF!</v>
      </c>
      <c r="EI19" s="7" t="e">
        <f>IF(OR(#REF!&gt;2,#REF!&lt;-2),"",#REF!)</f>
        <v>#REF!</v>
      </c>
      <c r="EJ19" s="7" t="e">
        <f>IF(OR(#REF!&gt;2,#REF!&lt;-2),"",#REF!)</f>
        <v>#REF!</v>
      </c>
      <c r="EK19" s="7" t="e">
        <f>IF(OR(#REF!&gt;2,#REF!&lt;-2),"",#REF!)</f>
        <v>#REF!</v>
      </c>
      <c r="EL19" s="7" t="e">
        <f>IF(OR(#REF!&gt;2,#REF!&lt;-2),"",#REF!)</f>
        <v>#REF!</v>
      </c>
      <c r="EM19" s="7" t="e">
        <f>IF(OR(#REF!&gt;2,#REF!&lt;-2),"",#REF!)</f>
        <v>#REF!</v>
      </c>
      <c r="EN19" s="7" t="e">
        <f>IF(OR(#REF!&gt;2,#REF!&lt;-2),"",#REF!)</f>
        <v>#REF!</v>
      </c>
      <c r="EO19" s="7" t="e">
        <f>IF(OR(#REF!&gt;2,#REF!&lt;-2),"",#REF!)</f>
        <v>#REF!</v>
      </c>
      <c r="EP19" s="7" t="e">
        <f>IF(OR(#REF!&gt;2,#REF!&lt;-2),"",#REF!)</f>
        <v>#REF!</v>
      </c>
      <c r="EQ19" s="7" t="e">
        <f>IF(OR(#REF!&gt;2,#REF!&lt;-2),"",#REF!)</f>
        <v>#REF!</v>
      </c>
      <c r="ER19" s="7" t="e">
        <f>IF(OR(#REF!&gt;2,#REF!&lt;-2),"",#REF!)</f>
        <v>#REF!</v>
      </c>
      <c r="ES19" s="7" t="e">
        <f>IF(OR(#REF!&gt;2,#REF!&lt;-2),"",#REF!)</f>
        <v>#REF!</v>
      </c>
      <c r="ET19" s="7" t="e">
        <f>IF(OR(#REF!&gt;2,#REF!&lt;-2),"",#REF!)</f>
        <v>#REF!</v>
      </c>
      <c r="EU19" s="7" t="e">
        <f>IF(OR(#REF!&gt;2,#REF!&lt;-2),"",#REF!)</f>
        <v>#REF!</v>
      </c>
      <c r="EV19" s="7" t="e">
        <f>IF(OR(#REF!&gt;2,#REF!&lt;-2),"",#REF!)</f>
        <v>#REF!</v>
      </c>
      <c r="EW19" s="7" t="e">
        <f>IF(OR(#REF!&gt;2,#REF!&lt;-2),"",#REF!)</f>
        <v>#REF!</v>
      </c>
      <c r="EX19" s="7" t="e">
        <f>IF(OR(#REF!&gt;2,#REF!&lt;-2),"",#REF!)</f>
        <v>#REF!</v>
      </c>
      <c r="EY19" s="7" t="e">
        <f>IF(OR(#REF!&gt;2,#REF!&lt;-2),"",#REF!)</f>
        <v>#REF!</v>
      </c>
      <c r="EZ19" s="7" t="e">
        <f>IF(OR(#REF!&gt;2,#REF!&lt;-2),"",#REF!)</f>
        <v>#REF!</v>
      </c>
      <c r="FA19" s="7" t="e">
        <f>IF(OR(#REF!&gt;2,#REF!&lt;-2),"",#REF!)</f>
        <v>#REF!</v>
      </c>
      <c r="FB19" s="7" t="e">
        <f>IF(OR(#REF!&gt;2,#REF!&lt;-2),"",#REF!)</f>
        <v>#REF!</v>
      </c>
      <c r="FC19" s="7" t="e">
        <f>IF(OR(#REF!&gt;2,#REF!&lt;-2),"",#REF!)</f>
        <v>#REF!</v>
      </c>
      <c r="FD19" s="7" t="e">
        <f>IF(OR(#REF!&gt;2,#REF!&lt;-2),"",#REF!)</f>
        <v>#REF!</v>
      </c>
      <c r="FE19" s="7" t="e">
        <f>IF(OR(#REF!&gt;2,#REF!&lt;-2),"",#REF!)</f>
        <v>#REF!</v>
      </c>
      <c r="FF19" s="7" t="e">
        <f>IF(OR(#REF!&gt;2,#REF!&lt;-2),"",#REF!)</f>
        <v>#REF!</v>
      </c>
      <c r="FG19" s="7" t="e">
        <f>IF(OR(#REF!&gt;2,#REF!&lt;-2),"",#REF!)</f>
        <v>#REF!</v>
      </c>
      <c r="FH19" s="7" t="e">
        <f>IF(OR(#REF!&gt;2,#REF!&lt;-2),"",#REF!)</f>
        <v>#REF!</v>
      </c>
      <c r="FI19" s="7" t="e">
        <f>IF(OR(#REF!&gt;2,#REF!&lt;-2),"",#REF!)</f>
        <v>#REF!</v>
      </c>
      <c r="FJ19" s="7" t="e">
        <f>IF(OR(#REF!&gt;2,#REF!&lt;-2),"",#REF!)</f>
        <v>#REF!</v>
      </c>
      <c r="FK19" s="7" t="e">
        <f>IF(OR(#REF!&gt;2,#REF!&lt;-2),"",#REF!)</f>
        <v>#REF!</v>
      </c>
      <c r="FL19" s="7" t="e">
        <f>IF(OR(#REF!&gt;2,#REF!&lt;-2),"",#REF!)</f>
        <v>#REF!</v>
      </c>
      <c r="FM19" s="7" t="e">
        <f>IF(OR(#REF!&gt;2,#REF!&lt;-2),"",#REF!)</f>
        <v>#REF!</v>
      </c>
      <c r="FN19" s="7" t="e">
        <f>IF(OR(#REF!&gt;2,#REF!&lt;-2),"",#REF!)</f>
        <v>#REF!</v>
      </c>
      <c r="FO19" s="7" t="e">
        <f>IF(OR(#REF!&gt;2,#REF!&lt;-2),"",#REF!)</f>
        <v>#REF!</v>
      </c>
      <c r="FP19" s="7" t="e">
        <f>IF(OR(#REF!&gt;2,#REF!&lt;-2),"",#REF!)</f>
        <v>#REF!</v>
      </c>
      <c r="FQ19" s="7" t="e">
        <f>IF(OR(#REF!&gt;2,#REF!&lt;-2),"",#REF!)</f>
        <v>#REF!</v>
      </c>
      <c r="FR19" s="7" t="e">
        <f>IF(OR(#REF!&gt;2,#REF!&lt;-2),"",#REF!)</f>
        <v>#REF!</v>
      </c>
      <c r="FS19" s="7" t="e">
        <f>IF(OR(#REF!&gt;2,#REF!&lt;-2),"",#REF!)</f>
        <v>#REF!</v>
      </c>
      <c r="FT19" s="7" t="e">
        <f>IF(OR(#REF!&gt;2,#REF!&lt;-2),"",#REF!)</f>
        <v>#REF!</v>
      </c>
      <c r="FU19" s="7" t="e">
        <f>IF(OR(#REF!&gt;2,#REF!&lt;-2),"",#REF!)</f>
        <v>#REF!</v>
      </c>
      <c r="FV19" s="7" t="e">
        <f>IF(OR(#REF!&gt;2,#REF!&lt;-2),"",#REF!)</f>
        <v>#REF!</v>
      </c>
      <c r="FW19" s="7" t="e">
        <f>IF(OR(#REF!&gt;2,#REF!&lt;-2),"",#REF!)</f>
        <v>#REF!</v>
      </c>
      <c r="FX19" s="7" t="e">
        <f>IF(OR(#REF!&gt;2,#REF!&lt;-2),"",#REF!)</f>
        <v>#REF!</v>
      </c>
      <c r="FY19" s="7" t="e">
        <f>IF(OR(#REF!&gt;2,#REF!&lt;-2),"",#REF!)</f>
        <v>#REF!</v>
      </c>
      <c r="FZ19" s="7" t="e">
        <f>IF(OR(#REF!&gt;2,#REF!&lt;-2),"",#REF!)</f>
        <v>#REF!</v>
      </c>
      <c r="GA19" s="7" t="e">
        <f>IF(OR(#REF!&gt;2,#REF!&lt;-2),"",#REF!)</f>
        <v>#REF!</v>
      </c>
      <c r="GB19" s="7" t="e">
        <f>IF(OR(#REF!&gt;2,#REF!&lt;-2),"",#REF!)</f>
        <v>#REF!</v>
      </c>
      <c r="GC19" s="7" t="e">
        <f>IF(OR(#REF!&gt;2,#REF!&lt;-2),"",#REF!)</f>
        <v>#REF!</v>
      </c>
      <c r="GD19" s="7" t="e">
        <f>IF(OR(#REF!&gt;2,#REF!&lt;-2),"",#REF!)</f>
        <v>#REF!</v>
      </c>
      <c r="GE19" s="7" t="e">
        <f>IF(OR(#REF!&gt;2,#REF!&lt;-2),"",#REF!)</f>
        <v>#REF!</v>
      </c>
      <c r="GF19" s="7" t="e">
        <f>IF(OR(#REF!&gt;2,#REF!&lt;-2),"",#REF!)</f>
        <v>#REF!</v>
      </c>
      <c r="GG19" s="7" t="e">
        <f>IF(OR(#REF!&gt;2,#REF!&lt;-2),"",#REF!)</f>
        <v>#REF!</v>
      </c>
      <c r="GH19" s="7" t="e">
        <f>IF(OR(#REF!&gt;2,#REF!&lt;-2),"",#REF!)</f>
        <v>#REF!</v>
      </c>
      <c r="GI19" s="7" t="e">
        <f>IF(OR(#REF!&gt;2,#REF!&lt;-2),"",#REF!)</f>
        <v>#REF!</v>
      </c>
      <c r="GJ19" s="7" t="e">
        <f>IF(OR(#REF!&gt;2,#REF!&lt;-2),"",#REF!)</f>
        <v>#REF!</v>
      </c>
      <c r="GK19" s="7" t="e">
        <f>IF(OR(#REF!&gt;2,#REF!&lt;-2),"",#REF!)</f>
        <v>#REF!</v>
      </c>
      <c r="GL19" s="7" t="e">
        <f>IF(OR(#REF!&gt;2,#REF!&lt;-2),"",#REF!)</f>
        <v>#REF!</v>
      </c>
      <c r="GM19" s="7" t="e">
        <f>IF(OR(#REF!&gt;2,#REF!&lt;-2),"",#REF!)</f>
        <v>#REF!</v>
      </c>
      <c r="GN19" s="7" t="e">
        <f>IF(OR(#REF!&gt;2,#REF!&lt;-2),"",#REF!)</f>
        <v>#REF!</v>
      </c>
      <c r="GO19" s="7" t="e">
        <f>IF(OR(#REF!&gt;2,#REF!&lt;-2),"",#REF!)</f>
        <v>#REF!</v>
      </c>
      <c r="GP19" s="7" t="e">
        <f>IF(OR(#REF!&gt;2,#REF!&lt;-2),"",#REF!)</f>
        <v>#REF!</v>
      </c>
      <c r="GQ19" s="7" t="e">
        <f>IF(OR(#REF!&gt;2,#REF!&lt;-2),"",#REF!)</f>
        <v>#REF!</v>
      </c>
      <c r="GR19" s="7" t="e">
        <f>IF(OR(#REF!&gt;2,#REF!&lt;-2),"",#REF!)</f>
        <v>#REF!</v>
      </c>
      <c r="GS19" s="7" t="e">
        <f>IF(OR(#REF!&gt;2,#REF!&lt;-2),"",#REF!)</f>
        <v>#REF!</v>
      </c>
      <c r="GT19" s="7" t="e">
        <f>IF(OR(#REF!&gt;2,#REF!&lt;-2),"",#REF!)</f>
        <v>#REF!</v>
      </c>
      <c r="GU19" s="7" t="e">
        <f>IF(OR(#REF!&gt;2,#REF!&lt;-2),"",#REF!)</f>
        <v>#REF!</v>
      </c>
      <c r="GV19" s="7" t="e">
        <f>IF(OR(#REF!&gt;2,#REF!&lt;-2),"",#REF!)</f>
        <v>#REF!</v>
      </c>
      <c r="GW19" s="7" t="e">
        <f>IF(OR(#REF!&gt;2,#REF!&lt;-2),"",#REF!)</f>
        <v>#REF!</v>
      </c>
      <c r="GX19" s="7" t="e">
        <f>IF(OR(#REF!&gt;2,#REF!&lt;-2),"",#REF!)</f>
        <v>#REF!</v>
      </c>
      <c r="GY19" s="7" t="e">
        <f>IF(OR(#REF!&gt;2,#REF!&lt;-2),"",#REF!)</f>
        <v>#REF!</v>
      </c>
      <c r="GZ19" s="7" t="e">
        <f>IF(OR(#REF!&gt;2,#REF!&lt;-2),"",#REF!)</f>
        <v>#REF!</v>
      </c>
      <c r="HA19" s="7" t="e">
        <f>IF(OR(#REF!&gt;2,#REF!&lt;-2),"",#REF!)</f>
        <v>#REF!</v>
      </c>
      <c r="HB19" s="7" t="e">
        <f>IF(OR(#REF!&gt;2,#REF!&lt;-2),"",#REF!)</f>
        <v>#REF!</v>
      </c>
      <c r="HC19" s="7" t="e">
        <f>IF(OR(#REF!&gt;2,#REF!&lt;-2),"",#REF!)</f>
        <v>#REF!</v>
      </c>
      <c r="HD19" s="7" t="e">
        <f>IF(OR(#REF!&gt;2,#REF!&lt;-2),"",#REF!)</f>
        <v>#REF!</v>
      </c>
      <c r="HE19" s="7" t="e">
        <f>IF(OR(#REF!&gt;2,#REF!&lt;-2),"",#REF!)</f>
        <v>#REF!</v>
      </c>
      <c r="HF19" s="7" t="e">
        <f>IF(OR(#REF!&gt;2,#REF!&lt;-2),"",#REF!)</f>
        <v>#REF!</v>
      </c>
      <c r="HG19" s="7" t="e">
        <f>IF(OR(#REF!&gt;2,#REF!&lt;-2),"",#REF!)</f>
        <v>#REF!</v>
      </c>
      <c r="HH19" s="7" t="e">
        <f>IF(OR(#REF!&gt;2,#REF!&lt;-2),"",#REF!)</f>
        <v>#REF!</v>
      </c>
      <c r="HI19" s="7" t="e">
        <f>IF(OR(#REF!&gt;2,#REF!&lt;-2),"",#REF!)</f>
        <v>#REF!</v>
      </c>
      <c r="HJ19" s="7" t="e">
        <f>IF(OR(#REF!&gt;2,#REF!&lt;-2),"",#REF!)</f>
        <v>#REF!</v>
      </c>
      <c r="HK19" s="7" t="e">
        <f>IF(OR(#REF!&gt;2,#REF!&lt;-2),"",#REF!)</f>
        <v>#REF!</v>
      </c>
      <c r="HL19" s="7" t="e">
        <f>IF(OR(#REF!&gt;2,#REF!&lt;-2),"",#REF!)</f>
        <v>#REF!</v>
      </c>
      <c r="HM19" s="7" t="e">
        <f>IF(OR(#REF!&gt;2,#REF!&lt;-2),"",#REF!)</f>
        <v>#REF!</v>
      </c>
      <c r="HN19" s="7" t="e">
        <f>IF(OR(#REF!&gt;2,#REF!&lt;-2),"",#REF!)</f>
        <v>#REF!</v>
      </c>
      <c r="HO19" s="7" t="e">
        <f>IF(OR(#REF!&gt;2,#REF!&lt;-2),"",#REF!)</f>
        <v>#REF!</v>
      </c>
      <c r="HP19" s="7" t="e">
        <f>IF(OR(#REF!&gt;2,#REF!&lt;-2),"",#REF!)</f>
        <v>#REF!</v>
      </c>
      <c r="HQ19" s="7" t="e">
        <f>IF(OR(#REF!&gt;2,#REF!&lt;-2),"",#REF!)</f>
        <v>#REF!</v>
      </c>
      <c r="HR19" s="7" t="e">
        <f>IF(OR(#REF!&gt;2,#REF!&lt;-2),"",#REF!)</f>
        <v>#REF!</v>
      </c>
      <c r="HS19" s="7" t="e">
        <f>IF(OR(#REF!&gt;2,#REF!&lt;-2),"",#REF!)</f>
        <v>#REF!</v>
      </c>
      <c r="HT19" s="7" t="e">
        <f>IF(OR(#REF!&gt;2,#REF!&lt;-2),"",#REF!)</f>
        <v>#REF!</v>
      </c>
      <c r="HU19" s="7" t="e">
        <f>IF(OR(#REF!&gt;2,#REF!&lt;-2),"",#REF!)</f>
        <v>#REF!</v>
      </c>
      <c r="HV19" s="7" t="e">
        <f>IF(OR(#REF!&gt;2,#REF!&lt;-2),"",#REF!)</f>
        <v>#REF!</v>
      </c>
      <c r="HW19" s="7" t="e">
        <f>IF(OR(#REF!&gt;2,#REF!&lt;-2),"",#REF!)</f>
        <v>#REF!</v>
      </c>
      <c r="HX19" s="7" t="e">
        <f>IF(OR(#REF!&gt;2,#REF!&lt;-2),"",#REF!)</f>
        <v>#REF!</v>
      </c>
      <c r="HY19" s="7" t="e">
        <f>IF(OR(#REF!&gt;2,#REF!&lt;-2),"",#REF!)</f>
        <v>#REF!</v>
      </c>
      <c r="HZ19" s="7" t="e">
        <f>IF(OR(#REF!&gt;2,#REF!&lt;-2),"",#REF!)</f>
        <v>#REF!</v>
      </c>
      <c r="IA19" s="7" t="e">
        <f>IF(OR(#REF!&gt;2,#REF!&lt;-2),"",#REF!)</f>
        <v>#REF!</v>
      </c>
      <c r="IB19" s="7" t="e">
        <f>IF(OR(#REF!&gt;2,#REF!&lt;-2),"",#REF!)</f>
        <v>#REF!</v>
      </c>
      <c r="IC19" s="7" t="e">
        <f>IF(OR(#REF!&gt;2,#REF!&lt;-2),"",#REF!)</f>
        <v>#REF!</v>
      </c>
      <c r="ID19" s="7" t="e">
        <f>IF(OR(#REF!&gt;2,#REF!&lt;-2),"",#REF!)</f>
        <v>#REF!</v>
      </c>
      <c r="IE19" s="7" t="e">
        <f>IF(OR(#REF!&gt;2,#REF!&lt;-2),"",#REF!)</f>
        <v>#REF!</v>
      </c>
      <c r="IF19" s="7" t="e">
        <f>IF(OR(#REF!&gt;2,#REF!&lt;-2),"",#REF!)</f>
        <v>#REF!</v>
      </c>
      <c r="IG19" s="7" t="e">
        <f>IF(OR(#REF!&gt;2,#REF!&lt;-2),"",#REF!)</f>
        <v>#REF!</v>
      </c>
      <c r="IH19" s="7" t="e">
        <f>IF(OR(#REF!&gt;2,#REF!&lt;-2),"",#REF!)</f>
        <v>#REF!</v>
      </c>
      <c r="II19" s="7" t="e">
        <f>IF(OR(#REF!&gt;2,#REF!&lt;-2),"",#REF!)</f>
        <v>#REF!</v>
      </c>
      <c r="IJ19" s="7" t="e">
        <f>IF(OR(#REF!&gt;2,#REF!&lt;-2),"",#REF!)</f>
        <v>#REF!</v>
      </c>
      <c r="IK19" s="7" t="e">
        <f>IF(OR(#REF!&gt;2,#REF!&lt;-2),"",#REF!)</f>
        <v>#REF!</v>
      </c>
      <c r="IL19" s="7" t="e">
        <f>IF(OR(#REF!&gt;2,#REF!&lt;-2),"",#REF!)</f>
        <v>#REF!</v>
      </c>
      <c r="IM19" s="7" t="e">
        <f>IF(OR(#REF!&gt;2,#REF!&lt;-2),"",#REF!)</f>
        <v>#REF!</v>
      </c>
      <c r="IN19" s="7" t="e">
        <f>IF(OR(#REF!&gt;2,#REF!&lt;-2),"",#REF!)</f>
        <v>#REF!</v>
      </c>
      <c r="IO19" s="7" t="e">
        <f>IF(OR(#REF!&gt;2,#REF!&lt;-2),"",#REF!)</f>
        <v>#REF!</v>
      </c>
      <c r="IP19" s="7" t="e">
        <f>IF(OR(#REF!&gt;2,#REF!&lt;-2),"",#REF!)</f>
        <v>#REF!</v>
      </c>
      <c r="IQ19" s="7" t="e">
        <f>IF(OR(#REF!&gt;2,#REF!&lt;-2),"",#REF!)</f>
        <v>#REF!</v>
      </c>
      <c r="IR19" s="7" t="e">
        <f>IF(OR(#REF!&gt;2,#REF!&lt;-2),"",#REF!)</f>
        <v>#REF!</v>
      </c>
      <c r="IS19" s="7" t="e">
        <f>IF(OR(#REF!&gt;2,#REF!&lt;-2),"",#REF!)</f>
        <v>#REF!</v>
      </c>
      <c r="IT19" s="7" t="e">
        <f>IF(OR(#REF!&gt;2,#REF!&lt;-2),"",#REF!)</f>
        <v>#REF!</v>
      </c>
      <c r="IU19" s="7" t="e">
        <f>IF(OR(#REF!&gt;2,#REF!&lt;-2),"",#REF!)</f>
        <v>#REF!</v>
      </c>
      <c r="IV19" s="7" t="e">
        <f>IF(OR(#REF!&gt;2,#REF!&lt;-2),"",#REF!)</f>
        <v>#REF!</v>
      </c>
      <c r="IW19" s="7" t="e">
        <f>IF(OR(#REF!&gt;2,#REF!&lt;-2),"",#REF!)</f>
        <v>#REF!</v>
      </c>
      <c r="IX19" s="7" t="e">
        <f>IF(OR(#REF!&gt;2,#REF!&lt;-2),"",#REF!)</f>
        <v>#REF!</v>
      </c>
      <c r="IY19" s="7" t="e">
        <f>IF(OR(#REF!&gt;2,#REF!&lt;-2),"",#REF!)</f>
        <v>#REF!</v>
      </c>
      <c r="IZ19" s="7" t="e">
        <f>IF(OR(#REF!&gt;2,#REF!&lt;-2),"",#REF!)</f>
        <v>#REF!</v>
      </c>
      <c r="JA19" s="7" t="e">
        <f>IF(OR(#REF!&gt;2,#REF!&lt;-2),"",#REF!)</f>
        <v>#REF!</v>
      </c>
      <c r="JB19" s="7" t="e">
        <f>IF(OR(#REF!&gt;2,#REF!&lt;-2),"",#REF!)</f>
        <v>#REF!</v>
      </c>
      <c r="JC19" s="7" t="e">
        <f>IF(OR(#REF!&gt;2,#REF!&lt;-2),"",#REF!)</f>
        <v>#REF!</v>
      </c>
      <c r="JD19" s="7" t="e">
        <f>IF(OR(#REF!&gt;2,#REF!&lt;-2),"",#REF!)</f>
        <v>#REF!</v>
      </c>
      <c r="JE19" s="7" t="e">
        <f>IF(OR(#REF!&gt;2,#REF!&lt;-2),"",#REF!)</f>
        <v>#REF!</v>
      </c>
      <c r="JF19" s="7" t="e">
        <f>IF(OR(#REF!&gt;2,#REF!&lt;-2),"",#REF!)</f>
        <v>#REF!</v>
      </c>
      <c r="JG19" s="7" t="e">
        <f>IF(OR(#REF!&gt;2,#REF!&lt;-2),"",#REF!)</f>
        <v>#REF!</v>
      </c>
      <c r="JH19" s="7" t="e">
        <f>IF(OR(#REF!&gt;2,#REF!&lt;-2),"",#REF!)</f>
        <v>#REF!</v>
      </c>
      <c r="JI19" s="7" t="e">
        <f>IF(OR(#REF!&gt;2,#REF!&lt;-2),"",#REF!)</f>
        <v>#REF!</v>
      </c>
      <c r="JJ19" s="7" t="e">
        <f>IF(OR(#REF!&gt;2,#REF!&lt;-2),"",#REF!)</f>
        <v>#REF!</v>
      </c>
      <c r="JK19" s="7" t="e">
        <f>IF(OR(#REF!&gt;2,#REF!&lt;-2),"",#REF!)</f>
        <v>#REF!</v>
      </c>
      <c r="JL19" s="7" t="e">
        <f>IF(OR(#REF!&gt;2,#REF!&lt;-2),"",#REF!)</f>
        <v>#REF!</v>
      </c>
      <c r="JM19" s="7" t="e">
        <f>IF(OR(#REF!&gt;2,#REF!&lt;-2),"",#REF!)</f>
        <v>#REF!</v>
      </c>
      <c r="JN19" s="7" t="e">
        <f>IF(OR(#REF!&gt;2,#REF!&lt;-2),"",#REF!)</f>
        <v>#REF!</v>
      </c>
      <c r="JO19" s="7" t="e">
        <f>IF(OR(#REF!&gt;2,#REF!&lt;-2),"",#REF!)</f>
        <v>#REF!</v>
      </c>
      <c r="JP19" s="7" t="e">
        <f>IF(OR(#REF!&gt;2,#REF!&lt;-2),"",#REF!)</f>
        <v>#REF!</v>
      </c>
      <c r="JQ19" s="7" t="e">
        <f>IF(OR(#REF!&gt;2,#REF!&lt;-2),"",#REF!)</f>
        <v>#REF!</v>
      </c>
      <c r="JR19" s="7" t="e">
        <f>IF(OR(#REF!&gt;2,#REF!&lt;-2),"",#REF!)</f>
        <v>#REF!</v>
      </c>
      <c r="JS19" s="7" t="e">
        <f>IF(OR(#REF!&gt;2,#REF!&lt;-2),"",#REF!)</f>
        <v>#REF!</v>
      </c>
      <c r="JT19" s="7" t="e">
        <f>IF(OR(#REF!&gt;2,#REF!&lt;-2),"",#REF!)</f>
        <v>#REF!</v>
      </c>
      <c r="JU19" s="7" t="e">
        <f>IF(OR(#REF!&gt;2,#REF!&lt;-2),"",#REF!)</f>
        <v>#REF!</v>
      </c>
      <c r="JV19" s="7" t="e">
        <f>IF(OR(#REF!&gt;2,#REF!&lt;-2),"",#REF!)</f>
        <v>#REF!</v>
      </c>
      <c r="JW19" s="7" t="e">
        <f>IF(OR(#REF!&gt;2,#REF!&lt;-2),"",#REF!)</f>
        <v>#REF!</v>
      </c>
      <c r="JX19" s="7" t="e">
        <f>IF(OR(#REF!&gt;2,#REF!&lt;-2),"",#REF!)</f>
        <v>#REF!</v>
      </c>
      <c r="JY19" s="7" t="e">
        <f>IF(OR(#REF!&gt;2,#REF!&lt;-2),"",#REF!)</f>
        <v>#REF!</v>
      </c>
      <c r="JZ19" s="7" t="e">
        <f>IF(OR(#REF!&gt;2,#REF!&lt;-2),"",#REF!)</f>
        <v>#REF!</v>
      </c>
      <c r="KA19" s="7" t="e">
        <f>IF(OR(#REF!&gt;2,#REF!&lt;-2),"",#REF!)</f>
        <v>#REF!</v>
      </c>
      <c r="KB19" s="7" t="e">
        <f>IF(OR(#REF!&gt;2,#REF!&lt;-2),"",#REF!)</f>
        <v>#REF!</v>
      </c>
      <c r="KC19" s="7" t="e">
        <f>IF(OR(#REF!&gt;2,#REF!&lt;-2),"",#REF!)</f>
        <v>#REF!</v>
      </c>
      <c r="KD19" s="7" t="e">
        <f>IF(OR(#REF!&gt;2,#REF!&lt;-2),"",#REF!)</f>
        <v>#REF!</v>
      </c>
      <c r="KE19" s="7" t="e">
        <f>IF(OR(#REF!&gt;2,#REF!&lt;-2),"",#REF!)</f>
        <v>#REF!</v>
      </c>
      <c r="KF19" s="7" t="e">
        <f>IF(OR(#REF!&gt;2,#REF!&lt;-2),"",#REF!)</f>
        <v>#REF!</v>
      </c>
      <c r="KG19" s="7" t="e">
        <f>IF(OR(#REF!&gt;2,#REF!&lt;-2),"",#REF!)</f>
        <v>#REF!</v>
      </c>
      <c r="KH19" s="7" t="e">
        <f>IF(OR(#REF!&gt;2,#REF!&lt;-2),"",#REF!)</f>
        <v>#REF!</v>
      </c>
      <c r="KI19" s="7" t="e">
        <f>IF(OR(#REF!&gt;2,#REF!&lt;-2),"",#REF!)</f>
        <v>#REF!</v>
      </c>
      <c r="KJ19" s="7" t="e">
        <f>IF(OR(#REF!&gt;2,#REF!&lt;-2),"",#REF!)</f>
        <v>#REF!</v>
      </c>
      <c r="KK19" s="7" t="e">
        <f>IF(OR(#REF!&gt;2,#REF!&lt;-2),"",#REF!)</f>
        <v>#REF!</v>
      </c>
      <c r="KL19" s="7" t="e">
        <f>IF(OR(#REF!&gt;2,#REF!&lt;-2),"",#REF!)</f>
        <v>#REF!</v>
      </c>
      <c r="KM19" s="7" t="e">
        <f>IF(OR(#REF!&gt;2,#REF!&lt;-2),"",#REF!)</f>
        <v>#REF!</v>
      </c>
      <c r="KN19" s="7" t="e">
        <f>IF(OR(#REF!&gt;2,#REF!&lt;-2),"",#REF!)</f>
        <v>#REF!</v>
      </c>
      <c r="KO19" s="7" t="e">
        <f>IF(OR(#REF!&gt;2,#REF!&lt;-2),"",#REF!)</f>
        <v>#REF!</v>
      </c>
      <c r="KP19" s="7" t="e">
        <f>IF(OR(#REF!&gt;2,#REF!&lt;-2),"",#REF!)</f>
        <v>#REF!</v>
      </c>
      <c r="KQ19" s="7" t="e">
        <f>IF(OR(#REF!&gt;2,#REF!&lt;-2),"",#REF!)</f>
        <v>#REF!</v>
      </c>
      <c r="KR19" s="7" t="e">
        <f>IF(OR(#REF!&gt;2,#REF!&lt;-2),"",#REF!)</f>
        <v>#REF!</v>
      </c>
      <c r="KS19" s="7" t="e">
        <f>IF(OR(#REF!&gt;2,#REF!&lt;-2),"",#REF!)</f>
        <v>#REF!</v>
      </c>
      <c r="KT19" s="7" t="e">
        <f>IF(OR(#REF!&gt;2,#REF!&lt;-2),"",#REF!)</f>
        <v>#REF!</v>
      </c>
      <c r="KU19" s="7" t="e">
        <f>IF(OR(#REF!&gt;2,#REF!&lt;-2),"",#REF!)</f>
        <v>#REF!</v>
      </c>
      <c r="KV19" s="7" t="e">
        <f>IF(OR(#REF!&gt;2,#REF!&lt;-2),"",#REF!)</f>
        <v>#REF!</v>
      </c>
      <c r="KW19" s="7" t="e">
        <f>IF(OR(#REF!&gt;2,#REF!&lt;-2),"",#REF!)</f>
        <v>#REF!</v>
      </c>
      <c r="KX19" s="7" t="e">
        <f>IF(OR(#REF!&gt;2,#REF!&lt;-2),"",#REF!)</f>
        <v>#REF!</v>
      </c>
      <c r="KY19" s="7" t="e">
        <f>IF(OR(#REF!&gt;2,#REF!&lt;-2),"",#REF!)</f>
        <v>#REF!</v>
      </c>
      <c r="KZ19" s="7" t="e">
        <f>IF(OR(#REF!&gt;2,#REF!&lt;-2),"",#REF!)</f>
        <v>#REF!</v>
      </c>
      <c r="LA19" s="7" t="e">
        <f>IF(OR(#REF!&gt;2,#REF!&lt;-2),"",#REF!)</f>
        <v>#REF!</v>
      </c>
      <c r="LB19" s="7" t="e">
        <f>IF(OR(#REF!&gt;2,#REF!&lt;-2),"",#REF!)</f>
        <v>#REF!</v>
      </c>
      <c r="LC19" s="7" t="e">
        <f>IF(OR(#REF!&gt;2,#REF!&lt;-2),"",#REF!)</f>
        <v>#REF!</v>
      </c>
      <c r="LD19" s="7" t="e">
        <f>IF(OR(#REF!&gt;2,#REF!&lt;-2),"",#REF!)</f>
        <v>#REF!</v>
      </c>
      <c r="LE19" s="7" t="e">
        <f>IF(OR(#REF!&gt;2,#REF!&lt;-2),"",#REF!)</f>
        <v>#REF!</v>
      </c>
      <c r="LF19" s="7" t="e">
        <f>IF(OR(#REF!&gt;2,#REF!&lt;-2),"",#REF!)</f>
        <v>#REF!</v>
      </c>
      <c r="LG19" s="7" t="e">
        <f>IF(OR(#REF!&gt;2,#REF!&lt;-2),"",#REF!)</f>
        <v>#REF!</v>
      </c>
      <c r="LH19" s="7" t="e">
        <f>IF(OR(#REF!&gt;2,#REF!&lt;-2),"",#REF!)</f>
        <v>#REF!</v>
      </c>
      <c r="LI19" s="7" t="e">
        <f>IF(OR(#REF!&gt;2,#REF!&lt;-2),"",#REF!)</f>
        <v>#REF!</v>
      </c>
      <c r="LJ19" s="7" t="e">
        <f>IF(OR(#REF!&gt;2,#REF!&lt;-2),"",#REF!)</f>
        <v>#REF!</v>
      </c>
      <c r="LK19" s="7" t="e">
        <f>IF(OR(#REF!&gt;2,#REF!&lt;-2),"",#REF!)</f>
        <v>#REF!</v>
      </c>
      <c r="LL19" s="7" t="e">
        <f>IF(OR(#REF!&gt;2,#REF!&lt;-2),"",#REF!)</f>
        <v>#REF!</v>
      </c>
      <c r="LM19" s="7" t="e">
        <f>IF(OR(#REF!&gt;2,#REF!&lt;-2),"",#REF!)</f>
        <v>#REF!</v>
      </c>
      <c r="LN19" s="7" t="e">
        <f>IF(OR(#REF!&gt;2,#REF!&lt;-2),"",#REF!)</f>
        <v>#REF!</v>
      </c>
      <c r="LO19" s="7" t="e">
        <f>IF(OR(#REF!&gt;2,#REF!&lt;-2),"",#REF!)</f>
        <v>#REF!</v>
      </c>
      <c r="LP19" s="7" t="e">
        <f>IF(OR(#REF!&gt;2,#REF!&lt;-2),"",#REF!)</f>
        <v>#REF!</v>
      </c>
      <c r="LQ19" s="7" t="e">
        <f>IF(OR(#REF!&gt;2,#REF!&lt;-2),"",#REF!)</f>
        <v>#REF!</v>
      </c>
      <c r="LR19" s="7" t="e">
        <f>IF(OR(#REF!&gt;2,#REF!&lt;-2),"",#REF!)</f>
        <v>#REF!</v>
      </c>
      <c r="LS19" s="7" t="e">
        <f>IF(OR(#REF!&gt;2,#REF!&lt;-2),"",#REF!)</f>
        <v>#REF!</v>
      </c>
      <c r="LT19" s="7" t="e">
        <f>IF(OR(#REF!&gt;2,#REF!&lt;-2),"",#REF!)</f>
        <v>#REF!</v>
      </c>
      <c r="LU19" s="7" t="e">
        <f>IF(OR(#REF!&gt;2,#REF!&lt;-2),"",#REF!)</f>
        <v>#REF!</v>
      </c>
      <c r="LV19" s="7" t="e">
        <f>IF(OR(#REF!&gt;2,#REF!&lt;-2),"",#REF!)</f>
        <v>#REF!</v>
      </c>
      <c r="LW19" s="7" t="e">
        <f>IF(OR(#REF!&gt;2,#REF!&lt;-2),"",#REF!)</f>
        <v>#REF!</v>
      </c>
      <c r="LX19" s="7" t="e">
        <f>IF(OR(#REF!&gt;2,#REF!&lt;-2),"",#REF!)</f>
        <v>#REF!</v>
      </c>
      <c r="LY19" s="7" t="e">
        <f>IF(OR(#REF!&gt;2,#REF!&lt;-2),"",#REF!)</f>
        <v>#REF!</v>
      </c>
      <c r="LZ19" s="7" t="e">
        <f>IF(OR(#REF!&gt;2,#REF!&lt;-2),"",#REF!)</f>
        <v>#REF!</v>
      </c>
      <c r="MA19" s="7" t="e">
        <f>IF(OR(#REF!&gt;2,#REF!&lt;-2),"",#REF!)</f>
        <v>#REF!</v>
      </c>
      <c r="MB19" s="7" t="e">
        <f>IF(OR(#REF!&gt;2,#REF!&lt;-2),"",#REF!)</f>
        <v>#REF!</v>
      </c>
      <c r="MC19" s="7" t="e">
        <f>IF(OR(#REF!&gt;2,#REF!&lt;-2),"",#REF!)</f>
        <v>#REF!</v>
      </c>
      <c r="MD19" s="7" t="e">
        <f>IF(OR(#REF!&gt;2,#REF!&lt;-2),"",#REF!)</f>
        <v>#REF!</v>
      </c>
      <c r="ME19" s="7" t="e">
        <f>IF(OR(#REF!&gt;2,#REF!&lt;-2),"",#REF!)</f>
        <v>#REF!</v>
      </c>
      <c r="MF19" s="7" t="e">
        <f>IF(OR(#REF!&gt;2,#REF!&lt;-2),"",#REF!)</f>
        <v>#REF!</v>
      </c>
      <c r="MG19" s="7" t="e">
        <f>IF(OR(#REF!&gt;2,#REF!&lt;-2),"",#REF!)</f>
        <v>#REF!</v>
      </c>
      <c r="MH19" s="7" t="e">
        <f>IF(OR(#REF!&gt;2,#REF!&lt;-2),"",#REF!)</f>
        <v>#REF!</v>
      </c>
      <c r="MI19" s="7" t="e">
        <f>IF(OR(#REF!&gt;2,#REF!&lt;-2),"",#REF!)</f>
        <v>#REF!</v>
      </c>
      <c r="MJ19" s="7" t="e">
        <f>IF(OR(#REF!&gt;2,#REF!&lt;-2),"",#REF!)</f>
        <v>#REF!</v>
      </c>
      <c r="MK19" s="7" t="e">
        <f>IF(OR(#REF!&gt;2,#REF!&lt;-2),"",#REF!)</f>
        <v>#REF!</v>
      </c>
      <c r="ML19" s="7" t="e">
        <f>IF(OR(#REF!&gt;2,#REF!&lt;-2),"",#REF!)</f>
        <v>#REF!</v>
      </c>
      <c r="MM19" s="7" t="e">
        <f>IF(OR(#REF!&gt;2,#REF!&lt;-2),"",#REF!)</f>
        <v>#REF!</v>
      </c>
      <c r="MN19" s="7" t="e">
        <f>IF(OR(#REF!&gt;2,#REF!&lt;-2),"",#REF!)</f>
        <v>#REF!</v>
      </c>
      <c r="MO19" s="7" t="e">
        <f>IF(OR(#REF!&gt;2,#REF!&lt;-2),"",#REF!)</f>
        <v>#REF!</v>
      </c>
      <c r="MP19" s="7" t="e">
        <f>IF(OR(#REF!&gt;2,#REF!&lt;-2),"",#REF!)</f>
        <v>#REF!</v>
      </c>
      <c r="MQ19" s="7" t="e">
        <f>IF(OR(#REF!&gt;2,#REF!&lt;-2),"",#REF!)</f>
        <v>#REF!</v>
      </c>
      <c r="MR19" s="7" t="e">
        <f>IF(OR(#REF!&gt;2,#REF!&lt;-2),"",#REF!)</f>
        <v>#REF!</v>
      </c>
      <c r="MS19" s="7" t="e">
        <f>IF(OR(#REF!&gt;2,#REF!&lt;-2),"",#REF!)</f>
        <v>#REF!</v>
      </c>
      <c r="MT19" s="7" t="e">
        <f>IF(OR(#REF!&gt;2,#REF!&lt;-2),"",#REF!)</f>
        <v>#REF!</v>
      </c>
      <c r="MU19" s="7" t="e">
        <f>IF(OR(#REF!&gt;2,#REF!&lt;-2),"",#REF!)</f>
        <v>#REF!</v>
      </c>
      <c r="MV19" s="7" t="e">
        <f>IF(OR(#REF!&gt;2,#REF!&lt;-2),"",#REF!)</f>
        <v>#REF!</v>
      </c>
      <c r="MW19" s="7" t="e">
        <f>IF(OR(#REF!&gt;2,#REF!&lt;-2),"",#REF!)</f>
        <v>#REF!</v>
      </c>
      <c r="MX19" s="7" t="e">
        <f>IF(OR(#REF!&gt;2,#REF!&lt;-2),"",#REF!)</f>
        <v>#REF!</v>
      </c>
      <c r="MY19" s="7" t="e">
        <f>IF(OR(#REF!&gt;2,#REF!&lt;-2),"",#REF!)</f>
        <v>#REF!</v>
      </c>
      <c r="MZ19" s="7" t="e">
        <f>IF(OR(#REF!&gt;2,#REF!&lt;-2),"",#REF!)</f>
        <v>#REF!</v>
      </c>
      <c r="NA19" s="7" t="e">
        <f>IF(OR(#REF!&gt;2,#REF!&lt;-2),"",#REF!)</f>
        <v>#REF!</v>
      </c>
      <c r="NB19" s="7" t="e">
        <f>IF(OR(#REF!&gt;2,#REF!&lt;-2),"",#REF!)</f>
        <v>#REF!</v>
      </c>
      <c r="NC19" s="7" t="e">
        <f>IF(OR(#REF!&gt;2,#REF!&lt;-2),"",#REF!)</f>
        <v>#REF!</v>
      </c>
      <c r="ND19" s="7" t="e">
        <f>IF(OR(#REF!&gt;2,#REF!&lt;-2),"",#REF!)</f>
        <v>#REF!</v>
      </c>
      <c r="NE19" s="7" t="e">
        <f>IF(OR(#REF!&gt;2,#REF!&lt;-2),"",#REF!)</f>
        <v>#REF!</v>
      </c>
      <c r="NF19" s="7" t="e">
        <f>IF(OR(#REF!&gt;2,#REF!&lt;-2),"",#REF!)</f>
        <v>#REF!</v>
      </c>
      <c r="NG19" s="7" t="e">
        <f>IF(OR(#REF!&gt;2,#REF!&lt;-2),"",#REF!)</f>
        <v>#REF!</v>
      </c>
      <c r="NH19" s="7" t="e">
        <f>IF(OR(#REF!&gt;2,#REF!&lt;-2),"",#REF!)</f>
        <v>#REF!</v>
      </c>
      <c r="NI19" s="7" t="e">
        <f>IF(OR(#REF!&gt;2,#REF!&lt;-2),"",#REF!)</f>
        <v>#REF!</v>
      </c>
      <c r="NJ19" s="7" t="e">
        <f>IF(OR(#REF!&gt;2,#REF!&lt;-2),"",#REF!)</f>
        <v>#REF!</v>
      </c>
      <c r="NK19" s="7" t="e">
        <f>IF(OR(#REF!&gt;2,#REF!&lt;-2),"",#REF!)</f>
        <v>#REF!</v>
      </c>
      <c r="NL19" s="7" t="e">
        <f>IF(OR(#REF!&gt;2,#REF!&lt;-2),"",#REF!)</f>
        <v>#REF!</v>
      </c>
      <c r="NM19" s="7" t="e">
        <f>IF(OR(#REF!&gt;2,#REF!&lt;-2),"",#REF!)</f>
        <v>#REF!</v>
      </c>
      <c r="NN19" s="7" t="e">
        <f>IF(OR(#REF!&gt;2,#REF!&lt;-2),"",#REF!)</f>
        <v>#REF!</v>
      </c>
      <c r="NO19" s="7" t="e">
        <f>IF(OR(#REF!&gt;2,#REF!&lt;-2),"",#REF!)</f>
        <v>#REF!</v>
      </c>
      <c r="NP19" s="7" t="e">
        <f>IF(OR(#REF!&gt;2,#REF!&lt;-2),"",#REF!)</f>
        <v>#REF!</v>
      </c>
      <c r="NQ19" s="7" t="e">
        <f>IF(OR(#REF!&gt;2,#REF!&lt;-2),"",#REF!)</f>
        <v>#REF!</v>
      </c>
      <c r="NR19" s="7" t="e">
        <f>IF(OR(#REF!&gt;2,#REF!&lt;-2),"",#REF!)</f>
        <v>#REF!</v>
      </c>
      <c r="NS19" s="7" t="e">
        <f>IF(OR(#REF!&gt;2,#REF!&lt;-2),"",#REF!)</f>
        <v>#REF!</v>
      </c>
      <c r="NT19" s="7" t="e">
        <f>IF(OR(#REF!&gt;2,#REF!&lt;-2),"",#REF!)</f>
        <v>#REF!</v>
      </c>
      <c r="NU19" s="7" t="e">
        <f>IF(OR(#REF!&gt;2,#REF!&lt;-2),"",#REF!)</f>
        <v>#REF!</v>
      </c>
      <c r="NV19" s="7" t="e">
        <f>IF(OR(#REF!&gt;2,#REF!&lt;-2),"",#REF!)</f>
        <v>#REF!</v>
      </c>
      <c r="NW19" s="7" t="e">
        <f>IF(OR(#REF!&gt;2,#REF!&lt;-2),"",#REF!)</f>
        <v>#REF!</v>
      </c>
      <c r="NX19" s="7" t="e">
        <f>IF(OR(#REF!&gt;2,#REF!&lt;-2),"",#REF!)</f>
        <v>#REF!</v>
      </c>
      <c r="NY19" s="7" t="e">
        <f>IF(OR(#REF!&gt;2,#REF!&lt;-2),"",#REF!)</f>
        <v>#REF!</v>
      </c>
      <c r="NZ19" s="7" t="e">
        <f>IF(OR(#REF!&gt;2,#REF!&lt;-2),"",#REF!)</f>
        <v>#REF!</v>
      </c>
      <c r="OA19" s="7" t="e">
        <f>IF(OR(#REF!&gt;2,#REF!&lt;-2),"",#REF!)</f>
        <v>#REF!</v>
      </c>
      <c r="OB19" s="7" t="e">
        <f>IF(OR(#REF!&gt;2,#REF!&lt;-2),"",#REF!)</f>
        <v>#REF!</v>
      </c>
      <c r="OC19" s="7" t="e">
        <f>IF(OR(#REF!&gt;2,#REF!&lt;-2),"",#REF!)</f>
        <v>#REF!</v>
      </c>
      <c r="OD19" s="7" t="e">
        <f>IF(OR(#REF!&gt;2,#REF!&lt;-2),"",#REF!)</f>
        <v>#REF!</v>
      </c>
      <c r="OE19" s="7" t="e">
        <f>IF(OR(#REF!&gt;2,#REF!&lt;-2),"",#REF!)</f>
        <v>#REF!</v>
      </c>
      <c r="OF19" s="7" t="e">
        <f>IF(OR(#REF!&gt;2,#REF!&lt;-2),"",#REF!)</f>
        <v>#REF!</v>
      </c>
      <c r="OG19" s="7" t="e">
        <f>IF(OR(#REF!&gt;2,#REF!&lt;-2),"",#REF!)</f>
        <v>#REF!</v>
      </c>
      <c r="OH19" s="7" t="e">
        <f>IF(OR(#REF!&gt;2,#REF!&lt;-2),"",#REF!)</f>
        <v>#REF!</v>
      </c>
      <c r="OI19" s="7" t="e">
        <f>IF(OR(#REF!&gt;2,#REF!&lt;-2),"",#REF!)</f>
        <v>#REF!</v>
      </c>
      <c r="OJ19" s="7" t="e">
        <f>IF(OR(#REF!&gt;2,#REF!&lt;-2),"",#REF!)</f>
        <v>#REF!</v>
      </c>
      <c r="OK19" s="7" t="e">
        <f>IF(OR(#REF!&gt;2,#REF!&lt;-2),"",#REF!)</f>
        <v>#REF!</v>
      </c>
      <c r="OL19" s="7" t="e">
        <f>IF(OR(#REF!&gt;2,#REF!&lt;-2),"",#REF!)</f>
        <v>#REF!</v>
      </c>
      <c r="OM19" s="7" t="e">
        <f>IF(OR(#REF!&gt;2,#REF!&lt;-2),"",#REF!)</f>
        <v>#REF!</v>
      </c>
      <c r="ON19" s="7" t="e">
        <f>IF(OR(#REF!&gt;2,#REF!&lt;-2),"",#REF!)</f>
        <v>#REF!</v>
      </c>
      <c r="OO19" s="7" t="e">
        <f>IF(OR(#REF!&gt;2,#REF!&lt;-2),"",#REF!)</f>
        <v>#REF!</v>
      </c>
      <c r="OP19" s="7" t="e">
        <f>IF(OR(#REF!&gt;2,#REF!&lt;-2),"",#REF!)</f>
        <v>#REF!</v>
      </c>
      <c r="OQ19" s="7" t="e">
        <f>IF(OR(#REF!&gt;2,#REF!&lt;-2),"",#REF!)</f>
        <v>#REF!</v>
      </c>
      <c r="OR19" s="7" t="e">
        <f>IF(OR(#REF!&gt;2,#REF!&lt;-2),"",#REF!)</f>
        <v>#REF!</v>
      </c>
      <c r="OS19" s="7" t="e">
        <f>IF(OR(#REF!&gt;2,#REF!&lt;-2),"",#REF!)</f>
        <v>#REF!</v>
      </c>
      <c r="OT19" s="7" t="e">
        <f>IF(OR(#REF!&gt;2,#REF!&lt;-2),"",#REF!)</f>
        <v>#REF!</v>
      </c>
      <c r="OU19" s="7" t="e">
        <f>IF(OR(#REF!&gt;2,#REF!&lt;-2),"",#REF!)</f>
        <v>#REF!</v>
      </c>
      <c r="OV19" s="7" t="e">
        <f>IF(OR(#REF!&gt;2,#REF!&lt;-2),"",#REF!)</f>
        <v>#REF!</v>
      </c>
      <c r="OW19" s="7" t="e">
        <f>IF(OR(#REF!&gt;2,#REF!&lt;-2),"",#REF!)</f>
        <v>#REF!</v>
      </c>
      <c r="OX19" s="7" t="e">
        <f>IF(OR(#REF!&gt;2,#REF!&lt;-2),"",#REF!)</f>
        <v>#REF!</v>
      </c>
      <c r="OY19" s="7" t="e">
        <f>IF(OR(#REF!&gt;2,#REF!&lt;-2),"",#REF!)</f>
        <v>#REF!</v>
      </c>
      <c r="OZ19" s="7" t="e">
        <f>IF(OR(#REF!&gt;2,#REF!&lt;-2),"",#REF!)</f>
        <v>#REF!</v>
      </c>
      <c r="PA19" s="7" t="e">
        <f>IF(OR(#REF!&gt;2,#REF!&lt;-2),"",#REF!)</f>
        <v>#REF!</v>
      </c>
      <c r="PB19" s="7" t="e">
        <f>IF(OR(#REF!&gt;2,#REF!&lt;-2),"",#REF!)</f>
        <v>#REF!</v>
      </c>
      <c r="PC19" s="7" t="e">
        <f>IF(OR(#REF!&gt;2,#REF!&lt;-2),"",#REF!)</f>
        <v>#REF!</v>
      </c>
      <c r="PD19" s="7" t="e">
        <f>IF(OR(#REF!&gt;2,#REF!&lt;-2),"",#REF!)</f>
        <v>#REF!</v>
      </c>
      <c r="PE19" s="7" t="e">
        <f>IF(OR(#REF!&gt;2,#REF!&lt;-2),"",#REF!)</f>
        <v>#REF!</v>
      </c>
      <c r="PF19" s="7" t="e">
        <f>IF(OR(#REF!&gt;2,#REF!&lt;-2),"",#REF!)</f>
        <v>#REF!</v>
      </c>
      <c r="PG19" s="7" t="e">
        <f>IF(OR(#REF!&gt;2,#REF!&lt;-2),"",#REF!)</f>
        <v>#REF!</v>
      </c>
      <c r="PH19" s="7" t="e">
        <f>IF(OR(#REF!&gt;2,#REF!&lt;-2),"",#REF!)</f>
        <v>#REF!</v>
      </c>
      <c r="PI19" s="7" t="e">
        <f>IF(OR(#REF!&gt;2,#REF!&lt;-2),"",#REF!)</f>
        <v>#REF!</v>
      </c>
      <c r="PJ19" s="7" t="e">
        <f>IF(OR(#REF!&gt;2,#REF!&lt;-2),"",#REF!)</f>
        <v>#REF!</v>
      </c>
      <c r="PK19" s="7" t="e">
        <f>IF(OR(#REF!&gt;2,#REF!&lt;-2),"",#REF!)</f>
        <v>#REF!</v>
      </c>
      <c r="PL19" s="7" t="e">
        <f>IF(OR(#REF!&gt;2,#REF!&lt;-2),"",#REF!)</f>
        <v>#REF!</v>
      </c>
      <c r="PM19" s="7" t="e">
        <f>IF(OR(#REF!&gt;2,#REF!&lt;-2),"",#REF!)</f>
        <v>#REF!</v>
      </c>
      <c r="PN19" s="7" t="e">
        <f>IF(OR(#REF!&gt;2,#REF!&lt;-2),"",#REF!)</f>
        <v>#REF!</v>
      </c>
      <c r="PO19" s="7" t="e">
        <f>IF(OR(#REF!&gt;2,#REF!&lt;-2),"",#REF!)</f>
        <v>#REF!</v>
      </c>
      <c r="PP19" s="7" t="e">
        <f>IF(OR(#REF!&gt;2,#REF!&lt;-2),"",#REF!)</f>
        <v>#REF!</v>
      </c>
      <c r="PQ19" s="7" t="e">
        <f>IF(OR(#REF!&gt;2,#REF!&lt;-2),"",#REF!)</f>
        <v>#REF!</v>
      </c>
      <c r="PR19" s="7" t="e">
        <f>IF(OR(#REF!&gt;2,#REF!&lt;-2),"",#REF!)</f>
        <v>#REF!</v>
      </c>
      <c r="PS19" s="7" t="e">
        <f>IF(OR(#REF!&gt;2,#REF!&lt;-2),"",#REF!)</f>
        <v>#REF!</v>
      </c>
      <c r="PT19" s="7" t="e">
        <f>IF(OR(#REF!&gt;2,#REF!&lt;-2),"",#REF!)</f>
        <v>#REF!</v>
      </c>
      <c r="PU19" s="7" t="e">
        <f>IF(OR(#REF!&gt;2,#REF!&lt;-2),"",#REF!)</f>
        <v>#REF!</v>
      </c>
      <c r="PV19" s="7" t="e">
        <f>IF(OR(#REF!&gt;2,#REF!&lt;-2),"",#REF!)</f>
        <v>#REF!</v>
      </c>
      <c r="PW19" s="7" t="e">
        <f>IF(OR(#REF!&gt;2,#REF!&lt;-2),"",#REF!)</f>
        <v>#REF!</v>
      </c>
      <c r="PX19" s="7" t="e">
        <f>IF(OR(#REF!&gt;2,#REF!&lt;-2),"",#REF!)</f>
        <v>#REF!</v>
      </c>
      <c r="PY19" s="7" t="e">
        <f>IF(OR(#REF!&gt;2,#REF!&lt;-2),"",#REF!)</f>
        <v>#REF!</v>
      </c>
      <c r="PZ19" s="7" t="e">
        <f>IF(OR(#REF!&gt;2,#REF!&lt;-2),"",#REF!)</f>
        <v>#REF!</v>
      </c>
      <c r="QA19" s="7" t="e">
        <f>IF(OR(#REF!&gt;2,#REF!&lt;-2),"",#REF!)</f>
        <v>#REF!</v>
      </c>
      <c r="QB19" s="7" t="e">
        <f>IF(OR(#REF!&gt;2,#REF!&lt;-2),"",#REF!)</f>
        <v>#REF!</v>
      </c>
      <c r="QC19" s="7" t="e">
        <f>IF(OR(#REF!&gt;2,#REF!&lt;-2),"",#REF!)</f>
        <v>#REF!</v>
      </c>
      <c r="QD19" s="7" t="e">
        <f>IF(OR(#REF!&gt;2,#REF!&lt;-2),"",#REF!)</f>
        <v>#REF!</v>
      </c>
      <c r="QE19" s="7" t="e">
        <f>IF(OR(#REF!&gt;2,#REF!&lt;-2),"",#REF!)</f>
        <v>#REF!</v>
      </c>
      <c r="QF19" s="7" t="e">
        <f>IF(OR(#REF!&gt;2,#REF!&lt;-2),"",#REF!)</f>
        <v>#REF!</v>
      </c>
      <c r="QG19" s="7" t="e">
        <f>IF(OR(#REF!&gt;2,#REF!&lt;-2),"",#REF!)</f>
        <v>#REF!</v>
      </c>
      <c r="QH19" s="7" t="e">
        <f>IF(OR(#REF!&gt;2,#REF!&lt;-2),"",#REF!)</f>
        <v>#REF!</v>
      </c>
      <c r="QI19" s="7" t="e">
        <f>IF(OR(#REF!&gt;2,#REF!&lt;-2),"",#REF!)</f>
        <v>#REF!</v>
      </c>
      <c r="QJ19" s="7" t="e">
        <f>IF(OR(#REF!&gt;2,#REF!&lt;-2),"",#REF!)</f>
        <v>#REF!</v>
      </c>
      <c r="QK19" s="7" t="e">
        <f>IF(OR(#REF!&gt;2,#REF!&lt;-2),"",#REF!)</f>
        <v>#REF!</v>
      </c>
      <c r="QL19" s="7" t="e">
        <f>IF(OR(#REF!&gt;2,#REF!&lt;-2),"",#REF!)</f>
        <v>#REF!</v>
      </c>
      <c r="QM19" s="7" t="e">
        <f>IF(OR(#REF!&gt;2,#REF!&lt;-2),"",#REF!)</f>
        <v>#REF!</v>
      </c>
      <c r="QN19" s="7" t="e">
        <f>IF(OR(#REF!&gt;2,#REF!&lt;-2),"",#REF!)</f>
        <v>#REF!</v>
      </c>
      <c r="QO19" s="7" t="e">
        <f>IF(OR(#REF!&gt;2,#REF!&lt;-2),"",#REF!)</f>
        <v>#REF!</v>
      </c>
      <c r="QP19" s="7" t="e">
        <f>IF(OR(#REF!&gt;2,#REF!&lt;-2),"",#REF!)</f>
        <v>#REF!</v>
      </c>
      <c r="QQ19" s="7" t="e">
        <f>IF(OR(#REF!&gt;2,#REF!&lt;-2),"",#REF!)</f>
        <v>#REF!</v>
      </c>
      <c r="QR19" s="7" t="e">
        <f>IF(OR(#REF!&gt;2,#REF!&lt;-2),"",#REF!)</f>
        <v>#REF!</v>
      </c>
      <c r="QS19" s="7" t="e">
        <f>IF(OR(#REF!&gt;2,#REF!&lt;-2),"",#REF!)</f>
        <v>#REF!</v>
      </c>
      <c r="QT19" s="7" t="e">
        <f>IF(OR(#REF!&gt;2,#REF!&lt;-2),"",#REF!)</f>
        <v>#REF!</v>
      </c>
      <c r="QU19" s="7" t="e">
        <f>IF(OR(#REF!&gt;2,#REF!&lt;-2),"",#REF!)</f>
        <v>#REF!</v>
      </c>
      <c r="QV19" s="7" t="e">
        <f>IF(OR(#REF!&gt;2,#REF!&lt;-2),"",#REF!)</f>
        <v>#REF!</v>
      </c>
      <c r="QW19" s="7" t="e">
        <f>IF(OR(#REF!&gt;2,#REF!&lt;-2),"",#REF!)</f>
        <v>#REF!</v>
      </c>
      <c r="QX19" s="7" t="e">
        <f>IF(OR(#REF!&gt;2,#REF!&lt;-2),"",#REF!)</f>
        <v>#REF!</v>
      </c>
      <c r="QY19" s="7" t="e">
        <f>IF(OR(#REF!&gt;2,#REF!&lt;-2),"",#REF!)</f>
        <v>#REF!</v>
      </c>
      <c r="QZ19" s="7" t="e">
        <f>IF(OR(#REF!&gt;2,#REF!&lt;-2),"",#REF!)</f>
        <v>#REF!</v>
      </c>
      <c r="RA19" s="7" t="e">
        <f>IF(OR(#REF!&gt;2,#REF!&lt;-2),"",#REF!)</f>
        <v>#REF!</v>
      </c>
      <c r="RB19" s="7" t="e">
        <f>IF(OR(#REF!&gt;2,#REF!&lt;-2),"",#REF!)</f>
        <v>#REF!</v>
      </c>
      <c r="RC19" s="7" t="e">
        <f>IF(OR(#REF!&gt;2,#REF!&lt;-2),"",#REF!)</f>
        <v>#REF!</v>
      </c>
      <c r="RD19" s="7" t="e">
        <f>IF(OR(#REF!&gt;2,#REF!&lt;-2),"",#REF!)</f>
        <v>#REF!</v>
      </c>
      <c r="RE19" s="7" t="e">
        <f>IF(OR(#REF!&gt;2,#REF!&lt;-2),"",#REF!)</f>
        <v>#REF!</v>
      </c>
      <c r="RF19" s="7" t="e">
        <f>IF(OR(#REF!&gt;2,#REF!&lt;-2),"",#REF!)</f>
        <v>#REF!</v>
      </c>
      <c r="RG19" s="7" t="e">
        <f>IF(OR(#REF!&gt;2,#REF!&lt;-2),"",#REF!)</f>
        <v>#REF!</v>
      </c>
      <c r="RH19" s="7" t="e">
        <f>IF(OR(#REF!&gt;2,#REF!&lt;-2),"",#REF!)</f>
        <v>#REF!</v>
      </c>
      <c r="RI19" s="7" t="e">
        <f>IF(OR(#REF!&gt;2,#REF!&lt;-2),"",#REF!)</f>
        <v>#REF!</v>
      </c>
      <c r="RJ19" s="7" t="e">
        <f>IF(OR(#REF!&gt;2,#REF!&lt;-2),"",#REF!)</f>
        <v>#REF!</v>
      </c>
      <c r="RK19" s="7" t="e">
        <f>IF(OR(#REF!&gt;2,#REF!&lt;-2),"",#REF!)</f>
        <v>#REF!</v>
      </c>
      <c r="RL19" s="7" t="e">
        <f>IF(OR(#REF!&gt;2,#REF!&lt;-2),"",#REF!)</f>
        <v>#REF!</v>
      </c>
      <c r="RM19" s="7" t="e">
        <f>IF(OR(#REF!&gt;2,#REF!&lt;-2),"",#REF!)</f>
        <v>#REF!</v>
      </c>
      <c r="RN19" s="7" t="e">
        <f>IF(OR(#REF!&gt;2,#REF!&lt;-2),"",#REF!)</f>
        <v>#REF!</v>
      </c>
      <c r="RO19" s="7" t="e">
        <f>IF(OR(#REF!&gt;2,#REF!&lt;-2),"",#REF!)</f>
        <v>#REF!</v>
      </c>
      <c r="RP19" s="7" t="e">
        <f>IF(OR(#REF!&gt;2,#REF!&lt;-2),"",#REF!)</f>
        <v>#REF!</v>
      </c>
      <c r="RQ19" s="7" t="e">
        <f>IF(OR(#REF!&gt;2,#REF!&lt;-2),"",#REF!)</f>
        <v>#REF!</v>
      </c>
      <c r="RR19" s="7" t="e">
        <f>IF(OR(#REF!&gt;2,#REF!&lt;-2),"",#REF!)</f>
        <v>#REF!</v>
      </c>
      <c r="RS19" s="7" t="e">
        <f>IF(OR(#REF!&gt;2,#REF!&lt;-2),"",#REF!)</f>
        <v>#REF!</v>
      </c>
      <c r="RT19" s="7" t="e">
        <f>IF(OR(#REF!&gt;2,#REF!&lt;-2),"",#REF!)</f>
        <v>#REF!</v>
      </c>
      <c r="RU19" s="7" t="e">
        <f>IF(OR(#REF!&gt;2,#REF!&lt;-2),"",#REF!)</f>
        <v>#REF!</v>
      </c>
      <c r="RV19" s="7" t="e">
        <f>IF(OR(#REF!&gt;2,#REF!&lt;-2),"",#REF!)</f>
        <v>#REF!</v>
      </c>
      <c r="RW19" s="7" t="e">
        <f>IF(OR(#REF!&gt;2,#REF!&lt;-2),"",#REF!)</f>
        <v>#REF!</v>
      </c>
      <c r="RX19" s="7" t="e">
        <f>IF(OR(#REF!&gt;2,#REF!&lt;-2),"",#REF!)</f>
        <v>#REF!</v>
      </c>
      <c r="RY19" s="7" t="e">
        <f>IF(OR(#REF!&gt;2,#REF!&lt;-2),"",#REF!)</f>
        <v>#REF!</v>
      </c>
      <c r="RZ19" s="7" t="e">
        <f>IF(OR(#REF!&gt;2,#REF!&lt;-2),"",#REF!)</f>
        <v>#REF!</v>
      </c>
      <c r="SA19" s="7" t="e">
        <f>IF(OR(#REF!&gt;2,#REF!&lt;-2),"",#REF!)</f>
        <v>#REF!</v>
      </c>
      <c r="SB19" s="7" t="e">
        <f>IF(OR(#REF!&gt;2,#REF!&lt;-2),"",#REF!)</f>
        <v>#REF!</v>
      </c>
      <c r="SC19" s="7" t="e">
        <f>IF(OR(#REF!&gt;2,#REF!&lt;-2),"",#REF!)</f>
        <v>#REF!</v>
      </c>
      <c r="SD19" s="7" t="e">
        <f>IF(OR(#REF!&gt;2,#REF!&lt;-2),"",#REF!)</f>
        <v>#REF!</v>
      </c>
      <c r="SE19" s="7" t="e">
        <f>IF(OR(#REF!&gt;2,#REF!&lt;-2),"",#REF!)</f>
        <v>#REF!</v>
      </c>
      <c r="SF19" s="7" t="e">
        <f>IF(OR(#REF!&gt;2,#REF!&lt;-2),"",#REF!)</f>
        <v>#REF!</v>
      </c>
      <c r="SG19" s="7" t="e">
        <f>IF(OR(#REF!&gt;2,#REF!&lt;-2),"",#REF!)</f>
        <v>#REF!</v>
      </c>
      <c r="SH19" s="7" t="e">
        <f>IF(OR(#REF!&gt;2,#REF!&lt;-2),"",#REF!)</f>
        <v>#REF!</v>
      </c>
      <c r="SI19" s="7" t="e">
        <f>IF(OR(#REF!&gt;2,#REF!&lt;-2),"",#REF!)</f>
        <v>#REF!</v>
      </c>
      <c r="SJ19" s="7" t="e">
        <f>IF(OR(#REF!&gt;2,#REF!&lt;-2),"",#REF!)</f>
        <v>#REF!</v>
      </c>
      <c r="SK19" s="7" t="e">
        <f>IF(OR(#REF!&gt;2,#REF!&lt;-2),"",#REF!)</f>
        <v>#REF!</v>
      </c>
      <c r="SL19" s="7" t="e">
        <f>IF(OR(#REF!&gt;2,#REF!&lt;-2),"",#REF!)</f>
        <v>#REF!</v>
      </c>
      <c r="SM19" s="7" t="e">
        <f>IF(OR(#REF!&gt;2,#REF!&lt;-2),"",#REF!)</f>
        <v>#REF!</v>
      </c>
      <c r="SN19" s="7" t="e">
        <f>IF(OR(#REF!&gt;2,#REF!&lt;-2),"",#REF!)</f>
        <v>#REF!</v>
      </c>
      <c r="SO19" s="7" t="e">
        <f>IF(OR(#REF!&gt;2,#REF!&lt;-2),"",#REF!)</f>
        <v>#REF!</v>
      </c>
      <c r="SP19" s="7" t="e">
        <f>IF(OR(#REF!&gt;2,#REF!&lt;-2),"",#REF!)</f>
        <v>#REF!</v>
      </c>
      <c r="SQ19" s="7" t="e">
        <f>IF(OR(#REF!&gt;2,#REF!&lt;-2),"",#REF!)</f>
        <v>#REF!</v>
      </c>
      <c r="SR19" s="7" t="e">
        <f>IF(OR(#REF!&gt;2,#REF!&lt;-2),"",#REF!)</f>
        <v>#REF!</v>
      </c>
      <c r="SS19" s="7" t="e">
        <f>IF(OR(#REF!&gt;2,#REF!&lt;-2),"",#REF!)</f>
        <v>#REF!</v>
      </c>
      <c r="ST19" s="7" t="e">
        <f>IF(OR(#REF!&gt;2,#REF!&lt;-2),"",#REF!)</f>
        <v>#REF!</v>
      </c>
      <c r="SU19" s="7" t="e">
        <f>IF(OR(#REF!&gt;2,#REF!&lt;-2),"",#REF!)</f>
        <v>#REF!</v>
      </c>
      <c r="SV19" s="7" t="e">
        <f>IF(OR(#REF!&gt;2,#REF!&lt;-2),"",#REF!)</f>
        <v>#REF!</v>
      </c>
      <c r="SW19" s="7" t="e">
        <f>IF(OR(#REF!&gt;2,#REF!&lt;-2),"",#REF!)</f>
        <v>#REF!</v>
      </c>
      <c r="SX19" s="7" t="e">
        <f>IF(OR(#REF!&gt;2,#REF!&lt;-2),"",#REF!)</f>
        <v>#REF!</v>
      </c>
      <c r="SY19" s="7" t="e">
        <f>IF(OR(#REF!&gt;2,#REF!&lt;-2),"",#REF!)</f>
        <v>#REF!</v>
      </c>
      <c r="SZ19" s="7" t="e">
        <f>IF(OR(#REF!&gt;2,#REF!&lt;-2),"",#REF!)</f>
        <v>#REF!</v>
      </c>
      <c r="TA19" s="7" t="e">
        <f>IF(OR(#REF!&gt;2,#REF!&lt;-2),"",#REF!)</f>
        <v>#REF!</v>
      </c>
      <c r="TB19" s="7" t="e">
        <f>IF(OR(#REF!&gt;2,#REF!&lt;-2),"",#REF!)</f>
        <v>#REF!</v>
      </c>
      <c r="TC19" s="7" t="e">
        <f>IF(OR(#REF!&gt;2,#REF!&lt;-2),"",#REF!)</f>
        <v>#REF!</v>
      </c>
      <c r="TD19" s="7" t="e">
        <f>IF(OR(#REF!&gt;2,#REF!&lt;-2),"",#REF!)</f>
        <v>#REF!</v>
      </c>
      <c r="TE19" s="7" t="e">
        <f>IF(OR(#REF!&gt;2,#REF!&lt;-2),"",#REF!)</f>
        <v>#REF!</v>
      </c>
      <c r="TF19" s="7" t="e">
        <f>IF(OR(#REF!&gt;2,#REF!&lt;-2),"",#REF!)</f>
        <v>#REF!</v>
      </c>
      <c r="TG19" s="7" t="e">
        <f>IF(OR(#REF!&gt;2,#REF!&lt;-2),"",#REF!)</f>
        <v>#REF!</v>
      </c>
      <c r="TH19" s="7" t="e">
        <f>IF(OR(#REF!&gt;2,#REF!&lt;-2),"",#REF!)</f>
        <v>#REF!</v>
      </c>
      <c r="TI19" s="7" t="e">
        <f>IF(OR(#REF!&gt;2,#REF!&lt;-2),"",#REF!)</f>
        <v>#REF!</v>
      </c>
      <c r="TJ19" s="7" t="e">
        <f>IF(OR(#REF!&gt;2,#REF!&lt;-2),"",#REF!)</f>
        <v>#REF!</v>
      </c>
      <c r="TK19" s="7" t="e">
        <f>IF(OR(#REF!&gt;2,#REF!&lt;-2),"",#REF!)</f>
        <v>#REF!</v>
      </c>
      <c r="TL19" s="7" t="e">
        <f>IF(OR(#REF!&gt;2,#REF!&lt;-2),"",#REF!)</f>
        <v>#REF!</v>
      </c>
      <c r="TM19" s="7" t="e">
        <f>IF(OR(#REF!&gt;2,#REF!&lt;-2),"",#REF!)</f>
        <v>#REF!</v>
      </c>
      <c r="TN19" s="7" t="e">
        <f>IF(OR(#REF!&gt;2,#REF!&lt;-2),"",#REF!)</f>
        <v>#REF!</v>
      </c>
      <c r="TO19" s="7" t="e">
        <f>IF(OR(#REF!&gt;2,#REF!&lt;-2),"",#REF!)</f>
        <v>#REF!</v>
      </c>
      <c r="TP19" s="7" t="e">
        <f>IF(OR(#REF!&gt;2,#REF!&lt;-2),"",#REF!)</f>
        <v>#REF!</v>
      </c>
      <c r="TQ19" s="7" t="e">
        <f>IF(OR(#REF!&gt;2,#REF!&lt;-2),"",#REF!)</f>
        <v>#REF!</v>
      </c>
      <c r="TR19" s="7" t="e">
        <f>IF(OR(#REF!&gt;2,#REF!&lt;-2),"",#REF!)</f>
        <v>#REF!</v>
      </c>
      <c r="TS19" s="7" t="e">
        <f>IF(OR(#REF!&gt;2,#REF!&lt;-2),"",#REF!)</f>
        <v>#REF!</v>
      </c>
      <c r="TT19" s="7" t="e">
        <f>IF(OR(#REF!&gt;2,#REF!&lt;-2),"",#REF!)</f>
        <v>#REF!</v>
      </c>
      <c r="TU19" s="7" t="e">
        <f>IF(OR(#REF!&gt;2,#REF!&lt;-2),"",#REF!)</f>
        <v>#REF!</v>
      </c>
      <c r="TV19" s="7" t="e">
        <f>IF(OR(#REF!&gt;2,#REF!&lt;-2),"",#REF!)</f>
        <v>#REF!</v>
      </c>
      <c r="TW19" s="7" t="e">
        <f>IF(OR(#REF!&gt;2,#REF!&lt;-2),"",#REF!)</f>
        <v>#REF!</v>
      </c>
      <c r="TX19" s="7" t="e">
        <f>IF(OR(#REF!&gt;2,#REF!&lt;-2),"",#REF!)</f>
        <v>#REF!</v>
      </c>
      <c r="TY19" s="7" t="e">
        <f>IF(OR(#REF!&gt;2,#REF!&lt;-2),"",#REF!)</f>
        <v>#REF!</v>
      </c>
      <c r="TZ19" s="7" t="e">
        <f>IF(OR(#REF!&gt;2,#REF!&lt;-2),"",#REF!)</f>
        <v>#REF!</v>
      </c>
      <c r="UA19" s="7" t="e">
        <f>IF(OR(#REF!&gt;2,#REF!&lt;-2),"",#REF!)</f>
        <v>#REF!</v>
      </c>
      <c r="UB19" s="7" t="e">
        <f>IF(OR(#REF!&gt;2,#REF!&lt;-2),"",#REF!)</f>
        <v>#REF!</v>
      </c>
      <c r="UC19" s="7" t="e">
        <f>IF(OR(#REF!&gt;2,#REF!&lt;-2),"",#REF!)</f>
        <v>#REF!</v>
      </c>
      <c r="UD19" s="7" t="e">
        <f>IF(OR(#REF!&gt;2,#REF!&lt;-2),"",#REF!)</f>
        <v>#REF!</v>
      </c>
      <c r="UE19" s="7" t="e">
        <f>IF(OR(#REF!&gt;2,#REF!&lt;-2),"",#REF!)</f>
        <v>#REF!</v>
      </c>
      <c r="UF19" s="7" t="e">
        <f>IF(OR(#REF!&gt;2,#REF!&lt;-2),"",#REF!)</f>
        <v>#REF!</v>
      </c>
      <c r="UG19" s="7" t="e">
        <f>IF(OR(#REF!&gt;2,#REF!&lt;-2),"",#REF!)</f>
        <v>#REF!</v>
      </c>
      <c r="UH19" s="7" t="e">
        <f>IF(OR(#REF!&gt;2,#REF!&lt;-2),"",#REF!)</f>
        <v>#REF!</v>
      </c>
      <c r="UI19" s="7" t="e">
        <f>IF(OR(#REF!&gt;2,#REF!&lt;-2),"",#REF!)</f>
        <v>#REF!</v>
      </c>
      <c r="UJ19" s="7" t="e">
        <f>IF(OR(#REF!&gt;2,#REF!&lt;-2),"",#REF!)</f>
        <v>#REF!</v>
      </c>
      <c r="UK19" s="7" t="e">
        <f>IF(OR(#REF!&gt;2,#REF!&lt;-2),"",#REF!)</f>
        <v>#REF!</v>
      </c>
      <c r="UL19" s="7" t="e">
        <f>IF(OR(#REF!&gt;2,#REF!&lt;-2),"",#REF!)</f>
        <v>#REF!</v>
      </c>
      <c r="UM19" s="7" t="e">
        <f>IF(OR(#REF!&gt;2,#REF!&lt;-2),"",#REF!)</f>
        <v>#REF!</v>
      </c>
      <c r="UN19" s="7" t="e">
        <f>IF(OR(#REF!&gt;2,#REF!&lt;-2),"",#REF!)</f>
        <v>#REF!</v>
      </c>
      <c r="UO19" s="7" t="e">
        <f>IF(OR(#REF!&gt;2,#REF!&lt;-2),"",#REF!)</f>
        <v>#REF!</v>
      </c>
      <c r="UP19" s="7" t="e">
        <f>IF(OR(#REF!&gt;2,#REF!&lt;-2),"",#REF!)</f>
        <v>#REF!</v>
      </c>
    </row>
    <row r="20" spans="1:562" x14ac:dyDescent="0.35">
      <c r="A20">
        <v>207</v>
      </c>
      <c r="B20">
        <v>1</v>
      </c>
      <c r="C20" s="7" t="e">
        <f>IF(OR(#REF!&gt;2,#REF!&lt;-2),"",#REF!)</f>
        <v>#REF!</v>
      </c>
      <c r="D20" s="7" t="e">
        <f>IF(OR(#REF!&gt;2,#REF!&lt;-2),"",#REF!)</f>
        <v>#REF!</v>
      </c>
      <c r="E20" s="7" t="e">
        <f>IF(OR(#REF!&gt;2,#REF!&lt;-2),"",#REF!)</f>
        <v>#REF!</v>
      </c>
      <c r="F20" s="7" t="e">
        <f>IF(OR(#REF!&gt;2,#REF!&lt;-2),"",#REF!)</f>
        <v>#REF!</v>
      </c>
      <c r="G20" s="7" t="e">
        <f>IF(OR(#REF!&gt;2,#REF!&lt;-2),"",#REF!)</f>
        <v>#REF!</v>
      </c>
      <c r="H20" s="7" t="e">
        <f>IF(OR(#REF!&gt;2,#REF!&lt;-2),"",#REF!)</f>
        <v>#REF!</v>
      </c>
      <c r="I20" s="7" t="e">
        <f>IF(OR(#REF!&gt;2,#REF!&lt;-2),"",#REF!)</f>
        <v>#REF!</v>
      </c>
      <c r="J20" s="7" t="e">
        <f>IF(OR(#REF!&gt;2,#REF!&lt;-2),"",#REF!)</f>
        <v>#REF!</v>
      </c>
      <c r="K20" s="7" t="e">
        <f>IF(OR(#REF!&gt;2,#REF!&lt;-2),"",#REF!)</f>
        <v>#REF!</v>
      </c>
      <c r="L20" s="7" t="e">
        <f>IF(OR(#REF!&gt;2,#REF!&lt;-2),"",#REF!)</f>
        <v>#REF!</v>
      </c>
      <c r="M20" s="7" t="e">
        <f>IF(OR(#REF!&gt;2,#REF!&lt;-2),"",#REF!)</f>
        <v>#REF!</v>
      </c>
      <c r="N20" s="7" t="e">
        <f>IF(OR(#REF!&gt;2,#REF!&lt;-2),"",#REF!)</f>
        <v>#REF!</v>
      </c>
      <c r="O20" s="7" t="e">
        <f>IF(OR(#REF!&gt;2,#REF!&lt;-2),"",#REF!)</f>
        <v>#REF!</v>
      </c>
      <c r="P20" s="7" t="e">
        <f>IF(OR(#REF!&gt;2,#REF!&lt;-2),"",#REF!)</f>
        <v>#REF!</v>
      </c>
      <c r="Q20" s="7" t="e">
        <f>IF(OR(#REF!&gt;2,#REF!&lt;-2),"",#REF!)</f>
        <v>#REF!</v>
      </c>
      <c r="R20" s="7" t="e">
        <f>IF(OR(#REF!&gt;2,#REF!&lt;-2),"",#REF!)</f>
        <v>#REF!</v>
      </c>
      <c r="S20" s="7" t="e">
        <f>IF(OR(#REF!&gt;2,#REF!&lt;-2),"",#REF!)</f>
        <v>#REF!</v>
      </c>
      <c r="T20" s="7" t="e">
        <f>IF(OR(#REF!&gt;2,#REF!&lt;-2),"",#REF!)</f>
        <v>#REF!</v>
      </c>
      <c r="U20" s="7" t="e">
        <f>IF(OR(#REF!&gt;2,#REF!&lt;-2),"",#REF!)</f>
        <v>#REF!</v>
      </c>
      <c r="V20" s="7" t="e">
        <f>IF(OR(#REF!&gt;2,#REF!&lt;-2),"",#REF!)</f>
        <v>#REF!</v>
      </c>
      <c r="W20" s="7" t="e">
        <f>IF(OR(#REF!&gt;2,#REF!&lt;-2),"",#REF!)</f>
        <v>#REF!</v>
      </c>
      <c r="X20" s="7" t="e">
        <f>IF(OR(#REF!&gt;2,#REF!&lt;-2),"",#REF!)</f>
        <v>#REF!</v>
      </c>
      <c r="Y20" s="7" t="e">
        <f>IF(OR(#REF!&gt;2,#REF!&lt;-2),"",#REF!)</f>
        <v>#REF!</v>
      </c>
      <c r="Z20" s="7" t="e">
        <f>IF(OR(#REF!&gt;2,#REF!&lt;-2),"",#REF!)</f>
        <v>#REF!</v>
      </c>
      <c r="AA20" s="7" t="e">
        <f>IF(OR(#REF!&gt;2,#REF!&lt;-2),"",#REF!)</f>
        <v>#REF!</v>
      </c>
      <c r="AB20" s="7" t="e">
        <f>IF(OR(#REF!&gt;2,#REF!&lt;-2),"",#REF!)</f>
        <v>#REF!</v>
      </c>
      <c r="AC20" s="7" t="e">
        <f>IF(OR(#REF!&gt;2,#REF!&lt;-2),"",#REF!)</f>
        <v>#REF!</v>
      </c>
      <c r="AD20" s="7" t="e">
        <f>IF(OR(#REF!&gt;2,#REF!&lt;-2),"",#REF!)</f>
        <v>#REF!</v>
      </c>
      <c r="AE20" s="7" t="e">
        <f>IF(OR(#REF!&gt;2,#REF!&lt;-2),"",#REF!)</f>
        <v>#REF!</v>
      </c>
      <c r="AF20" s="7" t="e">
        <f>IF(OR(#REF!&gt;2,#REF!&lt;-2),"",#REF!)</f>
        <v>#REF!</v>
      </c>
      <c r="AG20" s="7" t="e">
        <f>IF(OR(#REF!&gt;2,#REF!&lt;-2),"",#REF!)</f>
        <v>#REF!</v>
      </c>
      <c r="AH20" s="7" t="e">
        <f>IF(OR(#REF!&gt;2,#REF!&lt;-2),"",#REF!)</f>
        <v>#REF!</v>
      </c>
      <c r="AI20" s="7" t="e">
        <f>IF(OR(#REF!&gt;2,#REF!&lt;-2),"",#REF!)</f>
        <v>#REF!</v>
      </c>
      <c r="AJ20" s="7" t="e">
        <f>IF(OR(#REF!&gt;2,#REF!&lt;-2),"",#REF!)</f>
        <v>#REF!</v>
      </c>
      <c r="AK20" s="7" t="e">
        <f>IF(OR(#REF!&gt;2,#REF!&lt;-2),"",#REF!)</f>
        <v>#REF!</v>
      </c>
      <c r="AL20" s="7" t="e">
        <f>IF(OR(#REF!&gt;2,#REF!&lt;-2),"",#REF!)</f>
        <v>#REF!</v>
      </c>
      <c r="AM20" s="7" t="e">
        <f>IF(OR(#REF!&gt;2,#REF!&lt;-2),"",#REF!)</f>
        <v>#REF!</v>
      </c>
      <c r="AN20" s="7" t="e">
        <f>IF(OR(#REF!&gt;2,#REF!&lt;-2),"",#REF!)</f>
        <v>#REF!</v>
      </c>
      <c r="AO20" s="7" t="e">
        <f>IF(OR(#REF!&gt;2,#REF!&lt;-2),"",#REF!)</f>
        <v>#REF!</v>
      </c>
      <c r="AP20" s="7" t="e">
        <f>IF(OR(#REF!&gt;2,#REF!&lt;-2),"",#REF!)</f>
        <v>#REF!</v>
      </c>
      <c r="AQ20" s="7" t="e">
        <f>IF(OR(#REF!&gt;2,#REF!&lt;-2),"",#REF!)</f>
        <v>#REF!</v>
      </c>
      <c r="AR20" s="7" t="e">
        <f>IF(OR(#REF!&gt;2,#REF!&lt;-2),"",#REF!)</f>
        <v>#REF!</v>
      </c>
      <c r="AS20" s="7" t="e">
        <f>IF(OR(#REF!&gt;2,#REF!&lt;-2),"",#REF!)</f>
        <v>#REF!</v>
      </c>
      <c r="AT20" s="7" t="e">
        <f>IF(OR(#REF!&gt;2,#REF!&lt;-2),"",#REF!)</f>
        <v>#REF!</v>
      </c>
      <c r="AU20" s="7" t="e">
        <f>IF(OR(#REF!&gt;2,#REF!&lt;-2),"",#REF!)</f>
        <v>#REF!</v>
      </c>
      <c r="AV20" s="7" t="e">
        <f>IF(OR(#REF!&gt;2,#REF!&lt;-2),"",#REF!)</f>
        <v>#REF!</v>
      </c>
      <c r="AW20" s="7" t="e">
        <f>IF(OR(#REF!&gt;2,#REF!&lt;-2),"",#REF!)</f>
        <v>#REF!</v>
      </c>
      <c r="AX20" s="7" t="e">
        <f>IF(OR(#REF!&gt;2,#REF!&lt;-2),"",#REF!)</f>
        <v>#REF!</v>
      </c>
      <c r="AY20" s="7" t="e">
        <f>IF(OR(#REF!&gt;2,#REF!&lt;-2),"",#REF!)</f>
        <v>#REF!</v>
      </c>
      <c r="AZ20" s="7" t="e">
        <f>IF(OR(#REF!&gt;2,#REF!&lt;-2),"",#REF!)</f>
        <v>#REF!</v>
      </c>
      <c r="BA20" s="7" t="e">
        <f>IF(OR(#REF!&gt;2,#REF!&lt;-2),"",#REF!)</f>
        <v>#REF!</v>
      </c>
      <c r="BB20" s="7" t="e">
        <f>IF(OR(#REF!&gt;2,#REF!&lt;-2),"",#REF!)</f>
        <v>#REF!</v>
      </c>
      <c r="BC20" s="7" t="e">
        <f>IF(OR(#REF!&gt;2,#REF!&lt;-2),"",#REF!)</f>
        <v>#REF!</v>
      </c>
      <c r="BD20" s="7" t="e">
        <f>IF(OR(#REF!&gt;2,#REF!&lt;-2),"",#REF!)</f>
        <v>#REF!</v>
      </c>
      <c r="BE20" s="7" t="e">
        <f>IF(OR(#REF!&gt;2,#REF!&lt;-2),"",#REF!)</f>
        <v>#REF!</v>
      </c>
      <c r="BF20" s="7" t="e">
        <f>IF(OR(#REF!&gt;2,#REF!&lt;-2),"",#REF!)</f>
        <v>#REF!</v>
      </c>
      <c r="BG20" s="7" t="e">
        <f>IF(OR(#REF!&gt;2,#REF!&lt;-2),"",#REF!)</f>
        <v>#REF!</v>
      </c>
      <c r="BH20" s="7" t="e">
        <f>IF(OR(#REF!&gt;2,#REF!&lt;-2),"",#REF!)</f>
        <v>#REF!</v>
      </c>
      <c r="BI20" s="7" t="e">
        <f>IF(OR(#REF!&gt;2,#REF!&lt;-2),"",#REF!)</f>
        <v>#REF!</v>
      </c>
      <c r="BJ20" s="7" t="e">
        <f>IF(OR(#REF!&gt;2,#REF!&lt;-2),"",#REF!)</f>
        <v>#REF!</v>
      </c>
      <c r="BK20" s="7" t="e">
        <f>IF(OR(#REF!&gt;2,#REF!&lt;-2),"",#REF!)</f>
        <v>#REF!</v>
      </c>
      <c r="BL20" s="7" t="e">
        <f>IF(OR(#REF!&gt;2,#REF!&lt;-2),"",#REF!)</f>
        <v>#REF!</v>
      </c>
      <c r="BM20" s="7" t="e">
        <f>IF(OR(#REF!&gt;2,#REF!&lt;-2),"",#REF!)</f>
        <v>#REF!</v>
      </c>
      <c r="BN20" s="7" t="e">
        <f>IF(OR(#REF!&gt;2,#REF!&lt;-2),"",#REF!)</f>
        <v>#REF!</v>
      </c>
      <c r="BO20" s="7" t="e">
        <f>IF(OR(#REF!&gt;2,#REF!&lt;-2),"",#REF!)</f>
        <v>#REF!</v>
      </c>
      <c r="BP20" s="7" t="e">
        <f>IF(OR(#REF!&gt;2,#REF!&lt;-2),"",#REF!)</f>
        <v>#REF!</v>
      </c>
      <c r="BQ20" s="7" t="e">
        <f>IF(OR(#REF!&gt;2,#REF!&lt;-2),"",#REF!)</f>
        <v>#REF!</v>
      </c>
      <c r="BR20" s="7" t="e">
        <f>IF(OR(#REF!&gt;2,#REF!&lt;-2),"",#REF!)</f>
        <v>#REF!</v>
      </c>
      <c r="BS20" s="7" t="e">
        <f>IF(OR(#REF!&gt;2,#REF!&lt;-2),"",#REF!)</f>
        <v>#REF!</v>
      </c>
      <c r="BT20" s="7" t="e">
        <f>IF(OR(#REF!&gt;2,#REF!&lt;-2),"",#REF!)</f>
        <v>#REF!</v>
      </c>
      <c r="BU20" s="7" t="e">
        <f>IF(OR(#REF!&gt;2,#REF!&lt;-2),"",#REF!)</f>
        <v>#REF!</v>
      </c>
      <c r="BV20" s="7" t="e">
        <f>IF(OR(#REF!&gt;2,#REF!&lt;-2),"",#REF!)</f>
        <v>#REF!</v>
      </c>
      <c r="BW20" s="7" t="e">
        <f>IF(OR(#REF!&gt;2,#REF!&lt;-2),"",#REF!)</f>
        <v>#REF!</v>
      </c>
      <c r="BX20" s="7" t="e">
        <f>IF(OR(#REF!&gt;2,#REF!&lt;-2),"",#REF!)</f>
        <v>#REF!</v>
      </c>
      <c r="BY20" s="7" t="e">
        <f>IF(OR(#REF!&gt;2,#REF!&lt;-2),"",#REF!)</f>
        <v>#REF!</v>
      </c>
      <c r="BZ20" s="7" t="e">
        <f>IF(OR(#REF!&gt;2,#REF!&lt;-2),"",#REF!)</f>
        <v>#REF!</v>
      </c>
      <c r="CA20" s="7" t="e">
        <f>IF(OR(#REF!&gt;2,#REF!&lt;-2),"",#REF!)</f>
        <v>#REF!</v>
      </c>
      <c r="CB20" s="7" t="e">
        <f>IF(OR(#REF!&gt;2,#REF!&lt;-2),"",#REF!)</f>
        <v>#REF!</v>
      </c>
      <c r="CC20" s="7" t="e">
        <f>IF(OR(#REF!&gt;2,#REF!&lt;-2),"",#REF!)</f>
        <v>#REF!</v>
      </c>
      <c r="CD20" s="7" t="e">
        <f>IF(OR(#REF!&gt;2,#REF!&lt;-2),"",#REF!)</f>
        <v>#REF!</v>
      </c>
      <c r="CE20" s="7" t="e">
        <f>IF(OR(#REF!&gt;2,#REF!&lt;-2),"",#REF!)</f>
        <v>#REF!</v>
      </c>
      <c r="CF20" s="7" t="e">
        <f>IF(OR(#REF!&gt;2,#REF!&lt;-2),"",#REF!)</f>
        <v>#REF!</v>
      </c>
      <c r="CG20" s="7" t="e">
        <f>IF(OR(#REF!&gt;2,#REF!&lt;-2),"",#REF!)</f>
        <v>#REF!</v>
      </c>
      <c r="CH20" s="7" t="e">
        <f>IF(OR(#REF!&gt;2,#REF!&lt;-2),"",#REF!)</f>
        <v>#REF!</v>
      </c>
      <c r="CI20" s="7" t="e">
        <f>IF(OR(#REF!&gt;2,#REF!&lt;-2),"",#REF!)</f>
        <v>#REF!</v>
      </c>
      <c r="CJ20" s="7" t="e">
        <f>IF(OR(#REF!&gt;2,#REF!&lt;-2),"",#REF!)</f>
        <v>#REF!</v>
      </c>
      <c r="CK20" s="7" t="e">
        <f>IF(OR(#REF!&gt;2,#REF!&lt;-2),"",#REF!)</f>
        <v>#REF!</v>
      </c>
      <c r="CL20" s="7" t="e">
        <f>IF(OR(#REF!&gt;2,#REF!&lt;-2),"",#REF!)</f>
        <v>#REF!</v>
      </c>
      <c r="CM20" s="7" t="e">
        <f>IF(OR(#REF!&gt;2,#REF!&lt;-2),"",#REF!)</f>
        <v>#REF!</v>
      </c>
      <c r="CN20" s="7" t="e">
        <f>IF(OR(#REF!&gt;2,#REF!&lt;-2),"",#REF!)</f>
        <v>#REF!</v>
      </c>
      <c r="CO20" s="7" t="e">
        <f>IF(OR(#REF!&gt;2,#REF!&lt;-2),"",#REF!)</f>
        <v>#REF!</v>
      </c>
      <c r="CP20" s="7" t="e">
        <f>IF(OR(#REF!&gt;2,#REF!&lt;-2),"",#REF!)</f>
        <v>#REF!</v>
      </c>
      <c r="CQ20" s="7" t="e">
        <f>IF(OR(#REF!&gt;2,#REF!&lt;-2),"",#REF!)</f>
        <v>#REF!</v>
      </c>
      <c r="CR20" s="7" t="e">
        <f>IF(OR(#REF!&gt;2,#REF!&lt;-2),"",#REF!)</f>
        <v>#REF!</v>
      </c>
      <c r="CS20" s="7" t="e">
        <f>IF(OR(#REF!&gt;2,#REF!&lt;-2),"",#REF!)</f>
        <v>#REF!</v>
      </c>
      <c r="CT20" s="7" t="e">
        <f>IF(OR(#REF!&gt;2,#REF!&lt;-2),"",#REF!)</f>
        <v>#REF!</v>
      </c>
      <c r="CU20" s="7" t="e">
        <f>IF(OR(#REF!&gt;2,#REF!&lt;-2),"",#REF!)</f>
        <v>#REF!</v>
      </c>
      <c r="CV20" s="7" t="e">
        <f>IF(OR(#REF!&gt;2,#REF!&lt;-2),"",#REF!)</f>
        <v>#REF!</v>
      </c>
      <c r="CW20" s="7" t="e">
        <f>IF(OR(#REF!&gt;2,#REF!&lt;-2),"",#REF!)</f>
        <v>#REF!</v>
      </c>
      <c r="CX20" s="7" t="e">
        <f>IF(OR(#REF!&gt;2,#REF!&lt;-2),"",#REF!)</f>
        <v>#REF!</v>
      </c>
      <c r="CY20" s="7" t="e">
        <f>IF(OR(#REF!&gt;2,#REF!&lt;-2),"",#REF!)</f>
        <v>#REF!</v>
      </c>
      <c r="CZ20" s="7" t="e">
        <f>IF(OR(#REF!&gt;2,#REF!&lt;-2),"",#REF!)</f>
        <v>#REF!</v>
      </c>
      <c r="DA20" s="7" t="e">
        <f>IF(OR(#REF!&gt;2,#REF!&lt;-2),"",#REF!)</f>
        <v>#REF!</v>
      </c>
      <c r="DB20" s="7" t="e">
        <f>IF(OR(#REF!&gt;2,#REF!&lt;-2),"",#REF!)</f>
        <v>#REF!</v>
      </c>
      <c r="DC20" s="7" t="e">
        <f>IF(OR(#REF!&gt;2,#REF!&lt;-2),"",#REF!)</f>
        <v>#REF!</v>
      </c>
      <c r="DD20" s="7" t="e">
        <f>IF(OR(#REF!&gt;2,#REF!&lt;-2),"",#REF!)</f>
        <v>#REF!</v>
      </c>
      <c r="DE20" s="7" t="e">
        <f>IF(OR(#REF!&gt;2,#REF!&lt;-2),"",#REF!)</f>
        <v>#REF!</v>
      </c>
      <c r="DF20" s="7" t="e">
        <f>IF(OR(#REF!&gt;2,#REF!&lt;-2),"",#REF!)</f>
        <v>#REF!</v>
      </c>
      <c r="DG20" s="7" t="e">
        <f>IF(OR(#REF!&gt;2,#REF!&lt;-2),"",#REF!)</f>
        <v>#REF!</v>
      </c>
      <c r="DH20" s="7" t="e">
        <f>IF(OR(#REF!&gt;2,#REF!&lt;-2),"",#REF!)</f>
        <v>#REF!</v>
      </c>
      <c r="DI20" s="7" t="e">
        <f>IF(OR(#REF!&gt;2,#REF!&lt;-2),"",#REF!)</f>
        <v>#REF!</v>
      </c>
      <c r="DJ20" s="7" t="e">
        <f>IF(OR(#REF!&gt;2,#REF!&lt;-2),"",#REF!)</f>
        <v>#REF!</v>
      </c>
      <c r="DK20" s="7" t="e">
        <f>IF(OR(#REF!&gt;2,#REF!&lt;-2),"",#REF!)</f>
        <v>#REF!</v>
      </c>
      <c r="DL20" s="7" t="e">
        <f>IF(OR(#REF!&gt;2,#REF!&lt;-2),"",#REF!)</f>
        <v>#REF!</v>
      </c>
      <c r="DM20" s="7" t="e">
        <f>IF(OR(#REF!&gt;2,#REF!&lt;-2),"",#REF!)</f>
        <v>#REF!</v>
      </c>
      <c r="DN20" s="7" t="e">
        <f>IF(OR(#REF!&gt;2,#REF!&lt;-2),"",#REF!)</f>
        <v>#REF!</v>
      </c>
      <c r="DO20" s="7" t="e">
        <f>IF(OR(#REF!&gt;2,#REF!&lt;-2),"",#REF!)</f>
        <v>#REF!</v>
      </c>
      <c r="DP20" s="7" t="e">
        <f>IF(OR(#REF!&gt;2,#REF!&lt;-2),"",#REF!)</f>
        <v>#REF!</v>
      </c>
      <c r="DQ20" s="7" t="e">
        <f>IF(OR(#REF!&gt;2,#REF!&lt;-2),"",#REF!)</f>
        <v>#REF!</v>
      </c>
      <c r="DR20" s="7" t="e">
        <f>IF(OR(#REF!&gt;2,#REF!&lt;-2),"",#REF!)</f>
        <v>#REF!</v>
      </c>
      <c r="DS20" s="7" t="e">
        <f>IF(OR(#REF!&gt;2,#REF!&lt;-2),"",#REF!)</f>
        <v>#REF!</v>
      </c>
      <c r="DT20" s="7" t="e">
        <f>IF(OR(#REF!&gt;2,#REF!&lt;-2),"",#REF!)</f>
        <v>#REF!</v>
      </c>
      <c r="DU20" s="7" t="e">
        <f>IF(OR(#REF!&gt;2,#REF!&lt;-2),"",#REF!)</f>
        <v>#REF!</v>
      </c>
      <c r="DV20" s="7" t="e">
        <f>IF(OR(#REF!&gt;2,#REF!&lt;-2),"",#REF!)</f>
        <v>#REF!</v>
      </c>
      <c r="DW20" s="7" t="e">
        <f>IF(OR(#REF!&gt;2,#REF!&lt;-2),"",#REF!)</f>
        <v>#REF!</v>
      </c>
      <c r="DX20" s="7" t="e">
        <f>IF(OR(#REF!&gt;2,#REF!&lt;-2),"",#REF!)</f>
        <v>#REF!</v>
      </c>
      <c r="DY20" s="7" t="e">
        <f>IF(OR(#REF!&gt;2,#REF!&lt;-2),"",#REF!)</f>
        <v>#REF!</v>
      </c>
      <c r="DZ20" s="7" t="e">
        <f>IF(OR(#REF!&gt;2,#REF!&lt;-2),"",#REF!)</f>
        <v>#REF!</v>
      </c>
      <c r="EA20" s="7" t="e">
        <f>IF(OR(#REF!&gt;2,#REF!&lt;-2),"",#REF!)</f>
        <v>#REF!</v>
      </c>
      <c r="EB20" s="7" t="e">
        <f>IF(OR(#REF!&gt;2,#REF!&lt;-2),"",#REF!)</f>
        <v>#REF!</v>
      </c>
      <c r="EC20" s="7" t="e">
        <f>IF(OR(#REF!&gt;2,#REF!&lt;-2),"",#REF!)</f>
        <v>#REF!</v>
      </c>
      <c r="ED20" s="7" t="e">
        <f>IF(OR(#REF!&gt;2,#REF!&lt;-2),"",#REF!)</f>
        <v>#REF!</v>
      </c>
      <c r="EE20" s="7" t="e">
        <f>IF(OR(#REF!&gt;2,#REF!&lt;-2),"",#REF!)</f>
        <v>#REF!</v>
      </c>
      <c r="EF20" s="7" t="e">
        <f>IF(OR(#REF!&gt;2,#REF!&lt;-2),"",#REF!)</f>
        <v>#REF!</v>
      </c>
      <c r="EG20" s="7" t="e">
        <f>IF(OR(#REF!&gt;2,#REF!&lt;-2),"",#REF!)</f>
        <v>#REF!</v>
      </c>
      <c r="EH20" s="7" t="e">
        <f>IF(OR(#REF!&gt;2,#REF!&lt;-2),"",#REF!)</f>
        <v>#REF!</v>
      </c>
      <c r="EI20" s="7" t="e">
        <f>IF(OR(#REF!&gt;2,#REF!&lt;-2),"",#REF!)</f>
        <v>#REF!</v>
      </c>
      <c r="EJ20" s="7" t="e">
        <f>IF(OR(#REF!&gt;2,#REF!&lt;-2),"",#REF!)</f>
        <v>#REF!</v>
      </c>
      <c r="EK20" s="7" t="e">
        <f>IF(OR(#REF!&gt;2,#REF!&lt;-2),"",#REF!)</f>
        <v>#REF!</v>
      </c>
      <c r="EL20" s="7" t="e">
        <f>IF(OR(#REF!&gt;2,#REF!&lt;-2),"",#REF!)</f>
        <v>#REF!</v>
      </c>
      <c r="EM20" s="7" t="e">
        <f>IF(OR(#REF!&gt;2,#REF!&lt;-2),"",#REF!)</f>
        <v>#REF!</v>
      </c>
      <c r="EN20" s="7" t="e">
        <f>IF(OR(#REF!&gt;2,#REF!&lt;-2),"",#REF!)</f>
        <v>#REF!</v>
      </c>
      <c r="EO20" s="7" t="e">
        <f>IF(OR(#REF!&gt;2,#REF!&lt;-2),"",#REF!)</f>
        <v>#REF!</v>
      </c>
      <c r="EP20" s="7" t="e">
        <f>IF(OR(#REF!&gt;2,#REF!&lt;-2),"",#REF!)</f>
        <v>#REF!</v>
      </c>
      <c r="EQ20" s="7" t="e">
        <f>IF(OR(#REF!&gt;2,#REF!&lt;-2),"",#REF!)</f>
        <v>#REF!</v>
      </c>
      <c r="ER20" s="7" t="e">
        <f>IF(OR(#REF!&gt;2,#REF!&lt;-2),"",#REF!)</f>
        <v>#REF!</v>
      </c>
      <c r="ES20" s="7" t="e">
        <f>IF(OR(#REF!&gt;2,#REF!&lt;-2),"",#REF!)</f>
        <v>#REF!</v>
      </c>
      <c r="ET20" s="7" t="e">
        <f>IF(OR(#REF!&gt;2,#REF!&lt;-2),"",#REF!)</f>
        <v>#REF!</v>
      </c>
      <c r="EU20" s="7" t="e">
        <f>IF(OR(#REF!&gt;2,#REF!&lt;-2),"",#REF!)</f>
        <v>#REF!</v>
      </c>
      <c r="EV20" s="7" t="e">
        <f>IF(OR(#REF!&gt;2,#REF!&lt;-2),"",#REF!)</f>
        <v>#REF!</v>
      </c>
      <c r="EW20" s="7" t="e">
        <f>IF(OR(#REF!&gt;2,#REF!&lt;-2),"",#REF!)</f>
        <v>#REF!</v>
      </c>
      <c r="EX20" s="7" t="e">
        <f>IF(OR(#REF!&gt;2,#REF!&lt;-2),"",#REF!)</f>
        <v>#REF!</v>
      </c>
      <c r="EY20" s="7" t="e">
        <f>IF(OR(#REF!&gt;2,#REF!&lt;-2),"",#REF!)</f>
        <v>#REF!</v>
      </c>
      <c r="EZ20" s="7" t="e">
        <f>IF(OR(#REF!&gt;2,#REF!&lt;-2),"",#REF!)</f>
        <v>#REF!</v>
      </c>
      <c r="FA20" s="7" t="e">
        <f>IF(OR(#REF!&gt;2,#REF!&lt;-2),"",#REF!)</f>
        <v>#REF!</v>
      </c>
      <c r="FB20" s="7" t="e">
        <f>IF(OR(#REF!&gt;2,#REF!&lt;-2),"",#REF!)</f>
        <v>#REF!</v>
      </c>
      <c r="FC20" s="7" t="e">
        <f>IF(OR(#REF!&gt;2,#REF!&lt;-2),"",#REF!)</f>
        <v>#REF!</v>
      </c>
      <c r="FD20" s="7" t="e">
        <f>IF(OR(#REF!&gt;2,#REF!&lt;-2),"",#REF!)</f>
        <v>#REF!</v>
      </c>
      <c r="FE20" s="7" t="e">
        <f>IF(OR(#REF!&gt;2,#REF!&lt;-2),"",#REF!)</f>
        <v>#REF!</v>
      </c>
      <c r="FF20" s="7" t="e">
        <f>IF(OR(#REF!&gt;2,#REF!&lt;-2),"",#REF!)</f>
        <v>#REF!</v>
      </c>
      <c r="FG20" s="7" t="e">
        <f>IF(OR(#REF!&gt;2,#REF!&lt;-2),"",#REF!)</f>
        <v>#REF!</v>
      </c>
      <c r="FH20" s="7" t="e">
        <f>IF(OR(#REF!&gt;2,#REF!&lt;-2),"",#REF!)</f>
        <v>#REF!</v>
      </c>
      <c r="FI20" s="7" t="e">
        <f>IF(OR(#REF!&gt;2,#REF!&lt;-2),"",#REF!)</f>
        <v>#REF!</v>
      </c>
      <c r="FJ20" s="7" t="e">
        <f>IF(OR(#REF!&gt;2,#REF!&lt;-2),"",#REF!)</f>
        <v>#REF!</v>
      </c>
      <c r="FK20" s="7" t="e">
        <f>IF(OR(#REF!&gt;2,#REF!&lt;-2),"",#REF!)</f>
        <v>#REF!</v>
      </c>
      <c r="FL20" s="7" t="e">
        <f>IF(OR(#REF!&gt;2,#REF!&lt;-2),"",#REF!)</f>
        <v>#REF!</v>
      </c>
      <c r="FM20" s="7" t="e">
        <f>IF(OR(#REF!&gt;2,#REF!&lt;-2),"",#REF!)</f>
        <v>#REF!</v>
      </c>
      <c r="FN20" s="7" t="e">
        <f>IF(OR(#REF!&gt;2,#REF!&lt;-2),"",#REF!)</f>
        <v>#REF!</v>
      </c>
      <c r="FO20" s="7" t="e">
        <f>IF(OR(#REF!&gt;2,#REF!&lt;-2),"",#REF!)</f>
        <v>#REF!</v>
      </c>
      <c r="FP20" s="7" t="e">
        <f>IF(OR(#REF!&gt;2,#REF!&lt;-2),"",#REF!)</f>
        <v>#REF!</v>
      </c>
      <c r="FQ20" s="7" t="e">
        <f>IF(OR(#REF!&gt;2,#REF!&lt;-2),"",#REF!)</f>
        <v>#REF!</v>
      </c>
      <c r="FR20" s="7" t="e">
        <f>IF(OR(#REF!&gt;2,#REF!&lt;-2),"",#REF!)</f>
        <v>#REF!</v>
      </c>
      <c r="FS20" s="7" t="e">
        <f>IF(OR(#REF!&gt;2,#REF!&lt;-2),"",#REF!)</f>
        <v>#REF!</v>
      </c>
      <c r="FT20" s="7" t="e">
        <f>IF(OR(#REF!&gt;2,#REF!&lt;-2),"",#REF!)</f>
        <v>#REF!</v>
      </c>
      <c r="FU20" s="7" t="e">
        <f>IF(OR(#REF!&gt;2,#REF!&lt;-2),"",#REF!)</f>
        <v>#REF!</v>
      </c>
      <c r="FV20" s="7" t="e">
        <f>IF(OR(#REF!&gt;2,#REF!&lt;-2),"",#REF!)</f>
        <v>#REF!</v>
      </c>
      <c r="FW20" s="7" t="e">
        <f>IF(OR(#REF!&gt;2,#REF!&lt;-2),"",#REF!)</f>
        <v>#REF!</v>
      </c>
      <c r="FX20" s="7" t="e">
        <f>IF(OR(#REF!&gt;2,#REF!&lt;-2),"",#REF!)</f>
        <v>#REF!</v>
      </c>
      <c r="FY20" s="7" t="e">
        <f>IF(OR(#REF!&gt;2,#REF!&lt;-2),"",#REF!)</f>
        <v>#REF!</v>
      </c>
      <c r="FZ20" s="7" t="e">
        <f>IF(OR(#REF!&gt;2,#REF!&lt;-2),"",#REF!)</f>
        <v>#REF!</v>
      </c>
      <c r="GA20" s="7" t="e">
        <f>IF(OR(#REF!&gt;2,#REF!&lt;-2),"",#REF!)</f>
        <v>#REF!</v>
      </c>
      <c r="GB20" s="7" t="e">
        <f>IF(OR(#REF!&gt;2,#REF!&lt;-2),"",#REF!)</f>
        <v>#REF!</v>
      </c>
      <c r="GC20" s="7" t="e">
        <f>IF(OR(#REF!&gt;2,#REF!&lt;-2),"",#REF!)</f>
        <v>#REF!</v>
      </c>
      <c r="GD20" s="7" t="e">
        <f>IF(OR(#REF!&gt;2,#REF!&lt;-2),"",#REF!)</f>
        <v>#REF!</v>
      </c>
      <c r="GE20" s="7" t="e">
        <f>IF(OR(#REF!&gt;2,#REF!&lt;-2),"",#REF!)</f>
        <v>#REF!</v>
      </c>
      <c r="GF20" s="7" t="e">
        <f>IF(OR(#REF!&gt;2,#REF!&lt;-2),"",#REF!)</f>
        <v>#REF!</v>
      </c>
      <c r="GG20" s="7" t="e">
        <f>IF(OR(#REF!&gt;2,#REF!&lt;-2),"",#REF!)</f>
        <v>#REF!</v>
      </c>
      <c r="GH20" s="7" t="e">
        <f>IF(OR(#REF!&gt;2,#REF!&lt;-2),"",#REF!)</f>
        <v>#REF!</v>
      </c>
      <c r="GI20" s="7" t="e">
        <f>IF(OR(#REF!&gt;2,#REF!&lt;-2),"",#REF!)</f>
        <v>#REF!</v>
      </c>
      <c r="GJ20" s="7" t="e">
        <f>IF(OR(#REF!&gt;2,#REF!&lt;-2),"",#REF!)</f>
        <v>#REF!</v>
      </c>
      <c r="GK20" s="7" t="e">
        <f>IF(OR(#REF!&gt;2,#REF!&lt;-2),"",#REF!)</f>
        <v>#REF!</v>
      </c>
      <c r="GL20" s="7" t="e">
        <f>IF(OR(#REF!&gt;2,#REF!&lt;-2),"",#REF!)</f>
        <v>#REF!</v>
      </c>
      <c r="GM20" s="7" t="e">
        <f>IF(OR(#REF!&gt;2,#REF!&lt;-2),"",#REF!)</f>
        <v>#REF!</v>
      </c>
      <c r="GN20" s="7" t="e">
        <f>IF(OR(#REF!&gt;2,#REF!&lt;-2),"",#REF!)</f>
        <v>#REF!</v>
      </c>
      <c r="GO20" s="7" t="e">
        <f>IF(OR(#REF!&gt;2,#REF!&lt;-2),"",#REF!)</f>
        <v>#REF!</v>
      </c>
      <c r="GP20" s="7" t="e">
        <f>IF(OR(#REF!&gt;2,#REF!&lt;-2),"",#REF!)</f>
        <v>#REF!</v>
      </c>
      <c r="GQ20" s="7" t="e">
        <f>IF(OR(#REF!&gt;2,#REF!&lt;-2),"",#REF!)</f>
        <v>#REF!</v>
      </c>
      <c r="GR20" s="7" t="e">
        <f>IF(OR(#REF!&gt;2,#REF!&lt;-2),"",#REF!)</f>
        <v>#REF!</v>
      </c>
      <c r="GS20" s="7" t="e">
        <f>IF(OR(#REF!&gt;2,#REF!&lt;-2),"",#REF!)</f>
        <v>#REF!</v>
      </c>
      <c r="GT20" s="7" t="e">
        <f>IF(OR(#REF!&gt;2,#REF!&lt;-2),"",#REF!)</f>
        <v>#REF!</v>
      </c>
      <c r="GU20" s="7" t="e">
        <f>IF(OR(#REF!&gt;2,#REF!&lt;-2),"",#REF!)</f>
        <v>#REF!</v>
      </c>
      <c r="GV20" s="7" t="e">
        <f>IF(OR(#REF!&gt;2,#REF!&lt;-2),"",#REF!)</f>
        <v>#REF!</v>
      </c>
      <c r="GW20" s="7" t="e">
        <f>IF(OR(#REF!&gt;2,#REF!&lt;-2),"",#REF!)</f>
        <v>#REF!</v>
      </c>
      <c r="GX20" s="7" t="e">
        <f>IF(OR(#REF!&gt;2,#REF!&lt;-2),"",#REF!)</f>
        <v>#REF!</v>
      </c>
      <c r="GY20" s="7" t="e">
        <f>IF(OR(#REF!&gt;2,#REF!&lt;-2),"",#REF!)</f>
        <v>#REF!</v>
      </c>
      <c r="GZ20" s="7" t="e">
        <f>IF(OR(#REF!&gt;2,#REF!&lt;-2),"",#REF!)</f>
        <v>#REF!</v>
      </c>
      <c r="HA20" s="7" t="e">
        <f>IF(OR(#REF!&gt;2,#REF!&lt;-2),"",#REF!)</f>
        <v>#REF!</v>
      </c>
      <c r="HB20" s="7" t="e">
        <f>IF(OR(#REF!&gt;2,#REF!&lt;-2),"",#REF!)</f>
        <v>#REF!</v>
      </c>
      <c r="HC20" s="7" t="e">
        <f>IF(OR(#REF!&gt;2,#REF!&lt;-2),"",#REF!)</f>
        <v>#REF!</v>
      </c>
      <c r="HD20" s="7" t="e">
        <f>IF(OR(#REF!&gt;2,#REF!&lt;-2),"",#REF!)</f>
        <v>#REF!</v>
      </c>
      <c r="HE20" s="7" t="e">
        <f>IF(OR(#REF!&gt;2,#REF!&lt;-2),"",#REF!)</f>
        <v>#REF!</v>
      </c>
      <c r="HF20" s="7" t="e">
        <f>IF(OR(#REF!&gt;2,#REF!&lt;-2),"",#REF!)</f>
        <v>#REF!</v>
      </c>
      <c r="HG20" s="7" t="e">
        <f>IF(OR(#REF!&gt;2,#REF!&lt;-2),"",#REF!)</f>
        <v>#REF!</v>
      </c>
      <c r="HH20" s="7" t="e">
        <f>IF(OR(#REF!&gt;2,#REF!&lt;-2),"",#REF!)</f>
        <v>#REF!</v>
      </c>
      <c r="HI20" s="7" t="e">
        <f>IF(OR(#REF!&gt;2,#REF!&lt;-2),"",#REF!)</f>
        <v>#REF!</v>
      </c>
      <c r="HJ20" s="7" t="e">
        <f>IF(OR(#REF!&gt;2,#REF!&lt;-2),"",#REF!)</f>
        <v>#REF!</v>
      </c>
      <c r="HK20" s="7" t="e">
        <f>IF(OR(#REF!&gt;2,#REF!&lt;-2),"",#REF!)</f>
        <v>#REF!</v>
      </c>
      <c r="HL20" s="7" t="e">
        <f>IF(OR(#REF!&gt;2,#REF!&lt;-2),"",#REF!)</f>
        <v>#REF!</v>
      </c>
      <c r="HM20" s="7" t="e">
        <f>IF(OR(#REF!&gt;2,#REF!&lt;-2),"",#REF!)</f>
        <v>#REF!</v>
      </c>
      <c r="HN20" s="7" t="e">
        <f>IF(OR(#REF!&gt;2,#REF!&lt;-2),"",#REF!)</f>
        <v>#REF!</v>
      </c>
      <c r="HO20" s="7" t="e">
        <f>IF(OR(#REF!&gt;2,#REF!&lt;-2),"",#REF!)</f>
        <v>#REF!</v>
      </c>
      <c r="HP20" s="7" t="e">
        <f>IF(OR(#REF!&gt;2,#REF!&lt;-2),"",#REF!)</f>
        <v>#REF!</v>
      </c>
      <c r="HQ20" s="7" t="e">
        <f>IF(OR(#REF!&gt;2,#REF!&lt;-2),"",#REF!)</f>
        <v>#REF!</v>
      </c>
      <c r="HR20" s="7" t="e">
        <f>IF(OR(#REF!&gt;2,#REF!&lt;-2),"",#REF!)</f>
        <v>#REF!</v>
      </c>
      <c r="HS20" s="7" t="e">
        <f>IF(OR(#REF!&gt;2,#REF!&lt;-2),"",#REF!)</f>
        <v>#REF!</v>
      </c>
      <c r="HT20" s="7" t="e">
        <f>IF(OR(#REF!&gt;2,#REF!&lt;-2),"",#REF!)</f>
        <v>#REF!</v>
      </c>
      <c r="HU20" s="7" t="e">
        <f>IF(OR(#REF!&gt;2,#REF!&lt;-2),"",#REF!)</f>
        <v>#REF!</v>
      </c>
      <c r="HV20" s="7" t="e">
        <f>IF(OR(#REF!&gt;2,#REF!&lt;-2),"",#REF!)</f>
        <v>#REF!</v>
      </c>
      <c r="HW20" s="7" t="e">
        <f>IF(OR(#REF!&gt;2,#REF!&lt;-2),"",#REF!)</f>
        <v>#REF!</v>
      </c>
      <c r="HX20" s="7" t="e">
        <f>IF(OR(#REF!&gt;2,#REF!&lt;-2),"",#REF!)</f>
        <v>#REF!</v>
      </c>
      <c r="HY20" s="7" t="e">
        <f>IF(OR(#REF!&gt;2,#REF!&lt;-2),"",#REF!)</f>
        <v>#REF!</v>
      </c>
      <c r="HZ20" s="7" t="e">
        <f>IF(OR(#REF!&gt;2,#REF!&lt;-2),"",#REF!)</f>
        <v>#REF!</v>
      </c>
      <c r="IA20" s="7" t="e">
        <f>IF(OR(#REF!&gt;2,#REF!&lt;-2),"",#REF!)</f>
        <v>#REF!</v>
      </c>
      <c r="IB20" s="7" t="e">
        <f>IF(OR(#REF!&gt;2,#REF!&lt;-2),"",#REF!)</f>
        <v>#REF!</v>
      </c>
      <c r="IC20" s="7" t="e">
        <f>IF(OR(#REF!&gt;2,#REF!&lt;-2),"",#REF!)</f>
        <v>#REF!</v>
      </c>
      <c r="ID20" s="7" t="e">
        <f>IF(OR(#REF!&gt;2,#REF!&lt;-2),"",#REF!)</f>
        <v>#REF!</v>
      </c>
      <c r="IE20" s="7" t="e">
        <f>IF(OR(#REF!&gt;2,#REF!&lt;-2),"",#REF!)</f>
        <v>#REF!</v>
      </c>
      <c r="IF20" s="7" t="e">
        <f>IF(OR(#REF!&gt;2,#REF!&lt;-2),"",#REF!)</f>
        <v>#REF!</v>
      </c>
      <c r="IG20" s="7" t="e">
        <f>IF(OR(#REF!&gt;2,#REF!&lt;-2),"",#REF!)</f>
        <v>#REF!</v>
      </c>
      <c r="IH20" s="7" t="e">
        <f>IF(OR(#REF!&gt;2,#REF!&lt;-2),"",#REF!)</f>
        <v>#REF!</v>
      </c>
      <c r="II20" s="7" t="e">
        <f>IF(OR(#REF!&gt;2,#REF!&lt;-2),"",#REF!)</f>
        <v>#REF!</v>
      </c>
      <c r="IJ20" s="7" t="e">
        <f>IF(OR(#REF!&gt;2,#REF!&lt;-2),"",#REF!)</f>
        <v>#REF!</v>
      </c>
      <c r="IK20" s="7" t="e">
        <f>IF(OR(#REF!&gt;2,#REF!&lt;-2),"",#REF!)</f>
        <v>#REF!</v>
      </c>
      <c r="IL20" s="7" t="e">
        <f>IF(OR(#REF!&gt;2,#REF!&lt;-2),"",#REF!)</f>
        <v>#REF!</v>
      </c>
      <c r="IM20" s="7" t="e">
        <f>IF(OR(#REF!&gt;2,#REF!&lt;-2),"",#REF!)</f>
        <v>#REF!</v>
      </c>
      <c r="IN20" s="7" t="e">
        <f>IF(OR(#REF!&gt;2,#REF!&lt;-2),"",#REF!)</f>
        <v>#REF!</v>
      </c>
      <c r="IO20" s="7" t="e">
        <f>IF(OR(#REF!&gt;2,#REF!&lt;-2),"",#REF!)</f>
        <v>#REF!</v>
      </c>
      <c r="IP20" s="7" t="e">
        <f>IF(OR(#REF!&gt;2,#REF!&lt;-2),"",#REF!)</f>
        <v>#REF!</v>
      </c>
      <c r="IQ20" s="7" t="e">
        <f>IF(OR(#REF!&gt;2,#REF!&lt;-2),"",#REF!)</f>
        <v>#REF!</v>
      </c>
      <c r="IR20" s="7" t="e">
        <f>IF(OR(#REF!&gt;2,#REF!&lt;-2),"",#REF!)</f>
        <v>#REF!</v>
      </c>
      <c r="IS20" s="7" t="e">
        <f>IF(OR(#REF!&gt;2,#REF!&lt;-2),"",#REF!)</f>
        <v>#REF!</v>
      </c>
      <c r="IT20" s="7" t="e">
        <f>IF(OR(#REF!&gt;2,#REF!&lt;-2),"",#REF!)</f>
        <v>#REF!</v>
      </c>
      <c r="IU20" s="7" t="e">
        <f>IF(OR(#REF!&gt;2,#REF!&lt;-2),"",#REF!)</f>
        <v>#REF!</v>
      </c>
      <c r="IV20" s="7" t="e">
        <f>IF(OR(#REF!&gt;2,#REF!&lt;-2),"",#REF!)</f>
        <v>#REF!</v>
      </c>
      <c r="IW20" s="7" t="e">
        <f>IF(OR(#REF!&gt;2,#REF!&lt;-2),"",#REF!)</f>
        <v>#REF!</v>
      </c>
      <c r="IX20" s="7" t="e">
        <f>IF(OR(#REF!&gt;2,#REF!&lt;-2),"",#REF!)</f>
        <v>#REF!</v>
      </c>
      <c r="IY20" s="7" t="e">
        <f>IF(OR(#REF!&gt;2,#REF!&lt;-2),"",#REF!)</f>
        <v>#REF!</v>
      </c>
      <c r="IZ20" s="7" t="e">
        <f>IF(OR(#REF!&gt;2,#REF!&lt;-2),"",#REF!)</f>
        <v>#REF!</v>
      </c>
      <c r="JA20" s="7" t="e">
        <f>IF(OR(#REF!&gt;2,#REF!&lt;-2),"",#REF!)</f>
        <v>#REF!</v>
      </c>
      <c r="JB20" s="7" t="e">
        <f>IF(OR(#REF!&gt;2,#REF!&lt;-2),"",#REF!)</f>
        <v>#REF!</v>
      </c>
      <c r="JC20" s="7" t="e">
        <f>IF(OR(#REF!&gt;2,#REF!&lt;-2),"",#REF!)</f>
        <v>#REF!</v>
      </c>
      <c r="JD20" s="7" t="e">
        <f>IF(OR(#REF!&gt;2,#REF!&lt;-2),"",#REF!)</f>
        <v>#REF!</v>
      </c>
      <c r="JE20" s="7" t="e">
        <f>IF(OR(#REF!&gt;2,#REF!&lt;-2),"",#REF!)</f>
        <v>#REF!</v>
      </c>
      <c r="JF20" s="7" t="e">
        <f>IF(OR(#REF!&gt;2,#REF!&lt;-2),"",#REF!)</f>
        <v>#REF!</v>
      </c>
      <c r="JG20" s="7" t="e">
        <f>IF(OR(#REF!&gt;2,#REF!&lt;-2),"",#REF!)</f>
        <v>#REF!</v>
      </c>
      <c r="JH20" s="7" t="e">
        <f>IF(OR(#REF!&gt;2,#REF!&lt;-2),"",#REF!)</f>
        <v>#REF!</v>
      </c>
      <c r="JI20" s="7" t="e">
        <f>IF(OR(#REF!&gt;2,#REF!&lt;-2),"",#REF!)</f>
        <v>#REF!</v>
      </c>
      <c r="JJ20" s="7" t="e">
        <f>IF(OR(#REF!&gt;2,#REF!&lt;-2),"",#REF!)</f>
        <v>#REF!</v>
      </c>
      <c r="JK20" s="7" t="e">
        <f>IF(OR(#REF!&gt;2,#REF!&lt;-2),"",#REF!)</f>
        <v>#REF!</v>
      </c>
      <c r="JL20" s="7" t="e">
        <f>IF(OR(#REF!&gt;2,#REF!&lt;-2),"",#REF!)</f>
        <v>#REF!</v>
      </c>
      <c r="JM20" s="7" t="e">
        <f>IF(OR(#REF!&gt;2,#REF!&lt;-2),"",#REF!)</f>
        <v>#REF!</v>
      </c>
      <c r="JN20" s="7" t="e">
        <f>IF(OR(#REF!&gt;2,#REF!&lt;-2),"",#REF!)</f>
        <v>#REF!</v>
      </c>
      <c r="JO20" s="7" t="e">
        <f>IF(OR(#REF!&gt;2,#REF!&lt;-2),"",#REF!)</f>
        <v>#REF!</v>
      </c>
      <c r="JP20" s="7" t="e">
        <f>IF(OR(#REF!&gt;2,#REF!&lt;-2),"",#REF!)</f>
        <v>#REF!</v>
      </c>
      <c r="JQ20" s="7" t="e">
        <f>IF(OR(#REF!&gt;2,#REF!&lt;-2),"",#REF!)</f>
        <v>#REF!</v>
      </c>
      <c r="JR20" s="7" t="e">
        <f>IF(OR(#REF!&gt;2,#REF!&lt;-2),"",#REF!)</f>
        <v>#REF!</v>
      </c>
      <c r="JS20" s="7" t="e">
        <f>IF(OR(#REF!&gt;2,#REF!&lt;-2),"",#REF!)</f>
        <v>#REF!</v>
      </c>
      <c r="JT20" s="7" t="e">
        <f>IF(OR(#REF!&gt;2,#REF!&lt;-2),"",#REF!)</f>
        <v>#REF!</v>
      </c>
      <c r="JU20" s="7" t="e">
        <f>IF(OR(#REF!&gt;2,#REF!&lt;-2),"",#REF!)</f>
        <v>#REF!</v>
      </c>
      <c r="JV20" s="7" t="e">
        <f>IF(OR(#REF!&gt;2,#REF!&lt;-2),"",#REF!)</f>
        <v>#REF!</v>
      </c>
      <c r="JW20" s="7" t="e">
        <f>IF(OR(#REF!&gt;2,#REF!&lt;-2),"",#REF!)</f>
        <v>#REF!</v>
      </c>
      <c r="JX20" s="7" t="e">
        <f>IF(OR(#REF!&gt;2,#REF!&lt;-2),"",#REF!)</f>
        <v>#REF!</v>
      </c>
      <c r="JY20" s="7" t="e">
        <f>IF(OR(#REF!&gt;2,#REF!&lt;-2),"",#REF!)</f>
        <v>#REF!</v>
      </c>
      <c r="JZ20" s="7" t="e">
        <f>IF(OR(#REF!&gt;2,#REF!&lt;-2),"",#REF!)</f>
        <v>#REF!</v>
      </c>
      <c r="KA20" s="7" t="e">
        <f>IF(OR(#REF!&gt;2,#REF!&lt;-2),"",#REF!)</f>
        <v>#REF!</v>
      </c>
      <c r="KB20" s="7" t="e">
        <f>IF(OR(#REF!&gt;2,#REF!&lt;-2),"",#REF!)</f>
        <v>#REF!</v>
      </c>
      <c r="KC20" s="7" t="e">
        <f>IF(OR(#REF!&gt;2,#REF!&lt;-2),"",#REF!)</f>
        <v>#REF!</v>
      </c>
      <c r="KD20" s="7" t="e">
        <f>IF(OR(#REF!&gt;2,#REF!&lt;-2),"",#REF!)</f>
        <v>#REF!</v>
      </c>
      <c r="KE20" s="7" t="e">
        <f>IF(OR(#REF!&gt;2,#REF!&lt;-2),"",#REF!)</f>
        <v>#REF!</v>
      </c>
      <c r="KF20" s="7" t="e">
        <f>IF(OR(#REF!&gt;2,#REF!&lt;-2),"",#REF!)</f>
        <v>#REF!</v>
      </c>
      <c r="KG20" s="7" t="e">
        <f>IF(OR(#REF!&gt;2,#REF!&lt;-2),"",#REF!)</f>
        <v>#REF!</v>
      </c>
      <c r="KH20" s="7" t="e">
        <f>IF(OR(#REF!&gt;2,#REF!&lt;-2),"",#REF!)</f>
        <v>#REF!</v>
      </c>
      <c r="KI20" s="7" t="e">
        <f>IF(OR(#REF!&gt;2,#REF!&lt;-2),"",#REF!)</f>
        <v>#REF!</v>
      </c>
      <c r="KJ20" s="7" t="e">
        <f>IF(OR(#REF!&gt;2,#REF!&lt;-2),"",#REF!)</f>
        <v>#REF!</v>
      </c>
      <c r="KK20" s="7" t="e">
        <f>IF(OR(#REF!&gt;2,#REF!&lt;-2),"",#REF!)</f>
        <v>#REF!</v>
      </c>
      <c r="KL20" s="7" t="e">
        <f>IF(OR(#REF!&gt;2,#REF!&lt;-2),"",#REF!)</f>
        <v>#REF!</v>
      </c>
      <c r="KM20" s="7" t="e">
        <f>IF(OR(#REF!&gt;2,#REF!&lt;-2),"",#REF!)</f>
        <v>#REF!</v>
      </c>
      <c r="KN20" s="7" t="e">
        <f>IF(OR(#REF!&gt;2,#REF!&lt;-2),"",#REF!)</f>
        <v>#REF!</v>
      </c>
      <c r="KO20" s="7" t="e">
        <f>IF(OR(#REF!&gt;2,#REF!&lt;-2),"",#REF!)</f>
        <v>#REF!</v>
      </c>
      <c r="KP20" s="7" t="e">
        <f>IF(OR(#REF!&gt;2,#REF!&lt;-2),"",#REF!)</f>
        <v>#REF!</v>
      </c>
      <c r="KQ20" s="7" t="e">
        <f>IF(OR(#REF!&gt;2,#REF!&lt;-2),"",#REF!)</f>
        <v>#REF!</v>
      </c>
      <c r="KR20" s="7" t="e">
        <f>IF(OR(#REF!&gt;2,#REF!&lt;-2),"",#REF!)</f>
        <v>#REF!</v>
      </c>
      <c r="KS20" s="7" t="e">
        <f>IF(OR(#REF!&gt;2,#REF!&lt;-2),"",#REF!)</f>
        <v>#REF!</v>
      </c>
      <c r="KT20" s="7" t="e">
        <f>IF(OR(#REF!&gt;2,#REF!&lt;-2),"",#REF!)</f>
        <v>#REF!</v>
      </c>
      <c r="KU20" s="7" t="e">
        <f>IF(OR(#REF!&gt;2,#REF!&lt;-2),"",#REF!)</f>
        <v>#REF!</v>
      </c>
      <c r="KV20" s="7" t="e">
        <f>IF(OR(#REF!&gt;2,#REF!&lt;-2),"",#REF!)</f>
        <v>#REF!</v>
      </c>
      <c r="KW20" s="7" t="e">
        <f>IF(OR(#REF!&gt;2,#REF!&lt;-2),"",#REF!)</f>
        <v>#REF!</v>
      </c>
      <c r="KX20" s="7" t="e">
        <f>IF(OR(#REF!&gt;2,#REF!&lt;-2),"",#REF!)</f>
        <v>#REF!</v>
      </c>
      <c r="KY20" s="7" t="e">
        <f>IF(OR(#REF!&gt;2,#REF!&lt;-2),"",#REF!)</f>
        <v>#REF!</v>
      </c>
      <c r="KZ20" s="7" t="e">
        <f>IF(OR(#REF!&gt;2,#REF!&lt;-2),"",#REF!)</f>
        <v>#REF!</v>
      </c>
      <c r="LA20" s="7" t="e">
        <f>IF(OR(#REF!&gt;2,#REF!&lt;-2),"",#REF!)</f>
        <v>#REF!</v>
      </c>
      <c r="LB20" s="7" t="e">
        <f>IF(OR(#REF!&gt;2,#REF!&lt;-2),"",#REF!)</f>
        <v>#REF!</v>
      </c>
      <c r="LC20" s="7" t="e">
        <f>IF(OR(#REF!&gt;2,#REF!&lt;-2),"",#REF!)</f>
        <v>#REF!</v>
      </c>
      <c r="LD20" s="7" t="e">
        <f>IF(OR(#REF!&gt;2,#REF!&lt;-2),"",#REF!)</f>
        <v>#REF!</v>
      </c>
      <c r="LE20" s="7" t="e">
        <f>IF(OR(#REF!&gt;2,#REF!&lt;-2),"",#REF!)</f>
        <v>#REF!</v>
      </c>
      <c r="LF20" s="7" t="e">
        <f>IF(OR(#REF!&gt;2,#REF!&lt;-2),"",#REF!)</f>
        <v>#REF!</v>
      </c>
      <c r="LG20" s="7" t="e">
        <f>IF(OR(#REF!&gt;2,#REF!&lt;-2),"",#REF!)</f>
        <v>#REF!</v>
      </c>
      <c r="LH20" s="7" t="e">
        <f>IF(OR(#REF!&gt;2,#REF!&lt;-2),"",#REF!)</f>
        <v>#REF!</v>
      </c>
      <c r="LI20" s="7" t="e">
        <f>IF(OR(#REF!&gt;2,#REF!&lt;-2),"",#REF!)</f>
        <v>#REF!</v>
      </c>
      <c r="LJ20" s="7" t="e">
        <f>IF(OR(#REF!&gt;2,#REF!&lt;-2),"",#REF!)</f>
        <v>#REF!</v>
      </c>
      <c r="LK20" s="7" t="e">
        <f>IF(OR(#REF!&gt;2,#REF!&lt;-2),"",#REF!)</f>
        <v>#REF!</v>
      </c>
      <c r="LL20" s="7" t="e">
        <f>IF(OR(#REF!&gt;2,#REF!&lt;-2),"",#REF!)</f>
        <v>#REF!</v>
      </c>
      <c r="LM20" s="7" t="e">
        <f>IF(OR(#REF!&gt;2,#REF!&lt;-2),"",#REF!)</f>
        <v>#REF!</v>
      </c>
      <c r="LN20" s="7" t="e">
        <f>IF(OR(#REF!&gt;2,#REF!&lt;-2),"",#REF!)</f>
        <v>#REF!</v>
      </c>
      <c r="LO20" s="7" t="e">
        <f>IF(OR(#REF!&gt;2,#REF!&lt;-2),"",#REF!)</f>
        <v>#REF!</v>
      </c>
      <c r="LP20" s="7" t="e">
        <f>IF(OR(#REF!&gt;2,#REF!&lt;-2),"",#REF!)</f>
        <v>#REF!</v>
      </c>
      <c r="LQ20" s="7" t="e">
        <f>IF(OR(#REF!&gt;2,#REF!&lt;-2),"",#REF!)</f>
        <v>#REF!</v>
      </c>
      <c r="LR20" s="7" t="e">
        <f>IF(OR(#REF!&gt;2,#REF!&lt;-2),"",#REF!)</f>
        <v>#REF!</v>
      </c>
      <c r="LS20" s="7" t="e">
        <f>IF(OR(#REF!&gt;2,#REF!&lt;-2),"",#REF!)</f>
        <v>#REF!</v>
      </c>
      <c r="LT20" s="7" t="e">
        <f>IF(OR(#REF!&gt;2,#REF!&lt;-2),"",#REF!)</f>
        <v>#REF!</v>
      </c>
      <c r="LU20" s="7" t="e">
        <f>IF(OR(#REF!&gt;2,#REF!&lt;-2),"",#REF!)</f>
        <v>#REF!</v>
      </c>
      <c r="LV20" s="7" t="e">
        <f>IF(OR(#REF!&gt;2,#REF!&lt;-2),"",#REF!)</f>
        <v>#REF!</v>
      </c>
      <c r="LW20" s="7" t="e">
        <f>IF(OR(#REF!&gt;2,#REF!&lt;-2),"",#REF!)</f>
        <v>#REF!</v>
      </c>
      <c r="LX20" s="7" t="e">
        <f>IF(OR(#REF!&gt;2,#REF!&lt;-2),"",#REF!)</f>
        <v>#REF!</v>
      </c>
      <c r="LY20" s="7" t="e">
        <f>IF(OR(#REF!&gt;2,#REF!&lt;-2),"",#REF!)</f>
        <v>#REF!</v>
      </c>
      <c r="LZ20" s="7" t="e">
        <f>IF(OR(#REF!&gt;2,#REF!&lt;-2),"",#REF!)</f>
        <v>#REF!</v>
      </c>
      <c r="MA20" s="7" t="e">
        <f>IF(OR(#REF!&gt;2,#REF!&lt;-2),"",#REF!)</f>
        <v>#REF!</v>
      </c>
      <c r="MB20" s="7" t="e">
        <f>IF(OR(#REF!&gt;2,#REF!&lt;-2),"",#REF!)</f>
        <v>#REF!</v>
      </c>
      <c r="MC20" s="7" t="e">
        <f>IF(OR(#REF!&gt;2,#REF!&lt;-2),"",#REF!)</f>
        <v>#REF!</v>
      </c>
      <c r="MD20" s="7" t="e">
        <f>IF(OR(#REF!&gt;2,#REF!&lt;-2),"",#REF!)</f>
        <v>#REF!</v>
      </c>
      <c r="ME20" s="7" t="e">
        <f>IF(OR(#REF!&gt;2,#REF!&lt;-2),"",#REF!)</f>
        <v>#REF!</v>
      </c>
      <c r="MF20" s="7" t="e">
        <f>IF(OR(#REF!&gt;2,#REF!&lt;-2),"",#REF!)</f>
        <v>#REF!</v>
      </c>
      <c r="MG20" s="7" t="e">
        <f>IF(OR(#REF!&gt;2,#REF!&lt;-2),"",#REF!)</f>
        <v>#REF!</v>
      </c>
      <c r="MH20" s="7" t="e">
        <f>IF(OR(#REF!&gt;2,#REF!&lt;-2),"",#REF!)</f>
        <v>#REF!</v>
      </c>
      <c r="MI20" s="7" t="e">
        <f>IF(OR(#REF!&gt;2,#REF!&lt;-2),"",#REF!)</f>
        <v>#REF!</v>
      </c>
      <c r="MJ20" s="7" t="e">
        <f>IF(OR(#REF!&gt;2,#REF!&lt;-2),"",#REF!)</f>
        <v>#REF!</v>
      </c>
      <c r="MK20" s="7" t="e">
        <f>IF(OR(#REF!&gt;2,#REF!&lt;-2),"",#REF!)</f>
        <v>#REF!</v>
      </c>
      <c r="ML20" s="7" t="e">
        <f>IF(OR(#REF!&gt;2,#REF!&lt;-2),"",#REF!)</f>
        <v>#REF!</v>
      </c>
      <c r="MM20" s="7" t="e">
        <f>IF(OR(#REF!&gt;2,#REF!&lt;-2),"",#REF!)</f>
        <v>#REF!</v>
      </c>
      <c r="MN20" s="7" t="e">
        <f>IF(OR(#REF!&gt;2,#REF!&lt;-2),"",#REF!)</f>
        <v>#REF!</v>
      </c>
      <c r="MO20" s="7" t="e">
        <f>IF(OR(#REF!&gt;2,#REF!&lt;-2),"",#REF!)</f>
        <v>#REF!</v>
      </c>
      <c r="MP20" s="7" t="e">
        <f>IF(OR(#REF!&gt;2,#REF!&lt;-2),"",#REF!)</f>
        <v>#REF!</v>
      </c>
      <c r="MQ20" s="7" t="e">
        <f>IF(OR(#REF!&gt;2,#REF!&lt;-2),"",#REF!)</f>
        <v>#REF!</v>
      </c>
      <c r="MR20" s="7" t="e">
        <f>IF(OR(#REF!&gt;2,#REF!&lt;-2),"",#REF!)</f>
        <v>#REF!</v>
      </c>
      <c r="MS20" s="7" t="e">
        <f>IF(OR(#REF!&gt;2,#REF!&lt;-2),"",#REF!)</f>
        <v>#REF!</v>
      </c>
      <c r="MT20" s="7" t="e">
        <f>IF(OR(#REF!&gt;2,#REF!&lt;-2),"",#REF!)</f>
        <v>#REF!</v>
      </c>
      <c r="MU20" s="7" t="e">
        <f>IF(OR(#REF!&gt;2,#REF!&lt;-2),"",#REF!)</f>
        <v>#REF!</v>
      </c>
      <c r="MV20" s="7" t="e">
        <f>IF(OR(#REF!&gt;2,#REF!&lt;-2),"",#REF!)</f>
        <v>#REF!</v>
      </c>
      <c r="MW20" s="7" t="e">
        <f>IF(OR(#REF!&gt;2,#REF!&lt;-2),"",#REF!)</f>
        <v>#REF!</v>
      </c>
      <c r="MX20" s="7" t="e">
        <f>IF(OR(#REF!&gt;2,#REF!&lt;-2),"",#REF!)</f>
        <v>#REF!</v>
      </c>
      <c r="MY20" s="7" t="e">
        <f>IF(OR(#REF!&gt;2,#REF!&lt;-2),"",#REF!)</f>
        <v>#REF!</v>
      </c>
      <c r="MZ20" s="7" t="e">
        <f>IF(OR(#REF!&gt;2,#REF!&lt;-2),"",#REF!)</f>
        <v>#REF!</v>
      </c>
      <c r="NA20" s="7" t="e">
        <f>IF(OR(#REF!&gt;2,#REF!&lt;-2),"",#REF!)</f>
        <v>#REF!</v>
      </c>
      <c r="NB20" s="7" t="e">
        <f>IF(OR(#REF!&gt;2,#REF!&lt;-2),"",#REF!)</f>
        <v>#REF!</v>
      </c>
      <c r="NC20" s="7" t="e">
        <f>IF(OR(#REF!&gt;2,#REF!&lt;-2),"",#REF!)</f>
        <v>#REF!</v>
      </c>
      <c r="ND20" s="7" t="e">
        <f>IF(OR(#REF!&gt;2,#REF!&lt;-2),"",#REF!)</f>
        <v>#REF!</v>
      </c>
      <c r="NE20" s="7" t="e">
        <f>IF(OR(#REF!&gt;2,#REF!&lt;-2),"",#REF!)</f>
        <v>#REF!</v>
      </c>
      <c r="NF20" s="7" t="e">
        <f>IF(OR(#REF!&gt;2,#REF!&lt;-2),"",#REF!)</f>
        <v>#REF!</v>
      </c>
      <c r="NG20" s="7" t="e">
        <f>IF(OR(#REF!&gt;2,#REF!&lt;-2),"",#REF!)</f>
        <v>#REF!</v>
      </c>
      <c r="NH20" s="7" t="e">
        <f>IF(OR(#REF!&gt;2,#REF!&lt;-2),"",#REF!)</f>
        <v>#REF!</v>
      </c>
      <c r="NI20" s="7" t="e">
        <f>IF(OR(#REF!&gt;2,#REF!&lt;-2),"",#REF!)</f>
        <v>#REF!</v>
      </c>
      <c r="NJ20" s="7" t="e">
        <f>IF(OR(#REF!&gt;2,#REF!&lt;-2),"",#REF!)</f>
        <v>#REF!</v>
      </c>
      <c r="NK20" s="7" t="e">
        <f>IF(OR(#REF!&gt;2,#REF!&lt;-2),"",#REF!)</f>
        <v>#REF!</v>
      </c>
      <c r="NL20" s="7" t="e">
        <f>IF(OR(#REF!&gt;2,#REF!&lt;-2),"",#REF!)</f>
        <v>#REF!</v>
      </c>
      <c r="NM20" s="7" t="e">
        <f>IF(OR(#REF!&gt;2,#REF!&lt;-2),"",#REF!)</f>
        <v>#REF!</v>
      </c>
      <c r="NN20" s="7" t="e">
        <f>IF(OR(#REF!&gt;2,#REF!&lt;-2),"",#REF!)</f>
        <v>#REF!</v>
      </c>
      <c r="NO20" s="7" t="e">
        <f>IF(OR(#REF!&gt;2,#REF!&lt;-2),"",#REF!)</f>
        <v>#REF!</v>
      </c>
      <c r="NP20" s="7" t="e">
        <f>IF(OR(#REF!&gt;2,#REF!&lt;-2),"",#REF!)</f>
        <v>#REF!</v>
      </c>
      <c r="NQ20" s="7" t="e">
        <f>IF(OR(#REF!&gt;2,#REF!&lt;-2),"",#REF!)</f>
        <v>#REF!</v>
      </c>
      <c r="NR20" s="7" t="e">
        <f>IF(OR(#REF!&gt;2,#REF!&lt;-2),"",#REF!)</f>
        <v>#REF!</v>
      </c>
      <c r="NS20" s="7" t="e">
        <f>IF(OR(#REF!&gt;2,#REF!&lt;-2),"",#REF!)</f>
        <v>#REF!</v>
      </c>
      <c r="NT20" s="7" t="e">
        <f>IF(OR(#REF!&gt;2,#REF!&lt;-2),"",#REF!)</f>
        <v>#REF!</v>
      </c>
      <c r="NU20" s="7" t="e">
        <f>IF(OR(#REF!&gt;2,#REF!&lt;-2),"",#REF!)</f>
        <v>#REF!</v>
      </c>
      <c r="NV20" s="7" t="e">
        <f>IF(OR(#REF!&gt;2,#REF!&lt;-2),"",#REF!)</f>
        <v>#REF!</v>
      </c>
      <c r="NW20" s="7" t="e">
        <f>IF(OR(#REF!&gt;2,#REF!&lt;-2),"",#REF!)</f>
        <v>#REF!</v>
      </c>
      <c r="NX20" s="7" t="e">
        <f>IF(OR(#REF!&gt;2,#REF!&lt;-2),"",#REF!)</f>
        <v>#REF!</v>
      </c>
      <c r="NY20" s="7" t="e">
        <f>IF(OR(#REF!&gt;2,#REF!&lt;-2),"",#REF!)</f>
        <v>#REF!</v>
      </c>
      <c r="NZ20" s="7" t="e">
        <f>IF(OR(#REF!&gt;2,#REF!&lt;-2),"",#REF!)</f>
        <v>#REF!</v>
      </c>
      <c r="OA20" s="7" t="e">
        <f>IF(OR(#REF!&gt;2,#REF!&lt;-2),"",#REF!)</f>
        <v>#REF!</v>
      </c>
      <c r="OB20" s="7" t="e">
        <f>IF(OR(#REF!&gt;2,#REF!&lt;-2),"",#REF!)</f>
        <v>#REF!</v>
      </c>
      <c r="OC20" s="7" t="e">
        <f>IF(OR(#REF!&gt;2,#REF!&lt;-2),"",#REF!)</f>
        <v>#REF!</v>
      </c>
      <c r="OD20" s="7" t="e">
        <f>IF(OR(#REF!&gt;2,#REF!&lt;-2),"",#REF!)</f>
        <v>#REF!</v>
      </c>
      <c r="OE20" s="7" t="e">
        <f>IF(OR(#REF!&gt;2,#REF!&lt;-2),"",#REF!)</f>
        <v>#REF!</v>
      </c>
      <c r="OF20" s="7" t="e">
        <f>IF(OR(#REF!&gt;2,#REF!&lt;-2),"",#REF!)</f>
        <v>#REF!</v>
      </c>
      <c r="OG20" s="7" t="e">
        <f>IF(OR(#REF!&gt;2,#REF!&lt;-2),"",#REF!)</f>
        <v>#REF!</v>
      </c>
      <c r="OH20" s="7" t="e">
        <f>IF(OR(#REF!&gt;2,#REF!&lt;-2),"",#REF!)</f>
        <v>#REF!</v>
      </c>
      <c r="OI20" s="7" t="e">
        <f>IF(OR(#REF!&gt;2,#REF!&lt;-2),"",#REF!)</f>
        <v>#REF!</v>
      </c>
      <c r="OJ20" s="7" t="e">
        <f>IF(OR(#REF!&gt;2,#REF!&lt;-2),"",#REF!)</f>
        <v>#REF!</v>
      </c>
      <c r="OK20" s="7" t="e">
        <f>IF(OR(#REF!&gt;2,#REF!&lt;-2),"",#REF!)</f>
        <v>#REF!</v>
      </c>
      <c r="OL20" s="7" t="e">
        <f>IF(OR(#REF!&gt;2,#REF!&lt;-2),"",#REF!)</f>
        <v>#REF!</v>
      </c>
      <c r="OM20" s="7" t="e">
        <f>IF(OR(#REF!&gt;2,#REF!&lt;-2),"",#REF!)</f>
        <v>#REF!</v>
      </c>
      <c r="ON20" s="7" t="e">
        <f>IF(OR(#REF!&gt;2,#REF!&lt;-2),"",#REF!)</f>
        <v>#REF!</v>
      </c>
      <c r="OO20" s="7" t="e">
        <f>IF(OR(#REF!&gt;2,#REF!&lt;-2),"",#REF!)</f>
        <v>#REF!</v>
      </c>
      <c r="OP20" s="7" t="e">
        <f>IF(OR(#REF!&gt;2,#REF!&lt;-2),"",#REF!)</f>
        <v>#REF!</v>
      </c>
      <c r="OQ20" s="7" t="e">
        <f>IF(OR(#REF!&gt;2,#REF!&lt;-2),"",#REF!)</f>
        <v>#REF!</v>
      </c>
      <c r="OR20" s="7" t="e">
        <f>IF(OR(#REF!&gt;2,#REF!&lt;-2),"",#REF!)</f>
        <v>#REF!</v>
      </c>
      <c r="OS20" s="7" t="e">
        <f>IF(OR(#REF!&gt;2,#REF!&lt;-2),"",#REF!)</f>
        <v>#REF!</v>
      </c>
      <c r="OT20" s="7" t="e">
        <f>IF(OR(#REF!&gt;2,#REF!&lt;-2),"",#REF!)</f>
        <v>#REF!</v>
      </c>
      <c r="OU20" s="7" t="e">
        <f>IF(OR(#REF!&gt;2,#REF!&lt;-2),"",#REF!)</f>
        <v>#REF!</v>
      </c>
      <c r="OV20" s="7" t="e">
        <f>IF(OR(#REF!&gt;2,#REF!&lt;-2),"",#REF!)</f>
        <v>#REF!</v>
      </c>
      <c r="OW20" s="7" t="e">
        <f>IF(OR(#REF!&gt;2,#REF!&lt;-2),"",#REF!)</f>
        <v>#REF!</v>
      </c>
      <c r="OX20" s="7" t="e">
        <f>IF(OR(#REF!&gt;2,#REF!&lt;-2),"",#REF!)</f>
        <v>#REF!</v>
      </c>
      <c r="OY20" s="7" t="e">
        <f>IF(OR(#REF!&gt;2,#REF!&lt;-2),"",#REF!)</f>
        <v>#REF!</v>
      </c>
      <c r="OZ20" s="7" t="e">
        <f>IF(OR(#REF!&gt;2,#REF!&lt;-2),"",#REF!)</f>
        <v>#REF!</v>
      </c>
      <c r="PA20" s="7" t="e">
        <f>IF(OR(#REF!&gt;2,#REF!&lt;-2),"",#REF!)</f>
        <v>#REF!</v>
      </c>
      <c r="PB20" s="7" t="e">
        <f>IF(OR(#REF!&gt;2,#REF!&lt;-2),"",#REF!)</f>
        <v>#REF!</v>
      </c>
      <c r="PC20" s="7" t="e">
        <f>IF(OR(#REF!&gt;2,#REF!&lt;-2),"",#REF!)</f>
        <v>#REF!</v>
      </c>
      <c r="PD20" s="7" t="e">
        <f>IF(OR(#REF!&gt;2,#REF!&lt;-2),"",#REF!)</f>
        <v>#REF!</v>
      </c>
      <c r="PE20" s="7" t="e">
        <f>IF(OR(#REF!&gt;2,#REF!&lt;-2),"",#REF!)</f>
        <v>#REF!</v>
      </c>
      <c r="PF20" s="7" t="e">
        <f>IF(OR(#REF!&gt;2,#REF!&lt;-2),"",#REF!)</f>
        <v>#REF!</v>
      </c>
      <c r="PG20" s="7" t="e">
        <f>IF(OR(#REF!&gt;2,#REF!&lt;-2),"",#REF!)</f>
        <v>#REF!</v>
      </c>
      <c r="PH20" s="7" t="e">
        <f>IF(OR(#REF!&gt;2,#REF!&lt;-2),"",#REF!)</f>
        <v>#REF!</v>
      </c>
      <c r="PI20" s="7" t="e">
        <f>IF(OR(#REF!&gt;2,#REF!&lt;-2),"",#REF!)</f>
        <v>#REF!</v>
      </c>
      <c r="PJ20" s="7" t="e">
        <f>IF(OR(#REF!&gt;2,#REF!&lt;-2),"",#REF!)</f>
        <v>#REF!</v>
      </c>
      <c r="PK20" s="7" t="e">
        <f>IF(OR(#REF!&gt;2,#REF!&lt;-2),"",#REF!)</f>
        <v>#REF!</v>
      </c>
      <c r="PL20" s="7" t="e">
        <f>IF(OR(#REF!&gt;2,#REF!&lt;-2),"",#REF!)</f>
        <v>#REF!</v>
      </c>
      <c r="PM20" s="7" t="e">
        <f>IF(OR(#REF!&gt;2,#REF!&lt;-2),"",#REF!)</f>
        <v>#REF!</v>
      </c>
      <c r="PN20" s="7" t="e">
        <f>IF(OR(#REF!&gt;2,#REF!&lt;-2),"",#REF!)</f>
        <v>#REF!</v>
      </c>
      <c r="PO20" s="7" t="e">
        <f>IF(OR(#REF!&gt;2,#REF!&lt;-2),"",#REF!)</f>
        <v>#REF!</v>
      </c>
      <c r="PP20" s="7" t="e">
        <f>IF(OR(#REF!&gt;2,#REF!&lt;-2),"",#REF!)</f>
        <v>#REF!</v>
      </c>
      <c r="PQ20" s="7" t="e">
        <f>IF(OR(#REF!&gt;2,#REF!&lt;-2),"",#REF!)</f>
        <v>#REF!</v>
      </c>
      <c r="PR20" s="7" t="e">
        <f>IF(OR(#REF!&gt;2,#REF!&lt;-2),"",#REF!)</f>
        <v>#REF!</v>
      </c>
      <c r="PS20" s="7" t="e">
        <f>IF(OR(#REF!&gt;2,#REF!&lt;-2),"",#REF!)</f>
        <v>#REF!</v>
      </c>
      <c r="PT20" s="7" t="e">
        <f>IF(OR(#REF!&gt;2,#REF!&lt;-2),"",#REF!)</f>
        <v>#REF!</v>
      </c>
      <c r="PU20" s="7" t="e">
        <f>IF(OR(#REF!&gt;2,#REF!&lt;-2),"",#REF!)</f>
        <v>#REF!</v>
      </c>
      <c r="PV20" s="7" t="e">
        <f>IF(OR(#REF!&gt;2,#REF!&lt;-2),"",#REF!)</f>
        <v>#REF!</v>
      </c>
      <c r="PW20" s="7" t="e">
        <f>IF(OR(#REF!&gt;2,#REF!&lt;-2),"",#REF!)</f>
        <v>#REF!</v>
      </c>
      <c r="PX20" s="7" t="e">
        <f>IF(OR(#REF!&gt;2,#REF!&lt;-2),"",#REF!)</f>
        <v>#REF!</v>
      </c>
      <c r="PY20" s="7" t="e">
        <f>IF(OR(#REF!&gt;2,#REF!&lt;-2),"",#REF!)</f>
        <v>#REF!</v>
      </c>
      <c r="PZ20" s="7" t="e">
        <f>IF(OR(#REF!&gt;2,#REF!&lt;-2),"",#REF!)</f>
        <v>#REF!</v>
      </c>
      <c r="QA20" s="7" t="e">
        <f>IF(OR(#REF!&gt;2,#REF!&lt;-2),"",#REF!)</f>
        <v>#REF!</v>
      </c>
      <c r="QB20" s="7" t="e">
        <f>IF(OR(#REF!&gt;2,#REF!&lt;-2),"",#REF!)</f>
        <v>#REF!</v>
      </c>
      <c r="QC20" s="7" t="e">
        <f>IF(OR(#REF!&gt;2,#REF!&lt;-2),"",#REF!)</f>
        <v>#REF!</v>
      </c>
      <c r="QD20" s="7" t="e">
        <f>IF(OR(#REF!&gt;2,#REF!&lt;-2),"",#REF!)</f>
        <v>#REF!</v>
      </c>
      <c r="QE20" s="7" t="e">
        <f>IF(OR(#REF!&gt;2,#REF!&lt;-2),"",#REF!)</f>
        <v>#REF!</v>
      </c>
      <c r="QF20" s="7" t="e">
        <f>IF(OR(#REF!&gt;2,#REF!&lt;-2),"",#REF!)</f>
        <v>#REF!</v>
      </c>
      <c r="QG20" s="7" t="e">
        <f>IF(OR(#REF!&gt;2,#REF!&lt;-2),"",#REF!)</f>
        <v>#REF!</v>
      </c>
      <c r="QH20" s="7" t="e">
        <f>IF(OR(#REF!&gt;2,#REF!&lt;-2),"",#REF!)</f>
        <v>#REF!</v>
      </c>
      <c r="QI20" s="7" t="e">
        <f>IF(OR(#REF!&gt;2,#REF!&lt;-2),"",#REF!)</f>
        <v>#REF!</v>
      </c>
      <c r="QJ20" s="7" t="e">
        <f>IF(OR(#REF!&gt;2,#REF!&lt;-2),"",#REF!)</f>
        <v>#REF!</v>
      </c>
      <c r="QK20" s="7" t="e">
        <f>IF(OR(#REF!&gt;2,#REF!&lt;-2),"",#REF!)</f>
        <v>#REF!</v>
      </c>
      <c r="QL20" s="7" t="e">
        <f>IF(OR(#REF!&gt;2,#REF!&lt;-2),"",#REF!)</f>
        <v>#REF!</v>
      </c>
      <c r="QM20" s="7" t="e">
        <f>IF(OR(#REF!&gt;2,#REF!&lt;-2),"",#REF!)</f>
        <v>#REF!</v>
      </c>
      <c r="QN20" s="7" t="e">
        <f>IF(OR(#REF!&gt;2,#REF!&lt;-2),"",#REF!)</f>
        <v>#REF!</v>
      </c>
      <c r="QO20" s="7" t="e">
        <f>IF(OR(#REF!&gt;2,#REF!&lt;-2),"",#REF!)</f>
        <v>#REF!</v>
      </c>
      <c r="QP20" s="7" t="e">
        <f>IF(OR(#REF!&gt;2,#REF!&lt;-2),"",#REF!)</f>
        <v>#REF!</v>
      </c>
      <c r="QQ20" s="7" t="e">
        <f>IF(OR(#REF!&gt;2,#REF!&lt;-2),"",#REF!)</f>
        <v>#REF!</v>
      </c>
      <c r="QR20" s="7" t="e">
        <f>IF(OR(#REF!&gt;2,#REF!&lt;-2),"",#REF!)</f>
        <v>#REF!</v>
      </c>
      <c r="QS20" s="7" t="e">
        <f>IF(OR(#REF!&gt;2,#REF!&lt;-2),"",#REF!)</f>
        <v>#REF!</v>
      </c>
      <c r="QT20" s="7" t="e">
        <f>IF(OR(#REF!&gt;2,#REF!&lt;-2),"",#REF!)</f>
        <v>#REF!</v>
      </c>
      <c r="QU20" s="7" t="e">
        <f>IF(OR(#REF!&gt;2,#REF!&lt;-2),"",#REF!)</f>
        <v>#REF!</v>
      </c>
      <c r="QV20" s="7" t="e">
        <f>IF(OR(#REF!&gt;2,#REF!&lt;-2),"",#REF!)</f>
        <v>#REF!</v>
      </c>
      <c r="QW20" s="7" t="e">
        <f>IF(OR(#REF!&gt;2,#REF!&lt;-2),"",#REF!)</f>
        <v>#REF!</v>
      </c>
      <c r="QX20" s="7" t="e">
        <f>IF(OR(#REF!&gt;2,#REF!&lt;-2),"",#REF!)</f>
        <v>#REF!</v>
      </c>
      <c r="QY20" s="7" t="e">
        <f>IF(OR(#REF!&gt;2,#REF!&lt;-2),"",#REF!)</f>
        <v>#REF!</v>
      </c>
      <c r="QZ20" s="7" t="e">
        <f>IF(OR(#REF!&gt;2,#REF!&lt;-2),"",#REF!)</f>
        <v>#REF!</v>
      </c>
      <c r="RA20" s="7" t="e">
        <f>IF(OR(#REF!&gt;2,#REF!&lt;-2),"",#REF!)</f>
        <v>#REF!</v>
      </c>
      <c r="RB20" s="7" t="e">
        <f>IF(OR(#REF!&gt;2,#REF!&lt;-2),"",#REF!)</f>
        <v>#REF!</v>
      </c>
      <c r="RC20" s="7" t="e">
        <f>IF(OR(#REF!&gt;2,#REF!&lt;-2),"",#REF!)</f>
        <v>#REF!</v>
      </c>
      <c r="RD20" s="7" t="e">
        <f>IF(OR(#REF!&gt;2,#REF!&lt;-2),"",#REF!)</f>
        <v>#REF!</v>
      </c>
      <c r="RE20" s="7" t="e">
        <f>IF(OR(#REF!&gt;2,#REF!&lt;-2),"",#REF!)</f>
        <v>#REF!</v>
      </c>
      <c r="RF20" s="7" t="e">
        <f>IF(OR(#REF!&gt;2,#REF!&lt;-2),"",#REF!)</f>
        <v>#REF!</v>
      </c>
      <c r="RG20" s="7" t="e">
        <f>IF(OR(#REF!&gt;2,#REF!&lt;-2),"",#REF!)</f>
        <v>#REF!</v>
      </c>
      <c r="RH20" s="7" t="e">
        <f>IF(OR(#REF!&gt;2,#REF!&lt;-2),"",#REF!)</f>
        <v>#REF!</v>
      </c>
      <c r="RI20" s="7" t="e">
        <f>IF(OR(#REF!&gt;2,#REF!&lt;-2),"",#REF!)</f>
        <v>#REF!</v>
      </c>
      <c r="RJ20" s="7" t="e">
        <f>IF(OR(#REF!&gt;2,#REF!&lt;-2),"",#REF!)</f>
        <v>#REF!</v>
      </c>
      <c r="RK20" s="7" t="e">
        <f>IF(OR(#REF!&gt;2,#REF!&lt;-2),"",#REF!)</f>
        <v>#REF!</v>
      </c>
      <c r="RL20" s="7" t="e">
        <f>IF(OR(#REF!&gt;2,#REF!&lt;-2),"",#REF!)</f>
        <v>#REF!</v>
      </c>
      <c r="RM20" s="7" t="e">
        <f>IF(OR(#REF!&gt;2,#REF!&lt;-2),"",#REF!)</f>
        <v>#REF!</v>
      </c>
      <c r="RN20" s="7" t="e">
        <f>IF(OR(#REF!&gt;2,#REF!&lt;-2),"",#REF!)</f>
        <v>#REF!</v>
      </c>
      <c r="RO20" s="7" t="e">
        <f>IF(OR(#REF!&gt;2,#REF!&lt;-2),"",#REF!)</f>
        <v>#REF!</v>
      </c>
      <c r="RP20" s="7" t="e">
        <f>IF(OR(#REF!&gt;2,#REF!&lt;-2),"",#REF!)</f>
        <v>#REF!</v>
      </c>
      <c r="RQ20" s="7" t="e">
        <f>IF(OR(#REF!&gt;2,#REF!&lt;-2),"",#REF!)</f>
        <v>#REF!</v>
      </c>
      <c r="RR20" s="7" t="e">
        <f>IF(OR(#REF!&gt;2,#REF!&lt;-2),"",#REF!)</f>
        <v>#REF!</v>
      </c>
      <c r="RS20" s="7" t="e">
        <f>IF(OR(#REF!&gt;2,#REF!&lt;-2),"",#REF!)</f>
        <v>#REF!</v>
      </c>
      <c r="RT20" s="7" t="e">
        <f>IF(OR(#REF!&gt;2,#REF!&lt;-2),"",#REF!)</f>
        <v>#REF!</v>
      </c>
      <c r="RU20" s="7" t="e">
        <f>IF(OR(#REF!&gt;2,#REF!&lt;-2),"",#REF!)</f>
        <v>#REF!</v>
      </c>
      <c r="RV20" s="7" t="e">
        <f>IF(OR(#REF!&gt;2,#REF!&lt;-2),"",#REF!)</f>
        <v>#REF!</v>
      </c>
      <c r="RW20" s="7" t="e">
        <f>IF(OR(#REF!&gt;2,#REF!&lt;-2),"",#REF!)</f>
        <v>#REF!</v>
      </c>
      <c r="RX20" s="7" t="e">
        <f>IF(OR(#REF!&gt;2,#REF!&lt;-2),"",#REF!)</f>
        <v>#REF!</v>
      </c>
      <c r="RY20" s="7" t="e">
        <f>IF(OR(#REF!&gt;2,#REF!&lt;-2),"",#REF!)</f>
        <v>#REF!</v>
      </c>
      <c r="RZ20" s="7" t="e">
        <f>IF(OR(#REF!&gt;2,#REF!&lt;-2),"",#REF!)</f>
        <v>#REF!</v>
      </c>
      <c r="SA20" s="7" t="e">
        <f>IF(OR(#REF!&gt;2,#REF!&lt;-2),"",#REF!)</f>
        <v>#REF!</v>
      </c>
      <c r="SB20" s="7" t="e">
        <f>IF(OR(#REF!&gt;2,#REF!&lt;-2),"",#REF!)</f>
        <v>#REF!</v>
      </c>
      <c r="SC20" s="7" t="e">
        <f>IF(OR(#REF!&gt;2,#REF!&lt;-2),"",#REF!)</f>
        <v>#REF!</v>
      </c>
      <c r="SD20" s="7" t="e">
        <f>IF(OR(#REF!&gt;2,#REF!&lt;-2),"",#REF!)</f>
        <v>#REF!</v>
      </c>
      <c r="SE20" s="7" t="e">
        <f>IF(OR(#REF!&gt;2,#REF!&lt;-2),"",#REF!)</f>
        <v>#REF!</v>
      </c>
      <c r="SF20" s="7" t="e">
        <f>IF(OR(#REF!&gt;2,#REF!&lt;-2),"",#REF!)</f>
        <v>#REF!</v>
      </c>
      <c r="SG20" s="7" t="e">
        <f>IF(OR(#REF!&gt;2,#REF!&lt;-2),"",#REF!)</f>
        <v>#REF!</v>
      </c>
      <c r="SH20" s="7" t="e">
        <f>IF(OR(#REF!&gt;2,#REF!&lt;-2),"",#REF!)</f>
        <v>#REF!</v>
      </c>
      <c r="SI20" s="7" t="e">
        <f>IF(OR(#REF!&gt;2,#REF!&lt;-2),"",#REF!)</f>
        <v>#REF!</v>
      </c>
      <c r="SJ20" s="7" t="e">
        <f>IF(OR(#REF!&gt;2,#REF!&lt;-2),"",#REF!)</f>
        <v>#REF!</v>
      </c>
      <c r="SK20" s="7" t="e">
        <f>IF(OR(#REF!&gt;2,#REF!&lt;-2),"",#REF!)</f>
        <v>#REF!</v>
      </c>
      <c r="SL20" s="7" t="e">
        <f>IF(OR(#REF!&gt;2,#REF!&lt;-2),"",#REF!)</f>
        <v>#REF!</v>
      </c>
      <c r="SM20" s="7" t="e">
        <f>IF(OR(#REF!&gt;2,#REF!&lt;-2),"",#REF!)</f>
        <v>#REF!</v>
      </c>
      <c r="SN20" s="7" t="e">
        <f>IF(OR(#REF!&gt;2,#REF!&lt;-2),"",#REF!)</f>
        <v>#REF!</v>
      </c>
      <c r="SO20" s="7" t="e">
        <f>IF(OR(#REF!&gt;2,#REF!&lt;-2),"",#REF!)</f>
        <v>#REF!</v>
      </c>
      <c r="SP20" s="7" t="e">
        <f>IF(OR(#REF!&gt;2,#REF!&lt;-2),"",#REF!)</f>
        <v>#REF!</v>
      </c>
      <c r="SQ20" s="7" t="e">
        <f>IF(OR(#REF!&gt;2,#REF!&lt;-2),"",#REF!)</f>
        <v>#REF!</v>
      </c>
      <c r="SR20" s="7" t="e">
        <f>IF(OR(#REF!&gt;2,#REF!&lt;-2),"",#REF!)</f>
        <v>#REF!</v>
      </c>
      <c r="SS20" s="7" t="e">
        <f>IF(OR(#REF!&gt;2,#REF!&lt;-2),"",#REF!)</f>
        <v>#REF!</v>
      </c>
      <c r="ST20" s="7" t="e">
        <f>IF(OR(#REF!&gt;2,#REF!&lt;-2),"",#REF!)</f>
        <v>#REF!</v>
      </c>
      <c r="SU20" s="7" t="e">
        <f>IF(OR(#REF!&gt;2,#REF!&lt;-2),"",#REF!)</f>
        <v>#REF!</v>
      </c>
      <c r="SV20" s="7" t="e">
        <f>IF(OR(#REF!&gt;2,#REF!&lt;-2),"",#REF!)</f>
        <v>#REF!</v>
      </c>
      <c r="SW20" s="7" t="e">
        <f>IF(OR(#REF!&gt;2,#REF!&lt;-2),"",#REF!)</f>
        <v>#REF!</v>
      </c>
      <c r="SX20" s="7" t="e">
        <f>IF(OR(#REF!&gt;2,#REF!&lt;-2),"",#REF!)</f>
        <v>#REF!</v>
      </c>
      <c r="SY20" s="7" t="e">
        <f>IF(OR(#REF!&gt;2,#REF!&lt;-2),"",#REF!)</f>
        <v>#REF!</v>
      </c>
      <c r="SZ20" s="7" t="e">
        <f>IF(OR(#REF!&gt;2,#REF!&lt;-2),"",#REF!)</f>
        <v>#REF!</v>
      </c>
      <c r="TA20" s="7" t="e">
        <f>IF(OR(#REF!&gt;2,#REF!&lt;-2),"",#REF!)</f>
        <v>#REF!</v>
      </c>
      <c r="TB20" s="7" t="e">
        <f>IF(OR(#REF!&gt;2,#REF!&lt;-2),"",#REF!)</f>
        <v>#REF!</v>
      </c>
      <c r="TC20" s="7" t="e">
        <f>IF(OR(#REF!&gt;2,#REF!&lt;-2),"",#REF!)</f>
        <v>#REF!</v>
      </c>
      <c r="TD20" s="7" t="e">
        <f>IF(OR(#REF!&gt;2,#REF!&lt;-2),"",#REF!)</f>
        <v>#REF!</v>
      </c>
      <c r="TE20" s="7" t="e">
        <f>IF(OR(#REF!&gt;2,#REF!&lt;-2),"",#REF!)</f>
        <v>#REF!</v>
      </c>
      <c r="TF20" s="7" t="e">
        <f>IF(OR(#REF!&gt;2,#REF!&lt;-2),"",#REF!)</f>
        <v>#REF!</v>
      </c>
      <c r="TG20" s="7" t="e">
        <f>IF(OR(#REF!&gt;2,#REF!&lt;-2),"",#REF!)</f>
        <v>#REF!</v>
      </c>
      <c r="TH20" s="7" t="e">
        <f>IF(OR(#REF!&gt;2,#REF!&lt;-2),"",#REF!)</f>
        <v>#REF!</v>
      </c>
      <c r="TI20" s="7" t="e">
        <f>IF(OR(#REF!&gt;2,#REF!&lt;-2),"",#REF!)</f>
        <v>#REF!</v>
      </c>
      <c r="TJ20" s="7" t="e">
        <f>IF(OR(#REF!&gt;2,#REF!&lt;-2),"",#REF!)</f>
        <v>#REF!</v>
      </c>
      <c r="TK20" s="7" t="e">
        <f>IF(OR(#REF!&gt;2,#REF!&lt;-2),"",#REF!)</f>
        <v>#REF!</v>
      </c>
      <c r="TL20" s="7" t="e">
        <f>IF(OR(#REF!&gt;2,#REF!&lt;-2),"",#REF!)</f>
        <v>#REF!</v>
      </c>
      <c r="TM20" s="7" t="e">
        <f>IF(OR(#REF!&gt;2,#REF!&lt;-2),"",#REF!)</f>
        <v>#REF!</v>
      </c>
      <c r="TN20" s="7" t="e">
        <f>IF(OR(#REF!&gt;2,#REF!&lt;-2),"",#REF!)</f>
        <v>#REF!</v>
      </c>
      <c r="TO20" s="7" t="e">
        <f>IF(OR(#REF!&gt;2,#REF!&lt;-2),"",#REF!)</f>
        <v>#REF!</v>
      </c>
      <c r="TP20" s="7" t="e">
        <f>IF(OR(#REF!&gt;2,#REF!&lt;-2),"",#REF!)</f>
        <v>#REF!</v>
      </c>
      <c r="TQ20" s="7" t="e">
        <f>IF(OR(#REF!&gt;2,#REF!&lt;-2),"",#REF!)</f>
        <v>#REF!</v>
      </c>
      <c r="TR20" s="7" t="e">
        <f>IF(OR(#REF!&gt;2,#REF!&lt;-2),"",#REF!)</f>
        <v>#REF!</v>
      </c>
      <c r="TS20" s="7" t="e">
        <f>IF(OR(#REF!&gt;2,#REF!&lt;-2),"",#REF!)</f>
        <v>#REF!</v>
      </c>
      <c r="TT20" s="7" t="e">
        <f>IF(OR(#REF!&gt;2,#REF!&lt;-2),"",#REF!)</f>
        <v>#REF!</v>
      </c>
      <c r="TU20" s="7" t="e">
        <f>IF(OR(#REF!&gt;2,#REF!&lt;-2),"",#REF!)</f>
        <v>#REF!</v>
      </c>
      <c r="TV20" s="7" t="e">
        <f>IF(OR(#REF!&gt;2,#REF!&lt;-2),"",#REF!)</f>
        <v>#REF!</v>
      </c>
      <c r="TW20" s="7" t="e">
        <f>IF(OR(#REF!&gt;2,#REF!&lt;-2),"",#REF!)</f>
        <v>#REF!</v>
      </c>
      <c r="TX20" s="7" t="e">
        <f>IF(OR(#REF!&gt;2,#REF!&lt;-2),"",#REF!)</f>
        <v>#REF!</v>
      </c>
      <c r="TY20" s="7" t="e">
        <f>IF(OR(#REF!&gt;2,#REF!&lt;-2),"",#REF!)</f>
        <v>#REF!</v>
      </c>
      <c r="TZ20" s="7" t="e">
        <f>IF(OR(#REF!&gt;2,#REF!&lt;-2),"",#REF!)</f>
        <v>#REF!</v>
      </c>
      <c r="UA20" s="7" t="e">
        <f>IF(OR(#REF!&gt;2,#REF!&lt;-2),"",#REF!)</f>
        <v>#REF!</v>
      </c>
      <c r="UB20" s="7" t="e">
        <f>IF(OR(#REF!&gt;2,#REF!&lt;-2),"",#REF!)</f>
        <v>#REF!</v>
      </c>
      <c r="UC20" s="7" t="e">
        <f>IF(OR(#REF!&gt;2,#REF!&lt;-2),"",#REF!)</f>
        <v>#REF!</v>
      </c>
      <c r="UD20" s="7" t="e">
        <f>IF(OR(#REF!&gt;2,#REF!&lt;-2),"",#REF!)</f>
        <v>#REF!</v>
      </c>
      <c r="UE20" s="7" t="e">
        <f>IF(OR(#REF!&gt;2,#REF!&lt;-2),"",#REF!)</f>
        <v>#REF!</v>
      </c>
      <c r="UF20" s="7" t="e">
        <f>IF(OR(#REF!&gt;2,#REF!&lt;-2),"",#REF!)</f>
        <v>#REF!</v>
      </c>
      <c r="UG20" s="7" t="e">
        <f>IF(OR(#REF!&gt;2,#REF!&lt;-2),"",#REF!)</f>
        <v>#REF!</v>
      </c>
      <c r="UH20" s="7" t="e">
        <f>IF(OR(#REF!&gt;2,#REF!&lt;-2),"",#REF!)</f>
        <v>#REF!</v>
      </c>
      <c r="UI20" s="7" t="e">
        <f>IF(OR(#REF!&gt;2,#REF!&lt;-2),"",#REF!)</f>
        <v>#REF!</v>
      </c>
      <c r="UJ20" s="7" t="e">
        <f>IF(OR(#REF!&gt;2,#REF!&lt;-2),"",#REF!)</f>
        <v>#REF!</v>
      </c>
      <c r="UK20" s="7" t="e">
        <f>IF(OR(#REF!&gt;2,#REF!&lt;-2),"",#REF!)</f>
        <v>#REF!</v>
      </c>
      <c r="UL20" s="7" t="e">
        <f>IF(OR(#REF!&gt;2,#REF!&lt;-2),"",#REF!)</f>
        <v>#REF!</v>
      </c>
      <c r="UM20" s="7" t="e">
        <f>IF(OR(#REF!&gt;2,#REF!&lt;-2),"",#REF!)</f>
        <v>#REF!</v>
      </c>
      <c r="UN20" s="7" t="e">
        <f>IF(OR(#REF!&gt;2,#REF!&lt;-2),"",#REF!)</f>
        <v>#REF!</v>
      </c>
      <c r="UO20" s="7" t="e">
        <f>IF(OR(#REF!&gt;2,#REF!&lt;-2),"",#REF!)</f>
        <v>#REF!</v>
      </c>
      <c r="UP20" s="7" t="e">
        <f>IF(OR(#REF!&gt;2,#REF!&lt;-2),"",#REF!)</f>
        <v>#REF!</v>
      </c>
    </row>
    <row r="21" spans="1:562" x14ac:dyDescent="0.3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</row>
    <row r="22" spans="1:562" x14ac:dyDescent="0.35">
      <c r="A22" t="s">
        <v>1307</v>
      </c>
      <c r="C22" s="7" t="e">
        <f t="shared" ref="C22:BN22" si="0">AVERAGE(C13:C20)-AVERAGE(C4:C12)</f>
        <v>#REF!</v>
      </c>
      <c r="D22" s="7" t="e">
        <f t="shared" si="0"/>
        <v>#REF!</v>
      </c>
      <c r="E22" s="7" t="e">
        <f t="shared" si="0"/>
        <v>#REF!</v>
      </c>
      <c r="F22" s="7" t="e">
        <f t="shared" si="0"/>
        <v>#REF!</v>
      </c>
      <c r="G22" s="7" t="e">
        <f t="shared" si="0"/>
        <v>#REF!</v>
      </c>
      <c r="H22" s="7" t="e">
        <f t="shared" si="0"/>
        <v>#REF!</v>
      </c>
      <c r="I22" s="7" t="e">
        <f t="shared" si="0"/>
        <v>#REF!</v>
      </c>
      <c r="J22" s="7" t="e">
        <f t="shared" si="0"/>
        <v>#REF!</v>
      </c>
      <c r="K22" s="7" t="e">
        <f t="shared" si="0"/>
        <v>#REF!</v>
      </c>
      <c r="L22" s="7" t="e">
        <f t="shared" si="0"/>
        <v>#REF!</v>
      </c>
      <c r="M22" s="7" t="e">
        <f t="shared" si="0"/>
        <v>#REF!</v>
      </c>
      <c r="N22" s="7" t="e">
        <f t="shared" si="0"/>
        <v>#REF!</v>
      </c>
      <c r="O22" s="7" t="e">
        <f t="shared" si="0"/>
        <v>#REF!</v>
      </c>
      <c r="P22" s="7" t="e">
        <f t="shared" si="0"/>
        <v>#REF!</v>
      </c>
      <c r="Q22" s="7" t="e">
        <f t="shared" si="0"/>
        <v>#REF!</v>
      </c>
      <c r="R22" s="7" t="e">
        <f t="shared" si="0"/>
        <v>#REF!</v>
      </c>
      <c r="S22" s="7" t="e">
        <f t="shared" si="0"/>
        <v>#REF!</v>
      </c>
      <c r="T22" s="7" t="e">
        <f t="shared" si="0"/>
        <v>#REF!</v>
      </c>
      <c r="U22" s="7" t="e">
        <f t="shared" si="0"/>
        <v>#REF!</v>
      </c>
      <c r="V22" s="7" t="e">
        <f t="shared" si="0"/>
        <v>#REF!</v>
      </c>
      <c r="W22" s="7" t="e">
        <f t="shared" si="0"/>
        <v>#REF!</v>
      </c>
      <c r="X22" s="7" t="e">
        <f t="shared" si="0"/>
        <v>#REF!</v>
      </c>
      <c r="Y22" s="7" t="e">
        <f t="shared" si="0"/>
        <v>#REF!</v>
      </c>
      <c r="Z22" s="7" t="e">
        <f t="shared" si="0"/>
        <v>#REF!</v>
      </c>
      <c r="AA22" s="7" t="e">
        <f t="shared" si="0"/>
        <v>#REF!</v>
      </c>
      <c r="AB22" s="7" t="e">
        <f t="shared" si="0"/>
        <v>#REF!</v>
      </c>
      <c r="AC22" s="7" t="e">
        <f t="shared" si="0"/>
        <v>#REF!</v>
      </c>
      <c r="AD22" s="7" t="e">
        <f t="shared" si="0"/>
        <v>#REF!</v>
      </c>
      <c r="AE22" s="7" t="e">
        <f t="shared" si="0"/>
        <v>#REF!</v>
      </c>
      <c r="AF22" s="7" t="e">
        <f t="shared" si="0"/>
        <v>#REF!</v>
      </c>
      <c r="AG22" s="7" t="e">
        <f t="shared" si="0"/>
        <v>#REF!</v>
      </c>
      <c r="AH22" s="7" t="e">
        <f t="shared" si="0"/>
        <v>#REF!</v>
      </c>
      <c r="AI22" s="7" t="e">
        <f t="shared" si="0"/>
        <v>#REF!</v>
      </c>
      <c r="AJ22" s="7" t="e">
        <f t="shared" si="0"/>
        <v>#REF!</v>
      </c>
      <c r="AK22" s="7" t="e">
        <f t="shared" si="0"/>
        <v>#REF!</v>
      </c>
      <c r="AL22" s="7" t="e">
        <f t="shared" si="0"/>
        <v>#REF!</v>
      </c>
      <c r="AM22" s="7" t="e">
        <f t="shared" si="0"/>
        <v>#REF!</v>
      </c>
      <c r="AN22" s="7" t="e">
        <f t="shared" si="0"/>
        <v>#REF!</v>
      </c>
      <c r="AO22" s="7" t="e">
        <f t="shared" si="0"/>
        <v>#REF!</v>
      </c>
      <c r="AP22" s="7" t="e">
        <f t="shared" si="0"/>
        <v>#REF!</v>
      </c>
      <c r="AQ22" s="7" t="e">
        <f t="shared" si="0"/>
        <v>#REF!</v>
      </c>
      <c r="AR22" s="7" t="e">
        <f t="shared" si="0"/>
        <v>#REF!</v>
      </c>
      <c r="AS22" s="7" t="e">
        <f t="shared" si="0"/>
        <v>#REF!</v>
      </c>
      <c r="AT22" s="7" t="e">
        <f t="shared" si="0"/>
        <v>#REF!</v>
      </c>
      <c r="AU22" s="7" t="e">
        <f t="shared" si="0"/>
        <v>#REF!</v>
      </c>
      <c r="AV22" s="7" t="e">
        <f t="shared" si="0"/>
        <v>#REF!</v>
      </c>
      <c r="AW22" s="7" t="e">
        <f t="shared" si="0"/>
        <v>#REF!</v>
      </c>
      <c r="AX22" s="7" t="e">
        <f t="shared" si="0"/>
        <v>#REF!</v>
      </c>
      <c r="AY22" s="7" t="e">
        <f t="shared" si="0"/>
        <v>#REF!</v>
      </c>
      <c r="AZ22" s="7" t="e">
        <f t="shared" si="0"/>
        <v>#REF!</v>
      </c>
      <c r="BA22" s="7" t="e">
        <f t="shared" si="0"/>
        <v>#REF!</v>
      </c>
      <c r="BB22" s="7" t="e">
        <f t="shared" si="0"/>
        <v>#REF!</v>
      </c>
      <c r="BC22" s="7" t="e">
        <f t="shared" si="0"/>
        <v>#REF!</v>
      </c>
      <c r="BD22" s="7" t="e">
        <f t="shared" si="0"/>
        <v>#REF!</v>
      </c>
      <c r="BE22" s="7" t="e">
        <f t="shared" si="0"/>
        <v>#REF!</v>
      </c>
      <c r="BF22" s="7" t="e">
        <f t="shared" si="0"/>
        <v>#REF!</v>
      </c>
      <c r="BG22" s="7" t="e">
        <f t="shared" si="0"/>
        <v>#REF!</v>
      </c>
      <c r="BH22" s="7" t="e">
        <f t="shared" si="0"/>
        <v>#REF!</v>
      </c>
      <c r="BI22" s="7" t="e">
        <f t="shared" si="0"/>
        <v>#REF!</v>
      </c>
      <c r="BJ22" s="7" t="e">
        <f t="shared" si="0"/>
        <v>#REF!</v>
      </c>
      <c r="BK22" s="7" t="e">
        <f t="shared" si="0"/>
        <v>#REF!</v>
      </c>
      <c r="BL22" s="7" t="e">
        <f t="shared" si="0"/>
        <v>#REF!</v>
      </c>
      <c r="BM22" s="7" t="e">
        <f t="shared" si="0"/>
        <v>#REF!</v>
      </c>
      <c r="BN22" s="7" t="e">
        <f t="shared" si="0"/>
        <v>#REF!</v>
      </c>
      <c r="BO22" s="7" t="e">
        <f t="shared" ref="BO22:DZ22" si="1">AVERAGE(BO13:BO20)-AVERAGE(BO4:BO12)</f>
        <v>#REF!</v>
      </c>
      <c r="BP22" s="7" t="e">
        <f t="shared" si="1"/>
        <v>#REF!</v>
      </c>
      <c r="BQ22" s="7" t="e">
        <f t="shared" si="1"/>
        <v>#REF!</v>
      </c>
      <c r="BR22" s="7" t="e">
        <f t="shared" si="1"/>
        <v>#REF!</v>
      </c>
      <c r="BS22" s="7" t="e">
        <f t="shared" si="1"/>
        <v>#REF!</v>
      </c>
      <c r="BT22" s="7" t="e">
        <f t="shared" si="1"/>
        <v>#REF!</v>
      </c>
      <c r="BU22" s="7" t="e">
        <f t="shared" si="1"/>
        <v>#REF!</v>
      </c>
      <c r="BV22" s="7" t="e">
        <f t="shared" si="1"/>
        <v>#REF!</v>
      </c>
      <c r="BW22" s="7" t="e">
        <f t="shared" si="1"/>
        <v>#REF!</v>
      </c>
      <c r="BX22" s="7" t="e">
        <f t="shared" si="1"/>
        <v>#REF!</v>
      </c>
      <c r="BY22" s="7" t="e">
        <f t="shared" si="1"/>
        <v>#REF!</v>
      </c>
      <c r="BZ22" s="7" t="e">
        <f t="shared" si="1"/>
        <v>#REF!</v>
      </c>
      <c r="CA22" s="7" t="e">
        <f t="shared" si="1"/>
        <v>#REF!</v>
      </c>
      <c r="CB22" s="7" t="e">
        <f t="shared" si="1"/>
        <v>#REF!</v>
      </c>
      <c r="CC22" s="7" t="e">
        <f t="shared" si="1"/>
        <v>#REF!</v>
      </c>
      <c r="CD22" s="7" t="e">
        <f t="shared" si="1"/>
        <v>#REF!</v>
      </c>
      <c r="CE22" s="7" t="e">
        <f t="shared" si="1"/>
        <v>#REF!</v>
      </c>
      <c r="CF22" s="7" t="e">
        <f t="shared" si="1"/>
        <v>#REF!</v>
      </c>
      <c r="CG22" s="7" t="e">
        <f t="shared" si="1"/>
        <v>#REF!</v>
      </c>
      <c r="CH22" s="7" t="e">
        <f t="shared" si="1"/>
        <v>#REF!</v>
      </c>
      <c r="CI22" s="7" t="e">
        <f t="shared" si="1"/>
        <v>#REF!</v>
      </c>
      <c r="CJ22" s="7" t="e">
        <f t="shared" si="1"/>
        <v>#REF!</v>
      </c>
      <c r="CK22" s="7" t="e">
        <f t="shared" si="1"/>
        <v>#REF!</v>
      </c>
      <c r="CL22" s="7" t="e">
        <f t="shared" si="1"/>
        <v>#REF!</v>
      </c>
      <c r="CM22" s="7" t="e">
        <f t="shared" si="1"/>
        <v>#REF!</v>
      </c>
      <c r="CN22" s="7" t="e">
        <f t="shared" si="1"/>
        <v>#REF!</v>
      </c>
      <c r="CO22" s="7" t="e">
        <f t="shared" si="1"/>
        <v>#REF!</v>
      </c>
      <c r="CP22" s="7" t="e">
        <f t="shared" si="1"/>
        <v>#REF!</v>
      </c>
      <c r="CQ22" s="7" t="e">
        <f t="shared" si="1"/>
        <v>#REF!</v>
      </c>
      <c r="CR22" s="7" t="e">
        <f t="shared" si="1"/>
        <v>#REF!</v>
      </c>
      <c r="CS22" s="7" t="e">
        <f t="shared" si="1"/>
        <v>#REF!</v>
      </c>
      <c r="CT22" s="7" t="e">
        <f t="shared" si="1"/>
        <v>#REF!</v>
      </c>
      <c r="CU22" s="7" t="e">
        <f t="shared" si="1"/>
        <v>#REF!</v>
      </c>
      <c r="CV22" s="7" t="e">
        <f t="shared" si="1"/>
        <v>#REF!</v>
      </c>
      <c r="CW22" s="7" t="e">
        <f t="shared" si="1"/>
        <v>#REF!</v>
      </c>
      <c r="CX22" s="7" t="e">
        <f t="shared" si="1"/>
        <v>#REF!</v>
      </c>
      <c r="CY22" s="7" t="e">
        <f t="shared" si="1"/>
        <v>#REF!</v>
      </c>
      <c r="CZ22" s="7" t="e">
        <f t="shared" si="1"/>
        <v>#REF!</v>
      </c>
      <c r="DA22" s="7" t="e">
        <f t="shared" si="1"/>
        <v>#REF!</v>
      </c>
      <c r="DB22" s="7" t="e">
        <f t="shared" si="1"/>
        <v>#REF!</v>
      </c>
      <c r="DC22" s="7" t="e">
        <f t="shared" si="1"/>
        <v>#REF!</v>
      </c>
      <c r="DD22" s="7" t="e">
        <f t="shared" si="1"/>
        <v>#REF!</v>
      </c>
      <c r="DE22" s="7" t="e">
        <f t="shared" si="1"/>
        <v>#REF!</v>
      </c>
      <c r="DF22" s="7" t="e">
        <f t="shared" si="1"/>
        <v>#REF!</v>
      </c>
      <c r="DG22" s="7" t="e">
        <f t="shared" si="1"/>
        <v>#REF!</v>
      </c>
      <c r="DH22" s="7" t="e">
        <f t="shared" si="1"/>
        <v>#REF!</v>
      </c>
      <c r="DI22" s="7" t="e">
        <f t="shared" si="1"/>
        <v>#REF!</v>
      </c>
      <c r="DJ22" s="7" t="e">
        <f t="shared" si="1"/>
        <v>#REF!</v>
      </c>
      <c r="DK22" s="7" t="e">
        <f t="shared" si="1"/>
        <v>#REF!</v>
      </c>
      <c r="DL22" s="7" t="e">
        <f t="shared" si="1"/>
        <v>#REF!</v>
      </c>
      <c r="DM22" s="7" t="e">
        <f t="shared" si="1"/>
        <v>#REF!</v>
      </c>
      <c r="DN22" s="7" t="e">
        <f t="shared" si="1"/>
        <v>#REF!</v>
      </c>
      <c r="DO22" s="7" t="e">
        <f t="shared" si="1"/>
        <v>#REF!</v>
      </c>
      <c r="DP22" s="7" t="e">
        <f t="shared" si="1"/>
        <v>#REF!</v>
      </c>
      <c r="DQ22" s="7" t="e">
        <f t="shared" si="1"/>
        <v>#REF!</v>
      </c>
      <c r="DR22" s="7" t="e">
        <f t="shared" si="1"/>
        <v>#REF!</v>
      </c>
      <c r="DS22" s="7" t="e">
        <f t="shared" si="1"/>
        <v>#REF!</v>
      </c>
      <c r="DT22" s="7" t="e">
        <f t="shared" si="1"/>
        <v>#REF!</v>
      </c>
      <c r="DU22" s="7" t="e">
        <f t="shared" si="1"/>
        <v>#REF!</v>
      </c>
      <c r="DV22" s="7" t="e">
        <f t="shared" si="1"/>
        <v>#REF!</v>
      </c>
      <c r="DW22" s="7" t="e">
        <f t="shared" si="1"/>
        <v>#REF!</v>
      </c>
      <c r="DX22" s="7" t="e">
        <f t="shared" si="1"/>
        <v>#REF!</v>
      </c>
      <c r="DY22" s="7" t="e">
        <f t="shared" si="1"/>
        <v>#REF!</v>
      </c>
      <c r="DZ22" s="7" t="e">
        <f t="shared" si="1"/>
        <v>#REF!</v>
      </c>
      <c r="EA22" s="7" t="e">
        <f t="shared" ref="EA22:GL22" si="2">AVERAGE(EA13:EA20)-AVERAGE(EA4:EA12)</f>
        <v>#REF!</v>
      </c>
      <c r="EB22" s="7" t="e">
        <f t="shared" si="2"/>
        <v>#REF!</v>
      </c>
      <c r="EC22" s="7" t="e">
        <f t="shared" si="2"/>
        <v>#REF!</v>
      </c>
      <c r="ED22" s="7" t="e">
        <f t="shared" si="2"/>
        <v>#REF!</v>
      </c>
      <c r="EE22" s="7" t="e">
        <f t="shared" si="2"/>
        <v>#REF!</v>
      </c>
      <c r="EF22" s="7" t="e">
        <f t="shared" si="2"/>
        <v>#REF!</v>
      </c>
      <c r="EG22" s="7" t="e">
        <f t="shared" si="2"/>
        <v>#REF!</v>
      </c>
      <c r="EH22" s="7" t="e">
        <f t="shared" si="2"/>
        <v>#REF!</v>
      </c>
      <c r="EI22" s="7" t="e">
        <f t="shared" si="2"/>
        <v>#REF!</v>
      </c>
      <c r="EJ22" s="7" t="e">
        <f t="shared" si="2"/>
        <v>#REF!</v>
      </c>
      <c r="EK22" s="7" t="e">
        <f t="shared" si="2"/>
        <v>#REF!</v>
      </c>
      <c r="EL22" s="7" t="e">
        <f t="shared" si="2"/>
        <v>#REF!</v>
      </c>
      <c r="EM22" s="7" t="e">
        <f t="shared" si="2"/>
        <v>#REF!</v>
      </c>
      <c r="EN22" s="7" t="e">
        <f t="shared" si="2"/>
        <v>#REF!</v>
      </c>
      <c r="EO22" s="7" t="e">
        <f t="shared" si="2"/>
        <v>#REF!</v>
      </c>
      <c r="EP22" s="7" t="e">
        <f t="shared" si="2"/>
        <v>#REF!</v>
      </c>
      <c r="EQ22" s="7" t="e">
        <f t="shared" si="2"/>
        <v>#REF!</v>
      </c>
      <c r="ER22" s="7" t="e">
        <f t="shared" si="2"/>
        <v>#REF!</v>
      </c>
      <c r="ES22" s="7" t="e">
        <f t="shared" si="2"/>
        <v>#REF!</v>
      </c>
      <c r="ET22" s="7" t="e">
        <f t="shared" si="2"/>
        <v>#REF!</v>
      </c>
      <c r="EU22" s="7" t="e">
        <f t="shared" si="2"/>
        <v>#REF!</v>
      </c>
      <c r="EV22" s="7" t="e">
        <f t="shared" si="2"/>
        <v>#REF!</v>
      </c>
      <c r="EW22" s="7" t="e">
        <f t="shared" si="2"/>
        <v>#REF!</v>
      </c>
      <c r="EX22" s="7" t="e">
        <f t="shared" si="2"/>
        <v>#REF!</v>
      </c>
      <c r="EY22" s="7" t="e">
        <f t="shared" si="2"/>
        <v>#REF!</v>
      </c>
      <c r="EZ22" s="7" t="e">
        <f t="shared" si="2"/>
        <v>#REF!</v>
      </c>
      <c r="FA22" s="7" t="e">
        <f t="shared" si="2"/>
        <v>#REF!</v>
      </c>
      <c r="FB22" s="7" t="e">
        <f t="shared" si="2"/>
        <v>#REF!</v>
      </c>
      <c r="FC22" s="7" t="e">
        <f t="shared" si="2"/>
        <v>#REF!</v>
      </c>
      <c r="FD22" s="7" t="e">
        <f t="shared" si="2"/>
        <v>#REF!</v>
      </c>
      <c r="FE22" s="7" t="e">
        <f t="shared" si="2"/>
        <v>#REF!</v>
      </c>
      <c r="FF22" s="7" t="e">
        <f t="shared" si="2"/>
        <v>#REF!</v>
      </c>
      <c r="FG22" s="7" t="e">
        <f t="shared" si="2"/>
        <v>#REF!</v>
      </c>
      <c r="FH22" s="7" t="e">
        <f t="shared" si="2"/>
        <v>#REF!</v>
      </c>
      <c r="FI22" s="7" t="e">
        <f t="shared" si="2"/>
        <v>#REF!</v>
      </c>
      <c r="FJ22" s="7" t="e">
        <f t="shared" si="2"/>
        <v>#REF!</v>
      </c>
      <c r="FK22" s="7" t="e">
        <f t="shared" si="2"/>
        <v>#REF!</v>
      </c>
      <c r="FL22" s="7" t="e">
        <f t="shared" si="2"/>
        <v>#REF!</v>
      </c>
      <c r="FM22" s="7" t="e">
        <f t="shared" si="2"/>
        <v>#REF!</v>
      </c>
      <c r="FN22" s="7" t="e">
        <f t="shared" si="2"/>
        <v>#REF!</v>
      </c>
      <c r="FO22" s="7" t="e">
        <f t="shared" si="2"/>
        <v>#REF!</v>
      </c>
      <c r="FP22" s="7" t="e">
        <f t="shared" si="2"/>
        <v>#REF!</v>
      </c>
      <c r="FQ22" s="7" t="e">
        <f t="shared" si="2"/>
        <v>#REF!</v>
      </c>
      <c r="FR22" s="7" t="e">
        <f t="shared" si="2"/>
        <v>#REF!</v>
      </c>
      <c r="FS22" s="7" t="e">
        <f t="shared" si="2"/>
        <v>#REF!</v>
      </c>
      <c r="FT22" s="7" t="e">
        <f t="shared" si="2"/>
        <v>#REF!</v>
      </c>
      <c r="FU22" s="7" t="e">
        <f t="shared" si="2"/>
        <v>#REF!</v>
      </c>
      <c r="FV22" s="7" t="e">
        <f t="shared" si="2"/>
        <v>#REF!</v>
      </c>
      <c r="FW22" s="7" t="e">
        <f t="shared" si="2"/>
        <v>#REF!</v>
      </c>
      <c r="FX22" s="7" t="e">
        <f t="shared" si="2"/>
        <v>#REF!</v>
      </c>
      <c r="FY22" s="7" t="e">
        <f t="shared" si="2"/>
        <v>#REF!</v>
      </c>
      <c r="FZ22" s="7" t="e">
        <f t="shared" si="2"/>
        <v>#REF!</v>
      </c>
      <c r="GA22" s="7" t="e">
        <f t="shared" si="2"/>
        <v>#REF!</v>
      </c>
      <c r="GB22" s="7" t="e">
        <f t="shared" si="2"/>
        <v>#REF!</v>
      </c>
      <c r="GC22" s="7" t="e">
        <f t="shared" si="2"/>
        <v>#REF!</v>
      </c>
      <c r="GD22" s="7" t="e">
        <f t="shared" si="2"/>
        <v>#REF!</v>
      </c>
      <c r="GE22" s="7" t="e">
        <f t="shared" si="2"/>
        <v>#REF!</v>
      </c>
      <c r="GF22" s="7" t="e">
        <f t="shared" si="2"/>
        <v>#REF!</v>
      </c>
      <c r="GG22" s="7" t="e">
        <f t="shared" si="2"/>
        <v>#REF!</v>
      </c>
      <c r="GH22" s="7" t="e">
        <f t="shared" si="2"/>
        <v>#REF!</v>
      </c>
      <c r="GI22" s="7" t="e">
        <f t="shared" si="2"/>
        <v>#REF!</v>
      </c>
      <c r="GJ22" s="7" t="e">
        <f t="shared" si="2"/>
        <v>#REF!</v>
      </c>
      <c r="GK22" s="7" t="e">
        <f t="shared" si="2"/>
        <v>#REF!</v>
      </c>
      <c r="GL22" s="7" t="e">
        <f t="shared" si="2"/>
        <v>#REF!</v>
      </c>
      <c r="GM22" s="7" t="e">
        <f t="shared" ref="GM22:IX22" si="3">AVERAGE(GM13:GM20)-AVERAGE(GM4:GM12)</f>
        <v>#REF!</v>
      </c>
      <c r="GN22" s="7" t="e">
        <f t="shared" si="3"/>
        <v>#REF!</v>
      </c>
      <c r="GO22" s="7" t="e">
        <f t="shared" si="3"/>
        <v>#REF!</v>
      </c>
      <c r="GP22" s="7" t="e">
        <f t="shared" si="3"/>
        <v>#REF!</v>
      </c>
      <c r="GQ22" s="7" t="e">
        <f t="shared" si="3"/>
        <v>#REF!</v>
      </c>
      <c r="GR22" s="7" t="e">
        <f t="shared" si="3"/>
        <v>#REF!</v>
      </c>
      <c r="GS22" s="7" t="e">
        <f t="shared" si="3"/>
        <v>#REF!</v>
      </c>
      <c r="GT22" s="7" t="e">
        <f t="shared" si="3"/>
        <v>#REF!</v>
      </c>
      <c r="GU22" s="7" t="e">
        <f t="shared" si="3"/>
        <v>#REF!</v>
      </c>
      <c r="GV22" s="7" t="e">
        <f t="shared" si="3"/>
        <v>#REF!</v>
      </c>
      <c r="GW22" s="7" t="e">
        <f t="shared" si="3"/>
        <v>#REF!</v>
      </c>
      <c r="GX22" s="7" t="e">
        <f t="shared" si="3"/>
        <v>#REF!</v>
      </c>
      <c r="GY22" s="7" t="e">
        <f t="shared" si="3"/>
        <v>#REF!</v>
      </c>
      <c r="GZ22" s="7" t="e">
        <f t="shared" si="3"/>
        <v>#REF!</v>
      </c>
      <c r="HA22" s="7" t="e">
        <f t="shared" si="3"/>
        <v>#REF!</v>
      </c>
      <c r="HB22" s="7" t="e">
        <f t="shared" si="3"/>
        <v>#REF!</v>
      </c>
      <c r="HC22" s="7" t="e">
        <f t="shared" si="3"/>
        <v>#REF!</v>
      </c>
      <c r="HD22" s="7" t="e">
        <f t="shared" si="3"/>
        <v>#REF!</v>
      </c>
      <c r="HE22" s="7" t="e">
        <f t="shared" si="3"/>
        <v>#REF!</v>
      </c>
      <c r="HF22" s="7" t="e">
        <f t="shared" si="3"/>
        <v>#REF!</v>
      </c>
      <c r="HG22" s="7" t="e">
        <f t="shared" si="3"/>
        <v>#REF!</v>
      </c>
      <c r="HH22" s="7" t="e">
        <f t="shared" si="3"/>
        <v>#REF!</v>
      </c>
      <c r="HI22" s="7" t="e">
        <f t="shared" si="3"/>
        <v>#REF!</v>
      </c>
      <c r="HJ22" s="7" t="e">
        <f t="shared" si="3"/>
        <v>#REF!</v>
      </c>
      <c r="HK22" s="7" t="e">
        <f t="shared" si="3"/>
        <v>#REF!</v>
      </c>
      <c r="HL22" s="7" t="e">
        <f t="shared" si="3"/>
        <v>#REF!</v>
      </c>
      <c r="HM22" s="7" t="e">
        <f t="shared" si="3"/>
        <v>#REF!</v>
      </c>
      <c r="HN22" s="7" t="e">
        <f t="shared" si="3"/>
        <v>#REF!</v>
      </c>
      <c r="HO22" s="7" t="e">
        <f t="shared" si="3"/>
        <v>#REF!</v>
      </c>
      <c r="HP22" s="7" t="e">
        <f t="shared" si="3"/>
        <v>#REF!</v>
      </c>
      <c r="HQ22" s="7" t="e">
        <f t="shared" si="3"/>
        <v>#REF!</v>
      </c>
      <c r="HR22" s="7" t="e">
        <f t="shared" si="3"/>
        <v>#REF!</v>
      </c>
      <c r="HS22" s="7" t="e">
        <f t="shared" si="3"/>
        <v>#REF!</v>
      </c>
      <c r="HT22" s="7" t="e">
        <f t="shared" si="3"/>
        <v>#REF!</v>
      </c>
      <c r="HU22" s="7" t="e">
        <f t="shared" si="3"/>
        <v>#REF!</v>
      </c>
      <c r="HV22" s="7" t="e">
        <f t="shared" si="3"/>
        <v>#REF!</v>
      </c>
      <c r="HW22" s="7" t="e">
        <f t="shared" si="3"/>
        <v>#REF!</v>
      </c>
      <c r="HX22" s="7" t="e">
        <f t="shared" si="3"/>
        <v>#REF!</v>
      </c>
      <c r="HY22" s="7" t="e">
        <f t="shared" si="3"/>
        <v>#REF!</v>
      </c>
      <c r="HZ22" s="7" t="e">
        <f t="shared" si="3"/>
        <v>#REF!</v>
      </c>
      <c r="IA22" s="7" t="e">
        <f t="shared" si="3"/>
        <v>#REF!</v>
      </c>
      <c r="IB22" s="7" t="e">
        <f t="shared" si="3"/>
        <v>#REF!</v>
      </c>
      <c r="IC22" s="7" t="e">
        <f t="shared" si="3"/>
        <v>#REF!</v>
      </c>
      <c r="ID22" s="7" t="e">
        <f t="shared" si="3"/>
        <v>#REF!</v>
      </c>
      <c r="IE22" s="7" t="e">
        <f t="shared" si="3"/>
        <v>#REF!</v>
      </c>
      <c r="IF22" s="7" t="e">
        <f t="shared" si="3"/>
        <v>#REF!</v>
      </c>
      <c r="IG22" s="7" t="e">
        <f t="shared" si="3"/>
        <v>#REF!</v>
      </c>
      <c r="IH22" s="7" t="e">
        <f t="shared" si="3"/>
        <v>#REF!</v>
      </c>
      <c r="II22" s="7" t="e">
        <f t="shared" si="3"/>
        <v>#REF!</v>
      </c>
      <c r="IJ22" s="7" t="e">
        <f t="shared" si="3"/>
        <v>#REF!</v>
      </c>
      <c r="IK22" s="7" t="e">
        <f t="shared" si="3"/>
        <v>#REF!</v>
      </c>
      <c r="IL22" s="7" t="e">
        <f t="shared" si="3"/>
        <v>#REF!</v>
      </c>
      <c r="IM22" s="7" t="e">
        <f t="shared" si="3"/>
        <v>#REF!</v>
      </c>
      <c r="IN22" s="7" t="e">
        <f t="shared" si="3"/>
        <v>#REF!</v>
      </c>
      <c r="IO22" s="7" t="e">
        <f t="shared" si="3"/>
        <v>#REF!</v>
      </c>
      <c r="IP22" s="7" t="e">
        <f t="shared" si="3"/>
        <v>#REF!</v>
      </c>
      <c r="IQ22" s="7" t="e">
        <f t="shared" si="3"/>
        <v>#REF!</v>
      </c>
      <c r="IR22" s="7" t="e">
        <f t="shared" si="3"/>
        <v>#REF!</v>
      </c>
      <c r="IS22" s="7" t="e">
        <f t="shared" si="3"/>
        <v>#REF!</v>
      </c>
      <c r="IT22" s="7" t="e">
        <f t="shared" si="3"/>
        <v>#REF!</v>
      </c>
      <c r="IU22" s="7" t="e">
        <f t="shared" si="3"/>
        <v>#REF!</v>
      </c>
      <c r="IV22" s="7" t="e">
        <f t="shared" si="3"/>
        <v>#REF!</v>
      </c>
      <c r="IW22" s="7" t="e">
        <f t="shared" si="3"/>
        <v>#REF!</v>
      </c>
      <c r="IX22" s="7" t="e">
        <f t="shared" si="3"/>
        <v>#REF!</v>
      </c>
      <c r="IY22" s="7" t="e">
        <f t="shared" ref="IY22:LJ22" si="4">AVERAGE(IY13:IY20)-AVERAGE(IY4:IY12)</f>
        <v>#REF!</v>
      </c>
      <c r="IZ22" s="7" t="e">
        <f t="shared" si="4"/>
        <v>#REF!</v>
      </c>
      <c r="JA22" s="7" t="e">
        <f t="shared" si="4"/>
        <v>#REF!</v>
      </c>
      <c r="JB22" s="7" t="e">
        <f t="shared" si="4"/>
        <v>#REF!</v>
      </c>
      <c r="JC22" s="7" t="e">
        <f t="shared" si="4"/>
        <v>#REF!</v>
      </c>
      <c r="JD22" s="7" t="e">
        <f t="shared" si="4"/>
        <v>#REF!</v>
      </c>
      <c r="JE22" s="7" t="e">
        <f t="shared" si="4"/>
        <v>#REF!</v>
      </c>
      <c r="JF22" s="7" t="e">
        <f t="shared" si="4"/>
        <v>#REF!</v>
      </c>
      <c r="JG22" s="7" t="e">
        <f t="shared" si="4"/>
        <v>#REF!</v>
      </c>
      <c r="JH22" s="7" t="e">
        <f t="shared" si="4"/>
        <v>#REF!</v>
      </c>
      <c r="JI22" s="7" t="e">
        <f t="shared" si="4"/>
        <v>#REF!</v>
      </c>
      <c r="JJ22" s="7" t="e">
        <f t="shared" si="4"/>
        <v>#REF!</v>
      </c>
      <c r="JK22" s="7" t="e">
        <f t="shared" si="4"/>
        <v>#REF!</v>
      </c>
      <c r="JL22" s="7" t="e">
        <f t="shared" si="4"/>
        <v>#REF!</v>
      </c>
      <c r="JM22" s="7" t="e">
        <f t="shared" si="4"/>
        <v>#REF!</v>
      </c>
      <c r="JN22" s="7" t="e">
        <f t="shared" si="4"/>
        <v>#REF!</v>
      </c>
      <c r="JO22" s="7" t="e">
        <f t="shared" si="4"/>
        <v>#REF!</v>
      </c>
      <c r="JP22" s="7" t="e">
        <f t="shared" si="4"/>
        <v>#REF!</v>
      </c>
      <c r="JQ22" s="7" t="e">
        <f t="shared" si="4"/>
        <v>#REF!</v>
      </c>
      <c r="JR22" s="7" t="e">
        <f t="shared" si="4"/>
        <v>#REF!</v>
      </c>
      <c r="JS22" s="7" t="e">
        <f t="shared" si="4"/>
        <v>#REF!</v>
      </c>
      <c r="JT22" s="7" t="e">
        <f t="shared" si="4"/>
        <v>#REF!</v>
      </c>
      <c r="JU22" s="7" t="e">
        <f t="shared" si="4"/>
        <v>#REF!</v>
      </c>
      <c r="JV22" s="7" t="e">
        <f t="shared" si="4"/>
        <v>#REF!</v>
      </c>
      <c r="JW22" s="7" t="e">
        <f t="shared" si="4"/>
        <v>#REF!</v>
      </c>
      <c r="JX22" s="7" t="e">
        <f t="shared" si="4"/>
        <v>#REF!</v>
      </c>
      <c r="JY22" s="7" t="e">
        <f t="shared" si="4"/>
        <v>#REF!</v>
      </c>
      <c r="JZ22" s="7" t="e">
        <f t="shared" si="4"/>
        <v>#REF!</v>
      </c>
      <c r="KA22" s="7" t="e">
        <f t="shared" si="4"/>
        <v>#REF!</v>
      </c>
      <c r="KB22" s="7" t="e">
        <f t="shared" si="4"/>
        <v>#REF!</v>
      </c>
      <c r="KC22" s="7" t="e">
        <f t="shared" si="4"/>
        <v>#REF!</v>
      </c>
      <c r="KD22" s="7" t="e">
        <f t="shared" si="4"/>
        <v>#REF!</v>
      </c>
      <c r="KE22" s="7" t="e">
        <f t="shared" si="4"/>
        <v>#REF!</v>
      </c>
      <c r="KF22" s="7" t="e">
        <f t="shared" si="4"/>
        <v>#REF!</v>
      </c>
      <c r="KG22" s="7" t="e">
        <f t="shared" si="4"/>
        <v>#REF!</v>
      </c>
      <c r="KH22" s="7" t="e">
        <f t="shared" si="4"/>
        <v>#REF!</v>
      </c>
      <c r="KI22" s="7" t="e">
        <f t="shared" si="4"/>
        <v>#REF!</v>
      </c>
      <c r="KJ22" s="7" t="e">
        <f t="shared" si="4"/>
        <v>#REF!</v>
      </c>
      <c r="KK22" s="7" t="e">
        <f t="shared" si="4"/>
        <v>#REF!</v>
      </c>
      <c r="KL22" s="7" t="e">
        <f t="shared" si="4"/>
        <v>#REF!</v>
      </c>
      <c r="KM22" s="7" t="e">
        <f t="shared" si="4"/>
        <v>#REF!</v>
      </c>
      <c r="KN22" s="7" t="e">
        <f t="shared" si="4"/>
        <v>#REF!</v>
      </c>
      <c r="KO22" s="7" t="e">
        <f t="shared" si="4"/>
        <v>#REF!</v>
      </c>
      <c r="KP22" s="7" t="e">
        <f t="shared" si="4"/>
        <v>#REF!</v>
      </c>
      <c r="KQ22" s="7" t="e">
        <f t="shared" si="4"/>
        <v>#REF!</v>
      </c>
      <c r="KR22" s="7" t="e">
        <f t="shared" si="4"/>
        <v>#REF!</v>
      </c>
      <c r="KS22" s="7" t="e">
        <f t="shared" si="4"/>
        <v>#REF!</v>
      </c>
      <c r="KT22" s="7" t="e">
        <f t="shared" si="4"/>
        <v>#REF!</v>
      </c>
      <c r="KU22" s="7" t="e">
        <f t="shared" si="4"/>
        <v>#REF!</v>
      </c>
      <c r="KV22" s="7" t="e">
        <f t="shared" si="4"/>
        <v>#REF!</v>
      </c>
      <c r="KW22" s="7" t="e">
        <f t="shared" si="4"/>
        <v>#REF!</v>
      </c>
      <c r="KX22" s="7" t="e">
        <f t="shared" si="4"/>
        <v>#REF!</v>
      </c>
      <c r="KY22" s="7" t="e">
        <f t="shared" si="4"/>
        <v>#REF!</v>
      </c>
      <c r="KZ22" s="7" t="e">
        <f t="shared" si="4"/>
        <v>#REF!</v>
      </c>
      <c r="LA22" s="7" t="e">
        <f t="shared" si="4"/>
        <v>#REF!</v>
      </c>
      <c r="LB22" s="7" t="e">
        <f t="shared" si="4"/>
        <v>#REF!</v>
      </c>
      <c r="LC22" s="7" t="e">
        <f t="shared" si="4"/>
        <v>#REF!</v>
      </c>
      <c r="LD22" s="7" t="e">
        <f t="shared" si="4"/>
        <v>#REF!</v>
      </c>
      <c r="LE22" s="7" t="e">
        <f t="shared" si="4"/>
        <v>#REF!</v>
      </c>
      <c r="LF22" s="7" t="e">
        <f t="shared" si="4"/>
        <v>#REF!</v>
      </c>
      <c r="LG22" s="7" t="e">
        <f t="shared" si="4"/>
        <v>#REF!</v>
      </c>
      <c r="LH22" s="7" t="e">
        <f t="shared" si="4"/>
        <v>#REF!</v>
      </c>
      <c r="LI22" s="7" t="e">
        <f t="shared" si="4"/>
        <v>#REF!</v>
      </c>
      <c r="LJ22" s="7" t="e">
        <f t="shared" si="4"/>
        <v>#REF!</v>
      </c>
      <c r="LK22" s="7" t="e">
        <f t="shared" ref="LK22:NV22" si="5">AVERAGE(LK13:LK20)-AVERAGE(LK4:LK12)</f>
        <v>#REF!</v>
      </c>
      <c r="LL22" s="7" t="e">
        <f t="shared" si="5"/>
        <v>#REF!</v>
      </c>
      <c r="LM22" s="7" t="e">
        <f t="shared" si="5"/>
        <v>#REF!</v>
      </c>
      <c r="LN22" s="7" t="e">
        <f t="shared" si="5"/>
        <v>#REF!</v>
      </c>
      <c r="LO22" s="7" t="e">
        <f t="shared" si="5"/>
        <v>#REF!</v>
      </c>
      <c r="LP22" s="7" t="e">
        <f t="shared" si="5"/>
        <v>#REF!</v>
      </c>
      <c r="LQ22" s="7" t="e">
        <f t="shared" si="5"/>
        <v>#REF!</v>
      </c>
      <c r="LR22" s="7" t="e">
        <f t="shared" si="5"/>
        <v>#REF!</v>
      </c>
      <c r="LS22" s="7" t="e">
        <f t="shared" si="5"/>
        <v>#REF!</v>
      </c>
      <c r="LT22" s="7" t="e">
        <f t="shared" si="5"/>
        <v>#REF!</v>
      </c>
      <c r="LU22" s="7" t="e">
        <f t="shared" si="5"/>
        <v>#REF!</v>
      </c>
      <c r="LV22" s="7" t="e">
        <f t="shared" si="5"/>
        <v>#REF!</v>
      </c>
      <c r="LW22" s="7" t="e">
        <f t="shared" si="5"/>
        <v>#REF!</v>
      </c>
      <c r="LX22" s="7" t="e">
        <f t="shared" si="5"/>
        <v>#REF!</v>
      </c>
      <c r="LY22" s="7" t="e">
        <f t="shared" si="5"/>
        <v>#REF!</v>
      </c>
      <c r="LZ22" s="7" t="e">
        <f t="shared" si="5"/>
        <v>#REF!</v>
      </c>
      <c r="MA22" s="7" t="e">
        <f t="shared" si="5"/>
        <v>#REF!</v>
      </c>
      <c r="MB22" s="7" t="e">
        <f t="shared" si="5"/>
        <v>#REF!</v>
      </c>
      <c r="MC22" s="7" t="e">
        <f t="shared" si="5"/>
        <v>#REF!</v>
      </c>
      <c r="MD22" s="7" t="e">
        <f t="shared" si="5"/>
        <v>#REF!</v>
      </c>
      <c r="ME22" s="7" t="e">
        <f t="shared" si="5"/>
        <v>#REF!</v>
      </c>
      <c r="MF22" s="7" t="e">
        <f t="shared" si="5"/>
        <v>#REF!</v>
      </c>
      <c r="MG22" s="7" t="e">
        <f t="shared" si="5"/>
        <v>#REF!</v>
      </c>
      <c r="MH22" s="7" t="e">
        <f t="shared" si="5"/>
        <v>#REF!</v>
      </c>
      <c r="MI22" s="7" t="e">
        <f t="shared" si="5"/>
        <v>#REF!</v>
      </c>
      <c r="MJ22" s="7" t="e">
        <f t="shared" si="5"/>
        <v>#REF!</v>
      </c>
      <c r="MK22" s="7" t="e">
        <f t="shared" si="5"/>
        <v>#REF!</v>
      </c>
      <c r="ML22" s="7" t="e">
        <f t="shared" si="5"/>
        <v>#REF!</v>
      </c>
      <c r="MM22" s="7" t="e">
        <f t="shared" si="5"/>
        <v>#REF!</v>
      </c>
      <c r="MN22" s="7" t="e">
        <f t="shared" si="5"/>
        <v>#REF!</v>
      </c>
      <c r="MO22" s="7" t="e">
        <f t="shared" si="5"/>
        <v>#REF!</v>
      </c>
      <c r="MP22" s="7" t="e">
        <f t="shared" si="5"/>
        <v>#REF!</v>
      </c>
      <c r="MQ22" s="7" t="e">
        <f t="shared" si="5"/>
        <v>#REF!</v>
      </c>
      <c r="MR22" s="7" t="e">
        <f t="shared" si="5"/>
        <v>#REF!</v>
      </c>
      <c r="MS22" s="7" t="e">
        <f t="shared" si="5"/>
        <v>#REF!</v>
      </c>
      <c r="MT22" s="7" t="e">
        <f t="shared" si="5"/>
        <v>#REF!</v>
      </c>
      <c r="MU22" s="7" t="e">
        <f t="shared" si="5"/>
        <v>#REF!</v>
      </c>
      <c r="MV22" s="7" t="e">
        <f t="shared" si="5"/>
        <v>#REF!</v>
      </c>
      <c r="MW22" s="7" t="e">
        <f t="shared" si="5"/>
        <v>#REF!</v>
      </c>
      <c r="MX22" s="7" t="e">
        <f t="shared" si="5"/>
        <v>#REF!</v>
      </c>
      <c r="MY22" s="7" t="e">
        <f t="shared" si="5"/>
        <v>#REF!</v>
      </c>
      <c r="MZ22" s="7" t="e">
        <f t="shared" si="5"/>
        <v>#REF!</v>
      </c>
      <c r="NA22" s="7" t="e">
        <f t="shared" si="5"/>
        <v>#REF!</v>
      </c>
      <c r="NB22" s="7" t="e">
        <f t="shared" si="5"/>
        <v>#REF!</v>
      </c>
      <c r="NC22" s="7" t="e">
        <f t="shared" si="5"/>
        <v>#REF!</v>
      </c>
      <c r="ND22" s="7" t="e">
        <f t="shared" si="5"/>
        <v>#REF!</v>
      </c>
      <c r="NE22" s="7" t="e">
        <f t="shared" si="5"/>
        <v>#REF!</v>
      </c>
      <c r="NF22" s="7" t="e">
        <f t="shared" si="5"/>
        <v>#REF!</v>
      </c>
      <c r="NG22" s="7" t="e">
        <f t="shared" si="5"/>
        <v>#REF!</v>
      </c>
      <c r="NH22" s="7" t="e">
        <f t="shared" si="5"/>
        <v>#REF!</v>
      </c>
      <c r="NI22" s="7" t="e">
        <f t="shared" si="5"/>
        <v>#REF!</v>
      </c>
      <c r="NJ22" s="7" t="e">
        <f t="shared" si="5"/>
        <v>#REF!</v>
      </c>
      <c r="NK22" s="7" t="e">
        <f t="shared" si="5"/>
        <v>#REF!</v>
      </c>
      <c r="NL22" s="7" t="e">
        <f t="shared" si="5"/>
        <v>#REF!</v>
      </c>
      <c r="NM22" s="7" t="e">
        <f t="shared" si="5"/>
        <v>#REF!</v>
      </c>
      <c r="NN22" s="7" t="e">
        <f t="shared" si="5"/>
        <v>#REF!</v>
      </c>
      <c r="NO22" s="7" t="e">
        <f t="shared" si="5"/>
        <v>#REF!</v>
      </c>
      <c r="NP22" s="7" t="e">
        <f t="shared" si="5"/>
        <v>#REF!</v>
      </c>
      <c r="NQ22" s="7" t="e">
        <f t="shared" si="5"/>
        <v>#REF!</v>
      </c>
      <c r="NR22" s="7" t="e">
        <f t="shared" si="5"/>
        <v>#REF!</v>
      </c>
      <c r="NS22" s="7" t="e">
        <f t="shared" si="5"/>
        <v>#REF!</v>
      </c>
      <c r="NT22" s="7" t="e">
        <f t="shared" si="5"/>
        <v>#REF!</v>
      </c>
      <c r="NU22" s="7" t="e">
        <f t="shared" si="5"/>
        <v>#REF!</v>
      </c>
      <c r="NV22" s="7" t="e">
        <f t="shared" si="5"/>
        <v>#REF!</v>
      </c>
      <c r="NW22" s="7" t="e">
        <f t="shared" ref="NW22:QH22" si="6">AVERAGE(NW13:NW20)-AVERAGE(NW4:NW12)</f>
        <v>#REF!</v>
      </c>
      <c r="NX22" s="7" t="e">
        <f t="shared" si="6"/>
        <v>#REF!</v>
      </c>
      <c r="NY22" s="7" t="e">
        <f t="shared" si="6"/>
        <v>#REF!</v>
      </c>
      <c r="NZ22" s="7" t="e">
        <f t="shared" si="6"/>
        <v>#REF!</v>
      </c>
      <c r="OA22" s="7" t="e">
        <f t="shared" si="6"/>
        <v>#REF!</v>
      </c>
      <c r="OB22" s="7" t="e">
        <f t="shared" si="6"/>
        <v>#REF!</v>
      </c>
      <c r="OC22" s="7" t="e">
        <f t="shared" si="6"/>
        <v>#REF!</v>
      </c>
      <c r="OD22" s="7" t="e">
        <f t="shared" si="6"/>
        <v>#REF!</v>
      </c>
      <c r="OE22" s="7" t="e">
        <f t="shared" si="6"/>
        <v>#REF!</v>
      </c>
      <c r="OF22" s="7" t="e">
        <f t="shared" si="6"/>
        <v>#REF!</v>
      </c>
      <c r="OG22" s="7" t="e">
        <f t="shared" si="6"/>
        <v>#REF!</v>
      </c>
      <c r="OH22" s="7" t="e">
        <f t="shared" si="6"/>
        <v>#REF!</v>
      </c>
      <c r="OI22" s="7" t="e">
        <f t="shared" si="6"/>
        <v>#REF!</v>
      </c>
      <c r="OJ22" s="7" t="e">
        <f t="shared" si="6"/>
        <v>#REF!</v>
      </c>
      <c r="OK22" s="7" t="e">
        <f t="shared" si="6"/>
        <v>#REF!</v>
      </c>
      <c r="OL22" s="7" t="e">
        <f t="shared" si="6"/>
        <v>#REF!</v>
      </c>
      <c r="OM22" s="7" t="e">
        <f t="shared" si="6"/>
        <v>#REF!</v>
      </c>
      <c r="ON22" s="7" t="e">
        <f t="shared" si="6"/>
        <v>#REF!</v>
      </c>
      <c r="OO22" s="7" t="e">
        <f t="shared" si="6"/>
        <v>#REF!</v>
      </c>
      <c r="OP22" s="7" t="e">
        <f t="shared" si="6"/>
        <v>#REF!</v>
      </c>
      <c r="OQ22" s="7" t="e">
        <f t="shared" si="6"/>
        <v>#REF!</v>
      </c>
      <c r="OR22" s="7" t="e">
        <f t="shared" si="6"/>
        <v>#REF!</v>
      </c>
      <c r="OS22" s="7" t="e">
        <f t="shared" si="6"/>
        <v>#REF!</v>
      </c>
      <c r="OT22" s="7" t="e">
        <f t="shared" si="6"/>
        <v>#REF!</v>
      </c>
      <c r="OU22" s="7" t="e">
        <f t="shared" si="6"/>
        <v>#REF!</v>
      </c>
      <c r="OV22" s="7" t="e">
        <f t="shared" si="6"/>
        <v>#REF!</v>
      </c>
      <c r="OW22" s="7" t="e">
        <f t="shared" si="6"/>
        <v>#REF!</v>
      </c>
      <c r="OX22" s="7" t="e">
        <f t="shared" si="6"/>
        <v>#REF!</v>
      </c>
      <c r="OY22" s="7" t="e">
        <f t="shared" si="6"/>
        <v>#REF!</v>
      </c>
      <c r="OZ22" s="7" t="e">
        <f t="shared" si="6"/>
        <v>#REF!</v>
      </c>
      <c r="PA22" s="7" t="e">
        <f t="shared" si="6"/>
        <v>#REF!</v>
      </c>
      <c r="PB22" s="7" t="e">
        <f t="shared" si="6"/>
        <v>#REF!</v>
      </c>
      <c r="PC22" s="7" t="e">
        <f t="shared" si="6"/>
        <v>#REF!</v>
      </c>
      <c r="PD22" s="7" t="e">
        <f t="shared" si="6"/>
        <v>#REF!</v>
      </c>
      <c r="PE22" s="7" t="e">
        <f t="shared" si="6"/>
        <v>#REF!</v>
      </c>
      <c r="PF22" s="7" t="e">
        <f t="shared" si="6"/>
        <v>#REF!</v>
      </c>
      <c r="PG22" s="7" t="e">
        <f t="shared" si="6"/>
        <v>#REF!</v>
      </c>
      <c r="PH22" s="7" t="e">
        <f t="shared" si="6"/>
        <v>#REF!</v>
      </c>
      <c r="PI22" s="7" t="e">
        <f t="shared" si="6"/>
        <v>#REF!</v>
      </c>
      <c r="PJ22" s="7" t="e">
        <f t="shared" si="6"/>
        <v>#REF!</v>
      </c>
      <c r="PK22" s="7" t="e">
        <f t="shared" si="6"/>
        <v>#REF!</v>
      </c>
      <c r="PL22" s="7" t="e">
        <f t="shared" si="6"/>
        <v>#REF!</v>
      </c>
      <c r="PM22" s="7" t="e">
        <f t="shared" si="6"/>
        <v>#REF!</v>
      </c>
      <c r="PN22" s="7" t="e">
        <f t="shared" si="6"/>
        <v>#REF!</v>
      </c>
      <c r="PO22" s="7" t="e">
        <f t="shared" si="6"/>
        <v>#REF!</v>
      </c>
      <c r="PP22" s="7" t="e">
        <f t="shared" si="6"/>
        <v>#REF!</v>
      </c>
      <c r="PQ22" s="7" t="e">
        <f t="shared" si="6"/>
        <v>#REF!</v>
      </c>
      <c r="PR22" s="7" t="e">
        <f t="shared" si="6"/>
        <v>#REF!</v>
      </c>
      <c r="PS22" s="7" t="e">
        <f t="shared" si="6"/>
        <v>#REF!</v>
      </c>
      <c r="PT22" s="7" t="e">
        <f t="shared" si="6"/>
        <v>#REF!</v>
      </c>
      <c r="PU22" s="7" t="e">
        <f t="shared" si="6"/>
        <v>#REF!</v>
      </c>
      <c r="PV22" s="7" t="e">
        <f t="shared" si="6"/>
        <v>#REF!</v>
      </c>
      <c r="PW22" s="7" t="e">
        <f t="shared" si="6"/>
        <v>#REF!</v>
      </c>
      <c r="PX22" s="7" t="e">
        <f t="shared" si="6"/>
        <v>#REF!</v>
      </c>
      <c r="PY22" s="7" t="e">
        <f t="shared" si="6"/>
        <v>#REF!</v>
      </c>
      <c r="PZ22" s="7" t="e">
        <f t="shared" si="6"/>
        <v>#REF!</v>
      </c>
      <c r="QA22" s="7" t="e">
        <f t="shared" si="6"/>
        <v>#REF!</v>
      </c>
      <c r="QB22" s="7" t="e">
        <f t="shared" si="6"/>
        <v>#REF!</v>
      </c>
      <c r="QC22" s="7" t="e">
        <f t="shared" si="6"/>
        <v>#REF!</v>
      </c>
      <c r="QD22" s="7" t="e">
        <f t="shared" si="6"/>
        <v>#REF!</v>
      </c>
      <c r="QE22" s="7" t="e">
        <f t="shared" si="6"/>
        <v>#REF!</v>
      </c>
      <c r="QF22" s="7" t="e">
        <f t="shared" si="6"/>
        <v>#REF!</v>
      </c>
      <c r="QG22" s="7" t="e">
        <f t="shared" si="6"/>
        <v>#REF!</v>
      </c>
      <c r="QH22" s="7" t="e">
        <f t="shared" si="6"/>
        <v>#REF!</v>
      </c>
      <c r="QI22" s="7" t="e">
        <f t="shared" ref="QI22:ST22" si="7">AVERAGE(QI13:QI20)-AVERAGE(QI4:QI12)</f>
        <v>#REF!</v>
      </c>
      <c r="QJ22" s="7" t="e">
        <f t="shared" si="7"/>
        <v>#REF!</v>
      </c>
      <c r="QK22" s="7" t="e">
        <f t="shared" si="7"/>
        <v>#REF!</v>
      </c>
      <c r="QL22" s="7" t="e">
        <f t="shared" si="7"/>
        <v>#REF!</v>
      </c>
      <c r="QM22" s="7" t="e">
        <f t="shared" si="7"/>
        <v>#REF!</v>
      </c>
      <c r="QN22" s="7" t="e">
        <f t="shared" si="7"/>
        <v>#REF!</v>
      </c>
      <c r="QO22" s="7" t="e">
        <f t="shared" si="7"/>
        <v>#REF!</v>
      </c>
      <c r="QP22" s="7" t="e">
        <f t="shared" si="7"/>
        <v>#REF!</v>
      </c>
      <c r="QQ22" s="7" t="e">
        <f t="shared" si="7"/>
        <v>#REF!</v>
      </c>
      <c r="QR22" s="7" t="e">
        <f t="shared" si="7"/>
        <v>#REF!</v>
      </c>
      <c r="QS22" s="7" t="e">
        <f t="shared" si="7"/>
        <v>#REF!</v>
      </c>
      <c r="QT22" s="7" t="e">
        <f t="shared" si="7"/>
        <v>#REF!</v>
      </c>
      <c r="QU22" s="7" t="e">
        <f t="shared" si="7"/>
        <v>#REF!</v>
      </c>
      <c r="QV22" s="7" t="e">
        <f t="shared" si="7"/>
        <v>#REF!</v>
      </c>
      <c r="QW22" s="7" t="e">
        <f t="shared" si="7"/>
        <v>#REF!</v>
      </c>
      <c r="QX22" s="7" t="e">
        <f t="shared" si="7"/>
        <v>#REF!</v>
      </c>
      <c r="QY22" s="7" t="e">
        <f t="shared" si="7"/>
        <v>#REF!</v>
      </c>
      <c r="QZ22" s="7" t="e">
        <f t="shared" si="7"/>
        <v>#REF!</v>
      </c>
      <c r="RA22" s="7" t="e">
        <f t="shared" si="7"/>
        <v>#REF!</v>
      </c>
      <c r="RB22" s="7" t="e">
        <f t="shared" si="7"/>
        <v>#REF!</v>
      </c>
      <c r="RC22" s="7" t="e">
        <f t="shared" si="7"/>
        <v>#REF!</v>
      </c>
      <c r="RD22" s="7" t="e">
        <f t="shared" si="7"/>
        <v>#REF!</v>
      </c>
      <c r="RE22" s="7" t="e">
        <f t="shared" si="7"/>
        <v>#REF!</v>
      </c>
      <c r="RF22" s="7" t="e">
        <f t="shared" si="7"/>
        <v>#REF!</v>
      </c>
      <c r="RG22" s="7" t="e">
        <f t="shared" si="7"/>
        <v>#REF!</v>
      </c>
      <c r="RH22" s="7" t="e">
        <f t="shared" si="7"/>
        <v>#REF!</v>
      </c>
      <c r="RI22" s="7" t="e">
        <f t="shared" si="7"/>
        <v>#REF!</v>
      </c>
      <c r="RJ22" s="7" t="e">
        <f t="shared" si="7"/>
        <v>#REF!</v>
      </c>
      <c r="RK22" s="7" t="e">
        <f t="shared" si="7"/>
        <v>#REF!</v>
      </c>
      <c r="RL22" s="7" t="e">
        <f t="shared" si="7"/>
        <v>#REF!</v>
      </c>
      <c r="RM22" s="7" t="e">
        <f t="shared" si="7"/>
        <v>#REF!</v>
      </c>
      <c r="RN22" s="7" t="e">
        <f t="shared" si="7"/>
        <v>#REF!</v>
      </c>
      <c r="RO22" s="7" t="e">
        <f t="shared" si="7"/>
        <v>#REF!</v>
      </c>
      <c r="RP22" s="7" t="e">
        <f t="shared" si="7"/>
        <v>#REF!</v>
      </c>
      <c r="RQ22" s="7" t="e">
        <f t="shared" si="7"/>
        <v>#REF!</v>
      </c>
      <c r="RR22" s="7" t="e">
        <f t="shared" si="7"/>
        <v>#REF!</v>
      </c>
      <c r="RS22" s="7" t="e">
        <f t="shared" si="7"/>
        <v>#REF!</v>
      </c>
      <c r="RT22" s="7" t="e">
        <f t="shared" si="7"/>
        <v>#REF!</v>
      </c>
      <c r="RU22" s="7" t="e">
        <f t="shared" si="7"/>
        <v>#REF!</v>
      </c>
      <c r="RV22" s="7" t="e">
        <f t="shared" si="7"/>
        <v>#REF!</v>
      </c>
      <c r="RW22" s="7" t="e">
        <f t="shared" si="7"/>
        <v>#REF!</v>
      </c>
      <c r="RX22" s="7" t="e">
        <f t="shared" si="7"/>
        <v>#REF!</v>
      </c>
      <c r="RY22" s="7" t="e">
        <f t="shared" si="7"/>
        <v>#REF!</v>
      </c>
      <c r="RZ22" s="7" t="e">
        <f t="shared" si="7"/>
        <v>#REF!</v>
      </c>
      <c r="SA22" s="7" t="e">
        <f t="shared" si="7"/>
        <v>#REF!</v>
      </c>
      <c r="SB22" s="7" t="e">
        <f t="shared" si="7"/>
        <v>#REF!</v>
      </c>
      <c r="SC22" s="7" t="e">
        <f t="shared" si="7"/>
        <v>#REF!</v>
      </c>
      <c r="SD22" s="7" t="e">
        <f t="shared" si="7"/>
        <v>#REF!</v>
      </c>
      <c r="SE22" s="7" t="e">
        <f t="shared" si="7"/>
        <v>#REF!</v>
      </c>
      <c r="SF22" s="7" t="e">
        <f t="shared" si="7"/>
        <v>#REF!</v>
      </c>
      <c r="SG22" s="7" t="e">
        <f t="shared" si="7"/>
        <v>#REF!</v>
      </c>
      <c r="SH22" s="7" t="e">
        <f t="shared" si="7"/>
        <v>#REF!</v>
      </c>
      <c r="SI22" s="7" t="e">
        <f t="shared" si="7"/>
        <v>#REF!</v>
      </c>
      <c r="SJ22" s="7" t="e">
        <f t="shared" si="7"/>
        <v>#REF!</v>
      </c>
      <c r="SK22" s="7" t="e">
        <f t="shared" si="7"/>
        <v>#REF!</v>
      </c>
      <c r="SL22" s="7" t="e">
        <f t="shared" si="7"/>
        <v>#REF!</v>
      </c>
      <c r="SM22" s="7" t="e">
        <f t="shared" si="7"/>
        <v>#REF!</v>
      </c>
      <c r="SN22" s="7" t="e">
        <f t="shared" si="7"/>
        <v>#REF!</v>
      </c>
      <c r="SO22" s="7" t="e">
        <f t="shared" si="7"/>
        <v>#REF!</v>
      </c>
      <c r="SP22" s="7" t="e">
        <f t="shared" si="7"/>
        <v>#REF!</v>
      </c>
      <c r="SQ22" s="7" t="e">
        <f t="shared" si="7"/>
        <v>#REF!</v>
      </c>
      <c r="SR22" s="7" t="e">
        <f t="shared" si="7"/>
        <v>#REF!</v>
      </c>
      <c r="SS22" s="7" t="e">
        <f t="shared" si="7"/>
        <v>#REF!</v>
      </c>
      <c r="ST22" s="7" t="e">
        <f t="shared" si="7"/>
        <v>#REF!</v>
      </c>
      <c r="SU22" s="7" t="e">
        <f t="shared" ref="SU22:UP22" si="8">AVERAGE(SU13:SU20)-AVERAGE(SU4:SU12)</f>
        <v>#REF!</v>
      </c>
      <c r="SV22" s="7" t="e">
        <f t="shared" si="8"/>
        <v>#REF!</v>
      </c>
      <c r="SW22" s="7" t="e">
        <f t="shared" si="8"/>
        <v>#REF!</v>
      </c>
      <c r="SX22" s="7" t="e">
        <f t="shared" si="8"/>
        <v>#REF!</v>
      </c>
      <c r="SY22" s="7" t="e">
        <f t="shared" si="8"/>
        <v>#REF!</v>
      </c>
      <c r="SZ22" s="7" t="e">
        <f t="shared" si="8"/>
        <v>#REF!</v>
      </c>
      <c r="TA22" s="7" t="e">
        <f t="shared" si="8"/>
        <v>#REF!</v>
      </c>
      <c r="TB22" s="7" t="e">
        <f t="shared" si="8"/>
        <v>#REF!</v>
      </c>
      <c r="TC22" s="7" t="e">
        <f t="shared" si="8"/>
        <v>#REF!</v>
      </c>
      <c r="TD22" s="7" t="e">
        <f t="shared" si="8"/>
        <v>#REF!</v>
      </c>
      <c r="TE22" s="7" t="e">
        <f t="shared" si="8"/>
        <v>#REF!</v>
      </c>
      <c r="TF22" s="7" t="e">
        <f t="shared" si="8"/>
        <v>#REF!</v>
      </c>
      <c r="TG22" s="7" t="e">
        <f t="shared" si="8"/>
        <v>#REF!</v>
      </c>
      <c r="TH22" s="7" t="e">
        <f t="shared" si="8"/>
        <v>#REF!</v>
      </c>
      <c r="TI22" s="7" t="e">
        <f t="shared" si="8"/>
        <v>#REF!</v>
      </c>
      <c r="TJ22" s="7" t="e">
        <f t="shared" si="8"/>
        <v>#REF!</v>
      </c>
      <c r="TK22" s="7" t="e">
        <f t="shared" si="8"/>
        <v>#REF!</v>
      </c>
      <c r="TL22" s="7" t="e">
        <f t="shared" si="8"/>
        <v>#REF!</v>
      </c>
      <c r="TM22" s="7" t="e">
        <f t="shared" si="8"/>
        <v>#REF!</v>
      </c>
      <c r="TN22" s="7" t="e">
        <f t="shared" si="8"/>
        <v>#REF!</v>
      </c>
      <c r="TO22" s="7" t="e">
        <f t="shared" si="8"/>
        <v>#REF!</v>
      </c>
      <c r="TP22" s="7" t="e">
        <f t="shared" si="8"/>
        <v>#REF!</v>
      </c>
      <c r="TQ22" s="7" t="e">
        <f t="shared" si="8"/>
        <v>#REF!</v>
      </c>
      <c r="TR22" s="7" t="e">
        <f t="shared" si="8"/>
        <v>#REF!</v>
      </c>
      <c r="TS22" s="7" t="e">
        <f t="shared" si="8"/>
        <v>#REF!</v>
      </c>
      <c r="TT22" s="7" t="e">
        <f t="shared" si="8"/>
        <v>#REF!</v>
      </c>
      <c r="TU22" s="7" t="e">
        <f t="shared" si="8"/>
        <v>#REF!</v>
      </c>
      <c r="TV22" s="7" t="e">
        <f t="shared" si="8"/>
        <v>#REF!</v>
      </c>
      <c r="TW22" s="7" t="e">
        <f t="shared" si="8"/>
        <v>#REF!</v>
      </c>
      <c r="TX22" s="7" t="e">
        <f t="shared" si="8"/>
        <v>#REF!</v>
      </c>
      <c r="TY22" s="7" t="e">
        <f t="shared" si="8"/>
        <v>#REF!</v>
      </c>
      <c r="TZ22" s="7" t="e">
        <f t="shared" si="8"/>
        <v>#REF!</v>
      </c>
      <c r="UA22" s="7" t="e">
        <f t="shared" si="8"/>
        <v>#REF!</v>
      </c>
      <c r="UB22" s="7" t="e">
        <f t="shared" si="8"/>
        <v>#REF!</v>
      </c>
      <c r="UC22" s="7" t="e">
        <f t="shared" si="8"/>
        <v>#REF!</v>
      </c>
      <c r="UD22" s="7" t="e">
        <f t="shared" si="8"/>
        <v>#REF!</v>
      </c>
      <c r="UE22" s="7" t="e">
        <f t="shared" si="8"/>
        <v>#REF!</v>
      </c>
      <c r="UF22" s="7" t="e">
        <f t="shared" si="8"/>
        <v>#REF!</v>
      </c>
      <c r="UG22" s="7" t="e">
        <f t="shared" si="8"/>
        <v>#REF!</v>
      </c>
      <c r="UH22" s="7" t="e">
        <f t="shared" si="8"/>
        <v>#REF!</v>
      </c>
      <c r="UI22" s="7" t="e">
        <f t="shared" si="8"/>
        <v>#REF!</v>
      </c>
      <c r="UJ22" s="7" t="e">
        <f t="shared" si="8"/>
        <v>#REF!</v>
      </c>
      <c r="UK22" s="7" t="e">
        <f t="shared" si="8"/>
        <v>#REF!</v>
      </c>
      <c r="UL22" s="7" t="e">
        <f t="shared" si="8"/>
        <v>#REF!</v>
      </c>
      <c r="UM22" s="7" t="e">
        <f t="shared" si="8"/>
        <v>#REF!</v>
      </c>
      <c r="UN22" s="7" t="e">
        <f t="shared" si="8"/>
        <v>#REF!</v>
      </c>
      <c r="UO22" s="7" t="e">
        <f t="shared" si="8"/>
        <v>#REF!</v>
      </c>
      <c r="UP22" s="7" t="e">
        <f t="shared" si="8"/>
        <v>#REF!</v>
      </c>
    </row>
    <row r="23" spans="1:562" s="8" customFormat="1" x14ac:dyDescent="0.35"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  <c r="AY23" s="8">
        <v>1</v>
      </c>
      <c r="AZ23" s="8">
        <v>1</v>
      </c>
      <c r="BA23" s="8">
        <v>1</v>
      </c>
      <c r="BB23" s="8">
        <v>1</v>
      </c>
      <c r="BC23" s="8">
        <v>1</v>
      </c>
      <c r="BD23" s="8">
        <v>1</v>
      </c>
      <c r="BE23" s="8">
        <v>1</v>
      </c>
      <c r="BF23" s="8">
        <v>1</v>
      </c>
      <c r="BG23" s="8">
        <v>1</v>
      </c>
      <c r="BH23" s="8">
        <v>1</v>
      </c>
      <c r="BI23" s="8">
        <v>1</v>
      </c>
      <c r="BJ23" s="8">
        <v>1</v>
      </c>
      <c r="BK23" s="8">
        <v>1</v>
      </c>
      <c r="BL23" s="8">
        <v>1</v>
      </c>
      <c r="BM23" s="8">
        <v>1</v>
      </c>
      <c r="BN23" s="8">
        <v>1</v>
      </c>
      <c r="BO23" s="8">
        <v>1</v>
      </c>
      <c r="BP23" s="8">
        <v>1</v>
      </c>
      <c r="BQ23" s="8">
        <v>1</v>
      </c>
      <c r="BR23" s="8">
        <v>1</v>
      </c>
      <c r="BS23" s="8">
        <v>1</v>
      </c>
      <c r="BT23" s="8">
        <v>1</v>
      </c>
      <c r="BU23" s="8">
        <v>1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8">
        <v>1</v>
      </c>
      <c r="CH23" s="8">
        <v>1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1</v>
      </c>
      <c r="CR23" s="8">
        <v>1</v>
      </c>
      <c r="CS23" s="8">
        <v>1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1</v>
      </c>
      <c r="DA23" s="8">
        <v>1</v>
      </c>
      <c r="DB23" s="8">
        <v>1</v>
      </c>
      <c r="DC23" s="8">
        <v>1</v>
      </c>
      <c r="DD23" s="8">
        <v>1</v>
      </c>
      <c r="DE23" s="8">
        <v>1</v>
      </c>
      <c r="DF23" s="8">
        <v>1</v>
      </c>
      <c r="DG23" s="8">
        <v>1</v>
      </c>
      <c r="DH23" s="8">
        <v>1</v>
      </c>
      <c r="DI23" s="8">
        <v>1</v>
      </c>
      <c r="DJ23" s="8">
        <v>1</v>
      </c>
      <c r="DK23" s="8">
        <v>1</v>
      </c>
      <c r="DL23" s="8">
        <v>1</v>
      </c>
      <c r="DM23" s="8">
        <v>1</v>
      </c>
      <c r="DN23" s="8">
        <v>1</v>
      </c>
      <c r="DO23" s="8">
        <v>1</v>
      </c>
      <c r="DP23" s="8">
        <v>1</v>
      </c>
      <c r="DQ23" s="8">
        <v>1</v>
      </c>
      <c r="DR23" s="8">
        <v>1</v>
      </c>
      <c r="DS23" s="8">
        <v>1</v>
      </c>
      <c r="DT23" s="8">
        <v>1</v>
      </c>
      <c r="DU23" s="8">
        <v>1</v>
      </c>
      <c r="DV23" s="8">
        <v>1</v>
      </c>
      <c r="DW23" s="8">
        <v>1</v>
      </c>
      <c r="DX23" s="8">
        <v>1</v>
      </c>
      <c r="DY23" s="8">
        <v>1</v>
      </c>
      <c r="DZ23" s="8">
        <v>1</v>
      </c>
      <c r="EA23" s="8">
        <v>1</v>
      </c>
      <c r="EB23" s="8">
        <v>1</v>
      </c>
      <c r="EC23" s="8">
        <v>1</v>
      </c>
      <c r="ED23" s="8">
        <v>1</v>
      </c>
      <c r="EE23" s="8">
        <v>1</v>
      </c>
      <c r="EF23" s="8">
        <v>1</v>
      </c>
      <c r="EG23" s="8">
        <v>1</v>
      </c>
      <c r="EH23" s="8">
        <v>1</v>
      </c>
      <c r="EI23" s="8">
        <v>1</v>
      </c>
      <c r="EJ23" s="8">
        <v>1</v>
      </c>
      <c r="EK23" s="8">
        <v>1</v>
      </c>
      <c r="EL23" s="8">
        <v>1</v>
      </c>
      <c r="EM23" s="8">
        <v>1</v>
      </c>
      <c r="EN23" s="8">
        <v>1</v>
      </c>
      <c r="EO23" s="8">
        <v>1</v>
      </c>
      <c r="EP23" s="8">
        <v>1</v>
      </c>
      <c r="EQ23" s="8">
        <v>1</v>
      </c>
      <c r="ER23" s="8">
        <v>1</v>
      </c>
      <c r="ES23" s="8">
        <v>1</v>
      </c>
      <c r="ET23" s="8">
        <v>1</v>
      </c>
      <c r="EU23" s="8">
        <v>1</v>
      </c>
      <c r="EV23" s="8">
        <v>1</v>
      </c>
      <c r="EW23" s="8">
        <v>1</v>
      </c>
      <c r="EX23" s="8">
        <v>1</v>
      </c>
      <c r="EY23" s="8">
        <v>1</v>
      </c>
      <c r="EZ23" s="8">
        <v>1</v>
      </c>
      <c r="FA23" s="8">
        <v>1</v>
      </c>
      <c r="FB23" s="8">
        <v>1</v>
      </c>
      <c r="FC23" s="8">
        <v>1</v>
      </c>
      <c r="FD23" s="8">
        <v>1</v>
      </c>
      <c r="FE23" s="8">
        <v>1</v>
      </c>
      <c r="FF23" s="8">
        <v>1</v>
      </c>
      <c r="FG23" s="8">
        <v>1</v>
      </c>
      <c r="FH23" s="8">
        <v>1</v>
      </c>
      <c r="FI23" s="8">
        <v>1</v>
      </c>
      <c r="FJ23" s="8">
        <v>1</v>
      </c>
      <c r="FK23" s="8">
        <v>1</v>
      </c>
      <c r="FL23" s="8">
        <v>1</v>
      </c>
      <c r="FM23" s="8">
        <v>1</v>
      </c>
      <c r="FN23" s="8">
        <v>1</v>
      </c>
      <c r="FO23" s="8">
        <v>1</v>
      </c>
      <c r="FP23" s="8">
        <v>1</v>
      </c>
      <c r="FQ23" s="8">
        <v>1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1</v>
      </c>
      <c r="GS23" s="8">
        <v>1</v>
      </c>
      <c r="GT23" s="8">
        <v>1</v>
      </c>
      <c r="GU23" s="8">
        <v>1</v>
      </c>
      <c r="GV23" s="8">
        <v>1</v>
      </c>
      <c r="GW23" s="8">
        <v>1</v>
      </c>
      <c r="GX23" s="8">
        <v>1</v>
      </c>
      <c r="GY23" s="8">
        <v>1</v>
      </c>
      <c r="GZ23" s="8">
        <v>1</v>
      </c>
      <c r="HA23" s="8">
        <v>1</v>
      </c>
      <c r="HB23" s="8">
        <v>1</v>
      </c>
      <c r="HC23" s="8">
        <v>1</v>
      </c>
      <c r="HD23" s="8">
        <v>1</v>
      </c>
      <c r="HE23" s="8">
        <v>1</v>
      </c>
      <c r="HF23" s="8">
        <v>1</v>
      </c>
      <c r="HG23" s="8">
        <v>1</v>
      </c>
      <c r="HH23" s="8">
        <v>1</v>
      </c>
      <c r="HI23" s="8">
        <v>1</v>
      </c>
      <c r="HJ23" s="8">
        <v>1</v>
      </c>
      <c r="HK23" s="8">
        <v>1</v>
      </c>
      <c r="HL23" s="8">
        <v>1</v>
      </c>
      <c r="HM23" s="8">
        <v>1</v>
      </c>
      <c r="HN23" s="8">
        <v>1</v>
      </c>
      <c r="HO23" s="8">
        <v>1</v>
      </c>
      <c r="HP23" s="8">
        <v>1</v>
      </c>
      <c r="HQ23" s="8">
        <v>1</v>
      </c>
      <c r="HR23" s="8">
        <v>1</v>
      </c>
      <c r="HS23" s="8">
        <v>1</v>
      </c>
      <c r="HT23" s="8">
        <v>1</v>
      </c>
      <c r="HU23" s="8">
        <v>1</v>
      </c>
      <c r="HV23" s="8">
        <v>1</v>
      </c>
      <c r="HW23" s="8">
        <v>1</v>
      </c>
      <c r="HX23" s="8">
        <v>1</v>
      </c>
      <c r="HY23" s="8">
        <v>1</v>
      </c>
      <c r="HZ23" s="8">
        <v>1</v>
      </c>
      <c r="IA23" s="8">
        <v>1</v>
      </c>
      <c r="IB23" s="8">
        <v>1</v>
      </c>
      <c r="IC23" s="8">
        <v>1</v>
      </c>
      <c r="ID23" s="8">
        <v>1</v>
      </c>
      <c r="IE23" s="8">
        <v>1</v>
      </c>
      <c r="IF23" s="8">
        <v>1</v>
      </c>
      <c r="IG23" s="8">
        <v>1</v>
      </c>
      <c r="IH23" s="8">
        <v>1</v>
      </c>
      <c r="II23" s="8">
        <v>1</v>
      </c>
      <c r="IJ23" s="8">
        <v>1</v>
      </c>
      <c r="IK23" s="8">
        <v>1</v>
      </c>
      <c r="IL23" s="8">
        <v>1</v>
      </c>
      <c r="IM23" s="8">
        <v>1</v>
      </c>
      <c r="IN23" s="8">
        <v>1</v>
      </c>
      <c r="IO23" s="8">
        <v>1</v>
      </c>
      <c r="IP23" s="8">
        <v>1</v>
      </c>
      <c r="IQ23" s="8">
        <v>1</v>
      </c>
      <c r="IR23" s="8">
        <v>1</v>
      </c>
      <c r="IS23" s="8">
        <v>1</v>
      </c>
      <c r="IT23" s="8">
        <v>1</v>
      </c>
      <c r="IU23" s="8">
        <v>1</v>
      </c>
      <c r="IV23" s="8">
        <v>1</v>
      </c>
      <c r="IW23" s="8">
        <v>1</v>
      </c>
      <c r="IX23" s="8">
        <v>1</v>
      </c>
      <c r="IY23" s="8">
        <v>1</v>
      </c>
      <c r="IZ23" s="8">
        <v>1</v>
      </c>
      <c r="JA23" s="8">
        <v>1</v>
      </c>
      <c r="JB23" s="8">
        <v>1</v>
      </c>
      <c r="JC23" s="8">
        <v>1</v>
      </c>
      <c r="JD23" s="8">
        <v>1</v>
      </c>
      <c r="JE23" s="8">
        <v>1</v>
      </c>
      <c r="JF23" s="8">
        <v>1</v>
      </c>
      <c r="JG23" s="8">
        <v>1</v>
      </c>
      <c r="JH23" s="8">
        <v>1</v>
      </c>
      <c r="JI23" s="8">
        <v>1</v>
      </c>
      <c r="JJ23" s="8">
        <v>1</v>
      </c>
      <c r="JK23" s="8">
        <v>1</v>
      </c>
      <c r="JL23" s="8">
        <v>1</v>
      </c>
      <c r="JM23" s="8">
        <v>1</v>
      </c>
      <c r="JN23" s="8">
        <v>1</v>
      </c>
      <c r="JO23" s="8">
        <v>1</v>
      </c>
      <c r="JP23" s="8">
        <v>1</v>
      </c>
      <c r="JQ23" s="8">
        <v>1</v>
      </c>
      <c r="JR23" s="8">
        <v>1</v>
      </c>
      <c r="JS23" s="8">
        <v>1</v>
      </c>
      <c r="JT23" s="8">
        <v>1</v>
      </c>
      <c r="JU23" s="8">
        <v>1</v>
      </c>
      <c r="JV23" s="8">
        <v>1</v>
      </c>
      <c r="JW23" s="8">
        <v>1</v>
      </c>
      <c r="JX23" s="8">
        <v>1</v>
      </c>
      <c r="JY23" s="8">
        <v>1</v>
      </c>
      <c r="JZ23" s="8">
        <v>1</v>
      </c>
      <c r="KA23" s="8">
        <v>1</v>
      </c>
      <c r="KB23" s="8">
        <v>1</v>
      </c>
      <c r="KC23" s="8">
        <v>1</v>
      </c>
      <c r="KD23" s="8">
        <v>1</v>
      </c>
      <c r="KE23" s="8">
        <v>1</v>
      </c>
      <c r="KF23" s="8">
        <v>1</v>
      </c>
      <c r="KG23" s="8">
        <v>1</v>
      </c>
      <c r="KH23" s="8">
        <v>1</v>
      </c>
      <c r="KI23" s="8">
        <v>1</v>
      </c>
      <c r="KJ23" s="8">
        <v>1</v>
      </c>
      <c r="KK23" s="8">
        <v>1</v>
      </c>
      <c r="KL23" s="8">
        <v>1</v>
      </c>
      <c r="KM23" s="8">
        <v>1</v>
      </c>
      <c r="KN23" s="8">
        <v>1</v>
      </c>
      <c r="KO23" s="8">
        <v>1</v>
      </c>
      <c r="KP23" s="8">
        <v>1</v>
      </c>
      <c r="KQ23" s="8">
        <v>1</v>
      </c>
      <c r="KR23" s="8">
        <v>1</v>
      </c>
      <c r="KS23" s="8">
        <v>1</v>
      </c>
      <c r="KT23" s="8">
        <v>1</v>
      </c>
      <c r="KU23" s="8">
        <v>1</v>
      </c>
      <c r="KV23" s="8">
        <v>1</v>
      </c>
      <c r="KW23" s="8">
        <v>1</v>
      </c>
      <c r="KX23" s="8">
        <v>1</v>
      </c>
      <c r="KY23" s="8">
        <v>1</v>
      </c>
      <c r="KZ23" s="8">
        <v>1</v>
      </c>
      <c r="LA23" s="8">
        <v>1</v>
      </c>
      <c r="LB23" s="8">
        <v>1</v>
      </c>
      <c r="LC23" s="8">
        <v>1</v>
      </c>
      <c r="LD23" s="8">
        <v>1</v>
      </c>
      <c r="LE23" s="8">
        <v>1</v>
      </c>
      <c r="LF23" s="8">
        <v>1</v>
      </c>
      <c r="LG23" s="8">
        <v>1</v>
      </c>
      <c r="LH23" s="8">
        <v>1</v>
      </c>
      <c r="LI23" s="8">
        <v>1</v>
      </c>
      <c r="LJ23" s="8">
        <v>1</v>
      </c>
      <c r="LK23" s="8">
        <v>1</v>
      </c>
      <c r="LL23" s="8">
        <v>1</v>
      </c>
      <c r="LM23" s="8">
        <v>1</v>
      </c>
      <c r="LN23" s="8">
        <v>1</v>
      </c>
      <c r="LO23" s="8">
        <v>1</v>
      </c>
      <c r="LP23" s="8">
        <v>1</v>
      </c>
      <c r="LQ23" s="8">
        <v>1</v>
      </c>
      <c r="LR23" s="8">
        <v>1</v>
      </c>
      <c r="LS23" s="8">
        <v>1</v>
      </c>
      <c r="LT23" s="8">
        <v>1</v>
      </c>
      <c r="LU23" s="8">
        <v>1</v>
      </c>
      <c r="LV23" s="8">
        <v>1</v>
      </c>
      <c r="LW23" s="8">
        <v>1</v>
      </c>
      <c r="LX23" s="8">
        <v>1</v>
      </c>
      <c r="LY23" s="8">
        <v>1</v>
      </c>
      <c r="LZ23" s="8">
        <v>1</v>
      </c>
      <c r="MA23" s="8">
        <v>1</v>
      </c>
      <c r="MB23" s="8">
        <v>1</v>
      </c>
      <c r="MC23" s="8">
        <v>1</v>
      </c>
      <c r="MD23" s="8">
        <v>1</v>
      </c>
      <c r="ME23" s="8">
        <v>1</v>
      </c>
      <c r="MF23" s="8">
        <v>1</v>
      </c>
      <c r="MG23" s="8">
        <v>1</v>
      </c>
      <c r="MH23" s="8">
        <v>1</v>
      </c>
      <c r="MI23" s="8">
        <v>1</v>
      </c>
      <c r="MJ23" s="8">
        <v>1</v>
      </c>
      <c r="MK23" s="8">
        <v>1</v>
      </c>
      <c r="ML23" s="8">
        <v>1</v>
      </c>
      <c r="MM23" s="8">
        <v>1</v>
      </c>
      <c r="MN23" s="8">
        <v>1</v>
      </c>
      <c r="MO23" s="8">
        <v>1</v>
      </c>
      <c r="MP23" s="8">
        <v>1</v>
      </c>
      <c r="MQ23" s="8">
        <v>1</v>
      </c>
      <c r="MR23" s="8">
        <v>1</v>
      </c>
      <c r="MS23" s="8">
        <v>1</v>
      </c>
      <c r="MT23" s="8">
        <v>1</v>
      </c>
      <c r="MU23" s="8">
        <v>1</v>
      </c>
      <c r="MV23" s="8">
        <v>1</v>
      </c>
      <c r="MW23" s="8">
        <v>1</v>
      </c>
      <c r="MX23" s="8">
        <v>1</v>
      </c>
      <c r="MY23" s="8">
        <v>1</v>
      </c>
      <c r="MZ23" s="8">
        <v>1</v>
      </c>
      <c r="NA23" s="8">
        <v>1</v>
      </c>
      <c r="NB23" s="8">
        <v>1</v>
      </c>
      <c r="NC23" s="8">
        <v>1</v>
      </c>
      <c r="ND23" s="8">
        <v>1</v>
      </c>
      <c r="NE23" s="8">
        <v>1</v>
      </c>
      <c r="NF23" s="8">
        <v>1</v>
      </c>
      <c r="NG23" s="8">
        <v>1</v>
      </c>
      <c r="NH23" s="8">
        <v>1</v>
      </c>
      <c r="NI23" s="8">
        <v>1</v>
      </c>
      <c r="NJ23" s="8">
        <v>1</v>
      </c>
      <c r="NK23" s="8">
        <v>1</v>
      </c>
      <c r="NL23" s="8">
        <v>1</v>
      </c>
      <c r="NM23" s="8">
        <v>1</v>
      </c>
      <c r="NN23" s="8">
        <v>1</v>
      </c>
      <c r="NO23" s="8">
        <v>1</v>
      </c>
      <c r="NP23" s="8">
        <v>1</v>
      </c>
      <c r="NQ23" s="8">
        <v>1</v>
      </c>
      <c r="NR23" s="8">
        <v>1</v>
      </c>
      <c r="NS23" s="8">
        <v>1</v>
      </c>
      <c r="NT23" s="8">
        <v>1</v>
      </c>
      <c r="NU23" s="8">
        <v>1</v>
      </c>
      <c r="NV23" s="8">
        <v>1</v>
      </c>
      <c r="NW23" s="8">
        <v>1</v>
      </c>
      <c r="NX23" s="8">
        <v>1</v>
      </c>
      <c r="NY23" s="8">
        <v>1</v>
      </c>
      <c r="NZ23" s="8">
        <v>1</v>
      </c>
      <c r="OA23" s="8">
        <v>1</v>
      </c>
      <c r="OB23" s="8">
        <v>1</v>
      </c>
      <c r="OC23" s="8">
        <v>1</v>
      </c>
      <c r="OD23" s="8">
        <v>1</v>
      </c>
      <c r="OE23" s="8">
        <v>1</v>
      </c>
      <c r="OF23" s="8">
        <v>1</v>
      </c>
      <c r="OG23" s="8">
        <v>1</v>
      </c>
      <c r="OH23" s="8">
        <v>1</v>
      </c>
      <c r="OI23" s="8">
        <v>1</v>
      </c>
      <c r="OJ23" s="8">
        <v>1</v>
      </c>
      <c r="OK23" s="8">
        <v>1</v>
      </c>
      <c r="OL23" s="8">
        <v>1</v>
      </c>
      <c r="OM23" s="8">
        <v>1</v>
      </c>
      <c r="ON23" s="8">
        <v>1</v>
      </c>
      <c r="OO23" s="8">
        <v>1</v>
      </c>
      <c r="OP23" s="8">
        <v>1</v>
      </c>
      <c r="OQ23" s="8">
        <v>1</v>
      </c>
      <c r="OR23" s="8">
        <v>1</v>
      </c>
      <c r="OS23" s="8">
        <v>1</v>
      </c>
      <c r="OT23" s="8">
        <v>1</v>
      </c>
      <c r="OU23" s="8">
        <v>1</v>
      </c>
      <c r="OV23" s="8">
        <v>1</v>
      </c>
      <c r="OW23" s="8">
        <v>1</v>
      </c>
      <c r="OX23" s="8">
        <v>1</v>
      </c>
      <c r="OY23" s="8">
        <v>1</v>
      </c>
      <c r="OZ23" s="8">
        <v>1</v>
      </c>
      <c r="PA23" s="8">
        <v>1</v>
      </c>
      <c r="PB23" s="8">
        <v>1</v>
      </c>
      <c r="PC23" s="8">
        <v>1</v>
      </c>
      <c r="PD23" s="8">
        <v>1</v>
      </c>
      <c r="PE23" s="8">
        <v>1</v>
      </c>
      <c r="PF23" s="8">
        <v>1</v>
      </c>
      <c r="PG23" s="8">
        <v>1</v>
      </c>
      <c r="PH23" s="8">
        <v>1</v>
      </c>
      <c r="PI23" s="8">
        <v>1</v>
      </c>
      <c r="PJ23" s="8">
        <v>1</v>
      </c>
      <c r="PK23" s="8">
        <v>1</v>
      </c>
      <c r="PL23" s="8">
        <v>1</v>
      </c>
      <c r="PM23" s="8">
        <v>1</v>
      </c>
      <c r="PN23" s="8">
        <v>1</v>
      </c>
      <c r="PO23" s="8">
        <v>1</v>
      </c>
      <c r="PP23" s="8">
        <v>1</v>
      </c>
      <c r="PQ23" s="8">
        <v>1</v>
      </c>
      <c r="PR23" s="8">
        <v>1</v>
      </c>
      <c r="PS23" s="8">
        <v>1</v>
      </c>
      <c r="PT23" s="8">
        <v>1</v>
      </c>
      <c r="PU23" s="8">
        <v>1</v>
      </c>
      <c r="PV23" s="8">
        <v>1</v>
      </c>
      <c r="PW23" s="8">
        <v>1</v>
      </c>
      <c r="PX23" s="8">
        <v>1</v>
      </c>
      <c r="PY23" s="8">
        <v>1</v>
      </c>
      <c r="PZ23" s="8">
        <v>1</v>
      </c>
      <c r="QA23" s="8">
        <v>1</v>
      </c>
      <c r="QB23" s="8">
        <v>1</v>
      </c>
      <c r="QC23" s="8">
        <v>1</v>
      </c>
      <c r="QD23" s="8">
        <v>1</v>
      </c>
      <c r="QE23" s="8">
        <v>1</v>
      </c>
      <c r="QF23" s="8">
        <v>1</v>
      </c>
      <c r="QG23" s="8">
        <v>1</v>
      </c>
      <c r="QH23" s="8">
        <v>1</v>
      </c>
      <c r="QI23" s="8">
        <v>1</v>
      </c>
      <c r="QJ23" s="8">
        <v>1</v>
      </c>
      <c r="QK23" s="8">
        <v>1</v>
      </c>
      <c r="QL23" s="8">
        <v>1</v>
      </c>
      <c r="QM23" s="8">
        <v>1</v>
      </c>
      <c r="QN23" s="8">
        <v>1</v>
      </c>
      <c r="QO23" s="8">
        <v>1</v>
      </c>
      <c r="QP23" s="8">
        <v>1</v>
      </c>
      <c r="QQ23" s="8">
        <v>1</v>
      </c>
      <c r="QR23" s="8">
        <v>1</v>
      </c>
      <c r="QS23" s="8">
        <v>1</v>
      </c>
      <c r="QT23" s="8">
        <v>1</v>
      </c>
      <c r="QU23" s="8">
        <v>1</v>
      </c>
      <c r="QV23" s="8">
        <v>1</v>
      </c>
      <c r="QW23" s="8">
        <v>1</v>
      </c>
      <c r="QX23" s="8">
        <v>1</v>
      </c>
      <c r="QY23" s="8">
        <v>1</v>
      </c>
      <c r="QZ23" s="8">
        <v>1</v>
      </c>
      <c r="RA23" s="8">
        <v>1</v>
      </c>
      <c r="RB23" s="8">
        <v>1</v>
      </c>
      <c r="RC23" s="8">
        <v>1</v>
      </c>
      <c r="RD23" s="8">
        <v>1</v>
      </c>
      <c r="RE23" s="8">
        <v>1</v>
      </c>
      <c r="RF23" s="8">
        <v>1</v>
      </c>
      <c r="RG23" s="8">
        <v>1</v>
      </c>
      <c r="RH23" s="8">
        <v>1</v>
      </c>
      <c r="RI23" s="8">
        <v>1</v>
      </c>
      <c r="RJ23" s="8">
        <v>1</v>
      </c>
      <c r="RK23" s="8">
        <v>1</v>
      </c>
      <c r="RL23" s="8">
        <v>1</v>
      </c>
      <c r="RM23" s="8">
        <v>1</v>
      </c>
      <c r="RN23" s="8">
        <v>1</v>
      </c>
      <c r="RO23" s="8">
        <v>1</v>
      </c>
      <c r="RP23" s="8">
        <v>1</v>
      </c>
      <c r="RQ23" s="8">
        <v>1</v>
      </c>
      <c r="RR23" s="8">
        <v>1</v>
      </c>
      <c r="RS23" s="8">
        <v>1</v>
      </c>
      <c r="RT23" s="8">
        <v>1</v>
      </c>
      <c r="RU23" s="8">
        <v>1</v>
      </c>
      <c r="RV23" s="8">
        <v>1</v>
      </c>
      <c r="RW23" s="8">
        <v>1</v>
      </c>
      <c r="RX23" s="8">
        <v>1</v>
      </c>
      <c r="RY23" s="8">
        <v>1</v>
      </c>
      <c r="RZ23" s="8">
        <v>1</v>
      </c>
      <c r="SA23" s="8">
        <v>1</v>
      </c>
      <c r="SB23" s="8">
        <v>1</v>
      </c>
      <c r="SC23" s="8">
        <v>1</v>
      </c>
      <c r="SD23" s="8">
        <v>1</v>
      </c>
      <c r="SE23" s="8">
        <v>1</v>
      </c>
      <c r="SF23" s="8">
        <v>1</v>
      </c>
      <c r="SG23" s="8">
        <v>1</v>
      </c>
      <c r="SH23" s="8">
        <v>1</v>
      </c>
      <c r="SI23" s="8">
        <v>1</v>
      </c>
      <c r="SJ23" s="8">
        <v>1</v>
      </c>
      <c r="SK23" s="8">
        <v>1</v>
      </c>
      <c r="SL23" s="8">
        <v>1</v>
      </c>
      <c r="SM23" s="8">
        <v>1</v>
      </c>
      <c r="SN23" s="8">
        <v>1</v>
      </c>
      <c r="SO23" s="8">
        <v>1</v>
      </c>
      <c r="SP23" s="8">
        <v>1</v>
      </c>
      <c r="SQ23" s="8">
        <v>1</v>
      </c>
      <c r="SR23" s="8">
        <v>1</v>
      </c>
      <c r="SS23" s="8">
        <v>1</v>
      </c>
      <c r="ST23" s="8">
        <v>1</v>
      </c>
      <c r="SU23" s="8">
        <v>1</v>
      </c>
      <c r="SV23" s="8">
        <v>1</v>
      </c>
      <c r="SW23" s="8">
        <v>1</v>
      </c>
      <c r="SX23" s="8">
        <v>1</v>
      </c>
      <c r="SY23" s="8">
        <v>1</v>
      </c>
      <c r="SZ23" s="8">
        <v>1</v>
      </c>
      <c r="TA23" s="8">
        <v>1</v>
      </c>
      <c r="TB23" s="8">
        <v>1</v>
      </c>
      <c r="TC23" s="8">
        <v>1</v>
      </c>
      <c r="TD23" s="8">
        <v>1</v>
      </c>
      <c r="TE23" s="8">
        <v>1</v>
      </c>
      <c r="TF23" s="8">
        <v>1</v>
      </c>
      <c r="TG23" s="8">
        <v>1</v>
      </c>
      <c r="TH23" s="8">
        <v>1</v>
      </c>
      <c r="TI23" s="8">
        <v>1</v>
      </c>
      <c r="TJ23" s="8">
        <v>1</v>
      </c>
      <c r="TK23" s="8">
        <v>1</v>
      </c>
      <c r="TL23" s="8">
        <v>1</v>
      </c>
      <c r="TM23" s="8">
        <v>1</v>
      </c>
      <c r="TN23" s="8">
        <v>1</v>
      </c>
      <c r="TO23" s="8">
        <v>1</v>
      </c>
      <c r="TP23" s="8">
        <v>1</v>
      </c>
      <c r="TQ23" s="8">
        <v>1</v>
      </c>
      <c r="TR23" s="8">
        <v>1</v>
      </c>
      <c r="TS23" s="8">
        <v>1</v>
      </c>
      <c r="TT23" s="8">
        <v>1</v>
      </c>
      <c r="TU23" s="8">
        <v>1</v>
      </c>
      <c r="TV23" s="8">
        <v>1</v>
      </c>
      <c r="TW23" s="8">
        <v>1</v>
      </c>
      <c r="TX23" s="8">
        <v>1</v>
      </c>
      <c r="TY23" s="8">
        <v>1</v>
      </c>
      <c r="TZ23" s="8">
        <v>1</v>
      </c>
      <c r="UA23" s="8">
        <v>1</v>
      </c>
      <c r="UB23" s="8">
        <v>1</v>
      </c>
      <c r="UC23" s="8">
        <v>1</v>
      </c>
      <c r="UD23" s="8">
        <v>1</v>
      </c>
      <c r="UE23" s="8">
        <v>1</v>
      </c>
      <c r="UF23" s="8">
        <v>1</v>
      </c>
      <c r="UG23" s="8">
        <v>1</v>
      </c>
      <c r="UH23" s="8">
        <v>1</v>
      </c>
      <c r="UI23" s="8">
        <v>1</v>
      </c>
      <c r="UJ23" s="8">
        <v>1</v>
      </c>
      <c r="UK23" s="8">
        <v>1</v>
      </c>
      <c r="UL23" s="8">
        <v>1</v>
      </c>
      <c r="UM23" s="8">
        <v>1</v>
      </c>
      <c r="UN23" s="8">
        <v>1</v>
      </c>
      <c r="UO23" s="8">
        <v>1</v>
      </c>
      <c r="UP23" s="8">
        <v>1</v>
      </c>
    </row>
    <row r="24" spans="1:562" s="8" customFormat="1" x14ac:dyDescent="0.35">
      <c r="C24" s="8">
        <v>-1</v>
      </c>
      <c r="D24" s="8">
        <v>-1</v>
      </c>
      <c r="E24" s="8">
        <v>-1</v>
      </c>
      <c r="F24" s="8">
        <v>-1</v>
      </c>
      <c r="G24" s="8">
        <v>-1</v>
      </c>
      <c r="H24" s="8">
        <v>-1</v>
      </c>
      <c r="I24" s="8">
        <v>-1</v>
      </c>
      <c r="J24" s="8">
        <v>-1</v>
      </c>
      <c r="K24" s="8">
        <v>-1</v>
      </c>
      <c r="L24" s="8">
        <v>-1</v>
      </c>
      <c r="M24" s="8">
        <v>-1</v>
      </c>
      <c r="N24" s="8">
        <v>-1</v>
      </c>
      <c r="O24" s="8">
        <v>-1</v>
      </c>
      <c r="P24" s="8">
        <v>-1</v>
      </c>
      <c r="Q24" s="8">
        <v>-1</v>
      </c>
      <c r="R24" s="8">
        <v>-1</v>
      </c>
      <c r="S24" s="8">
        <v>-1</v>
      </c>
      <c r="T24" s="8">
        <v>-1</v>
      </c>
      <c r="U24" s="8">
        <v>-1</v>
      </c>
      <c r="V24" s="8">
        <v>-1</v>
      </c>
      <c r="W24" s="8">
        <v>-1</v>
      </c>
      <c r="X24" s="8">
        <v>-1</v>
      </c>
      <c r="Y24" s="8">
        <v>-1</v>
      </c>
      <c r="Z24" s="8">
        <v>-1</v>
      </c>
      <c r="AA24" s="8">
        <v>-1</v>
      </c>
      <c r="AB24" s="8">
        <v>-1</v>
      </c>
      <c r="AC24" s="8">
        <v>-1</v>
      </c>
      <c r="AD24" s="8">
        <v>-1</v>
      </c>
      <c r="AE24" s="8">
        <v>-1</v>
      </c>
      <c r="AF24" s="8">
        <v>-1</v>
      </c>
      <c r="AG24" s="8">
        <v>-1</v>
      </c>
      <c r="AH24" s="8">
        <v>-1</v>
      </c>
      <c r="AI24" s="8">
        <v>-1</v>
      </c>
      <c r="AJ24" s="8">
        <v>-1</v>
      </c>
      <c r="AK24" s="8">
        <v>-1</v>
      </c>
      <c r="AL24" s="8">
        <v>-1</v>
      </c>
      <c r="AM24" s="8">
        <v>-1</v>
      </c>
      <c r="AN24" s="8">
        <v>-1</v>
      </c>
      <c r="AO24" s="8">
        <v>-1</v>
      </c>
      <c r="AP24" s="8">
        <v>-1</v>
      </c>
      <c r="AQ24" s="8">
        <v>-1</v>
      </c>
      <c r="AR24" s="8">
        <v>-1</v>
      </c>
      <c r="AS24" s="8">
        <v>-1</v>
      </c>
      <c r="AT24" s="8">
        <v>-1</v>
      </c>
      <c r="AU24" s="8">
        <v>-1</v>
      </c>
      <c r="AV24" s="8">
        <v>-1</v>
      </c>
      <c r="AW24" s="8">
        <v>-1</v>
      </c>
      <c r="AX24" s="8">
        <v>-1</v>
      </c>
      <c r="AY24" s="8">
        <v>-1</v>
      </c>
      <c r="AZ24" s="8">
        <v>-1</v>
      </c>
      <c r="BA24" s="8">
        <v>-1</v>
      </c>
      <c r="BB24" s="8">
        <v>-1</v>
      </c>
      <c r="BC24" s="8">
        <v>-1</v>
      </c>
      <c r="BD24" s="8">
        <v>-1</v>
      </c>
      <c r="BE24" s="8">
        <v>-1</v>
      </c>
      <c r="BF24" s="8">
        <v>-1</v>
      </c>
      <c r="BG24" s="8">
        <v>-1</v>
      </c>
      <c r="BH24" s="8">
        <v>-1</v>
      </c>
      <c r="BI24" s="8">
        <v>-1</v>
      </c>
      <c r="BJ24" s="8">
        <v>-1</v>
      </c>
      <c r="BK24" s="8">
        <v>-1</v>
      </c>
      <c r="BL24" s="8">
        <v>-1</v>
      </c>
      <c r="BM24" s="8">
        <v>-1</v>
      </c>
      <c r="BN24" s="8">
        <v>-1</v>
      </c>
      <c r="BO24" s="8">
        <v>-1</v>
      </c>
      <c r="BP24" s="8">
        <v>-1</v>
      </c>
      <c r="BQ24" s="8">
        <v>-1</v>
      </c>
      <c r="BR24" s="8">
        <v>-1</v>
      </c>
      <c r="BS24" s="8">
        <v>-1</v>
      </c>
      <c r="BT24" s="8">
        <v>-1</v>
      </c>
      <c r="BU24" s="8">
        <v>-1</v>
      </c>
      <c r="BV24" s="8">
        <v>-1</v>
      </c>
      <c r="BW24" s="8">
        <v>-1</v>
      </c>
      <c r="BX24" s="8">
        <v>-1</v>
      </c>
      <c r="BY24" s="8">
        <v>-1</v>
      </c>
      <c r="BZ24" s="8">
        <v>-1</v>
      </c>
      <c r="CA24" s="8">
        <v>-1</v>
      </c>
      <c r="CB24" s="8">
        <v>-1</v>
      </c>
      <c r="CC24" s="8">
        <v>-1</v>
      </c>
      <c r="CD24" s="8">
        <v>-1</v>
      </c>
      <c r="CE24" s="8">
        <v>-1</v>
      </c>
      <c r="CF24" s="8">
        <v>-1</v>
      </c>
      <c r="CG24" s="8">
        <v>-1</v>
      </c>
      <c r="CH24" s="8">
        <v>-1</v>
      </c>
      <c r="CI24" s="8">
        <v>-1</v>
      </c>
      <c r="CJ24" s="8">
        <v>-1</v>
      </c>
      <c r="CK24" s="8">
        <v>-1</v>
      </c>
      <c r="CL24" s="8">
        <v>-1</v>
      </c>
      <c r="CM24" s="8">
        <v>-1</v>
      </c>
      <c r="CN24" s="8">
        <v>-1</v>
      </c>
      <c r="CO24" s="8">
        <v>-1</v>
      </c>
      <c r="CP24" s="8">
        <v>-1</v>
      </c>
      <c r="CQ24" s="8">
        <v>-1</v>
      </c>
      <c r="CR24" s="8">
        <v>-1</v>
      </c>
      <c r="CS24" s="8">
        <v>-1</v>
      </c>
      <c r="CT24" s="8">
        <v>-1</v>
      </c>
      <c r="CU24" s="8">
        <v>-1</v>
      </c>
      <c r="CV24" s="8">
        <v>-1</v>
      </c>
      <c r="CW24" s="8">
        <v>-1</v>
      </c>
      <c r="CX24" s="8">
        <v>-1</v>
      </c>
      <c r="CY24" s="8">
        <v>-1</v>
      </c>
      <c r="CZ24" s="8">
        <v>-1</v>
      </c>
      <c r="DA24" s="8">
        <v>-1</v>
      </c>
      <c r="DB24" s="8">
        <v>-1</v>
      </c>
      <c r="DC24" s="8">
        <v>-1</v>
      </c>
      <c r="DD24" s="8">
        <v>-1</v>
      </c>
      <c r="DE24" s="8">
        <v>-1</v>
      </c>
      <c r="DF24" s="8">
        <v>-1</v>
      </c>
      <c r="DG24" s="8">
        <v>-1</v>
      </c>
      <c r="DH24" s="8">
        <v>-1</v>
      </c>
      <c r="DI24" s="8">
        <v>-1</v>
      </c>
      <c r="DJ24" s="8">
        <v>-1</v>
      </c>
      <c r="DK24" s="8">
        <v>-1</v>
      </c>
      <c r="DL24" s="8">
        <v>-1</v>
      </c>
      <c r="DM24" s="8">
        <v>-1</v>
      </c>
      <c r="DN24" s="8">
        <v>-1</v>
      </c>
      <c r="DO24" s="8">
        <v>-1</v>
      </c>
      <c r="DP24" s="8">
        <v>-1</v>
      </c>
      <c r="DQ24" s="8">
        <v>-1</v>
      </c>
      <c r="DR24" s="8">
        <v>-1</v>
      </c>
      <c r="DS24" s="8">
        <v>-1</v>
      </c>
      <c r="DT24" s="8">
        <v>-1</v>
      </c>
      <c r="DU24" s="8">
        <v>-1</v>
      </c>
      <c r="DV24" s="8">
        <v>-1</v>
      </c>
      <c r="DW24" s="8">
        <v>-1</v>
      </c>
      <c r="DX24" s="8">
        <v>-1</v>
      </c>
      <c r="DY24" s="8">
        <v>-1</v>
      </c>
      <c r="DZ24" s="8">
        <v>-1</v>
      </c>
      <c r="EA24" s="8">
        <v>-1</v>
      </c>
      <c r="EB24" s="8">
        <v>-1</v>
      </c>
      <c r="EC24" s="8">
        <v>-1</v>
      </c>
      <c r="ED24" s="8">
        <v>-1</v>
      </c>
      <c r="EE24" s="8">
        <v>-1</v>
      </c>
      <c r="EF24" s="8">
        <v>-1</v>
      </c>
      <c r="EG24" s="8">
        <v>-1</v>
      </c>
      <c r="EH24" s="8">
        <v>-1</v>
      </c>
      <c r="EI24" s="8">
        <v>-1</v>
      </c>
      <c r="EJ24" s="8">
        <v>-1</v>
      </c>
      <c r="EK24" s="8">
        <v>-1</v>
      </c>
      <c r="EL24" s="8">
        <v>-1</v>
      </c>
      <c r="EM24" s="8">
        <v>-1</v>
      </c>
      <c r="EN24" s="8">
        <v>-1</v>
      </c>
      <c r="EO24" s="8">
        <v>-1</v>
      </c>
      <c r="EP24" s="8">
        <v>-1</v>
      </c>
      <c r="EQ24" s="8">
        <v>-1</v>
      </c>
      <c r="ER24" s="8">
        <v>-1</v>
      </c>
      <c r="ES24" s="8">
        <v>-1</v>
      </c>
      <c r="ET24" s="8">
        <v>-1</v>
      </c>
      <c r="EU24" s="8">
        <v>-1</v>
      </c>
      <c r="EV24" s="8">
        <v>-1</v>
      </c>
      <c r="EW24" s="8">
        <v>-1</v>
      </c>
      <c r="EX24" s="8">
        <v>-1</v>
      </c>
      <c r="EY24" s="8">
        <v>-1</v>
      </c>
      <c r="EZ24" s="8">
        <v>-1</v>
      </c>
      <c r="FA24" s="8">
        <v>-1</v>
      </c>
      <c r="FB24" s="8">
        <v>-1</v>
      </c>
      <c r="FC24" s="8">
        <v>-1</v>
      </c>
      <c r="FD24" s="8">
        <v>-1</v>
      </c>
      <c r="FE24" s="8">
        <v>-1</v>
      </c>
      <c r="FF24" s="8">
        <v>-1</v>
      </c>
      <c r="FG24" s="8">
        <v>-1</v>
      </c>
      <c r="FH24" s="8">
        <v>-1</v>
      </c>
      <c r="FI24" s="8">
        <v>-1</v>
      </c>
      <c r="FJ24" s="8">
        <v>-1</v>
      </c>
      <c r="FK24" s="8">
        <v>-1</v>
      </c>
      <c r="FL24" s="8">
        <v>-1</v>
      </c>
      <c r="FM24" s="8">
        <v>-1</v>
      </c>
      <c r="FN24" s="8">
        <v>-1</v>
      </c>
      <c r="FO24" s="8">
        <v>-1</v>
      </c>
      <c r="FP24" s="8">
        <v>-1</v>
      </c>
      <c r="FQ24" s="8">
        <v>-1</v>
      </c>
      <c r="FR24" s="8">
        <v>-1</v>
      </c>
      <c r="FS24" s="8">
        <v>-1</v>
      </c>
      <c r="FT24" s="8">
        <v>-1</v>
      </c>
      <c r="FU24" s="8">
        <v>-1</v>
      </c>
      <c r="FV24" s="8">
        <v>-1</v>
      </c>
      <c r="FW24" s="8">
        <v>-1</v>
      </c>
      <c r="FX24" s="8">
        <v>-1</v>
      </c>
      <c r="FY24" s="8">
        <v>-1</v>
      </c>
      <c r="FZ24" s="8">
        <v>-1</v>
      </c>
      <c r="GA24" s="8">
        <v>-1</v>
      </c>
      <c r="GB24" s="8">
        <v>-1</v>
      </c>
      <c r="GC24" s="8">
        <v>-1</v>
      </c>
      <c r="GD24" s="8">
        <v>-1</v>
      </c>
      <c r="GE24" s="8">
        <v>-1</v>
      </c>
      <c r="GF24" s="8">
        <v>-1</v>
      </c>
      <c r="GG24" s="8">
        <v>-1</v>
      </c>
      <c r="GH24" s="8">
        <v>-1</v>
      </c>
      <c r="GI24" s="8">
        <v>-1</v>
      </c>
      <c r="GJ24" s="8">
        <v>-1</v>
      </c>
      <c r="GK24" s="8">
        <v>-1</v>
      </c>
      <c r="GL24" s="8">
        <v>-1</v>
      </c>
      <c r="GM24" s="8">
        <v>-1</v>
      </c>
      <c r="GN24" s="8">
        <v>-1</v>
      </c>
      <c r="GO24" s="8">
        <v>-1</v>
      </c>
      <c r="GP24" s="8">
        <v>-1</v>
      </c>
      <c r="GQ24" s="8">
        <v>-1</v>
      </c>
      <c r="GR24" s="8">
        <v>-1</v>
      </c>
      <c r="GS24" s="8">
        <v>-1</v>
      </c>
      <c r="GT24" s="8">
        <v>-1</v>
      </c>
      <c r="GU24" s="8">
        <v>-1</v>
      </c>
      <c r="GV24" s="8">
        <v>-1</v>
      </c>
      <c r="GW24" s="8">
        <v>-1</v>
      </c>
      <c r="GX24" s="8">
        <v>-1</v>
      </c>
      <c r="GY24" s="8">
        <v>-1</v>
      </c>
      <c r="GZ24" s="8">
        <v>-1</v>
      </c>
      <c r="HA24" s="8">
        <v>-1</v>
      </c>
      <c r="HB24" s="8">
        <v>-1</v>
      </c>
      <c r="HC24" s="8">
        <v>-1</v>
      </c>
      <c r="HD24" s="8">
        <v>-1</v>
      </c>
      <c r="HE24" s="8">
        <v>-1</v>
      </c>
      <c r="HF24" s="8">
        <v>-1</v>
      </c>
      <c r="HG24" s="8">
        <v>-1</v>
      </c>
      <c r="HH24" s="8">
        <v>-1</v>
      </c>
      <c r="HI24" s="8">
        <v>-1</v>
      </c>
      <c r="HJ24" s="8">
        <v>-1</v>
      </c>
      <c r="HK24" s="8">
        <v>-1</v>
      </c>
      <c r="HL24" s="8">
        <v>-1</v>
      </c>
      <c r="HM24" s="8">
        <v>-1</v>
      </c>
      <c r="HN24" s="8">
        <v>-1</v>
      </c>
      <c r="HO24" s="8">
        <v>-1</v>
      </c>
      <c r="HP24" s="8">
        <v>-1</v>
      </c>
      <c r="HQ24" s="8">
        <v>-1</v>
      </c>
      <c r="HR24" s="8">
        <v>-1</v>
      </c>
      <c r="HS24" s="8">
        <v>-1</v>
      </c>
      <c r="HT24" s="8">
        <v>-1</v>
      </c>
      <c r="HU24" s="8">
        <v>-1</v>
      </c>
      <c r="HV24" s="8">
        <v>-1</v>
      </c>
      <c r="HW24" s="8">
        <v>-1</v>
      </c>
      <c r="HX24" s="8">
        <v>-1</v>
      </c>
      <c r="HY24" s="8">
        <v>-1</v>
      </c>
      <c r="HZ24" s="8">
        <v>-1</v>
      </c>
      <c r="IA24" s="8">
        <v>-1</v>
      </c>
      <c r="IB24" s="8">
        <v>-1</v>
      </c>
      <c r="IC24" s="8">
        <v>-1</v>
      </c>
      <c r="ID24" s="8">
        <v>-1</v>
      </c>
      <c r="IE24" s="8">
        <v>-1</v>
      </c>
      <c r="IF24" s="8">
        <v>-1</v>
      </c>
      <c r="IG24" s="8">
        <v>-1</v>
      </c>
      <c r="IH24" s="8">
        <v>-1</v>
      </c>
      <c r="II24" s="8">
        <v>-1</v>
      </c>
      <c r="IJ24" s="8">
        <v>-1</v>
      </c>
      <c r="IK24" s="8">
        <v>-1</v>
      </c>
      <c r="IL24" s="8">
        <v>-1</v>
      </c>
      <c r="IM24" s="8">
        <v>-1</v>
      </c>
      <c r="IN24" s="8">
        <v>-1</v>
      </c>
      <c r="IO24" s="8">
        <v>-1</v>
      </c>
      <c r="IP24" s="8">
        <v>-1</v>
      </c>
      <c r="IQ24" s="8">
        <v>-1</v>
      </c>
      <c r="IR24" s="8">
        <v>-1</v>
      </c>
      <c r="IS24" s="8">
        <v>-1</v>
      </c>
      <c r="IT24" s="8">
        <v>-1</v>
      </c>
      <c r="IU24" s="8">
        <v>-1</v>
      </c>
      <c r="IV24" s="8">
        <v>-1</v>
      </c>
      <c r="IW24" s="8">
        <v>-1</v>
      </c>
      <c r="IX24" s="8">
        <v>-1</v>
      </c>
      <c r="IY24" s="8">
        <v>-1</v>
      </c>
      <c r="IZ24" s="8">
        <v>-1</v>
      </c>
      <c r="JA24" s="8">
        <v>-1</v>
      </c>
      <c r="JB24" s="8">
        <v>-1</v>
      </c>
      <c r="JC24" s="8">
        <v>-1</v>
      </c>
      <c r="JD24" s="8">
        <v>-1</v>
      </c>
      <c r="JE24" s="8">
        <v>-1</v>
      </c>
      <c r="JF24" s="8">
        <v>-1</v>
      </c>
      <c r="JG24" s="8">
        <v>-1</v>
      </c>
      <c r="JH24" s="8">
        <v>-1</v>
      </c>
      <c r="JI24" s="8">
        <v>-1</v>
      </c>
      <c r="JJ24" s="8">
        <v>-1</v>
      </c>
      <c r="JK24" s="8">
        <v>-1</v>
      </c>
      <c r="JL24" s="8">
        <v>-1</v>
      </c>
      <c r="JM24" s="8">
        <v>-1</v>
      </c>
      <c r="JN24" s="8">
        <v>-1</v>
      </c>
      <c r="JO24" s="8">
        <v>-1</v>
      </c>
      <c r="JP24" s="8">
        <v>-1</v>
      </c>
      <c r="JQ24" s="8">
        <v>-1</v>
      </c>
      <c r="JR24" s="8">
        <v>-1</v>
      </c>
      <c r="JS24" s="8">
        <v>-1</v>
      </c>
      <c r="JT24" s="8">
        <v>-1</v>
      </c>
      <c r="JU24" s="8">
        <v>-1</v>
      </c>
      <c r="JV24" s="8">
        <v>-1</v>
      </c>
      <c r="JW24" s="8">
        <v>-1</v>
      </c>
      <c r="JX24" s="8">
        <v>-1</v>
      </c>
      <c r="JY24" s="8">
        <v>-1</v>
      </c>
      <c r="JZ24" s="8">
        <v>-1</v>
      </c>
      <c r="KA24" s="8">
        <v>-1</v>
      </c>
      <c r="KB24" s="8">
        <v>-1</v>
      </c>
      <c r="KC24" s="8">
        <v>-1</v>
      </c>
      <c r="KD24" s="8">
        <v>-1</v>
      </c>
      <c r="KE24" s="8">
        <v>-1</v>
      </c>
      <c r="KF24" s="8">
        <v>-1</v>
      </c>
      <c r="KG24" s="8">
        <v>-1</v>
      </c>
      <c r="KH24" s="8">
        <v>-1</v>
      </c>
      <c r="KI24" s="8">
        <v>-1</v>
      </c>
      <c r="KJ24" s="8">
        <v>-1</v>
      </c>
      <c r="KK24" s="8">
        <v>-1</v>
      </c>
      <c r="KL24" s="8">
        <v>-1</v>
      </c>
      <c r="KM24" s="8">
        <v>-1</v>
      </c>
      <c r="KN24" s="8">
        <v>-1</v>
      </c>
      <c r="KO24" s="8">
        <v>-1</v>
      </c>
      <c r="KP24" s="8">
        <v>-1</v>
      </c>
      <c r="KQ24" s="8">
        <v>-1</v>
      </c>
      <c r="KR24" s="8">
        <v>-1</v>
      </c>
      <c r="KS24" s="8">
        <v>-1</v>
      </c>
      <c r="KT24" s="8">
        <v>-1</v>
      </c>
      <c r="KU24" s="8">
        <v>-1</v>
      </c>
      <c r="KV24" s="8">
        <v>-1</v>
      </c>
      <c r="KW24" s="8">
        <v>-1</v>
      </c>
      <c r="KX24" s="8">
        <v>-1</v>
      </c>
      <c r="KY24" s="8">
        <v>-1</v>
      </c>
      <c r="KZ24" s="8">
        <v>-1</v>
      </c>
      <c r="LA24" s="8">
        <v>-1</v>
      </c>
      <c r="LB24" s="8">
        <v>-1</v>
      </c>
      <c r="LC24" s="8">
        <v>-1</v>
      </c>
      <c r="LD24" s="8">
        <v>-1</v>
      </c>
      <c r="LE24" s="8">
        <v>-1</v>
      </c>
      <c r="LF24" s="8">
        <v>-1</v>
      </c>
      <c r="LG24" s="8">
        <v>-1</v>
      </c>
      <c r="LH24" s="8">
        <v>-1</v>
      </c>
      <c r="LI24" s="8">
        <v>-1</v>
      </c>
      <c r="LJ24" s="8">
        <v>-1</v>
      </c>
      <c r="LK24" s="8">
        <v>-1</v>
      </c>
      <c r="LL24" s="8">
        <v>-1</v>
      </c>
      <c r="LM24" s="8">
        <v>-1</v>
      </c>
      <c r="LN24" s="8">
        <v>-1</v>
      </c>
      <c r="LO24" s="8">
        <v>-1</v>
      </c>
      <c r="LP24" s="8">
        <v>-1</v>
      </c>
      <c r="LQ24" s="8">
        <v>-1</v>
      </c>
      <c r="LR24" s="8">
        <v>-1</v>
      </c>
      <c r="LS24" s="8">
        <v>-1</v>
      </c>
      <c r="LT24" s="8">
        <v>-1</v>
      </c>
      <c r="LU24" s="8">
        <v>-1</v>
      </c>
      <c r="LV24" s="8">
        <v>-1</v>
      </c>
      <c r="LW24" s="8">
        <v>-1</v>
      </c>
      <c r="LX24" s="8">
        <v>-1</v>
      </c>
      <c r="LY24" s="8">
        <v>-1</v>
      </c>
      <c r="LZ24" s="8">
        <v>-1</v>
      </c>
      <c r="MA24" s="8">
        <v>-1</v>
      </c>
      <c r="MB24" s="8">
        <v>-1</v>
      </c>
      <c r="MC24" s="8">
        <v>-1</v>
      </c>
      <c r="MD24" s="8">
        <v>-1</v>
      </c>
      <c r="ME24" s="8">
        <v>-1</v>
      </c>
      <c r="MF24" s="8">
        <v>-1</v>
      </c>
      <c r="MG24" s="8">
        <v>-1</v>
      </c>
      <c r="MH24" s="8">
        <v>-1</v>
      </c>
      <c r="MI24" s="8">
        <v>-1</v>
      </c>
      <c r="MJ24" s="8">
        <v>-1</v>
      </c>
      <c r="MK24" s="8">
        <v>-1</v>
      </c>
      <c r="ML24" s="8">
        <v>-1</v>
      </c>
      <c r="MM24" s="8">
        <v>-1</v>
      </c>
      <c r="MN24" s="8">
        <v>-1</v>
      </c>
      <c r="MO24" s="8">
        <v>-1</v>
      </c>
      <c r="MP24" s="8">
        <v>-1</v>
      </c>
      <c r="MQ24" s="8">
        <v>-1</v>
      </c>
      <c r="MR24" s="8">
        <v>-1</v>
      </c>
      <c r="MS24" s="8">
        <v>-1</v>
      </c>
      <c r="MT24" s="8">
        <v>-1</v>
      </c>
      <c r="MU24" s="8">
        <v>-1</v>
      </c>
      <c r="MV24" s="8">
        <v>-1</v>
      </c>
      <c r="MW24" s="8">
        <v>-1</v>
      </c>
      <c r="MX24" s="8">
        <v>-1</v>
      </c>
      <c r="MY24" s="8">
        <v>-1</v>
      </c>
      <c r="MZ24" s="8">
        <v>-1</v>
      </c>
      <c r="NA24" s="8">
        <v>-1</v>
      </c>
      <c r="NB24" s="8">
        <v>-1</v>
      </c>
      <c r="NC24" s="8">
        <v>-1</v>
      </c>
      <c r="ND24" s="8">
        <v>-1</v>
      </c>
      <c r="NE24" s="8">
        <v>-1</v>
      </c>
      <c r="NF24" s="8">
        <v>-1</v>
      </c>
      <c r="NG24" s="8">
        <v>-1</v>
      </c>
      <c r="NH24" s="8">
        <v>-1</v>
      </c>
      <c r="NI24" s="8">
        <v>-1</v>
      </c>
      <c r="NJ24" s="8">
        <v>-1</v>
      </c>
      <c r="NK24" s="8">
        <v>-1</v>
      </c>
      <c r="NL24" s="8">
        <v>-1</v>
      </c>
      <c r="NM24" s="8">
        <v>-1</v>
      </c>
      <c r="NN24" s="8">
        <v>-1</v>
      </c>
      <c r="NO24" s="8">
        <v>-1</v>
      </c>
      <c r="NP24" s="8">
        <v>-1</v>
      </c>
      <c r="NQ24" s="8">
        <v>-1</v>
      </c>
      <c r="NR24" s="8">
        <v>-1</v>
      </c>
      <c r="NS24" s="8">
        <v>-1</v>
      </c>
      <c r="NT24" s="8">
        <v>-1</v>
      </c>
      <c r="NU24" s="8">
        <v>-1</v>
      </c>
      <c r="NV24" s="8">
        <v>-1</v>
      </c>
      <c r="NW24" s="8">
        <v>-1</v>
      </c>
      <c r="NX24" s="8">
        <v>-1</v>
      </c>
      <c r="NY24" s="8">
        <v>-1</v>
      </c>
      <c r="NZ24" s="8">
        <v>-1</v>
      </c>
      <c r="OA24" s="8">
        <v>-1</v>
      </c>
      <c r="OB24" s="8">
        <v>-1</v>
      </c>
      <c r="OC24" s="8">
        <v>-1</v>
      </c>
      <c r="OD24" s="8">
        <v>-1</v>
      </c>
      <c r="OE24" s="8">
        <v>-1</v>
      </c>
      <c r="OF24" s="8">
        <v>-1</v>
      </c>
      <c r="OG24" s="8">
        <v>-1</v>
      </c>
      <c r="OH24" s="8">
        <v>-1</v>
      </c>
      <c r="OI24" s="8">
        <v>-1</v>
      </c>
      <c r="OJ24" s="8">
        <v>-1</v>
      </c>
      <c r="OK24" s="8">
        <v>-1</v>
      </c>
      <c r="OL24" s="8">
        <v>-1</v>
      </c>
      <c r="OM24" s="8">
        <v>-1</v>
      </c>
      <c r="ON24" s="8">
        <v>-1</v>
      </c>
      <c r="OO24" s="8">
        <v>-1</v>
      </c>
      <c r="OP24" s="8">
        <v>-1</v>
      </c>
      <c r="OQ24" s="8">
        <v>-1</v>
      </c>
      <c r="OR24" s="8">
        <v>-1</v>
      </c>
      <c r="OS24" s="8">
        <v>-1</v>
      </c>
      <c r="OT24" s="8">
        <v>-1</v>
      </c>
      <c r="OU24" s="8">
        <v>-1</v>
      </c>
      <c r="OV24" s="8">
        <v>-1</v>
      </c>
      <c r="OW24" s="8">
        <v>-1</v>
      </c>
      <c r="OX24" s="8">
        <v>-1</v>
      </c>
      <c r="OY24" s="8">
        <v>-1</v>
      </c>
      <c r="OZ24" s="8">
        <v>-1</v>
      </c>
      <c r="PA24" s="8">
        <v>-1</v>
      </c>
      <c r="PB24" s="8">
        <v>-1</v>
      </c>
      <c r="PC24" s="8">
        <v>-1</v>
      </c>
      <c r="PD24" s="8">
        <v>-1</v>
      </c>
      <c r="PE24" s="8">
        <v>-1</v>
      </c>
      <c r="PF24" s="8">
        <v>-1</v>
      </c>
      <c r="PG24" s="8">
        <v>-1</v>
      </c>
      <c r="PH24" s="8">
        <v>-1</v>
      </c>
      <c r="PI24" s="8">
        <v>-1</v>
      </c>
      <c r="PJ24" s="8">
        <v>-1</v>
      </c>
      <c r="PK24" s="8">
        <v>-1</v>
      </c>
      <c r="PL24" s="8">
        <v>-1</v>
      </c>
      <c r="PM24" s="8">
        <v>-1</v>
      </c>
      <c r="PN24" s="8">
        <v>-1</v>
      </c>
      <c r="PO24" s="8">
        <v>-1</v>
      </c>
      <c r="PP24" s="8">
        <v>-1</v>
      </c>
      <c r="PQ24" s="8">
        <v>-1</v>
      </c>
      <c r="PR24" s="8">
        <v>-1</v>
      </c>
      <c r="PS24" s="8">
        <v>-1</v>
      </c>
      <c r="PT24" s="8">
        <v>-1</v>
      </c>
      <c r="PU24" s="8">
        <v>-1</v>
      </c>
      <c r="PV24" s="8">
        <v>-1</v>
      </c>
      <c r="PW24" s="8">
        <v>-1</v>
      </c>
      <c r="PX24" s="8">
        <v>-1</v>
      </c>
      <c r="PY24" s="8">
        <v>-1</v>
      </c>
      <c r="PZ24" s="8">
        <v>-1</v>
      </c>
      <c r="QA24" s="8">
        <v>-1</v>
      </c>
      <c r="QB24" s="8">
        <v>-1</v>
      </c>
      <c r="QC24" s="8">
        <v>-1</v>
      </c>
      <c r="QD24" s="8">
        <v>-1</v>
      </c>
      <c r="QE24" s="8">
        <v>-1</v>
      </c>
      <c r="QF24" s="8">
        <v>-1</v>
      </c>
      <c r="QG24" s="8">
        <v>-1</v>
      </c>
      <c r="QH24" s="8">
        <v>-1</v>
      </c>
      <c r="QI24" s="8">
        <v>-1</v>
      </c>
      <c r="QJ24" s="8">
        <v>-1</v>
      </c>
      <c r="QK24" s="8">
        <v>-1</v>
      </c>
      <c r="QL24" s="8">
        <v>-1</v>
      </c>
      <c r="QM24" s="8">
        <v>-1</v>
      </c>
      <c r="QN24" s="8">
        <v>-1</v>
      </c>
      <c r="QO24" s="8">
        <v>-1</v>
      </c>
      <c r="QP24" s="8">
        <v>-1</v>
      </c>
      <c r="QQ24" s="8">
        <v>-1</v>
      </c>
      <c r="QR24" s="8">
        <v>-1</v>
      </c>
      <c r="QS24" s="8">
        <v>-1</v>
      </c>
      <c r="QT24" s="8">
        <v>-1</v>
      </c>
      <c r="QU24" s="8">
        <v>-1</v>
      </c>
      <c r="QV24" s="8">
        <v>-1</v>
      </c>
      <c r="QW24" s="8">
        <v>-1</v>
      </c>
      <c r="QX24" s="8">
        <v>-1</v>
      </c>
      <c r="QY24" s="8">
        <v>-1</v>
      </c>
      <c r="QZ24" s="8">
        <v>-1</v>
      </c>
      <c r="RA24" s="8">
        <v>-1</v>
      </c>
      <c r="RB24" s="8">
        <v>-1</v>
      </c>
      <c r="RC24" s="8">
        <v>-1</v>
      </c>
      <c r="RD24" s="8">
        <v>-1</v>
      </c>
      <c r="RE24" s="8">
        <v>-1</v>
      </c>
      <c r="RF24" s="8">
        <v>-1</v>
      </c>
      <c r="RG24" s="8">
        <v>-1</v>
      </c>
      <c r="RH24" s="8">
        <v>-1</v>
      </c>
      <c r="RI24" s="8">
        <v>-1</v>
      </c>
      <c r="RJ24" s="8">
        <v>-1</v>
      </c>
      <c r="RK24" s="8">
        <v>-1</v>
      </c>
      <c r="RL24" s="8">
        <v>-1</v>
      </c>
      <c r="RM24" s="8">
        <v>-1</v>
      </c>
      <c r="RN24" s="8">
        <v>-1</v>
      </c>
      <c r="RO24" s="8">
        <v>-1</v>
      </c>
      <c r="RP24" s="8">
        <v>-1</v>
      </c>
      <c r="RQ24" s="8">
        <v>-1</v>
      </c>
      <c r="RR24" s="8">
        <v>-1</v>
      </c>
      <c r="RS24" s="8">
        <v>-1</v>
      </c>
      <c r="RT24" s="8">
        <v>-1</v>
      </c>
      <c r="RU24" s="8">
        <v>-1</v>
      </c>
      <c r="RV24" s="8">
        <v>-1</v>
      </c>
      <c r="RW24" s="8">
        <v>-1</v>
      </c>
      <c r="RX24" s="8">
        <v>-1</v>
      </c>
      <c r="RY24" s="8">
        <v>-1</v>
      </c>
      <c r="RZ24" s="8">
        <v>-1</v>
      </c>
      <c r="SA24" s="8">
        <v>-1</v>
      </c>
      <c r="SB24" s="8">
        <v>-1</v>
      </c>
      <c r="SC24" s="8">
        <v>-1</v>
      </c>
      <c r="SD24" s="8">
        <v>-1</v>
      </c>
      <c r="SE24" s="8">
        <v>-1</v>
      </c>
      <c r="SF24" s="8">
        <v>-1</v>
      </c>
      <c r="SG24" s="8">
        <v>-1</v>
      </c>
      <c r="SH24" s="8">
        <v>-1</v>
      </c>
      <c r="SI24" s="8">
        <v>-1</v>
      </c>
      <c r="SJ24" s="8">
        <v>-1</v>
      </c>
      <c r="SK24" s="8">
        <v>-1</v>
      </c>
      <c r="SL24" s="8">
        <v>-1</v>
      </c>
      <c r="SM24" s="8">
        <v>-1</v>
      </c>
      <c r="SN24" s="8">
        <v>-1</v>
      </c>
      <c r="SO24" s="8">
        <v>-1</v>
      </c>
      <c r="SP24" s="8">
        <v>-1</v>
      </c>
      <c r="SQ24" s="8">
        <v>-1</v>
      </c>
      <c r="SR24" s="8">
        <v>-1</v>
      </c>
      <c r="SS24" s="8">
        <v>-1</v>
      </c>
      <c r="ST24" s="8">
        <v>-1</v>
      </c>
      <c r="SU24" s="8">
        <v>-1</v>
      </c>
      <c r="SV24" s="8">
        <v>-1</v>
      </c>
      <c r="SW24" s="8">
        <v>-1</v>
      </c>
      <c r="SX24" s="8">
        <v>-1</v>
      </c>
      <c r="SY24" s="8">
        <v>-1</v>
      </c>
      <c r="SZ24" s="8">
        <v>-1</v>
      </c>
      <c r="TA24" s="8">
        <v>-1</v>
      </c>
      <c r="TB24" s="8">
        <v>-1</v>
      </c>
      <c r="TC24" s="8">
        <v>-1</v>
      </c>
      <c r="TD24" s="8">
        <v>-1</v>
      </c>
      <c r="TE24" s="8">
        <v>-1</v>
      </c>
      <c r="TF24" s="8">
        <v>-1</v>
      </c>
      <c r="TG24" s="8">
        <v>-1</v>
      </c>
      <c r="TH24" s="8">
        <v>-1</v>
      </c>
      <c r="TI24" s="8">
        <v>-1</v>
      </c>
      <c r="TJ24" s="8">
        <v>-1</v>
      </c>
      <c r="TK24" s="8">
        <v>-1</v>
      </c>
      <c r="TL24" s="8">
        <v>-1</v>
      </c>
      <c r="TM24" s="8">
        <v>-1</v>
      </c>
      <c r="TN24" s="8">
        <v>-1</v>
      </c>
      <c r="TO24" s="8">
        <v>-1</v>
      </c>
      <c r="TP24" s="8">
        <v>-1</v>
      </c>
      <c r="TQ24" s="8">
        <v>-1</v>
      </c>
      <c r="TR24" s="8">
        <v>-1</v>
      </c>
      <c r="TS24" s="8">
        <v>-1</v>
      </c>
      <c r="TT24" s="8">
        <v>-1</v>
      </c>
      <c r="TU24" s="8">
        <v>-1</v>
      </c>
      <c r="TV24" s="8">
        <v>-1</v>
      </c>
      <c r="TW24" s="8">
        <v>-1</v>
      </c>
      <c r="TX24" s="8">
        <v>-1</v>
      </c>
      <c r="TY24" s="8">
        <v>-1</v>
      </c>
      <c r="TZ24" s="8">
        <v>-1</v>
      </c>
      <c r="UA24" s="8">
        <v>-1</v>
      </c>
      <c r="UB24" s="8">
        <v>-1</v>
      </c>
      <c r="UC24" s="8">
        <v>-1</v>
      </c>
      <c r="UD24" s="8">
        <v>-1</v>
      </c>
      <c r="UE24" s="8">
        <v>-1</v>
      </c>
      <c r="UF24" s="8">
        <v>-1</v>
      </c>
      <c r="UG24" s="8">
        <v>-1</v>
      </c>
      <c r="UH24" s="8">
        <v>-1</v>
      </c>
      <c r="UI24" s="8">
        <v>-1</v>
      </c>
      <c r="UJ24" s="8">
        <v>-1</v>
      </c>
      <c r="UK24" s="8">
        <v>-1</v>
      </c>
      <c r="UL24" s="8">
        <v>-1</v>
      </c>
      <c r="UM24" s="8">
        <v>-1</v>
      </c>
      <c r="UN24" s="8">
        <v>-1</v>
      </c>
      <c r="UO24" s="8">
        <v>-1</v>
      </c>
      <c r="UP24" s="8">
        <v>-1</v>
      </c>
    </row>
    <row r="26" spans="1:562" x14ac:dyDescent="0.35">
      <c r="R26" s="6" t="s">
        <v>1308</v>
      </c>
      <c r="S26" s="6" t="s">
        <v>1296</v>
      </c>
      <c r="T26" s="6" t="s">
        <v>1295</v>
      </c>
      <c r="U26" s="6" t="s">
        <v>1309</v>
      </c>
    </row>
    <row r="27" spans="1:562" x14ac:dyDescent="0.35">
      <c r="R27" t="e">
        <f t="shared" ref="R27:R39" si="9">AVERAGEIFS(C$22:UP$22,C$2:UP$2,S27)</f>
        <v>#REF!</v>
      </c>
      <c r="S27">
        <v>1111</v>
      </c>
      <c r="T27">
        <f t="shared" ref="T27:T39" si="10">AVERAGEIFS(C$1:UP$1,C$2:UP$2,S27)</f>
        <v>47</v>
      </c>
      <c r="U27" t="str">
        <f t="shared" ref="U27:U39" si="11">HLOOKUP(S27,C$2:UP$3,2,FALSE)</f>
        <v>Primary somatosensory area, trunk, layer 5</v>
      </c>
    </row>
    <row r="28" spans="1:562" x14ac:dyDescent="0.35">
      <c r="R28" t="e">
        <f t="shared" si="9"/>
        <v>#REF!</v>
      </c>
      <c r="S28">
        <v>721</v>
      </c>
      <c r="T28">
        <f t="shared" si="10"/>
        <v>113</v>
      </c>
      <c r="U28" t="str">
        <f t="shared" si="11"/>
        <v>Primary visual area, layer 4</v>
      </c>
    </row>
    <row r="29" spans="1:562" x14ac:dyDescent="0.35">
      <c r="R29" t="e">
        <f t="shared" si="9"/>
        <v>#REF!</v>
      </c>
      <c r="S29">
        <v>778</v>
      </c>
      <c r="T29">
        <f t="shared" si="10"/>
        <v>114</v>
      </c>
      <c r="U29" t="str">
        <f t="shared" si="11"/>
        <v>Primary visual area, layer 5</v>
      </c>
    </row>
    <row r="30" spans="1:562" x14ac:dyDescent="0.35">
      <c r="R30" t="e">
        <f t="shared" si="9"/>
        <v>#REF!</v>
      </c>
      <c r="S30">
        <v>257</v>
      </c>
      <c r="T30">
        <f t="shared" si="10"/>
        <v>127</v>
      </c>
      <c r="U30" t="str">
        <f t="shared" si="11"/>
        <v>posteromedial visual area, layer 6a</v>
      </c>
    </row>
    <row r="31" spans="1:562" x14ac:dyDescent="0.35">
      <c r="R31" t="e">
        <f t="shared" si="9"/>
        <v>#REF!</v>
      </c>
      <c r="S31">
        <v>694</v>
      </c>
      <c r="T31">
        <f t="shared" si="10"/>
        <v>174</v>
      </c>
      <c r="U31" t="str">
        <f t="shared" si="11"/>
        <v>Agranular insular area, ventral part, layer 2/3</v>
      </c>
    </row>
    <row r="32" spans="1:562" x14ac:dyDescent="0.35">
      <c r="R32" t="e">
        <f t="shared" si="9"/>
        <v>#REF!</v>
      </c>
      <c r="S32">
        <v>965</v>
      </c>
      <c r="T32">
        <f t="shared" si="10"/>
        <v>179</v>
      </c>
      <c r="U32" t="str">
        <f t="shared" si="11"/>
        <v>Retrosplenial area, lateral agranular part, layer 2/3</v>
      </c>
    </row>
    <row r="33" spans="18:21" x14ac:dyDescent="0.35">
      <c r="R33" t="e">
        <f t="shared" si="9"/>
        <v>#REF!</v>
      </c>
      <c r="S33">
        <v>774</v>
      </c>
      <c r="T33">
        <f t="shared" si="10"/>
        <v>180</v>
      </c>
      <c r="U33" t="str">
        <f t="shared" si="11"/>
        <v>Retrosplenial area, lateral agranular part, layer 5</v>
      </c>
    </row>
    <row r="34" spans="18:21" x14ac:dyDescent="0.35">
      <c r="R34" t="e">
        <f t="shared" si="9"/>
        <v>#REF!</v>
      </c>
      <c r="S34">
        <v>906</v>
      </c>
      <c r="T34">
        <f t="shared" si="10"/>
        <v>181</v>
      </c>
      <c r="U34" t="str">
        <f t="shared" si="11"/>
        <v>Retrosplenial area, lateral agranular part, layer 6a</v>
      </c>
    </row>
    <row r="35" spans="18:21" x14ac:dyDescent="0.35">
      <c r="R35" t="e">
        <f t="shared" si="9"/>
        <v>#REF!</v>
      </c>
      <c r="S35">
        <v>610</v>
      </c>
      <c r="T35">
        <f t="shared" si="10"/>
        <v>186</v>
      </c>
      <c r="U35" t="str">
        <f t="shared" si="11"/>
        <v>Retrosplenial area, dorsal part, layer 5</v>
      </c>
    </row>
    <row r="36" spans="18:21" x14ac:dyDescent="0.35">
      <c r="R36" t="e">
        <f t="shared" si="9"/>
        <v>#REF!</v>
      </c>
      <c r="S36">
        <v>274</v>
      </c>
      <c r="T36">
        <f t="shared" si="10"/>
        <v>187</v>
      </c>
      <c r="U36" t="str">
        <f t="shared" si="11"/>
        <v>Retrosplenial area, dorsal part, layer 6a</v>
      </c>
    </row>
    <row r="37" spans="18:21" x14ac:dyDescent="0.35">
      <c r="R37" t="e">
        <f t="shared" si="9"/>
        <v>#REF!</v>
      </c>
      <c r="S37">
        <v>590</v>
      </c>
      <c r="T37">
        <f t="shared" si="10"/>
        <v>192</v>
      </c>
      <c r="U37" t="str">
        <f t="shared" si="11"/>
        <v>Retrosplenial area, ventral part, layer 6a</v>
      </c>
    </row>
    <row r="38" spans="18:21" x14ac:dyDescent="0.35">
      <c r="R38" t="e">
        <f t="shared" si="9"/>
        <v>#REF!</v>
      </c>
      <c r="S38">
        <v>814</v>
      </c>
      <c r="T38">
        <f t="shared" si="10"/>
        <v>218</v>
      </c>
      <c r="U38" t="str">
        <f t="shared" si="11"/>
        <v>Dorsal peduncular area</v>
      </c>
    </row>
    <row r="39" spans="18:21" x14ac:dyDescent="0.35">
      <c r="R39" t="e">
        <f t="shared" si="9"/>
        <v>#REF!</v>
      </c>
      <c r="S39">
        <v>56</v>
      </c>
      <c r="T39">
        <f t="shared" si="10"/>
        <v>259</v>
      </c>
      <c r="U39" t="str">
        <f t="shared" si="11"/>
        <v>Nucleus accumbens</v>
      </c>
    </row>
  </sheetData>
  <sortState xmlns:xlrd2="http://schemas.microsoft.com/office/spreadsheetml/2017/richdata2" ref="R27:U39">
    <sortCondition ref="T27:T39"/>
  </sortState>
  <conditionalFormatting sqref="C22:UP22">
    <cfRule type="cellIs" dxfId="16" priority="3" operator="lessThan">
      <formula>-1</formula>
    </cfRule>
    <cfRule type="cellIs" dxfId="15" priority="4" operator="greaterThan">
      <formula>1</formula>
    </cfRule>
  </conditionalFormatting>
  <conditionalFormatting sqref="C22:XFD22">
    <cfRule type="cellIs" dxfId="14" priority="1" operator="greaterThan">
      <formula>1</formula>
    </cfRule>
    <cfRule type="cellIs" dxfId="13" priority="2" operator="lessThan">
      <formula>-1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2BF8-5360-4E75-A278-95E949C14488}">
  <dimension ref="A1:P1091"/>
  <sheetViews>
    <sheetView tabSelected="1" topLeftCell="A365" zoomScale="90" zoomScaleNormal="90" workbookViewId="0">
      <selection activeCell="L378" sqref="L187:L378"/>
    </sheetView>
  </sheetViews>
  <sheetFormatPr defaultRowHeight="14.5" x14ac:dyDescent="0.35"/>
  <cols>
    <col min="1" max="1" width="8.453125" bestFit="1" customWidth="1"/>
    <col min="2" max="8" width="10.7265625" customWidth="1"/>
    <col min="9" max="9" width="9" bestFit="1" customWidth="1"/>
    <col min="10" max="10" width="5.26953125" bestFit="1" customWidth="1"/>
    <col min="11" max="11" width="56.7265625" bestFit="1" customWidth="1"/>
  </cols>
  <sheetData>
    <row r="1" spans="1:16" x14ac:dyDescent="0.35">
      <c r="A1" s="6" t="s">
        <v>1295</v>
      </c>
      <c r="B1" s="6" t="s">
        <v>1310</v>
      </c>
      <c r="C1" s="6" t="s">
        <v>1311</v>
      </c>
      <c r="D1" s="6" t="s">
        <v>1312</v>
      </c>
      <c r="E1" s="6" t="s">
        <v>1313</v>
      </c>
      <c r="F1" s="6" t="s">
        <v>1314</v>
      </c>
      <c r="G1" s="6" t="s">
        <v>1315</v>
      </c>
      <c r="H1" s="6" t="s">
        <v>1316</v>
      </c>
      <c r="I1" s="6" t="s">
        <v>1317</v>
      </c>
      <c r="J1" s="6" t="s">
        <v>1296</v>
      </c>
      <c r="K1" s="6" t="s">
        <v>1318</v>
      </c>
      <c r="L1" s="6" t="s">
        <v>1441</v>
      </c>
      <c r="M1" s="6" t="s">
        <v>1443</v>
      </c>
    </row>
    <row r="2" spans="1:16" x14ac:dyDescent="0.35">
      <c r="A2" s="10">
        <v>1</v>
      </c>
      <c r="B2" s="9" t="s">
        <v>1319</v>
      </c>
      <c r="C2" s="9"/>
      <c r="D2" s="9"/>
      <c r="E2" s="9"/>
      <c r="F2" s="9"/>
      <c r="G2" s="9"/>
      <c r="H2" s="9"/>
      <c r="I2" s="11"/>
      <c r="J2" s="12">
        <v>8</v>
      </c>
      <c r="K2" s="12" t="s">
        <v>586</v>
      </c>
    </row>
    <row r="3" spans="1:16" x14ac:dyDescent="0.35">
      <c r="A3" s="10">
        <v>2</v>
      </c>
      <c r="B3" s="6"/>
      <c r="C3" s="9" t="s">
        <v>891</v>
      </c>
      <c r="D3" s="9"/>
      <c r="E3" s="9"/>
      <c r="F3" s="9"/>
      <c r="G3" s="9"/>
      <c r="H3" s="9"/>
      <c r="I3" s="11"/>
      <c r="J3" s="12">
        <v>567</v>
      </c>
      <c r="K3" s="12" t="s">
        <v>891</v>
      </c>
    </row>
    <row r="4" spans="1:16" x14ac:dyDescent="0.35">
      <c r="A4" s="10">
        <v>3</v>
      </c>
      <c r="B4" s="6"/>
      <c r="C4" s="9"/>
      <c r="D4" s="9" t="s">
        <v>945</v>
      </c>
      <c r="E4" s="9"/>
      <c r="F4" s="9"/>
      <c r="G4" s="9"/>
      <c r="H4" s="9"/>
      <c r="I4" s="11"/>
      <c r="J4" s="12">
        <v>688</v>
      </c>
      <c r="K4" s="12" t="s">
        <v>945</v>
      </c>
    </row>
    <row r="5" spans="1:16" x14ac:dyDescent="0.35">
      <c r="A5" s="10">
        <v>4</v>
      </c>
      <c r="B5" s="6"/>
      <c r="C5" s="9"/>
      <c r="D5" s="9"/>
      <c r="E5" s="9" t="s">
        <v>947</v>
      </c>
      <c r="F5" s="9"/>
      <c r="G5" s="9"/>
      <c r="H5" s="9"/>
      <c r="I5" s="11"/>
      <c r="J5" s="12">
        <v>695</v>
      </c>
      <c r="K5" s="12" t="s">
        <v>947</v>
      </c>
    </row>
    <row r="6" spans="1:16" ht="15" thickBot="1" x14ac:dyDescent="0.4">
      <c r="A6" s="10">
        <v>5</v>
      </c>
      <c r="B6" s="6"/>
      <c r="C6" s="9"/>
      <c r="D6" s="9"/>
      <c r="E6" s="9"/>
      <c r="F6" s="9" t="s">
        <v>739</v>
      </c>
      <c r="G6" s="9"/>
      <c r="H6" s="9"/>
      <c r="I6" s="11"/>
      <c r="J6" s="12">
        <v>315</v>
      </c>
      <c r="K6" s="12" t="s">
        <v>739</v>
      </c>
    </row>
    <row r="7" spans="1:16" x14ac:dyDescent="0.35">
      <c r="A7" s="14">
        <v>6</v>
      </c>
      <c r="B7" s="15"/>
      <c r="C7" s="16"/>
      <c r="D7" s="16"/>
      <c r="E7" s="16"/>
      <c r="F7" s="16"/>
      <c r="G7" s="16" t="s">
        <v>1320</v>
      </c>
      <c r="H7" s="16"/>
      <c r="I7" s="17"/>
      <c r="J7" s="18">
        <v>184</v>
      </c>
      <c r="K7" s="19" t="s">
        <v>676</v>
      </c>
      <c r="L7">
        <v>1</v>
      </c>
      <c r="M7" t="s">
        <v>1442</v>
      </c>
      <c r="O7">
        <v>1</v>
      </c>
      <c r="P7" t="s">
        <v>1442</v>
      </c>
    </row>
    <row r="8" spans="1:16" x14ac:dyDescent="0.35">
      <c r="A8" s="20">
        <v>7</v>
      </c>
      <c r="B8" s="21"/>
      <c r="C8" s="22"/>
      <c r="D8" s="22"/>
      <c r="E8" s="22"/>
      <c r="F8" s="22"/>
      <c r="G8" s="22"/>
      <c r="H8" s="22"/>
      <c r="I8" s="23">
        <v>63</v>
      </c>
      <c r="J8" s="24">
        <v>68</v>
      </c>
      <c r="K8" s="25" t="s">
        <v>50</v>
      </c>
      <c r="L8">
        <v>1</v>
      </c>
      <c r="O8">
        <v>2</v>
      </c>
      <c r="P8" t="s">
        <v>1444</v>
      </c>
    </row>
    <row r="9" spans="1:16" ht="15" thickBot="1" x14ac:dyDescent="0.4">
      <c r="A9" s="26">
        <v>8</v>
      </c>
      <c r="B9" s="27"/>
      <c r="C9" s="28"/>
      <c r="D9" s="28"/>
      <c r="E9" s="28"/>
      <c r="F9" s="28"/>
      <c r="G9" s="28"/>
      <c r="H9" s="28"/>
      <c r="I9" s="29">
        <v>656</v>
      </c>
      <c r="J9" s="30">
        <v>667</v>
      </c>
      <c r="K9" s="31" t="s">
        <v>327</v>
      </c>
      <c r="L9">
        <v>1</v>
      </c>
      <c r="O9">
        <v>3</v>
      </c>
      <c r="P9" t="s">
        <v>1438</v>
      </c>
    </row>
    <row r="10" spans="1:16" x14ac:dyDescent="0.35">
      <c r="A10" s="14">
        <v>9</v>
      </c>
      <c r="B10" s="15"/>
      <c r="C10" s="16"/>
      <c r="D10" s="16"/>
      <c r="E10" s="16"/>
      <c r="F10" s="16"/>
      <c r="G10" s="16" t="s">
        <v>1321</v>
      </c>
      <c r="H10" s="16"/>
      <c r="I10" s="17"/>
      <c r="J10" s="18">
        <v>500</v>
      </c>
      <c r="K10" s="19" t="s">
        <v>848</v>
      </c>
      <c r="L10">
        <v>2</v>
      </c>
      <c r="M10" t="s">
        <v>1444</v>
      </c>
      <c r="O10">
        <v>4</v>
      </c>
      <c r="P10" t="s">
        <v>1439</v>
      </c>
    </row>
    <row r="11" spans="1:16" x14ac:dyDescent="0.35">
      <c r="A11" s="20">
        <v>10</v>
      </c>
      <c r="B11" s="21"/>
      <c r="C11" s="22"/>
      <c r="D11" s="22"/>
      <c r="E11" s="22"/>
      <c r="F11" s="22"/>
      <c r="G11" s="22"/>
      <c r="H11" s="22"/>
      <c r="I11" s="23"/>
      <c r="J11" s="24">
        <v>107</v>
      </c>
      <c r="K11" s="25" t="s">
        <v>640</v>
      </c>
      <c r="L11">
        <v>2</v>
      </c>
      <c r="O11">
        <v>5</v>
      </c>
      <c r="P11" t="s">
        <v>1446</v>
      </c>
    </row>
    <row r="12" spans="1:16" x14ac:dyDescent="0.35">
      <c r="A12" s="20">
        <v>11</v>
      </c>
      <c r="B12" s="21"/>
      <c r="C12" s="22"/>
      <c r="D12" s="22"/>
      <c r="E12" s="22"/>
      <c r="F12" s="22"/>
      <c r="G12" s="22"/>
      <c r="H12" s="22"/>
      <c r="I12" s="23"/>
      <c r="J12" s="24">
        <v>219</v>
      </c>
      <c r="K12" s="25" t="s">
        <v>692</v>
      </c>
      <c r="L12">
        <v>2</v>
      </c>
      <c r="O12">
        <v>5</v>
      </c>
      <c r="P12" t="s">
        <v>1445</v>
      </c>
    </row>
    <row r="13" spans="1:16" x14ac:dyDescent="0.35">
      <c r="A13" s="20">
        <v>12</v>
      </c>
      <c r="B13" s="21"/>
      <c r="C13" s="22"/>
      <c r="D13" s="22"/>
      <c r="E13" s="22"/>
      <c r="F13" s="22"/>
      <c r="G13" s="22"/>
      <c r="H13" s="22"/>
      <c r="I13" s="23"/>
      <c r="J13" s="24">
        <v>299</v>
      </c>
      <c r="K13" s="25" t="s">
        <v>732</v>
      </c>
      <c r="L13">
        <v>2</v>
      </c>
      <c r="O13">
        <v>6</v>
      </c>
      <c r="P13" t="s">
        <v>1447</v>
      </c>
    </row>
    <row r="14" spans="1:16" x14ac:dyDescent="0.35">
      <c r="A14" s="20">
        <v>13</v>
      </c>
      <c r="B14" s="21"/>
      <c r="C14" s="22"/>
      <c r="D14" s="22"/>
      <c r="E14" s="22"/>
      <c r="F14" s="22"/>
      <c r="G14" s="22"/>
      <c r="H14" s="22"/>
      <c r="I14" s="23"/>
      <c r="J14" s="24">
        <v>644</v>
      </c>
      <c r="K14" s="25" t="s">
        <v>924</v>
      </c>
      <c r="L14">
        <v>2</v>
      </c>
      <c r="O14">
        <v>7</v>
      </c>
      <c r="P14" t="s">
        <v>1448</v>
      </c>
    </row>
    <row r="15" spans="1:16" ht="15" thickBot="1" x14ac:dyDescent="0.4">
      <c r="A15" s="26">
        <v>14</v>
      </c>
      <c r="B15" s="27"/>
      <c r="C15" s="28"/>
      <c r="D15" s="28"/>
      <c r="E15" s="28"/>
      <c r="F15" s="28"/>
      <c r="G15" s="28"/>
      <c r="H15" s="28"/>
      <c r="I15" s="29"/>
      <c r="J15" s="30">
        <v>947</v>
      </c>
      <c r="K15" s="31" t="s">
        <v>1078</v>
      </c>
      <c r="L15">
        <v>2</v>
      </c>
      <c r="O15">
        <v>8</v>
      </c>
      <c r="P15" t="s">
        <v>1449</v>
      </c>
    </row>
    <row r="16" spans="1:16" x14ac:dyDescent="0.35">
      <c r="A16" s="14">
        <v>15</v>
      </c>
      <c r="B16" s="15"/>
      <c r="C16" s="16"/>
      <c r="D16" s="16"/>
      <c r="E16" s="16"/>
      <c r="F16" s="16"/>
      <c r="G16" s="16"/>
      <c r="H16" s="16" t="s">
        <v>1322</v>
      </c>
      <c r="I16" s="17">
        <v>974</v>
      </c>
      <c r="J16" s="18">
        <v>985</v>
      </c>
      <c r="K16" s="19" t="s">
        <v>486</v>
      </c>
      <c r="L16">
        <v>3</v>
      </c>
      <c r="M16" t="s">
        <v>1438</v>
      </c>
      <c r="O16">
        <v>9</v>
      </c>
      <c r="P16" t="s">
        <v>1450</v>
      </c>
    </row>
    <row r="17" spans="1:16" x14ac:dyDescent="0.35">
      <c r="A17" s="20">
        <v>16</v>
      </c>
      <c r="B17" s="21"/>
      <c r="C17" s="22"/>
      <c r="D17" s="22"/>
      <c r="E17" s="22"/>
      <c r="F17" s="22"/>
      <c r="G17" s="22"/>
      <c r="H17" s="22"/>
      <c r="I17" s="23">
        <v>310</v>
      </c>
      <c r="J17" s="24">
        <v>320</v>
      </c>
      <c r="K17" s="25" t="s">
        <v>174</v>
      </c>
      <c r="L17">
        <v>3</v>
      </c>
      <c r="O17">
        <v>10</v>
      </c>
      <c r="P17" t="s">
        <v>1451</v>
      </c>
    </row>
    <row r="18" spans="1:16" x14ac:dyDescent="0.35">
      <c r="A18" s="20">
        <v>17</v>
      </c>
      <c r="B18" s="21"/>
      <c r="C18" s="22"/>
      <c r="D18" s="22"/>
      <c r="E18" s="22"/>
      <c r="F18" s="22"/>
      <c r="G18" s="22"/>
      <c r="H18" s="22"/>
      <c r="I18" s="23">
        <v>932</v>
      </c>
      <c r="J18" s="24">
        <v>943</v>
      </c>
      <c r="K18" s="25" t="s">
        <v>460</v>
      </c>
      <c r="L18">
        <v>3</v>
      </c>
      <c r="O18">
        <v>11</v>
      </c>
      <c r="P18" t="s">
        <v>1452</v>
      </c>
    </row>
    <row r="19" spans="1:16" x14ac:dyDescent="0.35">
      <c r="A19" s="20">
        <v>18</v>
      </c>
      <c r="B19" s="21"/>
      <c r="C19" s="22"/>
      <c r="D19" s="22"/>
      <c r="E19" s="22"/>
      <c r="F19" s="22"/>
      <c r="G19" s="22"/>
      <c r="H19" s="22"/>
      <c r="I19" s="23">
        <v>637</v>
      </c>
      <c r="J19" s="24">
        <v>648</v>
      </c>
      <c r="K19" s="25" t="s">
        <v>316</v>
      </c>
      <c r="L19">
        <v>3</v>
      </c>
      <c r="O19">
        <v>12</v>
      </c>
      <c r="P19" t="s">
        <v>1453</v>
      </c>
    </row>
    <row r="20" spans="1:16" x14ac:dyDescent="0.35">
      <c r="A20" s="20">
        <v>19</v>
      </c>
      <c r="B20" s="21"/>
      <c r="C20" s="22"/>
      <c r="D20" s="22"/>
      <c r="E20" s="22"/>
      <c r="F20" s="22"/>
      <c r="G20" s="22"/>
      <c r="H20" s="22"/>
      <c r="I20" s="23">
        <v>833</v>
      </c>
      <c r="J20" s="24">
        <v>844</v>
      </c>
      <c r="K20" s="25" t="s">
        <v>407</v>
      </c>
      <c r="L20">
        <v>3</v>
      </c>
      <c r="O20">
        <v>13</v>
      </c>
      <c r="P20" t="s">
        <v>1454</v>
      </c>
    </row>
    <row r="21" spans="1:16" ht="15" thickBot="1" x14ac:dyDescent="0.4">
      <c r="A21" s="26">
        <v>20</v>
      </c>
      <c r="B21" s="27"/>
      <c r="C21" s="28"/>
      <c r="D21" s="28"/>
      <c r="E21" s="28"/>
      <c r="F21" s="28"/>
      <c r="G21" s="28"/>
      <c r="H21" s="28"/>
      <c r="I21" s="29">
        <v>871</v>
      </c>
      <c r="J21" s="30">
        <v>882</v>
      </c>
      <c r="K21" s="31" t="s">
        <v>425</v>
      </c>
      <c r="L21">
        <v>3</v>
      </c>
      <c r="O21">
        <v>14</v>
      </c>
      <c r="P21" t="s">
        <v>1455</v>
      </c>
    </row>
    <row r="22" spans="1:16" x14ac:dyDescent="0.35">
      <c r="A22" s="14">
        <v>21</v>
      </c>
      <c r="B22" s="15"/>
      <c r="C22" s="16"/>
      <c r="D22" s="16"/>
      <c r="E22" s="16"/>
      <c r="F22" s="16"/>
      <c r="G22" s="16"/>
      <c r="H22" s="16" t="s">
        <v>1323</v>
      </c>
      <c r="I22" s="17"/>
      <c r="J22" s="18">
        <v>993</v>
      </c>
      <c r="K22" s="19" t="s">
        <v>1098</v>
      </c>
      <c r="L22">
        <v>4</v>
      </c>
      <c r="M22" t="s">
        <v>1439</v>
      </c>
      <c r="O22">
        <v>15</v>
      </c>
      <c r="P22" t="s">
        <v>1456</v>
      </c>
    </row>
    <row r="23" spans="1:16" x14ac:dyDescent="0.35">
      <c r="A23" s="20">
        <v>22</v>
      </c>
      <c r="B23" s="21"/>
      <c r="C23" s="22"/>
      <c r="D23" s="22"/>
      <c r="E23" s="22"/>
      <c r="F23" s="22"/>
      <c r="G23" s="22"/>
      <c r="H23" s="22"/>
      <c r="I23" s="23">
        <v>645</v>
      </c>
      <c r="J23" s="24">
        <v>656</v>
      </c>
      <c r="K23" s="25" t="s">
        <v>321</v>
      </c>
      <c r="L23">
        <v>4</v>
      </c>
      <c r="O23">
        <v>16</v>
      </c>
      <c r="P23" t="s">
        <v>1457</v>
      </c>
    </row>
    <row r="24" spans="1:16" x14ac:dyDescent="0.35">
      <c r="A24" s="20">
        <v>23</v>
      </c>
      <c r="B24" s="21"/>
      <c r="C24" s="22"/>
      <c r="D24" s="22"/>
      <c r="E24" s="22"/>
      <c r="F24" s="22"/>
      <c r="G24" s="22"/>
      <c r="H24" s="22"/>
      <c r="I24" s="23">
        <v>951</v>
      </c>
      <c r="J24" s="24">
        <v>962</v>
      </c>
      <c r="K24" s="25" t="s">
        <v>472</v>
      </c>
      <c r="L24">
        <v>4</v>
      </c>
      <c r="O24">
        <v>17</v>
      </c>
      <c r="P24" t="s">
        <v>1458</v>
      </c>
    </row>
    <row r="25" spans="1:16" x14ac:dyDescent="0.35">
      <c r="A25" s="20">
        <v>24</v>
      </c>
      <c r="B25" s="21"/>
      <c r="C25" s="22"/>
      <c r="D25" s="22"/>
      <c r="E25" s="22"/>
      <c r="F25" s="22"/>
      <c r="G25" s="22"/>
      <c r="H25" s="22"/>
      <c r="I25" s="23">
        <v>756</v>
      </c>
      <c r="J25" s="24">
        <v>767</v>
      </c>
      <c r="K25" s="25" t="s">
        <v>369</v>
      </c>
      <c r="L25">
        <v>4</v>
      </c>
      <c r="O25">
        <v>18</v>
      </c>
      <c r="P25" t="s">
        <v>1459</v>
      </c>
    </row>
    <row r="26" spans="1:16" x14ac:dyDescent="0.35">
      <c r="A26" s="20">
        <v>25</v>
      </c>
      <c r="B26" s="21"/>
      <c r="C26" s="22"/>
      <c r="D26" s="22"/>
      <c r="E26" s="22"/>
      <c r="F26" s="22"/>
      <c r="G26" s="22"/>
      <c r="H26" s="22"/>
      <c r="I26" s="23">
        <v>1009</v>
      </c>
      <c r="J26" s="24">
        <v>1021</v>
      </c>
      <c r="K26" s="25" t="s">
        <v>503</v>
      </c>
      <c r="L26">
        <v>4</v>
      </c>
      <c r="O26">
        <v>19</v>
      </c>
      <c r="P26" t="s">
        <v>1460</v>
      </c>
    </row>
    <row r="27" spans="1:16" ht="15" thickBot="1" x14ac:dyDescent="0.4">
      <c r="A27" s="26">
        <v>26</v>
      </c>
      <c r="B27" s="27"/>
      <c r="C27" s="28"/>
      <c r="D27" s="28"/>
      <c r="E27" s="28"/>
      <c r="F27" s="28"/>
      <c r="G27" s="28"/>
      <c r="H27" s="28"/>
      <c r="I27" s="29">
        <v>1073</v>
      </c>
      <c r="J27" s="30">
        <v>1085</v>
      </c>
      <c r="K27" s="31" t="s">
        <v>535</v>
      </c>
      <c r="L27">
        <v>4</v>
      </c>
      <c r="O27">
        <v>20</v>
      </c>
      <c r="P27" t="s">
        <v>576</v>
      </c>
    </row>
    <row r="28" spans="1:16" x14ac:dyDescent="0.35">
      <c r="A28" s="14">
        <v>27</v>
      </c>
      <c r="B28" s="15"/>
      <c r="C28" s="16"/>
      <c r="D28" s="16"/>
      <c r="E28" s="16"/>
      <c r="F28" s="16"/>
      <c r="G28" s="16" t="s">
        <v>817</v>
      </c>
      <c r="H28" s="16"/>
      <c r="I28" s="17"/>
      <c r="J28" s="18">
        <v>453</v>
      </c>
      <c r="K28" s="19" t="s">
        <v>817</v>
      </c>
      <c r="L28">
        <v>5</v>
      </c>
      <c r="M28" t="s">
        <v>1445</v>
      </c>
      <c r="O28">
        <v>21</v>
      </c>
      <c r="P28" t="s">
        <v>1461</v>
      </c>
    </row>
    <row r="29" spans="1:16" x14ac:dyDescent="0.35">
      <c r="A29" s="20">
        <v>28</v>
      </c>
      <c r="B29" s="21"/>
      <c r="C29" s="22"/>
      <c r="D29" s="22"/>
      <c r="E29" s="22"/>
      <c r="F29" s="22"/>
      <c r="G29" s="22"/>
      <c r="H29" s="22"/>
      <c r="I29" s="23"/>
      <c r="J29" s="24">
        <v>12993</v>
      </c>
      <c r="K29" s="25" t="s">
        <v>1237</v>
      </c>
      <c r="L29">
        <v>5</v>
      </c>
      <c r="O29">
        <v>22</v>
      </c>
      <c r="P29" t="s">
        <v>1462</v>
      </c>
    </row>
    <row r="30" spans="1:16" x14ac:dyDescent="0.35">
      <c r="A30" s="20">
        <v>29</v>
      </c>
      <c r="B30" s="21"/>
      <c r="C30" s="22"/>
      <c r="D30" s="22"/>
      <c r="E30" s="22"/>
      <c r="F30" s="22"/>
      <c r="G30" s="22"/>
      <c r="H30" s="22"/>
      <c r="I30" s="23"/>
      <c r="J30" s="24">
        <v>12994</v>
      </c>
      <c r="K30" s="25" t="s">
        <v>1238</v>
      </c>
      <c r="L30">
        <v>5</v>
      </c>
      <c r="O30">
        <v>23</v>
      </c>
      <c r="P30" t="s">
        <v>1463</v>
      </c>
    </row>
    <row r="31" spans="1:16" x14ac:dyDescent="0.35">
      <c r="A31" s="20">
        <v>30</v>
      </c>
      <c r="B31" s="21"/>
      <c r="C31" s="22"/>
      <c r="D31" s="22"/>
      <c r="E31" s="22"/>
      <c r="F31" s="22"/>
      <c r="G31" s="22"/>
      <c r="H31" s="22"/>
      <c r="I31" s="23"/>
      <c r="J31" s="24">
        <v>12995</v>
      </c>
      <c r="K31" s="25" t="s">
        <v>1239</v>
      </c>
      <c r="L31">
        <v>5</v>
      </c>
      <c r="O31">
        <v>24</v>
      </c>
      <c r="P31" t="s">
        <v>578</v>
      </c>
    </row>
    <row r="32" spans="1:16" x14ac:dyDescent="0.35">
      <c r="A32" s="20">
        <v>31</v>
      </c>
      <c r="B32" s="21"/>
      <c r="C32" s="22"/>
      <c r="D32" s="22"/>
      <c r="E32" s="22"/>
      <c r="F32" s="22"/>
      <c r="G32" s="22"/>
      <c r="H32" s="22"/>
      <c r="I32" s="23"/>
      <c r="J32" s="24">
        <v>12996</v>
      </c>
      <c r="K32" s="25" t="s">
        <v>1240</v>
      </c>
      <c r="L32">
        <v>5</v>
      </c>
      <c r="O32">
        <v>25</v>
      </c>
      <c r="P32" t="s">
        <v>1464</v>
      </c>
    </row>
    <row r="33" spans="1:16" x14ac:dyDescent="0.35">
      <c r="A33" s="20">
        <v>32</v>
      </c>
      <c r="B33" s="21"/>
      <c r="C33" s="22"/>
      <c r="D33" s="22"/>
      <c r="E33" s="22"/>
      <c r="F33" s="22"/>
      <c r="G33" s="22"/>
      <c r="H33" s="22"/>
      <c r="I33" s="23"/>
      <c r="J33" s="24">
        <v>12997</v>
      </c>
      <c r="K33" s="25" t="s">
        <v>1241</v>
      </c>
      <c r="L33">
        <v>5</v>
      </c>
      <c r="O33">
        <v>26</v>
      </c>
      <c r="P33" t="s">
        <v>1465</v>
      </c>
    </row>
    <row r="34" spans="1:16" x14ac:dyDescent="0.35">
      <c r="A34" s="20">
        <v>33</v>
      </c>
      <c r="B34" s="21"/>
      <c r="C34" s="22"/>
      <c r="D34" s="22"/>
      <c r="E34" s="22"/>
      <c r="F34" s="22"/>
      <c r="G34" s="22"/>
      <c r="H34" s="22"/>
      <c r="I34" s="23"/>
      <c r="J34" s="24">
        <v>12998</v>
      </c>
      <c r="K34" s="25" t="s">
        <v>1242</v>
      </c>
      <c r="L34">
        <v>5</v>
      </c>
      <c r="O34">
        <v>27</v>
      </c>
      <c r="P34" t="s">
        <v>1466</v>
      </c>
    </row>
    <row r="35" spans="1:16" x14ac:dyDescent="0.35">
      <c r="A35" s="20">
        <v>34</v>
      </c>
      <c r="B35" s="21"/>
      <c r="C35" s="22"/>
      <c r="D35" s="22"/>
      <c r="E35" s="22"/>
      <c r="F35" s="22"/>
      <c r="G35" s="22"/>
      <c r="H35" s="22" t="s">
        <v>1324</v>
      </c>
      <c r="I35" s="23"/>
      <c r="J35" s="24">
        <v>322</v>
      </c>
      <c r="K35" s="25" t="s">
        <v>742</v>
      </c>
      <c r="L35">
        <v>5</v>
      </c>
      <c r="M35" t="s">
        <v>1446</v>
      </c>
      <c r="O35">
        <v>28</v>
      </c>
      <c r="P35" t="s">
        <v>1467</v>
      </c>
    </row>
    <row r="36" spans="1:16" x14ac:dyDescent="0.35">
      <c r="A36" s="20">
        <v>35</v>
      </c>
      <c r="B36" s="21"/>
      <c r="C36" s="22"/>
      <c r="D36" s="22"/>
      <c r="E36" s="22"/>
      <c r="F36" s="22"/>
      <c r="G36" s="22"/>
      <c r="H36" s="22"/>
      <c r="I36" s="23"/>
      <c r="J36" s="24">
        <v>793</v>
      </c>
      <c r="K36" s="25" t="s">
        <v>1005</v>
      </c>
      <c r="L36">
        <v>5</v>
      </c>
      <c r="O36">
        <v>29</v>
      </c>
      <c r="P36" t="s">
        <v>1469</v>
      </c>
    </row>
    <row r="37" spans="1:16" x14ac:dyDescent="0.35">
      <c r="A37" s="20">
        <v>36</v>
      </c>
      <c r="B37" s="21"/>
      <c r="C37" s="22"/>
      <c r="D37" s="22"/>
      <c r="E37" s="22"/>
      <c r="F37" s="22"/>
      <c r="G37" s="22"/>
      <c r="H37" s="22"/>
      <c r="I37" s="23"/>
      <c r="J37" s="24">
        <v>346</v>
      </c>
      <c r="K37" s="25" t="s">
        <v>756</v>
      </c>
      <c r="L37">
        <v>5</v>
      </c>
      <c r="O37">
        <v>30</v>
      </c>
      <c r="P37" t="s">
        <v>1468</v>
      </c>
    </row>
    <row r="38" spans="1:16" x14ac:dyDescent="0.35">
      <c r="A38" s="20">
        <v>37</v>
      </c>
      <c r="B38" s="21"/>
      <c r="C38" s="22"/>
      <c r="D38" s="22"/>
      <c r="E38" s="22"/>
      <c r="F38" s="22"/>
      <c r="G38" s="22"/>
      <c r="H38" s="22"/>
      <c r="I38" s="23"/>
      <c r="J38" s="24">
        <v>865</v>
      </c>
      <c r="K38" s="25" t="s">
        <v>1042</v>
      </c>
      <c r="L38">
        <v>5</v>
      </c>
      <c r="O38">
        <v>31</v>
      </c>
      <c r="P38" t="s">
        <v>1470</v>
      </c>
    </row>
    <row r="39" spans="1:16" x14ac:dyDescent="0.35">
      <c r="A39" s="20">
        <v>38</v>
      </c>
      <c r="B39" s="21"/>
      <c r="C39" s="22"/>
      <c r="D39" s="22"/>
      <c r="E39" s="22"/>
      <c r="F39" s="22"/>
      <c r="G39" s="22"/>
      <c r="H39" s="22"/>
      <c r="I39" s="23"/>
      <c r="J39" s="24">
        <v>921</v>
      </c>
      <c r="K39" s="25" t="s">
        <v>1068</v>
      </c>
      <c r="L39">
        <v>5</v>
      </c>
      <c r="O39">
        <v>32</v>
      </c>
      <c r="P39" t="s">
        <v>1471</v>
      </c>
    </row>
    <row r="40" spans="1:16" x14ac:dyDescent="0.35">
      <c r="A40" s="20">
        <v>39</v>
      </c>
      <c r="B40" s="21"/>
      <c r="C40" s="22"/>
      <c r="D40" s="22"/>
      <c r="E40" s="22"/>
      <c r="F40" s="22"/>
      <c r="G40" s="22"/>
      <c r="H40" s="22"/>
      <c r="I40" s="23"/>
      <c r="J40" s="24">
        <v>686</v>
      </c>
      <c r="K40" s="25" t="s">
        <v>944</v>
      </c>
      <c r="L40">
        <v>5</v>
      </c>
      <c r="O40">
        <v>33</v>
      </c>
      <c r="P40" t="s">
        <v>1472</v>
      </c>
    </row>
    <row r="41" spans="1:16" x14ac:dyDescent="0.35">
      <c r="A41" s="20">
        <v>40</v>
      </c>
      <c r="B41" s="21"/>
      <c r="C41" s="22"/>
      <c r="D41" s="22"/>
      <c r="E41" s="22"/>
      <c r="F41" s="22"/>
      <c r="G41" s="22"/>
      <c r="H41" s="22"/>
      <c r="I41" s="23"/>
      <c r="J41" s="24">
        <v>719</v>
      </c>
      <c r="K41" s="25" t="s">
        <v>960</v>
      </c>
      <c r="L41">
        <v>5</v>
      </c>
      <c r="O41">
        <v>34</v>
      </c>
      <c r="P41" t="s">
        <v>1473</v>
      </c>
    </row>
    <row r="42" spans="1:16" x14ac:dyDescent="0.35">
      <c r="A42" s="20">
        <v>41</v>
      </c>
      <c r="B42" s="21"/>
      <c r="C42" s="22"/>
      <c r="D42" s="22"/>
      <c r="E42" s="22"/>
      <c r="F42" s="22"/>
      <c r="G42" s="22"/>
      <c r="H42" s="22"/>
      <c r="I42" s="23"/>
      <c r="J42" s="24">
        <v>353</v>
      </c>
      <c r="K42" s="25" t="s">
        <v>760</v>
      </c>
      <c r="L42">
        <v>5</v>
      </c>
      <c r="O42">
        <v>35</v>
      </c>
      <c r="P42" t="s">
        <v>1474</v>
      </c>
    </row>
    <row r="43" spans="1:16" x14ac:dyDescent="0.35">
      <c r="A43" s="20">
        <v>42</v>
      </c>
      <c r="B43" s="21"/>
      <c r="C43" s="22"/>
      <c r="D43" s="22"/>
      <c r="E43" s="22"/>
      <c r="F43" s="22"/>
      <c r="G43" s="22"/>
      <c r="H43" s="22"/>
      <c r="I43" s="23">
        <v>547</v>
      </c>
      <c r="J43" s="24">
        <v>558</v>
      </c>
      <c r="K43" s="25" t="s">
        <v>267</v>
      </c>
      <c r="L43">
        <v>5</v>
      </c>
      <c r="O43">
        <v>36</v>
      </c>
      <c r="P43" t="s">
        <v>1475</v>
      </c>
    </row>
    <row r="44" spans="1:16" x14ac:dyDescent="0.35">
      <c r="A44" s="20">
        <v>43</v>
      </c>
      <c r="B44" s="21"/>
      <c r="C44" s="22"/>
      <c r="D44" s="22"/>
      <c r="E44" s="22"/>
      <c r="F44" s="22"/>
      <c r="G44" s="22"/>
      <c r="H44" s="22"/>
      <c r="I44" s="23">
        <v>827</v>
      </c>
      <c r="J44" s="24">
        <v>838</v>
      </c>
      <c r="K44" s="25" t="s">
        <v>402</v>
      </c>
      <c r="L44">
        <v>5</v>
      </c>
      <c r="O44">
        <v>37</v>
      </c>
      <c r="P44" t="s">
        <v>1476</v>
      </c>
    </row>
    <row r="45" spans="1:16" x14ac:dyDescent="0.35">
      <c r="A45" s="20">
        <v>44</v>
      </c>
      <c r="B45" s="21"/>
      <c r="C45" s="22"/>
      <c r="D45" s="22"/>
      <c r="E45" s="22"/>
      <c r="F45" s="22"/>
      <c r="G45" s="22"/>
      <c r="H45" s="22"/>
      <c r="I45" s="23">
        <v>643</v>
      </c>
      <c r="J45" s="24">
        <v>654</v>
      </c>
      <c r="K45" s="25" t="s">
        <v>320</v>
      </c>
      <c r="L45">
        <v>5</v>
      </c>
      <c r="O45">
        <v>38</v>
      </c>
      <c r="P45" t="s">
        <v>1477</v>
      </c>
    </row>
    <row r="46" spans="1:16" x14ac:dyDescent="0.35">
      <c r="A46" s="20">
        <v>45</v>
      </c>
      <c r="B46" s="21"/>
      <c r="C46" s="22"/>
      <c r="D46" s="22"/>
      <c r="E46" s="22"/>
      <c r="F46" s="22"/>
      <c r="G46" s="22"/>
      <c r="H46" s="22"/>
      <c r="I46" s="23">
        <v>691</v>
      </c>
      <c r="J46" s="24">
        <v>702</v>
      </c>
      <c r="K46" s="25" t="s">
        <v>346</v>
      </c>
      <c r="L46">
        <v>5</v>
      </c>
      <c r="O46" s="40">
        <v>39</v>
      </c>
      <c r="P46" t="s">
        <v>1478</v>
      </c>
    </row>
    <row r="47" spans="1:16" x14ac:dyDescent="0.35">
      <c r="A47" s="20">
        <v>46</v>
      </c>
      <c r="B47" s="21"/>
      <c r="C47" s="22"/>
      <c r="D47" s="22"/>
      <c r="E47" s="22"/>
      <c r="F47" s="22"/>
      <c r="G47" s="22"/>
      <c r="H47" s="22"/>
      <c r="I47" s="23">
        <v>878</v>
      </c>
      <c r="J47" s="24">
        <v>889</v>
      </c>
      <c r="K47" s="25" t="s">
        <v>428</v>
      </c>
      <c r="L47">
        <v>5</v>
      </c>
      <c r="O47">
        <v>40</v>
      </c>
      <c r="P47" t="s">
        <v>569</v>
      </c>
    </row>
    <row r="48" spans="1:16" x14ac:dyDescent="0.35">
      <c r="A48" s="20">
        <v>47</v>
      </c>
      <c r="B48" s="21"/>
      <c r="C48" s="22"/>
      <c r="D48" s="22"/>
      <c r="E48" s="22"/>
      <c r="F48" s="22"/>
      <c r="G48" s="22"/>
      <c r="H48" s="22"/>
      <c r="I48" s="23">
        <v>918</v>
      </c>
      <c r="J48" s="24">
        <v>929</v>
      </c>
      <c r="K48" s="25" t="s">
        <v>452</v>
      </c>
      <c r="L48">
        <v>5</v>
      </c>
      <c r="O48">
        <v>41</v>
      </c>
      <c r="P48" t="s">
        <v>1479</v>
      </c>
    </row>
    <row r="49" spans="1:16" x14ac:dyDescent="0.35">
      <c r="A49" s="20">
        <v>48</v>
      </c>
      <c r="B49" s="21"/>
      <c r="C49" s="22"/>
      <c r="D49" s="22"/>
      <c r="E49" s="22"/>
      <c r="F49" s="22"/>
      <c r="G49" s="22"/>
      <c r="H49" s="22"/>
      <c r="I49" s="23"/>
      <c r="J49" s="24">
        <v>329</v>
      </c>
      <c r="K49" s="25" t="s">
        <v>746</v>
      </c>
      <c r="L49">
        <v>5</v>
      </c>
      <c r="O49">
        <v>42</v>
      </c>
      <c r="P49" t="s">
        <v>570</v>
      </c>
    </row>
    <row r="50" spans="1:16" x14ac:dyDescent="0.35">
      <c r="A50" s="20">
        <v>49</v>
      </c>
      <c r="B50" s="21"/>
      <c r="C50" s="22"/>
      <c r="D50" s="22"/>
      <c r="E50" s="22"/>
      <c r="F50" s="22"/>
      <c r="G50" s="22"/>
      <c r="H50" s="22"/>
      <c r="I50" s="23">
        <v>970</v>
      </c>
      <c r="J50" s="24">
        <v>981</v>
      </c>
      <c r="K50" s="25" t="s">
        <v>484</v>
      </c>
      <c r="L50">
        <v>5</v>
      </c>
      <c r="O50">
        <v>43</v>
      </c>
      <c r="P50" t="s">
        <v>572</v>
      </c>
    </row>
    <row r="51" spans="1:16" x14ac:dyDescent="0.35">
      <c r="A51" s="20">
        <v>50</v>
      </c>
      <c r="B51" s="21"/>
      <c r="C51" s="22"/>
      <c r="D51" s="22"/>
      <c r="E51" s="22"/>
      <c r="F51" s="22"/>
      <c r="G51" s="22"/>
      <c r="H51" s="22"/>
      <c r="I51" s="23">
        <v>194</v>
      </c>
      <c r="J51" s="24">
        <v>201</v>
      </c>
      <c r="K51" s="25" t="s">
        <v>114</v>
      </c>
      <c r="L51">
        <v>5</v>
      </c>
      <c r="O51">
        <v>44</v>
      </c>
      <c r="P51" t="s">
        <v>1480</v>
      </c>
    </row>
    <row r="52" spans="1:16" x14ac:dyDescent="0.35">
      <c r="A52" s="20">
        <v>51</v>
      </c>
      <c r="B52" s="21"/>
      <c r="C52" s="22"/>
      <c r="D52" s="22"/>
      <c r="E52" s="22"/>
      <c r="F52" s="22"/>
      <c r="G52" s="22"/>
      <c r="H52" s="22"/>
      <c r="I52" s="23">
        <v>1035</v>
      </c>
      <c r="J52" s="24">
        <v>1047</v>
      </c>
      <c r="K52" s="25" t="s">
        <v>520</v>
      </c>
      <c r="L52">
        <v>5</v>
      </c>
      <c r="O52">
        <v>45</v>
      </c>
      <c r="P52" t="s">
        <v>573</v>
      </c>
    </row>
    <row r="53" spans="1:16" x14ac:dyDescent="0.35">
      <c r="A53" s="20">
        <v>52</v>
      </c>
      <c r="B53" s="21"/>
      <c r="C53" s="22"/>
      <c r="D53" s="22"/>
      <c r="E53" s="22"/>
      <c r="F53" s="22"/>
      <c r="G53" s="22"/>
      <c r="H53" s="22"/>
      <c r="I53" s="23">
        <v>1058</v>
      </c>
      <c r="J53" s="24">
        <v>1070</v>
      </c>
      <c r="K53" s="25" t="s">
        <v>1298</v>
      </c>
      <c r="L53">
        <v>5</v>
      </c>
      <c r="O53">
        <v>46</v>
      </c>
      <c r="P53" t="s">
        <v>571</v>
      </c>
    </row>
    <row r="54" spans="1:16" x14ac:dyDescent="0.35">
      <c r="A54" s="20">
        <v>53</v>
      </c>
      <c r="B54" s="21"/>
      <c r="C54" s="22"/>
      <c r="D54" s="22"/>
      <c r="E54" s="22"/>
      <c r="F54" s="22"/>
      <c r="G54" s="22"/>
      <c r="H54" s="22"/>
      <c r="I54" s="23">
        <v>1026</v>
      </c>
      <c r="J54" s="24">
        <v>1038</v>
      </c>
      <c r="K54" s="25" t="s">
        <v>514</v>
      </c>
      <c r="L54">
        <v>5</v>
      </c>
      <c r="O54">
        <v>47</v>
      </c>
      <c r="P54" t="s">
        <v>574</v>
      </c>
    </row>
    <row r="55" spans="1:16" x14ac:dyDescent="0.35">
      <c r="A55" s="20">
        <v>54</v>
      </c>
      <c r="B55" s="21"/>
      <c r="C55" s="22"/>
      <c r="D55" s="22"/>
      <c r="E55" s="22"/>
      <c r="F55" s="22"/>
      <c r="G55" s="22"/>
      <c r="H55" s="22"/>
      <c r="I55" s="23">
        <v>1050</v>
      </c>
      <c r="J55" s="24">
        <v>1062</v>
      </c>
      <c r="K55" s="25" t="s">
        <v>528</v>
      </c>
      <c r="L55">
        <v>5</v>
      </c>
      <c r="O55">
        <v>48</v>
      </c>
      <c r="P55" t="s">
        <v>1481</v>
      </c>
    </row>
    <row r="56" spans="1:16" x14ac:dyDescent="0.35">
      <c r="A56" s="20">
        <v>55</v>
      </c>
      <c r="B56" s="21"/>
      <c r="C56" s="22"/>
      <c r="D56" s="22"/>
      <c r="E56" s="22"/>
      <c r="F56" s="22"/>
      <c r="G56" s="22"/>
      <c r="H56" s="22"/>
      <c r="I56" s="23"/>
      <c r="J56" s="24">
        <v>337</v>
      </c>
      <c r="K56" s="25" t="s">
        <v>750</v>
      </c>
      <c r="L56">
        <v>5</v>
      </c>
      <c r="O56">
        <v>49</v>
      </c>
      <c r="P56" t="s">
        <v>1482</v>
      </c>
    </row>
    <row r="57" spans="1:16" x14ac:dyDescent="0.35">
      <c r="A57" s="20">
        <v>56</v>
      </c>
      <c r="B57" s="21"/>
      <c r="C57" s="22"/>
      <c r="D57" s="22"/>
      <c r="E57" s="22"/>
      <c r="F57" s="22"/>
      <c r="G57" s="22"/>
      <c r="H57" s="22"/>
      <c r="I57" s="23">
        <v>1018</v>
      </c>
      <c r="J57" s="24">
        <v>1030</v>
      </c>
      <c r="K57" s="25" t="s">
        <v>509</v>
      </c>
      <c r="L57">
        <v>5</v>
      </c>
      <c r="O57">
        <v>50</v>
      </c>
      <c r="P57" t="s">
        <v>1483</v>
      </c>
    </row>
    <row r="58" spans="1:16" x14ac:dyDescent="0.35">
      <c r="A58" s="20">
        <v>57</v>
      </c>
      <c r="B58" s="21"/>
      <c r="C58" s="22"/>
      <c r="D58" s="22"/>
      <c r="E58" s="22"/>
      <c r="F58" s="22"/>
      <c r="G58" s="22"/>
      <c r="H58" s="22"/>
      <c r="I58" s="23">
        <v>108</v>
      </c>
      <c r="J58" s="24">
        <v>113</v>
      </c>
      <c r="K58" s="25" t="s">
        <v>68</v>
      </c>
      <c r="L58">
        <v>5</v>
      </c>
    </row>
    <row r="59" spans="1:16" x14ac:dyDescent="0.35">
      <c r="A59" s="20">
        <v>58</v>
      </c>
      <c r="B59" s="21"/>
      <c r="C59" s="22"/>
      <c r="D59" s="22"/>
      <c r="E59" s="22"/>
      <c r="F59" s="22"/>
      <c r="G59" s="22"/>
      <c r="H59" s="22"/>
      <c r="I59" s="23">
        <v>1082</v>
      </c>
      <c r="J59" s="24">
        <v>1094</v>
      </c>
      <c r="K59" s="25" t="s">
        <v>541</v>
      </c>
      <c r="L59">
        <v>5</v>
      </c>
    </row>
    <row r="60" spans="1:16" x14ac:dyDescent="0.35">
      <c r="A60" s="20">
        <v>59</v>
      </c>
      <c r="B60" s="21"/>
      <c r="C60" s="22"/>
      <c r="D60" s="22"/>
      <c r="E60" s="22"/>
      <c r="F60" s="22"/>
      <c r="G60" s="22"/>
      <c r="H60" s="22"/>
      <c r="I60" s="23">
        <v>1114</v>
      </c>
      <c r="J60" s="24">
        <v>1128</v>
      </c>
      <c r="K60" s="25" t="s">
        <v>558</v>
      </c>
      <c r="L60">
        <v>5</v>
      </c>
    </row>
    <row r="61" spans="1:16" x14ac:dyDescent="0.35">
      <c r="A61" s="20">
        <v>60</v>
      </c>
      <c r="B61" s="21"/>
      <c r="C61" s="22"/>
      <c r="D61" s="22"/>
      <c r="E61" s="22"/>
      <c r="F61" s="22"/>
      <c r="G61" s="22"/>
      <c r="H61" s="22"/>
      <c r="I61" s="23">
        <v>467</v>
      </c>
      <c r="J61" s="24">
        <v>478</v>
      </c>
      <c r="K61" s="25" t="s">
        <v>240</v>
      </c>
      <c r="L61">
        <v>5</v>
      </c>
    </row>
    <row r="62" spans="1:16" x14ac:dyDescent="0.35">
      <c r="A62" s="20">
        <v>61</v>
      </c>
      <c r="B62" s="21"/>
      <c r="C62" s="22"/>
      <c r="D62" s="22"/>
      <c r="E62" s="22"/>
      <c r="F62" s="22"/>
      <c r="G62" s="22"/>
      <c r="H62" s="22"/>
      <c r="I62" s="23">
        <v>499</v>
      </c>
      <c r="J62" s="24">
        <v>510</v>
      </c>
      <c r="K62" s="25" t="s">
        <v>251</v>
      </c>
      <c r="L62">
        <v>5</v>
      </c>
    </row>
    <row r="63" spans="1:16" x14ac:dyDescent="0.35">
      <c r="A63" s="20">
        <v>62</v>
      </c>
      <c r="B63" s="21"/>
      <c r="C63" s="22"/>
      <c r="D63" s="22"/>
      <c r="E63" s="22"/>
      <c r="F63" s="22"/>
      <c r="G63" s="22"/>
      <c r="H63" s="22"/>
      <c r="I63" s="23"/>
      <c r="J63" s="24">
        <v>345</v>
      </c>
      <c r="K63" s="25" t="s">
        <v>755</v>
      </c>
      <c r="L63">
        <v>5</v>
      </c>
    </row>
    <row r="64" spans="1:16" x14ac:dyDescent="0.35">
      <c r="A64" s="20">
        <v>63</v>
      </c>
      <c r="B64" s="21"/>
      <c r="C64" s="22"/>
      <c r="D64" s="22"/>
      <c r="E64" s="22"/>
      <c r="F64" s="22"/>
      <c r="G64" s="22"/>
      <c r="H64" s="22"/>
      <c r="I64" s="23">
        <v>867</v>
      </c>
      <c r="J64" s="24">
        <v>878</v>
      </c>
      <c r="K64" s="25" t="s">
        <v>423</v>
      </c>
      <c r="L64">
        <v>5</v>
      </c>
    </row>
    <row r="65" spans="1:12" x14ac:dyDescent="0.35">
      <c r="A65" s="20">
        <v>64</v>
      </c>
      <c r="B65" s="21"/>
      <c r="C65" s="22"/>
      <c r="D65" s="22"/>
      <c r="E65" s="22"/>
      <c r="F65" s="22"/>
      <c r="G65" s="22"/>
      <c r="H65" s="22"/>
      <c r="I65" s="23">
        <v>646</v>
      </c>
      <c r="J65" s="24">
        <v>657</v>
      </c>
      <c r="K65" s="25" t="s">
        <v>322</v>
      </c>
      <c r="L65">
        <v>5</v>
      </c>
    </row>
    <row r="66" spans="1:12" x14ac:dyDescent="0.35">
      <c r="A66" s="20">
        <v>65</v>
      </c>
      <c r="B66" s="21"/>
      <c r="C66" s="22"/>
      <c r="D66" s="22"/>
      <c r="E66" s="22"/>
      <c r="F66" s="22"/>
      <c r="G66" s="22"/>
      <c r="H66" s="22"/>
      <c r="I66" s="23">
        <v>939</v>
      </c>
      <c r="J66" s="24">
        <v>950</v>
      </c>
      <c r="K66" s="25" t="s">
        <v>465</v>
      </c>
      <c r="L66">
        <v>5</v>
      </c>
    </row>
    <row r="67" spans="1:12" x14ac:dyDescent="0.35">
      <c r="A67" s="20">
        <v>66</v>
      </c>
      <c r="B67" s="21"/>
      <c r="C67" s="22"/>
      <c r="D67" s="22"/>
      <c r="E67" s="22"/>
      <c r="F67" s="22"/>
      <c r="G67" s="22"/>
      <c r="H67" s="22"/>
      <c r="I67" s="23">
        <v>963</v>
      </c>
      <c r="J67" s="24">
        <v>974</v>
      </c>
      <c r="K67" s="25" t="s">
        <v>480</v>
      </c>
      <c r="L67">
        <v>5</v>
      </c>
    </row>
    <row r="68" spans="1:12" x14ac:dyDescent="0.35">
      <c r="A68" s="20">
        <v>67</v>
      </c>
      <c r="B68" s="21"/>
      <c r="C68" s="22"/>
      <c r="D68" s="22"/>
      <c r="E68" s="22"/>
      <c r="F68" s="22"/>
      <c r="G68" s="22"/>
      <c r="H68" s="22"/>
      <c r="I68" s="23">
        <v>1090</v>
      </c>
      <c r="J68" s="24">
        <v>1102</v>
      </c>
      <c r="K68" s="25" t="s">
        <v>545</v>
      </c>
      <c r="L68">
        <v>5</v>
      </c>
    </row>
    <row r="69" spans="1:12" x14ac:dyDescent="0.35">
      <c r="A69" s="20">
        <v>68</v>
      </c>
      <c r="B69" s="21"/>
      <c r="C69" s="22"/>
      <c r="D69" s="22"/>
      <c r="E69" s="22"/>
      <c r="F69" s="22"/>
      <c r="G69" s="22"/>
      <c r="H69" s="22"/>
      <c r="I69" s="23">
        <v>2</v>
      </c>
      <c r="J69" s="24">
        <v>2</v>
      </c>
      <c r="K69" s="25" t="s">
        <v>23</v>
      </c>
      <c r="L69">
        <v>5</v>
      </c>
    </row>
    <row r="70" spans="1:12" x14ac:dyDescent="0.35">
      <c r="A70" s="20">
        <v>69</v>
      </c>
      <c r="B70" s="21"/>
      <c r="C70" s="22"/>
      <c r="D70" s="22"/>
      <c r="E70" s="22"/>
      <c r="F70" s="22"/>
      <c r="G70" s="22"/>
      <c r="H70" s="22"/>
      <c r="I70" s="23"/>
      <c r="J70" s="24">
        <v>369</v>
      </c>
      <c r="K70" s="25" t="s">
        <v>768</v>
      </c>
      <c r="L70">
        <v>5</v>
      </c>
    </row>
    <row r="71" spans="1:12" x14ac:dyDescent="0.35">
      <c r="A71" s="20">
        <v>70</v>
      </c>
      <c r="B71" s="21"/>
      <c r="C71" s="22"/>
      <c r="D71" s="22"/>
      <c r="E71" s="22"/>
      <c r="F71" s="22"/>
      <c r="G71" s="22"/>
      <c r="H71" s="22"/>
      <c r="I71" s="23">
        <v>439</v>
      </c>
      <c r="J71" s="24">
        <v>450</v>
      </c>
      <c r="K71" s="25" t="s">
        <v>228</v>
      </c>
      <c r="L71">
        <v>5</v>
      </c>
    </row>
    <row r="72" spans="1:12" x14ac:dyDescent="0.35">
      <c r="A72" s="20">
        <v>71</v>
      </c>
      <c r="B72" s="21"/>
      <c r="C72" s="22"/>
      <c r="D72" s="22"/>
      <c r="E72" s="22"/>
      <c r="F72" s="22"/>
      <c r="G72" s="22"/>
      <c r="H72" s="22"/>
      <c r="I72" s="23">
        <v>843</v>
      </c>
      <c r="J72" s="24">
        <v>854</v>
      </c>
      <c r="K72" s="25" t="s">
        <v>413</v>
      </c>
      <c r="L72">
        <v>5</v>
      </c>
    </row>
    <row r="73" spans="1:12" x14ac:dyDescent="0.35">
      <c r="A73" s="20">
        <v>72</v>
      </c>
      <c r="B73" s="21"/>
      <c r="C73" s="22"/>
      <c r="D73" s="22"/>
      <c r="E73" s="22"/>
      <c r="F73" s="22"/>
      <c r="G73" s="22"/>
      <c r="H73" s="22"/>
      <c r="I73" s="23">
        <v>566</v>
      </c>
      <c r="J73" s="24">
        <v>577</v>
      </c>
      <c r="K73" s="25" t="s">
        <v>275</v>
      </c>
      <c r="L73">
        <v>5</v>
      </c>
    </row>
    <row r="74" spans="1:12" x14ac:dyDescent="0.35">
      <c r="A74" s="20">
        <v>73</v>
      </c>
      <c r="B74" s="21"/>
      <c r="C74" s="22"/>
      <c r="D74" s="22"/>
      <c r="E74" s="22"/>
      <c r="F74" s="22"/>
      <c r="G74" s="22"/>
      <c r="H74" s="22"/>
      <c r="I74" s="23">
        <v>614</v>
      </c>
      <c r="J74" s="24">
        <v>625</v>
      </c>
      <c r="K74" s="25" t="s">
        <v>304</v>
      </c>
      <c r="L74">
        <v>5</v>
      </c>
    </row>
    <row r="75" spans="1:12" x14ac:dyDescent="0.35">
      <c r="A75" s="20">
        <v>74</v>
      </c>
      <c r="B75" s="21"/>
      <c r="C75" s="22"/>
      <c r="D75" s="22"/>
      <c r="E75" s="22"/>
      <c r="F75" s="22"/>
      <c r="G75" s="22"/>
      <c r="H75" s="22"/>
      <c r="I75" s="23">
        <v>934</v>
      </c>
      <c r="J75" s="24">
        <v>945</v>
      </c>
      <c r="K75" s="25" t="s">
        <v>462</v>
      </c>
      <c r="L75">
        <v>5</v>
      </c>
    </row>
    <row r="76" spans="1:12" x14ac:dyDescent="0.35">
      <c r="A76" s="20">
        <v>75</v>
      </c>
      <c r="B76" s="21"/>
      <c r="C76" s="22"/>
      <c r="D76" s="22"/>
      <c r="E76" s="22"/>
      <c r="F76" s="22"/>
      <c r="G76" s="22"/>
      <c r="H76" s="22"/>
      <c r="I76" s="23">
        <v>1014</v>
      </c>
      <c r="J76" s="24">
        <v>1026</v>
      </c>
      <c r="K76" s="25" t="s">
        <v>507</v>
      </c>
      <c r="L76">
        <v>5</v>
      </c>
    </row>
    <row r="77" spans="1:12" x14ac:dyDescent="0.35">
      <c r="A77" s="20">
        <v>76</v>
      </c>
      <c r="B77" s="21"/>
      <c r="C77" s="22"/>
      <c r="D77" s="22"/>
      <c r="E77" s="22"/>
      <c r="F77" s="22"/>
      <c r="G77" s="22"/>
      <c r="H77" s="22"/>
      <c r="I77" s="23"/>
      <c r="J77" s="24">
        <v>361</v>
      </c>
      <c r="K77" s="25" t="s">
        <v>765</v>
      </c>
      <c r="L77">
        <v>5</v>
      </c>
    </row>
    <row r="78" spans="1:12" x14ac:dyDescent="0.35">
      <c r="A78" s="20">
        <v>77</v>
      </c>
      <c r="B78" s="21"/>
      <c r="C78" s="22"/>
      <c r="D78" s="22"/>
      <c r="E78" s="22"/>
      <c r="F78" s="22"/>
      <c r="G78" s="22"/>
      <c r="H78" s="22"/>
      <c r="I78" s="23">
        <v>995</v>
      </c>
      <c r="J78" s="24">
        <v>1006</v>
      </c>
      <c r="K78" s="25" t="s">
        <v>495</v>
      </c>
      <c r="L78">
        <v>5</v>
      </c>
    </row>
    <row r="79" spans="1:12" x14ac:dyDescent="0.35">
      <c r="A79" s="20">
        <v>78</v>
      </c>
      <c r="B79" s="21"/>
      <c r="C79" s="22"/>
      <c r="D79" s="22"/>
      <c r="E79" s="22"/>
      <c r="F79" s="22"/>
      <c r="G79" s="22"/>
      <c r="H79" s="22"/>
      <c r="I79" s="23">
        <v>659</v>
      </c>
      <c r="J79" s="24">
        <v>670</v>
      </c>
      <c r="K79" s="25" t="s">
        <v>328</v>
      </c>
      <c r="L79">
        <v>5</v>
      </c>
    </row>
    <row r="80" spans="1:12" x14ac:dyDescent="0.35">
      <c r="A80" s="20">
        <v>79</v>
      </c>
      <c r="B80" s="21"/>
      <c r="C80" s="22"/>
      <c r="D80" s="22"/>
      <c r="E80" s="22"/>
      <c r="F80" s="22"/>
      <c r="G80" s="22"/>
      <c r="H80" s="22"/>
      <c r="I80" s="23">
        <v>1074</v>
      </c>
      <c r="J80" s="24">
        <v>1086</v>
      </c>
      <c r="K80" s="25" t="s">
        <v>536</v>
      </c>
      <c r="L80">
        <v>5</v>
      </c>
    </row>
    <row r="81" spans="1:13" x14ac:dyDescent="0.35">
      <c r="A81" s="20">
        <v>80</v>
      </c>
      <c r="B81" s="21"/>
      <c r="C81" s="22"/>
      <c r="D81" s="22"/>
      <c r="E81" s="22"/>
      <c r="F81" s="22"/>
      <c r="G81" s="22"/>
      <c r="H81" s="22"/>
      <c r="I81" s="23">
        <v>1099</v>
      </c>
      <c r="J81" s="24">
        <v>1111</v>
      </c>
      <c r="K81" s="25" t="s">
        <v>550</v>
      </c>
      <c r="L81">
        <v>5</v>
      </c>
    </row>
    <row r="82" spans="1:13" x14ac:dyDescent="0.35">
      <c r="A82" s="20">
        <v>81</v>
      </c>
      <c r="B82" s="21"/>
      <c r="C82" s="22"/>
      <c r="D82" s="22"/>
      <c r="E82" s="22"/>
      <c r="F82" s="22"/>
      <c r="G82" s="22"/>
      <c r="H82" s="22"/>
      <c r="I82" s="23">
        <v>8</v>
      </c>
      <c r="J82" s="24">
        <v>9</v>
      </c>
      <c r="K82" s="25" t="s">
        <v>27</v>
      </c>
      <c r="L82">
        <v>5</v>
      </c>
    </row>
    <row r="83" spans="1:13" ht="15" thickBot="1" x14ac:dyDescent="0.4">
      <c r="A83" s="26">
        <v>82</v>
      </c>
      <c r="B83" s="27"/>
      <c r="C83" s="28"/>
      <c r="D83" s="28"/>
      <c r="E83" s="28"/>
      <c r="F83" s="28"/>
      <c r="G83" s="28"/>
      <c r="H83" s="28"/>
      <c r="I83" s="29">
        <v>450</v>
      </c>
      <c r="J83" s="30">
        <v>461</v>
      </c>
      <c r="K83" s="31" t="s">
        <v>233</v>
      </c>
      <c r="L83">
        <v>5</v>
      </c>
    </row>
    <row r="84" spans="1:13" x14ac:dyDescent="0.35">
      <c r="A84" s="14">
        <v>83</v>
      </c>
      <c r="B84" s="15"/>
      <c r="C84" s="16"/>
      <c r="D84" s="16"/>
      <c r="E84" s="16"/>
      <c r="F84" s="16"/>
      <c r="G84" s="16"/>
      <c r="H84" s="16" t="s">
        <v>1325</v>
      </c>
      <c r="I84" s="17"/>
      <c r="J84" s="18">
        <v>378</v>
      </c>
      <c r="K84" s="19" t="s">
        <v>774</v>
      </c>
      <c r="L84">
        <v>6</v>
      </c>
      <c r="M84" t="s">
        <v>1447</v>
      </c>
    </row>
    <row r="85" spans="1:13" x14ac:dyDescent="0.35">
      <c r="A85" s="20">
        <v>84</v>
      </c>
      <c r="B85" s="21"/>
      <c r="C85" s="22"/>
      <c r="D85" s="22"/>
      <c r="E85" s="22"/>
      <c r="F85" s="22"/>
      <c r="G85" s="22"/>
      <c r="H85" s="22"/>
      <c r="I85" s="23">
        <v>862</v>
      </c>
      <c r="J85" s="24">
        <v>873</v>
      </c>
      <c r="K85" s="25" t="s">
        <v>420</v>
      </c>
      <c r="L85">
        <v>6</v>
      </c>
    </row>
    <row r="86" spans="1:13" x14ac:dyDescent="0.35">
      <c r="A86" s="20">
        <v>85</v>
      </c>
      <c r="B86" s="21"/>
      <c r="C86" s="22"/>
      <c r="D86" s="22"/>
      <c r="E86" s="22"/>
      <c r="F86" s="22"/>
      <c r="G86" s="22"/>
      <c r="H86" s="22"/>
      <c r="I86" s="23">
        <v>795</v>
      </c>
      <c r="J86" s="24">
        <v>806</v>
      </c>
      <c r="K86" s="25" t="s">
        <v>392</v>
      </c>
      <c r="L86">
        <v>6</v>
      </c>
    </row>
    <row r="87" spans="1:13" x14ac:dyDescent="0.35">
      <c r="A87" s="20">
        <v>86</v>
      </c>
      <c r="B87" s="21"/>
      <c r="C87" s="22"/>
      <c r="D87" s="22"/>
      <c r="E87" s="22"/>
      <c r="F87" s="22"/>
      <c r="G87" s="22"/>
      <c r="H87" s="22"/>
      <c r="I87" s="23">
        <v>1023</v>
      </c>
      <c r="J87" s="24">
        <v>1035</v>
      </c>
      <c r="K87" s="25" t="s">
        <v>512</v>
      </c>
      <c r="L87">
        <v>6</v>
      </c>
    </row>
    <row r="88" spans="1:13" x14ac:dyDescent="0.35">
      <c r="A88" s="20">
        <v>87</v>
      </c>
      <c r="B88" s="21"/>
      <c r="C88" s="22"/>
      <c r="D88" s="22"/>
      <c r="E88" s="22"/>
      <c r="F88" s="22"/>
      <c r="G88" s="22"/>
      <c r="H88" s="22"/>
      <c r="I88" s="23">
        <v>1078</v>
      </c>
      <c r="J88" s="24">
        <v>1090</v>
      </c>
      <c r="K88" s="25" t="s">
        <v>538</v>
      </c>
      <c r="L88">
        <v>6</v>
      </c>
    </row>
    <row r="89" spans="1:13" x14ac:dyDescent="0.35">
      <c r="A89" s="20">
        <v>88</v>
      </c>
      <c r="B89" s="21"/>
      <c r="C89" s="22"/>
      <c r="D89" s="22"/>
      <c r="E89" s="22"/>
      <c r="F89" s="22"/>
      <c r="G89" s="22"/>
      <c r="H89" s="22"/>
      <c r="I89" s="23">
        <v>851</v>
      </c>
      <c r="J89" s="24">
        <v>862</v>
      </c>
      <c r="K89" s="25" t="s">
        <v>416</v>
      </c>
      <c r="L89">
        <v>6</v>
      </c>
    </row>
    <row r="90" spans="1:13" ht="15" thickBot="1" x14ac:dyDescent="0.4">
      <c r="A90" s="26">
        <v>89</v>
      </c>
      <c r="B90" s="27"/>
      <c r="C90" s="28"/>
      <c r="D90" s="28"/>
      <c r="E90" s="28"/>
      <c r="F90" s="28"/>
      <c r="G90" s="28"/>
      <c r="H90" s="28"/>
      <c r="I90" s="29">
        <v>882</v>
      </c>
      <c r="J90" s="30">
        <v>893</v>
      </c>
      <c r="K90" s="31" t="s">
        <v>429</v>
      </c>
      <c r="L90">
        <v>6</v>
      </c>
    </row>
    <row r="91" spans="1:13" x14ac:dyDescent="0.35">
      <c r="A91" s="14">
        <v>90</v>
      </c>
      <c r="B91" s="15"/>
      <c r="C91" s="16"/>
      <c r="D91" s="16"/>
      <c r="E91" s="16"/>
      <c r="F91" s="16"/>
      <c r="G91" s="16" t="s">
        <v>1326</v>
      </c>
      <c r="H91" s="16"/>
      <c r="I91" s="17"/>
      <c r="J91" s="18">
        <v>1057</v>
      </c>
      <c r="K91" s="19" t="s">
        <v>1126</v>
      </c>
      <c r="L91">
        <v>7</v>
      </c>
      <c r="M91" t="s">
        <v>1448</v>
      </c>
    </row>
    <row r="92" spans="1:13" x14ac:dyDescent="0.35">
      <c r="A92" s="20">
        <v>91</v>
      </c>
      <c r="B92" s="21"/>
      <c r="C92" s="22"/>
      <c r="D92" s="22"/>
      <c r="E92" s="22"/>
      <c r="F92" s="22"/>
      <c r="G92" s="22"/>
      <c r="H92" s="22"/>
      <c r="I92" s="23">
        <v>32</v>
      </c>
      <c r="J92" s="24">
        <v>36</v>
      </c>
      <c r="K92" s="25" t="s">
        <v>38</v>
      </c>
      <c r="L92">
        <v>7</v>
      </c>
    </row>
    <row r="93" spans="1:13" x14ac:dyDescent="0.35">
      <c r="A93" s="20">
        <v>92</v>
      </c>
      <c r="B93" s="21"/>
      <c r="C93" s="22"/>
      <c r="D93" s="22"/>
      <c r="E93" s="22"/>
      <c r="F93" s="22"/>
      <c r="G93" s="22"/>
      <c r="H93" s="22"/>
      <c r="I93" s="23">
        <v>173</v>
      </c>
      <c r="J93" s="24">
        <v>180</v>
      </c>
      <c r="K93" s="25" t="s">
        <v>105</v>
      </c>
      <c r="L93">
        <v>7</v>
      </c>
    </row>
    <row r="94" spans="1:13" x14ac:dyDescent="0.35">
      <c r="A94" s="20">
        <v>93</v>
      </c>
      <c r="B94" s="21"/>
      <c r="C94" s="22"/>
      <c r="D94" s="22"/>
      <c r="E94" s="22"/>
      <c r="F94" s="22"/>
      <c r="G94" s="22"/>
      <c r="H94" s="22"/>
      <c r="I94" s="23">
        <v>143</v>
      </c>
      <c r="J94" s="24">
        <v>148</v>
      </c>
      <c r="K94" s="25" t="s">
        <v>90</v>
      </c>
      <c r="L94">
        <v>7</v>
      </c>
    </row>
    <row r="95" spans="1:13" x14ac:dyDescent="0.35">
      <c r="A95" s="20">
        <v>94</v>
      </c>
      <c r="B95" s="21"/>
      <c r="C95" s="22"/>
      <c r="D95" s="22"/>
      <c r="E95" s="22"/>
      <c r="F95" s="22"/>
      <c r="G95" s="22"/>
      <c r="H95" s="22"/>
      <c r="I95" s="23">
        <v>180</v>
      </c>
      <c r="J95" s="24">
        <v>187</v>
      </c>
      <c r="K95" s="25" t="s">
        <v>108</v>
      </c>
      <c r="L95">
        <v>7</v>
      </c>
    </row>
    <row r="96" spans="1:13" x14ac:dyDescent="0.35">
      <c r="A96" s="20">
        <v>95</v>
      </c>
      <c r="B96" s="21"/>
      <c r="C96" s="22"/>
      <c r="D96" s="22"/>
      <c r="E96" s="22"/>
      <c r="F96" s="22"/>
      <c r="G96" s="22"/>
      <c r="H96" s="22"/>
      <c r="I96" s="23">
        <v>627</v>
      </c>
      <c r="J96" s="24">
        <v>638</v>
      </c>
      <c r="K96" s="25" t="s">
        <v>311</v>
      </c>
      <c r="L96">
        <v>7</v>
      </c>
    </row>
    <row r="97" spans="1:13" ht="15" thickBot="1" x14ac:dyDescent="0.4">
      <c r="A97" s="26">
        <v>96</v>
      </c>
      <c r="B97" s="27"/>
      <c r="C97" s="28"/>
      <c r="D97" s="28"/>
      <c r="E97" s="28"/>
      <c r="F97" s="28"/>
      <c r="G97" s="28"/>
      <c r="H97" s="28"/>
      <c r="I97" s="29">
        <v>651</v>
      </c>
      <c r="J97" s="30">
        <v>662</v>
      </c>
      <c r="K97" s="31" t="s">
        <v>325</v>
      </c>
      <c r="L97">
        <v>7</v>
      </c>
    </row>
    <row r="98" spans="1:13" x14ac:dyDescent="0.35">
      <c r="A98" s="14">
        <v>97</v>
      </c>
      <c r="B98" s="15"/>
      <c r="C98" s="16"/>
      <c r="D98" s="16"/>
      <c r="E98" s="16"/>
      <c r="F98" s="16"/>
      <c r="G98" s="16" t="s">
        <v>1327</v>
      </c>
      <c r="H98" s="16"/>
      <c r="I98" s="17"/>
      <c r="J98" s="18">
        <v>677</v>
      </c>
      <c r="K98" s="19" t="s">
        <v>939</v>
      </c>
      <c r="L98">
        <v>8</v>
      </c>
      <c r="M98" t="s">
        <v>1449</v>
      </c>
    </row>
    <row r="99" spans="1:13" x14ac:dyDescent="0.35">
      <c r="A99" s="20">
        <v>98</v>
      </c>
      <c r="B99" s="21"/>
      <c r="C99" s="22"/>
      <c r="D99" s="22"/>
      <c r="E99" s="22"/>
      <c r="F99" s="22"/>
      <c r="G99" s="22"/>
      <c r="H99" s="22"/>
      <c r="I99" s="23">
        <v>886</v>
      </c>
      <c r="J99" s="24">
        <v>897</v>
      </c>
      <c r="K99" s="25" t="s">
        <v>432</v>
      </c>
      <c r="L99">
        <v>8</v>
      </c>
    </row>
    <row r="100" spans="1:13" x14ac:dyDescent="0.35">
      <c r="A100" s="20">
        <v>99</v>
      </c>
      <c r="B100" s="21"/>
      <c r="C100" s="22"/>
      <c r="D100" s="22"/>
      <c r="E100" s="22"/>
      <c r="F100" s="22"/>
      <c r="G100" s="22"/>
      <c r="H100" s="22"/>
      <c r="I100" s="23">
        <v>1094</v>
      </c>
      <c r="J100" s="24">
        <v>1106</v>
      </c>
      <c r="K100" s="25" t="s">
        <v>547</v>
      </c>
      <c r="L100">
        <v>8</v>
      </c>
    </row>
    <row r="101" spans="1:13" x14ac:dyDescent="0.35">
      <c r="A101" s="20">
        <v>100</v>
      </c>
      <c r="B101" s="21"/>
      <c r="C101" s="22"/>
      <c r="D101" s="22"/>
      <c r="E101" s="22"/>
      <c r="F101" s="22"/>
      <c r="G101" s="22"/>
      <c r="H101" s="22"/>
      <c r="I101" s="23">
        <v>999</v>
      </c>
      <c r="J101" s="24">
        <v>1010</v>
      </c>
      <c r="K101" s="25" t="s">
        <v>498</v>
      </c>
      <c r="L101">
        <v>8</v>
      </c>
    </row>
    <row r="102" spans="1:13" x14ac:dyDescent="0.35">
      <c r="A102" s="20">
        <v>101</v>
      </c>
      <c r="B102" s="21"/>
      <c r="C102" s="22"/>
      <c r="D102" s="22"/>
      <c r="E102" s="22"/>
      <c r="F102" s="22"/>
      <c r="G102" s="22"/>
      <c r="H102" s="22"/>
      <c r="I102" s="23">
        <v>1046</v>
      </c>
      <c r="J102" s="24">
        <v>1058</v>
      </c>
      <c r="K102" s="25" t="s">
        <v>525</v>
      </c>
      <c r="L102">
        <v>8</v>
      </c>
    </row>
    <row r="103" spans="1:13" x14ac:dyDescent="0.35">
      <c r="A103" s="20">
        <v>102</v>
      </c>
      <c r="B103" s="21"/>
      <c r="C103" s="22"/>
      <c r="D103" s="22"/>
      <c r="E103" s="22"/>
      <c r="F103" s="22"/>
      <c r="G103" s="22"/>
      <c r="H103" s="22"/>
      <c r="I103" s="23">
        <v>846</v>
      </c>
      <c r="J103" s="24">
        <v>857</v>
      </c>
      <c r="K103" s="25" t="s">
        <v>414</v>
      </c>
      <c r="L103">
        <v>8</v>
      </c>
    </row>
    <row r="104" spans="1:13" ht="15" thickBot="1" x14ac:dyDescent="0.4">
      <c r="A104" s="26">
        <v>103</v>
      </c>
      <c r="B104" s="27"/>
      <c r="C104" s="28"/>
      <c r="D104" s="28"/>
      <c r="E104" s="28"/>
      <c r="F104" s="28"/>
      <c r="G104" s="28"/>
      <c r="H104" s="28"/>
      <c r="I104" s="29">
        <v>838</v>
      </c>
      <c r="J104" s="30">
        <v>849</v>
      </c>
      <c r="K104" s="31" t="s">
        <v>410</v>
      </c>
      <c r="L104">
        <v>8</v>
      </c>
    </row>
    <row r="105" spans="1:13" x14ac:dyDescent="0.35">
      <c r="A105" s="14">
        <v>104</v>
      </c>
      <c r="B105" s="15"/>
      <c r="C105" s="16"/>
      <c r="D105" s="16"/>
      <c r="E105" s="16"/>
      <c r="F105" s="16"/>
      <c r="G105" s="16" t="s">
        <v>1328</v>
      </c>
      <c r="H105" s="16"/>
      <c r="I105" s="17"/>
      <c r="J105" s="18">
        <v>247</v>
      </c>
      <c r="K105" s="19" t="s">
        <v>710</v>
      </c>
      <c r="L105">
        <v>9</v>
      </c>
      <c r="M105" t="s">
        <v>1450</v>
      </c>
    </row>
    <row r="106" spans="1:13" x14ac:dyDescent="0.35">
      <c r="A106" s="20">
        <v>105</v>
      </c>
      <c r="B106" s="21"/>
      <c r="C106" s="22"/>
      <c r="D106" s="22"/>
      <c r="E106" s="22"/>
      <c r="F106" s="22"/>
      <c r="G106" s="22"/>
      <c r="H106" s="22" t="s">
        <v>1329</v>
      </c>
      <c r="I106" s="23"/>
      <c r="J106" s="24">
        <v>1011</v>
      </c>
      <c r="K106" s="25" t="s">
        <v>1107</v>
      </c>
      <c r="L106">
        <v>9</v>
      </c>
    </row>
    <row r="107" spans="1:13" x14ac:dyDescent="0.35">
      <c r="A107" s="20">
        <v>106</v>
      </c>
      <c r="B107" s="21"/>
      <c r="C107" s="22"/>
      <c r="D107" s="22"/>
      <c r="E107" s="22"/>
      <c r="F107" s="22"/>
      <c r="G107" s="22"/>
      <c r="H107" s="22"/>
      <c r="I107" s="23">
        <v>516</v>
      </c>
      <c r="J107" s="24">
        <v>527</v>
      </c>
      <c r="K107" s="25" t="s">
        <v>257</v>
      </c>
      <c r="L107">
        <v>9</v>
      </c>
    </row>
    <row r="108" spans="1:13" x14ac:dyDescent="0.35">
      <c r="A108" s="20">
        <v>107</v>
      </c>
      <c r="B108" s="21"/>
      <c r="C108" s="22"/>
      <c r="D108" s="22"/>
      <c r="E108" s="22"/>
      <c r="F108" s="22"/>
      <c r="G108" s="22"/>
      <c r="H108" s="22"/>
      <c r="I108" s="23">
        <v>589</v>
      </c>
      <c r="J108" s="24">
        <v>600</v>
      </c>
      <c r="K108" s="25" t="s">
        <v>289</v>
      </c>
      <c r="L108">
        <v>9</v>
      </c>
    </row>
    <row r="109" spans="1:13" x14ac:dyDescent="0.35">
      <c r="A109" s="20">
        <v>108</v>
      </c>
      <c r="B109" s="21"/>
      <c r="C109" s="22"/>
      <c r="D109" s="22"/>
      <c r="E109" s="22"/>
      <c r="F109" s="22"/>
      <c r="G109" s="22"/>
      <c r="H109" s="22"/>
      <c r="I109" s="23">
        <v>667</v>
      </c>
      <c r="J109" s="24">
        <v>678</v>
      </c>
      <c r="K109" s="25" t="s">
        <v>333</v>
      </c>
      <c r="L109">
        <v>9</v>
      </c>
    </row>
    <row r="110" spans="1:13" x14ac:dyDescent="0.35">
      <c r="A110" s="20">
        <v>109</v>
      </c>
      <c r="B110" s="21"/>
      <c r="C110" s="22"/>
      <c r="D110" s="22"/>
      <c r="E110" s="22"/>
      <c r="F110" s="22"/>
      <c r="G110" s="22"/>
      <c r="H110" s="22"/>
      <c r="I110" s="23">
        <v>245</v>
      </c>
      <c r="J110" s="24">
        <v>252</v>
      </c>
      <c r="K110" s="25" t="s">
        <v>139</v>
      </c>
      <c r="L110">
        <v>9</v>
      </c>
    </row>
    <row r="111" spans="1:13" x14ac:dyDescent="0.35">
      <c r="A111" s="20">
        <v>110</v>
      </c>
      <c r="B111" s="21"/>
      <c r="C111" s="22"/>
      <c r="D111" s="22"/>
      <c r="E111" s="22"/>
      <c r="F111" s="22"/>
      <c r="G111" s="22"/>
      <c r="H111" s="22"/>
      <c r="I111" s="23">
        <v>151</v>
      </c>
      <c r="J111" s="24">
        <v>156</v>
      </c>
      <c r="K111" s="25" t="s">
        <v>93</v>
      </c>
      <c r="L111">
        <v>9</v>
      </c>
    </row>
    <row r="112" spans="1:13" ht="15" thickBot="1" x14ac:dyDescent="0.4">
      <c r="A112" s="26">
        <v>111</v>
      </c>
      <c r="B112" s="27"/>
      <c r="C112" s="28"/>
      <c r="D112" s="28"/>
      <c r="E112" s="28"/>
      <c r="F112" s="28"/>
      <c r="G112" s="28"/>
      <c r="H112" s="28"/>
      <c r="I112" s="29">
        <v>236</v>
      </c>
      <c r="J112" s="30">
        <v>243</v>
      </c>
      <c r="K112" s="31" t="s">
        <v>134</v>
      </c>
      <c r="L112">
        <v>9</v>
      </c>
    </row>
    <row r="113" spans="1:13" x14ac:dyDescent="0.35">
      <c r="A113" s="14">
        <v>112</v>
      </c>
      <c r="B113" s="15"/>
      <c r="C113" s="16"/>
      <c r="D113" s="16"/>
      <c r="E113" s="16"/>
      <c r="F113" s="16"/>
      <c r="G113" s="16"/>
      <c r="H113" s="16" t="s">
        <v>1330</v>
      </c>
      <c r="I113" s="17"/>
      <c r="J113" s="18">
        <v>1002</v>
      </c>
      <c r="K113" s="19" t="s">
        <v>1104</v>
      </c>
      <c r="L113">
        <v>10</v>
      </c>
      <c r="M113" t="s">
        <v>1451</v>
      </c>
    </row>
    <row r="114" spans="1:13" x14ac:dyDescent="0.35">
      <c r="A114" s="20">
        <v>113</v>
      </c>
      <c r="B114" s="21"/>
      <c r="C114" s="22"/>
      <c r="D114" s="22"/>
      <c r="E114" s="22"/>
      <c r="F114" s="22"/>
      <c r="G114" s="22"/>
      <c r="H114" s="22"/>
      <c r="I114" s="23">
        <v>724</v>
      </c>
      <c r="J114" s="24">
        <v>735</v>
      </c>
      <c r="K114" s="25" t="s">
        <v>360</v>
      </c>
      <c r="L114">
        <v>10</v>
      </c>
    </row>
    <row r="115" spans="1:13" x14ac:dyDescent="0.35">
      <c r="A115" s="20">
        <v>114</v>
      </c>
      <c r="B115" s="21"/>
      <c r="C115" s="22"/>
      <c r="D115" s="22"/>
      <c r="E115" s="22"/>
      <c r="F115" s="22"/>
      <c r="G115" s="22"/>
      <c r="H115" s="22"/>
      <c r="I115" s="23">
        <v>244</v>
      </c>
      <c r="J115" s="24">
        <v>251</v>
      </c>
      <c r="K115" s="25" t="s">
        <v>138</v>
      </c>
      <c r="L115">
        <v>10</v>
      </c>
    </row>
    <row r="116" spans="1:13" x14ac:dyDescent="0.35">
      <c r="A116" s="20">
        <v>115</v>
      </c>
      <c r="B116" s="21"/>
      <c r="C116" s="22"/>
      <c r="D116" s="22"/>
      <c r="E116" s="22"/>
      <c r="F116" s="22"/>
      <c r="G116" s="22"/>
      <c r="H116" s="22"/>
      <c r="I116" s="23">
        <v>805</v>
      </c>
      <c r="J116" s="24">
        <v>816</v>
      </c>
      <c r="K116" s="25" t="s">
        <v>395</v>
      </c>
      <c r="L116">
        <v>10</v>
      </c>
    </row>
    <row r="117" spans="1:13" x14ac:dyDescent="0.35">
      <c r="A117" s="20">
        <v>116</v>
      </c>
      <c r="B117" s="21"/>
      <c r="C117" s="22"/>
      <c r="D117" s="22"/>
      <c r="E117" s="22"/>
      <c r="F117" s="22"/>
      <c r="G117" s="22"/>
      <c r="H117" s="22"/>
      <c r="I117" s="23">
        <v>836</v>
      </c>
      <c r="J117" s="24">
        <v>847</v>
      </c>
      <c r="K117" s="25" t="s">
        <v>409</v>
      </c>
      <c r="L117">
        <v>10</v>
      </c>
    </row>
    <row r="118" spans="1:13" x14ac:dyDescent="0.35">
      <c r="A118" s="20">
        <v>117</v>
      </c>
      <c r="B118" s="21"/>
      <c r="C118" s="22"/>
      <c r="D118" s="22"/>
      <c r="E118" s="22"/>
      <c r="F118" s="22"/>
      <c r="G118" s="22"/>
      <c r="H118" s="22"/>
      <c r="I118" s="23">
        <v>943</v>
      </c>
      <c r="J118" s="24">
        <v>954</v>
      </c>
      <c r="K118" s="25" t="s">
        <v>468</v>
      </c>
      <c r="L118">
        <v>10</v>
      </c>
    </row>
    <row r="119" spans="1:13" ht="15" thickBot="1" x14ac:dyDescent="0.4">
      <c r="A119" s="26">
        <v>118</v>
      </c>
      <c r="B119" s="27"/>
      <c r="C119" s="28"/>
      <c r="D119" s="28"/>
      <c r="E119" s="28"/>
      <c r="F119" s="28"/>
      <c r="G119" s="28"/>
      <c r="H119" s="28"/>
      <c r="I119" s="29">
        <v>994</v>
      </c>
      <c r="J119" s="30">
        <v>1005</v>
      </c>
      <c r="K119" s="31" t="s">
        <v>494</v>
      </c>
      <c r="L119">
        <v>10</v>
      </c>
    </row>
    <row r="120" spans="1:13" x14ac:dyDescent="0.35">
      <c r="A120" s="14">
        <v>119</v>
      </c>
      <c r="B120" s="15"/>
      <c r="C120" s="16"/>
      <c r="D120" s="16"/>
      <c r="E120" s="16"/>
      <c r="F120" s="16"/>
      <c r="G120" s="16"/>
      <c r="H120" s="16" t="s">
        <v>1331</v>
      </c>
      <c r="I120" s="17"/>
      <c r="J120" s="18">
        <v>1027</v>
      </c>
      <c r="K120" s="19" t="s">
        <v>1113</v>
      </c>
      <c r="L120">
        <v>11</v>
      </c>
      <c r="M120" t="s">
        <v>1452</v>
      </c>
    </row>
    <row r="121" spans="1:13" x14ac:dyDescent="0.35">
      <c r="A121" s="20">
        <v>120</v>
      </c>
      <c r="B121" s="21"/>
      <c r="C121" s="22"/>
      <c r="D121" s="22"/>
      <c r="E121" s="22"/>
      <c r="F121" s="22"/>
      <c r="G121" s="22"/>
      <c r="H121" s="22"/>
      <c r="I121" s="23">
        <v>685</v>
      </c>
      <c r="J121" s="24">
        <v>696</v>
      </c>
      <c r="K121" s="25" t="s">
        <v>343</v>
      </c>
      <c r="L121">
        <v>11</v>
      </c>
    </row>
    <row r="122" spans="1:13" x14ac:dyDescent="0.35">
      <c r="A122" s="20">
        <v>121</v>
      </c>
      <c r="B122" s="21"/>
      <c r="C122" s="22"/>
      <c r="D122" s="22"/>
      <c r="E122" s="22"/>
      <c r="F122" s="22"/>
      <c r="G122" s="22"/>
      <c r="H122" s="22"/>
      <c r="I122" s="23">
        <v>632</v>
      </c>
      <c r="J122" s="24">
        <v>643</v>
      </c>
      <c r="K122" s="25" t="s">
        <v>314</v>
      </c>
      <c r="L122">
        <v>11</v>
      </c>
    </row>
    <row r="123" spans="1:13" x14ac:dyDescent="0.35">
      <c r="A123" s="20">
        <v>122</v>
      </c>
      <c r="B123" s="21"/>
      <c r="C123" s="22"/>
      <c r="D123" s="22"/>
      <c r="E123" s="22"/>
      <c r="F123" s="22"/>
      <c r="G123" s="22"/>
      <c r="H123" s="22"/>
      <c r="I123" s="23">
        <v>748</v>
      </c>
      <c r="J123" s="24">
        <v>759</v>
      </c>
      <c r="K123" s="25" t="s">
        <v>367</v>
      </c>
      <c r="L123">
        <v>11</v>
      </c>
    </row>
    <row r="124" spans="1:13" x14ac:dyDescent="0.35">
      <c r="A124" s="20">
        <v>123</v>
      </c>
      <c r="B124" s="21"/>
      <c r="C124" s="22"/>
      <c r="D124" s="22"/>
      <c r="E124" s="22"/>
      <c r="F124" s="22"/>
      <c r="G124" s="22"/>
      <c r="H124" s="22"/>
      <c r="I124" s="23">
        <v>780</v>
      </c>
      <c r="J124" s="24">
        <v>791</v>
      </c>
      <c r="K124" s="25" t="s">
        <v>382</v>
      </c>
      <c r="L124">
        <v>11</v>
      </c>
    </row>
    <row r="125" spans="1:13" x14ac:dyDescent="0.35">
      <c r="A125" s="20">
        <v>124</v>
      </c>
      <c r="B125" s="21"/>
      <c r="C125" s="22"/>
      <c r="D125" s="22"/>
      <c r="E125" s="22"/>
      <c r="F125" s="22"/>
      <c r="G125" s="22"/>
      <c r="H125" s="22"/>
      <c r="I125" s="23">
        <v>242</v>
      </c>
      <c r="J125" s="24">
        <v>249</v>
      </c>
      <c r="K125" s="25" t="s">
        <v>136</v>
      </c>
      <c r="L125">
        <v>11</v>
      </c>
    </row>
    <row r="126" spans="1:13" ht="15" thickBot="1" x14ac:dyDescent="0.4">
      <c r="A126" s="26">
        <v>125</v>
      </c>
      <c r="B126" s="27"/>
      <c r="C126" s="28"/>
      <c r="D126" s="28"/>
      <c r="E126" s="28"/>
      <c r="F126" s="28"/>
      <c r="G126" s="28"/>
      <c r="H126" s="28"/>
      <c r="I126" s="29">
        <v>445</v>
      </c>
      <c r="J126" s="30">
        <v>456</v>
      </c>
      <c r="K126" s="31" t="s">
        <v>231</v>
      </c>
      <c r="L126">
        <v>11</v>
      </c>
    </row>
    <row r="127" spans="1:13" x14ac:dyDescent="0.35">
      <c r="A127" s="14">
        <v>126</v>
      </c>
      <c r="B127" s="15"/>
      <c r="C127" s="16"/>
      <c r="D127" s="16"/>
      <c r="E127" s="16"/>
      <c r="F127" s="16"/>
      <c r="G127" s="16"/>
      <c r="H127" s="16" t="s">
        <v>1332</v>
      </c>
      <c r="I127" s="17"/>
      <c r="J127" s="18">
        <v>1018</v>
      </c>
      <c r="K127" s="19" t="s">
        <v>1110</v>
      </c>
      <c r="L127">
        <v>12</v>
      </c>
      <c r="M127" t="s">
        <v>1453</v>
      </c>
    </row>
    <row r="128" spans="1:13" x14ac:dyDescent="0.35">
      <c r="A128" s="20">
        <v>127</v>
      </c>
      <c r="B128" s="21"/>
      <c r="C128" s="22"/>
      <c r="D128" s="22"/>
      <c r="E128" s="22"/>
      <c r="F128" s="22"/>
      <c r="G128" s="22"/>
      <c r="H128" s="22"/>
      <c r="I128" s="23">
        <v>948</v>
      </c>
      <c r="J128" s="24">
        <v>959</v>
      </c>
      <c r="K128" s="25" t="s">
        <v>470</v>
      </c>
      <c r="L128">
        <v>12</v>
      </c>
    </row>
    <row r="129" spans="1:13" x14ac:dyDescent="0.35">
      <c r="A129" s="20">
        <v>128</v>
      </c>
      <c r="B129" s="21"/>
      <c r="C129" s="22"/>
      <c r="D129" s="22"/>
      <c r="E129" s="22"/>
      <c r="F129" s="22"/>
      <c r="G129" s="22"/>
      <c r="H129" s="22"/>
      <c r="I129" s="23">
        <v>744</v>
      </c>
      <c r="J129" s="24">
        <v>755</v>
      </c>
      <c r="K129" s="25" t="s">
        <v>365</v>
      </c>
      <c r="L129">
        <v>12</v>
      </c>
    </row>
    <row r="130" spans="1:13" x14ac:dyDescent="0.35">
      <c r="A130" s="20">
        <v>129</v>
      </c>
      <c r="B130" s="21"/>
      <c r="C130" s="22"/>
      <c r="D130" s="22"/>
      <c r="E130" s="22"/>
      <c r="F130" s="22"/>
      <c r="G130" s="22"/>
      <c r="H130" s="22"/>
      <c r="I130" s="23">
        <v>979</v>
      </c>
      <c r="J130" s="24">
        <v>990</v>
      </c>
      <c r="K130" s="25" t="s">
        <v>489</v>
      </c>
      <c r="L130">
        <v>12</v>
      </c>
    </row>
    <row r="131" spans="1:13" x14ac:dyDescent="0.35">
      <c r="A131" s="20">
        <v>130</v>
      </c>
      <c r="B131" s="21"/>
      <c r="C131" s="22"/>
      <c r="D131" s="22"/>
      <c r="E131" s="22"/>
      <c r="F131" s="22"/>
      <c r="G131" s="22"/>
      <c r="H131" s="22"/>
      <c r="I131" s="23">
        <v>1011</v>
      </c>
      <c r="J131" s="24">
        <v>1023</v>
      </c>
      <c r="K131" s="25" t="s">
        <v>505</v>
      </c>
      <c r="L131">
        <v>12</v>
      </c>
    </row>
    <row r="132" spans="1:13" x14ac:dyDescent="0.35">
      <c r="A132" s="20">
        <v>131</v>
      </c>
      <c r="B132" s="21"/>
      <c r="C132" s="22"/>
      <c r="D132" s="22"/>
      <c r="E132" s="22"/>
      <c r="F132" s="22"/>
      <c r="G132" s="22"/>
      <c r="H132" s="22"/>
      <c r="I132" s="23">
        <v>509</v>
      </c>
      <c r="J132" s="24">
        <v>520</v>
      </c>
      <c r="K132" s="25" t="s">
        <v>254</v>
      </c>
      <c r="L132">
        <v>12</v>
      </c>
    </row>
    <row r="133" spans="1:13" ht="15" thickBot="1" x14ac:dyDescent="0.4">
      <c r="A133" s="26">
        <v>132</v>
      </c>
      <c r="B133" s="27"/>
      <c r="C133" s="28"/>
      <c r="D133" s="28"/>
      <c r="E133" s="28"/>
      <c r="F133" s="28"/>
      <c r="G133" s="28"/>
      <c r="H133" s="28"/>
      <c r="I133" s="29">
        <v>587</v>
      </c>
      <c r="J133" s="30">
        <v>598</v>
      </c>
      <c r="K133" s="31" t="s">
        <v>287</v>
      </c>
      <c r="L133">
        <v>12</v>
      </c>
    </row>
    <row r="134" spans="1:13" x14ac:dyDescent="0.35">
      <c r="A134" s="20">
        <v>133</v>
      </c>
      <c r="B134" s="21"/>
      <c r="C134" s="22"/>
      <c r="D134" s="22"/>
      <c r="E134" s="22"/>
      <c r="F134" s="22"/>
      <c r="G134" s="22" t="s">
        <v>1333</v>
      </c>
      <c r="H134" s="22"/>
      <c r="I134" s="23"/>
      <c r="J134" s="24">
        <v>669</v>
      </c>
      <c r="K134" s="25" t="s">
        <v>936</v>
      </c>
      <c r="L134">
        <v>13</v>
      </c>
      <c r="M134" t="s">
        <v>1454</v>
      </c>
    </row>
    <row r="135" spans="1:13" x14ac:dyDescent="0.35">
      <c r="A135" s="20">
        <v>134</v>
      </c>
      <c r="B135" s="21"/>
      <c r="C135" s="22"/>
      <c r="D135" s="22"/>
      <c r="E135" s="22"/>
      <c r="F135" s="22"/>
      <c r="G135" s="22"/>
      <c r="H135" s="22"/>
      <c r="I135" s="23"/>
      <c r="J135" s="24">
        <v>801</v>
      </c>
      <c r="K135" s="25" t="s">
        <v>1008</v>
      </c>
      <c r="L135">
        <v>13</v>
      </c>
    </row>
    <row r="136" spans="1:13" x14ac:dyDescent="0.35">
      <c r="A136" s="20">
        <v>135</v>
      </c>
      <c r="B136" s="21"/>
      <c r="C136" s="22"/>
      <c r="D136" s="22"/>
      <c r="E136" s="22"/>
      <c r="F136" s="22"/>
      <c r="G136" s="22"/>
      <c r="H136" s="22"/>
      <c r="I136" s="23"/>
      <c r="J136" s="24">
        <v>561</v>
      </c>
      <c r="K136" s="25" t="s">
        <v>888</v>
      </c>
      <c r="L136">
        <v>13</v>
      </c>
    </row>
    <row r="137" spans="1:13" x14ac:dyDescent="0.35">
      <c r="A137" s="20">
        <v>136</v>
      </c>
      <c r="B137" s="21"/>
      <c r="C137" s="22"/>
      <c r="D137" s="22"/>
      <c r="E137" s="22"/>
      <c r="F137" s="22"/>
      <c r="G137" s="22"/>
      <c r="H137" s="22"/>
      <c r="I137" s="23"/>
      <c r="J137" s="24">
        <v>913</v>
      </c>
      <c r="K137" s="25" t="s">
        <v>1064</v>
      </c>
      <c r="L137">
        <v>13</v>
      </c>
    </row>
    <row r="138" spans="1:13" x14ac:dyDescent="0.35">
      <c r="A138" s="20">
        <v>137</v>
      </c>
      <c r="B138" s="21"/>
      <c r="C138" s="22"/>
      <c r="D138" s="22"/>
      <c r="E138" s="22"/>
      <c r="F138" s="22"/>
      <c r="G138" s="22"/>
      <c r="H138" s="22"/>
      <c r="I138" s="23"/>
      <c r="J138" s="24">
        <v>937</v>
      </c>
      <c r="K138" s="25" t="s">
        <v>1074</v>
      </c>
      <c r="L138">
        <v>13</v>
      </c>
    </row>
    <row r="139" spans="1:13" x14ac:dyDescent="0.35">
      <c r="A139" s="20">
        <v>138</v>
      </c>
      <c r="B139" s="21"/>
      <c r="C139" s="22"/>
      <c r="D139" s="22"/>
      <c r="E139" s="22"/>
      <c r="F139" s="22"/>
      <c r="G139" s="22"/>
      <c r="H139" s="22"/>
      <c r="I139" s="23"/>
      <c r="J139" s="24">
        <v>457</v>
      </c>
      <c r="K139" s="25" t="s">
        <v>820</v>
      </c>
      <c r="L139">
        <v>13</v>
      </c>
    </row>
    <row r="140" spans="1:13" ht="15" thickBot="1" x14ac:dyDescent="0.4">
      <c r="A140" s="26">
        <v>139</v>
      </c>
      <c r="B140" s="27"/>
      <c r="C140" s="28"/>
      <c r="D140" s="28"/>
      <c r="E140" s="28"/>
      <c r="F140" s="28"/>
      <c r="G140" s="28"/>
      <c r="H140" s="28"/>
      <c r="I140" s="29"/>
      <c r="J140" s="30">
        <v>497</v>
      </c>
      <c r="K140" s="31" t="s">
        <v>845</v>
      </c>
      <c r="L140">
        <v>13</v>
      </c>
    </row>
    <row r="141" spans="1:13" x14ac:dyDescent="0.35">
      <c r="A141" s="14">
        <v>140</v>
      </c>
      <c r="B141" s="15"/>
      <c r="C141" s="16"/>
      <c r="D141" s="16"/>
      <c r="E141" s="16"/>
      <c r="F141" s="16"/>
      <c r="G141" s="16"/>
      <c r="H141" s="16" t="s">
        <v>1334</v>
      </c>
      <c r="I141" s="17"/>
      <c r="J141" s="18">
        <v>402</v>
      </c>
      <c r="K141" s="19" t="s">
        <v>791</v>
      </c>
      <c r="L141">
        <v>14</v>
      </c>
      <c r="M141" t="s">
        <v>1455</v>
      </c>
    </row>
    <row r="142" spans="1:13" x14ac:dyDescent="0.35">
      <c r="A142" s="20">
        <v>141</v>
      </c>
      <c r="B142" s="21"/>
      <c r="C142" s="22"/>
      <c r="D142" s="22"/>
      <c r="E142" s="22"/>
      <c r="F142" s="22"/>
      <c r="G142" s="22"/>
      <c r="H142" s="22"/>
      <c r="I142" s="23">
        <v>1062</v>
      </c>
      <c r="J142" s="24">
        <v>1074</v>
      </c>
      <c r="K142" s="25" t="s">
        <v>531</v>
      </c>
      <c r="L142">
        <v>14</v>
      </c>
    </row>
    <row r="143" spans="1:13" x14ac:dyDescent="0.35">
      <c r="A143" s="20">
        <v>142</v>
      </c>
      <c r="B143" s="21"/>
      <c r="C143" s="22"/>
      <c r="D143" s="22"/>
      <c r="E143" s="22"/>
      <c r="F143" s="22"/>
      <c r="G143" s="22"/>
      <c r="H143" s="22"/>
      <c r="I143" s="23">
        <v>894</v>
      </c>
      <c r="J143" s="24">
        <v>905</v>
      </c>
      <c r="K143" s="25" t="s">
        <v>437</v>
      </c>
      <c r="L143">
        <v>14</v>
      </c>
    </row>
    <row r="144" spans="1:13" x14ac:dyDescent="0.35">
      <c r="A144" s="20">
        <v>143</v>
      </c>
      <c r="B144" s="21"/>
      <c r="C144" s="22"/>
      <c r="D144" s="22"/>
      <c r="E144" s="22"/>
      <c r="F144" s="22"/>
      <c r="G144" s="22"/>
      <c r="H144" s="22"/>
      <c r="I144" s="23">
        <v>1102</v>
      </c>
      <c r="J144" s="24">
        <v>1114</v>
      </c>
      <c r="K144" s="25" t="s">
        <v>552</v>
      </c>
      <c r="L144">
        <v>14</v>
      </c>
    </row>
    <row r="145" spans="1:13" x14ac:dyDescent="0.35">
      <c r="A145" s="20">
        <v>144</v>
      </c>
      <c r="B145" s="21"/>
      <c r="C145" s="22"/>
      <c r="D145" s="22"/>
      <c r="E145" s="22"/>
      <c r="F145" s="22"/>
      <c r="G145" s="22"/>
      <c r="H145" s="22"/>
      <c r="I145" s="23">
        <v>226</v>
      </c>
      <c r="J145" s="24">
        <v>233</v>
      </c>
      <c r="K145" s="25" t="s">
        <v>130</v>
      </c>
      <c r="L145">
        <v>14</v>
      </c>
    </row>
    <row r="146" spans="1:13" x14ac:dyDescent="0.35">
      <c r="A146" s="20">
        <v>145</v>
      </c>
      <c r="B146" s="21"/>
      <c r="C146" s="22"/>
      <c r="D146" s="22"/>
      <c r="E146" s="22"/>
      <c r="F146" s="22"/>
      <c r="G146" s="22"/>
      <c r="H146" s="22"/>
      <c r="I146" s="23">
        <v>590</v>
      </c>
      <c r="J146" s="24">
        <v>601</v>
      </c>
      <c r="K146" s="25" t="s">
        <v>290</v>
      </c>
      <c r="L146">
        <v>14</v>
      </c>
    </row>
    <row r="147" spans="1:13" ht="15" thickBot="1" x14ac:dyDescent="0.4">
      <c r="A147" s="26">
        <v>146</v>
      </c>
      <c r="B147" s="27"/>
      <c r="C147" s="28"/>
      <c r="D147" s="28"/>
      <c r="E147" s="28"/>
      <c r="F147" s="28"/>
      <c r="G147" s="28"/>
      <c r="H147" s="28"/>
      <c r="I147" s="29">
        <v>638</v>
      </c>
      <c r="J147" s="30">
        <v>649</v>
      </c>
      <c r="K147" s="31" t="s">
        <v>317</v>
      </c>
      <c r="L147">
        <v>14</v>
      </c>
    </row>
    <row r="148" spans="1:13" x14ac:dyDescent="0.35">
      <c r="A148" s="14">
        <v>147</v>
      </c>
      <c r="B148" s="15"/>
      <c r="C148" s="16"/>
      <c r="D148" s="16"/>
      <c r="E148" s="16"/>
      <c r="F148" s="16"/>
      <c r="G148" s="16"/>
      <c r="H148" s="16"/>
      <c r="I148" s="17"/>
      <c r="J148" s="18">
        <v>394</v>
      </c>
      <c r="K148" s="19" t="s">
        <v>785</v>
      </c>
      <c r="L148">
        <v>15</v>
      </c>
      <c r="M148" t="s">
        <v>1456</v>
      </c>
    </row>
    <row r="149" spans="1:13" x14ac:dyDescent="0.35">
      <c r="A149" s="20">
        <v>148</v>
      </c>
      <c r="B149" s="21"/>
      <c r="C149" s="22"/>
      <c r="D149" s="22"/>
      <c r="E149" s="22"/>
      <c r="F149" s="22"/>
      <c r="G149" s="22"/>
      <c r="H149" s="22"/>
      <c r="I149" s="23">
        <v>272</v>
      </c>
      <c r="J149" s="24">
        <v>281</v>
      </c>
      <c r="K149" s="25" t="s">
        <v>155</v>
      </c>
      <c r="L149">
        <v>15</v>
      </c>
    </row>
    <row r="150" spans="1:13" x14ac:dyDescent="0.35">
      <c r="A150" s="20">
        <v>149</v>
      </c>
      <c r="B150" s="21"/>
      <c r="C150" s="22"/>
      <c r="D150" s="22"/>
      <c r="E150" s="22"/>
      <c r="F150" s="22"/>
      <c r="G150" s="22"/>
      <c r="H150" s="22"/>
      <c r="I150" s="23">
        <v>1054</v>
      </c>
      <c r="J150" s="24">
        <v>1066</v>
      </c>
      <c r="K150" s="25" t="s">
        <v>529</v>
      </c>
      <c r="L150">
        <v>15</v>
      </c>
    </row>
    <row r="151" spans="1:13" x14ac:dyDescent="0.35">
      <c r="A151" s="20">
        <v>150</v>
      </c>
      <c r="B151" s="21"/>
      <c r="C151" s="22"/>
      <c r="D151" s="22"/>
      <c r="E151" s="22"/>
      <c r="F151" s="22"/>
      <c r="G151" s="22"/>
      <c r="H151" s="22"/>
      <c r="I151" s="23">
        <v>391</v>
      </c>
      <c r="J151" s="24">
        <v>401</v>
      </c>
      <c r="K151" s="25" t="s">
        <v>206</v>
      </c>
      <c r="L151">
        <v>15</v>
      </c>
    </row>
    <row r="152" spans="1:13" x14ac:dyDescent="0.35">
      <c r="A152" s="20">
        <v>151</v>
      </c>
      <c r="B152" s="21"/>
      <c r="C152" s="22"/>
      <c r="D152" s="22"/>
      <c r="E152" s="22"/>
      <c r="F152" s="22"/>
      <c r="G152" s="22"/>
      <c r="H152" s="22"/>
      <c r="I152" s="23">
        <v>422</v>
      </c>
      <c r="J152" s="24">
        <v>433</v>
      </c>
      <c r="K152" s="25" t="s">
        <v>217</v>
      </c>
      <c r="L152">
        <v>15</v>
      </c>
    </row>
    <row r="153" spans="1:13" x14ac:dyDescent="0.35">
      <c r="A153" s="20">
        <v>152</v>
      </c>
      <c r="B153" s="21"/>
      <c r="C153" s="22"/>
      <c r="D153" s="22"/>
      <c r="E153" s="22"/>
      <c r="F153" s="22"/>
      <c r="G153" s="22"/>
      <c r="H153" s="22"/>
      <c r="I153" s="23">
        <v>1034</v>
      </c>
      <c r="J153" s="24">
        <v>1046</v>
      </c>
      <c r="K153" s="25" t="s">
        <v>519</v>
      </c>
      <c r="L153">
        <v>15</v>
      </c>
    </row>
    <row r="154" spans="1:13" ht="15" thickBot="1" x14ac:dyDescent="0.4">
      <c r="A154" s="26">
        <v>153</v>
      </c>
      <c r="B154" s="27"/>
      <c r="C154" s="28"/>
      <c r="D154" s="28"/>
      <c r="E154" s="28"/>
      <c r="F154" s="28"/>
      <c r="G154" s="28"/>
      <c r="H154" s="28"/>
      <c r="I154" s="29">
        <v>430</v>
      </c>
      <c r="J154" s="30">
        <v>441</v>
      </c>
      <c r="K154" s="31" t="s">
        <v>222</v>
      </c>
      <c r="L154">
        <v>15</v>
      </c>
    </row>
    <row r="155" spans="1:13" x14ac:dyDescent="0.35">
      <c r="A155" s="14">
        <v>154</v>
      </c>
      <c r="B155" s="15"/>
      <c r="C155" s="16"/>
      <c r="D155" s="16"/>
      <c r="E155" s="16"/>
      <c r="F155" s="16"/>
      <c r="G155" s="16"/>
      <c r="H155" s="16"/>
      <c r="I155" s="17"/>
      <c r="J155" s="18">
        <v>409</v>
      </c>
      <c r="K155" s="19" t="s">
        <v>797</v>
      </c>
      <c r="L155">
        <v>16</v>
      </c>
      <c r="M155" t="s">
        <v>1457</v>
      </c>
    </row>
    <row r="156" spans="1:13" x14ac:dyDescent="0.35">
      <c r="A156" s="20">
        <v>155</v>
      </c>
      <c r="B156" s="21"/>
      <c r="C156" s="22"/>
      <c r="D156" s="22"/>
      <c r="E156" s="22"/>
      <c r="F156" s="22"/>
      <c r="G156" s="22"/>
      <c r="H156" s="22"/>
      <c r="I156" s="23">
        <v>410</v>
      </c>
      <c r="J156" s="24">
        <v>421</v>
      </c>
      <c r="K156" s="25" t="s">
        <v>211</v>
      </c>
      <c r="L156">
        <v>16</v>
      </c>
    </row>
    <row r="157" spans="1:13" x14ac:dyDescent="0.35">
      <c r="A157" s="20">
        <v>156</v>
      </c>
      <c r="B157" s="21"/>
      <c r="C157" s="22"/>
      <c r="D157" s="22"/>
      <c r="E157" s="22"/>
      <c r="F157" s="22"/>
      <c r="G157" s="22"/>
      <c r="H157" s="22"/>
      <c r="I157" s="23">
        <v>962</v>
      </c>
      <c r="J157" s="24">
        <v>973</v>
      </c>
      <c r="K157" s="25" t="s">
        <v>479</v>
      </c>
      <c r="L157">
        <v>16</v>
      </c>
    </row>
    <row r="158" spans="1:13" x14ac:dyDescent="0.35">
      <c r="A158" s="20">
        <v>157</v>
      </c>
      <c r="B158" s="21"/>
      <c r="C158" s="22"/>
      <c r="D158" s="22"/>
      <c r="E158" s="22"/>
      <c r="F158" s="22"/>
      <c r="G158" s="22"/>
      <c r="H158" s="22"/>
      <c r="I158" s="23">
        <v>562</v>
      </c>
      <c r="J158" s="24">
        <v>573</v>
      </c>
      <c r="K158" s="25" t="s">
        <v>271</v>
      </c>
      <c r="L158">
        <v>16</v>
      </c>
    </row>
    <row r="159" spans="1:13" x14ac:dyDescent="0.35">
      <c r="A159" s="20">
        <v>158</v>
      </c>
      <c r="B159" s="21"/>
      <c r="C159" s="22"/>
      <c r="D159" s="22"/>
      <c r="E159" s="22"/>
      <c r="F159" s="22"/>
      <c r="G159" s="22"/>
      <c r="H159" s="22"/>
      <c r="I159" s="23">
        <v>602</v>
      </c>
      <c r="J159" s="24">
        <v>613</v>
      </c>
      <c r="K159" s="25" t="s">
        <v>298</v>
      </c>
      <c r="L159">
        <v>16</v>
      </c>
    </row>
    <row r="160" spans="1:13" x14ac:dyDescent="0.35">
      <c r="A160" s="20">
        <v>159</v>
      </c>
      <c r="B160" s="21"/>
      <c r="C160" s="22"/>
      <c r="D160" s="22"/>
      <c r="E160" s="22"/>
      <c r="F160" s="22"/>
      <c r="G160" s="22"/>
      <c r="H160" s="22"/>
      <c r="I160" s="23">
        <v>69</v>
      </c>
      <c r="J160" s="24">
        <v>74</v>
      </c>
      <c r="K160" s="25" t="s">
        <v>53</v>
      </c>
      <c r="L160">
        <v>16</v>
      </c>
    </row>
    <row r="161" spans="1:13" ht="15" thickBot="1" x14ac:dyDescent="0.4">
      <c r="A161" s="26">
        <v>160</v>
      </c>
      <c r="B161" s="27"/>
      <c r="C161" s="28"/>
      <c r="D161" s="28"/>
      <c r="E161" s="28"/>
      <c r="F161" s="28"/>
      <c r="G161" s="28"/>
      <c r="H161" s="28"/>
      <c r="I161" s="29">
        <v>116</v>
      </c>
      <c r="J161" s="30">
        <v>121</v>
      </c>
      <c r="K161" s="31" t="s">
        <v>74</v>
      </c>
      <c r="L161">
        <v>16</v>
      </c>
    </row>
    <row r="162" spans="1:13" x14ac:dyDescent="0.35">
      <c r="A162" s="14">
        <v>161</v>
      </c>
      <c r="B162" s="15"/>
      <c r="C162" s="16"/>
      <c r="D162" s="16"/>
      <c r="E162" s="16"/>
      <c r="F162" s="16"/>
      <c r="G162" s="16"/>
      <c r="H162" s="16"/>
      <c r="I162" s="17"/>
      <c r="J162" s="18">
        <v>385</v>
      </c>
      <c r="K162" s="19" t="s">
        <v>778</v>
      </c>
      <c r="L162">
        <v>17</v>
      </c>
      <c r="M162" t="s">
        <v>1458</v>
      </c>
    </row>
    <row r="163" spans="1:13" x14ac:dyDescent="0.35">
      <c r="A163" s="20">
        <v>162</v>
      </c>
      <c r="B163" s="21"/>
      <c r="C163" s="22"/>
      <c r="D163" s="22"/>
      <c r="E163" s="22"/>
      <c r="F163" s="22"/>
      <c r="G163" s="22"/>
      <c r="H163" s="22"/>
      <c r="I163" s="23">
        <v>582</v>
      </c>
      <c r="J163" s="24">
        <v>593</v>
      </c>
      <c r="K163" s="25" t="s">
        <v>284</v>
      </c>
      <c r="L163">
        <v>17</v>
      </c>
    </row>
    <row r="164" spans="1:13" x14ac:dyDescent="0.35">
      <c r="A164" s="20">
        <v>163</v>
      </c>
      <c r="B164" s="21"/>
      <c r="C164" s="22"/>
      <c r="D164" s="22"/>
      <c r="E164" s="22"/>
      <c r="F164" s="22"/>
      <c r="G164" s="22"/>
      <c r="H164" s="22"/>
      <c r="I164" s="23">
        <v>810</v>
      </c>
      <c r="J164" s="24">
        <v>821</v>
      </c>
      <c r="K164" s="25" t="s">
        <v>397</v>
      </c>
      <c r="L164">
        <v>17</v>
      </c>
    </row>
    <row r="165" spans="1:13" x14ac:dyDescent="0.35">
      <c r="A165" s="20">
        <v>164</v>
      </c>
      <c r="B165" s="21"/>
      <c r="C165" s="22"/>
      <c r="D165" s="22"/>
      <c r="E165" s="22"/>
      <c r="F165" s="22"/>
      <c r="G165" s="22"/>
      <c r="H165" s="22"/>
      <c r="I165" s="23">
        <v>710</v>
      </c>
      <c r="J165" s="24">
        <v>721</v>
      </c>
      <c r="K165" s="25" t="s">
        <v>354</v>
      </c>
      <c r="L165">
        <v>17</v>
      </c>
    </row>
    <row r="166" spans="1:13" x14ac:dyDescent="0.35">
      <c r="A166" s="20">
        <v>165</v>
      </c>
      <c r="B166" s="21"/>
      <c r="C166" s="22"/>
      <c r="D166" s="22"/>
      <c r="E166" s="22"/>
      <c r="F166" s="22"/>
      <c r="G166" s="22"/>
      <c r="H166" s="22"/>
      <c r="I166" s="23">
        <v>767</v>
      </c>
      <c r="J166" s="24">
        <v>778</v>
      </c>
      <c r="K166" s="25" t="s">
        <v>375</v>
      </c>
      <c r="L166">
        <v>17</v>
      </c>
    </row>
    <row r="167" spans="1:13" x14ac:dyDescent="0.35">
      <c r="A167" s="20">
        <v>166</v>
      </c>
      <c r="B167" s="21"/>
      <c r="C167" s="22"/>
      <c r="D167" s="22"/>
      <c r="E167" s="22"/>
      <c r="F167" s="22"/>
      <c r="G167" s="22"/>
      <c r="H167" s="22"/>
      <c r="I167" s="23">
        <v>29</v>
      </c>
      <c r="J167" s="24">
        <v>33</v>
      </c>
      <c r="K167" s="25" t="s">
        <v>36</v>
      </c>
      <c r="L167">
        <v>17</v>
      </c>
    </row>
    <row r="168" spans="1:13" ht="15" thickBot="1" x14ac:dyDescent="0.4">
      <c r="A168" s="26">
        <v>167</v>
      </c>
      <c r="B168" s="27"/>
      <c r="C168" s="28"/>
      <c r="D168" s="28"/>
      <c r="E168" s="28"/>
      <c r="F168" s="28"/>
      <c r="G168" s="28"/>
      <c r="H168" s="28"/>
      <c r="I168" s="29">
        <v>295</v>
      </c>
      <c r="J168" s="30">
        <v>305</v>
      </c>
      <c r="K168" s="31" t="s">
        <v>166</v>
      </c>
      <c r="L168">
        <v>17</v>
      </c>
    </row>
    <row r="169" spans="1:13" x14ac:dyDescent="0.35">
      <c r="A169" s="14">
        <v>168</v>
      </c>
      <c r="B169" s="15"/>
      <c r="C169" s="16"/>
      <c r="D169" s="16"/>
      <c r="E169" s="16"/>
      <c r="F169" s="16"/>
      <c r="G169" s="16"/>
      <c r="H169" s="16"/>
      <c r="I169" s="17"/>
      <c r="J169" s="18">
        <v>425</v>
      </c>
      <c r="K169" s="19" t="s">
        <v>806</v>
      </c>
      <c r="L169">
        <v>18</v>
      </c>
      <c r="M169" t="s">
        <v>1459</v>
      </c>
    </row>
    <row r="170" spans="1:13" x14ac:dyDescent="0.35">
      <c r="A170" s="20">
        <v>169</v>
      </c>
      <c r="B170" s="21"/>
      <c r="C170" s="22"/>
      <c r="D170" s="22"/>
      <c r="E170" s="22"/>
      <c r="F170" s="22"/>
      <c r="G170" s="22"/>
      <c r="H170" s="22"/>
      <c r="I170" s="23">
        <v>739</v>
      </c>
      <c r="J170" s="24">
        <v>750</v>
      </c>
      <c r="K170" s="25" t="s">
        <v>363</v>
      </c>
      <c r="L170">
        <v>18</v>
      </c>
    </row>
    <row r="171" spans="1:13" x14ac:dyDescent="0.35">
      <c r="A171" s="20">
        <v>170</v>
      </c>
      <c r="B171" s="21"/>
      <c r="C171" s="22"/>
      <c r="D171" s="22"/>
      <c r="E171" s="22"/>
      <c r="F171" s="22"/>
      <c r="G171" s="22"/>
      <c r="H171" s="22"/>
      <c r="I171" s="23">
        <v>261</v>
      </c>
      <c r="J171" s="24">
        <v>269</v>
      </c>
      <c r="K171" s="25" t="s">
        <v>148</v>
      </c>
      <c r="L171">
        <v>18</v>
      </c>
    </row>
    <row r="172" spans="1:13" x14ac:dyDescent="0.35">
      <c r="A172" s="20">
        <v>171</v>
      </c>
      <c r="B172" s="21"/>
      <c r="C172" s="22"/>
      <c r="D172" s="22"/>
      <c r="E172" s="22"/>
      <c r="F172" s="22"/>
      <c r="G172" s="22"/>
      <c r="H172" s="22"/>
      <c r="I172" s="23">
        <v>858</v>
      </c>
      <c r="J172" s="24">
        <v>869</v>
      </c>
      <c r="K172" s="25" t="s">
        <v>419</v>
      </c>
      <c r="L172">
        <v>18</v>
      </c>
    </row>
    <row r="173" spans="1:13" x14ac:dyDescent="0.35">
      <c r="A173" s="20">
        <v>172</v>
      </c>
      <c r="B173" s="21"/>
      <c r="C173" s="22"/>
      <c r="D173" s="22"/>
      <c r="E173" s="22"/>
      <c r="F173" s="22"/>
      <c r="G173" s="22"/>
      <c r="H173" s="22"/>
      <c r="I173" s="23">
        <v>891</v>
      </c>
      <c r="J173" s="24">
        <v>902</v>
      </c>
      <c r="K173" s="25" t="s">
        <v>435</v>
      </c>
      <c r="L173">
        <v>18</v>
      </c>
    </row>
    <row r="174" spans="1:13" x14ac:dyDescent="0.35">
      <c r="A174" s="20">
        <v>173</v>
      </c>
      <c r="B174" s="21"/>
      <c r="C174" s="22"/>
      <c r="D174" s="22"/>
      <c r="E174" s="22"/>
      <c r="F174" s="22"/>
      <c r="G174" s="22"/>
      <c r="H174" s="22"/>
      <c r="I174" s="23">
        <v>367</v>
      </c>
      <c r="J174" s="24">
        <v>377</v>
      </c>
      <c r="K174" s="25" t="s">
        <v>199</v>
      </c>
      <c r="L174">
        <v>18</v>
      </c>
    </row>
    <row r="175" spans="1:13" ht="15" thickBot="1" x14ac:dyDescent="0.4">
      <c r="A175" s="26">
        <v>174</v>
      </c>
      <c r="B175" s="27"/>
      <c r="C175" s="28"/>
      <c r="D175" s="28"/>
      <c r="E175" s="28"/>
      <c r="F175" s="28"/>
      <c r="G175" s="28"/>
      <c r="H175" s="28"/>
      <c r="I175" s="29">
        <v>383</v>
      </c>
      <c r="J175" s="30">
        <v>393</v>
      </c>
      <c r="K175" s="31" t="s">
        <v>204</v>
      </c>
      <c r="L175">
        <v>18</v>
      </c>
    </row>
    <row r="176" spans="1:13" x14ac:dyDescent="0.35">
      <c r="A176" s="14">
        <v>175</v>
      </c>
      <c r="B176" s="15"/>
      <c r="C176" s="16"/>
      <c r="D176" s="16"/>
      <c r="E176" s="16"/>
      <c r="F176" s="16"/>
      <c r="G176" s="16"/>
      <c r="H176" s="16"/>
      <c r="I176" s="17"/>
      <c r="J176" s="18">
        <v>533</v>
      </c>
      <c r="K176" s="19" t="s">
        <v>868</v>
      </c>
      <c r="L176">
        <v>19</v>
      </c>
      <c r="M176" t="s">
        <v>1460</v>
      </c>
    </row>
    <row r="177" spans="1:13" x14ac:dyDescent="0.35">
      <c r="A177" s="20">
        <v>176</v>
      </c>
      <c r="B177" s="21"/>
      <c r="C177" s="22"/>
      <c r="D177" s="22"/>
      <c r="E177" s="22"/>
      <c r="F177" s="22"/>
      <c r="G177" s="22"/>
      <c r="H177" s="22"/>
      <c r="I177" s="23">
        <v>794</v>
      </c>
      <c r="J177" s="24">
        <v>805</v>
      </c>
      <c r="K177" s="25" t="s">
        <v>391</v>
      </c>
      <c r="L177">
        <v>19</v>
      </c>
    </row>
    <row r="178" spans="1:13" x14ac:dyDescent="0.35">
      <c r="A178" s="20">
        <v>177</v>
      </c>
      <c r="B178" s="21"/>
      <c r="C178" s="22"/>
      <c r="D178" s="22"/>
      <c r="E178" s="22"/>
      <c r="F178" s="22"/>
      <c r="G178" s="22"/>
      <c r="H178" s="22"/>
      <c r="I178" s="23">
        <v>36</v>
      </c>
      <c r="J178" s="24">
        <v>41</v>
      </c>
      <c r="K178" s="25" t="s">
        <v>40</v>
      </c>
      <c r="L178">
        <v>19</v>
      </c>
    </row>
    <row r="179" spans="1:13" x14ac:dyDescent="0.35">
      <c r="A179" s="20">
        <v>178</v>
      </c>
      <c r="B179" s="21"/>
      <c r="C179" s="22"/>
      <c r="D179" s="22"/>
      <c r="E179" s="22"/>
      <c r="F179" s="22"/>
      <c r="G179" s="22"/>
      <c r="H179" s="22"/>
      <c r="I179" s="23">
        <v>490</v>
      </c>
      <c r="J179" s="24">
        <v>501</v>
      </c>
      <c r="K179" s="25" t="s">
        <v>247</v>
      </c>
      <c r="L179">
        <v>19</v>
      </c>
    </row>
    <row r="180" spans="1:13" x14ac:dyDescent="0.35">
      <c r="A180" s="20">
        <v>179</v>
      </c>
      <c r="B180" s="21"/>
      <c r="C180" s="22"/>
      <c r="D180" s="22"/>
      <c r="E180" s="22"/>
      <c r="F180" s="22"/>
      <c r="G180" s="22"/>
      <c r="H180" s="22"/>
      <c r="I180" s="23">
        <v>554</v>
      </c>
      <c r="J180" s="24">
        <v>565</v>
      </c>
      <c r="K180" s="25" t="s">
        <v>269</v>
      </c>
      <c r="L180">
        <v>19</v>
      </c>
    </row>
    <row r="181" spans="1:13" x14ac:dyDescent="0.35">
      <c r="A181" s="20">
        <v>180</v>
      </c>
      <c r="B181" s="21"/>
      <c r="C181" s="22"/>
      <c r="D181" s="22"/>
      <c r="E181" s="22"/>
      <c r="F181" s="22"/>
      <c r="G181" s="22"/>
      <c r="H181" s="22"/>
      <c r="I181" s="23">
        <v>250</v>
      </c>
      <c r="J181" s="24">
        <v>257</v>
      </c>
      <c r="K181" s="25" t="s">
        <v>142</v>
      </c>
      <c r="L181">
        <v>19</v>
      </c>
    </row>
    <row r="182" spans="1:13" ht="15" thickBot="1" x14ac:dyDescent="0.4">
      <c r="A182" s="26">
        <v>181</v>
      </c>
      <c r="B182" s="27"/>
      <c r="C182" s="28"/>
      <c r="D182" s="28"/>
      <c r="E182" s="28"/>
      <c r="F182" s="28"/>
      <c r="G182" s="28"/>
      <c r="H182" s="28"/>
      <c r="I182" s="29">
        <v>458</v>
      </c>
      <c r="J182" s="30">
        <v>469</v>
      </c>
      <c r="K182" s="31" t="s">
        <v>236</v>
      </c>
      <c r="L182">
        <v>19</v>
      </c>
    </row>
    <row r="183" spans="1:13" x14ac:dyDescent="0.35">
      <c r="A183" s="14">
        <v>182</v>
      </c>
      <c r="B183" s="15"/>
      <c r="C183" s="16"/>
      <c r="D183" s="16"/>
      <c r="E183" s="16"/>
      <c r="F183" s="16"/>
      <c r="G183" s="16" t="s">
        <v>1335</v>
      </c>
      <c r="H183" s="16"/>
      <c r="I183" s="17"/>
      <c r="J183" s="18">
        <v>31</v>
      </c>
      <c r="K183" s="19" t="s">
        <v>35</v>
      </c>
      <c r="L183">
        <v>20</v>
      </c>
      <c r="M183" t="s">
        <v>576</v>
      </c>
    </row>
    <row r="184" spans="1:13" x14ac:dyDescent="0.35">
      <c r="A184" s="20">
        <v>183</v>
      </c>
      <c r="B184" s="21"/>
      <c r="C184" s="22"/>
      <c r="D184" s="22"/>
      <c r="E184" s="22"/>
      <c r="F184" s="22"/>
      <c r="G184" s="22"/>
      <c r="H184" s="22"/>
      <c r="I184" s="23"/>
      <c r="J184" s="24">
        <v>572</v>
      </c>
      <c r="K184" s="25" t="s">
        <v>896</v>
      </c>
      <c r="L184">
        <v>20</v>
      </c>
    </row>
    <row r="185" spans="1:13" x14ac:dyDescent="0.35">
      <c r="A185" s="20">
        <v>184</v>
      </c>
      <c r="B185" s="21"/>
      <c r="C185" s="22"/>
      <c r="D185" s="22"/>
      <c r="E185" s="22"/>
      <c r="F185" s="22"/>
      <c r="G185" s="22"/>
      <c r="H185" s="22"/>
      <c r="I185" s="23"/>
      <c r="J185" s="24">
        <v>1053</v>
      </c>
      <c r="K185" s="25" t="s">
        <v>1123</v>
      </c>
      <c r="L185">
        <v>20</v>
      </c>
    </row>
    <row r="186" spans="1:13" x14ac:dyDescent="0.35">
      <c r="A186" s="20">
        <v>185</v>
      </c>
      <c r="B186" s="21"/>
      <c r="C186" s="22"/>
      <c r="D186" s="22"/>
      <c r="E186" s="22"/>
      <c r="F186" s="22"/>
      <c r="G186" s="22"/>
      <c r="H186" s="22"/>
      <c r="I186" s="23"/>
      <c r="J186" s="24">
        <v>739</v>
      </c>
      <c r="K186" s="25" t="s">
        <v>973</v>
      </c>
      <c r="L186">
        <v>20</v>
      </c>
    </row>
    <row r="187" spans="1:13" x14ac:dyDescent="0.35">
      <c r="A187" s="20">
        <v>186</v>
      </c>
      <c r="B187" s="21"/>
      <c r="C187" s="22"/>
      <c r="D187" s="22"/>
      <c r="E187" s="22"/>
      <c r="F187" s="22"/>
      <c r="G187" s="22"/>
      <c r="H187" s="22"/>
      <c r="I187" s="23"/>
      <c r="J187" s="24">
        <v>179</v>
      </c>
      <c r="K187" s="25" t="s">
        <v>673</v>
      </c>
      <c r="L187" s="41">
        <v>20</v>
      </c>
    </row>
    <row r="188" spans="1:13" ht="15" thickBot="1" x14ac:dyDescent="0.4">
      <c r="A188" s="26">
        <v>187</v>
      </c>
      <c r="B188" s="27"/>
      <c r="C188" s="28"/>
      <c r="D188" s="28"/>
      <c r="E188" s="28"/>
      <c r="F188" s="28"/>
      <c r="G188" s="28"/>
      <c r="H188" s="28"/>
      <c r="I188" s="29"/>
      <c r="J188" s="30">
        <v>227</v>
      </c>
      <c r="K188" s="31" t="s">
        <v>697</v>
      </c>
      <c r="L188" s="41">
        <v>20</v>
      </c>
    </row>
    <row r="189" spans="1:13" x14ac:dyDescent="0.35">
      <c r="A189" s="14">
        <v>188</v>
      </c>
      <c r="B189" s="15"/>
      <c r="C189" s="16"/>
      <c r="D189" s="16"/>
      <c r="E189" s="16"/>
      <c r="F189" s="16"/>
      <c r="G189" s="16"/>
      <c r="H189" s="16"/>
      <c r="I189" s="17"/>
      <c r="J189" s="18">
        <v>39</v>
      </c>
      <c r="K189" s="19" t="s">
        <v>601</v>
      </c>
      <c r="L189" s="41">
        <v>21</v>
      </c>
      <c r="M189" t="s">
        <v>1461</v>
      </c>
    </row>
    <row r="190" spans="1:13" x14ac:dyDescent="0.35">
      <c r="A190" s="20">
        <v>189</v>
      </c>
      <c r="B190" s="21"/>
      <c r="C190" s="22"/>
      <c r="D190" s="22"/>
      <c r="E190" s="22"/>
      <c r="F190" s="22"/>
      <c r="G190" s="22"/>
      <c r="H190" s="22"/>
      <c r="I190" s="23">
        <v>924</v>
      </c>
      <c r="J190" s="24">
        <v>935</v>
      </c>
      <c r="K190" s="25" t="s">
        <v>456</v>
      </c>
      <c r="L190" s="41">
        <v>21</v>
      </c>
    </row>
    <row r="191" spans="1:13" x14ac:dyDescent="0.35">
      <c r="A191" s="20">
        <v>190</v>
      </c>
      <c r="B191" s="21"/>
      <c r="C191" s="22"/>
      <c r="D191" s="22"/>
      <c r="E191" s="22"/>
      <c r="F191" s="22"/>
      <c r="G191" s="22"/>
      <c r="H191" s="22"/>
      <c r="I191" s="23">
        <v>204</v>
      </c>
      <c r="J191" s="24">
        <v>211</v>
      </c>
      <c r="K191" s="25" t="s">
        <v>121</v>
      </c>
      <c r="L191" s="41">
        <v>21</v>
      </c>
    </row>
    <row r="192" spans="1:13" x14ac:dyDescent="0.35">
      <c r="A192" s="20">
        <v>191</v>
      </c>
      <c r="B192" s="21"/>
      <c r="C192" s="22"/>
      <c r="D192" s="22"/>
      <c r="E192" s="22"/>
      <c r="F192" s="22"/>
      <c r="G192" s="22"/>
      <c r="H192" s="22"/>
      <c r="I192" s="23">
        <v>1003</v>
      </c>
      <c r="J192" s="24">
        <v>1015</v>
      </c>
      <c r="K192" s="25" t="s">
        <v>499</v>
      </c>
      <c r="L192" s="41">
        <v>21</v>
      </c>
    </row>
    <row r="193" spans="1:13" x14ac:dyDescent="0.35">
      <c r="A193" s="20">
        <v>192</v>
      </c>
      <c r="B193" s="21"/>
      <c r="C193" s="22"/>
      <c r="D193" s="22"/>
      <c r="E193" s="22"/>
      <c r="F193" s="22"/>
      <c r="G193" s="22"/>
      <c r="H193" s="22"/>
      <c r="I193" s="23">
        <v>908</v>
      </c>
      <c r="J193" s="24">
        <v>919</v>
      </c>
      <c r="K193" s="25" t="s">
        <v>446</v>
      </c>
      <c r="L193" s="41">
        <v>21</v>
      </c>
    </row>
    <row r="194" spans="1:13" ht="15" thickBot="1" x14ac:dyDescent="0.4">
      <c r="A194" s="26">
        <v>193</v>
      </c>
      <c r="B194" s="27"/>
      <c r="C194" s="28"/>
      <c r="D194" s="28"/>
      <c r="E194" s="28"/>
      <c r="F194" s="28"/>
      <c r="G194" s="28"/>
      <c r="H194" s="28"/>
      <c r="I194" s="29">
        <v>916</v>
      </c>
      <c r="J194" s="30">
        <v>927</v>
      </c>
      <c r="K194" s="31" t="s">
        <v>450</v>
      </c>
      <c r="L194" s="41">
        <v>21</v>
      </c>
    </row>
    <row r="195" spans="1:13" x14ac:dyDescent="0.35">
      <c r="A195" s="14">
        <v>194</v>
      </c>
      <c r="B195" s="15"/>
      <c r="C195" s="16"/>
      <c r="D195" s="16"/>
      <c r="E195" s="16"/>
      <c r="F195" s="16"/>
      <c r="G195" s="16"/>
      <c r="H195" s="16"/>
      <c r="I195" s="17"/>
      <c r="J195" s="18">
        <v>48</v>
      </c>
      <c r="K195" s="19" t="s">
        <v>606</v>
      </c>
      <c r="L195" s="41">
        <v>22</v>
      </c>
      <c r="M195" t="s">
        <v>1462</v>
      </c>
    </row>
    <row r="196" spans="1:13" x14ac:dyDescent="0.35">
      <c r="A196" s="20">
        <v>195</v>
      </c>
      <c r="B196" s="21"/>
      <c r="C196" s="22"/>
      <c r="D196" s="22"/>
      <c r="E196" s="22"/>
      <c r="F196" s="22"/>
      <c r="G196" s="22"/>
      <c r="H196" s="22"/>
      <c r="I196" s="23">
        <v>577</v>
      </c>
      <c r="J196" s="24">
        <v>588</v>
      </c>
      <c r="K196" s="25" t="s">
        <v>281</v>
      </c>
      <c r="L196" s="41">
        <v>22</v>
      </c>
    </row>
    <row r="197" spans="1:13" x14ac:dyDescent="0.35">
      <c r="A197" s="20">
        <v>196</v>
      </c>
      <c r="B197" s="21"/>
      <c r="C197" s="22"/>
      <c r="D197" s="22"/>
      <c r="E197" s="22"/>
      <c r="F197" s="22"/>
      <c r="G197" s="22"/>
      <c r="H197" s="22"/>
      <c r="I197" s="23">
        <v>286</v>
      </c>
      <c r="J197" s="24">
        <v>296</v>
      </c>
      <c r="K197" s="25" t="s">
        <v>161</v>
      </c>
      <c r="L197" s="41">
        <v>22</v>
      </c>
    </row>
    <row r="198" spans="1:13" x14ac:dyDescent="0.35">
      <c r="A198" s="20">
        <v>197</v>
      </c>
      <c r="B198" s="21"/>
      <c r="C198" s="22"/>
      <c r="D198" s="22"/>
      <c r="E198" s="22"/>
      <c r="F198" s="22"/>
      <c r="G198" s="22"/>
      <c r="H198" s="22"/>
      <c r="I198" s="23">
        <v>761</v>
      </c>
      <c r="J198" s="24">
        <v>772</v>
      </c>
      <c r="K198" s="25" t="s">
        <v>371</v>
      </c>
      <c r="L198" s="41">
        <v>22</v>
      </c>
    </row>
    <row r="199" spans="1:13" x14ac:dyDescent="0.35">
      <c r="A199" s="20">
        <v>198</v>
      </c>
      <c r="B199" s="21"/>
      <c r="C199" s="22"/>
      <c r="D199" s="22"/>
      <c r="E199" s="22"/>
      <c r="F199" s="22"/>
      <c r="G199" s="22"/>
      <c r="H199" s="22"/>
      <c r="I199" s="23">
        <v>799</v>
      </c>
      <c r="J199" s="24">
        <v>810</v>
      </c>
      <c r="K199" s="25" t="s">
        <v>393</v>
      </c>
      <c r="L199" s="41">
        <v>22</v>
      </c>
    </row>
    <row r="200" spans="1:13" ht="15" thickBot="1" x14ac:dyDescent="0.4">
      <c r="A200" s="26">
        <v>199</v>
      </c>
      <c r="B200" s="27"/>
      <c r="C200" s="28"/>
      <c r="D200" s="28"/>
      <c r="E200" s="28"/>
      <c r="F200" s="28"/>
      <c r="G200" s="28"/>
      <c r="H200" s="28"/>
      <c r="I200" s="29">
        <v>808</v>
      </c>
      <c r="J200" s="30">
        <v>819</v>
      </c>
      <c r="K200" s="31" t="s">
        <v>396</v>
      </c>
      <c r="L200" s="41">
        <v>22</v>
      </c>
    </row>
    <row r="201" spans="1:13" x14ac:dyDescent="0.35">
      <c r="A201" s="14">
        <v>200</v>
      </c>
      <c r="B201" s="15"/>
      <c r="C201" s="16"/>
      <c r="D201" s="16"/>
      <c r="E201" s="16"/>
      <c r="F201" s="16"/>
      <c r="G201" s="16" t="s">
        <v>1336</v>
      </c>
      <c r="H201" s="16"/>
      <c r="I201" s="17"/>
      <c r="J201" s="18">
        <v>972</v>
      </c>
      <c r="K201" s="19" t="s">
        <v>478</v>
      </c>
      <c r="L201" s="41">
        <v>23</v>
      </c>
      <c r="M201" t="s">
        <v>1463</v>
      </c>
    </row>
    <row r="202" spans="1:13" x14ac:dyDescent="0.35">
      <c r="A202" s="20">
        <v>201</v>
      </c>
      <c r="B202" s="21"/>
      <c r="C202" s="22"/>
      <c r="D202" s="22"/>
      <c r="E202" s="22"/>
      <c r="F202" s="22"/>
      <c r="G202" s="22"/>
      <c r="H202" s="22"/>
      <c r="I202" s="23">
        <v>166</v>
      </c>
      <c r="J202" s="24">
        <v>171</v>
      </c>
      <c r="K202" s="25" t="s">
        <v>101</v>
      </c>
      <c r="L202" s="41">
        <v>23</v>
      </c>
    </row>
    <row r="203" spans="1:13" x14ac:dyDescent="0.35">
      <c r="A203" s="20">
        <v>202</v>
      </c>
      <c r="B203" s="21"/>
      <c r="C203" s="22"/>
      <c r="D203" s="22"/>
      <c r="E203" s="22"/>
      <c r="F203" s="22"/>
      <c r="G203" s="22"/>
      <c r="H203" s="22"/>
      <c r="I203" s="23"/>
      <c r="J203" s="24">
        <v>195</v>
      </c>
      <c r="K203" s="25" t="s">
        <v>681</v>
      </c>
      <c r="L203" s="41">
        <v>23</v>
      </c>
    </row>
    <row r="204" spans="1:13" x14ac:dyDescent="0.35">
      <c r="A204" s="20">
        <v>203</v>
      </c>
      <c r="B204" s="21"/>
      <c r="C204" s="22"/>
      <c r="D204" s="22"/>
      <c r="E204" s="22"/>
      <c r="F204" s="22"/>
      <c r="G204" s="22"/>
      <c r="H204" s="22"/>
      <c r="I204" s="23">
        <v>294</v>
      </c>
      <c r="J204" s="24">
        <v>304</v>
      </c>
      <c r="K204" s="25" t="s">
        <v>165</v>
      </c>
      <c r="L204" s="41">
        <v>23</v>
      </c>
    </row>
    <row r="205" spans="1:13" x14ac:dyDescent="0.35">
      <c r="A205" s="20">
        <v>204</v>
      </c>
      <c r="B205" s="21"/>
      <c r="C205" s="22"/>
      <c r="D205" s="22"/>
      <c r="E205" s="22"/>
      <c r="F205" s="22"/>
      <c r="G205" s="22"/>
      <c r="H205" s="22"/>
      <c r="I205" s="23">
        <v>353</v>
      </c>
      <c r="J205" s="24">
        <v>363</v>
      </c>
      <c r="K205" s="25" t="s">
        <v>193</v>
      </c>
      <c r="L205" s="41">
        <v>23</v>
      </c>
    </row>
    <row r="206" spans="1:13" x14ac:dyDescent="0.35">
      <c r="A206" s="20">
        <v>205</v>
      </c>
      <c r="B206" s="21"/>
      <c r="C206" s="22"/>
      <c r="D206" s="22"/>
      <c r="E206" s="22"/>
      <c r="F206" s="22"/>
      <c r="G206" s="22"/>
      <c r="H206" s="22"/>
      <c r="I206" s="23">
        <v>79</v>
      </c>
      <c r="J206" s="24">
        <v>84</v>
      </c>
      <c r="K206" s="25" t="s">
        <v>57</v>
      </c>
      <c r="L206" s="41">
        <v>23</v>
      </c>
    </row>
    <row r="207" spans="1:13" ht="15" thickBot="1" x14ac:dyDescent="0.4">
      <c r="A207" s="26">
        <v>206</v>
      </c>
      <c r="B207" s="27"/>
      <c r="C207" s="28"/>
      <c r="D207" s="28"/>
      <c r="E207" s="28"/>
      <c r="F207" s="28"/>
      <c r="G207" s="28"/>
      <c r="H207" s="28"/>
      <c r="I207" s="29">
        <v>127</v>
      </c>
      <c r="J207" s="30">
        <v>132</v>
      </c>
      <c r="K207" s="31" t="s">
        <v>82</v>
      </c>
      <c r="L207" s="41">
        <v>23</v>
      </c>
    </row>
    <row r="208" spans="1:13" x14ac:dyDescent="0.35">
      <c r="A208" s="14">
        <v>207</v>
      </c>
      <c r="B208" s="15"/>
      <c r="C208" s="16"/>
      <c r="D208" s="16"/>
      <c r="E208" s="16"/>
      <c r="F208" s="16"/>
      <c r="G208" s="16" t="s">
        <v>1337</v>
      </c>
      <c r="H208" s="16"/>
      <c r="I208" s="17"/>
      <c r="J208" s="18">
        <v>44</v>
      </c>
      <c r="K208" s="19" t="s">
        <v>42</v>
      </c>
      <c r="L208" s="41">
        <v>24</v>
      </c>
      <c r="M208" t="s">
        <v>578</v>
      </c>
    </row>
    <row r="209" spans="1:13" x14ac:dyDescent="0.35">
      <c r="A209" s="20">
        <v>208</v>
      </c>
      <c r="B209" s="21"/>
      <c r="C209" s="22"/>
      <c r="D209" s="22"/>
      <c r="E209" s="22"/>
      <c r="F209" s="22"/>
      <c r="G209" s="22"/>
      <c r="H209" s="22"/>
      <c r="I209" s="23">
        <v>696</v>
      </c>
      <c r="J209" s="24">
        <v>707</v>
      </c>
      <c r="K209" s="25" t="s">
        <v>351</v>
      </c>
      <c r="L209" s="41">
        <v>24</v>
      </c>
    </row>
    <row r="210" spans="1:13" x14ac:dyDescent="0.35">
      <c r="A210" s="20">
        <v>209</v>
      </c>
      <c r="B210" s="21"/>
      <c r="C210" s="22"/>
      <c r="D210" s="22"/>
      <c r="E210" s="22"/>
      <c r="F210" s="22"/>
      <c r="G210" s="22"/>
      <c r="H210" s="22"/>
      <c r="I210" s="23"/>
      <c r="J210" s="24">
        <v>747</v>
      </c>
      <c r="K210" s="25" t="s">
        <v>980</v>
      </c>
      <c r="L210" s="41">
        <v>24</v>
      </c>
    </row>
    <row r="211" spans="1:13" x14ac:dyDescent="0.35">
      <c r="A211" s="20">
        <v>210</v>
      </c>
      <c r="B211" s="21"/>
      <c r="C211" s="22"/>
      <c r="D211" s="22"/>
      <c r="E211" s="22"/>
      <c r="F211" s="22"/>
      <c r="G211" s="22"/>
      <c r="H211" s="22"/>
      <c r="I211" s="23">
        <v>545</v>
      </c>
      <c r="J211" s="24">
        <v>556</v>
      </c>
      <c r="K211" s="25" t="s">
        <v>266</v>
      </c>
      <c r="L211" s="41">
        <v>24</v>
      </c>
    </row>
    <row r="212" spans="1:13" x14ac:dyDescent="0.35">
      <c r="A212" s="20">
        <v>211</v>
      </c>
      <c r="B212" s="21"/>
      <c r="C212" s="22"/>
      <c r="D212" s="22"/>
      <c r="E212" s="22"/>
      <c r="F212" s="22"/>
      <c r="G212" s="22"/>
      <c r="H212" s="22"/>
      <c r="I212" s="23">
        <v>816</v>
      </c>
      <c r="J212" s="34">
        <v>827</v>
      </c>
      <c r="K212" s="35" t="s">
        <v>398</v>
      </c>
      <c r="L212" s="41">
        <v>24</v>
      </c>
    </row>
    <row r="213" spans="1:13" x14ac:dyDescent="0.35">
      <c r="A213" s="20">
        <v>212</v>
      </c>
      <c r="B213" s="21"/>
      <c r="C213" s="22"/>
      <c r="D213" s="22"/>
      <c r="E213" s="22"/>
      <c r="F213" s="22"/>
      <c r="G213" s="22"/>
      <c r="H213" s="22"/>
      <c r="I213" s="23">
        <v>1042</v>
      </c>
      <c r="J213" s="24">
        <v>1054</v>
      </c>
      <c r="K213" s="25" t="s">
        <v>524</v>
      </c>
      <c r="L213" s="41">
        <v>24</v>
      </c>
    </row>
    <row r="214" spans="1:13" ht="15" thickBot="1" x14ac:dyDescent="0.4">
      <c r="A214" s="26">
        <v>213</v>
      </c>
      <c r="B214" s="27"/>
      <c r="C214" s="28"/>
      <c r="D214" s="28"/>
      <c r="E214" s="28"/>
      <c r="F214" s="28"/>
      <c r="G214" s="28"/>
      <c r="H214" s="28"/>
      <c r="I214" s="29">
        <v>1069</v>
      </c>
      <c r="J214" s="30">
        <v>1081</v>
      </c>
      <c r="K214" s="31" t="s">
        <v>533</v>
      </c>
      <c r="L214" s="41">
        <v>24</v>
      </c>
    </row>
    <row r="215" spans="1:13" x14ac:dyDescent="0.35">
      <c r="A215" s="14">
        <v>214</v>
      </c>
      <c r="B215" s="15"/>
      <c r="C215" s="16"/>
      <c r="D215" s="16"/>
      <c r="E215" s="16"/>
      <c r="F215" s="16"/>
      <c r="G215" s="16" t="s">
        <v>1338</v>
      </c>
      <c r="H215" s="16"/>
      <c r="I215" s="17"/>
      <c r="J215" s="18">
        <v>714</v>
      </c>
      <c r="K215" s="19" t="s">
        <v>956</v>
      </c>
      <c r="L215" s="41">
        <v>25</v>
      </c>
      <c r="M215" t="s">
        <v>1464</v>
      </c>
    </row>
    <row r="216" spans="1:13" x14ac:dyDescent="0.35">
      <c r="A216" s="20">
        <v>215</v>
      </c>
      <c r="B216" s="21"/>
      <c r="C216" s="22"/>
      <c r="D216" s="22"/>
      <c r="E216" s="22"/>
      <c r="F216" s="22"/>
      <c r="G216" s="22"/>
      <c r="H216" s="22"/>
      <c r="I216" s="23"/>
      <c r="J216" s="24">
        <v>264</v>
      </c>
      <c r="K216" s="25" t="s">
        <v>716</v>
      </c>
      <c r="L216" s="41">
        <v>25</v>
      </c>
    </row>
    <row r="217" spans="1:13" x14ac:dyDescent="0.35">
      <c r="A217" s="20">
        <v>216</v>
      </c>
      <c r="B217" s="21"/>
      <c r="C217" s="22"/>
      <c r="D217" s="22"/>
      <c r="E217" s="22"/>
      <c r="F217" s="22"/>
      <c r="G217" s="22"/>
      <c r="H217" s="22"/>
      <c r="I217" s="23"/>
      <c r="J217" s="24">
        <v>492</v>
      </c>
      <c r="K217" s="25" t="s">
        <v>841</v>
      </c>
      <c r="L217" s="41">
        <v>25</v>
      </c>
    </row>
    <row r="218" spans="1:13" x14ac:dyDescent="0.35">
      <c r="A218" s="20">
        <v>217</v>
      </c>
      <c r="B218" s="21"/>
      <c r="C218" s="22"/>
      <c r="D218" s="22"/>
      <c r="E218" s="22"/>
      <c r="F218" s="22"/>
      <c r="G218" s="22"/>
      <c r="H218" s="22"/>
      <c r="I218" s="23"/>
      <c r="J218" s="24">
        <v>352</v>
      </c>
      <c r="K218" s="25" t="s">
        <v>759</v>
      </c>
      <c r="L218" s="41">
        <v>25</v>
      </c>
    </row>
    <row r="219" spans="1:13" x14ac:dyDescent="0.35">
      <c r="A219" s="20">
        <v>218</v>
      </c>
      <c r="B219" s="21"/>
      <c r="C219" s="22"/>
      <c r="D219" s="22"/>
      <c r="E219" s="22"/>
      <c r="F219" s="22"/>
      <c r="G219" s="22"/>
      <c r="H219" s="22"/>
      <c r="I219" s="23"/>
      <c r="J219" s="24">
        <v>476</v>
      </c>
      <c r="K219" s="25" t="s">
        <v>832</v>
      </c>
      <c r="L219" s="41">
        <v>25</v>
      </c>
    </row>
    <row r="220" spans="1:13" x14ac:dyDescent="0.35">
      <c r="A220" s="20">
        <v>219</v>
      </c>
      <c r="B220" s="21"/>
      <c r="C220" s="22"/>
      <c r="D220" s="22"/>
      <c r="E220" s="22"/>
      <c r="F220" s="22"/>
      <c r="G220" s="22"/>
      <c r="H220" s="22"/>
      <c r="I220" s="23"/>
      <c r="J220" s="24">
        <v>516</v>
      </c>
      <c r="K220" s="25" t="s">
        <v>857</v>
      </c>
      <c r="L220" s="41">
        <v>25</v>
      </c>
    </row>
    <row r="221" spans="1:13" ht="15" thickBot="1" x14ac:dyDescent="0.4">
      <c r="A221" s="26">
        <v>220</v>
      </c>
      <c r="B221" s="27"/>
      <c r="C221" s="28"/>
      <c r="D221" s="28"/>
      <c r="E221" s="28"/>
      <c r="F221" s="28"/>
      <c r="G221" s="28"/>
      <c r="H221" s="28"/>
      <c r="I221" s="32"/>
      <c r="J221" s="30">
        <v>723</v>
      </c>
      <c r="K221" s="31" t="s">
        <v>963</v>
      </c>
      <c r="L221" s="41">
        <v>25</v>
      </c>
    </row>
    <row r="222" spans="1:13" x14ac:dyDescent="0.35">
      <c r="A222" s="14">
        <v>221</v>
      </c>
      <c r="B222" s="15"/>
      <c r="C222" s="16"/>
      <c r="D222" s="16"/>
      <c r="E222" s="16"/>
      <c r="F222" s="16"/>
      <c r="G222" s="16"/>
      <c r="H222" s="16"/>
      <c r="I222" s="33">
        <v>437</v>
      </c>
      <c r="J222" s="18">
        <v>448</v>
      </c>
      <c r="K222" s="19" t="s">
        <v>226</v>
      </c>
      <c r="L222" s="41">
        <v>26</v>
      </c>
      <c r="M222" t="s">
        <v>1465</v>
      </c>
    </row>
    <row r="223" spans="1:13" x14ac:dyDescent="0.35">
      <c r="A223" s="20">
        <v>222</v>
      </c>
      <c r="B223" s="21"/>
      <c r="C223" s="22"/>
      <c r="D223" s="22"/>
      <c r="E223" s="22"/>
      <c r="F223" s="22"/>
      <c r="G223" s="22"/>
      <c r="H223" s="22"/>
      <c r="I223" s="23">
        <v>402</v>
      </c>
      <c r="J223" s="24">
        <v>412</v>
      </c>
      <c r="K223" s="25" t="s">
        <v>208</v>
      </c>
      <c r="L223" s="41">
        <v>26</v>
      </c>
    </row>
    <row r="224" spans="1:13" x14ac:dyDescent="0.35">
      <c r="A224" s="20">
        <v>223</v>
      </c>
      <c r="B224" s="21"/>
      <c r="C224" s="22"/>
      <c r="D224" s="22"/>
      <c r="E224" s="22"/>
      <c r="F224" s="22"/>
      <c r="G224" s="22"/>
      <c r="H224" s="22"/>
      <c r="I224" s="23">
        <v>619</v>
      </c>
      <c r="J224" s="24">
        <v>630</v>
      </c>
      <c r="K224" s="25" t="s">
        <v>307</v>
      </c>
      <c r="L224" s="41">
        <v>26</v>
      </c>
    </row>
    <row r="225" spans="1:13" x14ac:dyDescent="0.35">
      <c r="A225" s="20">
        <v>224</v>
      </c>
      <c r="B225" s="21"/>
      <c r="C225" s="22"/>
      <c r="D225" s="22"/>
      <c r="E225" s="22"/>
      <c r="F225" s="22"/>
      <c r="G225" s="22"/>
      <c r="H225" s="22"/>
      <c r="I225" s="23">
        <v>429</v>
      </c>
      <c r="J225" s="24">
        <v>440</v>
      </c>
      <c r="K225" s="25" t="s">
        <v>221</v>
      </c>
      <c r="L225" s="41">
        <v>26</v>
      </c>
    </row>
    <row r="226" spans="1:13" ht="15" thickBot="1" x14ac:dyDescent="0.4">
      <c r="A226" s="26">
        <v>225</v>
      </c>
      <c r="B226" s="27"/>
      <c r="C226" s="28"/>
      <c r="D226" s="28"/>
      <c r="E226" s="28"/>
      <c r="F226" s="28"/>
      <c r="G226" s="28"/>
      <c r="H226" s="28"/>
      <c r="I226" s="29">
        <v>477</v>
      </c>
      <c r="J226" s="30">
        <v>488</v>
      </c>
      <c r="K226" s="31" t="s">
        <v>244</v>
      </c>
      <c r="L226" s="41">
        <v>26</v>
      </c>
    </row>
    <row r="227" spans="1:13" x14ac:dyDescent="0.35">
      <c r="A227" s="14">
        <v>226</v>
      </c>
      <c r="B227" s="15"/>
      <c r="C227" s="16"/>
      <c r="D227" s="16"/>
      <c r="E227" s="16"/>
      <c r="F227" s="16"/>
      <c r="G227" s="16"/>
      <c r="H227" s="16"/>
      <c r="I227" s="17"/>
      <c r="J227" s="18">
        <v>731</v>
      </c>
      <c r="K227" s="19" t="s">
        <v>967</v>
      </c>
      <c r="L227" s="41">
        <v>27</v>
      </c>
      <c r="M227" t="s">
        <v>1466</v>
      </c>
    </row>
    <row r="228" spans="1:13" x14ac:dyDescent="0.35">
      <c r="A228" s="20">
        <v>227</v>
      </c>
      <c r="B228" s="21"/>
      <c r="C228" s="22"/>
      <c r="D228" s="22"/>
      <c r="E228" s="22"/>
      <c r="F228" s="22"/>
      <c r="G228" s="22"/>
      <c r="H228" s="22"/>
      <c r="I228" s="23">
        <v>473</v>
      </c>
      <c r="J228" s="24">
        <v>484</v>
      </c>
      <c r="K228" s="25" t="s">
        <v>243</v>
      </c>
      <c r="L228" s="41">
        <v>27</v>
      </c>
    </row>
    <row r="229" spans="1:13" x14ac:dyDescent="0.35">
      <c r="A229" s="20">
        <v>228</v>
      </c>
      <c r="B229" s="21"/>
      <c r="C229" s="22"/>
      <c r="D229" s="22"/>
      <c r="E229" s="22"/>
      <c r="F229" s="22"/>
      <c r="G229" s="22"/>
      <c r="H229" s="22"/>
      <c r="I229" s="23"/>
      <c r="J229" s="24">
        <v>524</v>
      </c>
      <c r="K229" s="25" t="s">
        <v>863</v>
      </c>
      <c r="L229" s="41">
        <v>27</v>
      </c>
    </row>
    <row r="230" spans="1:13" x14ac:dyDescent="0.35">
      <c r="A230" s="20">
        <v>229</v>
      </c>
      <c r="B230" s="21"/>
      <c r="C230" s="22"/>
      <c r="D230" s="22"/>
      <c r="E230" s="22"/>
      <c r="F230" s="22"/>
      <c r="G230" s="22"/>
      <c r="H230" s="22"/>
      <c r="I230" s="23">
        <v>571</v>
      </c>
      <c r="J230" s="24">
        <v>582</v>
      </c>
      <c r="K230" s="25" t="s">
        <v>278</v>
      </c>
      <c r="L230" s="41">
        <v>27</v>
      </c>
    </row>
    <row r="231" spans="1:13" x14ac:dyDescent="0.35">
      <c r="A231" s="20">
        <v>230</v>
      </c>
      <c r="B231" s="21"/>
      <c r="C231" s="22"/>
      <c r="D231" s="22"/>
      <c r="E231" s="22"/>
      <c r="F231" s="22"/>
      <c r="G231" s="22"/>
      <c r="H231" s="22"/>
      <c r="I231" s="23">
        <v>609</v>
      </c>
      <c r="J231" s="24">
        <v>620</v>
      </c>
      <c r="K231" s="25" t="s">
        <v>301</v>
      </c>
      <c r="L231" s="41">
        <v>27</v>
      </c>
    </row>
    <row r="232" spans="1:13" ht="15" thickBot="1" x14ac:dyDescent="0.4">
      <c r="A232" s="26">
        <v>231</v>
      </c>
      <c r="B232" s="27"/>
      <c r="C232" s="28"/>
      <c r="D232" s="28"/>
      <c r="E232" s="28"/>
      <c r="F232" s="28"/>
      <c r="G232" s="28"/>
      <c r="H232" s="28"/>
      <c r="I232" s="29">
        <v>899</v>
      </c>
      <c r="J232" s="30">
        <v>910</v>
      </c>
      <c r="K232" s="31" t="s">
        <v>441</v>
      </c>
      <c r="L232" s="41">
        <v>27</v>
      </c>
    </row>
    <row r="233" spans="1:13" x14ac:dyDescent="0.35">
      <c r="A233" s="14">
        <v>232</v>
      </c>
      <c r="B233" s="15"/>
      <c r="C233" s="16"/>
      <c r="D233" s="16"/>
      <c r="E233" s="16"/>
      <c r="F233" s="16"/>
      <c r="G233" s="16"/>
      <c r="H233" s="16"/>
      <c r="I233" s="17"/>
      <c r="J233" s="18">
        <v>738</v>
      </c>
      <c r="K233" s="19" t="s">
        <v>972</v>
      </c>
      <c r="L233" s="41">
        <v>28</v>
      </c>
      <c r="M233" t="s">
        <v>1467</v>
      </c>
    </row>
    <row r="234" spans="1:13" x14ac:dyDescent="0.35">
      <c r="A234" s="20">
        <v>233</v>
      </c>
      <c r="B234" s="21"/>
      <c r="C234" s="22"/>
      <c r="D234" s="22"/>
      <c r="E234" s="22"/>
      <c r="F234" s="22"/>
      <c r="G234" s="22"/>
      <c r="H234" s="22"/>
      <c r="I234" s="23"/>
      <c r="J234" s="24">
        <v>746</v>
      </c>
      <c r="K234" s="25" t="s">
        <v>979</v>
      </c>
      <c r="L234" s="41">
        <v>28</v>
      </c>
    </row>
    <row r="235" spans="1:13" x14ac:dyDescent="0.35">
      <c r="A235" s="20">
        <v>234</v>
      </c>
      <c r="B235" s="21"/>
      <c r="C235" s="22"/>
      <c r="D235" s="22"/>
      <c r="E235" s="22"/>
      <c r="F235" s="22"/>
      <c r="G235" s="22"/>
      <c r="H235" s="22"/>
      <c r="I235" s="23">
        <v>958</v>
      </c>
      <c r="J235" s="24">
        <v>969</v>
      </c>
      <c r="K235" s="25" t="s">
        <v>476</v>
      </c>
      <c r="L235" s="41">
        <v>28</v>
      </c>
    </row>
    <row r="236" spans="1:13" x14ac:dyDescent="0.35">
      <c r="A236" s="20">
        <v>235</v>
      </c>
      <c r="B236" s="21"/>
      <c r="C236" s="22"/>
      <c r="D236" s="22"/>
      <c r="E236" s="22"/>
      <c r="F236" s="22"/>
      <c r="G236" s="22"/>
      <c r="H236" s="22"/>
      <c r="I236" s="23">
        <v>278</v>
      </c>
      <c r="J236" s="24">
        <v>288</v>
      </c>
      <c r="K236" s="25" t="s">
        <v>157</v>
      </c>
      <c r="L236" s="41">
        <v>28</v>
      </c>
    </row>
    <row r="237" spans="1:13" x14ac:dyDescent="0.35">
      <c r="A237" s="20">
        <v>236</v>
      </c>
      <c r="B237" s="21"/>
      <c r="C237" s="22"/>
      <c r="D237" s="22"/>
      <c r="E237" s="22"/>
      <c r="F237" s="22"/>
      <c r="G237" s="22"/>
      <c r="H237" s="22"/>
      <c r="I237" s="23">
        <v>1111</v>
      </c>
      <c r="J237" s="24">
        <v>1125</v>
      </c>
      <c r="K237" s="25" t="s">
        <v>555</v>
      </c>
      <c r="L237" s="41">
        <v>28</v>
      </c>
    </row>
    <row r="238" spans="1:13" x14ac:dyDescent="0.35">
      <c r="A238" s="20">
        <v>237</v>
      </c>
      <c r="B238" s="21"/>
      <c r="C238" s="22"/>
      <c r="D238" s="22"/>
      <c r="E238" s="22"/>
      <c r="F238" s="22"/>
      <c r="G238" s="22"/>
      <c r="H238" s="22"/>
      <c r="I238" s="23">
        <v>597</v>
      </c>
      <c r="J238" s="24">
        <v>608</v>
      </c>
      <c r="K238" s="25" t="s">
        <v>293</v>
      </c>
      <c r="L238" s="41">
        <v>28</v>
      </c>
    </row>
    <row r="239" spans="1:13" ht="15" thickBot="1" x14ac:dyDescent="0.4">
      <c r="A239" s="26">
        <v>238</v>
      </c>
      <c r="B239" s="27"/>
      <c r="C239" s="28"/>
      <c r="D239" s="28"/>
      <c r="E239" s="28"/>
      <c r="F239" s="28"/>
      <c r="G239" s="28"/>
      <c r="H239" s="28"/>
      <c r="I239" s="29">
        <v>669</v>
      </c>
      <c r="J239" s="30">
        <v>680</v>
      </c>
      <c r="K239" s="31" t="s">
        <v>334</v>
      </c>
      <c r="L239" s="41">
        <v>28</v>
      </c>
    </row>
    <row r="240" spans="1:13" x14ac:dyDescent="0.35">
      <c r="A240" s="14">
        <v>239</v>
      </c>
      <c r="B240" s="15"/>
      <c r="C240" s="16"/>
      <c r="D240" s="16"/>
      <c r="E240" s="16"/>
      <c r="F240" s="16"/>
      <c r="G240" s="16" t="s">
        <v>1339</v>
      </c>
      <c r="H240" s="16"/>
      <c r="I240" s="17"/>
      <c r="J240" s="18">
        <v>95</v>
      </c>
      <c r="K240" s="19" t="s">
        <v>635</v>
      </c>
      <c r="L240" s="41">
        <v>29</v>
      </c>
      <c r="M240" t="s">
        <v>1469</v>
      </c>
    </row>
    <row r="241" spans="1:13" x14ac:dyDescent="0.35">
      <c r="A241" s="20">
        <v>240</v>
      </c>
      <c r="B241" s="21"/>
      <c r="C241" s="22"/>
      <c r="D241" s="22"/>
      <c r="E241" s="22"/>
      <c r="F241" s="22"/>
      <c r="G241" s="22"/>
      <c r="H241" s="22"/>
      <c r="I241" s="23">
        <v>99</v>
      </c>
      <c r="J241" s="24">
        <v>104</v>
      </c>
      <c r="K241" s="25" t="s">
        <v>65</v>
      </c>
      <c r="L241" s="41">
        <v>29</v>
      </c>
    </row>
    <row r="242" spans="1:13" x14ac:dyDescent="0.35">
      <c r="A242" s="20">
        <v>241</v>
      </c>
      <c r="B242" s="21"/>
      <c r="C242" s="22"/>
      <c r="D242" s="22"/>
      <c r="E242" s="22"/>
      <c r="F242" s="22"/>
      <c r="G242" s="22"/>
      <c r="H242" s="22"/>
      <c r="I242" s="23">
        <v>985</v>
      </c>
      <c r="J242" s="24">
        <v>996</v>
      </c>
      <c r="K242" s="25" t="s">
        <v>490</v>
      </c>
      <c r="L242" s="41">
        <v>29</v>
      </c>
    </row>
    <row r="243" spans="1:13" x14ac:dyDescent="0.35">
      <c r="A243" s="20">
        <v>242</v>
      </c>
      <c r="B243" s="21"/>
      <c r="C243" s="22"/>
      <c r="D243" s="22"/>
      <c r="E243" s="22"/>
      <c r="F243" s="22"/>
      <c r="G243" s="22"/>
      <c r="H243" s="22"/>
      <c r="I243" s="23">
        <v>318</v>
      </c>
      <c r="J243" s="24">
        <v>328</v>
      </c>
      <c r="K243" s="25" t="s">
        <v>178</v>
      </c>
      <c r="L243" s="41">
        <v>29</v>
      </c>
    </row>
    <row r="244" spans="1:13" x14ac:dyDescent="0.35">
      <c r="A244" s="20">
        <v>243</v>
      </c>
      <c r="B244" s="21"/>
      <c r="C244" s="22"/>
      <c r="D244" s="22"/>
      <c r="E244" s="22"/>
      <c r="F244" s="22"/>
      <c r="G244" s="22"/>
      <c r="H244" s="22"/>
      <c r="I244" s="23">
        <v>1089</v>
      </c>
      <c r="J244" s="24">
        <v>1101</v>
      </c>
      <c r="K244" s="25" t="s">
        <v>544</v>
      </c>
      <c r="L244" s="41">
        <v>29</v>
      </c>
    </row>
    <row r="245" spans="1:13" x14ac:dyDescent="0.35">
      <c r="A245" s="20">
        <v>244</v>
      </c>
      <c r="B245" s="21"/>
      <c r="C245" s="22"/>
      <c r="D245" s="22"/>
      <c r="E245" s="22"/>
      <c r="F245" s="22"/>
      <c r="G245" s="22"/>
      <c r="H245" s="22"/>
      <c r="I245" s="23">
        <v>772</v>
      </c>
      <c r="J245" s="24">
        <v>783</v>
      </c>
      <c r="K245" s="25" t="s">
        <v>378</v>
      </c>
      <c r="L245" s="41">
        <v>29</v>
      </c>
    </row>
    <row r="246" spans="1:13" ht="15" thickBot="1" x14ac:dyDescent="0.4">
      <c r="A246" s="26">
        <v>245</v>
      </c>
      <c r="B246" s="27"/>
      <c r="C246" s="28"/>
      <c r="D246" s="28"/>
      <c r="E246" s="28"/>
      <c r="F246" s="28"/>
      <c r="G246" s="28"/>
      <c r="H246" s="28"/>
      <c r="I246" s="29">
        <v>820</v>
      </c>
      <c r="J246" s="30">
        <v>831</v>
      </c>
      <c r="K246" s="31" t="s">
        <v>400</v>
      </c>
      <c r="L246" s="41">
        <v>29</v>
      </c>
    </row>
    <row r="247" spans="1:13" x14ac:dyDescent="0.35">
      <c r="A247" s="14">
        <v>246</v>
      </c>
      <c r="B247" s="15"/>
      <c r="C247" s="16"/>
      <c r="D247" s="16"/>
      <c r="E247" s="16"/>
      <c r="F247" s="16"/>
      <c r="G247" s="16"/>
      <c r="H247" s="16"/>
      <c r="I247" s="17"/>
      <c r="J247" s="18">
        <v>111</v>
      </c>
      <c r="K247" s="19" t="s">
        <v>644</v>
      </c>
      <c r="L247" s="41">
        <v>30</v>
      </c>
      <c r="M247" t="s">
        <v>1468</v>
      </c>
    </row>
    <row r="248" spans="1:13" x14ac:dyDescent="0.35">
      <c r="A248" s="20">
        <v>247</v>
      </c>
      <c r="B248" s="21"/>
      <c r="C248" s="22"/>
      <c r="D248" s="22"/>
      <c r="E248" s="22"/>
      <c r="F248" s="22"/>
      <c r="G248" s="22"/>
      <c r="H248" s="22"/>
      <c r="I248" s="23">
        <v>115</v>
      </c>
      <c r="J248" s="24">
        <v>120</v>
      </c>
      <c r="K248" s="25" t="s">
        <v>73</v>
      </c>
      <c r="L248" s="41">
        <v>30</v>
      </c>
    </row>
    <row r="249" spans="1:13" x14ac:dyDescent="0.35">
      <c r="A249" s="20">
        <v>248</v>
      </c>
      <c r="B249" s="21"/>
      <c r="C249" s="22"/>
      <c r="D249" s="22"/>
      <c r="E249" s="22"/>
      <c r="F249" s="22"/>
      <c r="G249" s="22"/>
      <c r="H249" s="22"/>
      <c r="I249" s="23">
        <v>158</v>
      </c>
      <c r="J249" s="24">
        <v>163</v>
      </c>
      <c r="K249" s="25" t="s">
        <v>97</v>
      </c>
      <c r="L249" s="41">
        <v>30</v>
      </c>
    </row>
    <row r="250" spans="1:13" x14ac:dyDescent="0.35">
      <c r="A250" s="20">
        <v>249</v>
      </c>
      <c r="B250" s="21"/>
      <c r="C250" s="22"/>
      <c r="D250" s="22"/>
      <c r="E250" s="22"/>
      <c r="F250" s="22"/>
      <c r="G250" s="22"/>
      <c r="H250" s="22"/>
      <c r="I250" s="23">
        <v>334</v>
      </c>
      <c r="J250" s="24">
        <v>344</v>
      </c>
      <c r="K250" s="25" t="s">
        <v>185</v>
      </c>
      <c r="L250" s="41">
        <v>30</v>
      </c>
    </row>
    <row r="251" spans="1:13" x14ac:dyDescent="0.35">
      <c r="A251" s="20">
        <v>250</v>
      </c>
      <c r="B251" s="21"/>
      <c r="C251" s="22"/>
      <c r="D251" s="22"/>
      <c r="E251" s="22"/>
      <c r="F251" s="22"/>
      <c r="G251" s="22"/>
      <c r="H251" s="22"/>
      <c r="I251" s="23">
        <v>304</v>
      </c>
      <c r="J251" s="24">
        <v>314</v>
      </c>
      <c r="K251" s="25" t="s">
        <v>171</v>
      </c>
      <c r="L251" s="41">
        <v>30</v>
      </c>
    </row>
    <row r="252" spans="1:13" ht="15" thickBot="1" x14ac:dyDescent="0.4">
      <c r="A252" s="26">
        <v>251</v>
      </c>
      <c r="B252" s="27"/>
      <c r="C252" s="28"/>
      <c r="D252" s="28"/>
      <c r="E252" s="28"/>
      <c r="F252" s="28"/>
      <c r="G252" s="28"/>
      <c r="H252" s="28"/>
      <c r="I252" s="29"/>
      <c r="J252" s="30">
        <v>355</v>
      </c>
      <c r="K252" s="31" t="s">
        <v>761</v>
      </c>
      <c r="L252" s="41">
        <v>30</v>
      </c>
    </row>
    <row r="253" spans="1:13" x14ac:dyDescent="0.35">
      <c r="A253" s="14">
        <v>252</v>
      </c>
      <c r="B253" s="15"/>
      <c r="C253" s="16"/>
      <c r="D253" s="16"/>
      <c r="E253" s="16"/>
      <c r="F253" s="16"/>
      <c r="G253" s="16"/>
      <c r="H253" s="16"/>
      <c r="I253" s="17"/>
      <c r="J253" s="18">
        <v>119</v>
      </c>
      <c r="K253" s="19" t="s">
        <v>647</v>
      </c>
      <c r="L253" s="41">
        <v>31</v>
      </c>
      <c r="M253" t="s">
        <v>1470</v>
      </c>
    </row>
    <row r="254" spans="1:13" x14ac:dyDescent="0.35">
      <c r="A254" s="20">
        <v>253</v>
      </c>
      <c r="B254" s="21"/>
      <c r="C254" s="22"/>
      <c r="D254" s="22"/>
      <c r="E254" s="22"/>
      <c r="F254" s="22"/>
      <c r="G254" s="22"/>
      <c r="H254" s="22"/>
      <c r="I254" s="23">
        <v>693</v>
      </c>
      <c r="J254" s="24">
        <v>704</v>
      </c>
      <c r="K254" s="25" t="s">
        <v>348</v>
      </c>
      <c r="L254" s="41">
        <v>31</v>
      </c>
    </row>
    <row r="255" spans="1:13" x14ac:dyDescent="0.35">
      <c r="A255" s="20">
        <v>254</v>
      </c>
      <c r="B255" s="21"/>
      <c r="C255" s="22"/>
      <c r="D255" s="22"/>
      <c r="E255" s="22"/>
      <c r="F255" s="22"/>
      <c r="G255" s="22"/>
      <c r="H255" s="22"/>
      <c r="I255" s="23">
        <v>683</v>
      </c>
      <c r="J255" s="24">
        <v>694</v>
      </c>
      <c r="K255" s="25" t="s">
        <v>342</v>
      </c>
      <c r="L255" s="41">
        <v>31</v>
      </c>
    </row>
    <row r="256" spans="1:13" x14ac:dyDescent="0.35">
      <c r="A256" s="20">
        <v>255</v>
      </c>
      <c r="B256" s="21"/>
      <c r="C256" s="22"/>
      <c r="D256" s="22"/>
      <c r="E256" s="22"/>
      <c r="F256" s="22"/>
      <c r="G256" s="22"/>
      <c r="H256" s="22"/>
      <c r="I256" s="23">
        <v>789</v>
      </c>
      <c r="J256" s="24">
        <v>800</v>
      </c>
      <c r="K256" s="25" t="s">
        <v>387</v>
      </c>
      <c r="L256" s="41">
        <v>31</v>
      </c>
    </row>
    <row r="257" spans="1:13" x14ac:dyDescent="0.35">
      <c r="A257" s="20">
        <v>256</v>
      </c>
      <c r="B257" s="21"/>
      <c r="C257" s="22"/>
      <c r="D257" s="22"/>
      <c r="E257" s="22"/>
      <c r="F257" s="22"/>
      <c r="G257" s="22"/>
      <c r="H257" s="22"/>
      <c r="I257" s="23">
        <v>664</v>
      </c>
      <c r="J257" s="24">
        <v>675</v>
      </c>
      <c r="K257" s="25" t="s">
        <v>332</v>
      </c>
      <c r="L257" s="41">
        <v>31</v>
      </c>
    </row>
    <row r="258" spans="1:13" ht="15" thickBot="1" x14ac:dyDescent="0.4">
      <c r="A258" s="26">
        <v>257</v>
      </c>
      <c r="B258" s="27"/>
      <c r="C258" s="28"/>
      <c r="D258" s="28"/>
      <c r="E258" s="28"/>
      <c r="F258" s="28"/>
      <c r="G258" s="28"/>
      <c r="H258" s="28"/>
      <c r="I258" s="29"/>
      <c r="J258" s="30">
        <v>699</v>
      </c>
      <c r="K258" s="31" t="s">
        <v>948</v>
      </c>
      <c r="L258" s="41">
        <v>31</v>
      </c>
    </row>
    <row r="259" spans="1:13" x14ac:dyDescent="0.35">
      <c r="A259" s="14">
        <v>258</v>
      </c>
      <c r="B259" s="15"/>
      <c r="C259" s="16"/>
      <c r="D259" s="16"/>
      <c r="E259" s="16"/>
      <c r="F259" s="16"/>
      <c r="G259" s="16" t="s">
        <v>1340</v>
      </c>
      <c r="H259" s="16"/>
      <c r="I259" s="17"/>
      <c r="J259" s="18">
        <v>254</v>
      </c>
      <c r="K259" s="19" t="s">
        <v>140</v>
      </c>
      <c r="L259" s="41">
        <v>32</v>
      </c>
      <c r="M259" t="s">
        <v>1471</v>
      </c>
    </row>
    <row r="260" spans="1:13" x14ac:dyDescent="0.35">
      <c r="A260" s="20">
        <v>259</v>
      </c>
      <c r="B260" s="21"/>
      <c r="C260" s="22"/>
      <c r="D260" s="22"/>
      <c r="E260" s="22"/>
      <c r="F260" s="22"/>
      <c r="G260" s="22"/>
      <c r="H260" s="22"/>
      <c r="I260" s="23">
        <v>883</v>
      </c>
      <c r="J260" s="24">
        <v>894</v>
      </c>
      <c r="K260" s="25" t="s">
        <v>430</v>
      </c>
      <c r="L260" s="41">
        <v>32</v>
      </c>
    </row>
    <row r="261" spans="1:13" x14ac:dyDescent="0.35">
      <c r="A261" s="20">
        <v>260</v>
      </c>
      <c r="B261" s="21"/>
      <c r="C261" s="22"/>
      <c r="D261" s="22"/>
      <c r="E261" s="22"/>
      <c r="F261" s="22"/>
      <c r="G261" s="22"/>
      <c r="H261" s="22"/>
      <c r="I261" s="23">
        <v>660</v>
      </c>
      <c r="J261" s="24">
        <v>671</v>
      </c>
      <c r="K261" s="25" t="s">
        <v>329</v>
      </c>
      <c r="L261" s="41">
        <v>32</v>
      </c>
    </row>
    <row r="262" spans="1:13" x14ac:dyDescent="0.35">
      <c r="A262" s="20">
        <v>261</v>
      </c>
      <c r="B262" s="21"/>
      <c r="C262" s="22"/>
      <c r="D262" s="22"/>
      <c r="E262" s="22"/>
      <c r="F262" s="22"/>
      <c r="G262" s="22"/>
      <c r="H262" s="22"/>
      <c r="I262" s="23">
        <v>954</v>
      </c>
      <c r="J262" s="34">
        <v>965</v>
      </c>
      <c r="K262" s="35" t="s">
        <v>473</v>
      </c>
      <c r="L262" s="41">
        <v>32</v>
      </c>
    </row>
    <row r="263" spans="1:13" x14ac:dyDescent="0.35">
      <c r="A263" s="20">
        <v>262</v>
      </c>
      <c r="B263" s="21"/>
      <c r="C263" s="22"/>
      <c r="D263" s="22"/>
      <c r="E263" s="22"/>
      <c r="F263" s="22"/>
      <c r="G263" s="22"/>
      <c r="H263" s="22"/>
      <c r="I263" s="23">
        <v>763</v>
      </c>
      <c r="J263" s="24">
        <v>774</v>
      </c>
      <c r="K263" s="25" t="s">
        <v>373</v>
      </c>
      <c r="L263" s="41">
        <v>32</v>
      </c>
    </row>
    <row r="264" spans="1:13" x14ac:dyDescent="0.35">
      <c r="A264" s="20">
        <v>263</v>
      </c>
      <c r="B264" s="21"/>
      <c r="C264" s="22"/>
      <c r="D264" s="22"/>
      <c r="E264" s="22"/>
      <c r="F264" s="22"/>
      <c r="G264" s="22"/>
      <c r="H264" s="22"/>
      <c r="I264" s="23">
        <v>895</v>
      </c>
      <c r="J264" s="24">
        <v>906</v>
      </c>
      <c r="K264" s="25" t="s">
        <v>438</v>
      </c>
      <c r="L264" s="41">
        <v>32</v>
      </c>
    </row>
    <row r="265" spans="1:13" ht="15" thickBot="1" x14ac:dyDescent="0.4">
      <c r="A265" s="26">
        <v>264</v>
      </c>
      <c r="B265" s="27"/>
      <c r="C265" s="28"/>
      <c r="D265" s="28"/>
      <c r="E265" s="28"/>
      <c r="F265" s="28"/>
      <c r="G265" s="28"/>
      <c r="H265" s="28"/>
      <c r="I265" s="29">
        <v>270</v>
      </c>
      <c r="J265" s="30">
        <v>279</v>
      </c>
      <c r="K265" s="31" t="s">
        <v>153</v>
      </c>
      <c r="L265" s="41">
        <v>32</v>
      </c>
    </row>
    <row r="266" spans="1:13" x14ac:dyDescent="0.35">
      <c r="A266" s="14">
        <v>265</v>
      </c>
      <c r="B266" s="15"/>
      <c r="C266" s="16"/>
      <c r="D266" s="16"/>
      <c r="E266" s="16"/>
      <c r="F266" s="16"/>
      <c r="G266" s="16"/>
      <c r="H266" s="16"/>
      <c r="I266" s="17"/>
      <c r="J266" s="18">
        <v>879</v>
      </c>
      <c r="K266" s="19" t="s">
        <v>1050</v>
      </c>
      <c r="L266" s="41">
        <v>33</v>
      </c>
      <c r="M266" t="s">
        <v>1472</v>
      </c>
    </row>
    <row r="267" spans="1:13" x14ac:dyDescent="0.35">
      <c r="A267" s="20">
        <v>266</v>
      </c>
      <c r="B267" s="21"/>
      <c r="C267" s="22"/>
      <c r="D267" s="22"/>
      <c r="E267" s="22"/>
      <c r="F267" s="22"/>
      <c r="G267" s="22"/>
      <c r="H267" s="22"/>
      <c r="I267" s="23">
        <v>431</v>
      </c>
      <c r="J267" s="24">
        <v>442</v>
      </c>
      <c r="K267" s="25" t="s">
        <v>223</v>
      </c>
      <c r="L267" s="41">
        <v>33</v>
      </c>
    </row>
    <row r="268" spans="1:13" x14ac:dyDescent="0.35">
      <c r="A268" s="20">
        <v>267</v>
      </c>
      <c r="B268" s="21"/>
      <c r="C268" s="22"/>
      <c r="D268" s="22"/>
      <c r="E268" s="22"/>
      <c r="F268" s="22"/>
      <c r="G268" s="22"/>
      <c r="H268" s="22"/>
      <c r="I268" s="23">
        <v>423</v>
      </c>
      <c r="J268" s="24">
        <v>434</v>
      </c>
      <c r="K268" s="25" t="s">
        <v>218</v>
      </c>
      <c r="L268" s="41">
        <v>33</v>
      </c>
    </row>
    <row r="269" spans="1:13" x14ac:dyDescent="0.35">
      <c r="A269" s="20">
        <v>268</v>
      </c>
      <c r="B269" s="21"/>
      <c r="C269" s="22"/>
      <c r="D269" s="22"/>
      <c r="E269" s="22"/>
      <c r="F269" s="22"/>
      <c r="G269" s="22"/>
      <c r="H269" s="22"/>
      <c r="I269" s="23">
        <v>534</v>
      </c>
      <c r="J269" s="24">
        <v>545</v>
      </c>
      <c r="K269" s="25" t="s">
        <v>264</v>
      </c>
      <c r="L269" s="41">
        <v>33</v>
      </c>
    </row>
    <row r="270" spans="1:13" x14ac:dyDescent="0.35">
      <c r="A270" s="20">
        <v>269</v>
      </c>
      <c r="B270" s="21"/>
      <c r="C270" s="22"/>
      <c r="D270" s="22"/>
      <c r="E270" s="22"/>
      <c r="F270" s="22"/>
      <c r="G270" s="22"/>
      <c r="H270" s="22"/>
      <c r="I270" s="23">
        <v>599</v>
      </c>
      <c r="J270" s="24">
        <v>610</v>
      </c>
      <c r="K270" s="25" t="s">
        <v>295</v>
      </c>
      <c r="L270" s="41">
        <v>33</v>
      </c>
    </row>
    <row r="271" spans="1:13" x14ac:dyDescent="0.35">
      <c r="A271" s="20">
        <v>270</v>
      </c>
      <c r="B271" s="21"/>
      <c r="C271" s="22"/>
      <c r="D271" s="22"/>
      <c r="E271" s="22"/>
      <c r="F271" s="22"/>
      <c r="G271" s="22"/>
      <c r="H271" s="22"/>
      <c r="I271" s="23">
        <v>265</v>
      </c>
      <c r="J271" s="24">
        <v>274</v>
      </c>
      <c r="K271" s="25" t="s">
        <v>151</v>
      </c>
      <c r="L271" s="41">
        <v>33</v>
      </c>
    </row>
    <row r="272" spans="1:13" ht="15" thickBot="1" x14ac:dyDescent="0.4">
      <c r="A272" s="26">
        <v>271</v>
      </c>
      <c r="B272" s="27"/>
      <c r="C272" s="28"/>
      <c r="D272" s="28"/>
      <c r="E272" s="28"/>
      <c r="F272" s="28"/>
      <c r="G272" s="28"/>
      <c r="H272" s="28"/>
      <c r="I272" s="29">
        <v>320</v>
      </c>
      <c r="J272" s="30">
        <v>330</v>
      </c>
      <c r="K272" s="31" t="s">
        <v>179</v>
      </c>
      <c r="L272" s="41">
        <v>33</v>
      </c>
    </row>
    <row r="273" spans="1:13" x14ac:dyDescent="0.35">
      <c r="A273" s="14">
        <v>272</v>
      </c>
      <c r="B273" s="15"/>
      <c r="C273" s="16"/>
      <c r="D273" s="16"/>
      <c r="E273" s="16"/>
      <c r="F273" s="16"/>
      <c r="G273" s="16"/>
      <c r="H273" s="16"/>
      <c r="I273" s="17"/>
      <c r="J273" s="18">
        <v>886</v>
      </c>
      <c r="K273" s="19" t="s">
        <v>1054</v>
      </c>
      <c r="L273" s="41">
        <v>34</v>
      </c>
      <c r="M273" t="s">
        <v>1473</v>
      </c>
    </row>
    <row r="274" spans="1:13" x14ac:dyDescent="0.35">
      <c r="A274" s="20">
        <v>273</v>
      </c>
      <c r="B274" s="21"/>
      <c r="C274" s="22"/>
      <c r="D274" s="22"/>
      <c r="E274" s="22"/>
      <c r="F274" s="22"/>
      <c r="G274" s="22"/>
      <c r="H274" s="22"/>
      <c r="I274" s="23">
        <v>531</v>
      </c>
      <c r="J274" s="24">
        <v>542</v>
      </c>
      <c r="K274" s="25" t="s">
        <v>263</v>
      </c>
      <c r="L274" s="41">
        <v>34</v>
      </c>
    </row>
    <row r="275" spans="1:13" x14ac:dyDescent="0.35">
      <c r="A275" s="20">
        <v>274</v>
      </c>
      <c r="B275" s="21"/>
      <c r="C275" s="22"/>
      <c r="D275" s="22"/>
      <c r="E275" s="22"/>
      <c r="F275" s="22"/>
      <c r="G275" s="22"/>
      <c r="H275" s="22"/>
      <c r="I275" s="23"/>
      <c r="J275" s="24">
        <v>606</v>
      </c>
      <c r="K275" s="25" t="s">
        <v>908</v>
      </c>
      <c r="L275" s="41">
        <v>34</v>
      </c>
    </row>
    <row r="276" spans="1:13" x14ac:dyDescent="0.35">
      <c r="A276" s="20">
        <v>275</v>
      </c>
      <c r="B276" s="21"/>
      <c r="C276" s="22"/>
      <c r="D276" s="22"/>
      <c r="E276" s="22"/>
      <c r="F276" s="22"/>
      <c r="G276" s="22"/>
      <c r="H276" s="22"/>
      <c r="I276" s="23">
        <v>419</v>
      </c>
      <c r="J276" s="24">
        <v>430</v>
      </c>
      <c r="K276" s="25" t="s">
        <v>216</v>
      </c>
      <c r="L276" s="41">
        <v>34</v>
      </c>
    </row>
    <row r="277" spans="1:13" x14ac:dyDescent="0.35">
      <c r="A277" s="20">
        <v>276</v>
      </c>
      <c r="B277" s="21"/>
      <c r="C277" s="22"/>
      <c r="D277" s="22"/>
      <c r="E277" s="22"/>
      <c r="F277" s="22"/>
      <c r="G277" s="22"/>
      <c r="H277" s="22"/>
      <c r="I277" s="23">
        <v>676</v>
      </c>
      <c r="J277" s="24">
        <v>687</v>
      </c>
      <c r="K277" s="25" t="s">
        <v>337</v>
      </c>
      <c r="L277" s="41">
        <v>34</v>
      </c>
    </row>
    <row r="278" spans="1:13" x14ac:dyDescent="0.35">
      <c r="A278" s="20">
        <v>277</v>
      </c>
      <c r="B278" s="21"/>
      <c r="C278" s="22"/>
      <c r="D278" s="22"/>
      <c r="E278" s="22"/>
      <c r="F278" s="22"/>
      <c r="G278" s="22"/>
      <c r="H278" s="22"/>
      <c r="I278" s="23">
        <v>579</v>
      </c>
      <c r="J278" s="24">
        <v>590</v>
      </c>
      <c r="K278" s="25" t="s">
        <v>283</v>
      </c>
      <c r="L278" s="41">
        <v>34</v>
      </c>
    </row>
    <row r="279" spans="1:13" ht="15" thickBot="1" x14ac:dyDescent="0.4">
      <c r="A279" s="26">
        <v>278</v>
      </c>
      <c r="B279" s="27"/>
      <c r="C279" s="28"/>
      <c r="D279" s="28"/>
      <c r="E279" s="28"/>
      <c r="F279" s="28"/>
      <c r="G279" s="28"/>
      <c r="H279" s="28"/>
      <c r="I279" s="29">
        <v>611</v>
      </c>
      <c r="J279" s="30">
        <v>622</v>
      </c>
      <c r="K279" s="31" t="s">
        <v>303</v>
      </c>
      <c r="L279" s="41">
        <v>34</v>
      </c>
    </row>
    <row r="280" spans="1:13" x14ac:dyDescent="0.35">
      <c r="A280" s="14">
        <v>279</v>
      </c>
      <c r="B280" s="15"/>
      <c r="C280" s="16"/>
      <c r="D280" s="16"/>
      <c r="E280" s="16"/>
      <c r="F280" s="16"/>
      <c r="G280" s="16" t="s">
        <v>1419</v>
      </c>
      <c r="H280" s="16"/>
      <c r="I280" s="17"/>
      <c r="J280" s="18">
        <v>22</v>
      </c>
      <c r="K280" s="19" t="s">
        <v>594</v>
      </c>
      <c r="L280" s="41">
        <v>35</v>
      </c>
      <c r="M280" t="s">
        <v>1474</v>
      </c>
    </row>
    <row r="281" spans="1:13" x14ac:dyDescent="0.35">
      <c r="A281" s="20">
        <v>280</v>
      </c>
      <c r="B281" s="21"/>
      <c r="C281" s="22"/>
      <c r="D281" s="22"/>
      <c r="E281" s="22"/>
      <c r="F281" s="22"/>
      <c r="G281" s="22"/>
      <c r="H281" s="22"/>
      <c r="I281" s="23"/>
      <c r="J281" s="24">
        <v>532</v>
      </c>
      <c r="K281" s="25" t="s">
        <v>867</v>
      </c>
      <c r="L281" s="41">
        <v>35</v>
      </c>
    </row>
    <row r="282" spans="1:13" x14ac:dyDescent="0.35">
      <c r="A282" s="20">
        <v>281</v>
      </c>
      <c r="B282" s="21"/>
      <c r="C282" s="22"/>
      <c r="D282" s="22"/>
      <c r="E282" s="22"/>
      <c r="F282" s="22"/>
      <c r="G282" s="22"/>
      <c r="H282" s="22"/>
      <c r="I282" s="23"/>
      <c r="J282" s="24">
        <v>241</v>
      </c>
      <c r="K282" s="25" t="s">
        <v>706</v>
      </c>
      <c r="L282" s="41">
        <v>35</v>
      </c>
    </row>
    <row r="283" spans="1:13" x14ac:dyDescent="0.35">
      <c r="A283" s="20">
        <v>282</v>
      </c>
      <c r="B283" s="21"/>
      <c r="C283" s="22"/>
      <c r="D283" s="22"/>
      <c r="E283" s="22"/>
      <c r="F283" s="22"/>
      <c r="G283" s="22"/>
      <c r="H283" s="22"/>
      <c r="I283" s="23"/>
      <c r="J283" s="24">
        <v>635</v>
      </c>
      <c r="K283" s="25" t="s">
        <v>919</v>
      </c>
      <c r="L283" s="41">
        <v>35</v>
      </c>
    </row>
    <row r="284" spans="1:13" x14ac:dyDescent="0.35">
      <c r="A284" s="20">
        <v>283</v>
      </c>
      <c r="B284" s="21"/>
      <c r="C284" s="22"/>
      <c r="D284" s="22"/>
      <c r="E284" s="22"/>
      <c r="F284" s="22"/>
      <c r="G284" s="22"/>
      <c r="H284" s="22"/>
      <c r="I284" s="23"/>
      <c r="J284" s="24">
        <v>683</v>
      </c>
      <c r="K284" s="25" t="s">
        <v>942</v>
      </c>
      <c r="L284" s="41">
        <v>35</v>
      </c>
    </row>
    <row r="285" spans="1:13" x14ac:dyDescent="0.35">
      <c r="A285" s="20">
        <v>284</v>
      </c>
      <c r="B285" s="21"/>
      <c r="C285" s="22"/>
      <c r="D285" s="22"/>
      <c r="E285" s="22"/>
      <c r="F285" s="22"/>
      <c r="G285" s="22"/>
      <c r="H285" s="22"/>
      <c r="I285" s="23"/>
      <c r="J285" s="24">
        <v>308</v>
      </c>
      <c r="K285" s="25" t="s">
        <v>736</v>
      </c>
      <c r="L285" s="41">
        <v>35</v>
      </c>
    </row>
    <row r="286" spans="1:13" ht="15" thickBot="1" x14ac:dyDescent="0.4">
      <c r="A286" s="26">
        <v>285</v>
      </c>
      <c r="B286" s="27"/>
      <c r="C286" s="28"/>
      <c r="D286" s="28"/>
      <c r="E286" s="28"/>
      <c r="F286" s="28"/>
      <c r="G286" s="28"/>
      <c r="H286" s="28"/>
      <c r="I286" s="29"/>
      <c r="J286" s="30">
        <v>340</v>
      </c>
      <c r="K286" s="31" t="s">
        <v>753</v>
      </c>
      <c r="L286" s="41">
        <v>35</v>
      </c>
    </row>
    <row r="287" spans="1:13" x14ac:dyDescent="0.35">
      <c r="A287" s="14">
        <v>286</v>
      </c>
      <c r="B287" s="15"/>
      <c r="C287" s="16"/>
      <c r="D287" s="16"/>
      <c r="E287" s="16"/>
      <c r="F287" s="16"/>
      <c r="G287" s="16" t="s">
        <v>1341</v>
      </c>
      <c r="H287" s="16"/>
      <c r="I287" s="17"/>
      <c r="J287" s="18">
        <v>541</v>
      </c>
      <c r="K287" s="19" t="s">
        <v>873</v>
      </c>
      <c r="L287" s="41">
        <v>36</v>
      </c>
      <c r="M287" t="s">
        <v>1475</v>
      </c>
    </row>
    <row r="288" spans="1:13" x14ac:dyDescent="0.35">
      <c r="A288" s="20">
        <v>287</v>
      </c>
      <c r="B288" s="21"/>
      <c r="C288" s="22"/>
      <c r="D288" s="22"/>
      <c r="E288" s="22"/>
      <c r="F288" s="22"/>
      <c r="G288" s="22"/>
      <c r="H288" s="22"/>
      <c r="I288" s="23">
        <v>92</v>
      </c>
      <c r="J288" s="24">
        <v>97</v>
      </c>
      <c r="K288" s="25" t="s">
        <v>62</v>
      </c>
      <c r="L288" s="41">
        <v>36</v>
      </c>
    </row>
    <row r="289" spans="1:13" x14ac:dyDescent="0.35">
      <c r="A289" s="20">
        <v>288</v>
      </c>
      <c r="B289" s="21"/>
      <c r="C289" s="22"/>
      <c r="D289" s="22"/>
      <c r="E289" s="22"/>
      <c r="F289" s="22"/>
      <c r="G289" s="22"/>
      <c r="H289" s="22"/>
      <c r="I289" s="23">
        <v>1113</v>
      </c>
      <c r="J289" s="24">
        <v>1127</v>
      </c>
      <c r="K289" s="25" t="s">
        <v>557</v>
      </c>
      <c r="L289" s="41">
        <v>36</v>
      </c>
    </row>
    <row r="290" spans="1:13" x14ac:dyDescent="0.35">
      <c r="A290" s="20">
        <v>289</v>
      </c>
      <c r="B290" s="21"/>
      <c r="C290" s="22"/>
      <c r="D290" s="22"/>
      <c r="E290" s="22"/>
      <c r="F290" s="22"/>
      <c r="G290" s="22"/>
      <c r="H290" s="22"/>
      <c r="I290" s="23">
        <v>227</v>
      </c>
      <c r="J290" s="24">
        <v>234</v>
      </c>
      <c r="K290" s="25" t="s">
        <v>131</v>
      </c>
      <c r="L290" s="41">
        <v>36</v>
      </c>
    </row>
    <row r="291" spans="1:13" x14ac:dyDescent="0.35">
      <c r="A291" s="20">
        <v>290</v>
      </c>
      <c r="B291" s="21"/>
      <c r="C291" s="22"/>
      <c r="D291" s="22"/>
      <c r="E291" s="22"/>
      <c r="F291" s="22"/>
      <c r="G291" s="22"/>
      <c r="H291" s="22"/>
      <c r="I291" s="23">
        <v>279</v>
      </c>
      <c r="J291" s="24">
        <v>289</v>
      </c>
      <c r="K291" s="25" t="s">
        <v>158</v>
      </c>
      <c r="L291" s="41">
        <v>36</v>
      </c>
    </row>
    <row r="292" spans="1:13" x14ac:dyDescent="0.35">
      <c r="A292" s="20">
        <v>291</v>
      </c>
      <c r="B292" s="21"/>
      <c r="C292" s="22"/>
      <c r="D292" s="22"/>
      <c r="E292" s="22"/>
      <c r="F292" s="22"/>
      <c r="G292" s="22"/>
      <c r="H292" s="22"/>
      <c r="I292" s="23">
        <v>718</v>
      </c>
      <c r="J292" s="24">
        <v>729</v>
      </c>
      <c r="K292" s="25" t="s">
        <v>358</v>
      </c>
      <c r="L292" s="41">
        <v>36</v>
      </c>
    </row>
    <row r="293" spans="1:13" ht="15" thickBot="1" x14ac:dyDescent="0.4">
      <c r="A293" s="26">
        <v>292</v>
      </c>
      <c r="B293" s="27"/>
      <c r="C293" s="28"/>
      <c r="D293" s="28"/>
      <c r="E293" s="28"/>
      <c r="F293" s="28"/>
      <c r="G293" s="28"/>
      <c r="H293" s="28"/>
      <c r="I293" s="29">
        <v>775</v>
      </c>
      <c r="J293" s="30">
        <v>786</v>
      </c>
      <c r="K293" s="31" t="s">
        <v>380</v>
      </c>
      <c r="L293" s="41">
        <v>36</v>
      </c>
    </row>
    <row r="294" spans="1:13" x14ac:dyDescent="0.35">
      <c r="A294" s="14">
        <v>293</v>
      </c>
      <c r="B294" s="15"/>
      <c r="C294" s="16"/>
      <c r="D294" s="16"/>
      <c r="E294" s="16"/>
      <c r="F294" s="16"/>
      <c r="G294" s="16" t="s">
        <v>1342</v>
      </c>
      <c r="H294" s="16"/>
      <c r="I294" s="17"/>
      <c r="J294" s="18">
        <v>922</v>
      </c>
      <c r="K294" s="19" t="s">
        <v>1069</v>
      </c>
      <c r="L294" s="41">
        <v>37</v>
      </c>
      <c r="M294" t="s">
        <v>1476</v>
      </c>
    </row>
    <row r="295" spans="1:13" x14ac:dyDescent="0.35">
      <c r="A295" s="20">
        <v>294</v>
      </c>
      <c r="B295" s="21"/>
      <c r="C295" s="22"/>
      <c r="D295" s="22"/>
      <c r="E295" s="22"/>
      <c r="F295" s="22"/>
      <c r="G295" s="22"/>
      <c r="H295" s="22"/>
      <c r="I295" s="23">
        <v>529</v>
      </c>
      <c r="J295" s="24">
        <v>540</v>
      </c>
      <c r="K295" s="25" t="s">
        <v>262</v>
      </c>
      <c r="L295" s="41">
        <v>37</v>
      </c>
    </row>
    <row r="296" spans="1:13" x14ac:dyDescent="0.35">
      <c r="A296" s="20">
        <v>295</v>
      </c>
      <c r="B296" s="21"/>
      <c r="C296" s="22"/>
      <c r="D296" s="22"/>
      <c r="E296" s="22"/>
      <c r="F296" s="22"/>
      <c r="G296" s="22"/>
      <c r="H296" s="22"/>
      <c r="I296" s="23">
        <v>877</v>
      </c>
      <c r="J296" s="24">
        <v>888</v>
      </c>
      <c r="K296" s="25" t="s">
        <v>427</v>
      </c>
      <c r="L296" s="41">
        <v>37</v>
      </c>
    </row>
    <row r="297" spans="1:13" x14ac:dyDescent="0.35">
      <c r="A297" s="20">
        <v>296</v>
      </c>
      <c r="B297" s="21"/>
      <c r="C297" s="22"/>
      <c r="D297" s="22"/>
      <c r="E297" s="22"/>
      <c r="F297" s="22"/>
      <c r="G297" s="22"/>
      <c r="H297" s="22"/>
      <c r="I297" s="23">
        <v>681</v>
      </c>
      <c r="J297" s="24">
        <v>692</v>
      </c>
      <c r="K297" s="25" t="s">
        <v>340</v>
      </c>
      <c r="L297" s="41">
        <v>37</v>
      </c>
    </row>
    <row r="298" spans="1:13" x14ac:dyDescent="0.35">
      <c r="A298" s="20">
        <v>297</v>
      </c>
      <c r="B298" s="21"/>
      <c r="C298" s="22"/>
      <c r="D298" s="22"/>
      <c r="E298" s="22"/>
      <c r="F298" s="22"/>
      <c r="G298" s="22"/>
      <c r="H298" s="22"/>
      <c r="I298" s="23">
        <v>325</v>
      </c>
      <c r="J298" s="24">
        <v>335</v>
      </c>
      <c r="K298" s="25" t="s">
        <v>182</v>
      </c>
      <c r="L298" s="41">
        <v>37</v>
      </c>
    </row>
    <row r="299" spans="1:13" ht="15" thickBot="1" x14ac:dyDescent="0.4">
      <c r="A299" s="26">
        <v>298</v>
      </c>
      <c r="B299" s="27"/>
      <c r="C299" s="28"/>
      <c r="D299" s="28"/>
      <c r="E299" s="28"/>
      <c r="F299" s="28"/>
      <c r="G299" s="28"/>
      <c r="H299" s="36"/>
      <c r="I299" s="29">
        <v>358</v>
      </c>
      <c r="J299" s="30">
        <v>368</v>
      </c>
      <c r="K299" s="31" t="s">
        <v>196</v>
      </c>
      <c r="L299" s="41">
        <v>37</v>
      </c>
    </row>
    <row r="300" spans="1:13" x14ac:dyDescent="0.35">
      <c r="A300" s="14">
        <v>299</v>
      </c>
      <c r="B300" s="15"/>
      <c r="C300" s="16"/>
      <c r="D300" s="16"/>
      <c r="E300" s="16"/>
      <c r="F300" s="16"/>
      <c r="G300" s="16" t="s">
        <v>1343</v>
      </c>
      <c r="H300" s="16"/>
      <c r="I300" s="17">
        <v>884</v>
      </c>
      <c r="J300" s="18">
        <v>895</v>
      </c>
      <c r="K300" s="19" t="s">
        <v>431</v>
      </c>
      <c r="L300" s="41">
        <v>38</v>
      </c>
      <c r="M300" t="s">
        <v>1477</v>
      </c>
    </row>
    <row r="301" spans="1:13" x14ac:dyDescent="0.35">
      <c r="A301" s="20">
        <v>300</v>
      </c>
      <c r="B301" s="21"/>
      <c r="C301" s="22"/>
      <c r="D301" s="22"/>
      <c r="E301" s="22"/>
      <c r="F301" s="22"/>
      <c r="G301" s="22"/>
      <c r="H301" s="22"/>
      <c r="I301" s="37">
        <v>825</v>
      </c>
      <c r="J301" s="24">
        <v>836</v>
      </c>
      <c r="K301" s="25" t="s">
        <v>401</v>
      </c>
      <c r="L301" s="41">
        <v>38</v>
      </c>
    </row>
    <row r="302" spans="1:13" x14ac:dyDescent="0.35">
      <c r="A302" s="20">
        <v>301</v>
      </c>
      <c r="B302" s="21"/>
      <c r="C302" s="22"/>
      <c r="D302" s="22"/>
      <c r="E302" s="22"/>
      <c r="F302" s="22"/>
      <c r="G302" s="22"/>
      <c r="H302" s="22"/>
      <c r="I302" s="23">
        <v>416</v>
      </c>
      <c r="J302" s="24">
        <v>427</v>
      </c>
      <c r="K302" s="25" t="s">
        <v>214</v>
      </c>
      <c r="L302" s="41">
        <v>38</v>
      </c>
    </row>
    <row r="303" spans="1:13" x14ac:dyDescent="0.35">
      <c r="A303" s="20">
        <v>302</v>
      </c>
      <c r="B303" s="21"/>
      <c r="C303" s="22"/>
      <c r="D303" s="22"/>
      <c r="E303" s="22"/>
      <c r="F303" s="22"/>
      <c r="G303" s="22"/>
      <c r="H303" s="22"/>
      <c r="I303" s="23">
        <v>977</v>
      </c>
      <c r="J303" s="24">
        <v>988</v>
      </c>
      <c r="K303" s="25" t="s">
        <v>487</v>
      </c>
      <c r="L303" s="41">
        <v>38</v>
      </c>
    </row>
    <row r="304" spans="1:13" x14ac:dyDescent="0.35">
      <c r="A304" s="20">
        <v>303</v>
      </c>
      <c r="B304" s="21"/>
      <c r="C304" s="22"/>
      <c r="D304" s="22"/>
      <c r="E304" s="22"/>
      <c r="F304" s="22"/>
      <c r="G304" s="22"/>
      <c r="H304" s="22"/>
      <c r="I304" s="23">
        <v>966</v>
      </c>
      <c r="J304" s="24">
        <v>977</v>
      </c>
      <c r="K304" s="25" t="s">
        <v>481</v>
      </c>
      <c r="L304" s="41">
        <v>38</v>
      </c>
    </row>
    <row r="305" spans="1:15" ht="15" thickBot="1" x14ac:dyDescent="0.4">
      <c r="A305" s="26">
        <v>304</v>
      </c>
      <c r="B305" s="27"/>
      <c r="C305" s="28"/>
      <c r="D305" s="28"/>
      <c r="E305" s="28"/>
      <c r="F305" s="28"/>
      <c r="G305" s="28"/>
      <c r="H305" s="28"/>
      <c r="I305" s="29">
        <v>1033</v>
      </c>
      <c r="J305" s="30">
        <v>1045</v>
      </c>
      <c r="K305" s="31" t="s">
        <v>518</v>
      </c>
      <c r="L305" s="41">
        <v>38</v>
      </c>
    </row>
    <row r="306" spans="1:15" x14ac:dyDescent="0.35">
      <c r="A306" s="14">
        <v>305</v>
      </c>
      <c r="B306" s="15"/>
      <c r="C306" s="16"/>
      <c r="D306" s="16"/>
      <c r="E306" s="16"/>
      <c r="F306" s="16" t="s">
        <v>1344</v>
      </c>
      <c r="G306" s="16"/>
      <c r="H306" s="16"/>
      <c r="I306" s="17">
        <v>687</v>
      </c>
      <c r="J306" s="18">
        <v>698</v>
      </c>
      <c r="K306" s="19" t="s">
        <v>345</v>
      </c>
      <c r="L306" s="41">
        <v>39</v>
      </c>
      <c r="M306" t="s">
        <v>1478</v>
      </c>
    </row>
    <row r="307" spans="1:15" x14ac:dyDescent="0.35">
      <c r="A307" s="20">
        <v>306</v>
      </c>
      <c r="B307" s="21"/>
      <c r="C307" s="22"/>
      <c r="D307" s="22"/>
      <c r="E307" s="22"/>
      <c r="F307" s="22"/>
      <c r="G307" s="22" t="s">
        <v>1345</v>
      </c>
      <c r="H307" s="22"/>
      <c r="I307" s="23">
        <v>496</v>
      </c>
      <c r="J307" s="24">
        <v>507</v>
      </c>
      <c r="K307" s="25" t="s">
        <v>250</v>
      </c>
      <c r="L307" s="41">
        <v>39</v>
      </c>
    </row>
    <row r="308" spans="1:15" x14ac:dyDescent="0.35">
      <c r="A308" s="20">
        <v>307</v>
      </c>
      <c r="B308" s="21"/>
      <c r="C308" s="22"/>
      <c r="D308" s="22"/>
      <c r="E308" s="22"/>
      <c r="F308" s="22"/>
      <c r="G308" s="22"/>
      <c r="H308" s="22"/>
      <c r="I308" s="23"/>
      <c r="J308" s="24">
        <v>212</v>
      </c>
      <c r="K308" s="25" t="s">
        <v>689</v>
      </c>
      <c r="L308" s="41">
        <v>39</v>
      </c>
    </row>
    <row r="309" spans="1:15" x14ac:dyDescent="0.35">
      <c r="A309" s="20">
        <v>308</v>
      </c>
      <c r="B309" s="21"/>
      <c r="C309" s="22"/>
      <c r="D309" s="22"/>
      <c r="E309" s="22"/>
      <c r="F309" s="22"/>
      <c r="G309" s="22"/>
      <c r="H309" s="22"/>
      <c r="I309" s="23"/>
      <c r="J309" s="24">
        <v>220</v>
      </c>
      <c r="K309" s="25" t="s">
        <v>693</v>
      </c>
      <c r="L309" s="41">
        <v>39</v>
      </c>
    </row>
    <row r="310" spans="1:15" x14ac:dyDescent="0.35">
      <c r="A310" s="20">
        <v>309</v>
      </c>
      <c r="B310" s="21"/>
      <c r="C310" s="22"/>
      <c r="D310" s="22"/>
      <c r="E310" s="22"/>
      <c r="F310" s="22"/>
      <c r="G310" s="22"/>
      <c r="H310" s="22"/>
      <c r="I310" s="23"/>
      <c r="J310" s="24">
        <v>228</v>
      </c>
      <c r="K310" s="25" t="s">
        <v>698</v>
      </c>
      <c r="L310" s="41">
        <v>39</v>
      </c>
    </row>
    <row r="311" spans="1:15" x14ac:dyDescent="0.35">
      <c r="A311" s="20">
        <v>310</v>
      </c>
      <c r="B311" s="21"/>
      <c r="C311" s="22"/>
      <c r="D311" s="22"/>
      <c r="E311" s="22"/>
      <c r="F311" s="22"/>
      <c r="G311" s="22"/>
      <c r="H311" s="22"/>
      <c r="I311" s="23"/>
      <c r="J311" s="24">
        <v>236</v>
      </c>
      <c r="K311" s="25" t="s">
        <v>702</v>
      </c>
      <c r="L311" s="41">
        <v>39</v>
      </c>
    </row>
    <row r="312" spans="1:15" x14ac:dyDescent="0.35">
      <c r="A312" s="20">
        <v>311</v>
      </c>
      <c r="B312" s="21"/>
      <c r="C312" s="22"/>
      <c r="D312" s="22"/>
      <c r="E312" s="22"/>
      <c r="F312" s="22"/>
      <c r="G312" s="22"/>
      <c r="H312" s="22"/>
      <c r="I312" s="23"/>
      <c r="J312" s="24">
        <v>244</v>
      </c>
      <c r="K312" s="25" t="s">
        <v>708</v>
      </c>
      <c r="L312" s="41">
        <v>39</v>
      </c>
    </row>
    <row r="313" spans="1:15" x14ac:dyDescent="0.35">
      <c r="A313" s="20">
        <v>312</v>
      </c>
      <c r="B313" s="21"/>
      <c r="C313" s="22"/>
      <c r="D313" s="22"/>
      <c r="E313" s="22"/>
      <c r="F313" s="22"/>
      <c r="G313" s="22" t="s">
        <v>1346</v>
      </c>
      <c r="H313" s="22"/>
      <c r="I313" s="23"/>
      <c r="J313" s="24">
        <v>151</v>
      </c>
      <c r="K313" s="25" t="s">
        <v>661</v>
      </c>
      <c r="L313" s="41">
        <v>40</v>
      </c>
    </row>
    <row r="314" spans="1:15" x14ac:dyDescent="0.35">
      <c r="A314" s="20">
        <v>313</v>
      </c>
      <c r="B314" s="21"/>
      <c r="C314" s="22"/>
      <c r="D314" s="22"/>
      <c r="E314" s="22"/>
      <c r="F314" s="22"/>
      <c r="G314" s="22"/>
      <c r="H314" s="22"/>
      <c r="I314" s="23">
        <v>181</v>
      </c>
      <c r="J314" s="24">
        <v>188</v>
      </c>
      <c r="K314" s="25" t="s">
        <v>109</v>
      </c>
      <c r="L314" s="41">
        <v>40</v>
      </c>
    </row>
    <row r="315" spans="1:15" x14ac:dyDescent="0.35">
      <c r="A315" s="20">
        <v>314</v>
      </c>
      <c r="B315" s="21"/>
      <c r="C315" s="22"/>
      <c r="D315" s="22"/>
      <c r="E315" s="22"/>
      <c r="F315" s="22"/>
      <c r="G315" s="22"/>
      <c r="H315" s="22"/>
      <c r="I315" s="23">
        <v>189</v>
      </c>
      <c r="J315" s="24">
        <v>196</v>
      </c>
      <c r="K315" s="25" t="s">
        <v>113</v>
      </c>
      <c r="L315" s="41">
        <v>40</v>
      </c>
    </row>
    <row r="316" spans="1:15" x14ac:dyDescent="0.35">
      <c r="A316" s="20">
        <v>315</v>
      </c>
      <c r="B316" s="21"/>
      <c r="C316" s="22"/>
      <c r="D316" s="22"/>
      <c r="E316" s="22"/>
      <c r="F316" s="22"/>
      <c r="G316" s="22"/>
      <c r="H316" s="22"/>
      <c r="I316" s="23">
        <v>197</v>
      </c>
      <c r="J316" s="24">
        <v>204</v>
      </c>
      <c r="K316" s="25" t="s">
        <v>117</v>
      </c>
      <c r="L316" s="41">
        <v>40</v>
      </c>
    </row>
    <row r="317" spans="1:15" x14ac:dyDescent="0.35">
      <c r="A317" s="20">
        <v>316</v>
      </c>
      <c r="B317" s="21"/>
      <c r="C317" s="22"/>
      <c r="D317" s="22"/>
      <c r="E317" s="22"/>
      <c r="F317" s="22"/>
      <c r="G317" s="22" t="s">
        <v>1347</v>
      </c>
      <c r="H317" s="22"/>
      <c r="I317" s="23">
        <v>154</v>
      </c>
      <c r="J317" s="24">
        <v>159</v>
      </c>
      <c r="K317" s="25" t="s">
        <v>95</v>
      </c>
      <c r="L317" s="41">
        <v>41</v>
      </c>
    </row>
    <row r="318" spans="1:15" x14ac:dyDescent="0.35">
      <c r="A318" s="20">
        <v>317</v>
      </c>
      <c r="B318" s="21"/>
      <c r="C318" s="22"/>
      <c r="D318" s="22"/>
      <c r="E318" s="22"/>
      <c r="F318" s="22"/>
      <c r="G318" s="22"/>
      <c r="H318" s="22"/>
      <c r="I318" s="23"/>
      <c r="J318" s="24">
        <v>167</v>
      </c>
      <c r="K318" s="25" t="s">
        <v>669</v>
      </c>
      <c r="L318" s="41">
        <v>41</v>
      </c>
      <c r="O318" s="40"/>
    </row>
    <row r="319" spans="1:15" x14ac:dyDescent="0.35">
      <c r="A319" s="20">
        <v>318</v>
      </c>
      <c r="B319" s="21"/>
      <c r="C319" s="22"/>
      <c r="D319" s="22"/>
      <c r="E319" s="22"/>
      <c r="F319" s="22"/>
      <c r="G319" s="22"/>
      <c r="H319" s="22"/>
      <c r="I319" s="23"/>
      <c r="J319" s="24">
        <v>175</v>
      </c>
      <c r="K319" s="25" t="s">
        <v>672</v>
      </c>
      <c r="L319" s="41">
        <v>41</v>
      </c>
      <c r="O319" s="40"/>
    </row>
    <row r="320" spans="1:15" x14ac:dyDescent="0.35">
      <c r="A320" s="20">
        <v>319</v>
      </c>
      <c r="B320" s="21"/>
      <c r="C320" s="22"/>
      <c r="D320" s="22"/>
      <c r="E320" s="22"/>
      <c r="F320" s="22"/>
      <c r="G320" s="22"/>
      <c r="H320" s="22"/>
      <c r="I320" s="23"/>
      <c r="J320" s="24">
        <v>183</v>
      </c>
      <c r="K320" s="25" t="s">
        <v>675</v>
      </c>
      <c r="L320" s="41">
        <v>41</v>
      </c>
      <c r="O320" s="40"/>
    </row>
    <row r="321" spans="1:15" x14ac:dyDescent="0.35">
      <c r="A321" s="20">
        <v>320</v>
      </c>
      <c r="B321" s="21"/>
      <c r="C321" s="22"/>
      <c r="D321" s="22"/>
      <c r="E321" s="22"/>
      <c r="F321" s="22"/>
      <c r="G321" s="22"/>
      <c r="H321" s="22"/>
      <c r="I321" s="23"/>
      <c r="J321" s="24">
        <v>191</v>
      </c>
      <c r="K321" s="25" t="s">
        <v>678</v>
      </c>
      <c r="L321" s="41">
        <v>41</v>
      </c>
      <c r="O321" s="40"/>
    </row>
    <row r="322" spans="1:15" x14ac:dyDescent="0.35">
      <c r="A322" s="20">
        <v>321</v>
      </c>
      <c r="B322" s="21"/>
      <c r="C322" s="22"/>
      <c r="D322" s="22"/>
      <c r="E322" s="22"/>
      <c r="F322" s="22"/>
      <c r="G322" s="22"/>
      <c r="H322" s="22"/>
      <c r="I322" s="23"/>
      <c r="J322" s="24">
        <v>160</v>
      </c>
      <c r="K322" s="25" t="s">
        <v>665</v>
      </c>
      <c r="L322" s="41">
        <v>41</v>
      </c>
      <c r="O322" s="40"/>
    </row>
    <row r="323" spans="1:15" x14ac:dyDescent="0.35">
      <c r="A323" s="20">
        <v>322</v>
      </c>
      <c r="B323" s="21"/>
      <c r="C323" s="22"/>
      <c r="D323" s="22"/>
      <c r="E323" s="22"/>
      <c r="F323" s="22"/>
      <c r="G323" s="22"/>
      <c r="H323" s="22"/>
      <c r="I323" s="23"/>
      <c r="J323" s="24">
        <v>168</v>
      </c>
      <c r="K323" s="25" t="s">
        <v>670</v>
      </c>
      <c r="L323" s="41">
        <v>41</v>
      </c>
      <c r="O323" s="40"/>
    </row>
    <row r="324" spans="1:15" x14ac:dyDescent="0.35">
      <c r="A324" s="20">
        <v>323</v>
      </c>
      <c r="B324" s="22"/>
      <c r="C324" s="22"/>
      <c r="D324" s="22"/>
      <c r="E324" s="22"/>
      <c r="F324" s="22"/>
      <c r="G324" s="22" t="s">
        <v>1348</v>
      </c>
      <c r="H324" s="22"/>
      <c r="I324" s="23">
        <v>578</v>
      </c>
      <c r="J324" s="24">
        <v>589</v>
      </c>
      <c r="K324" s="25" t="s">
        <v>282</v>
      </c>
      <c r="L324" s="41">
        <v>42</v>
      </c>
      <c r="O324" s="40"/>
    </row>
    <row r="325" spans="1:15" x14ac:dyDescent="0.35">
      <c r="A325" s="20">
        <v>324</v>
      </c>
      <c r="B325" s="21"/>
      <c r="C325" s="22"/>
      <c r="D325" s="22"/>
      <c r="E325" s="22"/>
      <c r="F325" s="22"/>
      <c r="G325" s="22"/>
      <c r="H325" s="22"/>
      <c r="I325" s="23"/>
      <c r="J325" s="24">
        <v>597</v>
      </c>
      <c r="K325" s="25" t="s">
        <v>905</v>
      </c>
      <c r="L325" s="41">
        <v>42</v>
      </c>
      <c r="O325" s="40"/>
    </row>
    <row r="326" spans="1:15" x14ac:dyDescent="0.35">
      <c r="A326" s="20">
        <v>325</v>
      </c>
      <c r="B326" s="21"/>
      <c r="C326" s="22"/>
      <c r="D326" s="22"/>
      <c r="E326" s="22"/>
      <c r="F326" s="22"/>
      <c r="G326" s="22"/>
      <c r="H326" s="22"/>
      <c r="I326" s="23"/>
      <c r="J326" s="24">
        <v>297</v>
      </c>
      <c r="K326" s="25" t="s">
        <v>731</v>
      </c>
      <c r="L326" s="41">
        <v>42</v>
      </c>
      <c r="O326" s="40"/>
    </row>
    <row r="327" spans="1:15" x14ac:dyDescent="0.35">
      <c r="A327" s="20">
        <v>326</v>
      </c>
      <c r="B327" s="21"/>
      <c r="C327" s="22"/>
      <c r="D327" s="22"/>
      <c r="E327" s="22"/>
      <c r="F327" s="22"/>
      <c r="G327" s="22"/>
      <c r="H327" s="22"/>
      <c r="I327" s="23"/>
      <c r="J327" s="24">
        <v>1034</v>
      </c>
      <c r="K327" s="25" t="s">
        <v>1116</v>
      </c>
      <c r="L327" s="41">
        <v>42</v>
      </c>
      <c r="O327" s="40"/>
    </row>
    <row r="328" spans="1:15" x14ac:dyDescent="0.35">
      <c r="A328" s="20">
        <v>327</v>
      </c>
      <c r="B328" s="21"/>
      <c r="C328" s="22"/>
      <c r="D328" s="22"/>
      <c r="E328" s="22"/>
      <c r="F328" s="22"/>
      <c r="G328" s="22"/>
      <c r="H328" s="22"/>
      <c r="I328" s="23"/>
      <c r="J328" s="24">
        <v>1042</v>
      </c>
      <c r="K328" s="25" t="s">
        <v>1119</v>
      </c>
      <c r="L328" s="41">
        <v>42</v>
      </c>
      <c r="O328" s="40"/>
    </row>
    <row r="329" spans="1:15" x14ac:dyDescent="0.35">
      <c r="A329" s="20">
        <v>328</v>
      </c>
      <c r="B329" s="21"/>
      <c r="C329" s="22"/>
      <c r="D329" s="22"/>
      <c r="E329" s="22"/>
      <c r="F329" s="22"/>
      <c r="G329" s="22"/>
      <c r="H329" s="22"/>
      <c r="I329" s="23"/>
      <c r="J329" s="24">
        <v>1050</v>
      </c>
      <c r="K329" s="25" t="s">
        <v>1121</v>
      </c>
      <c r="L329" s="41">
        <v>42</v>
      </c>
      <c r="O329" s="40"/>
    </row>
    <row r="330" spans="1:15" x14ac:dyDescent="0.35">
      <c r="A330" s="20">
        <v>329</v>
      </c>
      <c r="B330" s="21"/>
      <c r="C330" s="22"/>
      <c r="D330" s="22"/>
      <c r="E330" s="22"/>
      <c r="F330" s="22"/>
      <c r="G330" s="22"/>
      <c r="H330" s="22"/>
      <c r="I330" s="23"/>
      <c r="J330" s="24">
        <v>1059</v>
      </c>
      <c r="K330" s="25" t="s">
        <v>1127</v>
      </c>
      <c r="L330" s="41">
        <v>42</v>
      </c>
      <c r="O330" s="40"/>
    </row>
    <row r="331" spans="1:15" x14ac:dyDescent="0.35">
      <c r="A331" s="20">
        <v>330</v>
      </c>
      <c r="B331" s="21"/>
      <c r="C331" s="22"/>
      <c r="D331" s="22"/>
      <c r="E331" s="22"/>
      <c r="F331" s="22"/>
      <c r="G331" s="22"/>
      <c r="H331" s="22"/>
      <c r="I331" s="23"/>
      <c r="J331" s="24">
        <v>605</v>
      </c>
      <c r="K331" s="25" t="s">
        <v>907</v>
      </c>
      <c r="L331" s="41">
        <v>42</v>
      </c>
      <c r="O331" s="40"/>
    </row>
    <row r="332" spans="1:15" x14ac:dyDescent="0.35">
      <c r="A332" s="20">
        <v>331</v>
      </c>
      <c r="B332" s="21"/>
      <c r="C332" s="22"/>
      <c r="D332" s="22"/>
      <c r="E332" s="22"/>
      <c r="F332" s="22"/>
      <c r="G332" s="22"/>
      <c r="H332" s="22"/>
      <c r="I332" s="23"/>
      <c r="J332" s="24">
        <v>306</v>
      </c>
      <c r="K332" s="25" t="s">
        <v>735</v>
      </c>
      <c r="L332" s="41">
        <v>42</v>
      </c>
      <c r="O332" s="40"/>
    </row>
    <row r="333" spans="1:15" x14ac:dyDescent="0.35">
      <c r="A333" s="20">
        <v>332</v>
      </c>
      <c r="B333" s="21"/>
      <c r="C333" s="22"/>
      <c r="D333" s="22"/>
      <c r="E333" s="22"/>
      <c r="F333" s="22"/>
      <c r="G333" s="22"/>
      <c r="H333" s="22"/>
      <c r="I333" s="23"/>
      <c r="J333" s="24">
        <v>1067</v>
      </c>
      <c r="K333" s="25" t="s">
        <v>1131</v>
      </c>
      <c r="L333" s="41">
        <v>42</v>
      </c>
      <c r="O333" s="40"/>
    </row>
    <row r="334" spans="1:15" x14ac:dyDescent="0.35">
      <c r="A334" s="20">
        <v>333</v>
      </c>
      <c r="B334" s="21"/>
      <c r="C334" s="22"/>
      <c r="D334" s="22"/>
      <c r="E334" s="22"/>
      <c r="F334" s="22"/>
      <c r="G334" s="22"/>
      <c r="H334" s="22"/>
      <c r="I334" s="23"/>
      <c r="J334" s="24">
        <v>1075</v>
      </c>
      <c r="K334" s="25" t="s">
        <v>1137</v>
      </c>
      <c r="L334" s="41">
        <v>42</v>
      </c>
      <c r="O334" s="40"/>
    </row>
    <row r="335" spans="1:15" x14ac:dyDescent="0.35">
      <c r="A335" s="20">
        <v>334</v>
      </c>
      <c r="B335" s="21"/>
      <c r="C335" s="22"/>
      <c r="D335" s="22"/>
      <c r="E335" s="22"/>
      <c r="F335" s="22"/>
      <c r="G335" s="22"/>
      <c r="H335" s="22"/>
      <c r="I335" s="23"/>
      <c r="J335" s="24">
        <v>1082</v>
      </c>
      <c r="K335" s="25" t="s">
        <v>1142</v>
      </c>
      <c r="L335" s="41">
        <v>42</v>
      </c>
      <c r="O335" s="40"/>
    </row>
    <row r="336" spans="1:15" x14ac:dyDescent="0.35">
      <c r="A336" s="20">
        <v>335</v>
      </c>
      <c r="B336" s="21"/>
      <c r="C336" s="22"/>
      <c r="D336" s="22"/>
      <c r="E336" s="22"/>
      <c r="F336" s="22"/>
      <c r="G336" s="22" t="s">
        <v>1349</v>
      </c>
      <c r="H336" s="22"/>
      <c r="I336" s="23">
        <v>803</v>
      </c>
      <c r="J336" s="24">
        <v>814</v>
      </c>
      <c r="K336" s="25" t="s">
        <v>394</v>
      </c>
      <c r="L336" s="41">
        <v>43</v>
      </c>
      <c r="O336" s="40"/>
    </row>
    <row r="337" spans="1:15" x14ac:dyDescent="0.35">
      <c r="A337" s="20">
        <v>336</v>
      </c>
      <c r="B337" s="21"/>
      <c r="C337" s="22"/>
      <c r="D337" s="22"/>
      <c r="E337" s="22"/>
      <c r="F337" s="22"/>
      <c r="G337" s="22"/>
      <c r="H337" s="22"/>
      <c r="I337" s="23"/>
      <c r="J337" s="24">
        <v>496</v>
      </c>
      <c r="K337" s="25" t="s">
        <v>844</v>
      </c>
      <c r="L337" s="41">
        <v>43</v>
      </c>
      <c r="O337" s="40"/>
    </row>
    <row r="338" spans="1:15" x14ac:dyDescent="0.35">
      <c r="A338" s="20">
        <v>337</v>
      </c>
      <c r="B338" s="21"/>
      <c r="C338" s="22"/>
      <c r="D338" s="22"/>
      <c r="E338" s="22"/>
      <c r="F338" s="22"/>
      <c r="G338" s="22"/>
      <c r="H338" s="22"/>
      <c r="I338" s="23"/>
      <c r="J338" s="24">
        <v>535</v>
      </c>
      <c r="K338" s="25" t="s">
        <v>869</v>
      </c>
      <c r="L338" s="41">
        <v>43</v>
      </c>
      <c r="O338" s="40"/>
    </row>
    <row r="339" spans="1:15" x14ac:dyDescent="0.35">
      <c r="A339" s="20">
        <v>338</v>
      </c>
      <c r="B339" s="21"/>
      <c r="C339" s="22"/>
      <c r="D339" s="22"/>
      <c r="E339" s="22"/>
      <c r="F339" s="22"/>
      <c r="G339" s="22"/>
      <c r="H339" s="22"/>
      <c r="I339" s="23"/>
      <c r="J339" s="24">
        <v>360</v>
      </c>
      <c r="K339" s="25" t="s">
        <v>764</v>
      </c>
      <c r="L339" s="41">
        <v>43</v>
      </c>
      <c r="O339" s="40"/>
    </row>
    <row r="340" spans="1:15" x14ac:dyDescent="0.35">
      <c r="A340" s="20">
        <v>339</v>
      </c>
      <c r="B340" s="21"/>
      <c r="C340" s="22"/>
      <c r="D340" s="22"/>
      <c r="E340" s="22"/>
      <c r="F340" s="22"/>
      <c r="G340" s="22"/>
      <c r="H340" s="22"/>
      <c r="I340" s="23"/>
      <c r="J340" s="24">
        <v>646</v>
      </c>
      <c r="K340" s="25" t="s">
        <v>926</v>
      </c>
      <c r="L340" s="41">
        <v>43</v>
      </c>
      <c r="O340" s="40"/>
    </row>
    <row r="341" spans="1:15" x14ac:dyDescent="0.35">
      <c r="A341" s="20">
        <v>340</v>
      </c>
      <c r="B341" s="21"/>
      <c r="C341" s="22"/>
      <c r="D341" s="22"/>
      <c r="E341" s="22"/>
      <c r="F341" s="22"/>
      <c r="G341" s="22"/>
      <c r="H341" s="22"/>
      <c r="I341" s="23"/>
      <c r="J341" s="24">
        <v>267</v>
      </c>
      <c r="K341" s="25" t="s">
        <v>717</v>
      </c>
      <c r="L341" s="41">
        <v>43</v>
      </c>
      <c r="O341" s="40"/>
    </row>
    <row r="342" spans="1:15" x14ac:dyDescent="0.35">
      <c r="A342" s="20">
        <v>341</v>
      </c>
      <c r="B342" s="21"/>
      <c r="C342" s="22"/>
      <c r="D342" s="22"/>
      <c r="E342" s="22"/>
      <c r="F342" s="22"/>
      <c r="G342" s="22" t="s">
        <v>1350</v>
      </c>
      <c r="H342" s="22"/>
      <c r="I342" s="23">
        <v>950</v>
      </c>
      <c r="J342" s="24">
        <v>961</v>
      </c>
      <c r="K342" s="25" t="s">
        <v>471</v>
      </c>
      <c r="L342" s="41">
        <v>44</v>
      </c>
      <c r="O342" s="40"/>
    </row>
    <row r="343" spans="1:15" x14ac:dyDescent="0.35">
      <c r="A343" s="20">
        <v>342</v>
      </c>
      <c r="B343" s="21"/>
      <c r="C343" s="22"/>
      <c r="D343" s="22"/>
      <c r="E343" s="22"/>
      <c r="F343" s="22"/>
      <c r="G343" s="22"/>
      <c r="H343" s="22"/>
      <c r="I343" s="23"/>
      <c r="J343" s="24">
        <v>152</v>
      </c>
      <c r="K343" s="25" t="s">
        <v>662</v>
      </c>
      <c r="L343" s="41">
        <v>44</v>
      </c>
      <c r="O343" s="40"/>
    </row>
    <row r="344" spans="1:15" x14ac:dyDescent="0.35">
      <c r="A344" s="20">
        <v>343</v>
      </c>
      <c r="B344" s="21"/>
      <c r="C344" s="22"/>
      <c r="D344" s="22"/>
      <c r="E344" s="22"/>
      <c r="F344" s="22"/>
      <c r="G344" s="22"/>
      <c r="H344" s="22"/>
      <c r="I344" s="23"/>
      <c r="J344" s="24">
        <v>276</v>
      </c>
      <c r="K344" s="25" t="s">
        <v>721</v>
      </c>
      <c r="L344" s="41">
        <v>44</v>
      </c>
      <c r="O344" s="40"/>
    </row>
    <row r="345" spans="1:15" x14ac:dyDescent="0.35">
      <c r="A345" s="20">
        <v>344</v>
      </c>
      <c r="B345" s="21"/>
      <c r="C345" s="22"/>
      <c r="D345" s="22"/>
      <c r="E345" s="22"/>
      <c r="F345" s="22"/>
      <c r="G345" s="22"/>
      <c r="H345" s="22"/>
      <c r="I345" s="23"/>
      <c r="J345" s="24">
        <v>284</v>
      </c>
      <c r="K345" s="25" t="s">
        <v>724</v>
      </c>
      <c r="L345" s="41">
        <v>44</v>
      </c>
      <c r="O345" s="40"/>
    </row>
    <row r="346" spans="1:15" x14ac:dyDescent="0.35">
      <c r="A346" s="20">
        <v>345</v>
      </c>
      <c r="B346" s="21"/>
      <c r="C346" s="22"/>
      <c r="D346" s="22"/>
      <c r="E346" s="22"/>
      <c r="F346" s="22"/>
      <c r="G346" s="22"/>
      <c r="H346" s="22"/>
      <c r="I346" s="23"/>
      <c r="J346" s="24">
        <v>291</v>
      </c>
      <c r="K346" s="25" t="s">
        <v>728</v>
      </c>
      <c r="L346" s="41">
        <v>44</v>
      </c>
      <c r="O346" s="40"/>
    </row>
    <row r="347" spans="1:15" x14ac:dyDescent="0.35">
      <c r="A347" s="20">
        <v>346</v>
      </c>
      <c r="B347" s="21"/>
      <c r="C347" s="22"/>
      <c r="D347" s="22"/>
      <c r="E347" s="22"/>
      <c r="F347" s="22"/>
      <c r="G347" s="22" t="s">
        <v>1351</v>
      </c>
      <c r="H347" s="22"/>
      <c r="I347" s="23"/>
      <c r="J347" s="34">
        <v>619</v>
      </c>
      <c r="K347" s="35" t="s">
        <v>913</v>
      </c>
      <c r="L347" s="41">
        <v>45</v>
      </c>
      <c r="O347" s="40"/>
    </row>
    <row r="348" spans="1:15" x14ac:dyDescent="0.35">
      <c r="A348" s="20">
        <v>347</v>
      </c>
      <c r="B348" s="21"/>
      <c r="C348" s="22"/>
      <c r="D348" s="22"/>
      <c r="E348" s="22"/>
      <c r="F348" s="22"/>
      <c r="G348" s="22"/>
      <c r="H348" s="22"/>
      <c r="I348" s="23"/>
      <c r="J348" s="24">
        <v>392</v>
      </c>
      <c r="K348" s="25" t="s">
        <v>784</v>
      </c>
      <c r="L348" s="41">
        <v>45</v>
      </c>
      <c r="O348" s="40"/>
    </row>
    <row r="349" spans="1:15" x14ac:dyDescent="0.35">
      <c r="A349" s="20">
        <v>348</v>
      </c>
      <c r="B349" s="21"/>
      <c r="C349" s="22"/>
      <c r="D349" s="22"/>
      <c r="E349" s="22"/>
      <c r="F349" s="22"/>
      <c r="G349" s="22"/>
      <c r="H349" s="22"/>
      <c r="I349" s="23">
        <v>253</v>
      </c>
      <c r="J349" s="24">
        <v>260</v>
      </c>
      <c r="K349" s="25" t="s">
        <v>144</v>
      </c>
      <c r="L349" s="41">
        <v>45</v>
      </c>
      <c r="O349" s="40"/>
    </row>
    <row r="350" spans="1:15" x14ac:dyDescent="0.35">
      <c r="A350" s="20">
        <v>349</v>
      </c>
      <c r="B350" s="21"/>
      <c r="C350" s="22"/>
      <c r="D350" s="22"/>
      <c r="E350" s="22"/>
      <c r="F350" s="22"/>
      <c r="G350" s="22"/>
      <c r="H350" s="22"/>
      <c r="I350" s="23"/>
      <c r="J350" s="24">
        <v>268</v>
      </c>
      <c r="K350" s="25" t="s">
        <v>718</v>
      </c>
      <c r="L350" s="41">
        <v>45</v>
      </c>
      <c r="O350" s="40"/>
    </row>
    <row r="351" spans="1:15" x14ac:dyDescent="0.35">
      <c r="A351" s="20">
        <v>350</v>
      </c>
      <c r="B351" s="21"/>
      <c r="C351" s="22"/>
      <c r="D351" s="22"/>
      <c r="E351" s="22"/>
      <c r="F351" s="22"/>
      <c r="G351" s="22"/>
      <c r="H351" s="22"/>
      <c r="I351" s="23">
        <v>1119</v>
      </c>
      <c r="J351" s="24">
        <v>1139</v>
      </c>
      <c r="K351" s="25" t="s">
        <v>559</v>
      </c>
      <c r="L351" s="41">
        <v>45</v>
      </c>
      <c r="O351" s="40"/>
    </row>
    <row r="352" spans="1:15" x14ac:dyDescent="0.35">
      <c r="A352" s="20">
        <v>351</v>
      </c>
      <c r="B352" s="21"/>
      <c r="C352" s="22"/>
      <c r="D352" s="22"/>
      <c r="E352" s="22"/>
      <c r="F352" s="22"/>
      <c r="G352" s="22" t="s">
        <v>1352</v>
      </c>
      <c r="H352" s="22"/>
      <c r="I352" s="23"/>
      <c r="J352" s="24">
        <v>631</v>
      </c>
      <c r="K352" s="25" t="s">
        <v>918</v>
      </c>
      <c r="L352" s="41">
        <v>46</v>
      </c>
      <c r="O352" s="40"/>
    </row>
    <row r="353" spans="1:15" x14ac:dyDescent="0.35">
      <c r="A353" s="20">
        <v>352</v>
      </c>
      <c r="B353" s="21"/>
      <c r="C353" s="22"/>
      <c r="D353" s="22"/>
      <c r="E353" s="22"/>
      <c r="F353" s="22"/>
      <c r="G353" s="22"/>
      <c r="H353" s="22"/>
      <c r="I353" s="23">
        <v>628</v>
      </c>
      <c r="J353" s="24">
        <v>639</v>
      </c>
      <c r="K353" s="25" t="s">
        <v>312</v>
      </c>
      <c r="L353" s="41">
        <v>46</v>
      </c>
      <c r="O353" s="40"/>
    </row>
    <row r="354" spans="1:15" x14ac:dyDescent="0.35">
      <c r="A354" s="20">
        <v>353</v>
      </c>
      <c r="B354" s="21"/>
      <c r="C354" s="22"/>
      <c r="D354" s="22"/>
      <c r="E354" s="22"/>
      <c r="F354" s="22"/>
      <c r="G354" s="22"/>
      <c r="H354" s="22"/>
      <c r="I354" s="23"/>
      <c r="J354" s="24">
        <v>192</v>
      </c>
      <c r="K354" s="25" t="s">
        <v>679</v>
      </c>
      <c r="L354" s="41">
        <v>46</v>
      </c>
      <c r="O354" s="40"/>
    </row>
    <row r="355" spans="1:15" x14ac:dyDescent="0.35">
      <c r="A355" s="20">
        <v>354</v>
      </c>
      <c r="B355" s="21"/>
      <c r="C355" s="22"/>
      <c r="D355" s="22"/>
      <c r="E355" s="22"/>
      <c r="F355" s="22"/>
      <c r="G355" s="22"/>
      <c r="H355" s="22"/>
      <c r="I355" s="23"/>
      <c r="J355" s="24">
        <v>208</v>
      </c>
      <c r="K355" s="25" t="s">
        <v>688</v>
      </c>
      <c r="L355" s="41">
        <v>46</v>
      </c>
      <c r="O355" s="40"/>
    </row>
    <row r="356" spans="1:15" x14ac:dyDescent="0.35">
      <c r="A356" s="20">
        <v>355</v>
      </c>
      <c r="B356" s="21"/>
      <c r="C356" s="22"/>
      <c r="D356" s="22"/>
      <c r="E356" s="22"/>
      <c r="F356" s="22"/>
      <c r="G356" s="22"/>
      <c r="H356" s="22"/>
      <c r="I356" s="23">
        <v>636</v>
      </c>
      <c r="J356" s="24">
        <v>647</v>
      </c>
      <c r="K356" s="25" t="s">
        <v>315</v>
      </c>
      <c r="L356" s="41">
        <v>46</v>
      </c>
      <c r="O356" s="40"/>
    </row>
    <row r="357" spans="1:15" x14ac:dyDescent="0.35">
      <c r="A357" s="20">
        <v>356</v>
      </c>
      <c r="B357" s="21"/>
      <c r="C357" s="22"/>
      <c r="D357" s="22"/>
      <c r="E357" s="22"/>
      <c r="F357" s="22"/>
      <c r="G357" s="22"/>
      <c r="H357" s="22"/>
      <c r="I357" s="23"/>
      <c r="J357" s="24">
        <v>655</v>
      </c>
      <c r="K357" s="25" t="s">
        <v>929</v>
      </c>
      <c r="L357" s="41">
        <v>46</v>
      </c>
      <c r="O357" s="40"/>
    </row>
    <row r="358" spans="1:15" x14ac:dyDescent="0.35">
      <c r="A358" s="20">
        <v>357</v>
      </c>
      <c r="B358" s="21"/>
      <c r="C358" s="22"/>
      <c r="D358" s="22"/>
      <c r="E358" s="22"/>
      <c r="F358" s="22"/>
      <c r="G358" s="22"/>
      <c r="H358" s="22"/>
      <c r="I358" s="23"/>
      <c r="J358" s="24">
        <v>584</v>
      </c>
      <c r="K358" s="25" t="s">
        <v>899</v>
      </c>
      <c r="L358" s="41">
        <v>46</v>
      </c>
      <c r="O358" s="40"/>
    </row>
    <row r="359" spans="1:15" x14ac:dyDescent="0.35">
      <c r="A359" s="20">
        <v>358</v>
      </c>
      <c r="B359" s="21"/>
      <c r="C359" s="22"/>
      <c r="D359" s="22"/>
      <c r="E359" s="22"/>
      <c r="F359" s="22"/>
      <c r="G359" s="22"/>
      <c r="H359" s="22"/>
      <c r="I359" s="23"/>
      <c r="J359" s="24">
        <v>376</v>
      </c>
      <c r="K359" s="25" t="s">
        <v>773</v>
      </c>
      <c r="L359" s="41">
        <v>46</v>
      </c>
      <c r="O359" s="40"/>
    </row>
    <row r="360" spans="1:15" x14ac:dyDescent="0.35">
      <c r="A360" s="20">
        <v>359</v>
      </c>
      <c r="B360" s="21"/>
      <c r="C360" s="22"/>
      <c r="D360" s="22"/>
      <c r="E360" s="22"/>
      <c r="F360" s="22"/>
      <c r="G360" s="22"/>
      <c r="H360" s="22"/>
      <c r="I360" s="23"/>
      <c r="J360" s="24">
        <v>216</v>
      </c>
      <c r="K360" s="25" t="s">
        <v>691</v>
      </c>
      <c r="L360" s="41">
        <v>46</v>
      </c>
      <c r="O360" s="40"/>
    </row>
    <row r="361" spans="1:15" x14ac:dyDescent="0.35">
      <c r="A361" s="20">
        <v>360</v>
      </c>
      <c r="B361" s="21"/>
      <c r="C361" s="22"/>
      <c r="D361" s="22"/>
      <c r="E361" s="22"/>
      <c r="F361" s="22"/>
      <c r="G361" s="22"/>
      <c r="H361" s="22"/>
      <c r="I361" s="23"/>
      <c r="J361" s="24">
        <v>224</v>
      </c>
      <c r="K361" s="25" t="s">
        <v>696</v>
      </c>
      <c r="L361" s="41">
        <v>46</v>
      </c>
      <c r="O361" s="40"/>
    </row>
    <row r="362" spans="1:15" x14ac:dyDescent="0.35">
      <c r="A362" s="20">
        <v>361</v>
      </c>
      <c r="B362" s="21"/>
      <c r="C362" s="22"/>
      <c r="D362" s="22"/>
      <c r="E362" s="22"/>
      <c r="F362" s="22"/>
      <c r="G362" s="22"/>
      <c r="H362" s="22"/>
      <c r="I362" s="23"/>
      <c r="J362" s="24">
        <v>232</v>
      </c>
      <c r="K362" s="25" t="s">
        <v>701</v>
      </c>
      <c r="L362" s="41">
        <v>46</v>
      </c>
      <c r="O362" s="40"/>
    </row>
    <row r="363" spans="1:15" x14ac:dyDescent="0.35">
      <c r="A363" s="20">
        <v>362</v>
      </c>
      <c r="B363" s="21"/>
      <c r="C363" s="22"/>
      <c r="D363" s="22"/>
      <c r="E363" s="22"/>
      <c r="F363" s="22"/>
      <c r="G363" s="22"/>
      <c r="H363" s="22"/>
      <c r="I363" s="23"/>
      <c r="J363" s="24">
        <v>663</v>
      </c>
      <c r="K363" s="25" t="s">
        <v>932</v>
      </c>
      <c r="L363" s="41">
        <v>46</v>
      </c>
      <c r="O363" s="40"/>
    </row>
    <row r="364" spans="1:15" x14ac:dyDescent="0.35">
      <c r="A364" s="20">
        <v>363</v>
      </c>
      <c r="B364" s="21"/>
      <c r="C364" s="22"/>
      <c r="D364" s="22"/>
      <c r="E364" s="22"/>
      <c r="F364" s="22"/>
      <c r="G364" s="22"/>
      <c r="H364" s="22"/>
      <c r="I364" s="23"/>
      <c r="J364" s="24">
        <v>592</v>
      </c>
      <c r="K364" s="25" t="s">
        <v>903</v>
      </c>
      <c r="L364" s="41">
        <v>46</v>
      </c>
      <c r="O364" s="40"/>
    </row>
    <row r="365" spans="1:15" x14ac:dyDescent="0.35">
      <c r="A365" s="20">
        <v>364</v>
      </c>
      <c r="B365" s="21"/>
      <c r="C365" s="22"/>
      <c r="D365" s="22"/>
      <c r="E365" s="22"/>
      <c r="F365" s="22"/>
      <c r="G365" s="22"/>
      <c r="H365" s="22"/>
      <c r="I365" s="23"/>
      <c r="J365" s="24">
        <v>383</v>
      </c>
      <c r="K365" s="25" t="s">
        <v>776</v>
      </c>
      <c r="L365" s="41">
        <v>46</v>
      </c>
      <c r="O365" s="40"/>
    </row>
    <row r="366" spans="1:15" x14ac:dyDescent="0.35">
      <c r="A366" s="20">
        <v>365</v>
      </c>
      <c r="B366" s="21"/>
      <c r="C366" s="22"/>
      <c r="D366" s="22"/>
      <c r="E366" s="22"/>
      <c r="F366" s="22"/>
      <c r="G366" s="22"/>
      <c r="H366" s="22"/>
      <c r="I366" s="23"/>
      <c r="J366" s="24">
        <v>240</v>
      </c>
      <c r="K366" s="25" t="s">
        <v>705</v>
      </c>
      <c r="L366" s="41">
        <v>46</v>
      </c>
      <c r="O366" s="40"/>
    </row>
    <row r="367" spans="1:15" x14ac:dyDescent="0.35">
      <c r="A367" s="20">
        <v>366</v>
      </c>
      <c r="B367" s="21"/>
      <c r="C367" s="22"/>
      <c r="D367" s="22"/>
      <c r="E367" s="22"/>
      <c r="F367" s="22"/>
      <c r="G367" s="22"/>
      <c r="H367" s="22"/>
      <c r="I367" s="23"/>
      <c r="J367" s="24">
        <v>248</v>
      </c>
      <c r="K367" s="25" t="s">
        <v>711</v>
      </c>
      <c r="L367" s="41">
        <v>46</v>
      </c>
      <c r="O367" s="40"/>
    </row>
    <row r="368" spans="1:15" x14ac:dyDescent="0.35">
      <c r="A368" s="20">
        <v>367</v>
      </c>
      <c r="B368" s="21"/>
      <c r="C368" s="22"/>
      <c r="D368" s="22"/>
      <c r="E368" s="22"/>
      <c r="F368" s="22"/>
      <c r="G368" s="22"/>
      <c r="H368" s="22"/>
      <c r="I368" s="23"/>
      <c r="J368" s="24">
        <v>256</v>
      </c>
      <c r="K368" s="25" t="s">
        <v>713</v>
      </c>
      <c r="L368" s="41">
        <v>46</v>
      </c>
      <c r="O368" s="40"/>
    </row>
    <row r="369" spans="1:15" x14ac:dyDescent="0.35">
      <c r="A369" s="20">
        <v>368</v>
      </c>
      <c r="B369" s="21"/>
      <c r="C369" s="22"/>
      <c r="D369" s="22"/>
      <c r="E369" s="22"/>
      <c r="F369" s="22"/>
      <c r="G369" s="22" t="s">
        <v>1353</v>
      </c>
      <c r="H369" s="22"/>
      <c r="I369" s="23">
        <v>777</v>
      </c>
      <c r="J369" s="24">
        <v>788</v>
      </c>
      <c r="K369" s="25" t="s">
        <v>381</v>
      </c>
      <c r="L369" s="41">
        <v>47</v>
      </c>
      <c r="O369" s="40"/>
    </row>
    <row r="370" spans="1:15" x14ac:dyDescent="0.35">
      <c r="A370" s="20">
        <v>369</v>
      </c>
      <c r="B370" s="21"/>
      <c r="C370" s="22"/>
      <c r="D370" s="22"/>
      <c r="E370" s="22"/>
      <c r="F370" s="22"/>
      <c r="G370" s="22"/>
      <c r="H370" s="22"/>
      <c r="I370" s="23"/>
      <c r="J370" s="24">
        <v>400</v>
      </c>
      <c r="K370" s="25" t="s">
        <v>790</v>
      </c>
      <c r="L370" s="41">
        <v>47</v>
      </c>
      <c r="O370" s="40"/>
    </row>
    <row r="371" spans="1:15" x14ac:dyDescent="0.35">
      <c r="A371" s="20">
        <v>370</v>
      </c>
      <c r="B371" s="21"/>
      <c r="C371" s="22"/>
      <c r="D371" s="22"/>
      <c r="E371" s="22"/>
      <c r="F371" s="22"/>
      <c r="G371" s="22"/>
      <c r="H371" s="22"/>
      <c r="I371" s="23"/>
      <c r="J371" s="24">
        <v>408</v>
      </c>
      <c r="K371" s="25" t="s">
        <v>796</v>
      </c>
      <c r="L371" s="41">
        <v>47</v>
      </c>
      <c r="O371" s="40"/>
    </row>
    <row r="372" spans="1:15" x14ac:dyDescent="0.35">
      <c r="A372" s="20">
        <v>371</v>
      </c>
      <c r="B372" s="21"/>
      <c r="C372" s="22"/>
      <c r="D372" s="22"/>
      <c r="E372" s="22"/>
      <c r="F372" s="22"/>
      <c r="G372" s="22"/>
      <c r="H372" s="22"/>
      <c r="I372" s="23"/>
      <c r="J372" s="24">
        <v>416</v>
      </c>
      <c r="K372" s="25" t="s">
        <v>801</v>
      </c>
      <c r="L372" s="41">
        <v>47</v>
      </c>
      <c r="O372" s="40"/>
    </row>
    <row r="373" spans="1:15" x14ac:dyDescent="0.35">
      <c r="A373" s="20">
        <v>372</v>
      </c>
      <c r="B373" s="21"/>
      <c r="C373" s="22"/>
      <c r="D373" s="22"/>
      <c r="E373" s="22"/>
      <c r="F373" s="22"/>
      <c r="G373" s="22"/>
      <c r="H373" s="22"/>
      <c r="I373" s="23"/>
      <c r="J373" s="24">
        <v>424</v>
      </c>
      <c r="K373" s="25" t="s">
        <v>805</v>
      </c>
      <c r="L373" s="41">
        <v>47</v>
      </c>
      <c r="O373" s="40"/>
    </row>
    <row r="374" spans="1:15" x14ac:dyDescent="0.35">
      <c r="A374" s="20">
        <v>373</v>
      </c>
      <c r="B374" s="21"/>
      <c r="C374" s="22"/>
      <c r="D374" s="22"/>
      <c r="E374" s="22"/>
      <c r="F374" s="22"/>
      <c r="G374" s="22" t="s">
        <v>1354</v>
      </c>
      <c r="H374" s="22"/>
      <c r="I374" s="23">
        <v>555</v>
      </c>
      <c r="J374" s="24">
        <v>566</v>
      </c>
      <c r="K374" s="25" t="s">
        <v>270</v>
      </c>
      <c r="L374" s="41">
        <v>48</v>
      </c>
      <c r="O374" s="40"/>
    </row>
    <row r="375" spans="1:15" x14ac:dyDescent="0.35">
      <c r="A375" s="20">
        <v>374</v>
      </c>
      <c r="B375" s="21"/>
      <c r="C375" s="22"/>
      <c r="D375" s="22"/>
      <c r="E375" s="22"/>
      <c r="F375" s="22"/>
      <c r="G375" s="22"/>
      <c r="H375" s="22"/>
      <c r="I375" s="23"/>
      <c r="J375" s="24">
        <v>517</v>
      </c>
      <c r="K375" s="25" t="s">
        <v>858</v>
      </c>
      <c r="L375" s="41">
        <v>48</v>
      </c>
      <c r="O375" s="40"/>
    </row>
    <row r="376" spans="1:15" x14ac:dyDescent="0.35">
      <c r="A376" s="20">
        <v>375</v>
      </c>
      <c r="B376" s="21"/>
      <c r="C376" s="22"/>
      <c r="D376" s="22"/>
      <c r="E376" s="22"/>
      <c r="F376" s="22"/>
      <c r="G376" s="22"/>
      <c r="H376" s="22"/>
      <c r="I376" s="23"/>
      <c r="J376" s="24">
        <v>1140</v>
      </c>
      <c r="K376" s="25" t="s">
        <v>1166</v>
      </c>
      <c r="L376" s="41">
        <v>48</v>
      </c>
      <c r="O376" s="40"/>
    </row>
    <row r="377" spans="1:15" x14ac:dyDescent="0.35">
      <c r="A377" s="20">
        <v>376</v>
      </c>
      <c r="B377" s="21"/>
      <c r="C377" s="22"/>
      <c r="D377" s="22"/>
      <c r="E377" s="22"/>
      <c r="F377" s="22"/>
      <c r="G377" s="22"/>
      <c r="H377" s="22"/>
      <c r="I377" s="23"/>
      <c r="J377" s="24">
        <v>1141</v>
      </c>
      <c r="K377" s="25" t="s">
        <v>1167</v>
      </c>
      <c r="L377" s="41">
        <v>48</v>
      </c>
      <c r="O377" s="40"/>
    </row>
    <row r="378" spans="1:15" ht="15" thickBot="1" x14ac:dyDescent="0.4">
      <c r="A378" s="26">
        <v>377</v>
      </c>
      <c r="B378" s="27"/>
      <c r="C378" s="28"/>
      <c r="D378" s="28"/>
      <c r="E378" s="28"/>
      <c r="F378" s="28"/>
      <c r="G378" s="28"/>
      <c r="H378" s="28"/>
      <c r="I378" s="29"/>
      <c r="J378" s="30">
        <v>1142</v>
      </c>
      <c r="K378" s="31" t="s">
        <v>1168</v>
      </c>
      <c r="L378" s="41">
        <v>48</v>
      </c>
      <c r="O378" s="40"/>
    </row>
    <row r="379" spans="1:15" x14ac:dyDescent="0.35">
      <c r="A379" s="10">
        <v>378</v>
      </c>
      <c r="B379" s="6"/>
      <c r="C379" s="9"/>
      <c r="D379" s="9"/>
      <c r="E379" s="9"/>
      <c r="F379" s="9" t="s">
        <v>1355</v>
      </c>
      <c r="G379" s="9"/>
      <c r="H379" s="9"/>
      <c r="I379" s="11">
        <v>1077</v>
      </c>
      <c r="J379" s="12">
        <v>1089</v>
      </c>
      <c r="K379" s="12" t="s">
        <v>537</v>
      </c>
      <c r="O379" s="40"/>
    </row>
    <row r="380" spans="1:15" x14ac:dyDescent="0.35">
      <c r="A380" s="10">
        <v>379</v>
      </c>
      <c r="B380" s="6"/>
      <c r="C380" s="9"/>
      <c r="D380" s="9"/>
      <c r="E380" s="9"/>
      <c r="F380" s="9"/>
      <c r="G380" s="9" t="s">
        <v>1356</v>
      </c>
      <c r="H380" s="9"/>
      <c r="I380" s="11"/>
      <c r="J380" s="12">
        <v>1080</v>
      </c>
      <c r="K380" s="12" t="s">
        <v>1141</v>
      </c>
      <c r="O380" s="40"/>
    </row>
    <row r="381" spans="1:15" ht="15" thickBot="1" x14ac:dyDescent="0.4">
      <c r="A381" s="10">
        <v>380</v>
      </c>
      <c r="B381" s="6"/>
      <c r="C381" s="9"/>
      <c r="D381" s="9"/>
      <c r="E381" s="9"/>
      <c r="F381" s="9"/>
      <c r="G381" s="9"/>
      <c r="H381" s="9" t="s">
        <v>1357</v>
      </c>
      <c r="I381" s="11"/>
      <c r="J381" s="12">
        <v>375</v>
      </c>
      <c r="K381" s="12" t="s">
        <v>772</v>
      </c>
      <c r="O381" s="40"/>
    </row>
    <row r="382" spans="1:15" x14ac:dyDescent="0.35">
      <c r="A382" s="14">
        <v>381</v>
      </c>
      <c r="B382" s="15"/>
      <c r="C382" s="16"/>
      <c r="D382" s="16"/>
      <c r="E382" s="16"/>
      <c r="F382" s="16"/>
      <c r="G382" s="16"/>
      <c r="H382" s="16"/>
      <c r="I382" s="17">
        <v>372</v>
      </c>
      <c r="J382" s="18">
        <v>382</v>
      </c>
      <c r="K382" s="19" t="s">
        <v>202</v>
      </c>
      <c r="L382">
        <v>49</v>
      </c>
      <c r="M382" t="s">
        <v>569</v>
      </c>
      <c r="O382" s="40"/>
    </row>
    <row r="383" spans="1:15" x14ac:dyDescent="0.35">
      <c r="A383" s="20">
        <v>382</v>
      </c>
      <c r="B383" s="21"/>
      <c r="C383" s="22"/>
      <c r="D383" s="22"/>
      <c r="E383" s="22"/>
      <c r="F383" s="22"/>
      <c r="G383" s="22"/>
      <c r="H383" s="22"/>
      <c r="I383" s="23"/>
      <c r="J383" s="24">
        <v>391</v>
      </c>
      <c r="K383" s="25" t="s">
        <v>783</v>
      </c>
      <c r="L383">
        <v>49</v>
      </c>
      <c r="O383" s="40"/>
    </row>
    <row r="384" spans="1:15" x14ac:dyDescent="0.35">
      <c r="A384" s="20">
        <v>383</v>
      </c>
      <c r="B384" s="21"/>
      <c r="C384" s="22"/>
      <c r="D384" s="22"/>
      <c r="E384" s="22"/>
      <c r="F384" s="22"/>
      <c r="G384" s="22"/>
      <c r="H384" s="22"/>
      <c r="I384" s="23"/>
      <c r="J384" s="24">
        <v>399</v>
      </c>
      <c r="K384" s="25" t="s">
        <v>789</v>
      </c>
      <c r="L384">
        <v>49</v>
      </c>
      <c r="O384" s="40"/>
    </row>
    <row r="385" spans="1:15" x14ac:dyDescent="0.35">
      <c r="A385" s="20">
        <v>384</v>
      </c>
      <c r="B385" s="21"/>
      <c r="C385" s="22"/>
      <c r="D385" s="22"/>
      <c r="E385" s="22"/>
      <c r="F385" s="22"/>
      <c r="G385" s="22"/>
      <c r="H385" s="22"/>
      <c r="I385" s="23"/>
      <c r="J385" s="24">
        <v>407</v>
      </c>
      <c r="K385" s="25" t="s">
        <v>795</v>
      </c>
      <c r="L385">
        <v>49</v>
      </c>
      <c r="O385" s="40"/>
    </row>
    <row r="386" spans="1:15" ht="15" thickBot="1" x14ac:dyDescent="0.4">
      <c r="A386" s="26">
        <v>385</v>
      </c>
      <c r="B386" s="27"/>
      <c r="C386" s="28"/>
      <c r="D386" s="28"/>
      <c r="E386" s="28"/>
      <c r="F386" s="28"/>
      <c r="G386" s="28"/>
      <c r="H386" s="28"/>
      <c r="I386" s="29"/>
      <c r="J386" s="30">
        <v>415</v>
      </c>
      <c r="K386" s="31" t="s">
        <v>800</v>
      </c>
      <c r="L386">
        <v>49</v>
      </c>
      <c r="O386" s="40"/>
    </row>
    <row r="387" spans="1:15" x14ac:dyDescent="0.35">
      <c r="A387" s="14">
        <v>386</v>
      </c>
      <c r="B387" s="15"/>
      <c r="C387" s="16"/>
      <c r="D387" s="16"/>
      <c r="E387" s="16"/>
      <c r="F387" s="16"/>
      <c r="G387" s="16"/>
      <c r="H387" s="16"/>
      <c r="I387" s="17">
        <v>412</v>
      </c>
      <c r="J387" s="18">
        <v>423</v>
      </c>
      <c r="K387" s="19" t="s">
        <v>213</v>
      </c>
      <c r="L387">
        <v>50</v>
      </c>
      <c r="M387" t="s">
        <v>1479</v>
      </c>
      <c r="O387" s="40"/>
    </row>
    <row r="388" spans="1:15" x14ac:dyDescent="0.35">
      <c r="A388" s="20">
        <v>387</v>
      </c>
      <c r="B388" s="21"/>
      <c r="C388" s="22"/>
      <c r="D388" s="22"/>
      <c r="E388" s="22"/>
      <c r="F388" s="22"/>
      <c r="G388" s="22"/>
      <c r="H388" s="22"/>
      <c r="I388" s="23"/>
      <c r="J388" s="24">
        <v>431</v>
      </c>
      <c r="K388" s="25" t="s">
        <v>809</v>
      </c>
      <c r="L388">
        <v>50</v>
      </c>
      <c r="O388" s="40"/>
    </row>
    <row r="389" spans="1:15" x14ac:dyDescent="0.35">
      <c r="A389" s="20">
        <v>388</v>
      </c>
      <c r="B389" s="21"/>
      <c r="C389" s="22"/>
      <c r="D389" s="22"/>
      <c r="E389" s="22"/>
      <c r="F389" s="22"/>
      <c r="G389" s="22"/>
      <c r="H389" s="22"/>
      <c r="I389" s="23"/>
      <c r="J389" s="24">
        <v>438</v>
      </c>
      <c r="K389" s="25" t="s">
        <v>812</v>
      </c>
      <c r="L389">
        <v>50</v>
      </c>
      <c r="O389" s="40"/>
    </row>
    <row r="390" spans="1:15" x14ac:dyDescent="0.35">
      <c r="A390" s="20">
        <v>389</v>
      </c>
      <c r="B390" s="21"/>
      <c r="C390" s="22"/>
      <c r="D390" s="22"/>
      <c r="E390" s="22"/>
      <c r="F390" s="22"/>
      <c r="G390" s="22"/>
      <c r="H390" s="22"/>
      <c r="I390" s="23"/>
      <c r="J390" s="24">
        <v>446</v>
      </c>
      <c r="K390" s="25" t="s">
        <v>815</v>
      </c>
      <c r="L390">
        <v>50</v>
      </c>
    </row>
    <row r="391" spans="1:15" ht="15" thickBot="1" x14ac:dyDescent="0.4">
      <c r="A391" s="26">
        <v>390</v>
      </c>
      <c r="B391" s="27"/>
      <c r="C391" s="28"/>
      <c r="D391" s="28"/>
      <c r="E391" s="28"/>
      <c r="F391" s="28"/>
      <c r="G391" s="28"/>
      <c r="H391" s="28"/>
      <c r="I391" s="29"/>
      <c r="J391" s="30">
        <v>454</v>
      </c>
      <c r="K391" s="31" t="s">
        <v>818</v>
      </c>
      <c r="L391">
        <v>50</v>
      </c>
    </row>
    <row r="392" spans="1:15" x14ac:dyDescent="0.35">
      <c r="A392" s="14">
        <v>391</v>
      </c>
      <c r="B392" s="15"/>
      <c r="C392" s="16"/>
      <c r="D392" s="16"/>
      <c r="E392" s="16"/>
      <c r="F392" s="16"/>
      <c r="G392" s="16"/>
      <c r="H392" s="16"/>
      <c r="I392" s="17">
        <v>452</v>
      </c>
      <c r="J392" s="18">
        <v>463</v>
      </c>
      <c r="K392" s="19" t="s">
        <v>234</v>
      </c>
      <c r="L392">
        <v>51</v>
      </c>
      <c r="M392" t="s">
        <v>570</v>
      </c>
    </row>
    <row r="393" spans="1:15" x14ac:dyDescent="0.35">
      <c r="A393" s="20">
        <v>392</v>
      </c>
      <c r="B393" s="21"/>
      <c r="C393" s="22"/>
      <c r="D393" s="22"/>
      <c r="E393" s="22"/>
      <c r="F393" s="22"/>
      <c r="G393" s="22"/>
      <c r="H393" s="22"/>
      <c r="I393" s="23"/>
      <c r="J393" s="24">
        <v>471</v>
      </c>
      <c r="K393" s="25" t="s">
        <v>828</v>
      </c>
      <c r="L393">
        <v>51</v>
      </c>
      <c r="O393">
        <v>40</v>
      </c>
    </row>
    <row r="394" spans="1:15" x14ac:dyDescent="0.35">
      <c r="A394" s="20">
        <v>393</v>
      </c>
      <c r="B394" s="21"/>
      <c r="C394" s="22"/>
      <c r="D394" s="22"/>
      <c r="E394" s="22"/>
      <c r="F394" s="22"/>
      <c r="G394" s="22"/>
      <c r="H394" s="22"/>
      <c r="I394" s="23"/>
      <c r="J394" s="24">
        <v>479</v>
      </c>
      <c r="K394" s="25" t="s">
        <v>833</v>
      </c>
      <c r="L394">
        <v>51</v>
      </c>
      <c r="O394">
        <v>40</v>
      </c>
    </row>
    <row r="395" spans="1:15" x14ac:dyDescent="0.35">
      <c r="A395" s="20">
        <v>394</v>
      </c>
      <c r="B395" s="21"/>
      <c r="C395" s="22"/>
      <c r="D395" s="22"/>
      <c r="E395" s="22"/>
      <c r="F395" s="22"/>
      <c r="G395" s="22"/>
      <c r="H395" s="22"/>
      <c r="I395" s="23"/>
      <c r="J395" s="24">
        <v>486</v>
      </c>
      <c r="K395" s="25" t="s">
        <v>837</v>
      </c>
      <c r="L395">
        <v>51</v>
      </c>
      <c r="O395">
        <v>40</v>
      </c>
    </row>
    <row r="396" spans="1:15" x14ac:dyDescent="0.35">
      <c r="A396" s="20">
        <v>395</v>
      </c>
      <c r="B396" s="21"/>
      <c r="C396" s="22"/>
      <c r="D396" s="22"/>
      <c r="E396" s="22"/>
      <c r="F396" s="22"/>
      <c r="G396" s="22"/>
      <c r="H396" s="22"/>
      <c r="I396" s="23"/>
      <c r="J396" s="24">
        <v>495</v>
      </c>
      <c r="K396" s="25" t="s">
        <v>843</v>
      </c>
      <c r="L396">
        <v>51</v>
      </c>
      <c r="O396">
        <v>40</v>
      </c>
    </row>
    <row r="397" spans="1:15" ht="15" thickBot="1" x14ac:dyDescent="0.4">
      <c r="A397" s="26">
        <v>396</v>
      </c>
      <c r="B397" s="27"/>
      <c r="C397" s="28"/>
      <c r="D397" s="28"/>
      <c r="E397" s="28"/>
      <c r="F397" s="28"/>
      <c r="G397" s="28"/>
      <c r="H397" s="28"/>
      <c r="I397" s="29"/>
      <c r="J397" s="30">
        <v>504</v>
      </c>
      <c r="K397" s="31" t="s">
        <v>849</v>
      </c>
      <c r="L397">
        <v>51</v>
      </c>
      <c r="O397">
        <v>41</v>
      </c>
    </row>
    <row r="398" spans="1:15" x14ac:dyDescent="0.35">
      <c r="A398" s="14">
        <v>397</v>
      </c>
      <c r="B398" s="15"/>
      <c r="C398" s="16"/>
      <c r="D398" s="16"/>
      <c r="E398" s="16"/>
      <c r="F398" s="16"/>
      <c r="G398" s="16"/>
      <c r="H398" s="16"/>
      <c r="I398" s="17">
        <v>1206</v>
      </c>
      <c r="J398" s="18">
        <v>2382</v>
      </c>
      <c r="K398" s="19" t="s">
        <v>563</v>
      </c>
      <c r="L398">
        <v>52</v>
      </c>
      <c r="M398" t="s">
        <v>572</v>
      </c>
      <c r="O398">
        <v>41</v>
      </c>
    </row>
    <row r="399" spans="1:15" x14ac:dyDescent="0.35">
      <c r="A399" s="20">
        <v>398</v>
      </c>
      <c r="B399" s="21"/>
      <c r="C399" s="22"/>
      <c r="D399" s="22"/>
      <c r="E399" s="22"/>
      <c r="F399" s="22"/>
      <c r="G399" s="22"/>
      <c r="H399" s="22"/>
      <c r="I399" s="23"/>
      <c r="J399" s="24">
        <v>2407</v>
      </c>
      <c r="K399" s="25" t="s">
        <v>1247</v>
      </c>
      <c r="L399">
        <v>52</v>
      </c>
      <c r="O399">
        <v>41</v>
      </c>
    </row>
    <row r="400" spans="1:15" x14ac:dyDescent="0.35">
      <c r="A400" s="20">
        <v>399</v>
      </c>
      <c r="B400" s="21"/>
      <c r="C400" s="22"/>
      <c r="D400" s="22"/>
      <c r="E400" s="22"/>
      <c r="F400" s="22"/>
      <c r="G400" s="22"/>
      <c r="H400" s="22"/>
      <c r="I400" s="23"/>
      <c r="J400" s="24">
        <v>2391</v>
      </c>
      <c r="K400" s="25" t="s">
        <v>1245</v>
      </c>
      <c r="L400">
        <v>52</v>
      </c>
      <c r="O400">
        <v>41</v>
      </c>
    </row>
    <row r="401" spans="1:15" x14ac:dyDescent="0.35">
      <c r="A401" s="20">
        <v>400</v>
      </c>
      <c r="B401" s="21"/>
      <c r="C401" s="22"/>
      <c r="D401" s="22"/>
      <c r="E401" s="22"/>
      <c r="F401" s="22"/>
      <c r="G401" s="22"/>
      <c r="H401" s="22"/>
      <c r="I401" s="23"/>
      <c r="J401" s="24">
        <v>2399</v>
      </c>
      <c r="K401" s="25" t="s">
        <v>1246</v>
      </c>
      <c r="L401">
        <v>52</v>
      </c>
      <c r="O401">
        <v>42</v>
      </c>
    </row>
    <row r="402" spans="1:15" ht="15" thickBot="1" x14ac:dyDescent="0.4">
      <c r="A402" s="26">
        <v>401</v>
      </c>
      <c r="B402" s="27"/>
      <c r="C402" s="28"/>
      <c r="D402" s="28"/>
      <c r="E402" s="28"/>
      <c r="F402" s="28"/>
      <c r="G402" s="28"/>
      <c r="H402" s="28"/>
      <c r="I402" s="29"/>
      <c r="J402" s="30">
        <v>2415</v>
      </c>
      <c r="K402" s="31" t="s">
        <v>1248</v>
      </c>
      <c r="L402">
        <v>52</v>
      </c>
      <c r="O402">
        <v>42</v>
      </c>
    </row>
    <row r="403" spans="1:15" x14ac:dyDescent="0.35">
      <c r="A403" s="14">
        <v>402</v>
      </c>
      <c r="B403" s="15"/>
      <c r="C403" s="16"/>
      <c r="D403" s="16"/>
      <c r="E403" s="16"/>
      <c r="F403" s="16"/>
      <c r="G403" s="16"/>
      <c r="H403" s="16"/>
      <c r="I403" s="17">
        <v>1211</v>
      </c>
      <c r="J403" s="18">
        <v>2423</v>
      </c>
      <c r="K403" s="19" t="s">
        <v>564</v>
      </c>
      <c r="L403">
        <v>53</v>
      </c>
      <c r="M403" t="s">
        <v>1480</v>
      </c>
      <c r="O403">
        <v>42</v>
      </c>
    </row>
    <row r="404" spans="1:15" x14ac:dyDescent="0.35">
      <c r="A404" s="20">
        <v>403</v>
      </c>
      <c r="B404" s="21"/>
      <c r="C404" s="22"/>
      <c r="D404" s="22"/>
      <c r="E404" s="22"/>
      <c r="F404" s="22"/>
      <c r="G404" s="22"/>
      <c r="H404" s="22"/>
      <c r="I404" s="23"/>
      <c r="J404" s="24">
        <v>2431</v>
      </c>
      <c r="K404" s="25" t="s">
        <v>1249</v>
      </c>
      <c r="L404">
        <v>53</v>
      </c>
      <c r="O404">
        <v>42</v>
      </c>
    </row>
    <row r="405" spans="1:15" x14ac:dyDescent="0.35">
      <c r="A405" s="20">
        <v>404</v>
      </c>
      <c r="B405" s="21"/>
      <c r="C405" s="22"/>
      <c r="D405" s="22"/>
      <c r="E405" s="22"/>
      <c r="F405" s="22"/>
      <c r="G405" s="22"/>
      <c r="H405" s="22"/>
      <c r="I405" s="23"/>
      <c r="J405" s="24">
        <v>2438</v>
      </c>
      <c r="K405" s="25" t="s">
        <v>1250</v>
      </c>
      <c r="L405">
        <v>53</v>
      </c>
      <c r="O405">
        <v>42</v>
      </c>
    </row>
    <row r="406" spans="1:15" x14ac:dyDescent="0.35">
      <c r="A406" s="20">
        <v>405</v>
      </c>
      <c r="B406" s="21"/>
      <c r="C406" s="22"/>
      <c r="D406" s="22"/>
      <c r="E406" s="22"/>
      <c r="F406" s="22"/>
      <c r="G406" s="22"/>
      <c r="H406" s="22"/>
      <c r="I406" s="23"/>
      <c r="J406" s="24">
        <v>2446</v>
      </c>
      <c r="K406" s="25" t="s">
        <v>1251</v>
      </c>
      <c r="L406">
        <v>53</v>
      </c>
      <c r="O406">
        <v>43</v>
      </c>
    </row>
    <row r="407" spans="1:15" ht="15" thickBot="1" x14ac:dyDescent="0.4">
      <c r="A407" s="26">
        <v>406</v>
      </c>
      <c r="B407" s="27"/>
      <c r="C407" s="28"/>
      <c r="D407" s="28"/>
      <c r="E407" s="28"/>
      <c r="F407" s="28"/>
      <c r="G407" s="28"/>
      <c r="H407" s="28"/>
      <c r="I407" s="29"/>
      <c r="J407" s="30">
        <v>2454</v>
      </c>
      <c r="K407" s="31" t="s">
        <v>1252</v>
      </c>
      <c r="L407">
        <v>53</v>
      </c>
      <c r="O407">
        <v>43</v>
      </c>
    </row>
    <row r="408" spans="1:15" x14ac:dyDescent="0.35">
      <c r="A408" s="14">
        <v>407</v>
      </c>
      <c r="B408" s="15"/>
      <c r="C408" s="16"/>
      <c r="D408" s="16"/>
      <c r="E408" s="16"/>
      <c r="F408" s="16"/>
      <c r="G408" s="16"/>
      <c r="H408" s="16"/>
      <c r="I408" s="17">
        <v>1216</v>
      </c>
      <c r="J408" s="18">
        <v>2463</v>
      </c>
      <c r="K408" s="19" t="s">
        <v>565</v>
      </c>
      <c r="L408">
        <v>54</v>
      </c>
      <c r="M408" t="s">
        <v>573</v>
      </c>
      <c r="O408">
        <v>43</v>
      </c>
    </row>
    <row r="409" spans="1:15" x14ac:dyDescent="0.35">
      <c r="A409" s="20">
        <v>408</v>
      </c>
      <c r="B409" s="21"/>
      <c r="C409" s="22"/>
      <c r="D409" s="22"/>
      <c r="E409" s="22"/>
      <c r="F409" s="22"/>
      <c r="G409" s="22"/>
      <c r="H409" s="22"/>
      <c r="I409" s="23"/>
      <c r="J409" s="24">
        <v>2471</v>
      </c>
      <c r="K409" s="25" t="s">
        <v>1253</v>
      </c>
      <c r="L409">
        <v>54</v>
      </c>
      <c r="O409">
        <v>43</v>
      </c>
    </row>
    <row r="410" spans="1:15" x14ac:dyDescent="0.35">
      <c r="A410" s="20">
        <v>409</v>
      </c>
      <c r="B410" s="21"/>
      <c r="C410" s="22"/>
      <c r="D410" s="22"/>
      <c r="E410" s="22"/>
      <c r="F410" s="22"/>
      <c r="G410" s="22"/>
      <c r="H410" s="22"/>
      <c r="I410" s="23"/>
      <c r="J410" s="24">
        <v>2479</v>
      </c>
      <c r="K410" s="25" t="s">
        <v>1254</v>
      </c>
      <c r="L410">
        <v>54</v>
      </c>
      <c r="O410">
        <v>44</v>
      </c>
    </row>
    <row r="411" spans="1:15" x14ac:dyDescent="0.35">
      <c r="A411" s="20">
        <v>410</v>
      </c>
      <c r="B411" s="21"/>
      <c r="C411" s="22"/>
      <c r="D411" s="22"/>
      <c r="E411" s="22"/>
      <c r="F411" s="22"/>
      <c r="G411" s="22"/>
      <c r="H411" s="22"/>
      <c r="I411" s="23"/>
      <c r="J411" s="24">
        <v>2486</v>
      </c>
      <c r="K411" s="25" t="s">
        <v>1255</v>
      </c>
      <c r="L411">
        <v>54</v>
      </c>
      <c r="O411">
        <v>44</v>
      </c>
    </row>
    <row r="412" spans="1:15" x14ac:dyDescent="0.35">
      <c r="A412" s="20">
        <v>411</v>
      </c>
      <c r="B412" s="21"/>
      <c r="C412" s="22"/>
      <c r="D412" s="22"/>
      <c r="E412" s="22"/>
      <c r="F412" s="22"/>
      <c r="G412" s="22"/>
      <c r="H412" s="22"/>
      <c r="I412" s="23"/>
      <c r="J412" s="24">
        <v>2495</v>
      </c>
      <c r="K412" s="25" t="s">
        <v>1256</v>
      </c>
      <c r="L412">
        <v>54</v>
      </c>
      <c r="O412">
        <v>44</v>
      </c>
    </row>
    <row r="413" spans="1:15" ht="15" thickBot="1" x14ac:dyDescent="0.4">
      <c r="A413" s="26">
        <v>412</v>
      </c>
      <c r="B413" s="27"/>
      <c r="C413" s="28"/>
      <c r="D413" s="28"/>
      <c r="E413" s="28"/>
      <c r="F413" s="28"/>
      <c r="G413" s="28"/>
      <c r="H413" s="28"/>
      <c r="I413" s="29"/>
      <c r="J413" s="30">
        <v>2504</v>
      </c>
      <c r="K413" s="31" t="s">
        <v>1257</v>
      </c>
      <c r="L413">
        <v>54</v>
      </c>
      <c r="O413">
        <v>44</v>
      </c>
    </row>
    <row r="414" spans="1:15" x14ac:dyDescent="0.35">
      <c r="A414" s="14">
        <v>413</v>
      </c>
      <c r="B414" s="15"/>
      <c r="C414" s="16"/>
      <c r="D414" s="16"/>
      <c r="E414" s="16"/>
      <c r="F414" s="16"/>
      <c r="G414" s="16"/>
      <c r="H414" s="16" t="s">
        <v>1358</v>
      </c>
      <c r="I414" s="17"/>
      <c r="J414" s="18">
        <v>726</v>
      </c>
      <c r="K414" s="19" t="s">
        <v>356</v>
      </c>
      <c r="L414">
        <v>55</v>
      </c>
      <c r="M414" t="s">
        <v>571</v>
      </c>
      <c r="O414">
        <v>45</v>
      </c>
    </row>
    <row r="415" spans="1:15" x14ac:dyDescent="0.35">
      <c r="A415" s="20">
        <v>414</v>
      </c>
      <c r="B415" s="21"/>
      <c r="C415" s="22"/>
      <c r="D415" s="22"/>
      <c r="E415" s="22"/>
      <c r="F415" s="22"/>
      <c r="G415" s="22"/>
      <c r="H415" s="22"/>
      <c r="I415" s="23">
        <v>1158</v>
      </c>
      <c r="J415" s="24">
        <v>10703</v>
      </c>
      <c r="K415" s="25" t="s">
        <v>560</v>
      </c>
      <c r="L415">
        <v>55</v>
      </c>
      <c r="O415">
        <v>45</v>
      </c>
    </row>
    <row r="416" spans="1:15" x14ac:dyDescent="0.35">
      <c r="A416" s="20">
        <v>415</v>
      </c>
      <c r="B416" s="21"/>
      <c r="C416" s="22"/>
      <c r="D416" s="22"/>
      <c r="E416" s="22"/>
      <c r="F416" s="22"/>
      <c r="G416" s="22"/>
      <c r="H416" s="22"/>
      <c r="I416" s="23">
        <v>1237</v>
      </c>
      <c r="J416" s="24">
        <v>12703</v>
      </c>
      <c r="K416" s="25" t="s">
        <v>560</v>
      </c>
      <c r="L416">
        <v>55</v>
      </c>
      <c r="O416">
        <v>45</v>
      </c>
    </row>
    <row r="417" spans="1:15" x14ac:dyDescent="0.35">
      <c r="A417" s="20">
        <v>416</v>
      </c>
      <c r="B417" s="21"/>
      <c r="C417" s="22"/>
      <c r="D417" s="22"/>
      <c r="E417" s="22"/>
      <c r="F417" s="22"/>
      <c r="G417" s="22"/>
      <c r="H417" s="22"/>
      <c r="I417" s="23">
        <v>1159</v>
      </c>
      <c r="J417" s="24">
        <v>10704</v>
      </c>
      <c r="K417" s="25" t="s">
        <v>561</v>
      </c>
      <c r="L417">
        <v>55</v>
      </c>
      <c r="O417">
        <v>45</v>
      </c>
    </row>
    <row r="418" spans="1:15" x14ac:dyDescent="0.35">
      <c r="A418" s="20">
        <v>417</v>
      </c>
      <c r="B418" s="21"/>
      <c r="C418" s="22"/>
      <c r="D418" s="22"/>
      <c r="E418" s="22"/>
      <c r="F418" s="22"/>
      <c r="G418" s="22"/>
      <c r="H418" s="22"/>
      <c r="I418" s="23"/>
      <c r="J418" s="24">
        <v>12705</v>
      </c>
      <c r="K418" s="25" t="s">
        <v>561</v>
      </c>
      <c r="L418">
        <v>55</v>
      </c>
      <c r="O418">
        <v>45</v>
      </c>
    </row>
    <row r="419" spans="1:15" x14ac:dyDescent="0.35">
      <c r="A419" s="20">
        <v>418</v>
      </c>
      <c r="B419" s="21"/>
      <c r="C419" s="22"/>
      <c r="D419" s="22"/>
      <c r="E419" s="22"/>
      <c r="F419" s="22"/>
      <c r="G419" s="22"/>
      <c r="H419" s="22"/>
      <c r="I419" s="23">
        <v>621</v>
      </c>
      <c r="J419" s="24">
        <v>632</v>
      </c>
      <c r="K419" s="25" t="s">
        <v>308</v>
      </c>
      <c r="L419">
        <v>55</v>
      </c>
      <c r="O419">
        <v>46</v>
      </c>
    </row>
    <row r="420" spans="1:15" x14ac:dyDescent="0.35">
      <c r="A420" s="20">
        <v>419</v>
      </c>
      <c r="B420" s="21"/>
      <c r="C420" s="22"/>
      <c r="D420" s="22"/>
      <c r="E420" s="22"/>
      <c r="F420" s="22"/>
      <c r="G420" s="22"/>
      <c r="H420" s="22"/>
      <c r="I420" s="23"/>
      <c r="J420" s="24">
        <v>12704</v>
      </c>
      <c r="K420" s="25" t="s">
        <v>308</v>
      </c>
      <c r="L420">
        <v>55</v>
      </c>
      <c r="O420">
        <v>46</v>
      </c>
    </row>
    <row r="421" spans="1:15" x14ac:dyDescent="0.35">
      <c r="A421" s="20">
        <v>420</v>
      </c>
      <c r="B421" s="21"/>
      <c r="C421" s="22"/>
      <c r="D421" s="22"/>
      <c r="E421" s="22"/>
      <c r="F421" s="22"/>
      <c r="G421" s="22"/>
      <c r="H421" s="22"/>
      <c r="I421" s="23"/>
      <c r="J421" s="24">
        <v>10702</v>
      </c>
      <c r="K421" s="25" t="s">
        <v>1203</v>
      </c>
      <c r="L421">
        <v>55</v>
      </c>
      <c r="O421">
        <v>46</v>
      </c>
    </row>
    <row r="422" spans="1:15" x14ac:dyDescent="0.35">
      <c r="A422" s="20">
        <v>421</v>
      </c>
      <c r="B422" s="21"/>
      <c r="C422" s="22"/>
      <c r="D422" s="22"/>
      <c r="E422" s="22"/>
      <c r="F422" s="22"/>
      <c r="G422" s="22"/>
      <c r="H422" s="22"/>
      <c r="I422" s="23"/>
      <c r="J422" s="24">
        <v>12702</v>
      </c>
      <c r="K422" s="25" t="s">
        <v>1203</v>
      </c>
      <c r="L422">
        <v>55</v>
      </c>
      <c r="O422">
        <v>46</v>
      </c>
    </row>
    <row r="423" spans="1:15" x14ac:dyDescent="0.35">
      <c r="A423" s="20">
        <v>422</v>
      </c>
      <c r="B423" s="21"/>
      <c r="C423" s="22"/>
      <c r="D423" s="22"/>
      <c r="E423" s="22"/>
      <c r="F423" s="22"/>
      <c r="G423" s="22"/>
      <c r="H423" s="22"/>
      <c r="I423" s="23"/>
      <c r="J423" s="24">
        <v>734</v>
      </c>
      <c r="K423" s="25" t="s">
        <v>969</v>
      </c>
      <c r="L423">
        <v>55</v>
      </c>
      <c r="O423">
        <v>46</v>
      </c>
    </row>
    <row r="424" spans="1:15" x14ac:dyDescent="0.35">
      <c r="A424" s="20">
        <v>423</v>
      </c>
      <c r="B424" s="21"/>
      <c r="C424" s="22"/>
      <c r="D424" s="22"/>
      <c r="E424" s="22"/>
      <c r="F424" s="22"/>
      <c r="G424" s="22"/>
      <c r="H424" s="22"/>
      <c r="I424" s="23"/>
      <c r="J424" s="24">
        <v>742</v>
      </c>
      <c r="K424" s="25" t="s">
        <v>975</v>
      </c>
      <c r="L424">
        <v>55</v>
      </c>
      <c r="O424">
        <v>46</v>
      </c>
    </row>
    <row r="425" spans="1:15" x14ac:dyDescent="0.35">
      <c r="A425" s="20">
        <v>424</v>
      </c>
      <c r="B425" s="21"/>
      <c r="C425" s="22"/>
      <c r="D425" s="22"/>
      <c r="E425" s="22"/>
      <c r="F425" s="22"/>
      <c r="G425" s="22"/>
      <c r="H425" s="22"/>
      <c r="I425" s="23"/>
      <c r="J425" s="24">
        <v>751</v>
      </c>
      <c r="K425" s="25" t="s">
        <v>982</v>
      </c>
      <c r="L425">
        <v>55</v>
      </c>
      <c r="O425">
        <v>46</v>
      </c>
    </row>
    <row r="426" spans="1:15" x14ac:dyDescent="0.35">
      <c r="A426" s="20">
        <v>425</v>
      </c>
      <c r="B426" s="21"/>
      <c r="C426" s="22"/>
      <c r="D426" s="22"/>
      <c r="E426" s="22"/>
      <c r="F426" s="22"/>
      <c r="G426" s="22"/>
      <c r="H426" s="22"/>
      <c r="I426" s="23"/>
      <c r="J426" s="24">
        <v>758</v>
      </c>
      <c r="K426" s="25" t="s">
        <v>986</v>
      </c>
      <c r="L426">
        <v>55</v>
      </c>
      <c r="O426">
        <v>46</v>
      </c>
    </row>
    <row r="427" spans="1:15" x14ac:dyDescent="0.35">
      <c r="A427" s="20">
        <v>426</v>
      </c>
      <c r="B427" s="21"/>
      <c r="C427" s="22"/>
      <c r="D427" s="22"/>
      <c r="E427" s="22"/>
      <c r="F427" s="22"/>
      <c r="G427" s="22"/>
      <c r="H427" s="22"/>
      <c r="I427" s="23"/>
      <c r="J427" s="24">
        <v>766</v>
      </c>
      <c r="K427" s="25" t="s">
        <v>992</v>
      </c>
      <c r="L427">
        <v>55</v>
      </c>
      <c r="O427">
        <v>46</v>
      </c>
    </row>
    <row r="428" spans="1:15" x14ac:dyDescent="0.35">
      <c r="A428" s="20">
        <v>427</v>
      </c>
      <c r="B428" s="21"/>
      <c r="C428" s="22"/>
      <c r="D428" s="22"/>
      <c r="E428" s="22"/>
      <c r="F428" s="22"/>
      <c r="G428" s="22"/>
      <c r="H428" s="22"/>
      <c r="I428" s="23"/>
      <c r="J428" s="24">
        <v>775</v>
      </c>
      <c r="K428" s="25" t="s">
        <v>996</v>
      </c>
      <c r="L428">
        <v>55</v>
      </c>
      <c r="O428">
        <v>46</v>
      </c>
    </row>
    <row r="429" spans="1:15" x14ac:dyDescent="0.35">
      <c r="A429" s="20">
        <v>428</v>
      </c>
      <c r="B429" s="21"/>
      <c r="C429" s="22"/>
      <c r="D429" s="22"/>
      <c r="E429" s="22"/>
      <c r="F429" s="22"/>
      <c r="G429" s="22"/>
      <c r="H429" s="22"/>
      <c r="I429" s="23"/>
      <c r="J429" s="24">
        <v>782</v>
      </c>
      <c r="K429" s="25" t="s">
        <v>999</v>
      </c>
      <c r="L429">
        <v>55</v>
      </c>
      <c r="O429">
        <v>46</v>
      </c>
    </row>
    <row r="430" spans="1:15" x14ac:dyDescent="0.35">
      <c r="A430" s="20">
        <v>429</v>
      </c>
      <c r="B430" s="21"/>
      <c r="C430" s="22"/>
      <c r="D430" s="22"/>
      <c r="E430" s="22"/>
      <c r="F430" s="22"/>
      <c r="G430" s="22"/>
      <c r="H430" s="22"/>
      <c r="I430" s="23"/>
      <c r="J430" s="24">
        <v>790</v>
      </c>
      <c r="K430" s="25" t="s">
        <v>1003</v>
      </c>
      <c r="L430">
        <v>55</v>
      </c>
      <c r="O430">
        <v>46</v>
      </c>
    </row>
    <row r="431" spans="1:15" x14ac:dyDescent="0.35">
      <c r="A431" s="20">
        <v>430</v>
      </c>
      <c r="B431" s="21"/>
      <c r="C431" s="22"/>
      <c r="D431" s="22"/>
      <c r="E431" s="22"/>
      <c r="F431" s="22"/>
      <c r="G431" s="22"/>
      <c r="H431" s="22"/>
      <c r="I431" s="23"/>
      <c r="J431" s="24">
        <v>799</v>
      </c>
      <c r="K431" s="25" t="s">
        <v>1007</v>
      </c>
      <c r="L431">
        <v>55</v>
      </c>
      <c r="O431">
        <v>46</v>
      </c>
    </row>
    <row r="432" spans="1:15" x14ac:dyDescent="0.35">
      <c r="A432" s="20">
        <v>431</v>
      </c>
      <c r="B432" s="21"/>
      <c r="C432" s="22"/>
      <c r="D432" s="22"/>
      <c r="E432" s="22"/>
      <c r="F432" s="22"/>
      <c r="G432" s="22"/>
      <c r="H432" s="22"/>
      <c r="I432" s="23"/>
      <c r="J432" s="24">
        <v>807</v>
      </c>
      <c r="K432" s="25" t="s">
        <v>1009</v>
      </c>
      <c r="L432">
        <v>55</v>
      </c>
      <c r="O432">
        <v>46</v>
      </c>
    </row>
    <row r="433" spans="1:15" x14ac:dyDescent="0.35">
      <c r="A433" s="20">
        <v>432</v>
      </c>
      <c r="B433" s="21"/>
      <c r="C433" s="22"/>
      <c r="D433" s="22"/>
      <c r="E433" s="22"/>
      <c r="F433" s="22"/>
      <c r="G433" s="22"/>
      <c r="H433" s="22"/>
      <c r="I433" s="23"/>
      <c r="J433" s="24">
        <v>815</v>
      </c>
      <c r="K433" s="25" t="s">
        <v>1015</v>
      </c>
      <c r="L433">
        <v>55</v>
      </c>
      <c r="O433">
        <v>46</v>
      </c>
    </row>
    <row r="434" spans="1:15" ht="15" thickBot="1" x14ac:dyDescent="0.4">
      <c r="A434" s="26">
        <v>433</v>
      </c>
      <c r="B434" s="27"/>
      <c r="C434" s="28"/>
      <c r="D434" s="28"/>
      <c r="E434" s="28"/>
      <c r="F434" s="28"/>
      <c r="G434" s="28"/>
      <c r="H434" s="28"/>
      <c r="I434" s="29"/>
      <c r="J434" s="30">
        <v>823</v>
      </c>
      <c r="K434" s="31" t="s">
        <v>1020</v>
      </c>
      <c r="L434">
        <v>55</v>
      </c>
      <c r="O434">
        <v>46</v>
      </c>
    </row>
    <row r="435" spans="1:15" x14ac:dyDescent="0.35">
      <c r="A435" s="14">
        <v>434</v>
      </c>
      <c r="B435" s="15"/>
      <c r="C435" s="16"/>
      <c r="D435" s="16"/>
      <c r="E435" s="16"/>
      <c r="F435" s="16"/>
      <c r="G435" s="16"/>
      <c r="H435" s="16"/>
      <c r="I435" s="17"/>
      <c r="J435" s="18">
        <v>2726</v>
      </c>
      <c r="K435" s="19" t="s">
        <v>567</v>
      </c>
      <c r="L435">
        <v>56</v>
      </c>
      <c r="M435" t="s">
        <v>574</v>
      </c>
      <c r="O435">
        <v>46</v>
      </c>
    </row>
    <row r="436" spans="1:15" x14ac:dyDescent="0.35">
      <c r="A436" s="20">
        <v>435</v>
      </c>
      <c r="B436" s="21"/>
      <c r="C436" s="22"/>
      <c r="D436" s="22"/>
      <c r="E436" s="22"/>
      <c r="F436" s="22"/>
      <c r="G436" s="22"/>
      <c r="H436" s="22"/>
      <c r="I436" s="23"/>
      <c r="J436" s="24">
        <v>12706</v>
      </c>
      <c r="K436" s="25" t="s">
        <v>1270</v>
      </c>
      <c r="L436">
        <v>56</v>
      </c>
      <c r="O436">
        <v>46</v>
      </c>
    </row>
    <row r="437" spans="1:15" x14ac:dyDescent="0.35">
      <c r="A437" s="20">
        <v>436</v>
      </c>
      <c r="B437" s="21"/>
      <c r="C437" s="22"/>
      <c r="D437" s="22"/>
      <c r="E437" s="22"/>
      <c r="F437" s="22"/>
      <c r="G437" s="22"/>
      <c r="H437" s="22"/>
      <c r="I437" s="23"/>
      <c r="J437" s="24">
        <v>12707</v>
      </c>
      <c r="K437" s="25" t="s">
        <v>1271</v>
      </c>
      <c r="L437">
        <v>56</v>
      </c>
      <c r="O437">
        <v>46</v>
      </c>
    </row>
    <row r="438" spans="1:15" x14ac:dyDescent="0.35">
      <c r="A438" s="20">
        <v>437</v>
      </c>
      <c r="B438" s="21"/>
      <c r="C438" s="22"/>
      <c r="D438" s="22"/>
      <c r="E438" s="22"/>
      <c r="F438" s="22"/>
      <c r="G438" s="22"/>
      <c r="H438" s="22"/>
      <c r="I438" s="23">
        <v>1222</v>
      </c>
      <c r="J438" s="24">
        <v>2632</v>
      </c>
      <c r="K438" s="25" t="s">
        <v>566</v>
      </c>
      <c r="L438">
        <v>56</v>
      </c>
      <c r="O438">
        <v>46</v>
      </c>
    </row>
    <row r="439" spans="1:15" x14ac:dyDescent="0.35">
      <c r="A439" s="20">
        <v>438</v>
      </c>
      <c r="B439" s="21"/>
      <c r="C439" s="22"/>
      <c r="D439" s="22"/>
      <c r="E439" s="22"/>
      <c r="F439" s="22"/>
      <c r="G439" s="22"/>
      <c r="H439" s="22"/>
      <c r="I439" s="23">
        <v>1238</v>
      </c>
      <c r="J439" s="24">
        <v>12704</v>
      </c>
      <c r="K439" s="25" t="s">
        <v>568</v>
      </c>
      <c r="L439">
        <v>56</v>
      </c>
      <c r="O439">
        <v>47</v>
      </c>
    </row>
    <row r="440" spans="1:15" x14ac:dyDescent="0.35">
      <c r="A440" s="20">
        <v>439</v>
      </c>
      <c r="B440" s="21"/>
      <c r="C440" s="22"/>
      <c r="D440" s="22"/>
      <c r="E440" s="22"/>
      <c r="F440" s="22"/>
      <c r="G440" s="22"/>
      <c r="H440" s="22"/>
      <c r="I440" s="23"/>
      <c r="J440" s="24">
        <v>2734</v>
      </c>
      <c r="K440" s="25" t="s">
        <v>1258</v>
      </c>
      <c r="L440">
        <v>56</v>
      </c>
      <c r="O440">
        <v>47</v>
      </c>
    </row>
    <row r="441" spans="1:15" x14ac:dyDescent="0.35">
      <c r="A441" s="20">
        <v>440</v>
      </c>
      <c r="B441" s="21"/>
      <c r="C441" s="22"/>
      <c r="D441" s="22"/>
      <c r="E441" s="22"/>
      <c r="F441" s="22"/>
      <c r="G441" s="22"/>
      <c r="H441" s="22"/>
      <c r="I441" s="23"/>
      <c r="J441" s="24">
        <v>2742</v>
      </c>
      <c r="K441" s="25" t="s">
        <v>1259</v>
      </c>
      <c r="L441">
        <v>56</v>
      </c>
      <c r="O441">
        <v>47</v>
      </c>
    </row>
    <row r="442" spans="1:15" x14ac:dyDescent="0.35">
      <c r="A442" s="20">
        <v>441</v>
      </c>
      <c r="B442" s="21"/>
      <c r="C442" s="22"/>
      <c r="D442" s="22"/>
      <c r="E442" s="22"/>
      <c r="F442" s="22"/>
      <c r="G442" s="22"/>
      <c r="H442" s="22"/>
      <c r="I442" s="23"/>
      <c r="J442" s="24">
        <v>2751</v>
      </c>
      <c r="K442" s="25" t="s">
        <v>1260</v>
      </c>
      <c r="L442">
        <v>56</v>
      </c>
      <c r="O442">
        <v>47</v>
      </c>
    </row>
    <row r="443" spans="1:15" x14ac:dyDescent="0.35">
      <c r="A443" s="20">
        <v>442</v>
      </c>
      <c r="B443" s="21"/>
      <c r="C443" s="22"/>
      <c r="D443" s="22"/>
      <c r="E443" s="22"/>
      <c r="F443" s="22"/>
      <c r="G443" s="22"/>
      <c r="H443" s="22"/>
      <c r="I443" s="23"/>
      <c r="J443" s="24">
        <v>2758</v>
      </c>
      <c r="K443" s="25" t="s">
        <v>1261</v>
      </c>
      <c r="L443">
        <v>56</v>
      </c>
      <c r="O443">
        <v>47</v>
      </c>
    </row>
    <row r="444" spans="1:15" x14ac:dyDescent="0.35">
      <c r="A444" s="20">
        <v>443</v>
      </c>
      <c r="B444" s="21"/>
      <c r="C444" s="22"/>
      <c r="D444" s="22"/>
      <c r="E444" s="22"/>
      <c r="F444" s="22"/>
      <c r="G444" s="22"/>
      <c r="H444" s="22"/>
      <c r="I444" s="23"/>
      <c r="J444" s="24">
        <v>2766</v>
      </c>
      <c r="K444" s="25" t="s">
        <v>1262</v>
      </c>
      <c r="L444">
        <v>56</v>
      </c>
      <c r="O444">
        <v>47</v>
      </c>
    </row>
    <row r="445" spans="1:15" x14ac:dyDescent="0.35">
      <c r="A445" s="20">
        <v>444</v>
      </c>
      <c r="B445" s="21"/>
      <c r="C445" s="22"/>
      <c r="D445" s="22"/>
      <c r="E445" s="22"/>
      <c r="F445" s="22"/>
      <c r="G445" s="22"/>
      <c r="H445" s="22"/>
      <c r="I445" s="23"/>
      <c r="J445" s="24">
        <v>2775</v>
      </c>
      <c r="K445" s="25" t="s">
        <v>1263</v>
      </c>
      <c r="L445">
        <v>56</v>
      </c>
      <c r="O445">
        <v>47</v>
      </c>
    </row>
    <row r="446" spans="1:15" x14ac:dyDescent="0.35">
      <c r="A446" s="20">
        <v>445</v>
      </c>
      <c r="B446" s="21"/>
      <c r="C446" s="22"/>
      <c r="D446" s="22"/>
      <c r="E446" s="22"/>
      <c r="F446" s="22"/>
      <c r="G446" s="22"/>
      <c r="H446" s="22"/>
      <c r="I446" s="23"/>
      <c r="J446" s="24">
        <v>2782</v>
      </c>
      <c r="K446" s="25" t="s">
        <v>1264</v>
      </c>
      <c r="L446">
        <v>56</v>
      </c>
      <c r="O446">
        <v>47</v>
      </c>
    </row>
    <row r="447" spans="1:15" x14ac:dyDescent="0.35">
      <c r="A447" s="20">
        <v>446</v>
      </c>
      <c r="B447" s="21"/>
      <c r="C447" s="22"/>
      <c r="D447" s="22"/>
      <c r="E447" s="22"/>
      <c r="F447" s="22"/>
      <c r="G447" s="22"/>
      <c r="H447" s="22"/>
      <c r="I447" s="23"/>
      <c r="J447" s="24">
        <v>2790</v>
      </c>
      <c r="K447" s="25" t="s">
        <v>1265</v>
      </c>
      <c r="L447">
        <v>56</v>
      </c>
      <c r="O447">
        <v>47</v>
      </c>
    </row>
    <row r="448" spans="1:15" x14ac:dyDescent="0.35">
      <c r="A448" s="20">
        <v>447</v>
      </c>
      <c r="B448" s="21"/>
      <c r="C448" s="22"/>
      <c r="D448" s="22"/>
      <c r="E448" s="22"/>
      <c r="F448" s="22"/>
      <c r="G448" s="22"/>
      <c r="H448" s="22"/>
      <c r="I448" s="23"/>
      <c r="J448" s="24">
        <v>2799</v>
      </c>
      <c r="K448" s="25" t="s">
        <v>1266</v>
      </c>
      <c r="L448">
        <v>56</v>
      </c>
      <c r="O448">
        <v>47</v>
      </c>
    </row>
    <row r="449" spans="1:15" x14ac:dyDescent="0.35">
      <c r="A449" s="20">
        <v>448</v>
      </c>
      <c r="B449" s="21"/>
      <c r="C449" s="22"/>
      <c r="D449" s="22"/>
      <c r="E449" s="22"/>
      <c r="F449" s="22"/>
      <c r="G449" s="22"/>
      <c r="H449" s="22"/>
      <c r="I449" s="23"/>
      <c r="J449" s="24">
        <v>2807</v>
      </c>
      <c r="K449" s="25" t="s">
        <v>1267</v>
      </c>
      <c r="L449">
        <v>56</v>
      </c>
      <c r="O449">
        <v>47</v>
      </c>
    </row>
    <row r="450" spans="1:15" x14ac:dyDescent="0.35">
      <c r="A450" s="20">
        <v>449</v>
      </c>
      <c r="B450" s="21"/>
      <c r="C450" s="22"/>
      <c r="D450" s="22"/>
      <c r="E450" s="22"/>
      <c r="F450" s="22"/>
      <c r="G450" s="22"/>
      <c r="H450" s="22"/>
      <c r="I450" s="23"/>
      <c r="J450" s="24">
        <v>2815</v>
      </c>
      <c r="K450" s="25" t="s">
        <v>1268</v>
      </c>
      <c r="L450">
        <v>56</v>
      </c>
      <c r="O450">
        <v>47</v>
      </c>
    </row>
    <row r="451" spans="1:15" ht="15" thickBot="1" x14ac:dyDescent="0.4">
      <c r="A451" s="26">
        <v>450</v>
      </c>
      <c r="B451" s="27"/>
      <c r="C451" s="28"/>
      <c r="D451" s="28"/>
      <c r="E451" s="28"/>
      <c r="F451" s="28"/>
      <c r="G451" s="28"/>
      <c r="H451" s="28"/>
      <c r="I451" s="29"/>
      <c r="J451" s="30">
        <v>2823</v>
      </c>
      <c r="K451" s="31" t="s">
        <v>1269</v>
      </c>
      <c r="L451">
        <v>56</v>
      </c>
      <c r="O451">
        <v>47</v>
      </c>
    </row>
    <row r="452" spans="1:15" x14ac:dyDescent="0.35">
      <c r="A452" s="10">
        <v>451</v>
      </c>
      <c r="B452" s="6"/>
      <c r="C452" s="9"/>
      <c r="D452" s="9"/>
      <c r="E452" s="9"/>
      <c r="F452" s="9"/>
      <c r="G452" s="9"/>
      <c r="H452" s="9" t="s">
        <v>485</v>
      </c>
      <c r="I452" s="11">
        <v>971</v>
      </c>
      <c r="J452" s="12">
        <v>982</v>
      </c>
      <c r="K452" s="12" t="s">
        <v>485</v>
      </c>
      <c r="O452">
        <v>47</v>
      </c>
    </row>
    <row r="453" spans="1:15" x14ac:dyDescent="0.35">
      <c r="A453" s="10">
        <v>452</v>
      </c>
      <c r="B453" s="6"/>
      <c r="C453" s="9"/>
      <c r="D453" s="9"/>
      <c r="E453" s="9"/>
      <c r="F453" s="9"/>
      <c r="G453" s="9"/>
      <c r="H453" s="9" t="s">
        <v>31</v>
      </c>
      <c r="I453" s="11">
        <v>17</v>
      </c>
      <c r="J453" s="12">
        <v>19</v>
      </c>
      <c r="K453" s="12" t="s">
        <v>31</v>
      </c>
      <c r="O453">
        <v>47</v>
      </c>
    </row>
    <row r="454" spans="1:15" ht="15" thickBot="1" x14ac:dyDescent="0.4">
      <c r="A454" s="10">
        <v>453</v>
      </c>
      <c r="B454" s="6"/>
      <c r="C454" s="9"/>
      <c r="D454" s="9"/>
      <c r="E454" s="9"/>
      <c r="F454" s="9" t="s">
        <v>1359</v>
      </c>
      <c r="G454" s="9"/>
      <c r="H454" s="9"/>
      <c r="I454" s="11"/>
      <c r="J454" s="12">
        <v>822</v>
      </c>
      <c r="K454" s="12" t="s">
        <v>1019</v>
      </c>
      <c r="O454">
        <v>47</v>
      </c>
    </row>
    <row r="455" spans="1:15" x14ac:dyDescent="0.35">
      <c r="A455" s="14">
        <v>454</v>
      </c>
      <c r="B455" s="15"/>
      <c r="C455" s="16"/>
      <c r="D455" s="16"/>
      <c r="E455" s="16"/>
      <c r="F455" s="16"/>
      <c r="G455" s="16" t="s">
        <v>1360</v>
      </c>
      <c r="H455" s="16"/>
      <c r="I455" s="17"/>
      <c r="J455" s="18">
        <v>909</v>
      </c>
      <c r="K455" s="19" t="s">
        <v>1063</v>
      </c>
      <c r="L455">
        <v>57</v>
      </c>
      <c r="M455" t="s">
        <v>1481</v>
      </c>
    </row>
    <row r="456" spans="1:15" x14ac:dyDescent="0.35">
      <c r="A456" s="20">
        <v>455</v>
      </c>
      <c r="B456" s="21"/>
      <c r="C456" s="22"/>
      <c r="D456" s="22"/>
      <c r="E456" s="22"/>
      <c r="F456" s="22"/>
      <c r="G456" s="22"/>
      <c r="H456" s="22"/>
      <c r="I456" s="23">
        <v>907</v>
      </c>
      <c r="J456" s="24">
        <v>918</v>
      </c>
      <c r="K456" s="25" t="s">
        <v>445</v>
      </c>
      <c r="L456">
        <v>57</v>
      </c>
    </row>
    <row r="457" spans="1:15" x14ac:dyDescent="0.35">
      <c r="A457" s="20">
        <v>456</v>
      </c>
      <c r="B457" s="21"/>
      <c r="C457" s="22"/>
      <c r="D457" s="22"/>
      <c r="E457" s="22"/>
      <c r="F457" s="22"/>
      <c r="G457" s="22"/>
      <c r="H457" s="22"/>
      <c r="I457" s="23"/>
      <c r="J457" s="24">
        <v>1121</v>
      </c>
      <c r="K457" s="25" t="s">
        <v>1160</v>
      </c>
      <c r="L457">
        <v>57</v>
      </c>
    </row>
    <row r="458" spans="1:15" x14ac:dyDescent="0.35">
      <c r="A458" s="20">
        <v>457</v>
      </c>
      <c r="B458" s="21"/>
      <c r="C458" s="22"/>
      <c r="D458" s="22"/>
      <c r="E458" s="22"/>
      <c r="F458" s="22"/>
      <c r="G458" s="22"/>
      <c r="H458" s="22"/>
      <c r="I458" s="23"/>
      <c r="J458" s="24">
        <v>20</v>
      </c>
      <c r="K458" s="25" t="s">
        <v>592</v>
      </c>
      <c r="L458">
        <v>57</v>
      </c>
      <c r="O458">
        <v>48</v>
      </c>
    </row>
    <row r="459" spans="1:15" x14ac:dyDescent="0.35">
      <c r="A459" s="20">
        <v>458</v>
      </c>
      <c r="B459" s="21"/>
      <c r="C459" s="22"/>
      <c r="D459" s="22"/>
      <c r="E459" s="22"/>
      <c r="F459" s="22"/>
      <c r="G459" s="22"/>
      <c r="H459" s="22"/>
      <c r="I459" s="23"/>
      <c r="J459" s="24">
        <v>999</v>
      </c>
      <c r="K459" s="25" t="s">
        <v>1101</v>
      </c>
      <c r="L459">
        <v>57</v>
      </c>
      <c r="O459">
        <v>48</v>
      </c>
    </row>
    <row r="460" spans="1:15" x14ac:dyDescent="0.35">
      <c r="A460" s="20">
        <v>459</v>
      </c>
      <c r="B460" s="21"/>
      <c r="C460" s="22"/>
      <c r="D460" s="22"/>
      <c r="E460" s="22"/>
      <c r="F460" s="22"/>
      <c r="G460" s="22"/>
      <c r="H460" s="22"/>
      <c r="I460" s="23"/>
      <c r="J460" s="24">
        <v>715</v>
      </c>
      <c r="K460" s="25" t="s">
        <v>957</v>
      </c>
      <c r="L460">
        <v>57</v>
      </c>
      <c r="O460">
        <v>48</v>
      </c>
    </row>
    <row r="461" spans="1:15" x14ac:dyDescent="0.35">
      <c r="A461" s="20">
        <v>460</v>
      </c>
      <c r="B461" s="21"/>
      <c r="C461" s="22"/>
      <c r="D461" s="22"/>
      <c r="E461" s="22"/>
      <c r="F461" s="22"/>
      <c r="G461" s="22"/>
      <c r="H461" s="22"/>
      <c r="I461" s="23"/>
      <c r="J461" s="24">
        <v>764</v>
      </c>
      <c r="K461" s="25" t="s">
        <v>991</v>
      </c>
      <c r="L461">
        <v>57</v>
      </c>
      <c r="O461">
        <v>48</v>
      </c>
    </row>
    <row r="462" spans="1:15" x14ac:dyDescent="0.35">
      <c r="A462" s="20">
        <v>461</v>
      </c>
      <c r="B462" s="21"/>
      <c r="C462" s="22"/>
      <c r="D462" s="22"/>
      <c r="E462" s="22"/>
      <c r="F462" s="22"/>
      <c r="G462" s="22"/>
      <c r="H462" s="22"/>
      <c r="I462" s="23"/>
      <c r="J462" s="24">
        <v>52</v>
      </c>
      <c r="K462" s="25" t="s">
        <v>609</v>
      </c>
      <c r="L462">
        <v>57</v>
      </c>
      <c r="O462">
        <v>48</v>
      </c>
    </row>
    <row r="463" spans="1:15" x14ac:dyDescent="0.35">
      <c r="A463" s="20">
        <v>462</v>
      </c>
      <c r="B463" s="21"/>
      <c r="C463" s="22"/>
      <c r="D463" s="22"/>
      <c r="E463" s="22"/>
      <c r="F463" s="22"/>
      <c r="G463" s="22"/>
      <c r="H463" s="22"/>
      <c r="I463" s="23"/>
      <c r="J463" s="24">
        <v>92</v>
      </c>
      <c r="K463" s="25" t="s">
        <v>633</v>
      </c>
      <c r="L463">
        <v>57</v>
      </c>
      <c r="O463">
        <v>48</v>
      </c>
    </row>
    <row r="464" spans="1:15" x14ac:dyDescent="0.35">
      <c r="A464" s="20">
        <v>463</v>
      </c>
      <c r="B464" s="21"/>
      <c r="C464" s="22"/>
      <c r="D464" s="22"/>
      <c r="E464" s="22"/>
      <c r="F464" s="22"/>
      <c r="G464" s="22"/>
      <c r="H464" s="22"/>
      <c r="I464" s="23"/>
      <c r="J464" s="24">
        <v>312</v>
      </c>
      <c r="K464" s="25" t="s">
        <v>738</v>
      </c>
      <c r="L464">
        <v>57</v>
      </c>
      <c r="O464">
        <v>48</v>
      </c>
    </row>
    <row r="465" spans="1:15" x14ac:dyDescent="0.35">
      <c r="A465" s="20">
        <v>464</v>
      </c>
      <c r="B465" s="21"/>
      <c r="C465" s="22"/>
      <c r="D465" s="22"/>
      <c r="E465" s="22"/>
      <c r="F465" s="22"/>
      <c r="G465" s="22"/>
      <c r="H465" s="22"/>
      <c r="I465" s="23"/>
      <c r="J465" s="24">
        <v>139</v>
      </c>
      <c r="K465" s="25" t="s">
        <v>655</v>
      </c>
      <c r="L465">
        <v>57</v>
      </c>
      <c r="O465">
        <v>48</v>
      </c>
    </row>
    <row r="466" spans="1:15" x14ac:dyDescent="0.35">
      <c r="A466" s="20">
        <v>465</v>
      </c>
      <c r="B466" s="21"/>
      <c r="C466" s="22"/>
      <c r="D466" s="22"/>
      <c r="E466" s="22"/>
      <c r="F466" s="22"/>
      <c r="G466" s="22"/>
      <c r="H466" s="22"/>
      <c r="I466" s="23"/>
      <c r="J466" s="24">
        <v>387</v>
      </c>
      <c r="K466" s="25" t="s">
        <v>780</v>
      </c>
      <c r="L466">
        <v>57</v>
      </c>
      <c r="O466">
        <v>48</v>
      </c>
    </row>
    <row r="467" spans="1:15" x14ac:dyDescent="0.35">
      <c r="A467" s="20">
        <v>466</v>
      </c>
      <c r="B467" s="21"/>
      <c r="C467" s="22"/>
      <c r="D467" s="22"/>
      <c r="E467" s="22"/>
      <c r="F467" s="22"/>
      <c r="G467" s="22"/>
      <c r="H467" s="22"/>
      <c r="I467" s="23"/>
      <c r="J467" s="24">
        <v>28</v>
      </c>
      <c r="K467" s="25" t="s">
        <v>596</v>
      </c>
      <c r="L467">
        <v>57</v>
      </c>
      <c r="O467">
        <v>48</v>
      </c>
    </row>
    <row r="468" spans="1:15" ht="15" thickBot="1" x14ac:dyDescent="0.4">
      <c r="A468" s="26">
        <v>467</v>
      </c>
      <c r="B468" s="27"/>
      <c r="C468" s="28"/>
      <c r="D468" s="28"/>
      <c r="E468" s="28"/>
      <c r="F468" s="28"/>
      <c r="G468" s="28"/>
      <c r="H468" s="28"/>
      <c r="I468" s="29"/>
      <c r="J468" s="30">
        <v>60</v>
      </c>
      <c r="K468" s="31" t="s">
        <v>616</v>
      </c>
      <c r="L468">
        <v>57</v>
      </c>
      <c r="O468">
        <v>48</v>
      </c>
    </row>
    <row r="469" spans="1:15" x14ac:dyDescent="0.35">
      <c r="A469" s="14">
        <v>468</v>
      </c>
      <c r="B469" s="15"/>
      <c r="C469" s="16"/>
      <c r="D469" s="16"/>
      <c r="E469" s="16"/>
      <c r="F469" s="16"/>
      <c r="G469" s="16"/>
      <c r="H469" s="16"/>
      <c r="I469" s="17">
        <v>915</v>
      </c>
      <c r="J469" s="18">
        <v>926</v>
      </c>
      <c r="K469" s="19" t="s">
        <v>449</v>
      </c>
      <c r="L469">
        <v>58</v>
      </c>
      <c r="M469" t="s">
        <v>1482</v>
      </c>
      <c r="O469">
        <v>48</v>
      </c>
    </row>
    <row r="470" spans="1:15" x14ac:dyDescent="0.35">
      <c r="A470" s="20">
        <v>469</v>
      </c>
      <c r="B470" s="21"/>
      <c r="C470" s="22"/>
      <c r="D470" s="22"/>
      <c r="E470" s="22"/>
      <c r="F470" s="22"/>
      <c r="G470" s="22"/>
      <c r="H470" s="22"/>
      <c r="I470" s="23"/>
      <c r="J470" s="24">
        <v>526</v>
      </c>
      <c r="K470" s="25" t="s">
        <v>864</v>
      </c>
      <c r="L470">
        <v>58</v>
      </c>
      <c r="O470">
        <v>48</v>
      </c>
    </row>
    <row r="471" spans="1:15" x14ac:dyDescent="0.35">
      <c r="A471" s="20">
        <v>470</v>
      </c>
      <c r="B471" s="21"/>
      <c r="C471" s="22"/>
      <c r="D471" s="22"/>
      <c r="E471" s="22"/>
      <c r="F471" s="22"/>
      <c r="G471" s="22"/>
      <c r="H471" s="22"/>
      <c r="I471" s="23"/>
      <c r="J471" s="24">
        <v>543</v>
      </c>
      <c r="K471" s="25" t="s">
        <v>874</v>
      </c>
      <c r="L471">
        <v>58</v>
      </c>
      <c r="O471">
        <v>49</v>
      </c>
    </row>
    <row r="472" spans="1:15" x14ac:dyDescent="0.35">
      <c r="A472" s="20">
        <v>471</v>
      </c>
      <c r="B472" s="21"/>
      <c r="C472" s="22"/>
      <c r="D472" s="22"/>
      <c r="E472" s="22"/>
      <c r="F472" s="22"/>
      <c r="G472" s="22"/>
      <c r="H472" s="22"/>
      <c r="I472" s="23"/>
      <c r="J472" s="24">
        <v>468</v>
      </c>
      <c r="K472" s="25" t="s">
        <v>827</v>
      </c>
      <c r="L472">
        <v>58</v>
      </c>
      <c r="O472">
        <v>49</v>
      </c>
    </row>
    <row r="473" spans="1:15" x14ac:dyDescent="0.35">
      <c r="A473" s="20">
        <v>472</v>
      </c>
      <c r="B473" s="21"/>
      <c r="C473" s="22"/>
      <c r="D473" s="22"/>
      <c r="E473" s="22"/>
      <c r="F473" s="22"/>
      <c r="G473" s="22"/>
      <c r="H473" s="22"/>
      <c r="I473" s="23"/>
      <c r="J473" s="24">
        <v>508</v>
      </c>
      <c r="K473" s="25" t="s">
        <v>852</v>
      </c>
      <c r="L473">
        <v>58</v>
      </c>
      <c r="O473">
        <v>49</v>
      </c>
    </row>
    <row r="474" spans="1:15" x14ac:dyDescent="0.35">
      <c r="A474" s="20">
        <v>473</v>
      </c>
      <c r="B474" s="21"/>
      <c r="C474" s="22"/>
      <c r="D474" s="22"/>
      <c r="E474" s="22"/>
      <c r="F474" s="22"/>
      <c r="G474" s="22"/>
      <c r="H474" s="22"/>
      <c r="I474" s="23"/>
      <c r="J474" s="24">
        <v>664</v>
      </c>
      <c r="K474" s="25" t="s">
        <v>933</v>
      </c>
      <c r="L474">
        <v>58</v>
      </c>
      <c r="O474">
        <v>49</v>
      </c>
    </row>
    <row r="475" spans="1:15" x14ac:dyDescent="0.35">
      <c r="A475" s="20">
        <v>474</v>
      </c>
      <c r="B475" s="21"/>
      <c r="C475" s="22"/>
      <c r="D475" s="22"/>
      <c r="E475" s="22"/>
      <c r="F475" s="22"/>
      <c r="G475" s="22"/>
      <c r="H475" s="22"/>
      <c r="I475" s="23"/>
      <c r="J475" s="24">
        <v>712</v>
      </c>
      <c r="K475" s="25" t="s">
        <v>954</v>
      </c>
      <c r="L475">
        <v>58</v>
      </c>
      <c r="O475">
        <v>49</v>
      </c>
    </row>
    <row r="476" spans="1:15" x14ac:dyDescent="0.35">
      <c r="A476" s="20">
        <v>475</v>
      </c>
      <c r="B476" s="21"/>
      <c r="C476" s="22"/>
      <c r="D476" s="22"/>
      <c r="E476" s="22"/>
      <c r="F476" s="22"/>
      <c r="G476" s="22"/>
      <c r="H476" s="22"/>
      <c r="I476" s="23"/>
      <c r="J476" s="24">
        <v>727</v>
      </c>
      <c r="K476" s="25" t="s">
        <v>965</v>
      </c>
      <c r="L476">
        <v>58</v>
      </c>
      <c r="O476">
        <v>49</v>
      </c>
    </row>
    <row r="477" spans="1:15" x14ac:dyDescent="0.35">
      <c r="A477" s="20">
        <v>476</v>
      </c>
      <c r="B477" s="21"/>
      <c r="C477" s="22"/>
      <c r="D477" s="22"/>
      <c r="E477" s="22"/>
      <c r="F477" s="22"/>
      <c r="G477" s="22"/>
      <c r="H477" s="22"/>
      <c r="I477" s="23"/>
      <c r="J477" s="24">
        <v>550</v>
      </c>
      <c r="K477" s="25" t="s">
        <v>879</v>
      </c>
      <c r="L477">
        <v>58</v>
      </c>
      <c r="O477">
        <v>49</v>
      </c>
    </row>
    <row r="478" spans="1:15" ht="15" thickBot="1" x14ac:dyDescent="0.4">
      <c r="A478" s="26">
        <v>477</v>
      </c>
      <c r="B478" s="27"/>
      <c r="C478" s="28"/>
      <c r="D478" s="28"/>
      <c r="E478" s="28"/>
      <c r="F478" s="28"/>
      <c r="G478" s="28"/>
      <c r="H478" s="28"/>
      <c r="I478" s="29"/>
      <c r="J478" s="30">
        <v>743</v>
      </c>
      <c r="K478" s="31" t="s">
        <v>976</v>
      </c>
      <c r="L478">
        <v>58</v>
      </c>
      <c r="O478">
        <v>49</v>
      </c>
    </row>
    <row r="479" spans="1:15" x14ac:dyDescent="0.35">
      <c r="A479" s="14">
        <v>478</v>
      </c>
      <c r="B479" s="15"/>
      <c r="C479" s="16"/>
      <c r="D479" s="16"/>
      <c r="E479" s="16"/>
      <c r="F479" s="16"/>
      <c r="G479" s="16"/>
      <c r="H479" s="16"/>
      <c r="I479" s="17">
        <v>923</v>
      </c>
      <c r="J479" s="18">
        <v>934</v>
      </c>
      <c r="K479" s="19" t="s">
        <v>455</v>
      </c>
      <c r="L479">
        <v>59</v>
      </c>
      <c r="M479" t="s">
        <v>1483</v>
      </c>
      <c r="O479">
        <v>49</v>
      </c>
    </row>
    <row r="480" spans="1:15" x14ac:dyDescent="0.35">
      <c r="A480" s="20">
        <v>479</v>
      </c>
      <c r="B480" s="21"/>
      <c r="C480" s="22"/>
      <c r="D480" s="22"/>
      <c r="E480" s="22"/>
      <c r="F480" s="22"/>
      <c r="G480" s="22"/>
      <c r="H480" s="22"/>
      <c r="I480" s="23"/>
      <c r="J480" s="24">
        <v>259</v>
      </c>
      <c r="K480" s="25" t="s">
        <v>714</v>
      </c>
      <c r="L480">
        <v>59</v>
      </c>
    </row>
    <row r="481" spans="1:12" x14ac:dyDescent="0.35">
      <c r="A481" s="20">
        <v>480</v>
      </c>
      <c r="B481" s="21"/>
      <c r="C481" s="22"/>
      <c r="D481" s="22"/>
      <c r="E481" s="22"/>
      <c r="F481" s="22"/>
      <c r="G481" s="22"/>
      <c r="H481" s="22"/>
      <c r="I481" s="23"/>
      <c r="J481" s="24">
        <v>324</v>
      </c>
      <c r="K481" s="25" t="s">
        <v>744</v>
      </c>
      <c r="L481">
        <v>59</v>
      </c>
    </row>
    <row r="482" spans="1:12" x14ac:dyDescent="0.35">
      <c r="A482" s="20">
        <v>481</v>
      </c>
      <c r="B482" s="21"/>
      <c r="C482" s="22"/>
      <c r="D482" s="22"/>
      <c r="E482" s="22"/>
      <c r="F482" s="22"/>
      <c r="G482" s="22"/>
      <c r="H482" s="22"/>
      <c r="I482" s="23"/>
      <c r="J482" s="24">
        <v>371</v>
      </c>
      <c r="K482" s="25" t="s">
        <v>770</v>
      </c>
      <c r="L482">
        <v>59</v>
      </c>
    </row>
    <row r="483" spans="1:12" x14ac:dyDescent="0.35">
      <c r="A483" s="20">
        <v>482</v>
      </c>
      <c r="B483" s="21"/>
      <c r="C483" s="22"/>
      <c r="D483" s="22"/>
      <c r="E483" s="22"/>
      <c r="F483" s="22"/>
      <c r="G483" s="22"/>
      <c r="H483" s="22"/>
      <c r="I483" s="23"/>
      <c r="J483" s="24">
        <v>419</v>
      </c>
      <c r="K483" s="25" t="s">
        <v>803</v>
      </c>
      <c r="L483">
        <v>59</v>
      </c>
    </row>
    <row r="484" spans="1:12" ht="15" thickBot="1" x14ac:dyDescent="0.4">
      <c r="A484" s="26">
        <v>483</v>
      </c>
      <c r="B484" s="27"/>
      <c r="C484" s="28"/>
      <c r="D484" s="28"/>
      <c r="E484" s="28"/>
      <c r="F484" s="28"/>
      <c r="G484" s="28"/>
      <c r="H484" s="28"/>
      <c r="I484" s="29"/>
      <c r="J484" s="30">
        <v>1133</v>
      </c>
      <c r="K484" s="31" t="s">
        <v>1165</v>
      </c>
      <c r="L484">
        <v>59</v>
      </c>
    </row>
    <row r="485" spans="1:12" x14ac:dyDescent="0.35">
      <c r="A485" s="14">
        <v>484</v>
      </c>
      <c r="B485" s="15"/>
      <c r="C485" s="16"/>
      <c r="D485" s="16"/>
      <c r="E485" s="16"/>
      <c r="F485" s="16"/>
      <c r="G485" s="16" t="s">
        <v>1361</v>
      </c>
      <c r="H485" s="16"/>
      <c r="I485" s="17">
        <v>832</v>
      </c>
      <c r="J485" s="18">
        <v>843</v>
      </c>
      <c r="K485" s="19" t="s">
        <v>406</v>
      </c>
      <c r="L485">
        <v>60</v>
      </c>
    </row>
    <row r="486" spans="1:12" x14ac:dyDescent="0.35">
      <c r="A486" s="20">
        <v>485</v>
      </c>
      <c r="B486" s="21"/>
      <c r="C486" s="22"/>
      <c r="D486" s="22"/>
      <c r="E486" s="22"/>
      <c r="F486" s="22"/>
      <c r="G486" s="22"/>
      <c r="H486" s="22"/>
      <c r="I486" s="23"/>
      <c r="J486" s="24">
        <v>10693</v>
      </c>
      <c r="K486" s="25" t="s">
        <v>1194</v>
      </c>
      <c r="L486">
        <v>60</v>
      </c>
    </row>
    <row r="487" spans="1:12" x14ac:dyDescent="0.35">
      <c r="A487" s="20">
        <v>486</v>
      </c>
      <c r="B487" s="21"/>
      <c r="C487" s="22"/>
      <c r="D487" s="22"/>
      <c r="E487" s="22"/>
      <c r="F487" s="22"/>
      <c r="G487" s="22"/>
      <c r="H487" s="22"/>
      <c r="I487" s="23"/>
      <c r="J487" s="24">
        <v>10694</v>
      </c>
      <c r="K487" s="25" t="s">
        <v>1195</v>
      </c>
      <c r="L487">
        <v>60</v>
      </c>
    </row>
    <row r="488" spans="1:12" ht="15" thickBot="1" x14ac:dyDescent="0.4">
      <c r="A488" s="26">
        <v>487</v>
      </c>
      <c r="B488" s="27"/>
      <c r="C488" s="28"/>
      <c r="D488" s="28"/>
      <c r="E488" s="28"/>
      <c r="F488" s="28"/>
      <c r="G488" s="28"/>
      <c r="H488" s="28"/>
      <c r="I488" s="29"/>
      <c r="J488" s="30">
        <v>10695</v>
      </c>
      <c r="K488" s="31" t="s">
        <v>1196</v>
      </c>
      <c r="L488">
        <v>60</v>
      </c>
    </row>
    <row r="489" spans="1:12" x14ac:dyDescent="0.35">
      <c r="A489" s="14">
        <v>488</v>
      </c>
      <c r="B489" s="15"/>
      <c r="C489" s="16"/>
      <c r="D489" s="16"/>
      <c r="E489" s="16"/>
      <c r="F489" s="16"/>
      <c r="G489" s="16" t="s">
        <v>1362</v>
      </c>
      <c r="H489" s="16"/>
      <c r="I489" s="17">
        <v>1025</v>
      </c>
      <c r="J489" s="18">
        <v>1037</v>
      </c>
      <c r="K489" s="19" t="s">
        <v>513</v>
      </c>
      <c r="L489">
        <v>61</v>
      </c>
    </row>
    <row r="490" spans="1:12" x14ac:dyDescent="0.35">
      <c r="A490" s="20">
        <v>489</v>
      </c>
      <c r="B490" s="22"/>
      <c r="C490" s="22"/>
      <c r="D490" s="22"/>
      <c r="E490" s="22"/>
      <c r="F490" s="22"/>
      <c r="G490" s="22"/>
      <c r="H490" s="22"/>
      <c r="I490" s="23"/>
      <c r="J490" s="24">
        <v>10696</v>
      </c>
      <c r="K490" s="25" t="s">
        <v>1197</v>
      </c>
      <c r="L490">
        <v>61</v>
      </c>
    </row>
    <row r="491" spans="1:12" x14ac:dyDescent="0.35">
      <c r="A491" s="20">
        <v>490</v>
      </c>
      <c r="B491" s="21"/>
      <c r="C491" s="22"/>
      <c r="D491" s="22"/>
      <c r="E491" s="22"/>
      <c r="F491" s="22"/>
      <c r="G491" s="22"/>
      <c r="H491" s="22"/>
      <c r="I491" s="23"/>
      <c r="J491" s="24">
        <v>10697</v>
      </c>
      <c r="K491" s="25" t="s">
        <v>1198</v>
      </c>
      <c r="L491">
        <v>61</v>
      </c>
    </row>
    <row r="492" spans="1:12" ht="15" thickBot="1" x14ac:dyDescent="0.4">
      <c r="A492" s="26">
        <v>491</v>
      </c>
      <c r="B492" s="27"/>
      <c r="C492" s="28"/>
      <c r="D492" s="28"/>
      <c r="E492" s="28"/>
      <c r="F492" s="28"/>
      <c r="G492" s="28"/>
      <c r="H492" s="28"/>
      <c r="I492" s="29"/>
      <c r="J492" s="38">
        <v>10698</v>
      </c>
      <c r="K492" s="39" t="s">
        <v>1199</v>
      </c>
      <c r="L492">
        <v>61</v>
      </c>
    </row>
    <row r="493" spans="1:12" x14ac:dyDescent="0.35">
      <c r="A493" s="14">
        <v>492</v>
      </c>
      <c r="B493" s="15"/>
      <c r="C493" s="16"/>
      <c r="D493" s="16"/>
      <c r="E493" s="16"/>
      <c r="F493" s="16"/>
      <c r="G493" s="16" t="s">
        <v>1363</v>
      </c>
      <c r="H493" s="16"/>
      <c r="I493" s="17">
        <v>1072</v>
      </c>
      <c r="J493" s="18">
        <v>1084</v>
      </c>
      <c r="K493" s="19" t="s">
        <v>534</v>
      </c>
      <c r="L493">
        <v>62</v>
      </c>
    </row>
    <row r="494" spans="1:12" x14ac:dyDescent="0.35">
      <c r="A494" s="20">
        <v>493</v>
      </c>
      <c r="B494" s="21"/>
      <c r="C494" s="22"/>
      <c r="D494" s="22"/>
      <c r="E494" s="22"/>
      <c r="F494" s="22"/>
      <c r="G494" s="22"/>
      <c r="H494" s="22"/>
      <c r="I494" s="23"/>
      <c r="J494" s="24">
        <v>10699</v>
      </c>
      <c r="K494" s="25" t="s">
        <v>1200</v>
      </c>
      <c r="L494">
        <v>62</v>
      </c>
    </row>
    <row r="495" spans="1:12" x14ac:dyDescent="0.35">
      <c r="A495" s="20">
        <v>494</v>
      </c>
      <c r="B495" s="21"/>
      <c r="C495" s="22"/>
      <c r="D495" s="22"/>
      <c r="E495" s="22"/>
      <c r="F495" s="22"/>
      <c r="G495" s="22"/>
      <c r="H495" s="22"/>
      <c r="I495" s="23"/>
      <c r="J495" s="24">
        <v>10700</v>
      </c>
      <c r="K495" s="25" t="s">
        <v>1201</v>
      </c>
      <c r="L495">
        <v>62</v>
      </c>
    </row>
    <row r="496" spans="1:12" ht="15" thickBot="1" x14ac:dyDescent="0.4">
      <c r="A496" s="26">
        <v>495</v>
      </c>
      <c r="B496" s="27"/>
      <c r="C496" s="28"/>
      <c r="D496" s="28"/>
      <c r="E496" s="28"/>
      <c r="F496" s="28"/>
      <c r="G496" s="28"/>
      <c r="H496" s="28"/>
      <c r="I496" s="29"/>
      <c r="J496" s="30">
        <v>10701</v>
      </c>
      <c r="K496" s="31" t="s">
        <v>1202</v>
      </c>
      <c r="L496">
        <v>62</v>
      </c>
    </row>
    <row r="497" spans="1:12" x14ac:dyDescent="0.35">
      <c r="A497" s="14">
        <v>496</v>
      </c>
      <c r="B497" s="15"/>
      <c r="C497" s="16"/>
      <c r="D497" s="16"/>
      <c r="E497" s="16"/>
      <c r="F497" s="16"/>
      <c r="G497" s="16"/>
      <c r="H497" s="16"/>
      <c r="I497" s="17">
        <v>491</v>
      </c>
      <c r="J497" s="18">
        <v>502</v>
      </c>
      <c r="K497" s="19" t="s">
        <v>248</v>
      </c>
      <c r="L497">
        <v>63</v>
      </c>
    </row>
    <row r="498" spans="1:12" x14ac:dyDescent="0.35">
      <c r="A498" s="20">
        <v>497</v>
      </c>
      <c r="B498" s="21"/>
      <c r="C498" s="22"/>
      <c r="D498" s="22"/>
      <c r="E498" s="22"/>
      <c r="F498" s="22"/>
      <c r="G498" s="22"/>
      <c r="H498" s="22"/>
      <c r="I498" s="23"/>
      <c r="J498" s="24">
        <v>509</v>
      </c>
      <c r="K498" s="25" t="s">
        <v>853</v>
      </c>
      <c r="L498">
        <v>63</v>
      </c>
    </row>
    <row r="499" spans="1:12" x14ac:dyDescent="0.35">
      <c r="A499" s="20">
        <v>498</v>
      </c>
      <c r="B499" s="21"/>
      <c r="C499" s="22"/>
      <c r="D499" s="22"/>
      <c r="E499" s="22"/>
      <c r="F499" s="22"/>
      <c r="G499" s="22"/>
      <c r="H499" s="22"/>
      <c r="I499" s="23"/>
      <c r="J499" s="24">
        <v>829</v>
      </c>
      <c r="K499" s="25" t="s">
        <v>1025</v>
      </c>
      <c r="L499">
        <v>63</v>
      </c>
    </row>
    <row r="500" spans="1:12" x14ac:dyDescent="0.35">
      <c r="A500" s="20">
        <v>499</v>
      </c>
      <c r="B500" s="21"/>
      <c r="C500" s="22"/>
      <c r="D500" s="22"/>
      <c r="E500" s="22"/>
      <c r="F500" s="22"/>
      <c r="G500" s="22"/>
      <c r="H500" s="22"/>
      <c r="I500" s="23"/>
      <c r="J500" s="24">
        <v>845</v>
      </c>
      <c r="K500" s="25" t="s">
        <v>1032</v>
      </c>
      <c r="L500">
        <v>63</v>
      </c>
    </row>
    <row r="501" spans="1:12" ht="15" thickBot="1" x14ac:dyDescent="0.4">
      <c r="A501" s="26">
        <v>500</v>
      </c>
      <c r="B501" s="27"/>
      <c r="C501" s="28"/>
      <c r="D501" s="28"/>
      <c r="E501" s="28"/>
      <c r="F501" s="28"/>
      <c r="G501" s="28"/>
      <c r="H501" s="28"/>
      <c r="I501" s="29"/>
      <c r="J501" s="30">
        <v>837</v>
      </c>
      <c r="K501" s="31" t="s">
        <v>1030</v>
      </c>
      <c r="L501">
        <v>63</v>
      </c>
    </row>
    <row r="502" spans="1:12" x14ac:dyDescent="0.35">
      <c r="A502" s="14">
        <v>501</v>
      </c>
      <c r="B502" s="15"/>
      <c r="C502" s="16"/>
      <c r="D502" s="16"/>
      <c r="E502" s="16"/>
      <c r="F502" s="16"/>
      <c r="G502" s="16"/>
      <c r="H502" s="16"/>
      <c r="I502" s="17"/>
      <c r="J502" s="18">
        <v>518</v>
      </c>
      <c r="K502" s="19" t="s">
        <v>859</v>
      </c>
      <c r="L502">
        <v>64</v>
      </c>
    </row>
    <row r="503" spans="1:12" x14ac:dyDescent="0.35">
      <c r="A503" s="20">
        <v>502</v>
      </c>
      <c r="B503" s="21"/>
      <c r="C503" s="22"/>
      <c r="D503" s="22"/>
      <c r="E503" s="22"/>
      <c r="F503" s="22"/>
      <c r="G503" s="22"/>
      <c r="H503" s="22"/>
      <c r="I503" s="23"/>
      <c r="J503" s="24">
        <v>853</v>
      </c>
      <c r="K503" s="25" t="s">
        <v>1035</v>
      </c>
      <c r="L503">
        <v>64</v>
      </c>
    </row>
    <row r="504" spans="1:12" x14ac:dyDescent="0.35">
      <c r="A504" s="20">
        <v>503</v>
      </c>
      <c r="B504" s="21"/>
      <c r="C504" s="22"/>
      <c r="D504" s="22"/>
      <c r="E504" s="22"/>
      <c r="F504" s="22"/>
      <c r="G504" s="22"/>
      <c r="H504" s="22"/>
      <c r="I504" s="23"/>
      <c r="J504" s="24">
        <v>870</v>
      </c>
      <c r="K504" s="25" t="s">
        <v>1045</v>
      </c>
      <c r="L504">
        <v>64</v>
      </c>
    </row>
    <row r="505" spans="1:12" ht="15" thickBot="1" x14ac:dyDescent="0.4">
      <c r="A505" s="26">
        <v>504</v>
      </c>
      <c r="B505" s="27"/>
      <c r="C505" s="28"/>
      <c r="D505" s="28"/>
      <c r="E505" s="28"/>
      <c r="F505" s="28"/>
      <c r="G505" s="28"/>
      <c r="H505" s="28"/>
      <c r="I505" s="29"/>
      <c r="J505" s="30">
        <v>861</v>
      </c>
      <c r="K505" s="31" t="s">
        <v>1040</v>
      </c>
      <c r="L505">
        <v>64</v>
      </c>
    </row>
    <row r="506" spans="1:12" x14ac:dyDescent="0.35">
      <c r="A506" s="10">
        <v>505</v>
      </c>
      <c r="B506" s="6"/>
      <c r="C506" s="9"/>
      <c r="D506" s="9"/>
      <c r="E506" s="9" t="s">
        <v>1364</v>
      </c>
      <c r="F506" s="9"/>
      <c r="G506" s="9"/>
      <c r="H506" s="9"/>
      <c r="I506" s="11">
        <v>692</v>
      </c>
      <c r="J506" s="12">
        <v>703</v>
      </c>
      <c r="K506" s="12" t="s">
        <v>347</v>
      </c>
    </row>
    <row r="507" spans="1:12" x14ac:dyDescent="0.35">
      <c r="A507" s="10">
        <v>506</v>
      </c>
      <c r="B507" s="6"/>
      <c r="C507" s="9"/>
      <c r="D507" s="9"/>
      <c r="E507" s="9"/>
      <c r="F507" s="9"/>
      <c r="G507" s="9"/>
      <c r="H507" s="9"/>
      <c r="I507" s="11"/>
      <c r="J507" s="12">
        <v>16</v>
      </c>
      <c r="K507" s="12" t="s">
        <v>590</v>
      </c>
    </row>
    <row r="508" spans="1:12" x14ac:dyDescent="0.35">
      <c r="A508" s="10">
        <v>507</v>
      </c>
      <c r="B508" s="6"/>
      <c r="C508" s="9"/>
      <c r="D508" s="9"/>
      <c r="E508" s="9"/>
      <c r="F508" s="9" t="s">
        <v>1365</v>
      </c>
      <c r="G508" s="9"/>
      <c r="H508" s="9"/>
      <c r="I508" s="11">
        <v>572</v>
      </c>
      <c r="J508" s="12">
        <v>583</v>
      </c>
      <c r="K508" s="12" t="s">
        <v>279</v>
      </c>
      <c r="L508">
        <v>65</v>
      </c>
    </row>
    <row r="509" spans="1:12" x14ac:dyDescent="0.35">
      <c r="A509" s="10">
        <v>508</v>
      </c>
      <c r="B509" s="6"/>
      <c r="C509" s="9"/>
      <c r="D509" s="9"/>
      <c r="E509" s="9"/>
      <c r="F509" s="9" t="s">
        <v>1366</v>
      </c>
      <c r="G509" s="9"/>
      <c r="H509" s="9"/>
      <c r="I509" s="11"/>
      <c r="J509" s="12">
        <v>942</v>
      </c>
      <c r="K509" s="12" t="s">
        <v>1077</v>
      </c>
      <c r="L509">
        <v>66</v>
      </c>
    </row>
    <row r="510" spans="1:12" x14ac:dyDescent="0.35">
      <c r="A510" s="10">
        <v>509</v>
      </c>
      <c r="B510" s="6"/>
      <c r="C510" s="9"/>
      <c r="D510" s="9"/>
      <c r="E510" s="9"/>
      <c r="F510" s="9"/>
      <c r="G510" s="9"/>
      <c r="H510" s="9"/>
      <c r="I510" s="11">
        <v>941</v>
      </c>
      <c r="J510" s="12">
        <v>952</v>
      </c>
      <c r="K510" s="12" t="s">
        <v>467</v>
      </c>
      <c r="L510">
        <v>66</v>
      </c>
    </row>
    <row r="511" spans="1:12" x14ac:dyDescent="0.35">
      <c r="A511" s="10">
        <v>510</v>
      </c>
      <c r="B511" s="6"/>
      <c r="C511" s="9"/>
      <c r="D511" s="9"/>
      <c r="E511" s="9"/>
      <c r="F511" s="9"/>
      <c r="G511" s="9"/>
      <c r="H511" s="9"/>
      <c r="I511" s="11">
        <v>955</v>
      </c>
      <c r="J511" s="12">
        <v>966</v>
      </c>
      <c r="K511" s="12" t="s">
        <v>474</v>
      </c>
      <c r="L511">
        <v>66</v>
      </c>
    </row>
    <row r="512" spans="1:12" ht="15" thickBot="1" x14ac:dyDescent="0.4">
      <c r="A512" s="10">
        <v>511</v>
      </c>
      <c r="B512" s="6"/>
      <c r="C512" s="9"/>
      <c r="D512" s="9"/>
      <c r="E512" s="9"/>
      <c r="F512" s="9" t="s">
        <v>1367</v>
      </c>
      <c r="G512" s="9"/>
      <c r="H512" s="9"/>
      <c r="I512" s="11">
        <v>126</v>
      </c>
      <c r="J512" s="12">
        <v>131</v>
      </c>
      <c r="K512" s="12" t="s">
        <v>81</v>
      </c>
      <c r="L512">
        <v>67</v>
      </c>
    </row>
    <row r="513" spans="1:12" x14ac:dyDescent="0.35">
      <c r="A513" s="14">
        <v>512</v>
      </c>
      <c r="B513" s="15"/>
      <c r="C513" s="16"/>
      <c r="D513" s="16"/>
      <c r="E513" s="16"/>
      <c r="F513" s="16" t="s">
        <v>1368</v>
      </c>
      <c r="G513" s="16"/>
      <c r="H513" s="16"/>
      <c r="I513" s="17"/>
      <c r="J513" s="18">
        <v>295</v>
      </c>
      <c r="K513" s="19" t="s">
        <v>160</v>
      </c>
      <c r="L513">
        <v>67</v>
      </c>
    </row>
    <row r="514" spans="1:12" x14ac:dyDescent="0.35">
      <c r="A514" s="20">
        <v>513</v>
      </c>
      <c r="B514" s="21"/>
      <c r="C514" s="22"/>
      <c r="D514" s="22"/>
      <c r="E514" s="22"/>
      <c r="F514" s="22"/>
      <c r="G514" s="22"/>
      <c r="H514" s="22"/>
      <c r="I514" s="23">
        <v>293</v>
      </c>
      <c r="J514" s="24">
        <v>303</v>
      </c>
      <c r="K514" s="25" t="s">
        <v>164</v>
      </c>
      <c r="L514">
        <v>67</v>
      </c>
    </row>
    <row r="515" spans="1:12" x14ac:dyDescent="0.35">
      <c r="A515" s="20">
        <v>514</v>
      </c>
      <c r="B515" s="21"/>
      <c r="C515" s="22"/>
      <c r="D515" s="22"/>
      <c r="E515" s="22"/>
      <c r="F515" s="22"/>
      <c r="G515" s="22"/>
      <c r="H515" s="22"/>
      <c r="I515" s="23">
        <v>301</v>
      </c>
      <c r="J515" s="24">
        <v>311</v>
      </c>
      <c r="K515" s="25" t="s">
        <v>169</v>
      </c>
      <c r="L515">
        <v>67</v>
      </c>
    </row>
    <row r="516" spans="1:12" x14ac:dyDescent="0.35">
      <c r="A516" s="20">
        <v>515</v>
      </c>
      <c r="B516" s="21"/>
      <c r="C516" s="22"/>
      <c r="D516" s="22"/>
      <c r="E516" s="22"/>
      <c r="F516" s="22"/>
      <c r="G516" s="22"/>
      <c r="H516" s="22"/>
      <c r="I516" s="23">
        <v>440</v>
      </c>
      <c r="J516" s="24">
        <v>451</v>
      </c>
      <c r="K516" s="25" t="s">
        <v>492</v>
      </c>
      <c r="L516">
        <v>67</v>
      </c>
    </row>
    <row r="517" spans="1:12" x14ac:dyDescent="0.35">
      <c r="A517" s="20">
        <v>516</v>
      </c>
      <c r="B517" s="21"/>
      <c r="C517" s="22"/>
      <c r="D517" s="22"/>
      <c r="E517" s="22"/>
      <c r="F517" s="22" t="s">
        <v>1369</v>
      </c>
      <c r="G517" s="22"/>
      <c r="H517" s="22"/>
      <c r="I517" s="23">
        <v>309</v>
      </c>
      <c r="J517" s="24">
        <v>319</v>
      </c>
      <c r="K517" s="25" t="s">
        <v>173</v>
      </c>
      <c r="L517">
        <v>67</v>
      </c>
    </row>
    <row r="518" spans="1:12" x14ac:dyDescent="0.35">
      <c r="A518" s="20">
        <v>517</v>
      </c>
      <c r="B518" s="21"/>
      <c r="C518" s="22"/>
      <c r="D518" s="22"/>
      <c r="E518" s="22"/>
      <c r="F518" s="22"/>
      <c r="G518" s="22"/>
      <c r="H518" s="22"/>
      <c r="I518" s="23"/>
      <c r="J518" s="24">
        <v>327</v>
      </c>
      <c r="K518" s="25" t="s">
        <v>745</v>
      </c>
      <c r="L518">
        <v>67</v>
      </c>
    </row>
    <row r="519" spans="1:12" x14ac:dyDescent="0.35">
      <c r="A519" s="20">
        <v>518</v>
      </c>
      <c r="B519" s="21"/>
      <c r="C519" s="22"/>
      <c r="D519" s="22"/>
      <c r="E519" s="22"/>
      <c r="F519" s="22"/>
      <c r="G519" s="22"/>
      <c r="H519" s="22"/>
      <c r="I519" s="23"/>
      <c r="J519" s="24">
        <v>334</v>
      </c>
      <c r="K519" s="25" t="s">
        <v>748</v>
      </c>
      <c r="L519">
        <v>67</v>
      </c>
    </row>
    <row r="520" spans="1:12" ht="15" thickBot="1" x14ac:dyDescent="0.4">
      <c r="A520" s="26">
        <v>519</v>
      </c>
      <c r="B520" s="27"/>
      <c r="C520" s="28"/>
      <c r="D520" s="28"/>
      <c r="E520" s="28"/>
      <c r="F520" s="28"/>
      <c r="G520" s="28"/>
      <c r="H520" s="28"/>
      <c r="I520" s="29">
        <v>769</v>
      </c>
      <c r="J520" s="30">
        <v>780</v>
      </c>
      <c r="K520" s="31" t="s">
        <v>376</v>
      </c>
      <c r="L520">
        <v>67</v>
      </c>
    </row>
    <row r="521" spans="1:12" x14ac:dyDescent="0.35">
      <c r="A521" s="10">
        <v>520</v>
      </c>
      <c r="B521" s="6"/>
      <c r="C521" s="9"/>
      <c r="D521" s="9" t="s">
        <v>1370</v>
      </c>
      <c r="E521" s="9"/>
      <c r="F521" s="9"/>
      <c r="G521" s="9"/>
      <c r="H521" s="9"/>
      <c r="I521" s="11"/>
      <c r="J521" s="12">
        <v>623</v>
      </c>
      <c r="K521" s="12" t="s">
        <v>914</v>
      </c>
    </row>
    <row r="522" spans="1:12" x14ac:dyDescent="0.35">
      <c r="A522" s="10">
        <v>521</v>
      </c>
      <c r="B522" s="6"/>
      <c r="C522" s="9"/>
      <c r="D522" s="9"/>
      <c r="E522" s="9" t="s">
        <v>1371</v>
      </c>
      <c r="F522" s="9"/>
      <c r="G522" s="9"/>
      <c r="H522" s="9"/>
      <c r="I522" s="11">
        <v>466</v>
      </c>
      <c r="J522" s="12">
        <v>477</v>
      </c>
      <c r="K522" s="12" t="s">
        <v>239</v>
      </c>
    </row>
    <row r="523" spans="1:12" x14ac:dyDescent="0.35">
      <c r="A523" s="10">
        <v>522</v>
      </c>
      <c r="B523" s="6"/>
      <c r="C523" s="9"/>
      <c r="D523" s="9"/>
      <c r="E523" s="9"/>
      <c r="F523" s="9" t="s">
        <v>1372</v>
      </c>
      <c r="G523" s="9"/>
      <c r="H523" s="9"/>
      <c r="I523" s="11"/>
      <c r="J523" s="12">
        <v>485</v>
      </c>
      <c r="K523" s="12" t="s">
        <v>836</v>
      </c>
      <c r="L523">
        <v>68</v>
      </c>
    </row>
    <row r="524" spans="1:12" x14ac:dyDescent="0.35">
      <c r="A524" s="10">
        <v>523</v>
      </c>
      <c r="B524" s="6"/>
      <c r="C524" s="9"/>
      <c r="D524" s="9"/>
      <c r="E524" s="9"/>
      <c r="F524" s="9"/>
      <c r="G524" s="9"/>
      <c r="H524" s="9"/>
      <c r="I524" s="11">
        <v>661</v>
      </c>
      <c r="J524" s="12">
        <v>672</v>
      </c>
      <c r="K524" s="12" t="s">
        <v>330</v>
      </c>
      <c r="L524">
        <v>68</v>
      </c>
    </row>
    <row r="525" spans="1:12" x14ac:dyDescent="0.35">
      <c r="A525" s="10">
        <v>524</v>
      </c>
      <c r="B525" s="6"/>
      <c r="C525" s="9"/>
      <c r="D525" s="9"/>
      <c r="E525" s="9"/>
      <c r="F525" s="9" t="s">
        <v>1373</v>
      </c>
      <c r="G525" s="9"/>
      <c r="H525" s="9"/>
      <c r="I525" s="11"/>
      <c r="J525" s="12">
        <v>493</v>
      </c>
      <c r="K525" s="12" t="s">
        <v>842</v>
      </c>
      <c r="L525">
        <v>69</v>
      </c>
    </row>
    <row r="526" spans="1:12" x14ac:dyDescent="0.35">
      <c r="A526" s="10">
        <v>525</v>
      </c>
      <c r="B526" s="6"/>
      <c r="C526" s="9"/>
      <c r="D526" s="9"/>
      <c r="E526" s="9"/>
      <c r="F526" s="9"/>
      <c r="G526" s="9"/>
      <c r="H526" s="9"/>
      <c r="I526" s="11">
        <v>51</v>
      </c>
      <c r="J526" s="13">
        <v>56</v>
      </c>
      <c r="K526" s="13" t="s">
        <v>44</v>
      </c>
      <c r="L526">
        <v>69</v>
      </c>
    </row>
    <row r="527" spans="1:12" x14ac:dyDescent="0.35">
      <c r="A527" s="10">
        <v>526</v>
      </c>
      <c r="B527" s="6"/>
      <c r="C527" s="9"/>
      <c r="D527" s="9"/>
      <c r="E527" s="9"/>
      <c r="F527" s="9"/>
      <c r="G527" s="9"/>
      <c r="H527" s="9"/>
      <c r="I527" s="11">
        <v>987</v>
      </c>
      <c r="J527" s="12">
        <v>998</v>
      </c>
      <c r="K527" s="12" t="s">
        <v>492</v>
      </c>
      <c r="L527">
        <v>69</v>
      </c>
    </row>
    <row r="528" spans="1:12" x14ac:dyDescent="0.35">
      <c r="A528" s="10">
        <v>527</v>
      </c>
      <c r="B528" s="6"/>
      <c r="C528" s="9"/>
      <c r="D528" s="9"/>
      <c r="E528" s="9"/>
      <c r="F528" s="9"/>
      <c r="G528" s="9"/>
      <c r="H528" s="9"/>
      <c r="I528" s="11">
        <v>743</v>
      </c>
      <c r="J528" s="12">
        <v>754</v>
      </c>
      <c r="K528" s="12" t="s">
        <v>364</v>
      </c>
      <c r="L528">
        <v>69</v>
      </c>
    </row>
    <row r="529" spans="1:12" x14ac:dyDescent="0.35">
      <c r="A529" s="10">
        <v>528</v>
      </c>
      <c r="B529" s="6"/>
      <c r="C529" s="9"/>
      <c r="D529" s="9"/>
      <c r="E529" s="9"/>
      <c r="F529" s="9"/>
      <c r="G529" s="9"/>
      <c r="H529" s="9"/>
      <c r="I529" s="11"/>
      <c r="J529" s="12">
        <v>481</v>
      </c>
      <c r="K529" s="12" t="s">
        <v>835</v>
      </c>
      <c r="L529">
        <v>69</v>
      </c>
    </row>
    <row r="530" spans="1:12" x14ac:dyDescent="0.35">
      <c r="A530" s="10">
        <v>529</v>
      </c>
      <c r="B530" s="6"/>
      <c r="C530" s="9"/>
      <c r="D530" s="9"/>
      <c r="E530" s="9"/>
      <c r="F530" s="9"/>
      <c r="G530" s="9"/>
      <c r="H530" s="9"/>
      <c r="I530" s="11"/>
      <c r="J530" s="12">
        <v>489</v>
      </c>
      <c r="K530" s="12" t="s">
        <v>839</v>
      </c>
      <c r="L530">
        <v>69</v>
      </c>
    </row>
    <row r="531" spans="1:12" x14ac:dyDescent="0.35">
      <c r="A531" s="10">
        <v>530</v>
      </c>
      <c r="B531" s="6"/>
      <c r="C531" s="9"/>
      <c r="D531" s="9"/>
      <c r="E531" s="9"/>
      <c r="F531" s="9"/>
      <c r="G531" s="9"/>
      <c r="H531" s="9"/>
      <c r="I531" s="11"/>
      <c r="J531" s="12">
        <v>458</v>
      </c>
      <c r="K531" s="12" t="s">
        <v>821</v>
      </c>
      <c r="L531">
        <v>69</v>
      </c>
    </row>
    <row r="532" spans="1:12" x14ac:dyDescent="0.35">
      <c r="A532" s="10">
        <v>531</v>
      </c>
      <c r="B532" s="6"/>
      <c r="C532" s="9"/>
      <c r="D532" s="9"/>
      <c r="E532" s="9"/>
      <c r="F532" s="9"/>
      <c r="G532" s="9"/>
      <c r="H532" s="9"/>
      <c r="I532" s="11"/>
      <c r="J532" s="12">
        <v>465</v>
      </c>
      <c r="K532" s="12" t="s">
        <v>825</v>
      </c>
      <c r="L532">
        <v>69</v>
      </c>
    </row>
    <row r="533" spans="1:12" x14ac:dyDescent="0.35">
      <c r="A533" s="10">
        <v>532</v>
      </c>
      <c r="B533" s="6"/>
      <c r="C533" s="9"/>
      <c r="D533" s="9"/>
      <c r="E533" s="9"/>
      <c r="F533" s="9"/>
      <c r="G533" s="9"/>
      <c r="H533" s="9"/>
      <c r="I533" s="11"/>
      <c r="J533" s="12">
        <v>473</v>
      </c>
      <c r="K533" s="12" t="s">
        <v>830</v>
      </c>
      <c r="L533">
        <v>69</v>
      </c>
    </row>
    <row r="534" spans="1:12" x14ac:dyDescent="0.35">
      <c r="A534" s="10">
        <v>533</v>
      </c>
      <c r="B534" s="6"/>
      <c r="C534" s="9"/>
      <c r="D534" s="9"/>
      <c r="E534" s="9"/>
      <c r="F534" s="9" t="s">
        <v>1374</v>
      </c>
      <c r="G534" s="9"/>
      <c r="H534" s="9"/>
      <c r="I534" s="11"/>
      <c r="J534" s="12">
        <v>275</v>
      </c>
      <c r="K534" s="12" t="s">
        <v>720</v>
      </c>
    </row>
    <row r="535" spans="1:12" x14ac:dyDescent="0.35">
      <c r="A535" s="10">
        <v>534</v>
      </c>
      <c r="B535" s="6"/>
      <c r="C535" s="9"/>
      <c r="D535" s="9"/>
      <c r="E535" s="9"/>
      <c r="F535" s="9"/>
      <c r="G535" s="9" t="s">
        <v>1375</v>
      </c>
      <c r="H535" s="9"/>
      <c r="I535" s="11"/>
      <c r="J535" s="12">
        <v>242</v>
      </c>
      <c r="K535" s="12" t="s">
        <v>707</v>
      </c>
      <c r="L535">
        <v>70</v>
      </c>
    </row>
    <row r="536" spans="1:12" x14ac:dyDescent="0.35">
      <c r="A536" s="10">
        <v>535</v>
      </c>
      <c r="B536" s="6"/>
      <c r="C536" s="9"/>
      <c r="D536" s="9"/>
      <c r="E536" s="9"/>
      <c r="F536" s="9"/>
      <c r="G536" s="9"/>
      <c r="H536" s="9"/>
      <c r="I536" s="11">
        <v>243</v>
      </c>
      <c r="J536" s="12">
        <v>250</v>
      </c>
      <c r="K536" s="12" t="s">
        <v>137</v>
      </c>
      <c r="L536">
        <v>70</v>
      </c>
    </row>
    <row r="537" spans="1:12" x14ac:dyDescent="0.35">
      <c r="A537" s="10">
        <v>536</v>
      </c>
      <c r="B537" s="6"/>
      <c r="C537" s="9"/>
      <c r="D537" s="9"/>
      <c r="E537" s="9"/>
      <c r="F537" s="9"/>
      <c r="G537" s="9"/>
      <c r="H537" s="9"/>
      <c r="I537" s="11">
        <v>251</v>
      </c>
      <c r="J537" s="12">
        <v>258</v>
      </c>
      <c r="K537" s="12" t="s">
        <v>143</v>
      </c>
      <c r="L537">
        <v>70</v>
      </c>
    </row>
    <row r="538" spans="1:12" x14ac:dyDescent="0.35">
      <c r="A538" s="10">
        <v>537</v>
      </c>
      <c r="B538" s="6"/>
      <c r="C538" s="9"/>
      <c r="D538" s="9"/>
      <c r="E538" s="9"/>
      <c r="F538" s="9"/>
      <c r="G538" s="9"/>
      <c r="H538" s="9"/>
      <c r="I538" s="11">
        <v>258</v>
      </c>
      <c r="J538" s="12">
        <v>266</v>
      </c>
      <c r="K538" s="12" t="s">
        <v>147</v>
      </c>
      <c r="L538">
        <v>70</v>
      </c>
    </row>
    <row r="539" spans="1:12" x14ac:dyDescent="0.35">
      <c r="A539" s="10">
        <v>538</v>
      </c>
      <c r="B539" s="6"/>
      <c r="C539" s="9"/>
      <c r="D539" s="9"/>
      <c r="E539" s="9"/>
      <c r="F539" s="9"/>
      <c r="G539" s="9" t="s">
        <v>1376</v>
      </c>
      <c r="H539" s="9"/>
      <c r="I539" s="11">
        <v>300</v>
      </c>
      <c r="J539" s="12">
        <v>310</v>
      </c>
      <c r="K539" s="12" t="s">
        <v>168</v>
      </c>
      <c r="L539">
        <v>70</v>
      </c>
    </row>
    <row r="540" spans="1:12" x14ac:dyDescent="0.35">
      <c r="A540" s="10">
        <v>539</v>
      </c>
      <c r="B540" s="6"/>
      <c r="C540" s="9"/>
      <c r="D540" s="9"/>
      <c r="E540" s="9"/>
      <c r="F540" s="9"/>
      <c r="G540" s="9" t="s">
        <v>1377</v>
      </c>
      <c r="H540" s="9"/>
      <c r="I540" s="11">
        <v>323</v>
      </c>
      <c r="J540" s="12">
        <v>333</v>
      </c>
      <c r="K540" s="12" t="s">
        <v>181</v>
      </c>
      <c r="L540">
        <v>70</v>
      </c>
    </row>
    <row r="541" spans="1:12" x14ac:dyDescent="0.35">
      <c r="A541" s="10">
        <v>540</v>
      </c>
      <c r="B541" s="9"/>
      <c r="C541" s="9"/>
      <c r="D541" s="9"/>
      <c r="E541" s="9"/>
      <c r="F541" s="9" t="s">
        <v>1378</v>
      </c>
      <c r="G541" s="9"/>
      <c r="H541" s="9"/>
      <c r="I541" s="11">
        <v>269</v>
      </c>
      <c r="J541" s="12">
        <v>278</v>
      </c>
      <c r="K541" s="12" t="s">
        <v>152</v>
      </c>
      <c r="L541">
        <v>71</v>
      </c>
    </row>
    <row r="542" spans="1:12" x14ac:dyDescent="0.35">
      <c r="A542" s="10">
        <v>541</v>
      </c>
      <c r="B542" s="6"/>
      <c r="C542" s="9"/>
      <c r="D542" s="9"/>
      <c r="E542" s="9"/>
      <c r="F542" s="9"/>
      <c r="G542" s="9" t="s">
        <v>1379</v>
      </c>
      <c r="H542" s="9"/>
      <c r="I542" s="11">
        <v>21</v>
      </c>
      <c r="J542" s="12">
        <v>23</v>
      </c>
      <c r="K542" s="12" t="s">
        <v>32</v>
      </c>
      <c r="L542">
        <v>71</v>
      </c>
    </row>
    <row r="543" spans="1:12" x14ac:dyDescent="0.35">
      <c r="A543" s="10">
        <v>542</v>
      </c>
      <c r="B543" s="6"/>
      <c r="C543" s="9"/>
      <c r="D543" s="9"/>
      <c r="E543" s="9"/>
      <c r="F543" s="9"/>
      <c r="G543" s="9" t="s">
        <v>1380</v>
      </c>
      <c r="H543" s="9"/>
      <c r="I543" s="11">
        <v>282</v>
      </c>
      <c r="J543" s="12">
        <v>292</v>
      </c>
      <c r="K543" s="12" t="s">
        <v>159</v>
      </c>
      <c r="L543">
        <v>71</v>
      </c>
    </row>
    <row r="544" spans="1:12" x14ac:dyDescent="0.35">
      <c r="A544" s="10">
        <v>543</v>
      </c>
      <c r="B544" s="6"/>
      <c r="C544" s="9"/>
      <c r="D544" s="9"/>
      <c r="E544" s="9"/>
      <c r="F544" s="9"/>
      <c r="G544" s="9" t="s">
        <v>1381</v>
      </c>
      <c r="H544" s="9"/>
      <c r="I544" s="11">
        <v>525</v>
      </c>
      <c r="J544" s="12">
        <v>536</v>
      </c>
      <c r="K544" s="12" t="s">
        <v>261</v>
      </c>
      <c r="L544">
        <v>71</v>
      </c>
    </row>
    <row r="545" spans="1:12" x14ac:dyDescent="0.35">
      <c r="A545" s="10">
        <v>544</v>
      </c>
      <c r="B545" s="6"/>
      <c r="C545" s="9"/>
      <c r="D545" s="9"/>
      <c r="E545" s="9"/>
      <c r="F545" s="9"/>
      <c r="G545" s="9"/>
      <c r="H545" s="9"/>
      <c r="I545" s="11"/>
      <c r="J545" s="12">
        <v>544</v>
      </c>
      <c r="K545" s="12" t="s">
        <v>875</v>
      </c>
      <c r="L545">
        <v>71</v>
      </c>
    </row>
    <row r="546" spans="1:12" x14ac:dyDescent="0.35">
      <c r="A546" s="10">
        <v>545</v>
      </c>
      <c r="B546" s="6"/>
      <c r="C546" s="9"/>
      <c r="D546" s="9"/>
      <c r="E546" s="9"/>
      <c r="F546" s="9"/>
      <c r="G546" s="9"/>
      <c r="H546" s="9"/>
      <c r="I546" s="11"/>
      <c r="J546" s="12">
        <v>551</v>
      </c>
      <c r="K546" s="12" t="s">
        <v>880</v>
      </c>
      <c r="L546">
        <v>71</v>
      </c>
    </row>
    <row r="547" spans="1:12" x14ac:dyDescent="0.35">
      <c r="A547" s="10">
        <v>546</v>
      </c>
      <c r="B547" s="6"/>
      <c r="C547" s="9"/>
      <c r="D547" s="9"/>
      <c r="E547" s="9"/>
      <c r="F547" s="9"/>
      <c r="G547" s="9"/>
      <c r="H547" s="9"/>
      <c r="I547" s="11"/>
      <c r="J547" s="12">
        <v>559</v>
      </c>
      <c r="K547" s="12" t="s">
        <v>886</v>
      </c>
      <c r="L547">
        <v>71</v>
      </c>
    </row>
    <row r="548" spans="1:12" x14ac:dyDescent="0.35">
      <c r="A548" s="10">
        <v>547</v>
      </c>
      <c r="B548" s="6"/>
      <c r="C548" s="9"/>
      <c r="D548" s="9"/>
      <c r="E548" s="9"/>
      <c r="F548" s="9"/>
      <c r="G548" s="9" t="s">
        <v>1382</v>
      </c>
      <c r="H548" s="9"/>
      <c r="I548" s="11">
        <v>1093</v>
      </c>
      <c r="J548" s="12">
        <v>1105</v>
      </c>
      <c r="K548" s="12" t="s">
        <v>546</v>
      </c>
      <c r="L548">
        <v>71</v>
      </c>
    </row>
    <row r="549" spans="1:12" x14ac:dyDescent="0.35">
      <c r="A549" s="10">
        <v>548</v>
      </c>
      <c r="B549" s="6"/>
      <c r="C549" s="9"/>
      <c r="D549" s="9"/>
      <c r="E549" s="9"/>
      <c r="F549" s="9"/>
      <c r="G549" s="9" t="s">
        <v>1383</v>
      </c>
      <c r="H549" s="9"/>
      <c r="I549" s="11">
        <v>393</v>
      </c>
      <c r="J549" s="12">
        <v>403</v>
      </c>
      <c r="K549" s="12" t="s">
        <v>207</v>
      </c>
      <c r="L549">
        <v>71</v>
      </c>
    </row>
    <row r="550" spans="1:12" x14ac:dyDescent="0.35">
      <c r="A550" s="10">
        <v>549</v>
      </c>
      <c r="B550" s="6"/>
      <c r="C550" s="9"/>
      <c r="D550" s="9"/>
      <c r="E550" s="9"/>
      <c r="F550" s="9"/>
      <c r="G550" s="9"/>
      <c r="H550" s="9"/>
      <c r="I550" s="11"/>
      <c r="J550" s="12">
        <v>411</v>
      </c>
      <c r="K550" s="12" t="s">
        <v>799</v>
      </c>
      <c r="L550">
        <v>71</v>
      </c>
    </row>
    <row r="551" spans="1:12" x14ac:dyDescent="0.35">
      <c r="A551" s="10">
        <v>550</v>
      </c>
      <c r="B551" s="6"/>
      <c r="C551" s="9"/>
      <c r="D551" s="9"/>
      <c r="E551" s="9"/>
      <c r="F551" s="9"/>
      <c r="G551" s="9"/>
      <c r="H551" s="9"/>
      <c r="I551" s="11"/>
      <c r="J551" s="12">
        <v>418</v>
      </c>
      <c r="K551" s="12" t="s">
        <v>802</v>
      </c>
      <c r="L551">
        <v>71</v>
      </c>
    </row>
    <row r="552" spans="1:12" x14ac:dyDescent="0.35">
      <c r="A552" s="10">
        <v>551</v>
      </c>
      <c r="B552" s="6"/>
      <c r="C552" s="9"/>
      <c r="D552" s="9"/>
      <c r="E552" s="9"/>
      <c r="F552" s="9"/>
      <c r="G552" s="9"/>
      <c r="H552" s="9"/>
      <c r="I552" s="11"/>
      <c r="J552" s="12">
        <v>426</v>
      </c>
      <c r="K552" s="12" t="s">
        <v>807</v>
      </c>
      <c r="L552">
        <v>71</v>
      </c>
    </row>
    <row r="553" spans="1:12" x14ac:dyDescent="0.35">
      <c r="A553" s="10">
        <v>552</v>
      </c>
      <c r="B553" s="6"/>
      <c r="C553" s="9"/>
      <c r="D553" s="9"/>
      <c r="E553" s="9"/>
      <c r="F553" s="9"/>
      <c r="G553" s="9"/>
      <c r="H553" s="9"/>
      <c r="I553" s="11"/>
      <c r="J553" s="12">
        <v>472</v>
      </c>
      <c r="K553" s="12" t="s">
        <v>829</v>
      </c>
      <c r="L553">
        <v>71</v>
      </c>
    </row>
    <row r="554" spans="1:12" x14ac:dyDescent="0.35">
      <c r="A554" s="10">
        <v>553</v>
      </c>
      <c r="B554" s="6"/>
      <c r="C554" s="9"/>
      <c r="D554" s="9"/>
      <c r="E554" s="9"/>
      <c r="F554" s="9"/>
      <c r="G554" s="9"/>
      <c r="H554" s="9"/>
      <c r="I554" s="11"/>
      <c r="J554" s="12">
        <v>480</v>
      </c>
      <c r="K554" s="12" t="s">
        <v>834</v>
      </c>
      <c r="L554">
        <v>71</v>
      </c>
    </row>
    <row r="555" spans="1:12" x14ac:dyDescent="0.35">
      <c r="A555" s="10">
        <v>554</v>
      </c>
      <c r="B555" s="6"/>
      <c r="C555" s="9"/>
      <c r="D555" s="9"/>
      <c r="E555" s="9"/>
      <c r="F555" s="9"/>
      <c r="G555" s="9"/>
      <c r="H555" s="9"/>
      <c r="I555" s="11"/>
      <c r="J555" s="12">
        <v>487</v>
      </c>
      <c r="K555" s="12" t="s">
        <v>838</v>
      </c>
      <c r="L555">
        <v>71</v>
      </c>
    </row>
    <row r="556" spans="1:12" x14ac:dyDescent="0.35">
      <c r="A556" s="10">
        <v>555</v>
      </c>
      <c r="B556" s="6"/>
      <c r="C556" s="9"/>
      <c r="D556" s="9"/>
      <c r="E556" s="9"/>
      <c r="F556" s="9"/>
      <c r="G556" s="9"/>
      <c r="H556" s="9"/>
      <c r="I556" s="11"/>
      <c r="J556" s="12">
        <v>435</v>
      </c>
      <c r="K556" s="12" t="s">
        <v>811</v>
      </c>
      <c r="L556">
        <v>71</v>
      </c>
    </row>
    <row r="557" spans="1:12" x14ac:dyDescent="0.35">
      <c r="A557" s="10">
        <v>556</v>
      </c>
      <c r="B557" s="6"/>
      <c r="C557" s="9"/>
      <c r="D557" s="9"/>
      <c r="E557" s="9" t="s">
        <v>1384</v>
      </c>
      <c r="F557" s="9" t="s">
        <v>1385</v>
      </c>
      <c r="G557" s="9"/>
      <c r="H557" s="9"/>
      <c r="I557" s="11">
        <v>792</v>
      </c>
      <c r="J557" s="12">
        <v>803</v>
      </c>
      <c r="K557" s="12" t="s">
        <v>389</v>
      </c>
      <c r="L557">
        <v>72</v>
      </c>
    </row>
    <row r="558" spans="1:12" x14ac:dyDescent="0.35">
      <c r="A558" s="10">
        <v>557</v>
      </c>
      <c r="B558" s="6"/>
      <c r="C558" s="9"/>
      <c r="D558" s="9"/>
      <c r="E558" s="9"/>
      <c r="F558" s="9"/>
      <c r="G558" s="9"/>
      <c r="H558" s="9"/>
      <c r="I558" s="11"/>
      <c r="J558" s="12">
        <v>818</v>
      </c>
      <c r="K558" s="12" t="s">
        <v>1017</v>
      </c>
      <c r="L558">
        <v>72</v>
      </c>
    </row>
    <row r="559" spans="1:12" x14ac:dyDescent="0.35">
      <c r="A559" s="10">
        <v>558</v>
      </c>
      <c r="B559" s="6"/>
      <c r="C559" s="9"/>
      <c r="D559" s="9"/>
      <c r="E559" s="9"/>
      <c r="F559" s="9"/>
      <c r="G559" s="9"/>
      <c r="H559" s="9"/>
      <c r="I559" s="11">
        <v>1019</v>
      </c>
      <c r="J559" s="12">
        <v>1031</v>
      </c>
      <c r="K559" s="12" t="s">
        <v>510</v>
      </c>
      <c r="L559">
        <v>72</v>
      </c>
    </row>
    <row r="560" spans="1:12" x14ac:dyDescent="0.35">
      <c r="A560" s="10">
        <v>559</v>
      </c>
      <c r="B560" s="6"/>
      <c r="C560" s="9"/>
      <c r="D560" s="9"/>
      <c r="E560" s="9"/>
      <c r="F560" s="9"/>
      <c r="G560" s="9"/>
      <c r="H560" s="9"/>
      <c r="I560" s="11">
        <v>1010</v>
      </c>
      <c r="J560" s="12">
        <v>1022</v>
      </c>
      <c r="K560" s="12" t="s">
        <v>504</v>
      </c>
      <c r="L560">
        <v>72</v>
      </c>
    </row>
    <row r="561" spans="1:12" x14ac:dyDescent="0.35">
      <c r="A561" s="10">
        <v>560</v>
      </c>
      <c r="B561" s="6"/>
      <c r="C561" s="9"/>
      <c r="D561" s="9"/>
      <c r="E561" s="9"/>
      <c r="F561" s="9"/>
      <c r="G561" s="9"/>
      <c r="H561" s="9"/>
      <c r="I561" s="11">
        <v>332</v>
      </c>
      <c r="J561" s="12">
        <v>342</v>
      </c>
      <c r="K561" s="12" t="s">
        <v>184</v>
      </c>
      <c r="L561">
        <v>72</v>
      </c>
    </row>
    <row r="562" spans="1:12" x14ac:dyDescent="0.35">
      <c r="A562" s="10">
        <v>561</v>
      </c>
      <c r="B562" s="6"/>
      <c r="C562" s="9"/>
      <c r="D562" s="9"/>
      <c r="E562" s="9"/>
      <c r="F562" s="9" t="s">
        <v>1386</v>
      </c>
      <c r="G562" s="9"/>
      <c r="H562" s="9"/>
      <c r="I562" s="11"/>
      <c r="J562" s="12">
        <v>835</v>
      </c>
      <c r="K562" s="12" t="s">
        <v>1029</v>
      </c>
      <c r="L562">
        <v>73</v>
      </c>
    </row>
    <row r="563" spans="1:12" x14ac:dyDescent="0.35">
      <c r="A563" s="10">
        <v>562</v>
      </c>
      <c r="B563" s="6"/>
      <c r="C563" s="9"/>
      <c r="D563" s="9"/>
      <c r="E563" s="9"/>
      <c r="F563" s="9"/>
      <c r="G563" s="9"/>
      <c r="H563" s="9"/>
      <c r="I563" s="11">
        <v>288</v>
      </c>
      <c r="J563" s="12">
        <v>298</v>
      </c>
      <c r="K563" s="12" t="s">
        <v>162</v>
      </c>
      <c r="L563">
        <v>73</v>
      </c>
    </row>
    <row r="564" spans="1:12" x14ac:dyDescent="0.35">
      <c r="A564" s="10">
        <v>563</v>
      </c>
      <c r="B564" s="6"/>
      <c r="C564" s="9"/>
      <c r="D564" s="9"/>
      <c r="E564" s="9"/>
      <c r="F564" s="9" t="s">
        <v>1387</v>
      </c>
      <c r="G564" s="9"/>
      <c r="H564" s="9"/>
      <c r="I564" s="11"/>
      <c r="J564" s="12">
        <v>826</v>
      </c>
      <c r="K564" s="12" t="s">
        <v>1023</v>
      </c>
      <c r="L564">
        <v>74</v>
      </c>
    </row>
    <row r="565" spans="1:12" x14ac:dyDescent="0.35">
      <c r="A565" s="10">
        <v>564</v>
      </c>
      <c r="B565" s="6"/>
      <c r="C565" s="9"/>
      <c r="D565" s="9"/>
      <c r="E565" s="9"/>
      <c r="F565" s="9"/>
      <c r="G565" s="9" t="s">
        <v>1388</v>
      </c>
      <c r="H565" s="9"/>
      <c r="I565" s="11"/>
      <c r="J565" s="12">
        <v>904</v>
      </c>
      <c r="K565" s="12" t="s">
        <v>1062</v>
      </c>
      <c r="L565">
        <v>74</v>
      </c>
    </row>
    <row r="566" spans="1:12" x14ac:dyDescent="0.35">
      <c r="A566" s="10">
        <v>565</v>
      </c>
      <c r="B566" s="6"/>
      <c r="C566" s="9"/>
      <c r="D566" s="9"/>
      <c r="E566" s="9"/>
      <c r="F566" s="9"/>
      <c r="G566" s="9"/>
      <c r="H566" s="9"/>
      <c r="I566" s="11">
        <v>553</v>
      </c>
      <c r="J566" s="12">
        <v>564</v>
      </c>
      <c r="K566" s="12" t="s">
        <v>268</v>
      </c>
      <c r="L566">
        <v>74</v>
      </c>
    </row>
    <row r="567" spans="1:12" x14ac:dyDescent="0.35">
      <c r="A567" s="10">
        <v>566</v>
      </c>
      <c r="B567" s="6"/>
      <c r="C567" s="9"/>
      <c r="D567" s="9"/>
      <c r="E567" s="9"/>
      <c r="F567" s="9"/>
      <c r="G567" s="9"/>
      <c r="H567" s="9"/>
      <c r="I567" s="11">
        <v>585</v>
      </c>
      <c r="J567" s="12">
        <v>596</v>
      </c>
      <c r="K567" s="12" t="s">
        <v>286</v>
      </c>
      <c r="L567">
        <v>74</v>
      </c>
    </row>
    <row r="568" spans="1:12" x14ac:dyDescent="0.35">
      <c r="A568" s="10">
        <v>567</v>
      </c>
      <c r="B568" s="6"/>
      <c r="C568" s="9"/>
      <c r="D568" s="9"/>
      <c r="E568" s="9"/>
      <c r="F568" s="9"/>
      <c r="G568" s="9" t="s">
        <v>1389</v>
      </c>
      <c r="H568" s="9"/>
      <c r="I568" s="11">
        <v>570</v>
      </c>
      <c r="J568" s="12">
        <v>581</v>
      </c>
      <c r="K568" s="12" t="s">
        <v>277</v>
      </c>
      <c r="L568">
        <v>74</v>
      </c>
    </row>
    <row r="569" spans="1:12" x14ac:dyDescent="0.35">
      <c r="A569" s="10">
        <v>568</v>
      </c>
      <c r="B569" s="6"/>
      <c r="C569" s="9"/>
      <c r="D569" s="9"/>
      <c r="E569" s="9"/>
      <c r="F569" s="9" t="s">
        <v>1420</v>
      </c>
      <c r="G569" s="9"/>
      <c r="H569" s="9"/>
      <c r="I569" s="11"/>
      <c r="J569" s="12">
        <v>809</v>
      </c>
      <c r="K569" s="12" t="s">
        <v>1011</v>
      </c>
      <c r="L569">
        <v>75</v>
      </c>
    </row>
    <row r="570" spans="1:12" x14ac:dyDescent="0.35">
      <c r="A570" s="10">
        <v>569</v>
      </c>
      <c r="B570" s="6"/>
      <c r="C570" s="9"/>
      <c r="D570" s="9"/>
      <c r="E570" s="9"/>
      <c r="F570" s="9"/>
      <c r="G570" s="9"/>
      <c r="H570" s="9"/>
      <c r="I570" s="11">
        <v>341</v>
      </c>
      <c r="J570" s="12">
        <v>351</v>
      </c>
      <c r="K570" s="12" t="s">
        <v>188</v>
      </c>
      <c r="L570">
        <v>75</v>
      </c>
    </row>
    <row r="571" spans="1:12" x14ac:dyDescent="0.35">
      <c r="A571" s="10">
        <v>570</v>
      </c>
      <c r="B571" s="6"/>
      <c r="C571" s="9"/>
      <c r="D571" s="9"/>
      <c r="E571" s="9"/>
      <c r="F571" s="9"/>
      <c r="G571" s="9"/>
      <c r="H571" s="9"/>
      <c r="I571" s="11"/>
      <c r="J571" s="12">
        <v>359</v>
      </c>
      <c r="K571" s="12" t="s">
        <v>763</v>
      </c>
      <c r="L571">
        <v>75</v>
      </c>
    </row>
    <row r="572" spans="1:12" x14ac:dyDescent="0.35">
      <c r="A572" s="10">
        <v>571</v>
      </c>
      <c r="B572" s="6"/>
      <c r="C572" s="9"/>
      <c r="D572" s="9"/>
      <c r="E572" s="9"/>
      <c r="F572" s="9"/>
      <c r="G572" s="9"/>
      <c r="H572" s="9"/>
      <c r="I572" s="11"/>
      <c r="J572" s="12">
        <v>537</v>
      </c>
      <c r="K572" s="12" t="s">
        <v>870</v>
      </c>
      <c r="L572">
        <v>75</v>
      </c>
    </row>
    <row r="573" spans="1:12" x14ac:dyDescent="0.35">
      <c r="A573" s="10">
        <v>572</v>
      </c>
      <c r="B573" s="6"/>
      <c r="C573" s="9"/>
      <c r="D573" s="9"/>
      <c r="E573" s="9"/>
      <c r="F573" s="9"/>
      <c r="G573" s="9"/>
      <c r="H573" s="9"/>
      <c r="I573" s="11"/>
      <c r="J573" s="12">
        <v>498</v>
      </c>
      <c r="K573" s="12" t="s">
        <v>846</v>
      </c>
      <c r="L573">
        <v>75</v>
      </c>
    </row>
    <row r="574" spans="1:12" x14ac:dyDescent="0.35">
      <c r="A574" s="10">
        <v>573</v>
      </c>
      <c r="B574" s="6"/>
      <c r="C574" s="9"/>
      <c r="D574" s="9"/>
      <c r="E574" s="9"/>
      <c r="F574" s="9"/>
      <c r="G574" s="9"/>
      <c r="H574" s="9"/>
      <c r="I574" s="11"/>
      <c r="J574" s="12">
        <v>505</v>
      </c>
      <c r="K574" s="12" t="s">
        <v>850</v>
      </c>
      <c r="L574">
        <v>75</v>
      </c>
    </row>
    <row r="575" spans="1:12" x14ac:dyDescent="0.35">
      <c r="A575" s="10">
        <v>574</v>
      </c>
      <c r="B575" s="6"/>
      <c r="C575" s="9"/>
      <c r="D575" s="9"/>
      <c r="E575" s="9"/>
      <c r="F575" s="9"/>
      <c r="G575" s="9"/>
      <c r="H575" s="9"/>
      <c r="I575" s="11"/>
      <c r="J575" s="12">
        <v>513</v>
      </c>
      <c r="K575" s="12" t="s">
        <v>855</v>
      </c>
      <c r="L575">
        <v>75</v>
      </c>
    </row>
    <row r="576" spans="1:12" x14ac:dyDescent="0.35">
      <c r="A576" s="10">
        <v>575</v>
      </c>
      <c r="B576" s="6"/>
      <c r="C576" s="9"/>
      <c r="D576" s="9"/>
      <c r="E576" s="9"/>
      <c r="F576" s="9"/>
      <c r="G576" s="9"/>
      <c r="H576" s="9"/>
      <c r="I576" s="11"/>
      <c r="J576" s="12">
        <v>546</v>
      </c>
      <c r="K576" s="12" t="s">
        <v>876</v>
      </c>
      <c r="L576">
        <v>75</v>
      </c>
    </row>
    <row r="577" spans="1:12" x14ac:dyDescent="0.35">
      <c r="A577" s="10">
        <v>576</v>
      </c>
      <c r="B577" s="6"/>
      <c r="C577" s="9"/>
      <c r="D577" s="9"/>
      <c r="E577" s="9"/>
      <c r="F577" s="9"/>
      <c r="G577" s="9"/>
      <c r="H577" s="9"/>
      <c r="I577" s="11"/>
      <c r="J577" s="12">
        <v>521</v>
      </c>
      <c r="K577" s="12" t="s">
        <v>861</v>
      </c>
      <c r="L577">
        <v>75</v>
      </c>
    </row>
    <row r="578" spans="1:12" x14ac:dyDescent="0.35">
      <c r="A578" s="10">
        <v>577</v>
      </c>
      <c r="B578" s="6"/>
      <c r="C578" s="9"/>
      <c r="D578" s="9"/>
      <c r="E578" s="9"/>
      <c r="F578" s="9"/>
      <c r="G578" s="9"/>
      <c r="H578" s="9"/>
      <c r="I578" s="11"/>
      <c r="J578" s="12">
        <v>554</v>
      </c>
      <c r="K578" s="12" t="s">
        <v>883</v>
      </c>
      <c r="L578">
        <v>75</v>
      </c>
    </row>
    <row r="579" spans="1:12" x14ac:dyDescent="0.35">
      <c r="A579" s="10">
        <v>578</v>
      </c>
      <c r="B579" s="6"/>
      <c r="C579" s="9"/>
      <c r="D579" s="9"/>
      <c r="E579" s="9"/>
      <c r="F579" s="9"/>
      <c r="G579" s="9"/>
      <c r="H579" s="9"/>
      <c r="I579" s="11"/>
      <c r="J579" s="12">
        <v>562</v>
      </c>
      <c r="K579" s="12" t="s">
        <v>889</v>
      </c>
      <c r="L579">
        <v>75</v>
      </c>
    </row>
    <row r="580" spans="1:12" x14ac:dyDescent="0.35">
      <c r="A580" s="10">
        <v>579</v>
      </c>
      <c r="B580" s="6"/>
      <c r="C580" s="9"/>
      <c r="D580" s="9"/>
      <c r="E580" s="9"/>
      <c r="F580" s="9"/>
      <c r="G580" s="9"/>
      <c r="H580" s="9"/>
      <c r="I580" s="11"/>
      <c r="J580" s="12">
        <v>529</v>
      </c>
      <c r="K580" s="12" t="s">
        <v>866</v>
      </c>
      <c r="L580">
        <v>75</v>
      </c>
    </row>
    <row r="581" spans="1:12" x14ac:dyDescent="0.35">
      <c r="A581" s="10">
        <v>580</v>
      </c>
      <c r="B581" s="6"/>
      <c r="C581" s="9"/>
      <c r="D581" s="9"/>
      <c r="E581" s="9"/>
      <c r="F581" s="9"/>
      <c r="G581" s="9"/>
      <c r="H581" s="9"/>
      <c r="I581" s="11"/>
      <c r="J581" s="12">
        <v>367</v>
      </c>
      <c r="K581" s="12" t="s">
        <v>767</v>
      </c>
      <c r="L581">
        <v>75</v>
      </c>
    </row>
    <row r="582" spans="1:12" x14ac:dyDescent="0.35">
      <c r="A582" s="10">
        <v>581</v>
      </c>
      <c r="B582" s="6"/>
      <c r="C582" s="9"/>
      <c r="D582" s="9"/>
      <c r="E582" s="9"/>
      <c r="F582" s="9"/>
      <c r="G582" s="9"/>
      <c r="H582" s="9"/>
      <c r="I582" s="11"/>
      <c r="J582" s="12">
        <v>569</v>
      </c>
      <c r="K582" s="12" t="s">
        <v>893</v>
      </c>
      <c r="L582">
        <v>75</v>
      </c>
    </row>
    <row r="583" spans="1:12" x14ac:dyDescent="0.35">
      <c r="A583" s="10">
        <v>582</v>
      </c>
      <c r="B583" s="6"/>
      <c r="C583" s="9"/>
      <c r="D583" s="9"/>
      <c r="E583" s="9"/>
      <c r="F583" s="9"/>
      <c r="G583" s="9"/>
      <c r="H583" s="9"/>
      <c r="I583" s="11"/>
      <c r="J583" s="12">
        <v>578</v>
      </c>
      <c r="K583" s="12" t="s">
        <v>897</v>
      </c>
      <c r="L583">
        <v>75</v>
      </c>
    </row>
    <row r="584" spans="1:12" x14ac:dyDescent="0.35">
      <c r="A584" s="10">
        <v>583</v>
      </c>
      <c r="B584" s="6"/>
      <c r="C584" s="9"/>
      <c r="D584" s="9"/>
      <c r="E584" s="9"/>
      <c r="F584" s="9"/>
      <c r="G584" s="9"/>
      <c r="H584" s="9"/>
      <c r="I584" s="11"/>
      <c r="J584" s="12">
        <v>585</v>
      </c>
      <c r="K584" s="12" t="s">
        <v>900</v>
      </c>
      <c r="L584">
        <v>75</v>
      </c>
    </row>
    <row r="585" spans="1:12" x14ac:dyDescent="0.35">
      <c r="A585" s="10">
        <v>584</v>
      </c>
      <c r="B585" s="6"/>
      <c r="C585" s="9"/>
      <c r="D585" s="9"/>
      <c r="E585" s="9"/>
      <c r="F585" s="9"/>
      <c r="G585" s="9"/>
      <c r="H585" s="9"/>
      <c r="I585" s="11"/>
      <c r="J585" s="12">
        <v>594</v>
      </c>
      <c r="K585" s="12" t="s">
        <v>904</v>
      </c>
      <c r="L585">
        <v>75</v>
      </c>
    </row>
    <row r="586" spans="1:12" x14ac:dyDescent="0.35">
      <c r="A586" s="10">
        <v>585</v>
      </c>
      <c r="B586" s="6"/>
      <c r="C586" s="9"/>
      <c r="D586" s="9"/>
      <c r="E586" s="9"/>
      <c r="F586" s="9"/>
      <c r="G586" s="9"/>
      <c r="H586" s="9"/>
      <c r="I586" s="11"/>
      <c r="J586" s="12">
        <v>602</v>
      </c>
      <c r="K586" s="12" t="s">
        <v>906</v>
      </c>
      <c r="L586">
        <v>75</v>
      </c>
    </row>
    <row r="587" spans="1:12" x14ac:dyDescent="0.35">
      <c r="A587" s="10">
        <v>586</v>
      </c>
      <c r="B587" s="6"/>
      <c r="C587" s="9"/>
      <c r="D587" s="9"/>
      <c r="E587" s="9"/>
      <c r="F587" s="9"/>
      <c r="G587" s="9"/>
      <c r="H587" s="9"/>
      <c r="I587" s="11">
        <v>277</v>
      </c>
      <c r="J587" s="12">
        <v>287</v>
      </c>
      <c r="K587" s="12" t="s">
        <v>156</v>
      </c>
      <c r="L587">
        <v>75</v>
      </c>
    </row>
    <row r="588" spans="1:12" x14ac:dyDescent="0.35">
      <c r="A588" s="10">
        <v>587</v>
      </c>
      <c r="B588" s="6"/>
      <c r="C588" s="9" t="s">
        <v>754</v>
      </c>
      <c r="D588" s="9"/>
      <c r="E588" s="9"/>
      <c r="F588" s="9"/>
      <c r="G588" s="9"/>
      <c r="H588" s="9"/>
      <c r="I588" s="11"/>
      <c r="J588" s="12">
        <v>343</v>
      </c>
      <c r="K588" s="12" t="s">
        <v>754</v>
      </c>
    </row>
    <row r="589" spans="1:12" x14ac:dyDescent="0.35">
      <c r="A589" s="10">
        <v>588</v>
      </c>
      <c r="B589" s="6"/>
      <c r="C589" s="9"/>
      <c r="D589" s="9" t="s">
        <v>1390</v>
      </c>
      <c r="E589" s="9"/>
      <c r="F589" s="9"/>
      <c r="G589" s="9"/>
      <c r="H589" s="9"/>
      <c r="I589" s="11"/>
      <c r="J589" s="12">
        <v>1129</v>
      </c>
      <c r="K589" s="12" t="s">
        <v>1162</v>
      </c>
    </row>
    <row r="590" spans="1:12" x14ac:dyDescent="0.35">
      <c r="A590" s="10">
        <v>589</v>
      </c>
      <c r="B590" s="6"/>
      <c r="C590" s="9"/>
      <c r="D590" s="9"/>
      <c r="E590" s="9" t="s">
        <v>1391</v>
      </c>
      <c r="F590" s="9"/>
      <c r="G590" s="9"/>
      <c r="H590" s="9"/>
      <c r="I590" s="11">
        <v>538</v>
      </c>
      <c r="J590" s="12">
        <v>549</v>
      </c>
      <c r="K590" s="12" t="s">
        <v>265</v>
      </c>
    </row>
    <row r="591" spans="1:12" x14ac:dyDescent="0.35">
      <c r="A591" s="10">
        <v>590</v>
      </c>
      <c r="B591" s="6"/>
      <c r="C591" s="9"/>
      <c r="D591" s="9"/>
      <c r="E591" s="9"/>
      <c r="F591" s="9" t="s">
        <v>1392</v>
      </c>
      <c r="G591" s="9"/>
      <c r="H591" s="9"/>
      <c r="I591" s="11"/>
      <c r="J591" s="12">
        <v>864</v>
      </c>
      <c r="K591" s="12" t="s">
        <v>1041</v>
      </c>
    </row>
    <row r="592" spans="1:12" x14ac:dyDescent="0.35">
      <c r="A592" s="10">
        <v>591</v>
      </c>
      <c r="B592" s="6"/>
      <c r="C592" s="9"/>
      <c r="D592" s="9"/>
      <c r="E592" s="9"/>
      <c r="F592" s="9"/>
      <c r="G592" s="9" t="s">
        <v>1393</v>
      </c>
      <c r="H592" s="9"/>
      <c r="I592" s="11"/>
      <c r="J592" s="12">
        <v>637</v>
      </c>
      <c r="K592" s="12" t="s">
        <v>921</v>
      </c>
      <c r="L592">
        <v>76</v>
      </c>
    </row>
    <row r="593" spans="1:12" x14ac:dyDescent="0.35">
      <c r="A593" s="10">
        <v>592</v>
      </c>
      <c r="B593" s="6"/>
      <c r="C593" s="9"/>
      <c r="D593" s="9"/>
      <c r="E593" s="9"/>
      <c r="F593" s="9"/>
      <c r="G593" s="9"/>
      <c r="H593" s="9"/>
      <c r="I593" s="11">
        <v>618</v>
      </c>
      <c r="J593" s="12">
        <v>629</v>
      </c>
      <c r="K593" s="12" t="s">
        <v>306</v>
      </c>
      <c r="L593">
        <v>76</v>
      </c>
    </row>
    <row r="594" spans="1:12" x14ac:dyDescent="0.35">
      <c r="A594" s="10">
        <v>593</v>
      </c>
      <c r="B594" s="6"/>
      <c r="C594" s="9"/>
      <c r="D594" s="9"/>
      <c r="E594" s="9"/>
      <c r="F594" s="9"/>
      <c r="G594" s="9"/>
      <c r="H594" s="9"/>
      <c r="I594" s="11">
        <v>674</v>
      </c>
      <c r="J594" s="12">
        <v>685</v>
      </c>
      <c r="K594" s="12" t="s">
        <v>336</v>
      </c>
      <c r="L594">
        <v>76</v>
      </c>
    </row>
    <row r="595" spans="1:12" x14ac:dyDescent="0.35">
      <c r="A595" s="10">
        <v>594</v>
      </c>
      <c r="B595" s="6"/>
      <c r="C595" s="9"/>
      <c r="D595" s="9"/>
      <c r="E595" s="9"/>
      <c r="F595" s="9"/>
      <c r="G595" s="9"/>
      <c r="H595" s="9"/>
      <c r="I595" s="11"/>
      <c r="J595" s="12">
        <v>709</v>
      </c>
      <c r="K595" s="12" t="s">
        <v>952</v>
      </c>
      <c r="L595">
        <v>76</v>
      </c>
    </row>
    <row r="596" spans="1:12" x14ac:dyDescent="0.35">
      <c r="A596" s="10">
        <v>595</v>
      </c>
      <c r="B596" s="6"/>
      <c r="C596" s="9"/>
      <c r="D596" s="9"/>
      <c r="E596" s="9"/>
      <c r="F596" s="9"/>
      <c r="G596" s="9"/>
      <c r="H596" s="9"/>
      <c r="I596" s="11">
        <v>707</v>
      </c>
      <c r="J596" s="12">
        <v>718</v>
      </c>
      <c r="K596" s="12" t="s">
        <v>353</v>
      </c>
      <c r="L596">
        <v>76</v>
      </c>
    </row>
    <row r="597" spans="1:12" x14ac:dyDescent="0.35">
      <c r="A597" s="10">
        <v>596</v>
      </c>
      <c r="B597" s="6"/>
      <c r="C597" s="9"/>
      <c r="D597" s="9"/>
      <c r="E597" s="9"/>
      <c r="F597" s="9"/>
      <c r="G597" s="9"/>
      <c r="H597" s="9"/>
      <c r="I597" s="11">
        <v>714</v>
      </c>
      <c r="J597" s="12">
        <v>725</v>
      </c>
      <c r="K597" s="12" t="s">
        <v>355</v>
      </c>
      <c r="L597">
        <v>76</v>
      </c>
    </row>
    <row r="598" spans="1:12" x14ac:dyDescent="0.35">
      <c r="A598" s="10">
        <v>597</v>
      </c>
      <c r="B598" s="6"/>
      <c r="C598" s="9"/>
      <c r="D598" s="9"/>
      <c r="E598" s="9"/>
      <c r="F598" s="9"/>
      <c r="G598" s="9"/>
      <c r="H598" s="9"/>
      <c r="I598" s="11">
        <v>722</v>
      </c>
      <c r="J598" s="12">
        <v>733</v>
      </c>
      <c r="K598" s="12" t="s">
        <v>359</v>
      </c>
      <c r="L598">
        <v>76</v>
      </c>
    </row>
    <row r="599" spans="1:12" x14ac:dyDescent="0.35">
      <c r="A599" s="10">
        <v>598</v>
      </c>
      <c r="B599" s="6"/>
      <c r="C599" s="9"/>
      <c r="D599" s="9"/>
      <c r="E599" s="9"/>
      <c r="F599" s="9"/>
      <c r="G599" s="9"/>
      <c r="H599" s="9"/>
      <c r="I599" s="11">
        <v>730</v>
      </c>
      <c r="J599" s="12">
        <v>741</v>
      </c>
      <c r="K599" s="12" t="s">
        <v>361</v>
      </c>
      <c r="L599">
        <v>76</v>
      </c>
    </row>
    <row r="600" spans="1:12" x14ac:dyDescent="0.35">
      <c r="A600" s="10">
        <v>599</v>
      </c>
      <c r="B600" s="6"/>
      <c r="C600" s="9"/>
      <c r="D600" s="9"/>
      <c r="E600" s="9"/>
      <c r="F600" s="9"/>
      <c r="G600" s="9"/>
      <c r="H600" s="9"/>
      <c r="I600" s="11"/>
      <c r="J600" s="12">
        <v>406</v>
      </c>
      <c r="K600" s="12" t="s">
        <v>794</v>
      </c>
      <c r="L600">
        <v>77</v>
      </c>
    </row>
    <row r="601" spans="1:12" x14ac:dyDescent="0.35">
      <c r="A601" s="10">
        <v>600</v>
      </c>
      <c r="B601" s="6"/>
      <c r="C601" s="9"/>
      <c r="D601" s="9"/>
      <c r="E601" s="9"/>
      <c r="F601" s="9"/>
      <c r="G601" s="9"/>
      <c r="H601" s="9"/>
      <c r="I601" s="11">
        <v>404</v>
      </c>
      <c r="J601" s="12">
        <v>414</v>
      </c>
      <c r="K601" s="12" t="s">
        <v>210</v>
      </c>
      <c r="L601">
        <v>77</v>
      </c>
    </row>
    <row r="602" spans="1:12" x14ac:dyDescent="0.35">
      <c r="A602" s="10">
        <v>601</v>
      </c>
      <c r="B602" s="6"/>
      <c r="C602" s="9"/>
      <c r="D602" s="9"/>
      <c r="E602" s="9"/>
      <c r="F602" s="9"/>
      <c r="G602" s="9"/>
      <c r="H602" s="9"/>
      <c r="I602" s="11">
        <v>411</v>
      </c>
      <c r="J602" s="12">
        <v>422</v>
      </c>
      <c r="K602" s="12" t="s">
        <v>212</v>
      </c>
      <c r="L602">
        <v>77</v>
      </c>
    </row>
    <row r="603" spans="1:12" x14ac:dyDescent="0.35">
      <c r="A603" s="10">
        <v>602</v>
      </c>
      <c r="B603" s="6"/>
      <c r="C603" s="9"/>
      <c r="D603" s="9"/>
      <c r="E603" s="9"/>
      <c r="F603" s="9"/>
      <c r="G603" s="9"/>
      <c r="H603" s="9"/>
      <c r="I603" s="11">
        <v>598</v>
      </c>
      <c r="J603" s="12">
        <v>609</v>
      </c>
      <c r="K603" s="12" t="s">
        <v>294</v>
      </c>
      <c r="L603">
        <v>77</v>
      </c>
    </row>
    <row r="604" spans="1:12" x14ac:dyDescent="0.35">
      <c r="A604" s="10">
        <v>603</v>
      </c>
      <c r="B604" s="6"/>
      <c r="C604" s="9"/>
      <c r="D604" s="9"/>
      <c r="E604" s="9"/>
      <c r="F604" s="9"/>
      <c r="G604" s="9" t="s">
        <v>517</v>
      </c>
      <c r="H604" s="9"/>
      <c r="I604" s="11">
        <v>1032</v>
      </c>
      <c r="J604" s="12">
        <v>1044</v>
      </c>
      <c r="K604" s="12" t="s">
        <v>517</v>
      </c>
      <c r="L604">
        <v>77</v>
      </c>
    </row>
    <row r="605" spans="1:12" x14ac:dyDescent="0.35">
      <c r="A605" s="10">
        <v>604</v>
      </c>
      <c r="B605" s="6"/>
      <c r="C605" s="9"/>
      <c r="D605" s="9"/>
      <c r="E605" s="9"/>
      <c r="F605" s="9"/>
      <c r="G605" s="9" t="s">
        <v>1106</v>
      </c>
      <c r="H605" s="9"/>
      <c r="I605" s="11"/>
      <c r="J605" s="12">
        <v>1008</v>
      </c>
      <c r="K605" s="12" t="s">
        <v>1106</v>
      </c>
      <c r="L605">
        <v>78</v>
      </c>
    </row>
    <row r="606" spans="1:12" x14ac:dyDescent="0.35">
      <c r="A606" s="10">
        <v>605</v>
      </c>
      <c r="B606" s="6"/>
      <c r="C606" s="9"/>
      <c r="D606" s="9"/>
      <c r="E606" s="9"/>
      <c r="F606" s="9"/>
      <c r="G606" s="9"/>
      <c r="H606" s="9"/>
      <c r="I606" s="11">
        <v>464</v>
      </c>
      <c r="J606" s="12">
        <v>475</v>
      </c>
      <c r="K606" s="12" t="s">
        <v>238</v>
      </c>
      <c r="L606">
        <v>78</v>
      </c>
    </row>
    <row r="607" spans="1:12" x14ac:dyDescent="0.35">
      <c r="A607" s="10">
        <v>606</v>
      </c>
      <c r="B607" s="6"/>
      <c r="C607" s="9"/>
      <c r="D607" s="9"/>
      <c r="E607" s="9"/>
      <c r="F607" s="9"/>
      <c r="G607" s="9"/>
      <c r="H607" s="9"/>
      <c r="I607" s="11"/>
      <c r="J607" s="12">
        <v>1072</v>
      </c>
      <c r="K607" s="12" t="s">
        <v>1135</v>
      </c>
      <c r="L607">
        <v>78</v>
      </c>
    </row>
    <row r="608" spans="1:12" x14ac:dyDescent="0.35">
      <c r="A608" s="10">
        <v>607</v>
      </c>
      <c r="B608" s="6"/>
      <c r="C608" s="9"/>
      <c r="D608" s="9"/>
      <c r="E608" s="9"/>
      <c r="F608" s="9"/>
      <c r="G608" s="9"/>
      <c r="H608" s="9"/>
      <c r="I608" s="11"/>
      <c r="J608" s="12">
        <v>1079</v>
      </c>
      <c r="K608" s="12" t="s">
        <v>1140</v>
      </c>
      <c r="L608">
        <v>78</v>
      </c>
    </row>
    <row r="609" spans="1:12" x14ac:dyDescent="0.35">
      <c r="A609" s="10">
        <v>608</v>
      </c>
      <c r="B609" s="6"/>
      <c r="C609" s="9"/>
      <c r="D609" s="9"/>
      <c r="E609" s="9"/>
      <c r="F609" s="9"/>
      <c r="G609" s="9"/>
      <c r="H609" s="9"/>
      <c r="I609" s="11"/>
      <c r="J609" s="12">
        <v>1088</v>
      </c>
      <c r="K609" s="12" t="s">
        <v>1145</v>
      </c>
      <c r="L609">
        <v>78</v>
      </c>
    </row>
    <row r="610" spans="1:12" x14ac:dyDescent="0.35">
      <c r="A610" s="10">
        <v>609</v>
      </c>
      <c r="B610" s="6"/>
      <c r="C610" s="9"/>
      <c r="D610" s="9"/>
      <c r="E610" s="9"/>
      <c r="F610" s="9"/>
      <c r="G610" s="9"/>
      <c r="H610" s="9"/>
      <c r="I610" s="11">
        <v>165</v>
      </c>
      <c r="J610" s="12">
        <v>170</v>
      </c>
      <c r="K610" s="12" t="s">
        <v>100</v>
      </c>
      <c r="L610">
        <v>78</v>
      </c>
    </row>
    <row r="611" spans="1:12" x14ac:dyDescent="0.35">
      <c r="A611" s="10">
        <v>610</v>
      </c>
      <c r="B611" s="6"/>
      <c r="C611" s="9"/>
      <c r="D611" s="9"/>
      <c r="E611" s="9"/>
      <c r="F611" s="9" t="s">
        <v>1394</v>
      </c>
      <c r="G611" s="9"/>
      <c r="H611" s="9"/>
      <c r="I611" s="11"/>
      <c r="J611" s="12">
        <v>856</v>
      </c>
      <c r="K611" s="12" t="s">
        <v>1037</v>
      </c>
    </row>
    <row r="612" spans="1:12" x14ac:dyDescent="0.35">
      <c r="A612" s="10">
        <v>611</v>
      </c>
      <c r="B612" s="6"/>
      <c r="C612" s="9"/>
      <c r="D612" s="9"/>
      <c r="E612" s="9"/>
      <c r="F612" s="9"/>
      <c r="G612" s="9" t="s">
        <v>1421</v>
      </c>
      <c r="H612" s="9"/>
      <c r="I612" s="11"/>
      <c r="J612" s="12">
        <v>138</v>
      </c>
      <c r="K612" s="12" t="s">
        <v>654</v>
      </c>
      <c r="L612">
        <v>79</v>
      </c>
    </row>
    <row r="613" spans="1:12" x14ac:dyDescent="0.35">
      <c r="A613" s="10">
        <v>612</v>
      </c>
      <c r="B613" s="6"/>
      <c r="C613" s="9"/>
      <c r="D613" s="9"/>
      <c r="E613" s="9"/>
      <c r="F613" s="9"/>
      <c r="G613" s="9"/>
      <c r="H613" s="9"/>
      <c r="I613" s="11">
        <v>211</v>
      </c>
      <c r="J613" s="12">
        <v>218</v>
      </c>
      <c r="K613" s="12" t="s">
        <v>125</v>
      </c>
      <c r="L613">
        <v>79</v>
      </c>
    </row>
    <row r="614" spans="1:12" x14ac:dyDescent="0.35">
      <c r="A614" s="10">
        <v>613</v>
      </c>
      <c r="B614" s="6"/>
      <c r="C614" s="9"/>
      <c r="D614" s="9"/>
      <c r="E614" s="9"/>
      <c r="F614" s="9"/>
      <c r="G614" s="9"/>
      <c r="H614" s="9"/>
      <c r="I614" s="11">
        <v>1008</v>
      </c>
      <c r="J614" s="12">
        <v>1020</v>
      </c>
      <c r="K614" s="12" t="s">
        <v>502</v>
      </c>
      <c r="L614">
        <v>79</v>
      </c>
    </row>
    <row r="615" spans="1:12" x14ac:dyDescent="0.35">
      <c r="A615" s="10">
        <v>614</v>
      </c>
      <c r="B615" s="6"/>
      <c r="C615" s="9"/>
      <c r="D615" s="9"/>
      <c r="E615" s="9"/>
      <c r="F615" s="9"/>
      <c r="G615" s="9"/>
      <c r="H615" s="9"/>
      <c r="I615" s="11">
        <v>1017</v>
      </c>
      <c r="J615" s="12">
        <v>1029</v>
      </c>
      <c r="K615" s="12" t="s">
        <v>508</v>
      </c>
      <c r="L615">
        <v>79</v>
      </c>
    </row>
    <row r="616" spans="1:12" x14ac:dyDescent="0.35">
      <c r="A616" s="10">
        <v>615</v>
      </c>
      <c r="B616" s="6"/>
      <c r="C616" s="9"/>
      <c r="D616" s="9"/>
      <c r="E616" s="9"/>
      <c r="F616" s="9"/>
      <c r="G616" s="9"/>
      <c r="H616" s="9"/>
      <c r="I616" s="11">
        <v>315</v>
      </c>
      <c r="J616" s="12">
        <v>325</v>
      </c>
      <c r="K616" s="12" t="s">
        <v>176</v>
      </c>
      <c r="L616">
        <v>79</v>
      </c>
    </row>
    <row r="617" spans="1:12" x14ac:dyDescent="0.35">
      <c r="A617" s="10">
        <v>616</v>
      </c>
      <c r="B617" s="6"/>
      <c r="C617" s="9"/>
      <c r="D617" s="9"/>
      <c r="E617" s="9"/>
      <c r="F617" s="9"/>
      <c r="G617" s="9" t="s">
        <v>1422</v>
      </c>
      <c r="H617" s="9"/>
      <c r="I617" s="11"/>
      <c r="J617" s="12">
        <v>239</v>
      </c>
      <c r="K617" s="12" t="s">
        <v>704</v>
      </c>
    </row>
    <row r="618" spans="1:12" x14ac:dyDescent="0.35">
      <c r="A618" s="10">
        <v>617</v>
      </c>
      <c r="B618" s="6"/>
      <c r="C618" s="9"/>
      <c r="D618" s="9"/>
      <c r="E618" s="9"/>
      <c r="F618" s="9"/>
      <c r="G618" s="9"/>
      <c r="H618" s="9"/>
      <c r="I618" s="11">
        <v>248</v>
      </c>
      <c r="J618" s="12">
        <v>255</v>
      </c>
      <c r="K618" s="12" t="s">
        <v>141</v>
      </c>
      <c r="L618">
        <v>80</v>
      </c>
    </row>
    <row r="619" spans="1:12" x14ac:dyDescent="0.35">
      <c r="A619" s="10">
        <v>618</v>
      </c>
      <c r="B619" s="6"/>
      <c r="C619" s="9"/>
      <c r="D619" s="9"/>
      <c r="E619" s="9"/>
      <c r="F619" s="9"/>
      <c r="G619" s="9"/>
      <c r="H619" s="9"/>
      <c r="I619" s="11">
        <v>122</v>
      </c>
      <c r="J619" s="12">
        <v>127</v>
      </c>
      <c r="K619" s="12" t="s">
        <v>78</v>
      </c>
      <c r="L619">
        <v>80</v>
      </c>
    </row>
    <row r="620" spans="1:12" x14ac:dyDescent="0.35">
      <c r="A620" s="10">
        <v>619</v>
      </c>
      <c r="B620" s="6"/>
      <c r="C620" s="9"/>
      <c r="D620" s="9"/>
      <c r="E620" s="9"/>
      <c r="F620" s="9"/>
      <c r="G620" s="9"/>
      <c r="H620" s="9"/>
      <c r="I620" s="11"/>
      <c r="J620" s="12">
        <v>1096</v>
      </c>
      <c r="K620" s="12" t="s">
        <v>1148</v>
      </c>
      <c r="L620">
        <v>80</v>
      </c>
    </row>
    <row r="621" spans="1:12" x14ac:dyDescent="0.35">
      <c r="A621" s="10">
        <v>620</v>
      </c>
      <c r="B621" s="6"/>
      <c r="C621" s="9"/>
      <c r="D621" s="9"/>
      <c r="E621" s="9"/>
      <c r="F621" s="9"/>
      <c r="G621" s="9"/>
      <c r="H621" s="9"/>
      <c r="I621" s="11"/>
      <c r="J621" s="12">
        <v>1104</v>
      </c>
      <c r="K621" s="12" t="s">
        <v>1152</v>
      </c>
      <c r="L621">
        <v>80</v>
      </c>
    </row>
    <row r="622" spans="1:12" x14ac:dyDescent="0.35">
      <c r="A622" s="10">
        <v>621</v>
      </c>
      <c r="B622" s="6"/>
      <c r="C622" s="9"/>
      <c r="D622" s="9"/>
      <c r="E622" s="9"/>
      <c r="F622" s="9"/>
      <c r="G622" s="9"/>
      <c r="H622" s="9"/>
      <c r="I622" s="11">
        <v>59</v>
      </c>
      <c r="J622" s="12">
        <v>64</v>
      </c>
      <c r="K622" s="12" t="s">
        <v>47</v>
      </c>
      <c r="L622">
        <v>80</v>
      </c>
    </row>
    <row r="623" spans="1:12" x14ac:dyDescent="0.35">
      <c r="A623" s="10">
        <v>622</v>
      </c>
      <c r="B623" s="6"/>
      <c r="C623" s="9"/>
      <c r="D623" s="9"/>
      <c r="E623" s="9"/>
      <c r="F623" s="9"/>
      <c r="G623" s="9"/>
      <c r="H623" s="9"/>
      <c r="I623" s="11">
        <v>1107</v>
      </c>
      <c r="J623" s="12">
        <v>1120</v>
      </c>
      <c r="K623" s="12" t="s">
        <v>553</v>
      </c>
      <c r="L623">
        <v>80</v>
      </c>
    </row>
    <row r="624" spans="1:12" x14ac:dyDescent="0.35">
      <c r="A624" s="10">
        <v>623</v>
      </c>
      <c r="B624" s="6"/>
      <c r="C624" s="9"/>
      <c r="D624" s="9"/>
      <c r="E624" s="9"/>
      <c r="F624" s="9"/>
      <c r="G624" s="9"/>
      <c r="H624" s="9"/>
      <c r="I624" s="11">
        <v>1101</v>
      </c>
      <c r="J624" s="12">
        <v>1113</v>
      </c>
      <c r="K624" s="12" t="s">
        <v>551</v>
      </c>
      <c r="L624">
        <v>80</v>
      </c>
    </row>
    <row r="625" spans="1:12" x14ac:dyDescent="0.35">
      <c r="A625" s="10">
        <v>624</v>
      </c>
      <c r="B625" s="6"/>
      <c r="C625" s="9"/>
      <c r="D625" s="9"/>
      <c r="E625" s="9"/>
      <c r="F625" s="9"/>
      <c r="G625" s="9"/>
      <c r="H625" s="9"/>
      <c r="I625" s="11">
        <v>150</v>
      </c>
      <c r="J625" s="12">
        <v>155</v>
      </c>
      <c r="K625" s="12" t="s">
        <v>92</v>
      </c>
      <c r="L625">
        <v>80</v>
      </c>
    </row>
    <row r="626" spans="1:12" x14ac:dyDescent="0.35">
      <c r="A626" s="10">
        <v>625</v>
      </c>
      <c r="B626" s="6"/>
      <c r="C626" s="9"/>
      <c r="D626" s="9"/>
      <c r="E626" s="9"/>
      <c r="F626" s="9"/>
      <c r="G626" s="9" t="s">
        <v>1423</v>
      </c>
      <c r="H626" s="9"/>
      <c r="I626" s="11"/>
      <c r="J626" s="12">
        <v>444</v>
      </c>
      <c r="K626" s="12" t="s">
        <v>814</v>
      </c>
      <c r="L626">
        <v>81</v>
      </c>
    </row>
    <row r="627" spans="1:12" x14ac:dyDescent="0.35">
      <c r="A627" s="10">
        <v>626</v>
      </c>
      <c r="B627" s="6"/>
      <c r="C627" s="9"/>
      <c r="D627" s="9"/>
      <c r="E627" s="9"/>
      <c r="F627" s="9"/>
      <c r="G627" s="9"/>
      <c r="H627" s="9"/>
      <c r="I627" s="11"/>
      <c r="J627" s="12">
        <v>59</v>
      </c>
      <c r="K627" s="12" t="s">
        <v>615</v>
      </c>
      <c r="L627">
        <v>81</v>
      </c>
    </row>
    <row r="628" spans="1:12" x14ac:dyDescent="0.35">
      <c r="A628" s="10">
        <v>627</v>
      </c>
      <c r="B628" s="6"/>
      <c r="C628" s="9"/>
      <c r="D628" s="9"/>
      <c r="E628" s="9"/>
      <c r="F628" s="9"/>
      <c r="G628" s="9"/>
      <c r="H628" s="9"/>
      <c r="I628" s="11">
        <v>352</v>
      </c>
      <c r="J628" s="12">
        <v>362</v>
      </c>
      <c r="K628" s="12" t="s">
        <v>192</v>
      </c>
      <c r="L628">
        <v>81</v>
      </c>
    </row>
    <row r="629" spans="1:12" x14ac:dyDescent="0.35">
      <c r="A629" s="10">
        <v>628</v>
      </c>
      <c r="B629" s="6"/>
      <c r="C629" s="9"/>
      <c r="D629" s="9"/>
      <c r="E629" s="9"/>
      <c r="F629" s="9"/>
      <c r="G629" s="9"/>
      <c r="H629" s="9"/>
      <c r="I629" s="11"/>
      <c r="J629" s="12">
        <v>617</v>
      </c>
      <c r="K629" s="12" t="s">
        <v>911</v>
      </c>
      <c r="L629">
        <v>81</v>
      </c>
    </row>
    <row r="630" spans="1:12" x14ac:dyDescent="0.35">
      <c r="A630" s="10">
        <v>629</v>
      </c>
      <c r="B630" s="6"/>
      <c r="C630" s="9"/>
      <c r="D630" s="9"/>
      <c r="E630" s="9"/>
      <c r="F630" s="9"/>
      <c r="G630" s="9"/>
      <c r="H630" s="9"/>
      <c r="I630" s="11"/>
      <c r="J630" s="12">
        <v>626</v>
      </c>
      <c r="K630" s="12" t="s">
        <v>916</v>
      </c>
      <c r="L630">
        <v>81</v>
      </c>
    </row>
    <row r="631" spans="1:12" x14ac:dyDescent="0.35">
      <c r="A631" s="10">
        <v>630</v>
      </c>
      <c r="B631" s="6"/>
      <c r="C631" s="9"/>
      <c r="D631" s="9"/>
      <c r="E631" s="9"/>
      <c r="F631" s="9"/>
      <c r="G631" s="9"/>
      <c r="H631" s="9"/>
      <c r="I631" s="11"/>
      <c r="J631" s="12">
        <v>636</v>
      </c>
      <c r="K631" s="12" t="s">
        <v>920</v>
      </c>
      <c r="L631">
        <v>81</v>
      </c>
    </row>
    <row r="632" spans="1:12" x14ac:dyDescent="0.35">
      <c r="A632" s="10">
        <v>631</v>
      </c>
      <c r="B632" s="6"/>
      <c r="C632" s="9"/>
      <c r="D632" s="9"/>
      <c r="E632" s="9"/>
      <c r="F632" s="9"/>
      <c r="G632" s="9"/>
      <c r="H632" s="9"/>
      <c r="I632" s="11">
        <v>356</v>
      </c>
      <c r="J632" s="12">
        <v>366</v>
      </c>
      <c r="K632" s="12" t="s">
        <v>195</v>
      </c>
      <c r="L632">
        <v>81</v>
      </c>
    </row>
    <row r="633" spans="1:12" x14ac:dyDescent="0.35">
      <c r="A633" s="10">
        <v>632</v>
      </c>
      <c r="B633" s="6"/>
      <c r="C633" s="9"/>
      <c r="D633" s="9"/>
      <c r="E633" s="9"/>
      <c r="F633" s="9"/>
      <c r="G633" s="9"/>
      <c r="H633" s="9"/>
      <c r="I633" s="11">
        <v>1065</v>
      </c>
      <c r="J633" s="12">
        <v>1077</v>
      </c>
      <c r="K633" s="12" t="s">
        <v>532</v>
      </c>
      <c r="L633">
        <v>81</v>
      </c>
    </row>
    <row r="634" spans="1:12" x14ac:dyDescent="0.35">
      <c r="A634" s="10">
        <v>633</v>
      </c>
      <c r="B634" s="6"/>
      <c r="C634" s="9"/>
      <c r="D634" s="9"/>
      <c r="E634" s="9"/>
      <c r="F634" s="9"/>
      <c r="G634" s="9" t="s">
        <v>1424</v>
      </c>
      <c r="H634" s="9"/>
      <c r="I634" s="11"/>
      <c r="J634" s="12">
        <v>571</v>
      </c>
      <c r="K634" s="12" t="s">
        <v>895</v>
      </c>
      <c r="L634">
        <v>82</v>
      </c>
    </row>
    <row r="635" spans="1:12" x14ac:dyDescent="0.35">
      <c r="A635" s="10">
        <v>634</v>
      </c>
      <c r="B635" s="6"/>
      <c r="C635" s="9"/>
      <c r="D635" s="9"/>
      <c r="E635" s="9"/>
      <c r="F635" s="9"/>
      <c r="G635" s="9"/>
      <c r="H635" s="9"/>
      <c r="I635" s="11"/>
      <c r="J635" s="12">
        <v>149</v>
      </c>
      <c r="K635" s="12" t="s">
        <v>659</v>
      </c>
      <c r="L635">
        <v>82</v>
      </c>
    </row>
    <row r="636" spans="1:12" x14ac:dyDescent="0.35">
      <c r="A636" s="10">
        <v>635</v>
      </c>
      <c r="B636" s="6"/>
      <c r="C636" s="9"/>
      <c r="D636" s="9"/>
      <c r="E636" s="9"/>
      <c r="F636" s="9"/>
      <c r="G636" s="9"/>
      <c r="H636" s="9"/>
      <c r="I636" s="11">
        <v>13</v>
      </c>
      <c r="J636" s="12">
        <v>15</v>
      </c>
      <c r="K636" s="12" t="s">
        <v>29</v>
      </c>
      <c r="L636">
        <v>82</v>
      </c>
    </row>
    <row r="637" spans="1:12" x14ac:dyDescent="0.35">
      <c r="A637" s="10">
        <v>636</v>
      </c>
      <c r="B637" s="6"/>
      <c r="C637" s="9"/>
      <c r="D637" s="9"/>
      <c r="E637" s="9"/>
      <c r="F637" s="9"/>
      <c r="G637" s="9"/>
      <c r="H637" s="9"/>
      <c r="I637" s="11">
        <v>174</v>
      </c>
      <c r="J637" s="12">
        <v>181</v>
      </c>
      <c r="K637" s="12" t="s">
        <v>106</v>
      </c>
      <c r="L637">
        <v>82</v>
      </c>
    </row>
    <row r="638" spans="1:12" x14ac:dyDescent="0.35">
      <c r="A638" s="10">
        <v>637</v>
      </c>
      <c r="B638" s="6"/>
      <c r="C638" s="9"/>
      <c r="D638" s="9"/>
      <c r="E638" s="9"/>
      <c r="F638" s="9"/>
      <c r="G638" s="9" t="s">
        <v>1425</v>
      </c>
      <c r="H638" s="9"/>
      <c r="I638" s="11"/>
      <c r="J638" s="12">
        <v>51</v>
      </c>
      <c r="K638" s="12" t="s">
        <v>608</v>
      </c>
      <c r="L638">
        <v>83</v>
      </c>
    </row>
    <row r="639" spans="1:12" x14ac:dyDescent="0.35">
      <c r="A639" s="10">
        <v>638</v>
      </c>
      <c r="B639" s="6"/>
      <c r="C639" s="9"/>
      <c r="D639" s="9"/>
      <c r="E639" s="9"/>
      <c r="F639" s="9"/>
      <c r="G639" s="9"/>
      <c r="H639" s="9"/>
      <c r="I639" s="11">
        <v>182</v>
      </c>
      <c r="J639" s="12">
        <v>189</v>
      </c>
      <c r="K639" s="12" t="s">
        <v>110</v>
      </c>
      <c r="L639">
        <v>83</v>
      </c>
    </row>
    <row r="640" spans="1:12" x14ac:dyDescent="0.35">
      <c r="A640" s="10">
        <v>639</v>
      </c>
      <c r="B640" s="6"/>
      <c r="C640" s="9"/>
      <c r="D640" s="9"/>
      <c r="E640" s="9"/>
      <c r="F640" s="9"/>
      <c r="G640" s="9"/>
      <c r="H640" s="9"/>
      <c r="I640" s="11">
        <v>588</v>
      </c>
      <c r="J640" s="12">
        <v>599</v>
      </c>
      <c r="K640" s="12" t="s">
        <v>288</v>
      </c>
      <c r="L640">
        <v>83</v>
      </c>
    </row>
    <row r="641" spans="1:12" x14ac:dyDescent="0.35">
      <c r="A641" s="10">
        <v>640</v>
      </c>
      <c r="B641" s="6"/>
      <c r="C641" s="9"/>
      <c r="D641" s="9"/>
      <c r="E641" s="9"/>
      <c r="F641" s="9"/>
      <c r="G641" s="9"/>
      <c r="H641" s="9"/>
      <c r="I641" s="11">
        <v>896</v>
      </c>
      <c r="J641" s="12">
        <v>907</v>
      </c>
      <c r="K641" s="12" t="s">
        <v>439</v>
      </c>
      <c r="L641">
        <v>83</v>
      </c>
    </row>
    <row r="642" spans="1:12" x14ac:dyDescent="0.35">
      <c r="A642" s="10">
        <v>641</v>
      </c>
      <c r="B642" s="6"/>
      <c r="C642" s="9"/>
      <c r="D642" s="9"/>
      <c r="E642" s="9"/>
      <c r="F642" s="9"/>
      <c r="G642" s="9"/>
      <c r="H642" s="9"/>
      <c r="I642" s="11">
        <v>564</v>
      </c>
      <c r="J642" s="12">
        <v>575</v>
      </c>
      <c r="K642" s="12" t="s">
        <v>273</v>
      </c>
      <c r="L642">
        <v>83</v>
      </c>
    </row>
    <row r="643" spans="1:12" x14ac:dyDescent="0.35">
      <c r="A643" s="10">
        <v>642</v>
      </c>
      <c r="B643" s="6"/>
      <c r="C643" s="9"/>
      <c r="D643" s="9"/>
      <c r="E643" s="9"/>
      <c r="F643" s="9"/>
      <c r="G643" s="9"/>
      <c r="H643" s="9"/>
      <c r="I643" s="11">
        <v>919</v>
      </c>
      <c r="J643" s="12">
        <v>930</v>
      </c>
      <c r="K643" s="12" t="s">
        <v>453</v>
      </c>
      <c r="L643">
        <v>83</v>
      </c>
    </row>
    <row r="644" spans="1:12" x14ac:dyDescent="0.35">
      <c r="A644" s="10">
        <v>643</v>
      </c>
      <c r="B644" s="6"/>
      <c r="C644" s="9"/>
      <c r="D644" s="9"/>
      <c r="E644" s="9"/>
      <c r="F644" s="9"/>
      <c r="G644" s="9"/>
      <c r="H644" s="9"/>
      <c r="I644" s="11">
        <v>255</v>
      </c>
      <c r="J644" s="12">
        <v>262</v>
      </c>
      <c r="K644" s="12" t="s">
        <v>145</v>
      </c>
      <c r="L644">
        <v>83</v>
      </c>
    </row>
    <row r="645" spans="1:12" x14ac:dyDescent="0.35">
      <c r="A645" s="10">
        <v>644</v>
      </c>
      <c r="B645" s="6"/>
      <c r="C645" s="9"/>
      <c r="D645" s="9"/>
      <c r="E645" s="9"/>
      <c r="F645" s="9"/>
      <c r="G645" s="9" t="s">
        <v>1426</v>
      </c>
      <c r="H645" s="9"/>
      <c r="I645" s="11"/>
      <c r="J645" s="12">
        <v>1014</v>
      </c>
      <c r="K645" s="12" t="s">
        <v>1109</v>
      </c>
      <c r="L645">
        <v>84</v>
      </c>
    </row>
    <row r="646" spans="1:12" x14ac:dyDescent="0.35">
      <c r="A646" s="10">
        <v>645</v>
      </c>
      <c r="B646" s="6"/>
      <c r="C646" s="9"/>
      <c r="D646" s="9"/>
      <c r="E646" s="9"/>
      <c r="F646" s="9"/>
      <c r="G646" s="9"/>
      <c r="H646" s="9"/>
      <c r="I646" s="11">
        <v>24</v>
      </c>
      <c r="J646" s="12">
        <v>27</v>
      </c>
      <c r="K646" s="12" t="s">
        <v>34</v>
      </c>
      <c r="L646">
        <v>84</v>
      </c>
    </row>
    <row r="647" spans="1:12" x14ac:dyDescent="0.35">
      <c r="A647" s="10">
        <v>646</v>
      </c>
      <c r="B647" s="6"/>
      <c r="C647" s="9"/>
      <c r="D647" s="9"/>
      <c r="E647" s="9"/>
      <c r="F647" s="9"/>
      <c r="G647" s="9"/>
      <c r="H647" s="9"/>
      <c r="I647" s="11">
        <v>171</v>
      </c>
      <c r="J647" s="12">
        <v>178</v>
      </c>
      <c r="K647" s="12" t="s">
        <v>104</v>
      </c>
      <c r="L647">
        <v>84</v>
      </c>
    </row>
    <row r="648" spans="1:12" x14ac:dyDescent="0.35">
      <c r="A648" s="10">
        <v>647</v>
      </c>
      <c r="B648" s="6"/>
      <c r="C648" s="9"/>
      <c r="D648" s="9"/>
      <c r="E648" s="9"/>
      <c r="F648" s="9"/>
      <c r="G648" s="9"/>
      <c r="H648" s="9"/>
      <c r="I648" s="11"/>
      <c r="J648" s="12">
        <v>300</v>
      </c>
      <c r="K648" s="12" t="s">
        <v>733</v>
      </c>
      <c r="L648">
        <v>84</v>
      </c>
    </row>
    <row r="649" spans="1:12" x14ac:dyDescent="0.35">
      <c r="A649" s="10">
        <v>648</v>
      </c>
      <c r="B649" s="6"/>
      <c r="C649" s="9"/>
      <c r="D649" s="9"/>
      <c r="E649" s="9"/>
      <c r="F649" s="9"/>
      <c r="G649" s="9"/>
      <c r="H649" s="9"/>
      <c r="I649" s="11"/>
      <c r="J649" s="12">
        <v>316</v>
      </c>
      <c r="K649" s="12" t="s">
        <v>740</v>
      </c>
      <c r="L649">
        <v>84</v>
      </c>
    </row>
    <row r="650" spans="1:12" x14ac:dyDescent="0.35">
      <c r="A650" s="10">
        <v>649</v>
      </c>
      <c r="B650" s="6"/>
      <c r="C650" s="9"/>
      <c r="D650" s="9"/>
      <c r="E650" s="9"/>
      <c r="F650" s="9"/>
      <c r="G650" s="9"/>
      <c r="H650" s="9"/>
      <c r="I650" s="11">
        <v>311</v>
      </c>
      <c r="J650" s="12">
        <v>321</v>
      </c>
      <c r="K650" s="12" t="s">
        <v>175</v>
      </c>
      <c r="L650">
        <v>84</v>
      </c>
    </row>
    <row r="651" spans="1:12" x14ac:dyDescent="0.35">
      <c r="A651" s="10">
        <v>650</v>
      </c>
      <c r="B651" s="6"/>
      <c r="C651" s="9"/>
      <c r="D651" s="9"/>
      <c r="E651" s="9"/>
      <c r="F651" s="9"/>
      <c r="G651" s="9"/>
      <c r="H651" s="9"/>
      <c r="I651" s="11">
        <v>472</v>
      </c>
      <c r="J651" s="12">
        <v>483</v>
      </c>
      <c r="K651" s="12" t="s">
        <v>242</v>
      </c>
      <c r="L651">
        <v>84</v>
      </c>
    </row>
    <row r="652" spans="1:12" x14ac:dyDescent="0.35">
      <c r="A652" s="10">
        <v>651</v>
      </c>
      <c r="B652" s="6"/>
      <c r="C652" s="9"/>
      <c r="D652" s="9"/>
      <c r="E652" s="9"/>
      <c r="F652" s="9"/>
      <c r="G652" s="9"/>
      <c r="H652" s="9"/>
      <c r="I652" s="11">
        <v>179</v>
      </c>
      <c r="J652" s="12">
        <v>186</v>
      </c>
      <c r="K652" s="12" t="s">
        <v>107</v>
      </c>
      <c r="L652">
        <v>84</v>
      </c>
    </row>
    <row r="653" spans="1:12" x14ac:dyDescent="0.35">
      <c r="A653" s="10">
        <v>652</v>
      </c>
      <c r="B653" s="6"/>
      <c r="C653" s="9"/>
      <c r="D653" s="9"/>
      <c r="E653" s="9"/>
      <c r="F653" s="9"/>
      <c r="G653" s="9"/>
      <c r="H653" s="9"/>
      <c r="I653" s="11"/>
      <c r="J653" s="12">
        <v>953</v>
      </c>
      <c r="K653" s="12" t="s">
        <v>1080</v>
      </c>
      <c r="L653">
        <v>84</v>
      </c>
    </row>
    <row r="654" spans="1:12" x14ac:dyDescent="0.35">
      <c r="A654" s="10">
        <v>653</v>
      </c>
      <c r="B654" s="6"/>
      <c r="C654" s="9"/>
      <c r="D654" s="9"/>
      <c r="E654" s="9"/>
      <c r="F654" s="9" t="s">
        <v>1395</v>
      </c>
      <c r="G654" s="9"/>
      <c r="H654" s="9"/>
      <c r="I654" s="11">
        <v>1085</v>
      </c>
      <c r="J654" s="12">
        <v>1097</v>
      </c>
      <c r="K654" s="12" t="s">
        <v>542</v>
      </c>
    </row>
    <row r="655" spans="1:12" x14ac:dyDescent="0.35">
      <c r="A655" s="10">
        <v>654</v>
      </c>
      <c r="B655" s="6"/>
      <c r="C655" s="9"/>
      <c r="D655" s="9"/>
      <c r="E655" s="9"/>
      <c r="F655" s="9"/>
      <c r="G655" s="9" t="s">
        <v>1396</v>
      </c>
      <c r="H655" s="9"/>
      <c r="I655" s="11"/>
      <c r="J655" s="12">
        <v>157</v>
      </c>
      <c r="K655" s="12" t="s">
        <v>664</v>
      </c>
      <c r="L655">
        <v>85</v>
      </c>
    </row>
    <row r="656" spans="1:12" x14ac:dyDescent="0.35">
      <c r="A656" s="10">
        <v>655</v>
      </c>
      <c r="B656" s="6"/>
      <c r="C656" s="9"/>
      <c r="D656" s="9"/>
      <c r="E656" s="9"/>
      <c r="F656" s="9"/>
      <c r="G656" s="9"/>
      <c r="H656" s="9"/>
      <c r="I656" s="11">
        <v>380</v>
      </c>
      <c r="J656" s="12">
        <v>390</v>
      </c>
      <c r="K656" s="12" t="s">
        <v>203</v>
      </c>
      <c r="L656">
        <v>85</v>
      </c>
    </row>
    <row r="657" spans="1:12" x14ac:dyDescent="0.35">
      <c r="A657" s="10">
        <v>656</v>
      </c>
      <c r="B657" s="6"/>
      <c r="C657" s="9"/>
      <c r="D657" s="9"/>
      <c r="E657" s="9"/>
      <c r="F657" s="9"/>
      <c r="G657" s="9"/>
      <c r="H657" s="9"/>
      <c r="I657" s="11">
        <v>322</v>
      </c>
      <c r="J657" s="12">
        <v>332</v>
      </c>
      <c r="K657" s="12" t="s">
        <v>180</v>
      </c>
      <c r="L657">
        <v>85</v>
      </c>
    </row>
    <row r="658" spans="1:12" x14ac:dyDescent="0.35">
      <c r="A658" s="10">
        <v>657</v>
      </c>
      <c r="B658" s="6"/>
      <c r="C658" s="9"/>
      <c r="D658" s="9"/>
      <c r="E658" s="9"/>
      <c r="F658" s="9"/>
      <c r="G658" s="9"/>
      <c r="H658" s="9"/>
      <c r="I658" s="11"/>
      <c r="J658" s="12">
        <v>432</v>
      </c>
      <c r="K658" s="12" t="s">
        <v>810</v>
      </c>
      <c r="L658">
        <v>85</v>
      </c>
    </row>
    <row r="659" spans="1:12" x14ac:dyDescent="0.35">
      <c r="A659" s="10">
        <v>658</v>
      </c>
      <c r="B659" s="6"/>
      <c r="C659" s="9"/>
      <c r="D659" s="9"/>
      <c r="E659" s="9"/>
      <c r="F659" s="9"/>
      <c r="G659" s="9"/>
      <c r="H659" s="9"/>
      <c r="I659" s="11">
        <v>34</v>
      </c>
      <c r="J659" s="12">
        <v>38</v>
      </c>
      <c r="K659" s="12" t="s">
        <v>39</v>
      </c>
      <c r="L659">
        <v>85</v>
      </c>
    </row>
    <row r="660" spans="1:12" x14ac:dyDescent="0.35">
      <c r="A660" s="10">
        <v>659</v>
      </c>
      <c r="B660" s="6"/>
      <c r="C660" s="9"/>
      <c r="D660" s="9"/>
      <c r="E660" s="9"/>
      <c r="F660" s="9"/>
      <c r="G660" s="9"/>
      <c r="H660" s="9"/>
      <c r="I660" s="11"/>
      <c r="J660" s="12">
        <v>71</v>
      </c>
      <c r="K660" s="12" t="s">
        <v>621</v>
      </c>
      <c r="L660">
        <v>85</v>
      </c>
    </row>
    <row r="661" spans="1:12" x14ac:dyDescent="0.35">
      <c r="A661" s="10">
        <v>660</v>
      </c>
      <c r="B661" s="6"/>
      <c r="C661" s="9"/>
      <c r="D661" s="9"/>
      <c r="E661" s="9"/>
      <c r="F661" s="9"/>
      <c r="G661" s="9"/>
      <c r="H661" s="9"/>
      <c r="I661" s="11"/>
      <c r="J661" s="12">
        <v>47</v>
      </c>
      <c r="K661" s="12" t="s">
        <v>605</v>
      </c>
      <c r="L661">
        <v>85</v>
      </c>
    </row>
    <row r="662" spans="1:12" x14ac:dyDescent="0.35">
      <c r="A662" s="10">
        <v>661</v>
      </c>
      <c r="B662" s="6"/>
      <c r="C662" s="9"/>
      <c r="D662" s="9"/>
      <c r="E662" s="9"/>
      <c r="F662" s="9"/>
      <c r="G662" s="9"/>
      <c r="H662" s="9"/>
      <c r="I662" s="11"/>
      <c r="J662" s="12">
        <v>79</v>
      </c>
      <c r="K662" s="12" t="s">
        <v>625</v>
      </c>
      <c r="L662">
        <v>85</v>
      </c>
    </row>
    <row r="663" spans="1:12" x14ac:dyDescent="0.35">
      <c r="A663" s="10">
        <v>662</v>
      </c>
      <c r="B663" s="6"/>
      <c r="C663" s="9"/>
      <c r="D663" s="9"/>
      <c r="E663" s="9"/>
      <c r="F663" s="9"/>
      <c r="G663" s="9"/>
      <c r="H663" s="9"/>
      <c r="I663" s="11"/>
      <c r="J663" s="12">
        <v>103</v>
      </c>
      <c r="K663" s="12" t="s">
        <v>639</v>
      </c>
      <c r="L663">
        <v>85</v>
      </c>
    </row>
    <row r="664" spans="1:12" x14ac:dyDescent="0.35">
      <c r="A664" s="10">
        <v>663</v>
      </c>
      <c r="B664" s="6"/>
      <c r="C664" s="9"/>
      <c r="D664" s="9"/>
      <c r="E664" s="9"/>
      <c r="F664" s="9"/>
      <c r="G664" s="9"/>
      <c r="H664" s="9"/>
      <c r="I664" s="11"/>
      <c r="J664" s="12">
        <v>652</v>
      </c>
      <c r="K664" s="12" t="s">
        <v>928</v>
      </c>
      <c r="L664">
        <v>85</v>
      </c>
    </row>
    <row r="665" spans="1:12" x14ac:dyDescent="0.35">
      <c r="A665" s="10">
        <v>664</v>
      </c>
      <c r="B665" s="6"/>
      <c r="C665" s="9"/>
      <c r="D665" s="9"/>
      <c r="E665" s="9"/>
      <c r="F665" s="9"/>
      <c r="G665" s="9"/>
      <c r="H665" s="9"/>
      <c r="I665" s="11"/>
      <c r="J665" s="12">
        <v>660</v>
      </c>
      <c r="K665" s="12" t="s">
        <v>931</v>
      </c>
      <c r="L665">
        <v>85</v>
      </c>
    </row>
    <row r="666" spans="1:12" x14ac:dyDescent="0.35">
      <c r="A666" s="10">
        <v>665</v>
      </c>
      <c r="B666" s="6"/>
      <c r="C666" s="9"/>
      <c r="D666" s="9"/>
      <c r="E666" s="9"/>
      <c r="F666" s="9"/>
      <c r="G666" s="9"/>
      <c r="H666" s="9"/>
      <c r="I666" s="11"/>
      <c r="J666" s="12">
        <v>94</v>
      </c>
      <c r="K666" s="12" t="s">
        <v>634</v>
      </c>
      <c r="L666">
        <v>85</v>
      </c>
    </row>
    <row r="667" spans="1:12" x14ac:dyDescent="0.35">
      <c r="A667" s="10">
        <v>666</v>
      </c>
      <c r="B667" s="6"/>
      <c r="C667" s="9"/>
      <c r="D667" s="9"/>
      <c r="E667" s="9"/>
      <c r="F667" s="9"/>
      <c r="G667" s="9"/>
      <c r="H667" s="9"/>
      <c r="I667" s="11"/>
      <c r="J667" s="12">
        <v>55</v>
      </c>
      <c r="K667" s="12" t="s">
        <v>612</v>
      </c>
      <c r="L667">
        <v>85</v>
      </c>
    </row>
    <row r="668" spans="1:12" x14ac:dyDescent="0.35">
      <c r="A668" s="10">
        <v>667</v>
      </c>
      <c r="B668" s="6"/>
      <c r="C668" s="9"/>
      <c r="D668" s="9"/>
      <c r="E668" s="9"/>
      <c r="F668" s="9"/>
      <c r="G668" s="9"/>
      <c r="H668" s="9"/>
      <c r="I668" s="11"/>
      <c r="J668" s="12">
        <v>87</v>
      </c>
      <c r="K668" s="12" t="s">
        <v>630</v>
      </c>
      <c r="L668">
        <v>85</v>
      </c>
    </row>
    <row r="669" spans="1:12" x14ac:dyDescent="0.35">
      <c r="A669" s="10">
        <v>668</v>
      </c>
      <c r="B669" s="6"/>
      <c r="C669" s="9"/>
      <c r="D669" s="9"/>
      <c r="E669" s="9"/>
      <c r="F669" s="9"/>
      <c r="G669" s="9"/>
      <c r="H669" s="9"/>
      <c r="I669" s="11"/>
      <c r="J669" s="12">
        <v>110</v>
      </c>
      <c r="K669" s="12" t="s">
        <v>643</v>
      </c>
      <c r="L669">
        <v>85</v>
      </c>
    </row>
    <row r="670" spans="1:12" x14ac:dyDescent="0.35">
      <c r="A670" s="10">
        <v>669</v>
      </c>
      <c r="B670" s="6"/>
      <c r="C670" s="9"/>
      <c r="D670" s="9"/>
      <c r="E670" s="9"/>
      <c r="F670" s="9"/>
      <c r="G670" s="9"/>
      <c r="H670" s="9"/>
      <c r="I670" s="11"/>
      <c r="J670" s="12">
        <v>30</v>
      </c>
      <c r="K670" s="12" t="s">
        <v>598</v>
      </c>
      <c r="L670">
        <v>85</v>
      </c>
    </row>
    <row r="671" spans="1:12" x14ac:dyDescent="0.35">
      <c r="A671" s="10">
        <v>670</v>
      </c>
      <c r="B671" s="6"/>
      <c r="C671" s="9"/>
      <c r="D671" s="9"/>
      <c r="E671" s="9"/>
      <c r="F671" s="9"/>
      <c r="G671" s="9"/>
      <c r="H671" s="9"/>
      <c r="I671" s="11">
        <v>113</v>
      </c>
      <c r="J671" s="12">
        <v>118</v>
      </c>
      <c r="K671" s="12" t="s">
        <v>72</v>
      </c>
      <c r="L671">
        <v>85</v>
      </c>
    </row>
    <row r="672" spans="1:12" x14ac:dyDescent="0.35">
      <c r="A672" s="10">
        <v>671</v>
      </c>
      <c r="B672" s="6"/>
      <c r="C672" s="9"/>
      <c r="D672" s="9"/>
      <c r="E672" s="9"/>
      <c r="F672" s="9"/>
      <c r="G672" s="9"/>
      <c r="H672" s="9"/>
      <c r="I672" s="11">
        <v>216</v>
      </c>
      <c r="J672" s="12">
        <v>223</v>
      </c>
      <c r="K672" s="12" t="s">
        <v>126</v>
      </c>
      <c r="L672">
        <v>85</v>
      </c>
    </row>
    <row r="673" spans="1:12" x14ac:dyDescent="0.35">
      <c r="A673" s="10">
        <v>672</v>
      </c>
      <c r="B673" s="6"/>
      <c r="C673" s="9"/>
      <c r="D673" s="9"/>
      <c r="E673" s="9"/>
      <c r="F673" s="9"/>
      <c r="G673" s="9" t="s">
        <v>1397</v>
      </c>
      <c r="H673" s="9"/>
      <c r="I673" s="11"/>
      <c r="J673" s="12">
        <v>141</v>
      </c>
      <c r="K673" s="12" t="s">
        <v>656</v>
      </c>
      <c r="L673">
        <v>86</v>
      </c>
    </row>
    <row r="674" spans="1:12" x14ac:dyDescent="0.35">
      <c r="A674" s="10">
        <v>673</v>
      </c>
      <c r="B674" s="6"/>
      <c r="C674" s="9"/>
      <c r="D674" s="9"/>
      <c r="E674" s="9"/>
      <c r="F674" s="9"/>
      <c r="G674" s="9"/>
      <c r="H674" s="9"/>
      <c r="I674" s="11">
        <v>67</v>
      </c>
      <c r="J674" s="12">
        <v>72</v>
      </c>
      <c r="K674" s="12" t="s">
        <v>51</v>
      </c>
      <c r="L674">
        <v>86</v>
      </c>
    </row>
    <row r="675" spans="1:12" x14ac:dyDescent="0.35">
      <c r="A675" s="10">
        <v>674</v>
      </c>
      <c r="B675" s="6"/>
      <c r="C675" s="9"/>
      <c r="D675" s="9"/>
      <c r="E675" s="9"/>
      <c r="F675" s="9"/>
      <c r="G675" s="9"/>
      <c r="H675" s="9"/>
      <c r="I675" s="11"/>
      <c r="J675" s="12">
        <v>80</v>
      </c>
      <c r="K675" s="12" t="s">
        <v>626</v>
      </c>
      <c r="L675">
        <v>86</v>
      </c>
    </row>
    <row r="676" spans="1:12" x14ac:dyDescent="0.35">
      <c r="A676" s="10">
        <v>675</v>
      </c>
      <c r="B676" s="6"/>
      <c r="C676" s="9"/>
      <c r="D676" s="9"/>
      <c r="E676" s="9"/>
      <c r="F676" s="9"/>
      <c r="G676" s="9"/>
      <c r="H676" s="9"/>
      <c r="I676" s="11">
        <v>256</v>
      </c>
      <c r="J676" s="12">
        <v>263</v>
      </c>
      <c r="K676" s="12" t="s">
        <v>146</v>
      </c>
      <c r="L676">
        <v>86</v>
      </c>
    </row>
    <row r="677" spans="1:12" x14ac:dyDescent="0.35">
      <c r="A677" s="10">
        <v>676</v>
      </c>
      <c r="B677" s="6"/>
      <c r="C677" s="9"/>
      <c r="D677" s="9"/>
      <c r="E677" s="9"/>
      <c r="F677" s="9"/>
      <c r="G677" s="9"/>
      <c r="H677" s="9"/>
      <c r="I677" s="11">
        <v>264</v>
      </c>
      <c r="J677" s="12">
        <v>272</v>
      </c>
      <c r="K677" s="12" t="s">
        <v>150</v>
      </c>
      <c r="L677">
        <v>86</v>
      </c>
    </row>
    <row r="678" spans="1:12" x14ac:dyDescent="0.35">
      <c r="A678" s="10">
        <v>677</v>
      </c>
      <c r="B678" s="6"/>
      <c r="C678" s="9"/>
      <c r="D678" s="9"/>
      <c r="E678" s="9"/>
      <c r="F678" s="9"/>
      <c r="G678" s="9"/>
      <c r="H678" s="9"/>
      <c r="I678" s="11">
        <v>819</v>
      </c>
      <c r="J678" s="12">
        <v>830</v>
      </c>
      <c r="K678" s="12" t="s">
        <v>399</v>
      </c>
      <c r="L678">
        <v>86</v>
      </c>
    </row>
    <row r="679" spans="1:12" x14ac:dyDescent="0.35">
      <c r="A679" s="10">
        <v>678</v>
      </c>
      <c r="B679" s="6"/>
      <c r="C679" s="9"/>
      <c r="D679" s="9"/>
      <c r="E679" s="9"/>
      <c r="F679" s="9"/>
      <c r="G679" s="9"/>
      <c r="H679" s="9"/>
      <c r="I679" s="11"/>
      <c r="J679" s="12">
        <v>668</v>
      </c>
      <c r="K679" s="12" t="s">
        <v>935</v>
      </c>
      <c r="L679">
        <v>86</v>
      </c>
    </row>
    <row r="680" spans="1:12" x14ac:dyDescent="0.35">
      <c r="A680" s="10">
        <v>679</v>
      </c>
      <c r="B680" s="6"/>
      <c r="C680" s="9"/>
      <c r="D680" s="9"/>
      <c r="E680" s="9"/>
      <c r="F680" s="9"/>
      <c r="G680" s="9"/>
      <c r="H680" s="9"/>
      <c r="I680" s="11"/>
      <c r="J680" s="12">
        <v>676</v>
      </c>
      <c r="K680" s="12" t="s">
        <v>938</v>
      </c>
      <c r="L680">
        <v>86</v>
      </c>
    </row>
    <row r="681" spans="1:12" x14ac:dyDescent="0.35">
      <c r="A681" s="10">
        <v>680</v>
      </c>
      <c r="B681" s="6"/>
      <c r="C681" s="9"/>
      <c r="D681" s="9"/>
      <c r="E681" s="9"/>
      <c r="F681" s="9"/>
      <c r="G681" s="9"/>
      <c r="H681" s="9"/>
      <c r="I681" s="11"/>
      <c r="J681" s="12">
        <v>684</v>
      </c>
      <c r="K681" s="12" t="s">
        <v>943</v>
      </c>
      <c r="L681">
        <v>86</v>
      </c>
    </row>
    <row r="682" spans="1:12" x14ac:dyDescent="0.35">
      <c r="A682" s="10">
        <v>681</v>
      </c>
      <c r="B682" s="6"/>
      <c r="C682" s="9"/>
      <c r="D682" s="9"/>
      <c r="E682" s="9"/>
      <c r="F682" s="9"/>
      <c r="G682" s="9"/>
      <c r="H682" s="9"/>
      <c r="I682" s="11">
        <v>441</v>
      </c>
      <c r="J682" s="12">
        <v>452</v>
      </c>
      <c r="K682" s="12" t="s">
        <v>230</v>
      </c>
      <c r="L682">
        <v>86</v>
      </c>
    </row>
    <row r="683" spans="1:12" x14ac:dyDescent="0.35">
      <c r="A683" s="10">
        <v>682</v>
      </c>
      <c r="B683" s="6"/>
      <c r="C683" s="9"/>
      <c r="D683" s="9"/>
      <c r="E683" s="9"/>
      <c r="F683" s="9"/>
      <c r="G683" s="9"/>
      <c r="H683" s="9"/>
      <c r="I683" s="11">
        <v>512</v>
      </c>
      <c r="J683" s="12">
        <v>523</v>
      </c>
      <c r="K683" s="12" t="s">
        <v>255</v>
      </c>
      <c r="L683">
        <v>86</v>
      </c>
    </row>
    <row r="684" spans="1:12" x14ac:dyDescent="0.35">
      <c r="A684" s="10">
        <v>683</v>
      </c>
      <c r="B684" s="6"/>
      <c r="C684" s="9"/>
      <c r="D684" s="9"/>
      <c r="E684" s="9"/>
      <c r="F684" s="9"/>
      <c r="G684" s="9"/>
      <c r="H684" s="9"/>
      <c r="I684" s="11"/>
      <c r="J684" s="12">
        <v>763</v>
      </c>
      <c r="K684" s="12" t="s">
        <v>990</v>
      </c>
      <c r="L684">
        <v>86</v>
      </c>
    </row>
    <row r="685" spans="1:12" x14ac:dyDescent="0.35">
      <c r="A685" s="10">
        <v>684</v>
      </c>
      <c r="B685" s="6"/>
      <c r="C685" s="9"/>
      <c r="D685" s="9"/>
      <c r="E685" s="9"/>
      <c r="F685" s="9"/>
      <c r="G685" s="9"/>
      <c r="H685" s="9"/>
      <c r="I685" s="11">
        <v>903</v>
      </c>
      <c r="J685" s="12">
        <v>914</v>
      </c>
      <c r="K685" s="12" t="s">
        <v>444</v>
      </c>
      <c r="L685">
        <v>86</v>
      </c>
    </row>
    <row r="686" spans="1:12" x14ac:dyDescent="0.35">
      <c r="A686" s="10">
        <v>685</v>
      </c>
      <c r="B686" s="6"/>
      <c r="C686" s="9"/>
      <c r="D686" s="9"/>
      <c r="E686" s="9"/>
      <c r="F686" s="9"/>
      <c r="G686" s="9"/>
      <c r="H686" s="9"/>
      <c r="I686" s="11">
        <v>1097</v>
      </c>
      <c r="J686" s="12">
        <v>1109</v>
      </c>
      <c r="K686" s="12" t="s">
        <v>549</v>
      </c>
      <c r="L686">
        <v>86</v>
      </c>
    </row>
    <row r="687" spans="1:12" x14ac:dyDescent="0.35">
      <c r="A687" s="10">
        <v>686</v>
      </c>
      <c r="B687" s="6"/>
      <c r="C687" s="9"/>
      <c r="D687" s="9"/>
      <c r="E687" s="9"/>
      <c r="F687" s="9"/>
      <c r="G687" s="9"/>
      <c r="H687" s="9"/>
      <c r="I687" s="11"/>
      <c r="J687" s="12">
        <v>1124</v>
      </c>
      <c r="K687" s="12" t="s">
        <v>1161</v>
      </c>
      <c r="L687">
        <v>86</v>
      </c>
    </row>
    <row r="688" spans="1:12" x14ac:dyDescent="0.35">
      <c r="A688" s="10">
        <v>687</v>
      </c>
      <c r="B688" s="6"/>
      <c r="C688" s="9"/>
      <c r="D688" s="9"/>
      <c r="E688" s="9"/>
      <c r="F688" s="9"/>
      <c r="G688" s="9"/>
      <c r="H688" s="9"/>
      <c r="I688" s="11">
        <v>121</v>
      </c>
      <c r="J688" s="12">
        <v>126</v>
      </c>
      <c r="K688" s="12" t="s">
        <v>77</v>
      </c>
      <c r="L688">
        <v>86</v>
      </c>
    </row>
    <row r="689" spans="1:12" x14ac:dyDescent="0.35">
      <c r="A689" s="10">
        <v>688</v>
      </c>
      <c r="B689" s="6"/>
      <c r="C689" s="9"/>
      <c r="D689" s="9"/>
      <c r="E689" s="9"/>
      <c r="F689" s="9"/>
      <c r="G689" s="9"/>
      <c r="H689" s="9"/>
      <c r="I689" s="11">
        <v>128</v>
      </c>
      <c r="J689" s="12">
        <v>133</v>
      </c>
      <c r="K689" s="12" t="s">
        <v>83</v>
      </c>
      <c r="L689">
        <v>86</v>
      </c>
    </row>
    <row r="690" spans="1:12" x14ac:dyDescent="0.35">
      <c r="A690" s="10">
        <v>689</v>
      </c>
      <c r="B690" s="6"/>
      <c r="C690" s="9"/>
      <c r="D690" s="9"/>
      <c r="E690" s="9"/>
      <c r="F690" s="9"/>
      <c r="G690" s="9"/>
      <c r="H690" s="9"/>
      <c r="I690" s="11">
        <v>337</v>
      </c>
      <c r="J690" s="12">
        <v>347</v>
      </c>
      <c r="K690" s="12" t="s">
        <v>186</v>
      </c>
      <c r="L690">
        <v>86</v>
      </c>
    </row>
    <row r="691" spans="1:12" x14ac:dyDescent="0.35">
      <c r="A691" s="10">
        <v>690</v>
      </c>
      <c r="B691" s="6"/>
      <c r="C691" s="9"/>
      <c r="D691" s="9"/>
      <c r="E691" s="9"/>
      <c r="F691" s="9"/>
      <c r="G691" s="9"/>
      <c r="H691" s="9"/>
      <c r="I691" s="11"/>
      <c r="J691" s="12">
        <v>286</v>
      </c>
      <c r="K691" s="12" t="s">
        <v>726</v>
      </c>
      <c r="L691">
        <v>86</v>
      </c>
    </row>
    <row r="692" spans="1:12" x14ac:dyDescent="0.35">
      <c r="A692" s="10">
        <v>691</v>
      </c>
      <c r="B692" s="6"/>
      <c r="C692" s="9"/>
      <c r="D692" s="9"/>
      <c r="E692" s="9"/>
      <c r="F692" s="9"/>
      <c r="G692" s="9"/>
      <c r="H692" s="9"/>
      <c r="I692" s="11"/>
      <c r="J692" s="12">
        <v>338</v>
      </c>
      <c r="K692" s="12" t="s">
        <v>751</v>
      </c>
      <c r="L692">
        <v>86</v>
      </c>
    </row>
    <row r="693" spans="1:12" x14ac:dyDescent="0.35">
      <c r="A693" s="10">
        <v>692</v>
      </c>
      <c r="B693" s="6"/>
      <c r="C693" s="9"/>
      <c r="D693" s="9"/>
      <c r="E693" s="9"/>
      <c r="F693" s="9"/>
      <c r="G693" s="9"/>
      <c r="H693" s="9"/>
      <c r="I693" s="11">
        <v>678</v>
      </c>
      <c r="J693" s="12">
        <v>689</v>
      </c>
      <c r="K693" s="12" t="s">
        <v>338</v>
      </c>
      <c r="L693">
        <v>86</v>
      </c>
    </row>
    <row r="694" spans="1:12" x14ac:dyDescent="0.35">
      <c r="A694" s="10">
        <v>693</v>
      </c>
      <c r="B694" s="6"/>
      <c r="C694" s="9"/>
      <c r="D694" s="9"/>
      <c r="E694" s="9"/>
      <c r="F694" s="9"/>
      <c r="G694" s="9" t="s">
        <v>1398</v>
      </c>
      <c r="H694" s="9"/>
      <c r="I694" s="11"/>
      <c r="J694" s="12">
        <v>467</v>
      </c>
      <c r="K694" s="12" t="s">
        <v>826</v>
      </c>
      <c r="L694">
        <v>87</v>
      </c>
    </row>
    <row r="695" spans="1:12" x14ac:dyDescent="0.35">
      <c r="A695" s="10">
        <v>694</v>
      </c>
      <c r="B695" s="6"/>
      <c r="C695" s="9"/>
      <c r="D695" s="9"/>
      <c r="E695" s="9"/>
      <c r="F695" s="9"/>
      <c r="G695" s="9"/>
      <c r="H695" s="9"/>
      <c r="I695" s="11">
        <v>83</v>
      </c>
      <c r="J695" s="12">
        <v>88</v>
      </c>
      <c r="K695" s="12" t="s">
        <v>58</v>
      </c>
      <c r="L695">
        <v>87</v>
      </c>
    </row>
    <row r="696" spans="1:12" x14ac:dyDescent="0.35">
      <c r="A696" s="10">
        <v>695</v>
      </c>
      <c r="B696" s="6"/>
      <c r="C696" s="9"/>
      <c r="D696" s="9"/>
      <c r="E696" s="9"/>
      <c r="F696" s="9"/>
      <c r="G696" s="9"/>
      <c r="H696" s="9"/>
      <c r="I696" s="11"/>
      <c r="J696" s="12">
        <v>700</v>
      </c>
      <c r="K696" s="12" t="s">
        <v>949</v>
      </c>
      <c r="L696">
        <v>87</v>
      </c>
    </row>
    <row r="697" spans="1:12" x14ac:dyDescent="0.35">
      <c r="A697" s="10">
        <v>696</v>
      </c>
      <c r="B697" s="6"/>
      <c r="C697" s="9"/>
      <c r="D697" s="9"/>
      <c r="E697" s="9"/>
      <c r="F697" s="9"/>
      <c r="G697" s="9"/>
      <c r="H697" s="9"/>
      <c r="I697" s="11"/>
      <c r="J697" s="12">
        <v>708</v>
      </c>
      <c r="K697" s="12" t="s">
        <v>951</v>
      </c>
      <c r="L697">
        <v>87</v>
      </c>
    </row>
    <row r="698" spans="1:12" x14ac:dyDescent="0.35">
      <c r="A698" s="10">
        <v>697</v>
      </c>
      <c r="B698" s="6"/>
      <c r="C698" s="9"/>
      <c r="D698" s="9"/>
      <c r="E698" s="9"/>
      <c r="F698" s="9"/>
      <c r="G698" s="9"/>
      <c r="H698" s="9"/>
      <c r="I698" s="11"/>
      <c r="J698" s="12">
        <v>716</v>
      </c>
      <c r="K698" s="12" t="s">
        <v>958</v>
      </c>
      <c r="L698">
        <v>87</v>
      </c>
    </row>
    <row r="699" spans="1:12" x14ac:dyDescent="0.35">
      <c r="A699" s="10">
        <v>698</v>
      </c>
      <c r="B699" s="6"/>
      <c r="C699" s="9"/>
      <c r="D699" s="9"/>
      <c r="E699" s="9"/>
      <c r="F699" s="9"/>
      <c r="G699" s="9"/>
      <c r="H699" s="9"/>
      <c r="I699" s="11"/>
      <c r="J699" s="12">
        <v>724</v>
      </c>
      <c r="K699" s="12" t="s">
        <v>964</v>
      </c>
      <c r="L699">
        <v>87</v>
      </c>
    </row>
    <row r="700" spans="1:12" x14ac:dyDescent="0.35">
      <c r="A700" s="10">
        <v>699</v>
      </c>
      <c r="B700" s="6"/>
      <c r="C700" s="9"/>
      <c r="D700" s="9"/>
      <c r="E700" s="9"/>
      <c r="F700" s="9"/>
      <c r="G700" s="9"/>
      <c r="H700" s="9"/>
      <c r="I700" s="11"/>
      <c r="J700" s="12">
        <v>331</v>
      </c>
      <c r="K700" s="12" t="s">
        <v>747</v>
      </c>
      <c r="L700">
        <v>87</v>
      </c>
    </row>
    <row r="701" spans="1:12" x14ac:dyDescent="0.35">
      <c r="A701" s="10">
        <v>700</v>
      </c>
      <c r="B701" s="6"/>
      <c r="C701" s="9"/>
      <c r="D701" s="9"/>
      <c r="E701" s="9"/>
      <c r="F701" s="9"/>
      <c r="G701" s="9"/>
      <c r="H701" s="9"/>
      <c r="I701" s="11">
        <v>203</v>
      </c>
      <c r="J701" s="12">
        <v>210</v>
      </c>
      <c r="K701" s="12" t="s">
        <v>120</v>
      </c>
      <c r="L701">
        <v>87</v>
      </c>
    </row>
    <row r="702" spans="1:12" x14ac:dyDescent="0.35">
      <c r="A702" s="10">
        <v>701</v>
      </c>
      <c r="B702" s="6"/>
      <c r="C702" s="9"/>
      <c r="D702" s="9"/>
      <c r="E702" s="9"/>
      <c r="F702" s="9"/>
      <c r="G702" s="9"/>
      <c r="H702" s="9"/>
      <c r="I702" s="11">
        <v>480</v>
      </c>
      <c r="J702" s="12">
        <v>491</v>
      </c>
      <c r="K702" s="12" t="s">
        <v>245</v>
      </c>
      <c r="L702">
        <v>87</v>
      </c>
    </row>
    <row r="703" spans="1:12" x14ac:dyDescent="0.35">
      <c r="A703" s="10">
        <v>702</v>
      </c>
      <c r="B703" s="6"/>
      <c r="C703" s="9"/>
      <c r="D703" s="9"/>
      <c r="E703" s="9"/>
      <c r="F703" s="9"/>
      <c r="G703" s="9"/>
      <c r="H703" s="9"/>
      <c r="I703" s="11"/>
      <c r="J703" s="12">
        <v>732</v>
      </c>
      <c r="K703" s="12" t="s">
        <v>968</v>
      </c>
      <c r="L703">
        <v>87</v>
      </c>
    </row>
    <row r="704" spans="1:12" x14ac:dyDescent="0.35">
      <c r="A704" s="10">
        <v>703</v>
      </c>
      <c r="B704" s="6"/>
      <c r="C704" s="9"/>
      <c r="D704" s="9"/>
      <c r="E704" s="9"/>
      <c r="F704" s="9"/>
      <c r="G704" s="9"/>
      <c r="H704" s="9"/>
      <c r="I704" s="11">
        <v>514</v>
      </c>
      <c r="J704" s="12">
        <v>525</v>
      </c>
      <c r="K704" s="12" t="s">
        <v>256</v>
      </c>
      <c r="L704">
        <v>87</v>
      </c>
    </row>
    <row r="705" spans="1:12" x14ac:dyDescent="0.35">
      <c r="A705" s="10">
        <v>704</v>
      </c>
      <c r="B705" s="6"/>
      <c r="C705" s="9"/>
      <c r="D705" s="9"/>
      <c r="E705" s="9"/>
      <c r="F705" s="9"/>
      <c r="G705" s="9"/>
      <c r="H705" s="9"/>
      <c r="I705" s="11"/>
      <c r="J705" s="12">
        <v>1110</v>
      </c>
      <c r="K705" s="12" t="s">
        <v>1154</v>
      </c>
      <c r="L705">
        <v>87</v>
      </c>
    </row>
    <row r="706" spans="1:12" x14ac:dyDescent="0.35">
      <c r="A706" s="10">
        <v>705</v>
      </c>
      <c r="B706" s="6"/>
      <c r="C706" s="9"/>
      <c r="D706" s="9"/>
      <c r="E706" s="9"/>
      <c r="F706" s="9"/>
      <c r="G706" s="9"/>
      <c r="H706" s="9"/>
      <c r="I706" s="11"/>
      <c r="J706" s="12">
        <v>1118</v>
      </c>
      <c r="K706" s="12" t="s">
        <v>1158</v>
      </c>
      <c r="L706">
        <v>87</v>
      </c>
    </row>
    <row r="707" spans="1:12" x14ac:dyDescent="0.35">
      <c r="A707" s="10">
        <v>706</v>
      </c>
      <c r="B707" s="6"/>
      <c r="C707" s="9"/>
      <c r="D707" s="9"/>
      <c r="E707" s="9"/>
      <c r="F707" s="9"/>
      <c r="G707" s="9"/>
      <c r="H707" s="9"/>
      <c r="I707" s="11"/>
      <c r="J707" s="12">
        <v>557</v>
      </c>
      <c r="K707" s="12" t="s">
        <v>885</v>
      </c>
      <c r="L707">
        <v>87</v>
      </c>
    </row>
    <row r="708" spans="1:12" x14ac:dyDescent="0.35">
      <c r="A708" s="10">
        <v>707</v>
      </c>
      <c r="B708" s="6"/>
      <c r="C708" s="9"/>
      <c r="D708" s="9"/>
      <c r="E708" s="9"/>
      <c r="F708" s="9"/>
      <c r="G708" s="9"/>
      <c r="H708" s="9"/>
      <c r="I708" s="11">
        <v>1112</v>
      </c>
      <c r="J708" s="12">
        <v>1126</v>
      </c>
      <c r="K708" s="12" t="s">
        <v>556</v>
      </c>
      <c r="L708">
        <v>87</v>
      </c>
    </row>
    <row r="709" spans="1:12" x14ac:dyDescent="0.35">
      <c r="A709" s="10">
        <v>708</v>
      </c>
      <c r="B709" s="6"/>
      <c r="C709" s="9"/>
      <c r="D709" s="9"/>
      <c r="E709" s="9"/>
      <c r="F709" s="9"/>
      <c r="G709" s="9"/>
      <c r="H709" s="9"/>
      <c r="I709" s="11">
        <v>1</v>
      </c>
      <c r="J709" s="12">
        <v>1</v>
      </c>
      <c r="K709" s="12" t="s">
        <v>22</v>
      </c>
      <c r="L709">
        <v>87</v>
      </c>
    </row>
    <row r="710" spans="1:12" x14ac:dyDescent="0.35">
      <c r="A710" s="10">
        <v>709</v>
      </c>
      <c r="B710" s="6"/>
      <c r="C710" s="9"/>
      <c r="D710" s="9"/>
      <c r="E710" s="9"/>
      <c r="F710" s="9"/>
      <c r="G710" s="9"/>
      <c r="H710" s="9"/>
      <c r="I710" s="11">
        <v>504</v>
      </c>
      <c r="J710" s="12">
        <v>515</v>
      </c>
      <c r="K710" s="12" t="s">
        <v>253</v>
      </c>
      <c r="L710">
        <v>87</v>
      </c>
    </row>
    <row r="711" spans="1:12" x14ac:dyDescent="0.35">
      <c r="A711" s="10">
        <v>710</v>
      </c>
      <c r="B711" s="6"/>
      <c r="C711" s="9"/>
      <c r="D711" s="9"/>
      <c r="E711" s="9"/>
      <c r="F711" s="9"/>
      <c r="G711" s="9"/>
      <c r="H711" s="9"/>
      <c r="I711" s="11"/>
      <c r="J711" s="12">
        <v>740</v>
      </c>
      <c r="K711" s="12" t="s">
        <v>974</v>
      </c>
      <c r="L711">
        <v>87</v>
      </c>
    </row>
    <row r="712" spans="1:12" x14ac:dyDescent="0.35">
      <c r="A712" s="10">
        <v>711</v>
      </c>
      <c r="B712" s="6"/>
      <c r="C712" s="9"/>
      <c r="D712" s="9"/>
      <c r="E712" s="9"/>
      <c r="F712" s="9"/>
      <c r="G712" s="9"/>
      <c r="H712" s="9"/>
      <c r="I712" s="11"/>
      <c r="J712" s="12">
        <v>748</v>
      </c>
      <c r="K712" s="12" t="s">
        <v>981</v>
      </c>
      <c r="L712">
        <v>87</v>
      </c>
    </row>
    <row r="713" spans="1:12" x14ac:dyDescent="0.35">
      <c r="A713" s="10">
        <v>712</v>
      </c>
      <c r="B713" s="6"/>
      <c r="C713" s="9"/>
      <c r="D713" s="9"/>
      <c r="E713" s="9"/>
      <c r="F713" s="9"/>
      <c r="G713" s="9"/>
      <c r="H713" s="9"/>
      <c r="I713" s="11"/>
      <c r="J713" s="12">
        <v>756</v>
      </c>
      <c r="K713" s="12" t="s">
        <v>985</v>
      </c>
      <c r="L713">
        <v>87</v>
      </c>
    </row>
    <row r="714" spans="1:12" x14ac:dyDescent="0.35">
      <c r="A714" s="10">
        <v>713</v>
      </c>
      <c r="B714" s="6"/>
      <c r="C714" s="9"/>
      <c r="D714" s="9"/>
      <c r="E714" s="9"/>
      <c r="F714" s="9"/>
      <c r="G714" s="9"/>
      <c r="H714" s="9"/>
      <c r="I714" s="11">
        <v>969</v>
      </c>
      <c r="J714" s="12">
        <v>980</v>
      </c>
      <c r="K714" s="12" t="s">
        <v>483</v>
      </c>
      <c r="L714">
        <v>87</v>
      </c>
    </row>
    <row r="715" spans="1:12" x14ac:dyDescent="0.35">
      <c r="A715" s="10">
        <v>714</v>
      </c>
      <c r="B715" s="6"/>
      <c r="C715" s="9"/>
      <c r="D715" s="9"/>
      <c r="E715" s="9"/>
      <c r="F715" s="9"/>
      <c r="G715" s="9"/>
      <c r="H715" s="9"/>
      <c r="I715" s="11">
        <v>993</v>
      </c>
      <c r="J715" s="12">
        <v>1004</v>
      </c>
      <c r="K715" s="12" t="s">
        <v>493</v>
      </c>
      <c r="L715">
        <v>87</v>
      </c>
    </row>
    <row r="716" spans="1:12" x14ac:dyDescent="0.35">
      <c r="A716" s="10">
        <v>715</v>
      </c>
      <c r="B716" s="6"/>
      <c r="C716" s="9"/>
      <c r="D716" s="9"/>
      <c r="E716" s="9"/>
      <c r="F716" s="9"/>
      <c r="G716" s="9"/>
      <c r="H716" s="9"/>
      <c r="I716" s="11">
        <v>58</v>
      </c>
      <c r="J716" s="12">
        <v>63</v>
      </c>
      <c r="K716" s="12" t="s">
        <v>46</v>
      </c>
      <c r="L716">
        <v>87</v>
      </c>
    </row>
    <row r="717" spans="1:12" x14ac:dyDescent="0.35">
      <c r="A717" s="10">
        <v>716</v>
      </c>
      <c r="B717" s="6"/>
      <c r="C717" s="9"/>
      <c r="D717" s="9"/>
      <c r="E717" s="9"/>
      <c r="F717" s="9"/>
      <c r="G717" s="9"/>
      <c r="H717" s="9"/>
      <c r="I717" s="11"/>
      <c r="J717" s="12">
        <v>439</v>
      </c>
      <c r="K717" s="12" t="s">
        <v>813</v>
      </c>
      <c r="L717">
        <v>87</v>
      </c>
    </row>
    <row r="718" spans="1:12" x14ac:dyDescent="0.35">
      <c r="A718" s="10">
        <v>717</v>
      </c>
      <c r="B718" s="6"/>
      <c r="C718" s="9"/>
      <c r="D718" s="9"/>
      <c r="E718" s="9"/>
      <c r="F718" s="9"/>
      <c r="G718" s="9"/>
      <c r="H718" s="9"/>
      <c r="I718" s="11"/>
      <c r="J718" s="12">
        <v>447</v>
      </c>
      <c r="K718" s="12" t="s">
        <v>816</v>
      </c>
      <c r="L718">
        <v>87</v>
      </c>
    </row>
    <row r="719" spans="1:12" x14ac:dyDescent="0.35">
      <c r="A719" s="10">
        <v>718</v>
      </c>
      <c r="B719" s="6"/>
      <c r="C719" s="9"/>
      <c r="D719" s="9"/>
      <c r="E719" s="9"/>
      <c r="F719" s="9"/>
      <c r="G719" s="9"/>
      <c r="H719" s="9"/>
      <c r="I719" s="11"/>
      <c r="J719" s="12">
        <v>455</v>
      </c>
      <c r="K719" s="12" t="s">
        <v>819</v>
      </c>
      <c r="L719">
        <v>87</v>
      </c>
    </row>
    <row r="720" spans="1:12" x14ac:dyDescent="0.35">
      <c r="A720" s="10">
        <v>719</v>
      </c>
      <c r="B720" s="6"/>
      <c r="C720" s="9"/>
      <c r="D720" s="9"/>
      <c r="E720" s="9"/>
      <c r="F720" s="9"/>
      <c r="G720" s="9"/>
      <c r="H720" s="9"/>
      <c r="I720" s="11"/>
      <c r="J720" s="12">
        <v>464</v>
      </c>
      <c r="K720" s="12" t="s">
        <v>824</v>
      </c>
      <c r="L720">
        <v>87</v>
      </c>
    </row>
    <row r="721" spans="1:12" x14ac:dyDescent="0.35">
      <c r="A721" s="10">
        <v>720</v>
      </c>
      <c r="B721" s="6"/>
      <c r="C721" s="9"/>
      <c r="D721" s="9"/>
      <c r="E721" s="9"/>
      <c r="F721" s="9"/>
      <c r="G721" s="9"/>
      <c r="H721" s="9"/>
      <c r="I721" s="11">
        <v>682</v>
      </c>
      <c r="J721" s="12">
        <v>693</v>
      </c>
      <c r="K721" s="12" t="s">
        <v>341</v>
      </c>
      <c r="L721">
        <v>87</v>
      </c>
    </row>
    <row r="722" spans="1:12" x14ac:dyDescent="0.35">
      <c r="A722" s="10">
        <v>721</v>
      </c>
      <c r="B722" s="6"/>
      <c r="C722" s="9"/>
      <c r="D722" s="9"/>
      <c r="E722" s="9"/>
      <c r="F722" s="9"/>
      <c r="G722" s="9"/>
      <c r="H722" s="9"/>
      <c r="I722" s="11"/>
      <c r="J722" s="12">
        <v>761</v>
      </c>
      <c r="K722" s="12" t="s">
        <v>988</v>
      </c>
      <c r="L722">
        <v>87</v>
      </c>
    </row>
    <row r="723" spans="1:12" x14ac:dyDescent="0.35">
      <c r="A723" s="10">
        <v>722</v>
      </c>
      <c r="B723" s="6"/>
      <c r="C723" s="9"/>
      <c r="D723" s="9"/>
      <c r="E723" s="9"/>
      <c r="F723" s="9"/>
      <c r="G723" s="9"/>
      <c r="H723" s="9"/>
      <c r="I723" s="11"/>
      <c r="J723" s="12">
        <v>769</v>
      </c>
      <c r="K723" s="12" t="s">
        <v>994</v>
      </c>
      <c r="L723">
        <v>87</v>
      </c>
    </row>
    <row r="724" spans="1:12" x14ac:dyDescent="0.35">
      <c r="A724" s="10">
        <v>723</v>
      </c>
      <c r="B724" s="6"/>
      <c r="C724" s="9"/>
      <c r="D724" s="9"/>
      <c r="E724" s="9"/>
      <c r="F724" s="9"/>
      <c r="G724" s="9"/>
      <c r="H724" s="9"/>
      <c r="I724" s="11"/>
      <c r="J724" s="12">
        <v>777</v>
      </c>
      <c r="K724" s="12" t="s">
        <v>997</v>
      </c>
      <c r="L724">
        <v>87</v>
      </c>
    </row>
    <row r="725" spans="1:12" x14ac:dyDescent="0.35">
      <c r="A725" s="10">
        <v>724</v>
      </c>
      <c r="B725" s="6"/>
      <c r="C725" s="9"/>
      <c r="D725" s="9"/>
      <c r="E725" s="9"/>
      <c r="F725" s="9"/>
      <c r="G725" s="9"/>
      <c r="H725" s="9"/>
      <c r="I725" s="11"/>
      <c r="J725" s="12">
        <v>785</v>
      </c>
      <c r="K725" s="12" t="s">
        <v>1000</v>
      </c>
      <c r="L725">
        <v>87</v>
      </c>
    </row>
    <row r="726" spans="1:12" x14ac:dyDescent="0.35">
      <c r="A726" s="10">
        <v>725</v>
      </c>
      <c r="B726" s="6"/>
      <c r="C726" s="9"/>
      <c r="D726" s="9"/>
      <c r="E726" s="9"/>
      <c r="F726" s="9"/>
      <c r="G726" s="9"/>
      <c r="H726" s="9"/>
      <c r="I726" s="11">
        <v>935</v>
      </c>
      <c r="J726" s="12">
        <v>946</v>
      </c>
      <c r="K726" s="12" t="s">
        <v>463</v>
      </c>
      <c r="L726">
        <v>87</v>
      </c>
    </row>
    <row r="727" spans="1:12" x14ac:dyDescent="0.35">
      <c r="A727" s="10">
        <v>726</v>
      </c>
      <c r="B727" s="6"/>
      <c r="C727" s="9"/>
      <c r="D727" s="9"/>
      <c r="E727" s="9"/>
      <c r="F727" s="9"/>
      <c r="G727" s="9" t="s">
        <v>1399</v>
      </c>
      <c r="H727" s="9"/>
      <c r="I727" s="11">
        <v>187</v>
      </c>
      <c r="J727" s="12">
        <v>194</v>
      </c>
      <c r="K727" s="12" t="s">
        <v>112</v>
      </c>
      <c r="L727">
        <v>88</v>
      </c>
    </row>
    <row r="728" spans="1:12" x14ac:dyDescent="0.35">
      <c r="A728" s="10">
        <v>727</v>
      </c>
      <c r="B728" s="6"/>
      <c r="C728" s="9"/>
      <c r="D728" s="9"/>
      <c r="E728" s="9"/>
      <c r="F728" s="9"/>
      <c r="G728" s="9"/>
      <c r="H728" s="9"/>
      <c r="I728" s="11"/>
      <c r="J728" s="12">
        <v>290</v>
      </c>
      <c r="K728" s="12" t="s">
        <v>727</v>
      </c>
      <c r="L728">
        <v>88</v>
      </c>
    </row>
    <row r="729" spans="1:12" x14ac:dyDescent="0.35">
      <c r="A729" s="10">
        <v>728</v>
      </c>
      <c r="B729" s="6"/>
      <c r="C729" s="9"/>
      <c r="D729" s="9"/>
      <c r="E729" s="9"/>
      <c r="F729" s="9"/>
      <c r="G729" s="9"/>
      <c r="H729" s="9"/>
      <c r="I729" s="11">
        <v>219</v>
      </c>
      <c r="J729" s="12">
        <v>226</v>
      </c>
      <c r="K729" s="12" t="s">
        <v>128</v>
      </c>
      <c r="L729">
        <v>88</v>
      </c>
    </row>
    <row r="730" spans="1:12" x14ac:dyDescent="0.35">
      <c r="A730" s="10">
        <v>729</v>
      </c>
      <c r="B730" s="6"/>
      <c r="C730" s="9"/>
      <c r="D730" s="9"/>
      <c r="E730" s="9"/>
      <c r="F730" s="9"/>
      <c r="G730" s="9"/>
      <c r="H730" s="9"/>
      <c r="I730" s="11">
        <v>346</v>
      </c>
      <c r="J730" s="12">
        <v>356</v>
      </c>
      <c r="K730" s="12" t="s">
        <v>190</v>
      </c>
      <c r="L730">
        <v>88</v>
      </c>
    </row>
    <row r="731" spans="1:12" x14ac:dyDescent="0.35">
      <c r="A731" s="10">
        <v>730</v>
      </c>
      <c r="B731" s="6"/>
      <c r="C731" s="9"/>
      <c r="D731" s="9"/>
      <c r="E731" s="9"/>
      <c r="F731" s="9"/>
      <c r="G731" s="9"/>
      <c r="H731" s="9"/>
      <c r="I731" s="11">
        <v>354</v>
      </c>
      <c r="J731" s="12">
        <v>364</v>
      </c>
      <c r="K731" s="12" t="s">
        <v>194</v>
      </c>
      <c r="L731">
        <v>88</v>
      </c>
    </row>
    <row r="732" spans="1:12" x14ac:dyDescent="0.35">
      <c r="A732" s="10">
        <v>731</v>
      </c>
      <c r="B732" s="6"/>
      <c r="C732" s="9"/>
      <c r="D732" s="9"/>
      <c r="E732" s="9"/>
      <c r="F732" s="9"/>
      <c r="G732" s="9"/>
      <c r="H732" s="9"/>
      <c r="I732" s="11">
        <v>167</v>
      </c>
      <c r="J732" s="12">
        <v>173</v>
      </c>
      <c r="K732" s="12" t="s">
        <v>102</v>
      </c>
      <c r="L732">
        <v>88</v>
      </c>
    </row>
    <row r="733" spans="1:12" x14ac:dyDescent="0.35">
      <c r="A733" s="10">
        <v>732</v>
      </c>
      <c r="B733" s="6"/>
      <c r="C733" s="9"/>
      <c r="D733" s="9"/>
      <c r="E733" s="9"/>
      <c r="F733" s="9"/>
      <c r="G733" s="9"/>
      <c r="H733" s="9"/>
      <c r="I733" s="11">
        <v>459</v>
      </c>
      <c r="J733" s="12">
        <v>470</v>
      </c>
      <c r="K733" s="12" t="s">
        <v>237</v>
      </c>
      <c r="L733">
        <v>88</v>
      </c>
    </row>
    <row r="734" spans="1:12" x14ac:dyDescent="0.35">
      <c r="A734" s="10">
        <v>733</v>
      </c>
      <c r="B734" s="6"/>
      <c r="C734" s="9"/>
      <c r="D734" s="9"/>
      <c r="E734" s="9"/>
      <c r="F734" s="9"/>
      <c r="G734" s="9"/>
      <c r="H734" s="9"/>
      <c r="I734" s="11">
        <v>603</v>
      </c>
      <c r="J734" s="12">
        <v>614</v>
      </c>
      <c r="K734" s="12" t="s">
        <v>299</v>
      </c>
      <c r="L734">
        <v>88</v>
      </c>
    </row>
    <row r="735" spans="1:12" x14ac:dyDescent="0.35">
      <c r="A735" s="10">
        <v>734</v>
      </c>
      <c r="B735" s="6"/>
      <c r="C735" s="9"/>
      <c r="D735" s="9"/>
      <c r="E735" s="9"/>
      <c r="F735" s="9"/>
      <c r="G735" s="9"/>
      <c r="H735" s="9"/>
      <c r="I735" s="11">
        <v>786</v>
      </c>
      <c r="J735" s="12">
        <v>797</v>
      </c>
      <c r="K735" s="12" t="s">
        <v>385</v>
      </c>
      <c r="L735">
        <v>88</v>
      </c>
    </row>
    <row r="736" spans="1:12" x14ac:dyDescent="0.35">
      <c r="A736" s="10">
        <v>735</v>
      </c>
      <c r="B736" s="6"/>
      <c r="C736" s="9"/>
      <c r="D736" s="9"/>
      <c r="E736" s="9"/>
      <c r="F736" s="9"/>
      <c r="G736" s="9"/>
      <c r="H736" s="9"/>
      <c r="I736" s="11"/>
      <c r="J736" s="12">
        <v>796</v>
      </c>
      <c r="K736" s="12" t="s">
        <v>1006</v>
      </c>
      <c r="L736">
        <v>88</v>
      </c>
    </row>
    <row r="737" spans="1:12" x14ac:dyDescent="0.35">
      <c r="A737" s="10">
        <v>736</v>
      </c>
      <c r="B737" s="6"/>
      <c r="C737" s="9"/>
      <c r="D737" s="9"/>
      <c r="E737" s="9"/>
      <c r="F737" s="9"/>
      <c r="G737" s="9"/>
      <c r="H737" s="9"/>
      <c r="I737" s="11">
        <v>793</v>
      </c>
      <c r="J737" s="12">
        <v>804</v>
      </c>
      <c r="K737" s="12" t="s">
        <v>390</v>
      </c>
      <c r="L737">
        <v>88</v>
      </c>
    </row>
    <row r="738" spans="1:12" x14ac:dyDescent="0.35">
      <c r="A738" s="10">
        <v>737</v>
      </c>
      <c r="B738" s="6"/>
      <c r="C738" s="9"/>
      <c r="D738" s="9" t="s">
        <v>1400</v>
      </c>
      <c r="E738" s="9"/>
      <c r="F738" s="9"/>
      <c r="G738" s="9"/>
      <c r="H738" s="9"/>
      <c r="I738" s="11">
        <v>303</v>
      </c>
      <c r="J738" s="12">
        <v>313</v>
      </c>
      <c r="K738" s="12" t="s">
        <v>170</v>
      </c>
    </row>
    <row r="739" spans="1:12" x14ac:dyDescent="0.35">
      <c r="A739" s="10">
        <v>738</v>
      </c>
      <c r="B739" s="6"/>
      <c r="C739" s="9"/>
      <c r="D739" s="9"/>
      <c r="E739" s="9" t="s">
        <v>1401</v>
      </c>
      <c r="F739" s="9"/>
      <c r="G739" s="9"/>
      <c r="H739" s="9"/>
      <c r="I739" s="11"/>
      <c r="J739" s="12">
        <v>339</v>
      </c>
      <c r="K739" s="12" t="s">
        <v>752</v>
      </c>
      <c r="L739">
        <v>89</v>
      </c>
    </row>
    <row r="740" spans="1:12" x14ac:dyDescent="0.35">
      <c r="A740" s="10">
        <v>739</v>
      </c>
      <c r="B740" s="6"/>
      <c r="C740" s="9"/>
      <c r="D740" s="9"/>
      <c r="E740" s="9"/>
      <c r="F740" s="9" t="s">
        <v>1427</v>
      </c>
      <c r="G740" s="9"/>
      <c r="H740" s="9"/>
      <c r="I740" s="11"/>
      <c r="J740" s="12">
        <v>302</v>
      </c>
      <c r="K740" s="12" t="s">
        <v>734</v>
      </c>
      <c r="L740">
        <v>89</v>
      </c>
    </row>
    <row r="741" spans="1:12" x14ac:dyDescent="0.35">
      <c r="A741" s="10">
        <v>740</v>
      </c>
      <c r="B741" s="6"/>
      <c r="C741" s="9"/>
      <c r="D741" s="9"/>
      <c r="E741" s="9"/>
      <c r="F741" s="9"/>
      <c r="G741" s="9"/>
      <c r="H741" s="9"/>
      <c r="I741" s="11">
        <v>840</v>
      </c>
      <c r="J741" s="12">
        <v>851</v>
      </c>
      <c r="K741" s="12" t="s">
        <v>411</v>
      </c>
      <c r="L741">
        <v>89</v>
      </c>
    </row>
    <row r="742" spans="1:12" x14ac:dyDescent="0.35">
      <c r="A742" s="10">
        <v>741</v>
      </c>
      <c r="B742" s="6"/>
      <c r="C742" s="9"/>
      <c r="D742" s="9"/>
      <c r="E742" s="9"/>
      <c r="F742" s="9"/>
      <c r="G742" s="9"/>
      <c r="H742" s="9"/>
      <c r="I742" s="11">
        <v>831</v>
      </c>
      <c r="J742" s="12">
        <v>842</v>
      </c>
      <c r="K742" s="12" t="s">
        <v>405</v>
      </c>
      <c r="L742">
        <v>89</v>
      </c>
    </row>
    <row r="743" spans="1:12" x14ac:dyDescent="0.35">
      <c r="A743" s="10">
        <v>742</v>
      </c>
      <c r="B743" s="6"/>
      <c r="C743" s="9"/>
      <c r="D743" s="9"/>
      <c r="E743" s="9"/>
      <c r="F743" s="9"/>
      <c r="G743" s="9"/>
      <c r="H743" s="9"/>
      <c r="I743" s="11"/>
      <c r="J743" s="12">
        <v>834</v>
      </c>
      <c r="K743" s="12" t="s">
        <v>1028</v>
      </c>
      <c r="L743">
        <v>89</v>
      </c>
    </row>
    <row r="744" spans="1:12" x14ac:dyDescent="0.35">
      <c r="A744" s="10">
        <v>743</v>
      </c>
      <c r="B744" s="6"/>
      <c r="C744" s="9"/>
      <c r="D744" s="9"/>
      <c r="E744" s="9"/>
      <c r="F744" s="9" t="s">
        <v>1428</v>
      </c>
      <c r="G744" s="9"/>
      <c r="H744" s="9"/>
      <c r="I744" s="11">
        <v>4</v>
      </c>
      <c r="J744" s="12">
        <v>4</v>
      </c>
      <c r="K744" s="12" t="s">
        <v>24</v>
      </c>
      <c r="L744">
        <v>89</v>
      </c>
    </row>
    <row r="745" spans="1:12" x14ac:dyDescent="0.35">
      <c r="A745" s="10">
        <v>744</v>
      </c>
      <c r="B745" s="6"/>
      <c r="C745" s="9"/>
      <c r="D745" s="9"/>
      <c r="E745" s="9"/>
      <c r="F745" s="9"/>
      <c r="G745" s="9"/>
      <c r="H745" s="9"/>
      <c r="I745" s="11"/>
      <c r="J745" s="12">
        <v>811</v>
      </c>
      <c r="K745" s="12" t="s">
        <v>1012</v>
      </c>
      <c r="L745">
        <v>89</v>
      </c>
    </row>
    <row r="746" spans="1:12" x14ac:dyDescent="0.35">
      <c r="A746" s="10">
        <v>745</v>
      </c>
      <c r="B746" s="6"/>
      <c r="C746" s="9"/>
      <c r="D746" s="9"/>
      <c r="E746" s="9"/>
      <c r="F746" s="9"/>
      <c r="G746" s="9"/>
      <c r="H746" s="9"/>
      <c r="I746" s="11"/>
      <c r="J746" s="12">
        <v>820</v>
      </c>
      <c r="K746" s="12" t="s">
        <v>1018</v>
      </c>
      <c r="L746">
        <v>89</v>
      </c>
    </row>
    <row r="747" spans="1:12" x14ac:dyDescent="0.35">
      <c r="A747" s="10">
        <v>746</v>
      </c>
      <c r="B747" s="6"/>
      <c r="C747" s="9"/>
      <c r="D747" s="9"/>
      <c r="E747" s="9"/>
      <c r="F747" s="9"/>
      <c r="G747" s="9"/>
      <c r="H747" s="9"/>
      <c r="I747" s="11"/>
      <c r="J747" s="12">
        <v>828</v>
      </c>
      <c r="K747" s="12" t="s">
        <v>1024</v>
      </c>
      <c r="L747">
        <v>89</v>
      </c>
    </row>
    <row r="748" spans="1:12" x14ac:dyDescent="0.35">
      <c r="A748" s="10">
        <v>747</v>
      </c>
      <c r="B748" s="6"/>
      <c r="C748" s="9"/>
      <c r="D748" s="9"/>
      <c r="E748" s="9"/>
      <c r="F748" s="9"/>
      <c r="G748" s="9"/>
      <c r="H748" s="9"/>
      <c r="I748" s="11">
        <v>569</v>
      </c>
      <c r="J748" s="12">
        <v>580</v>
      </c>
      <c r="K748" s="12" t="s">
        <v>276</v>
      </c>
      <c r="L748">
        <v>89</v>
      </c>
    </row>
    <row r="749" spans="1:12" x14ac:dyDescent="0.35">
      <c r="A749" s="10">
        <v>748</v>
      </c>
      <c r="B749" s="6"/>
      <c r="C749" s="9"/>
      <c r="D749" s="9"/>
      <c r="E749" s="9"/>
      <c r="F749" s="9"/>
      <c r="G749" s="9"/>
      <c r="H749" s="9"/>
      <c r="I749" s="11">
        <v>263</v>
      </c>
      <c r="J749" s="12">
        <v>271</v>
      </c>
      <c r="K749" s="12" t="s">
        <v>149</v>
      </c>
      <c r="L749">
        <v>89</v>
      </c>
    </row>
    <row r="750" spans="1:12" x14ac:dyDescent="0.35">
      <c r="A750" s="10">
        <v>749</v>
      </c>
      <c r="B750" s="6"/>
      <c r="C750" s="9"/>
      <c r="D750" s="9"/>
      <c r="E750" s="9"/>
      <c r="F750" s="9"/>
      <c r="G750" s="9"/>
      <c r="H750" s="9"/>
      <c r="I750" s="11">
        <v>863</v>
      </c>
      <c r="J750" s="12">
        <v>874</v>
      </c>
      <c r="K750" s="12" t="s">
        <v>421</v>
      </c>
      <c r="L750">
        <v>89</v>
      </c>
    </row>
    <row r="751" spans="1:12" x14ac:dyDescent="0.35">
      <c r="A751" s="10">
        <v>750</v>
      </c>
      <c r="B751" s="6"/>
      <c r="C751" s="9"/>
      <c r="D751" s="9"/>
      <c r="E751" s="9"/>
      <c r="F751" s="9"/>
      <c r="G751" s="9"/>
      <c r="H751" s="9"/>
      <c r="I751" s="11">
        <v>449</v>
      </c>
      <c r="J751" s="12">
        <v>460</v>
      </c>
      <c r="K751" s="12" t="s">
        <v>232</v>
      </c>
      <c r="L751">
        <v>89</v>
      </c>
    </row>
    <row r="752" spans="1:12" x14ac:dyDescent="0.35">
      <c r="A752" s="10">
        <v>751</v>
      </c>
      <c r="B752" s="6"/>
      <c r="C752" s="9"/>
      <c r="D752" s="9"/>
      <c r="E752" s="9" t="s">
        <v>1402</v>
      </c>
      <c r="F752" s="9"/>
      <c r="G752" s="9"/>
      <c r="H752" s="9"/>
      <c r="I752" s="11"/>
      <c r="J752" s="12">
        <v>323</v>
      </c>
      <c r="K752" s="12" t="s">
        <v>743</v>
      </c>
    </row>
    <row r="753" spans="1:12" x14ac:dyDescent="0.35">
      <c r="A753" s="10">
        <v>752</v>
      </c>
      <c r="B753" s="6"/>
      <c r="C753" s="9"/>
      <c r="D753" s="9"/>
      <c r="E753" s="9"/>
      <c r="F753" s="9"/>
      <c r="G753" s="9"/>
      <c r="H753" s="9"/>
      <c r="I753" s="11">
        <v>371</v>
      </c>
      <c r="J753" s="12">
        <v>381</v>
      </c>
      <c r="K753" s="12" t="s">
        <v>201</v>
      </c>
      <c r="L753">
        <v>90</v>
      </c>
    </row>
    <row r="754" spans="1:12" x14ac:dyDescent="0.35">
      <c r="A754" s="10">
        <v>753</v>
      </c>
      <c r="B754" s="6"/>
      <c r="C754" s="9"/>
      <c r="D754" s="9"/>
      <c r="E754" s="9"/>
      <c r="F754" s="9"/>
      <c r="G754" s="9"/>
      <c r="H754" s="9"/>
      <c r="I754" s="11">
        <v>738</v>
      </c>
      <c r="J754" s="12">
        <v>749</v>
      </c>
      <c r="K754" s="12" t="s">
        <v>362</v>
      </c>
      <c r="L754">
        <v>90</v>
      </c>
    </row>
    <row r="755" spans="1:12" x14ac:dyDescent="0.35">
      <c r="A755" s="10">
        <v>754</v>
      </c>
      <c r="B755" s="6"/>
      <c r="C755" s="9"/>
      <c r="D755" s="9"/>
      <c r="E755" s="9"/>
      <c r="F755" s="9"/>
      <c r="G755" s="9"/>
      <c r="H755" s="9"/>
      <c r="I755" s="11">
        <v>123</v>
      </c>
      <c r="J755" s="12">
        <v>128</v>
      </c>
      <c r="K755" s="12" t="s">
        <v>79</v>
      </c>
      <c r="L755">
        <v>91</v>
      </c>
    </row>
    <row r="756" spans="1:12" x14ac:dyDescent="0.35">
      <c r="A756" s="10">
        <v>755</v>
      </c>
      <c r="B756" s="6"/>
      <c r="C756" s="9"/>
      <c r="D756" s="9"/>
      <c r="E756" s="9"/>
      <c r="F756" s="9"/>
      <c r="G756" s="9"/>
      <c r="H756" s="9"/>
      <c r="I756" s="11"/>
      <c r="J756" s="12">
        <v>539</v>
      </c>
      <c r="K756" s="12" t="s">
        <v>872</v>
      </c>
      <c r="L756">
        <v>91</v>
      </c>
    </row>
    <row r="757" spans="1:12" x14ac:dyDescent="0.35">
      <c r="A757" s="10">
        <v>756</v>
      </c>
      <c r="B757" s="6"/>
      <c r="C757" s="9"/>
      <c r="D757" s="9"/>
      <c r="E757" s="9"/>
      <c r="F757" s="9"/>
      <c r="G757" s="9"/>
      <c r="H757" s="9"/>
      <c r="I757" s="11"/>
      <c r="J757" s="12">
        <v>548</v>
      </c>
      <c r="K757" s="12" t="s">
        <v>878</v>
      </c>
      <c r="L757">
        <v>91</v>
      </c>
    </row>
    <row r="758" spans="1:12" x14ac:dyDescent="0.35">
      <c r="A758" s="10">
        <v>757</v>
      </c>
      <c r="B758" s="6"/>
      <c r="C758" s="9"/>
      <c r="D758" s="9"/>
      <c r="E758" s="9"/>
      <c r="F758" s="9"/>
      <c r="G758" s="9"/>
      <c r="H758" s="9"/>
      <c r="I758" s="11"/>
      <c r="J758" s="12">
        <v>555</v>
      </c>
      <c r="K758" s="12" t="s">
        <v>884</v>
      </c>
      <c r="L758">
        <v>91</v>
      </c>
    </row>
    <row r="759" spans="1:12" x14ac:dyDescent="0.35">
      <c r="A759" s="10">
        <v>758</v>
      </c>
      <c r="B759" s="6"/>
      <c r="C759" s="9"/>
      <c r="D759" s="9"/>
      <c r="E759" s="9"/>
      <c r="F759" s="9"/>
      <c r="G759" s="9"/>
      <c r="H759" s="9"/>
      <c r="I759" s="11">
        <v>239</v>
      </c>
      <c r="J759" s="12">
        <v>246</v>
      </c>
      <c r="K759" s="12" t="s">
        <v>135</v>
      </c>
      <c r="L759">
        <v>91</v>
      </c>
    </row>
    <row r="760" spans="1:12" x14ac:dyDescent="0.35">
      <c r="A760" s="10">
        <v>759</v>
      </c>
      <c r="B760" s="6"/>
      <c r="C760" s="9"/>
      <c r="D760" s="9"/>
      <c r="E760" s="9"/>
      <c r="F760" s="9"/>
      <c r="G760" s="9"/>
      <c r="H760" s="9"/>
      <c r="I760" s="11"/>
      <c r="J760" s="12">
        <v>294</v>
      </c>
      <c r="K760" s="12" t="s">
        <v>730</v>
      </c>
      <c r="L760">
        <v>92</v>
      </c>
    </row>
    <row r="761" spans="1:12" x14ac:dyDescent="0.35">
      <c r="A761" s="10">
        <v>760</v>
      </c>
      <c r="B761" s="6"/>
      <c r="C761" s="9"/>
      <c r="D761" s="9"/>
      <c r="E761" s="9"/>
      <c r="F761" s="9"/>
      <c r="G761" s="9"/>
      <c r="H761" s="9"/>
      <c r="I761" s="11">
        <v>23</v>
      </c>
      <c r="J761" s="12">
        <v>26</v>
      </c>
      <c r="K761" s="12" t="s">
        <v>33</v>
      </c>
      <c r="L761">
        <v>92</v>
      </c>
    </row>
    <row r="762" spans="1:12" x14ac:dyDescent="0.35">
      <c r="A762" s="10">
        <v>761</v>
      </c>
      <c r="B762" s="6"/>
      <c r="C762" s="9"/>
      <c r="D762" s="9"/>
      <c r="E762" s="9"/>
      <c r="F762" s="9"/>
      <c r="G762" s="9"/>
      <c r="H762" s="9"/>
      <c r="I762" s="11">
        <v>37</v>
      </c>
      <c r="J762" s="12">
        <v>42</v>
      </c>
      <c r="K762" s="12" t="s">
        <v>41</v>
      </c>
      <c r="L762">
        <v>92</v>
      </c>
    </row>
    <row r="763" spans="1:12" x14ac:dyDescent="0.35">
      <c r="A763" s="10">
        <v>762</v>
      </c>
      <c r="B763" s="6"/>
      <c r="C763" s="9"/>
      <c r="D763" s="9"/>
      <c r="E763" s="9"/>
      <c r="F763" s="9"/>
      <c r="G763" s="9"/>
      <c r="H763" s="9"/>
      <c r="I763" s="11">
        <v>15</v>
      </c>
      <c r="J763" s="12">
        <v>17</v>
      </c>
      <c r="K763" s="12" t="s">
        <v>30</v>
      </c>
      <c r="L763">
        <v>92</v>
      </c>
    </row>
    <row r="764" spans="1:12" x14ac:dyDescent="0.35">
      <c r="A764" s="10">
        <v>763</v>
      </c>
      <c r="B764" s="6"/>
      <c r="C764" s="9"/>
      <c r="D764" s="9"/>
      <c r="E764" s="9"/>
      <c r="F764" s="9"/>
      <c r="G764" s="9"/>
      <c r="H764" s="9"/>
      <c r="I764" s="11">
        <v>9</v>
      </c>
      <c r="J764" s="12">
        <v>10</v>
      </c>
      <c r="K764" s="12" t="s">
        <v>28</v>
      </c>
      <c r="L764">
        <v>92</v>
      </c>
    </row>
    <row r="765" spans="1:12" x14ac:dyDescent="0.35">
      <c r="A765" s="10">
        <v>764</v>
      </c>
      <c r="B765" s="6"/>
      <c r="C765" s="9"/>
      <c r="D765" s="9"/>
      <c r="E765" s="9"/>
      <c r="F765" s="9"/>
      <c r="G765" s="9"/>
      <c r="H765" s="9"/>
      <c r="I765" s="11">
        <v>483</v>
      </c>
      <c r="J765" s="12">
        <v>494</v>
      </c>
      <c r="K765" s="12" t="s">
        <v>246</v>
      </c>
      <c r="L765">
        <v>92</v>
      </c>
    </row>
    <row r="766" spans="1:12" x14ac:dyDescent="0.35">
      <c r="A766" s="10">
        <v>765</v>
      </c>
      <c r="B766" s="6"/>
      <c r="C766" s="9"/>
      <c r="D766" s="9"/>
      <c r="E766" s="9"/>
      <c r="F766" s="9"/>
      <c r="G766" s="9"/>
      <c r="H766" s="9"/>
      <c r="I766" s="11">
        <v>492</v>
      </c>
      <c r="J766" s="12">
        <v>503</v>
      </c>
      <c r="K766" s="12" t="s">
        <v>249</v>
      </c>
      <c r="L766">
        <v>92</v>
      </c>
    </row>
    <row r="767" spans="1:12" x14ac:dyDescent="0.35">
      <c r="A767" s="10">
        <v>766</v>
      </c>
      <c r="B767" s="6"/>
      <c r="C767" s="9"/>
      <c r="D767" s="9"/>
      <c r="E767" s="9"/>
      <c r="F767" s="9"/>
      <c r="G767" s="9"/>
      <c r="H767" s="9"/>
      <c r="I767" s="11">
        <v>500</v>
      </c>
      <c r="J767" s="12">
        <v>511</v>
      </c>
      <c r="K767" s="12" t="s">
        <v>252</v>
      </c>
      <c r="L767">
        <v>92</v>
      </c>
    </row>
    <row r="768" spans="1:12" x14ac:dyDescent="0.35">
      <c r="A768" s="10">
        <v>767</v>
      </c>
      <c r="B768" s="6"/>
      <c r="C768" s="9"/>
      <c r="D768" s="9"/>
      <c r="E768" s="9"/>
      <c r="F768" s="9" t="s">
        <v>1403</v>
      </c>
      <c r="G768" s="9"/>
      <c r="H768" s="9"/>
      <c r="I768" s="11">
        <v>784</v>
      </c>
      <c r="J768" s="12">
        <v>795</v>
      </c>
      <c r="K768" s="12" t="s">
        <v>384</v>
      </c>
      <c r="L768">
        <v>93</v>
      </c>
    </row>
    <row r="769" spans="1:12" x14ac:dyDescent="0.35">
      <c r="A769" s="10">
        <v>768</v>
      </c>
      <c r="B769" s="6"/>
      <c r="C769" s="9"/>
      <c r="D769" s="9"/>
      <c r="E769" s="9"/>
      <c r="F769" s="9"/>
      <c r="G769" s="9"/>
      <c r="H769" s="9"/>
      <c r="I769" s="11">
        <v>45</v>
      </c>
      <c r="J769" s="12">
        <v>50</v>
      </c>
      <c r="K769" s="12" t="s">
        <v>43</v>
      </c>
      <c r="L769">
        <v>93</v>
      </c>
    </row>
    <row r="770" spans="1:12" x14ac:dyDescent="0.35">
      <c r="A770" s="10">
        <v>769</v>
      </c>
      <c r="B770" s="6"/>
      <c r="C770" s="9"/>
      <c r="D770" s="9"/>
      <c r="E770" s="9"/>
      <c r="F770" s="9"/>
      <c r="G770" s="9"/>
      <c r="H770" s="9"/>
      <c r="I770" s="11">
        <v>62</v>
      </c>
      <c r="J770" s="12">
        <v>67</v>
      </c>
      <c r="K770" s="12" t="s">
        <v>49</v>
      </c>
      <c r="L770">
        <v>93</v>
      </c>
    </row>
    <row r="771" spans="1:12" x14ac:dyDescent="0.35">
      <c r="A771" s="10">
        <v>770</v>
      </c>
      <c r="B771" s="6"/>
      <c r="C771" s="9"/>
      <c r="D771" s="9"/>
      <c r="E771" s="9"/>
      <c r="F771" s="9"/>
      <c r="G771" s="9"/>
      <c r="H771" s="9"/>
      <c r="I771" s="11">
        <v>576</v>
      </c>
      <c r="J771" s="12">
        <v>587</v>
      </c>
      <c r="K771" s="12" t="s">
        <v>280</v>
      </c>
      <c r="L771">
        <v>93</v>
      </c>
    </row>
    <row r="772" spans="1:12" x14ac:dyDescent="0.35">
      <c r="A772" s="10">
        <v>771</v>
      </c>
      <c r="B772" s="6"/>
      <c r="C772" s="9"/>
      <c r="D772" s="9"/>
      <c r="E772" s="9"/>
      <c r="F772" s="9" t="s">
        <v>1429</v>
      </c>
      <c r="G772" s="9"/>
      <c r="H772" s="9"/>
      <c r="I772" s="11"/>
      <c r="J772" s="12">
        <v>1100</v>
      </c>
      <c r="K772" s="12" t="s">
        <v>1150</v>
      </c>
      <c r="L772">
        <v>94</v>
      </c>
    </row>
    <row r="773" spans="1:12" x14ac:dyDescent="0.35">
      <c r="A773" s="10">
        <v>772</v>
      </c>
      <c r="B773" s="6"/>
      <c r="C773" s="9"/>
      <c r="D773" s="9"/>
      <c r="E773" s="9"/>
      <c r="F773" s="9"/>
      <c r="G773" s="9"/>
      <c r="H773" s="9"/>
      <c r="I773" s="11">
        <v>208</v>
      </c>
      <c r="J773" s="12">
        <v>215</v>
      </c>
      <c r="K773" s="12" t="s">
        <v>123</v>
      </c>
      <c r="L773">
        <v>94</v>
      </c>
    </row>
    <row r="774" spans="1:12" x14ac:dyDescent="0.35">
      <c r="A774" s="10">
        <v>773</v>
      </c>
      <c r="B774" s="6"/>
      <c r="C774" s="9"/>
      <c r="D774" s="9"/>
      <c r="E774" s="9"/>
      <c r="F774" s="9"/>
      <c r="G774" s="9"/>
      <c r="H774" s="9"/>
      <c r="I774" s="11">
        <v>520</v>
      </c>
      <c r="J774" s="12">
        <v>531</v>
      </c>
      <c r="K774" s="12" t="s">
        <v>259</v>
      </c>
      <c r="L774">
        <v>94</v>
      </c>
    </row>
    <row r="775" spans="1:12" x14ac:dyDescent="0.35">
      <c r="A775" s="10">
        <v>774</v>
      </c>
      <c r="B775" s="6"/>
      <c r="C775" s="9"/>
      <c r="D775" s="9"/>
      <c r="E775" s="9"/>
      <c r="F775" s="9"/>
      <c r="G775" s="9"/>
      <c r="H775" s="9"/>
      <c r="I775" s="11">
        <v>617</v>
      </c>
      <c r="J775" s="12">
        <v>628</v>
      </c>
      <c r="K775" s="12" t="s">
        <v>305</v>
      </c>
      <c r="L775">
        <v>94</v>
      </c>
    </row>
    <row r="776" spans="1:12" x14ac:dyDescent="0.35">
      <c r="A776" s="10">
        <v>775</v>
      </c>
      <c r="B776" s="6"/>
      <c r="C776" s="9"/>
      <c r="D776" s="9"/>
      <c r="E776" s="9"/>
      <c r="F776" s="9"/>
      <c r="G776" s="9"/>
      <c r="H776" s="9"/>
      <c r="I776" s="11">
        <v>623</v>
      </c>
      <c r="J776" s="12">
        <v>634</v>
      </c>
      <c r="K776" s="12" t="s">
        <v>310</v>
      </c>
      <c r="L776">
        <v>94</v>
      </c>
    </row>
    <row r="777" spans="1:12" x14ac:dyDescent="0.35">
      <c r="A777" s="10">
        <v>776</v>
      </c>
      <c r="B777" s="6"/>
      <c r="C777" s="9"/>
      <c r="D777" s="9"/>
      <c r="E777" s="9"/>
      <c r="F777" s="9"/>
      <c r="G777" s="9"/>
      <c r="H777" s="9"/>
      <c r="I777" s="11">
        <v>695</v>
      </c>
      <c r="J777" s="12">
        <v>706</v>
      </c>
      <c r="K777" s="12" t="s">
        <v>350</v>
      </c>
      <c r="L777">
        <v>94</v>
      </c>
    </row>
    <row r="778" spans="1:12" x14ac:dyDescent="0.35">
      <c r="A778" s="10">
        <v>777</v>
      </c>
      <c r="B778" s="6"/>
      <c r="C778" s="9"/>
      <c r="D778" s="9"/>
      <c r="E778" s="9"/>
      <c r="F778" s="9"/>
      <c r="G778" s="9"/>
      <c r="H778" s="9"/>
      <c r="I778" s="11">
        <v>1049</v>
      </c>
      <c r="J778" s="12">
        <v>1061</v>
      </c>
      <c r="K778" s="12" t="s">
        <v>527</v>
      </c>
      <c r="L778">
        <v>94</v>
      </c>
    </row>
    <row r="779" spans="1:12" x14ac:dyDescent="0.35">
      <c r="A779" s="10">
        <v>778</v>
      </c>
      <c r="B779" s="6"/>
      <c r="C779" s="9"/>
      <c r="D779" s="9"/>
      <c r="E779" s="9"/>
      <c r="F779" s="9"/>
      <c r="G779" s="9"/>
      <c r="H779" s="9"/>
      <c r="I779" s="11">
        <v>605</v>
      </c>
      <c r="J779" s="12">
        <v>616</v>
      </c>
      <c r="K779" s="12" t="s">
        <v>300</v>
      </c>
      <c r="L779">
        <v>94</v>
      </c>
    </row>
    <row r="780" spans="1:12" x14ac:dyDescent="0.35">
      <c r="A780" s="10">
        <v>779</v>
      </c>
      <c r="B780" s="6"/>
      <c r="C780" s="9"/>
      <c r="D780" s="9"/>
      <c r="E780" s="9"/>
      <c r="F780" s="9"/>
      <c r="G780" s="9"/>
      <c r="H780" s="9"/>
      <c r="I780" s="11">
        <v>207</v>
      </c>
      <c r="J780" s="12">
        <v>214</v>
      </c>
      <c r="K780" s="12" t="s">
        <v>122</v>
      </c>
      <c r="L780">
        <v>94</v>
      </c>
    </row>
    <row r="781" spans="1:12" x14ac:dyDescent="0.35">
      <c r="A781" s="10">
        <v>780</v>
      </c>
      <c r="B781" s="6"/>
      <c r="C781" s="9"/>
      <c r="D781" s="9"/>
      <c r="E781" s="9"/>
      <c r="F781" s="9"/>
      <c r="G781" s="9"/>
      <c r="H781" s="9"/>
      <c r="I781" s="11">
        <v>31</v>
      </c>
      <c r="J781" s="12">
        <v>35</v>
      </c>
      <c r="K781" s="12" t="s">
        <v>37</v>
      </c>
      <c r="L781">
        <v>94</v>
      </c>
    </row>
    <row r="782" spans="1:12" x14ac:dyDescent="0.35">
      <c r="A782" s="10">
        <v>781</v>
      </c>
      <c r="B782" s="6"/>
      <c r="C782" s="9"/>
      <c r="D782" s="9"/>
      <c r="E782" s="9"/>
      <c r="F782" s="9"/>
      <c r="G782" s="9"/>
      <c r="H782" s="9"/>
      <c r="I782" s="11"/>
      <c r="J782" s="12">
        <v>975</v>
      </c>
      <c r="K782" s="12" t="s">
        <v>1089</v>
      </c>
      <c r="L782">
        <v>94</v>
      </c>
    </row>
    <row r="783" spans="1:12" x14ac:dyDescent="0.35">
      <c r="A783" s="10">
        <v>782</v>
      </c>
      <c r="B783" s="6"/>
      <c r="C783" s="9"/>
      <c r="D783" s="9"/>
      <c r="E783" s="9"/>
      <c r="F783" s="9"/>
      <c r="G783" s="9"/>
      <c r="H783" s="9"/>
      <c r="I783" s="11">
        <v>110</v>
      </c>
      <c r="J783" s="12">
        <v>115</v>
      </c>
      <c r="K783" s="12" t="s">
        <v>70</v>
      </c>
      <c r="L783">
        <v>94</v>
      </c>
    </row>
    <row r="784" spans="1:12" x14ac:dyDescent="0.35">
      <c r="A784" s="10">
        <v>783</v>
      </c>
      <c r="B784" s="6"/>
      <c r="C784" s="9"/>
      <c r="D784" s="9"/>
      <c r="E784" s="9"/>
      <c r="F784" s="9"/>
      <c r="G784" s="9"/>
      <c r="H784" s="9"/>
      <c r="I784" s="11">
        <v>746</v>
      </c>
      <c r="J784" s="12">
        <v>757</v>
      </c>
      <c r="K784" s="12" t="s">
        <v>366</v>
      </c>
      <c r="L784">
        <v>94</v>
      </c>
    </row>
    <row r="785" spans="1:12" x14ac:dyDescent="0.35">
      <c r="A785" s="10">
        <v>784</v>
      </c>
      <c r="B785" s="6"/>
      <c r="C785" s="9"/>
      <c r="D785" s="9"/>
      <c r="E785" s="9"/>
      <c r="F785" s="9"/>
      <c r="G785" s="9"/>
      <c r="H785" s="9"/>
      <c r="I785" s="11">
        <v>224</v>
      </c>
      <c r="J785" s="12">
        <v>231</v>
      </c>
      <c r="K785" s="12" t="s">
        <v>129</v>
      </c>
      <c r="L785">
        <v>94</v>
      </c>
    </row>
    <row r="786" spans="1:12" x14ac:dyDescent="0.35">
      <c r="A786" s="10">
        <v>785</v>
      </c>
      <c r="B786" s="6"/>
      <c r="C786" s="9"/>
      <c r="D786" s="9"/>
      <c r="E786" s="9"/>
      <c r="F786" s="9"/>
      <c r="G786" s="9"/>
      <c r="H786" s="9"/>
      <c r="I786" s="11">
        <v>61</v>
      </c>
      <c r="J786" s="12">
        <v>66</v>
      </c>
      <c r="K786" s="12" t="s">
        <v>48</v>
      </c>
      <c r="L786">
        <v>94</v>
      </c>
    </row>
    <row r="787" spans="1:12" x14ac:dyDescent="0.35">
      <c r="A787" s="10">
        <v>786</v>
      </c>
      <c r="B787" s="6"/>
      <c r="C787" s="9"/>
      <c r="D787" s="9"/>
      <c r="E787" s="9"/>
      <c r="F787" s="9"/>
      <c r="G787" s="9"/>
      <c r="H787" s="9"/>
      <c r="I787" s="11"/>
      <c r="J787" s="12">
        <v>75</v>
      </c>
      <c r="K787" s="12" t="s">
        <v>390</v>
      </c>
      <c r="L787">
        <v>94</v>
      </c>
    </row>
    <row r="788" spans="1:12" x14ac:dyDescent="0.35">
      <c r="A788" s="10">
        <v>787</v>
      </c>
      <c r="B788" s="6"/>
      <c r="C788" s="9"/>
      <c r="D788" s="9"/>
      <c r="E788" s="9"/>
      <c r="F788" s="9"/>
      <c r="G788" s="9"/>
      <c r="H788" s="9"/>
      <c r="I788" s="11"/>
      <c r="J788" s="12">
        <v>58</v>
      </c>
      <c r="K788" s="12" t="s">
        <v>614</v>
      </c>
      <c r="L788">
        <v>94</v>
      </c>
    </row>
    <row r="789" spans="1:12" x14ac:dyDescent="0.35">
      <c r="A789" s="10">
        <v>788</v>
      </c>
      <c r="B789" s="6"/>
      <c r="C789" s="9"/>
      <c r="D789" s="9"/>
      <c r="E789" s="9"/>
      <c r="F789" s="9"/>
      <c r="G789" s="9"/>
      <c r="H789" s="9"/>
      <c r="I789" s="11"/>
      <c r="J789" s="12">
        <v>615</v>
      </c>
      <c r="K789" s="12" t="s">
        <v>910</v>
      </c>
      <c r="L789">
        <v>94</v>
      </c>
    </row>
    <row r="790" spans="1:12" x14ac:dyDescent="0.35">
      <c r="A790" s="10">
        <v>789</v>
      </c>
      <c r="B790" s="6"/>
      <c r="C790" s="9"/>
      <c r="D790" s="9"/>
      <c r="E790" s="9" t="s">
        <v>1404</v>
      </c>
      <c r="F790" s="9"/>
      <c r="G790" s="9"/>
      <c r="H790" s="9"/>
      <c r="I790" s="11"/>
      <c r="J790" s="12">
        <v>348</v>
      </c>
      <c r="K790" s="12" t="s">
        <v>757</v>
      </c>
    </row>
    <row r="791" spans="1:12" x14ac:dyDescent="0.35">
      <c r="A791" s="10">
        <v>790</v>
      </c>
      <c r="B791" s="6"/>
      <c r="C791" s="9"/>
      <c r="D791" s="9"/>
      <c r="E791" s="9"/>
      <c r="F791" s="9"/>
      <c r="G791" s="9"/>
      <c r="H791" s="9"/>
      <c r="I791" s="11">
        <v>364</v>
      </c>
      <c r="J791" s="12">
        <v>374</v>
      </c>
      <c r="K791" s="12" t="s">
        <v>198</v>
      </c>
      <c r="L791">
        <v>95</v>
      </c>
    </row>
    <row r="792" spans="1:12" x14ac:dyDescent="0.35">
      <c r="A792" s="10">
        <v>791</v>
      </c>
      <c r="B792" s="6"/>
      <c r="C792" s="9"/>
      <c r="D792" s="9"/>
      <c r="E792" s="9"/>
      <c r="F792" s="9"/>
      <c r="G792" s="9"/>
      <c r="H792" s="9"/>
      <c r="I792" s="11">
        <v>1040</v>
      </c>
      <c r="J792" s="12">
        <v>1052</v>
      </c>
      <c r="K792" s="12" t="s">
        <v>523</v>
      </c>
      <c r="L792">
        <v>95</v>
      </c>
    </row>
    <row r="793" spans="1:12" x14ac:dyDescent="0.35">
      <c r="A793" s="10">
        <v>792</v>
      </c>
      <c r="B793" s="6"/>
      <c r="C793" s="9"/>
      <c r="D793" s="9"/>
      <c r="E793" s="9"/>
      <c r="F793" s="9"/>
      <c r="G793" s="9" t="s">
        <v>1430</v>
      </c>
      <c r="H793" s="9"/>
      <c r="I793" s="11"/>
      <c r="J793" s="12">
        <v>165</v>
      </c>
      <c r="K793" s="12" t="s">
        <v>1431</v>
      </c>
    </row>
    <row r="794" spans="1:12" x14ac:dyDescent="0.35">
      <c r="A794" s="10">
        <v>793</v>
      </c>
      <c r="B794" s="6"/>
      <c r="C794" s="9"/>
      <c r="D794" s="9"/>
      <c r="E794" s="9"/>
      <c r="F794" s="9"/>
      <c r="G794" s="9"/>
      <c r="H794" s="9"/>
      <c r="I794" s="11">
        <v>11</v>
      </c>
      <c r="J794" s="12">
        <v>12</v>
      </c>
      <c r="K794" s="12" t="s">
        <v>1299</v>
      </c>
      <c r="L794">
        <v>96</v>
      </c>
    </row>
    <row r="795" spans="1:12" x14ac:dyDescent="0.35">
      <c r="A795" s="10">
        <v>794</v>
      </c>
      <c r="B795" s="6"/>
      <c r="C795" s="9"/>
      <c r="D795" s="9"/>
      <c r="E795" s="9"/>
      <c r="F795" s="9"/>
      <c r="G795" s="9"/>
      <c r="H795" s="9"/>
      <c r="I795" s="11">
        <v>95</v>
      </c>
      <c r="J795" s="12">
        <v>100</v>
      </c>
      <c r="K795" s="12" t="s">
        <v>63</v>
      </c>
      <c r="L795">
        <v>96</v>
      </c>
    </row>
    <row r="796" spans="1:12" x14ac:dyDescent="0.35">
      <c r="A796" s="10">
        <v>795</v>
      </c>
      <c r="B796" s="6"/>
      <c r="C796" s="9"/>
      <c r="D796" s="9"/>
      <c r="E796" s="9"/>
      <c r="F796" s="9"/>
      <c r="G796" s="9"/>
      <c r="H796" s="9"/>
      <c r="I796" s="11">
        <v>580</v>
      </c>
      <c r="J796" s="12">
        <v>591</v>
      </c>
      <c r="K796" s="12" t="s">
        <v>1300</v>
      </c>
      <c r="L796">
        <v>96</v>
      </c>
    </row>
    <row r="797" spans="1:12" x14ac:dyDescent="0.35">
      <c r="A797" s="10">
        <v>796</v>
      </c>
      <c r="B797" s="6"/>
      <c r="C797" s="9"/>
      <c r="D797" s="9"/>
      <c r="E797" s="9"/>
      <c r="F797" s="9"/>
      <c r="G797" s="9"/>
      <c r="H797" s="9"/>
      <c r="I797" s="11">
        <v>861</v>
      </c>
      <c r="J797" s="12">
        <v>872</v>
      </c>
      <c r="K797" s="12" t="s">
        <v>1301</v>
      </c>
      <c r="L797">
        <v>96</v>
      </c>
    </row>
    <row r="798" spans="1:12" x14ac:dyDescent="0.35">
      <c r="A798" s="10">
        <v>797</v>
      </c>
      <c r="B798" s="6"/>
      <c r="C798" s="9"/>
      <c r="D798" s="9" t="s">
        <v>1405</v>
      </c>
      <c r="E798" s="9"/>
      <c r="F798" s="9"/>
      <c r="G798" s="9"/>
      <c r="H798" s="9"/>
      <c r="I798" s="11"/>
      <c r="J798" s="12">
        <v>1065</v>
      </c>
      <c r="K798" s="12" t="s">
        <v>1130</v>
      </c>
    </row>
    <row r="799" spans="1:12" x14ac:dyDescent="0.35">
      <c r="A799" s="10">
        <v>798</v>
      </c>
      <c r="B799" s="6"/>
      <c r="C799" s="9"/>
      <c r="D799" s="9"/>
      <c r="E799" s="9" t="s">
        <v>1406</v>
      </c>
      <c r="F799" s="9"/>
      <c r="G799" s="9"/>
      <c r="H799" s="9"/>
      <c r="I799" s="11">
        <v>760</v>
      </c>
      <c r="J799" s="12">
        <v>771</v>
      </c>
      <c r="K799" s="12" t="s">
        <v>370</v>
      </c>
    </row>
    <row r="800" spans="1:12" x14ac:dyDescent="0.35">
      <c r="A800" s="10">
        <v>803</v>
      </c>
      <c r="B800" s="6"/>
      <c r="C800" s="9"/>
      <c r="D800" s="9"/>
      <c r="E800" s="9"/>
      <c r="F800" s="9" t="s">
        <v>1407</v>
      </c>
      <c r="G800" s="9"/>
      <c r="H800" s="9"/>
      <c r="I800" s="11"/>
      <c r="J800" s="12">
        <v>1132</v>
      </c>
      <c r="K800" s="12" t="s">
        <v>1164</v>
      </c>
      <c r="L800">
        <v>97</v>
      </c>
    </row>
    <row r="801" spans="1:12" x14ac:dyDescent="0.35">
      <c r="A801" s="10">
        <v>799</v>
      </c>
      <c r="B801" s="6"/>
      <c r="C801" s="9"/>
      <c r="D801" s="9"/>
      <c r="E801" s="9"/>
      <c r="F801" s="9"/>
      <c r="G801" s="9"/>
      <c r="H801" s="9"/>
      <c r="I801" s="11">
        <v>601</v>
      </c>
      <c r="J801" s="12">
        <v>612</v>
      </c>
      <c r="K801" s="12" t="s">
        <v>297</v>
      </c>
      <c r="L801">
        <v>97</v>
      </c>
    </row>
    <row r="802" spans="1:12" x14ac:dyDescent="0.35">
      <c r="A802" s="10">
        <v>800</v>
      </c>
      <c r="B802" s="6"/>
      <c r="C802" s="9"/>
      <c r="D802" s="9"/>
      <c r="E802" s="9"/>
      <c r="F802" s="9"/>
      <c r="G802" s="9"/>
      <c r="H802" s="9"/>
      <c r="I802" s="11"/>
      <c r="J802" s="12">
        <v>82</v>
      </c>
      <c r="K802" s="12" t="s">
        <v>627</v>
      </c>
      <c r="L802">
        <v>97</v>
      </c>
    </row>
    <row r="803" spans="1:12" x14ac:dyDescent="0.35">
      <c r="A803" s="10">
        <v>801</v>
      </c>
      <c r="B803" s="6"/>
      <c r="C803" s="9"/>
      <c r="D803" s="9"/>
      <c r="E803" s="9"/>
      <c r="F803" s="9"/>
      <c r="G803" s="9"/>
      <c r="H803" s="9"/>
      <c r="I803" s="11"/>
      <c r="J803" s="12">
        <v>90</v>
      </c>
      <c r="K803" s="12" t="s">
        <v>632</v>
      </c>
      <c r="L803">
        <v>97</v>
      </c>
    </row>
    <row r="804" spans="1:12" x14ac:dyDescent="0.35">
      <c r="A804" s="10">
        <v>802</v>
      </c>
      <c r="B804" s="6"/>
      <c r="C804" s="9"/>
      <c r="D804" s="9"/>
      <c r="E804" s="9"/>
      <c r="F804" s="9"/>
      <c r="G804" s="9"/>
      <c r="H804" s="9"/>
      <c r="I804" s="11"/>
      <c r="J804" s="12">
        <v>99</v>
      </c>
      <c r="K804" s="12" t="s">
        <v>637</v>
      </c>
      <c r="L804">
        <v>97</v>
      </c>
    </row>
    <row r="805" spans="1:12" x14ac:dyDescent="0.35">
      <c r="A805" s="10">
        <v>804</v>
      </c>
      <c r="B805" s="6"/>
      <c r="C805" s="9"/>
      <c r="D805" s="9"/>
      <c r="E805" s="9"/>
      <c r="F805" s="9"/>
      <c r="G805" s="9"/>
      <c r="H805" s="9"/>
      <c r="I805" s="11">
        <v>6</v>
      </c>
      <c r="J805" s="12">
        <v>7</v>
      </c>
      <c r="K805" s="12" t="s">
        <v>26</v>
      </c>
      <c r="L805">
        <v>97</v>
      </c>
    </row>
    <row r="806" spans="1:12" x14ac:dyDescent="0.35">
      <c r="A806" s="10">
        <v>805</v>
      </c>
      <c r="B806" s="6"/>
      <c r="C806" s="9"/>
      <c r="D806" s="9"/>
      <c r="E806" s="9"/>
      <c r="F806" s="9"/>
      <c r="G806" s="9"/>
      <c r="H806" s="9"/>
      <c r="I806" s="11">
        <v>856</v>
      </c>
      <c r="J806" s="12">
        <v>867</v>
      </c>
      <c r="K806" s="12" t="s">
        <v>418</v>
      </c>
      <c r="L806">
        <v>97</v>
      </c>
    </row>
    <row r="807" spans="1:12" x14ac:dyDescent="0.35">
      <c r="A807" s="10">
        <v>806</v>
      </c>
      <c r="B807" s="6"/>
      <c r="C807" s="9"/>
      <c r="D807" s="9"/>
      <c r="E807" s="9"/>
      <c r="F807" s="9"/>
      <c r="G807" s="9"/>
      <c r="H807" s="9"/>
      <c r="I807" s="11"/>
      <c r="J807" s="12">
        <v>123</v>
      </c>
      <c r="K807" s="12" t="s">
        <v>648</v>
      </c>
      <c r="L807">
        <v>97</v>
      </c>
    </row>
    <row r="808" spans="1:12" x14ac:dyDescent="0.35">
      <c r="A808" s="10">
        <v>807</v>
      </c>
      <c r="B808" s="6"/>
      <c r="C808" s="9"/>
      <c r="D808" s="9"/>
      <c r="E808" s="9"/>
      <c r="F808" s="9"/>
      <c r="G808" s="9"/>
      <c r="H808" s="9"/>
      <c r="I808" s="11"/>
      <c r="J808" s="12">
        <v>881</v>
      </c>
      <c r="K808" s="12" t="s">
        <v>1051</v>
      </c>
      <c r="L808">
        <v>97</v>
      </c>
    </row>
    <row r="809" spans="1:12" x14ac:dyDescent="0.35">
      <c r="A809" s="10">
        <v>808</v>
      </c>
      <c r="B809" s="6"/>
      <c r="C809" s="9"/>
      <c r="D809" s="9"/>
      <c r="E809" s="9"/>
      <c r="F809" s="9"/>
      <c r="G809" s="9"/>
      <c r="H809" s="9"/>
      <c r="I809" s="11"/>
      <c r="J809" s="12">
        <v>860</v>
      </c>
      <c r="K809" s="12" t="s">
        <v>1039</v>
      </c>
      <c r="L809">
        <v>97</v>
      </c>
    </row>
    <row r="810" spans="1:12" x14ac:dyDescent="0.35">
      <c r="A810" s="10">
        <v>809</v>
      </c>
      <c r="B810" s="6"/>
      <c r="C810" s="9"/>
      <c r="D810" s="9"/>
      <c r="E810" s="9"/>
      <c r="F810" s="9"/>
      <c r="G810" s="9"/>
      <c r="H810" s="9"/>
      <c r="I810" s="11"/>
      <c r="J810" s="12">
        <v>868</v>
      </c>
      <c r="K810" s="12" t="s">
        <v>1044</v>
      </c>
      <c r="L810">
        <v>97</v>
      </c>
    </row>
    <row r="811" spans="1:12" x14ac:dyDescent="0.35">
      <c r="A811" s="10">
        <v>810</v>
      </c>
      <c r="B811" s="6"/>
      <c r="C811" s="9"/>
      <c r="D811" s="9"/>
      <c r="E811" s="9"/>
      <c r="F811" s="9"/>
      <c r="G811" s="9"/>
      <c r="H811" s="9"/>
      <c r="I811" s="11"/>
      <c r="J811" s="12">
        <v>875</v>
      </c>
      <c r="K811" s="12" t="s">
        <v>1048</v>
      </c>
      <c r="L811">
        <v>97</v>
      </c>
    </row>
    <row r="812" spans="1:12" x14ac:dyDescent="0.35">
      <c r="A812" s="10">
        <v>811</v>
      </c>
      <c r="B812" s="6"/>
      <c r="C812" s="9"/>
      <c r="D812" s="9"/>
      <c r="E812" s="9"/>
      <c r="F812" s="9"/>
      <c r="G812" s="9"/>
      <c r="H812" s="9"/>
      <c r="I812" s="11"/>
      <c r="J812" s="12">
        <v>883</v>
      </c>
      <c r="K812" s="12" t="s">
        <v>1052</v>
      </c>
      <c r="L812">
        <v>97</v>
      </c>
    </row>
    <row r="813" spans="1:12" x14ac:dyDescent="0.35">
      <c r="A813" s="10">
        <v>812</v>
      </c>
      <c r="B813" s="6"/>
      <c r="C813" s="9"/>
      <c r="D813" s="9"/>
      <c r="E813" s="9"/>
      <c r="F813" s="9"/>
      <c r="G813" s="9"/>
      <c r="H813" s="9"/>
      <c r="I813" s="11"/>
      <c r="J813" s="12">
        <v>891</v>
      </c>
      <c r="K813" s="12" t="s">
        <v>1057</v>
      </c>
      <c r="L813">
        <v>97</v>
      </c>
    </row>
    <row r="814" spans="1:12" x14ac:dyDescent="0.35">
      <c r="A814" s="10">
        <v>813</v>
      </c>
      <c r="B814" s="6"/>
      <c r="C814" s="9"/>
      <c r="D814" s="9"/>
      <c r="E814" s="9"/>
      <c r="F814" s="9"/>
      <c r="G814" s="9"/>
      <c r="H814" s="9"/>
      <c r="I814" s="11"/>
      <c r="J814" s="12">
        <v>890</v>
      </c>
      <c r="K814" s="12" t="s">
        <v>1056</v>
      </c>
      <c r="L814">
        <v>97</v>
      </c>
    </row>
    <row r="815" spans="1:12" x14ac:dyDescent="0.35">
      <c r="A815" s="10">
        <v>814</v>
      </c>
      <c r="B815" s="6"/>
      <c r="C815" s="9"/>
      <c r="D815" s="9"/>
      <c r="E815" s="9"/>
      <c r="F815" s="9"/>
      <c r="G815" s="9"/>
      <c r="H815" s="9"/>
      <c r="I815" s="11"/>
      <c r="J815" s="12">
        <v>899</v>
      </c>
      <c r="K815" s="12" t="s">
        <v>1060</v>
      </c>
      <c r="L815">
        <v>97</v>
      </c>
    </row>
    <row r="816" spans="1:12" x14ac:dyDescent="0.35">
      <c r="A816" s="10">
        <v>815</v>
      </c>
      <c r="B816" s="6"/>
      <c r="C816" s="9"/>
      <c r="D816" s="9"/>
      <c r="E816" s="9"/>
      <c r="F816" s="9"/>
      <c r="G816" s="9"/>
      <c r="H816" s="9"/>
      <c r="I816" s="11"/>
      <c r="J816" s="12">
        <v>915</v>
      </c>
      <c r="K816" s="12" t="s">
        <v>1065</v>
      </c>
      <c r="L816">
        <v>97</v>
      </c>
    </row>
    <row r="817" spans="1:12" x14ac:dyDescent="0.35">
      <c r="A817" s="10">
        <v>816</v>
      </c>
      <c r="B817" s="6"/>
      <c r="C817" s="9"/>
      <c r="D817" s="9"/>
      <c r="E817" s="9"/>
      <c r="F817" s="9"/>
      <c r="G817" s="9"/>
      <c r="H817" s="9"/>
      <c r="I817" s="11"/>
      <c r="J817" s="12">
        <v>923</v>
      </c>
      <c r="K817" s="12" t="s">
        <v>1070</v>
      </c>
      <c r="L817">
        <v>97</v>
      </c>
    </row>
    <row r="818" spans="1:12" x14ac:dyDescent="0.35">
      <c r="A818" s="10">
        <v>817</v>
      </c>
      <c r="B818" s="6"/>
      <c r="C818" s="9"/>
      <c r="D818" s="9"/>
      <c r="E818" s="9"/>
      <c r="F818" s="9"/>
      <c r="G818" s="9"/>
      <c r="H818" s="9"/>
      <c r="I818" s="11"/>
      <c r="J818" s="12">
        <v>398</v>
      </c>
      <c r="K818" s="12" t="s">
        <v>788</v>
      </c>
      <c r="L818">
        <v>97</v>
      </c>
    </row>
    <row r="819" spans="1:12" x14ac:dyDescent="0.35">
      <c r="A819" s="10">
        <v>818</v>
      </c>
      <c r="B819" s="6"/>
      <c r="C819" s="9"/>
      <c r="D819" s="9"/>
      <c r="E819" s="9"/>
      <c r="F819" s="9"/>
      <c r="G819" s="9"/>
      <c r="H819" s="9"/>
      <c r="I819" s="11">
        <v>117</v>
      </c>
      <c r="J819" s="12">
        <v>122</v>
      </c>
      <c r="K819" s="12" t="s">
        <v>75</v>
      </c>
      <c r="L819">
        <v>97</v>
      </c>
    </row>
    <row r="820" spans="1:12" x14ac:dyDescent="0.35">
      <c r="A820" s="10">
        <v>819</v>
      </c>
      <c r="B820" s="6"/>
      <c r="C820" s="9"/>
      <c r="D820" s="9"/>
      <c r="E820" s="9"/>
      <c r="F820" s="9"/>
      <c r="G820" s="9"/>
      <c r="H820" s="9"/>
      <c r="I820" s="11">
        <v>100</v>
      </c>
      <c r="J820" s="12">
        <v>105</v>
      </c>
      <c r="K820" s="12" t="s">
        <v>66</v>
      </c>
      <c r="L820">
        <v>97</v>
      </c>
    </row>
    <row r="821" spans="1:12" x14ac:dyDescent="0.35">
      <c r="A821" s="10">
        <v>820</v>
      </c>
      <c r="B821" s="6"/>
      <c r="C821" s="9"/>
      <c r="D821" s="9"/>
      <c r="E821" s="9"/>
      <c r="F821" s="9"/>
      <c r="G821" s="9"/>
      <c r="H821" s="9"/>
      <c r="I821" s="11">
        <v>109</v>
      </c>
      <c r="J821" s="12">
        <v>114</v>
      </c>
      <c r="K821" s="12" t="s">
        <v>69</v>
      </c>
      <c r="L821">
        <v>97</v>
      </c>
    </row>
    <row r="822" spans="1:12" x14ac:dyDescent="0.35">
      <c r="A822" s="10">
        <v>821</v>
      </c>
      <c r="B822" s="6"/>
      <c r="C822" s="9"/>
      <c r="D822" s="9"/>
      <c r="E822" s="9"/>
      <c r="F822" s="9" t="s">
        <v>1408</v>
      </c>
      <c r="G822" s="9"/>
      <c r="H822" s="9"/>
      <c r="I822" s="11"/>
      <c r="J822" s="12">
        <v>987</v>
      </c>
      <c r="K822" s="12" t="s">
        <v>1095</v>
      </c>
      <c r="L822">
        <v>98</v>
      </c>
    </row>
    <row r="823" spans="1:12" x14ac:dyDescent="0.35">
      <c r="A823" s="10">
        <v>822</v>
      </c>
      <c r="B823" s="6"/>
      <c r="C823" s="9"/>
      <c r="D823" s="9"/>
      <c r="E823" s="9"/>
      <c r="F823" s="9"/>
      <c r="G823" s="9"/>
      <c r="H823" s="9"/>
      <c r="I823" s="11">
        <v>271</v>
      </c>
      <c r="J823" s="12">
        <v>280</v>
      </c>
      <c r="K823" s="12" t="s">
        <v>154</v>
      </c>
      <c r="L823">
        <v>98</v>
      </c>
    </row>
    <row r="824" spans="1:12" x14ac:dyDescent="0.35">
      <c r="A824" s="10">
        <v>823</v>
      </c>
      <c r="B824" s="6"/>
      <c r="C824" s="9"/>
      <c r="D824" s="9"/>
      <c r="E824" s="9"/>
      <c r="F824" s="9"/>
      <c r="G824" s="9"/>
      <c r="H824" s="9"/>
      <c r="I824" s="11">
        <v>869</v>
      </c>
      <c r="J824" s="12">
        <v>880</v>
      </c>
      <c r="K824" s="12" t="s">
        <v>424</v>
      </c>
      <c r="L824">
        <v>98</v>
      </c>
    </row>
    <row r="825" spans="1:12" x14ac:dyDescent="0.35">
      <c r="A825" s="10">
        <v>824</v>
      </c>
      <c r="B825" s="6"/>
      <c r="C825" s="9"/>
      <c r="D825" s="9"/>
      <c r="E825" s="9"/>
      <c r="F825" s="9"/>
      <c r="G825" s="9"/>
      <c r="H825" s="9"/>
      <c r="I825" s="11"/>
      <c r="J825" s="12">
        <v>283</v>
      </c>
      <c r="K825" s="12" t="s">
        <v>723</v>
      </c>
      <c r="L825">
        <v>98</v>
      </c>
    </row>
    <row r="826" spans="1:12" x14ac:dyDescent="0.35">
      <c r="A826" s="10">
        <v>825</v>
      </c>
      <c r="B826" s="6"/>
      <c r="C826" s="9"/>
      <c r="D826" s="9"/>
      <c r="E826" s="9"/>
      <c r="F826" s="9"/>
      <c r="G826" s="9"/>
      <c r="H826" s="9"/>
      <c r="I826" s="11">
        <v>887</v>
      </c>
      <c r="J826" s="12">
        <v>898</v>
      </c>
      <c r="K826" s="12" t="s">
        <v>433</v>
      </c>
      <c r="L826">
        <v>98</v>
      </c>
    </row>
    <row r="827" spans="1:12" x14ac:dyDescent="0.35">
      <c r="A827" s="10">
        <v>826</v>
      </c>
      <c r="B827" s="6"/>
      <c r="C827" s="9"/>
      <c r="D827" s="9"/>
      <c r="E827" s="9"/>
      <c r="F827" s="9"/>
      <c r="G827" s="9"/>
      <c r="H827" s="9"/>
      <c r="I827" s="11">
        <v>920</v>
      </c>
      <c r="J827" s="12">
        <v>931</v>
      </c>
      <c r="K827" s="12" t="s">
        <v>454</v>
      </c>
      <c r="L827">
        <v>98</v>
      </c>
    </row>
    <row r="828" spans="1:12" x14ac:dyDescent="0.35">
      <c r="A828" s="10">
        <v>827</v>
      </c>
      <c r="B828" s="6"/>
      <c r="C828" s="9"/>
      <c r="D828" s="9"/>
      <c r="E828" s="9"/>
      <c r="F828" s="9"/>
      <c r="G828" s="9"/>
      <c r="H828" s="9"/>
      <c r="I828" s="11">
        <v>1081</v>
      </c>
      <c r="J828" s="12">
        <v>1093</v>
      </c>
      <c r="K828" s="12" t="s">
        <v>540</v>
      </c>
      <c r="L828">
        <v>98</v>
      </c>
    </row>
    <row r="829" spans="1:12" x14ac:dyDescent="0.35">
      <c r="A829" s="10">
        <v>828</v>
      </c>
      <c r="B829" s="6"/>
      <c r="C829" s="9"/>
      <c r="D829" s="9"/>
      <c r="E829" s="9"/>
      <c r="F829" s="9"/>
      <c r="G829" s="9"/>
      <c r="H829" s="9"/>
      <c r="I829" s="11"/>
      <c r="J829" s="12">
        <v>552</v>
      </c>
      <c r="K829" s="12" t="s">
        <v>881</v>
      </c>
      <c r="L829">
        <v>98</v>
      </c>
    </row>
    <row r="830" spans="1:12" x14ac:dyDescent="0.35">
      <c r="A830" s="10">
        <v>829</v>
      </c>
      <c r="B830" s="6"/>
      <c r="C830" s="9"/>
      <c r="D830" s="9"/>
      <c r="E830" s="9"/>
      <c r="F830" s="9"/>
      <c r="G830" s="9"/>
      <c r="H830" s="9"/>
      <c r="I830" s="11">
        <v>308</v>
      </c>
      <c r="J830" s="12">
        <v>318</v>
      </c>
      <c r="K830" s="12" t="s">
        <v>172</v>
      </c>
      <c r="L830">
        <v>98</v>
      </c>
    </row>
    <row r="831" spans="1:12" x14ac:dyDescent="0.35">
      <c r="A831" s="10">
        <v>830</v>
      </c>
      <c r="B831" s="6"/>
      <c r="C831" s="9"/>
      <c r="D831" s="9"/>
      <c r="E831" s="9"/>
      <c r="F831" s="9"/>
      <c r="G831" s="9"/>
      <c r="H831" s="9"/>
      <c r="I831" s="11"/>
      <c r="J831" s="12">
        <v>462</v>
      </c>
      <c r="K831" s="12" t="s">
        <v>823</v>
      </c>
      <c r="L831">
        <v>98</v>
      </c>
    </row>
    <row r="832" spans="1:12" x14ac:dyDescent="0.35">
      <c r="A832" s="10">
        <v>831</v>
      </c>
      <c r="B832" s="6"/>
      <c r="C832" s="9"/>
      <c r="D832" s="9"/>
      <c r="E832" s="9"/>
      <c r="F832" s="9"/>
      <c r="G832" s="9"/>
      <c r="H832" s="9"/>
      <c r="I832" s="11">
        <v>523</v>
      </c>
      <c r="J832" s="12">
        <v>534</v>
      </c>
      <c r="K832" s="12" t="s">
        <v>260</v>
      </c>
      <c r="L832">
        <v>98</v>
      </c>
    </row>
    <row r="833" spans="1:12" x14ac:dyDescent="0.35">
      <c r="A833" s="10">
        <v>832</v>
      </c>
      <c r="B833" s="6"/>
      <c r="C833" s="9"/>
      <c r="D833" s="9"/>
      <c r="E833" s="9"/>
      <c r="F833" s="9"/>
      <c r="G833" s="9"/>
      <c r="H833" s="9"/>
      <c r="I833" s="11">
        <v>563</v>
      </c>
      <c r="J833" s="12">
        <v>574</v>
      </c>
      <c r="K833" s="12" t="s">
        <v>272</v>
      </c>
      <c r="L833">
        <v>98</v>
      </c>
    </row>
    <row r="834" spans="1:12" x14ac:dyDescent="0.35">
      <c r="A834" s="10">
        <v>833</v>
      </c>
      <c r="B834" s="6"/>
      <c r="C834" s="9"/>
      <c r="D834" s="9"/>
      <c r="E834" s="9"/>
      <c r="F834" s="9"/>
      <c r="G834" s="9"/>
      <c r="H834" s="9"/>
      <c r="I834" s="11">
        <v>610</v>
      </c>
      <c r="J834" s="12">
        <v>621</v>
      </c>
      <c r="K834" s="12" t="s">
        <v>302</v>
      </c>
      <c r="L834">
        <v>98</v>
      </c>
    </row>
    <row r="835" spans="1:12" x14ac:dyDescent="0.35">
      <c r="A835" s="10">
        <v>834</v>
      </c>
      <c r="B835" s="6"/>
      <c r="C835" s="9"/>
      <c r="D835" s="9"/>
      <c r="E835" s="9"/>
      <c r="F835" s="9" t="s">
        <v>1409</v>
      </c>
      <c r="G835" s="9"/>
      <c r="H835" s="9"/>
      <c r="I835" s="11"/>
      <c r="J835" s="12">
        <v>1117</v>
      </c>
      <c r="K835" s="12" t="s">
        <v>1157</v>
      </c>
      <c r="L835">
        <v>99</v>
      </c>
    </row>
    <row r="836" spans="1:12" x14ac:dyDescent="0.35">
      <c r="A836" s="10">
        <v>835</v>
      </c>
      <c r="B836" s="6"/>
      <c r="C836" s="9"/>
      <c r="D836" s="9"/>
      <c r="E836" s="9"/>
      <c r="F836" s="9"/>
      <c r="G836" s="9"/>
      <c r="H836" s="9"/>
      <c r="I836" s="11">
        <v>668</v>
      </c>
      <c r="J836" s="12">
        <v>679</v>
      </c>
      <c r="K836" s="12" t="s">
        <v>1302</v>
      </c>
      <c r="L836">
        <v>99</v>
      </c>
    </row>
    <row r="837" spans="1:12" x14ac:dyDescent="0.35">
      <c r="A837" s="10">
        <v>836</v>
      </c>
      <c r="B837" s="6"/>
      <c r="C837" s="9"/>
      <c r="D837" s="9"/>
      <c r="E837" s="9"/>
      <c r="F837" s="9"/>
      <c r="G837" s="9"/>
      <c r="H837" s="9"/>
      <c r="I837" s="11"/>
      <c r="J837" s="12">
        <v>137</v>
      </c>
      <c r="K837" s="12" t="s">
        <v>1432</v>
      </c>
      <c r="L837">
        <v>99</v>
      </c>
    </row>
    <row r="838" spans="1:12" x14ac:dyDescent="0.35">
      <c r="A838" s="10">
        <v>837</v>
      </c>
      <c r="B838" s="6"/>
      <c r="C838" s="9"/>
      <c r="D838" s="9"/>
      <c r="E838" s="9"/>
      <c r="F838" s="9"/>
      <c r="G838" s="9"/>
      <c r="H838" s="9"/>
      <c r="I838" s="11"/>
      <c r="J838" s="12">
        <v>130</v>
      </c>
      <c r="K838" s="12" t="s">
        <v>1433</v>
      </c>
      <c r="L838">
        <v>99</v>
      </c>
    </row>
    <row r="839" spans="1:12" x14ac:dyDescent="0.35">
      <c r="A839" s="10">
        <v>838</v>
      </c>
      <c r="B839" s="6"/>
      <c r="C839" s="9"/>
      <c r="D839" s="9"/>
      <c r="E839" s="9"/>
      <c r="F839" s="9"/>
      <c r="G839" s="9"/>
      <c r="H839" s="9"/>
      <c r="I839" s="11">
        <v>142</v>
      </c>
      <c r="J839" s="12">
        <v>147</v>
      </c>
      <c r="K839" s="12" t="s">
        <v>89</v>
      </c>
      <c r="L839">
        <v>99</v>
      </c>
    </row>
    <row r="840" spans="1:12" x14ac:dyDescent="0.35">
      <c r="A840" s="10">
        <v>839</v>
      </c>
      <c r="B840" s="6"/>
      <c r="C840" s="9"/>
      <c r="D840" s="9"/>
      <c r="E840" s="9"/>
      <c r="F840" s="9"/>
      <c r="G840" s="9"/>
      <c r="H840" s="9"/>
      <c r="I840" s="11">
        <v>157</v>
      </c>
      <c r="J840" s="12">
        <v>162</v>
      </c>
      <c r="K840" s="12" t="s">
        <v>96</v>
      </c>
      <c r="L840">
        <v>99</v>
      </c>
    </row>
    <row r="841" spans="1:12" x14ac:dyDescent="0.35">
      <c r="A841" s="10">
        <v>840</v>
      </c>
      <c r="B841" s="6"/>
      <c r="C841" s="9"/>
      <c r="D841" s="9"/>
      <c r="E841" s="9"/>
      <c r="F841" s="9"/>
      <c r="G841" s="9"/>
      <c r="H841" s="9"/>
      <c r="I841" s="11">
        <v>593</v>
      </c>
      <c r="J841" s="12">
        <v>604</v>
      </c>
      <c r="K841" s="12" t="s">
        <v>292</v>
      </c>
      <c r="L841">
        <v>99</v>
      </c>
    </row>
    <row r="842" spans="1:12" x14ac:dyDescent="0.35">
      <c r="A842" s="10">
        <v>841</v>
      </c>
      <c r="B842" s="6"/>
      <c r="C842" s="9"/>
      <c r="D842" s="9"/>
      <c r="E842" s="9"/>
      <c r="F842" s="9"/>
      <c r="G842" s="9"/>
      <c r="H842" s="9"/>
      <c r="I842" s="11">
        <v>141</v>
      </c>
      <c r="J842" s="12">
        <v>146</v>
      </c>
      <c r="K842" s="12" t="s">
        <v>88</v>
      </c>
      <c r="L842">
        <v>99</v>
      </c>
    </row>
    <row r="843" spans="1:12" x14ac:dyDescent="0.35">
      <c r="A843" s="10">
        <v>842</v>
      </c>
      <c r="B843" s="6"/>
      <c r="C843" s="9"/>
      <c r="D843" s="9"/>
      <c r="E843" s="9"/>
      <c r="F843" s="9"/>
      <c r="G843" s="9"/>
      <c r="H843" s="9"/>
      <c r="I843" s="11">
        <v>231</v>
      </c>
      <c r="J843" s="12">
        <v>238</v>
      </c>
      <c r="K843" s="12" t="s">
        <v>1303</v>
      </c>
      <c r="L843">
        <v>99</v>
      </c>
    </row>
    <row r="844" spans="1:12" x14ac:dyDescent="0.35">
      <c r="A844" s="10">
        <v>843</v>
      </c>
      <c r="B844" s="6"/>
      <c r="C844" s="9"/>
      <c r="D844" s="9"/>
      <c r="E844" s="9"/>
      <c r="F844" s="9"/>
      <c r="G844" s="9"/>
      <c r="H844" s="9"/>
      <c r="I844" s="11">
        <v>340</v>
      </c>
      <c r="J844" s="12">
        <v>350</v>
      </c>
      <c r="K844" s="12" t="s">
        <v>187</v>
      </c>
      <c r="L844">
        <v>99</v>
      </c>
    </row>
    <row r="845" spans="1:12" x14ac:dyDescent="0.35">
      <c r="A845" s="10">
        <v>844</v>
      </c>
      <c r="B845" s="6"/>
      <c r="C845" s="9"/>
      <c r="D845" s="9"/>
      <c r="E845" s="9"/>
      <c r="F845" s="9"/>
      <c r="G845" s="9"/>
      <c r="H845" s="9"/>
      <c r="I845" s="11">
        <v>348</v>
      </c>
      <c r="J845" s="12">
        <v>358</v>
      </c>
      <c r="K845" s="12" t="s">
        <v>191</v>
      </c>
      <c r="L845">
        <v>99</v>
      </c>
    </row>
    <row r="846" spans="1:12" x14ac:dyDescent="0.35">
      <c r="A846" s="10">
        <v>845</v>
      </c>
      <c r="B846" s="6"/>
      <c r="C846" s="9"/>
      <c r="D846" s="9"/>
      <c r="E846" s="9" t="s">
        <v>1410</v>
      </c>
      <c r="F846" s="9"/>
      <c r="G846" s="9"/>
      <c r="H846" s="9"/>
      <c r="I846" s="11">
        <v>344</v>
      </c>
      <c r="J846" s="12">
        <v>354</v>
      </c>
      <c r="K846" s="12" t="s">
        <v>189</v>
      </c>
      <c r="L846">
        <v>99</v>
      </c>
    </row>
    <row r="847" spans="1:12" x14ac:dyDescent="0.35">
      <c r="A847" s="10">
        <v>846</v>
      </c>
      <c r="B847" s="6"/>
      <c r="C847" s="9"/>
      <c r="D847" s="9"/>
      <c r="E847" s="9"/>
      <c r="F847" s="9" t="s">
        <v>1411</v>
      </c>
      <c r="G847" s="9"/>
      <c r="H847" s="9"/>
      <c r="I847" s="11"/>
      <c r="J847" s="12">
        <v>386</v>
      </c>
      <c r="K847" s="12" t="s">
        <v>779</v>
      </c>
      <c r="L847">
        <v>100</v>
      </c>
    </row>
    <row r="848" spans="1:12" x14ac:dyDescent="0.35">
      <c r="A848" s="10">
        <v>847</v>
      </c>
      <c r="B848" s="6"/>
      <c r="C848" s="9"/>
      <c r="D848" s="9"/>
      <c r="E848" s="9"/>
      <c r="F848" s="9"/>
      <c r="G848" s="9"/>
      <c r="H848" s="9"/>
      <c r="I848" s="11">
        <v>200</v>
      </c>
      <c r="J848" s="12">
        <v>207</v>
      </c>
      <c r="K848" s="12" t="s">
        <v>118</v>
      </c>
      <c r="L848">
        <v>100</v>
      </c>
    </row>
    <row r="849" spans="1:12" x14ac:dyDescent="0.35">
      <c r="A849" s="10">
        <v>848</v>
      </c>
      <c r="B849" s="6"/>
      <c r="C849" s="9"/>
      <c r="D849" s="9"/>
      <c r="E849" s="9"/>
      <c r="F849" s="9"/>
      <c r="G849" s="9" t="s">
        <v>909</v>
      </c>
      <c r="H849" s="9"/>
      <c r="I849" s="11"/>
      <c r="J849" s="12">
        <v>607</v>
      </c>
      <c r="K849" s="12" t="s">
        <v>909</v>
      </c>
      <c r="L849">
        <v>100</v>
      </c>
    </row>
    <row r="850" spans="1:12" x14ac:dyDescent="0.35">
      <c r="A850" s="10">
        <v>849</v>
      </c>
      <c r="B850" s="6"/>
      <c r="C850" s="9"/>
      <c r="D850" s="9"/>
      <c r="E850" s="9"/>
      <c r="F850" s="9"/>
      <c r="G850" s="9"/>
      <c r="H850" s="9"/>
      <c r="I850" s="11"/>
      <c r="J850" s="12">
        <v>112</v>
      </c>
      <c r="K850" s="12" t="s">
        <v>645</v>
      </c>
      <c r="L850">
        <v>100</v>
      </c>
    </row>
    <row r="851" spans="1:12" x14ac:dyDescent="0.35">
      <c r="A851" s="10">
        <v>850</v>
      </c>
      <c r="B851" s="6"/>
      <c r="C851" s="9"/>
      <c r="D851" s="9"/>
      <c r="E851" s="9"/>
      <c r="F851" s="9"/>
      <c r="G851" s="9"/>
      <c r="H851" s="9"/>
      <c r="I851" s="11"/>
      <c r="J851" s="12">
        <v>560</v>
      </c>
      <c r="K851" s="12" t="s">
        <v>887</v>
      </c>
      <c r="L851">
        <v>100</v>
      </c>
    </row>
    <row r="852" spans="1:12" x14ac:dyDescent="0.35">
      <c r="A852" s="10">
        <v>851</v>
      </c>
      <c r="B852" s="6"/>
      <c r="C852" s="9"/>
      <c r="D852" s="9"/>
      <c r="E852" s="9"/>
      <c r="F852" s="9"/>
      <c r="G852" s="9"/>
      <c r="H852" s="9"/>
      <c r="I852" s="11">
        <v>91</v>
      </c>
      <c r="J852" s="12">
        <v>96</v>
      </c>
      <c r="K852" s="12" t="s">
        <v>61</v>
      </c>
      <c r="L852">
        <v>100</v>
      </c>
    </row>
    <row r="853" spans="1:12" x14ac:dyDescent="0.35">
      <c r="A853" s="10">
        <v>852</v>
      </c>
      <c r="B853" s="6"/>
      <c r="C853" s="9"/>
      <c r="D853" s="9"/>
      <c r="E853" s="9"/>
      <c r="F853" s="9"/>
      <c r="G853" s="9"/>
      <c r="H853" s="9"/>
      <c r="I853" s="11">
        <v>96</v>
      </c>
      <c r="J853" s="12">
        <v>101</v>
      </c>
      <c r="K853" s="12" t="s">
        <v>64</v>
      </c>
      <c r="L853">
        <v>100</v>
      </c>
    </row>
    <row r="854" spans="1:12" x14ac:dyDescent="0.35">
      <c r="A854" s="10">
        <v>853</v>
      </c>
      <c r="B854" s="6"/>
      <c r="C854" s="9"/>
      <c r="D854" s="9"/>
      <c r="E854" s="9"/>
      <c r="F854" s="9"/>
      <c r="G854" s="9" t="s">
        <v>1434</v>
      </c>
      <c r="H854" s="9"/>
      <c r="I854" s="11"/>
      <c r="J854" s="12">
        <v>720</v>
      </c>
      <c r="K854" s="12" t="s">
        <v>961</v>
      </c>
      <c r="L854">
        <v>100</v>
      </c>
    </row>
    <row r="855" spans="1:12" x14ac:dyDescent="0.35">
      <c r="A855" s="10">
        <v>854</v>
      </c>
      <c r="B855" s="6"/>
      <c r="C855" s="9"/>
      <c r="D855" s="9"/>
      <c r="E855" s="9"/>
      <c r="F855" s="9"/>
      <c r="G855" s="9"/>
      <c r="H855" s="9"/>
      <c r="I855" s="11">
        <v>700</v>
      </c>
      <c r="J855" s="12">
        <v>711</v>
      </c>
      <c r="K855" s="12" t="s">
        <v>352</v>
      </c>
      <c r="L855">
        <v>100</v>
      </c>
    </row>
    <row r="856" spans="1:12" x14ac:dyDescent="0.35">
      <c r="A856" s="10">
        <v>855</v>
      </c>
      <c r="B856" s="6"/>
      <c r="C856" s="9"/>
      <c r="D856" s="9"/>
      <c r="E856" s="9"/>
      <c r="F856" s="9"/>
      <c r="G856" s="9"/>
      <c r="H856" s="9"/>
      <c r="I856" s="11">
        <v>1027</v>
      </c>
      <c r="J856" s="12">
        <v>1039</v>
      </c>
      <c r="K856" s="12" t="s">
        <v>515</v>
      </c>
      <c r="L856">
        <v>100</v>
      </c>
    </row>
    <row r="857" spans="1:12" x14ac:dyDescent="0.35">
      <c r="A857" s="10">
        <v>856</v>
      </c>
      <c r="B857" s="6"/>
      <c r="C857" s="9"/>
      <c r="D857" s="9"/>
      <c r="E857" s="9"/>
      <c r="F857" s="9"/>
      <c r="G857" s="9"/>
      <c r="H857" s="9"/>
      <c r="I857" s="11">
        <v>892</v>
      </c>
      <c r="J857" s="12">
        <v>903</v>
      </c>
      <c r="K857" s="12" t="s">
        <v>436</v>
      </c>
      <c r="L857">
        <v>100</v>
      </c>
    </row>
    <row r="858" spans="1:12" x14ac:dyDescent="0.35">
      <c r="A858" s="10">
        <v>857</v>
      </c>
      <c r="B858" s="6"/>
      <c r="C858" s="9"/>
      <c r="D858" s="9"/>
      <c r="E858" s="9"/>
      <c r="F858" s="9"/>
      <c r="G858" s="9"/>
      <c r="H858" s="9"/>
      <c r="I858" s="11">
        <v>631</v>
      </c>
      <c r="J858" s="12">
        <v>642</v>
      </c>
      <c r="K858" s="12" t="s">
        <v>313</v>
      </c>
      <c r="L858">
        <v>100</v>
      </c>
    </row>
    <row r="859" spans="1:12" x14ac:dyDescent="0.35">
      <c r="A859" s="10">
        <v>858</v>
      </c>
      <c r="B859" s="6"/>
      <c r="C859" s="9"/>
      <c r="D859" s="9"/>
      <c r="E859" s="9"/>
      <c r="F859" s="9"/>
      <c r="G859" s="9"/>
      <c r="H859" s="9"/>
      <c r="I859" s="11">
        <v>640</v>
      </c>
      <c r="J859" s="12">
        <v>651</v>
      </c>
      <c r="K859" s="12" t="s">
        <v>318</v>
      </c>
      <c r="L859">
        <v>100</v>
      </c>
    </row>
    <row r="860" spans="1:12" x14ac:dyDescent="0.35">
      <c r="A860" s="10">
        <v>859</v>
      </c>
      <c r="B860" s="6"/>
      <c r="C860" s="9"/>
      <c r="D860" s="9"/>
      <c r="E860" s="9"/>
      <c r="F860" s="9"/>
      <c r="G860" s="9"/>
      <c r="H860" s="9"/>
      <c r="I860" s="11"/>
      <c r="J860" s="12">
        <v>659</v>
      </c>
      <c r="K860" s="12" t="s">
        <v>930</v>
      </c>
      <c r="L860">
        <v>100</v>
      </c>
    </row>
    <row r="861" spans="1:12" x14ac:dyDescent="0.35">
      <c r="A861" s="10">
        <v>860</v>
      </c>
      <c r="B861" s="6"/>
      <c r="C861" s="9"/>
      <c r="D861" s="9"/>
      <c r="E861" s="9"/>
      <c r="F861" s="9"/>
      <c r="G861" s="9"/>
      <c r="H861" s="9"/>
      <c r="I861" s="11"/>
      <c r="J861" s="12">
        <v>666</v>
      </c>
      <c r="K861" s="12" t="s">
        <v>934</v>
      </c>
      <c r="L861">
        <v>100</v>
      </c>
    </row>
    <row r="862" spans="1:12" x14ac:dyDescent="0.35">
      <c r="A862" s="10">
        <v>861</v>
      </c>
      <c r="B862" s="6"/>
      <c r="C862" s="9"/>
      <c r="D862" s="9"/>
      <c r="E862" s="9"/>
      <c r="F862" s="9"/>
      <c r="G862" s="9"/>
      <c r="H862" s="9"/>
      <c r="I862" s="11"/>
      <c r="J862" s="12">
        <v>674</v>
      </c>
      <c r="K862" s="12" t="s">
        <v>937</v>
      </c>
      <c r="L862">
        <v>100</v>
      </c>
    </row>
    <row r="863" spans="1:12" x14ac:dyDescent="0.35">
      <c r="A863" s="10">
        <v>862</v>
      </c>
      <c r="B863" s="6"/>
      <c r="C863" s="9"/>
      <c r="D863" s="9"/>
      <c r="E863" s="9"/>
      <c r="F863" s="9"/>
      <c r="G863" s="9"/>
      <c r="H863" s="9"/>
      <c r="I863" s="11"/>
      <c r="J863" s="12">
        <v>682</v>
      </c>
      <c r="K863" s="12" t="s">
        <v>941</v>
      </c>
      <c r="L863">
        <v>100</v>
      </c>
    </row>
    <row r="864" spans="1:12" x14ac:dyDescent="0.35">
      <c r="A864" s="10">
        <v>863</v>
      </c>
      <c r="B864" s="6"/>
      <c r="C864" s="9"/>
      <c r="D864" s="9"/>
      <c r="E864" s="9"/>
      <c r="F864" s="9"/>
      <c r="G864" s="9"/>
      <c r="H864" s="9"/>
      <c r="I864" s="11"/>
      <c r="J864" s="12">
        <v>691</v>
      </c>
      <c r="K864" s="12" t="s">
        <v>946</v>
      </c>
      <c r="L864">
        <v>100</v>
      </c>
    </row>
    <row r="865" spans="1:12" x14ac:dyDescent="0.35">
      <c r="A865" s="10">
        <v>864</v>
      </c>
      <c r="B865" s="6"/>
      <c r="C865" s="9"/>
      <c r="D865" s="9"/>
      <c r="E865" s="9"/>
      <c r="F865" s="9"/>
      <c r="G865" s="9"/>
      <c r="H865" s="9"/>
      <c r="I865" s="11">
        <v>418</v>
      </c>
      <c r="J865" s="12">
        <v>429</v>
      </c>
      <c r="K865" s="12" t="s">
        <v>215</v>
      </c>
      <c r="L865">
        <v>100</v>
      </c>
    </row>
    <row r="866" spans="1:12" x14ac:dyDescent="0.35">
      <c r="A866" s="10">
        <v>865</v>
      </c>
      <c r="B866" s="6"/>
      <c r="C866" s="9"/>
      <c r="D866" s="9"/>
      <c r="E866" s="9"/>
      <c r="F866" s="9"/>
      <c r="G866" s="9"/>
      <c r="H866" s="9"/>
      <c r="I866" s="11">
        <v>426</v>
      </c>
      <c r="J866" s="12">
        <v>437</v>
      </c>
      <c r="K866" s="12" t="s">
        <v>220</v>
      </c>
      <c r="L866">
        <v>100</v>
      </c>
    </row>
    <row r="867" spans="1:12" x14ac:dyDescent="0.35">
      <c r="A867" s="10">
        <v>866</v>
      </c>
      <c r="B867" s="6"/>
      <c r="C867" s="9"/>
      <c r="D867" s="9"/>
      <c r="E867" s="9"/>
      <c r="F867" s="9"/>
      <c r="G867" s="9"/>
      <c r="H867" s="9"/>
      <c r="I867" s="11">
        <v>434</v>
      </c>
      <c r="J867" s="12">
        <v>445</v>
      </c>
      <c r="K867" s="12" t="s">
        <v>225</v>
      </c>
      <c r="L867">
        <v>100</v>
      </c>
    </row>
    <row r="868" spans="1:12" x14ac:dyDescent="0.35">
      <c r="A868" s="10">
        <v>867</v>
      </c>
      <c r="B868" s="6"/>
      <c r="C868" s="9"/>
      <c r="D868" s="9"/>
      <c r="E868" s="9"/>
      <c r="F868" s="9"/>
      <c r="G868" s="9"/>
      <c r="H868" s="9"/>
      <c r="I868" s="11"/>
      <c r="J868" s="12">
        <v>77</v>
      </c>
      <c r="K868" s="12" t="s">
        <v>624</v>
      </c>
      <c r="L868">
        <v>100</v>
      </c>
    </row>
    <row r="869" spans="1:12" x14ac:dyDescent="0.35">
      <c r="A869" s="10">
        <v>868</v>
      </c>
      <c r="B869" s="6"/>
      <c r="C869" s="9"/>
      <c r="D869" s="9"/>
      <c r="E869" s="9"/>
      <c r="F869" s="9"/>
      <c r="G869" s="9"/>
      <c r="H869" s="9"/>
      <c r="I869" s="11"/>
      <c r="J869" s="12">
        <v>53</v>
      </c>
      <c r="K869" s="12" t="s">
        <v>610</v>
      </c>
      <c r="L869">
        <v>100</v>
      </c>
    </row>
    <row r="870" spans="1:12" x14ac:dyDescent="0.35">
      <c r="A870" s="10">
        <v>869</v>
      </c>
      <c r="B870" s="6"/>
      <c r="C870" s="9"/>
      <c r="D870" s="9"/>
      <c r="E870" s="9"/>
      <c r="F870" s="9"/>
      <c r="G870" s="9"/>
      <c r="H870" s="9"/>
      <c r="I870" s="11"/>
      <c r="J870" s="12">
        <v>61</v>
      </c>
      <c r="K870" s="12" t="s">
        <v>617</v>
      </c>
      <c r="L870">
        <v>100</v>
      </c>
    </row>
    <row r="871" spans="1:12" x14ac:dyDescent="0.35">
      <c r="A871" s="10">
        <v>870</v>
      </c>
      <c r="B871" s="6"/>
      <c r="C871" s="9"/>
      <c r="D871" s="9"/>
      <c r="E871" s="9"/>
      <c r="F871" s="9"/>
      <c r="G871" s="9"/>
      <c r="H871" s="9"/>
      <c r="I871" s="11"/>
      <c r="J871" s="12">
        <v>45</v>
      </c>
      <c r="K871" s="12" t="s">
        <v>603</v>
      </c>
      <c r="L871">
        <v>100</v>
      </c>
    </row>
    <row r="872" spans="1:12" x14ac:dyDescent="0.35">
      <c r="A872" s="10">
        <v>871</v>
      </c>
      <c r="B872" s="6"/>
      <c r="C872" s="9"/>
      <c r="D872" s="9"/>
      <c r="E872" s="9"/>
      <c r="F872" s="9"/>
      <c r="G872" s="9"/>
      <c r="H872" s="9"/>
      <c r="I872" s="11"/>
      <c r="J872" s="12">
        <v>69</v>
      </c>
      <c r="K872" s="12" t="s">
        <v>619</v>
      </c>
      <c r="L872">
        <v>100</v>
      </c>
    </row>
    <row r="873" spans="1:12" x14ac:dyDescent="0.35">
      <c r="A873" s="10">
        <v>872</v>
      </c>
      <c r="B873" s="6"/>
      <c r="C873" s="9"/>
      <c r="D873" s="9"/>
      <c r="E873" s="9"/>
      <c r="F873" s="9"/>
      <c r="G873" s="9"/>
      <c r="H873" s="9"/>
      <c r="I873" s="11"/>
      <c r="J873" s="12">
        <v>789</v>
      </c>
      <c r="K873" s="12" t="s">
        <v>1002</v>
      </c>
      <c r="L873">
        <v>100</v>
      </c>
    </row>
    <row r="874" spans="1:12" x14ac:dyDescent="0.35">
      <c r="A874" s="10">
        <v>873</v>
      </c>
      <c r="B874" s="6"/>
      <c r="C874" s="9"/>
      <c r="D874" s="9"/>
      <c r="E874" s="9"/>
      <c r="F874" s="9" t="s">
        <v>1412</v>
      </c>
      <c r="G874" s="9"/>
      <c r="H874" s="9"/>
      <c r="I874" s="11"/>
      <c r="J874" s="12">
        <v>370</v>
      </c>
      <c r="K874" s="12" t="s">
        <v>769</v>
      </c>
      <c r="L874">
        <v>101</v>
      </c>
    </row>
    <row r="875" spans="1:12" x14ac:dyDescent="0.35">
      <c r="A875" s="10">
        <v>874</v>
      </c>
      <c r="B875" s="6"/>
      <c r="C875" s="9"/>
      <c r="D875" s="9"/>
      <c r="E875" s="9"/>
      <c r="F875" s="9"/>
      <c r="G875" s="9"/>
      <c r="H875" s="9"/>
      <c r="I875" s="11">
        <v>642</v>
      </c>
      <c r="J875" s="12">
        <v>653</v>
      </c>
      <c r="K875" s="12" t="s">
        <v>319</v>
      </c>
      <c r="L875">
        <v>101</v>
      </c>
    </row>
    <row r="876" spans="1:12" x14ac:dyDescent="0.35">
      <c r="A876" s="10">
        <v>875</v>
      </c>
      <c r="B876" s="6"/>
      <c r="C876" s="9"/>
      <c r="D876" s="9"/>
      <c r="E876" s="9"/>
      <c r="F876" s="9"/>
      <c r="G876" s="9"/>
      <c r="H876" s="9"/>
      <c r="I876" s="11"/>
      <c r="J876" s="12">
        <v>568</v>
      </c>
      <c r="K876" s="12" t="s">
        <v>892</v>
      </c>
      <c r="L876">
        <v>101</v>
      </c>
    </row>
    <row r="877" spans="1:12" x14ac:dyDescent="0.35">
      <c r="A877" s="10">
        <v>876</v>
      </c>
      <c r="B877" s="6"/>
      <c r="C877" s="9"/>
      <c r="D877" s="9"/>
      <c r="E877" s="9"/>
      <c r="F877" s="9"/>
      <c r="G877" s="9"/>
      <c r="H877" s="9"/>
      <c r="I877" s="11">
        <v>650</v>
      </c>
      <c r="J877" s="12">
        <v>661</v>
      </c>
      <c r="K877" s="12" t="s">
        <v>324</v>
      </c>
      <c r="L877">
        <v>101</v>
      </c>
    </row>
    <row r="878" spans="1:12" x14ac:dyDescent="0.35">
      <c r="A878" s="10">
        <v>877</v>
      </c>
      <c r="B878" s="6"/>
      <c r="C878" s="9"/>
      <c r="D878" s="9"/>
      <c r="E878" s="9"/>
      <c r="F878" s="9"/>
      <c r="G878" s="9"/>
      <c r="H878" s="9"/>
      <c r="I878" s="11">
        <v>565</v>
      </c>
      <c r="J878" s="12">
        <v>576</v>
      </c>
      <c r="K878" s="12" t="s">
        <v>274</v>
      </c>
      <c r="L878">
        <v>101</v>
      </c>
    </row>
    <row r="879" spans="1:12" x14ac:dyDescent="0.35">
      <c r="A879" s="10">
        <v>878</v>
      </c>
      <c r="B879" s="6"/>
      <c r="C879" s="9"/>
      <c r="D879" s="9"/>
      <c r="E879" s="9"/>
      <c r="F879" s="9"/>
      <c r="G879" s="9"/>
      <c r="H879" s="9"/>
      <c r="I879" s="11"/>
      <c r="J879" s="12">
        <v>640</v>
      </c>
      <c r="K879" s="12" t="s">
        <v>922</v>
      </c>
      <c r="L879">
        <v>101</v>
      </c>
    </row>
    <row r="880" spans="1:12" x14ac:dyDescent="0.35">
      <c r="A880" s="10">
        <v>879</v>
      </c>
      <c r="B880" s="6"/>
      <c r="C880" s="9"/>
      <c r="D880" s="9"/>
      <c r="E880" s="9"/>
      <c r="F880" s="9"/>
      <c r="G880" s="9"/>
      <c r="H880" s="9"/>
      <c r="I880" s="11"/>
      <c r="J880" s="12">
        <v>135</v>
      </c>
      <c r="K880" s="12" t="s">
        <v>652</v>
      </c>
      <c r="L880">
        <v>101</v>
      </c>
    </row>
    <row r="881" spans="1:12" x14ac:dyDescent="0.35">
      <c r="A881" s="10">
        <v>880</v>
      </c>
      <c r="B881" s="6"/>
      <c r="C881" s="9"/>
      <c r="D881" s="9"/>
      <c r="E881" s="9"/>
      <c r="F881" s="9"/>
      <c r="G881" s="9"/>
      <c r="H881" s="9"/>
      <c r="I881" s="11">
        <v>928</v>
      </c>
      <c r="J881" s="12">
        <v>939</v>
      </c>
      <c r="K881" s="12" t="s">
        <v>458</v>
      </c>
      <c r="L881">
        <v>101</v>
      </c>
    </row>
    <row r="882" spans="1:12" x14ac:dyDescent="0.35">
      <c r="A882" s="10">
        <v>881</v>
      </c>
      <c r="B882" s="6"/>
      <c r="C882" s="9"/>
      <c r="D882" s="9"/>
      <c r="E882" s="9"/>
      <c r="F882" s="9"/>
      <c r="G882" s="9"/>
      <c r="H882" s="9"/>
      <c r="I882" s="11">
        <v>138</v>
      </c>
      <c r="J882" s="12">
        <v>143</v>
      </c>
      <c r="K882" s="12" t="s">
        <v>86</v>
      </c>
      <c r="L882">
        <v>101</v>
      </c>
    </row>
    <row r="883" spans="1:12" x14ac:dyDescent="0.35">
      <c r="A883" s="10">
        <v>882</v>
      </c>
      <c r="B883" s="6"/>
      <c r="C883" s="9"/>
      <c r="D883" s="9"/>
      <c r="E883" s="9"/>
      <c r="F883" s="9"/>
      <c r="G883" s="9"/>
      <c r="H883" s="9"/>
      <c r="I883" s="11">
        <v>828</v>
      </c>
      <c r="J883" s="12">
        <v>839</v>
      </c>
      <c r="K883" s="12" t="s">
        <v>403</v>
      </c>
      <c r="L883">
        <v>101</v>
      </c>
    </row>
    <row r="884" spans="1:12" x14ac:dyDescent="0.35">
      <c r="A884" s="10">
        <v>883</v>
      </c>
      <c r="B884" s="6"/>
      <c r="C884" s="9"/>
      <c r="D884" s="9"/>
      <c r="E884" s="9"/>
      <c r="F884" s="9"/>
      <c r="G884" s="9"/>
      <c r="H884" s="9"/>
      <c r="I884" s="11"/>
      <c r="J884" s="12">
        <v>887</v>
      </c>
      <c r="K884" s="12" t="s">
        <v>1055</v>
      </c>
      <c r="L884">
        <v>101</v>
      </c>
    </row>
    <row r="885" spans="1:12" x14ac:dyDescent="0.35">
      <c r="A885" s="10">
        <v>884</v>
      </c>
      <c r="B885" s="6"/>
      <c r="C885" s="9"/>
      <c r="D885" s="9"/>
      <c r="E885" s="9"/>
      <c r="F885" s="9"/>
      <c r="G885" s="9"/>
      <c r="H885" s="9"/>
      <c r="I885" s="11">
        <v>1036</v>
      </c>
      <c r="J885" s="12">
        <v>1048</v>
      </c>
      <c r="K885" s="12" t="s">
        <v>521</v>
      </c>
      <c r="L885">
        <v>101</v>
      </c>
    </row>
    <row r="886" spans="1:12" x14ac:dyDescent="0.35">
      <c r="A886" s="10">
        <v>885</v>
      </c>
      <c r="B886" s="6"/>
      <c r="C886" s="9"/>
      <c r="D886" s="9"/>
      <c r="E886" s="9"/>
      <c r="F886" s="9"/>
      <c r="G886" s="9"/>
      <c r="H886" s="9"/>
      <c r="I886" s="11">
        <v>362</v>
      </c>
      <c r="J886" s="12">
        <v>372</v>
      </c>
      <c r="K886" s="12" t="s">
        <v>197</v>
      </c>
      <c r="L886">
        <v>101</v>
      </c>
    </row>
    <row r="887" spans="1:12" x14ac:dyDescent="0.35">
      <c r="A887" s="10">
        <v>886</v>
      </c>
      <c r="B887" s="6"/>
      <c r="C887" s="9"/>
      <c r="D887" s="9"/>
      <c r="E887" s="9"/>
      <c r="F887" s="9"/>
      <c r="G887" s="9"/>
      <c r="H887" s="9"/>
      <c r="I887" s="11">
        <v>78</v>
      </c>
      <c r="J887" s="12">
        <v>83</v>
      </c>
      <c r="K887" s="12" t="s">
        <v>56</v>
      </c>
      <c r="L887">
        <v>101</v>
      </c>
    </row>
    <row r="888" spans="1:12" x14ac:dyDescent="0.35">
      <c r="A888" s="10">
        <v>887</v>
      </c>
      <c r="B888" s="6"/>
      <c r="C888" s="9"/>
      <c r="D888" s="9"/>
      <c r="E888" s="9"/>
      <c r="F888" s="9"/>
      <c r="G888" s="9"/>
      <c r="H888" s="9"/>
      <c r="I888" s="11">
        <v>131</v>
      </c>
      <c r="J888" s="12">
        <v>136</v>
      </c>
      <c r="K888" s="12" t="s">
        <v>84</v>
      </c>
      <c r="L888">
        <v>101</v>
      </c>
    </row>
    <row r="889" spans="1:12" x14ac:dyDescent="0.35">
      <c r="A889" s="10">
        <v>888</v>
      </c>
      <c r="B889" s="6"/>
      <c r="C889" s="9"/>
      <c r="D889" s="9"/>
      <c r="E889" s="9"/>
      <c r="F889" s="9"/>
      <c r="G889" s="9"/>
      <c r="H889" s="9"/>
      <c r="I889" s="11">
        <v>101</v>
      </c>
      <c r="J889" s="12">
        <v>106</v>
      </c>
      <c r="K889" s="12" t="s">
        <v>67</v>
      </c>
      <c r="L889">
        <v>101</v>
      </c>
    </row>
    <row r="890" spans="1:12" x14ac:dyDescent="0.35">
      <c r="A890" s="10">
        <v>889</v>
      </c>
      <c r="B890" s="6"/>
      <c r="C890" s="9"/>
      <c r="D890" s="9"/>
      <c r="E890" s="9"/>
      <c r="F890" s="9"/>
      <c r="G890" s="9"/>
      <c r="H890" s="9"/>
      <c r="I890" s="11">
        <v>196</v>
      </c>
      <c r="J890" s="12">
        <v>203</v>
      </c>
      <c r="K890" s="12" t="s">
        <v>116</v>
      </c>
      <c r="L890">
        <v>101</v>
      </c>
    </row>
    <row r="891" spans="1:12" x14ac:dyDescent="0.35">
      <c r="A891" s="10">
        <v>890</v>
      </c>
      <c r="B891" s="6"/>
      <c r="C891" s="9"/>
      <c r="D891" s="9"/>
      <c r="E891" s="9"/>
      <c r="F891" s="9"/>
      <c r="G891" s="9"/>
      <c r="H891" s="9"/>
      <c r="I891" s="11">
        <v>228</v>
      </c>
      <c r="J891" s="12">
        <v>235</v>
      </c>
      <c r="K891" s="12" t="s">
        <v>132</v>
      </c>
      <c r="L891">
        <v>101</v>
      </c>
    </row>
    <row r="892" spans="1:12" x14ac:dyDescent="0.35">
      <c r="A892" s="10">
        <v>891</v>
      </c>
      <c r="B892" s="6"/>
      <c r="C892" s="9"/>
      <c r="D892" s="9"/>
      <c r="E892" s="9"/>
      <c r="F892" s="9"/>
      <c r="G892" s="9"/>
      <c r="H892" s="9"/>
      <c r="I892" s="11"/>
      <c r="J892" s="12">
        <v>955</v>
      </c>
      <c r="K892" s="12" t="s">
        <v>1081</v>
      </c>
      <c r="L892">
        <v>101</v>
      </c>
    </row>
    <row r="893" spans="1:12" x14ac:dyDescent="0.35">
      <c r="A893" s="10">
        <v>892</v>
      </c>
      <c r="B893" s="6"/>
      <c r="C893" s="9"/>
      <c r="D893" s="9"/>
      <c r="E893" s="9"/>
      <c r="F893" s="9"/>
      <c r="G893" s="9"/>
      <c r="H893" s="9"/>
      <c r="I893" s="11"/>
      <c r="J893" s="12">
        <v>963</v>
      </c>
      <c r="K893" s="12" t="s">
        <v>1085</v>
      </c>
      <c r="L893">
        <v>101</v>
      </c>
    </row>
    <row r="894" spans="1:12" x14ac:dyDescent="0.35">
      <c r="A894" s="10">
        <v>893</v>
      </c>
      <c r="B894" s="6"/>
      <c r="C894" s="9"/>
      <c r="D894" s="9"/>
      <c r="E894" s="9"/>
      <c r="F894" s="9"/>
      <c r="G894" s="9"/>
      <c r="H894" s="9"/>
      <c r="I894" s="11">
        <v>297</v>
      </c>
      <c r="J894" s="12">
        <v>307</v>
      </c>
      <c r="K894" s="12" t="s">
        <v>167</v>
      </c>
      <c r="L894">
        <v>101</v>
      </c>
    </row>
    <row r="895" spans="1:12" x14ac:dyDescent="0.35">
      <c r="A895" s="10">
        <v>894</v>
      </c>
      <c r="B895" s="6"/>
      <c r="C895" s="9"/>
      <c r="D895" s="9"/>
      <c r="E895" s="9"/>
      <c r="F895" s="9"/>
      <c r="G895" s="9"/>
      <c r="H895" s="9"/>
      <c r="I895" s="11"/>
      <c r="J895" s="12">
        <v>395</v>
      </c>
      <c r="K895" s="12" t="s">
        <v>786</v>
      </c>
      <c r="L895">
        <v>101</v>
      </c>
    </row>
    <row r="896" spans="1:12" x14ac:dyDescent="0.35">
      <c r="A896" s="10">
        <v>895</v>
      </c>
      <c r="B896" s="6"/>
      <c r="C896" s="9"/>
      <c r="D896" s="9"/>
      <c r="E896" s="9"/>
      <c r="F896" s="9"/>
      <c r="G896" s="9"/>
      <c r="H896" s="9"/>
      <c r="I896" s="11">
        <v>1086</v>
      </c>
      <c r="J896" s="12">
        <v>1098</v>
      </c>
      <c r="K896" s="12" t="s">
        <v>543</v>
      </c>
      <c r="L896">
        <v>101</v>
      </c>
    </row>
    <row r="897" spans="1:12" x14ac:dyDescent="0.35">
      <c r="A897" s="10">
        <v>896</v>
      </c>
      <c r="B897" s="6"/>
      <c r="C897" s="9"/>
      <c r="D897" s="9"/>
      <c r="E897" s="9"/>
      <c r="F897" s="9"/>
      <c r="G897" s="9"/>
      <c r="H897" s="9"/>
      <c r="I897" s="11">
        <v>1095</v>
      </c>
      <c r="J897" s="12">
        <v>1107</v>
      </c>
      <c r="K897" s="12" t="s">
        <v>548</v>
      </c>
      <c r="L897">
        <v>101</v>
      </c>
    </row>
    <row r="898" spans="1:12" x14ac:dyDescent="0.35">
      <c r="A898" s="10">
        <v>897</v>
      </c>
      <c r="B898" s="6"/>
      <c r="C898" s="9"/>
      <c r="D898" s="9"/>
      <c r="E898" s="9"/>
      <c r="F898" s="9"/>
      <c r="G898" s="9"/>
      <c r="H898" s="9"/>
      <c r="I898" s="11">
        <v>841</v>
      </c>
      <c r="J898" s="12">
        <v>852</v>
      </c>
      <c r="K898" s="12" t="s">
        <v>412</v>
      </c>
      <c r="L898">
        <v>101</v>
      </c>
    </row>
    <row r="899" spans="1:12" x14ac:dyDescent="0.35">
      <c r="A899" s="10">
        <v>898</v>
      </c>
      <c r="B899" s="6"/>
      <c r="C899" s="9"/>
      <c r="D899" s="9"/>
      <c r="E899" s="9"/>
      <c r="F899" s="9"/>
      <c r="G899" s="9"/>
      <c r="H899" s="9"/>
      <c r="I899" s="11">
        <v>848</v>
      </c>
      <c r="J899" s="12">
        <v>859</v>
      </c>
      <c r="K899" s="12" t="s">
        <v>415</v>
      </c>
      <c r="L899">
        <v>101</v>
      </c>
    </row>
    <row r="900" spans="1:12" x14ac:dyDescent="0.35">
      <c r="A900" s="10">
        <v>899</v>
      </c>
      <c r="B900" s="6"/>
      <c r="C900" s="9"/>
      <c r="D900" s="9"/>
      <c r="E900" s="9"/>
      <c r="F900" s="9"/>
      <c r="G900" s="9"/>
      <c r="H900" s="9"/>
      <c r="I900" s="11"/>
      <c r="J900" s="12">
        <v>938</v>
      </c>
      <c r="K900" s="12" t="s">
        <v>1075</v>
      </c>
      <c r="L900">
        <v>101</v>
      </c>
    </row>
    <row r="901" spans="1:12" x14ac:dyDescent="0.35">
      <c r="A901" s="10">
        <v>900</v>
      </c>
      <c r="B901" s="6"/>
      <c r="C901" s="9"/>
      <c r="D901" s="9"/>
      <c r="E901" s="9"/>
      <c r="F901" s="9"/>
      <c r="G901" s="9"/>
      <c r="H901" s="9"/>
      <c r="I901" s="11">
        <v>959</v>
      </c>
      <c r="J901" s="12">
        <v>970</v>
      </c>
      <c r="K901" s="12" t="s">
        <v>477</v>
      </c>
      <c r="L901">
        <v>101</v>
      </c>
    </row>
    <row r="902" spans="1:12" x14ac:dyDescent="0.35">
      <c r="A902" s="10">
        <v>901</v>
      </c>
      <c r="B902" s="6"/>
      <c r="C902" s="9"/>
      <c r="D902" s="9"/>
      <c r="E902" s="9"/>
      <c r="F902" s="9"/>
      <c r="G902" s="9"/>
      <c r="H902" s="9"/>
      <c r="I902" s="11">
        <v>967</v>
      </c>
      <c r="J902" s="12">
        <v>978</v>
      </c>
      <c r="K902" s="12" t="s">
        <v>482</v>
      </c>
      <c r="L902">
        <v>101</v>
      </c>
    </row>
    <row r="903" spans="1:12" x14ac:dyDescent="0.35">
      <c r="A903" s="10">
        <v>902</v>
      </c>
      <c r="B903" s="6"/>
      <c r="C903" s="9"/>
      <c r="D903" s="9"/>
      <c r="E903" s="9"/>
      <c r="F903" s="9"/>
      <c r="G903" s="9"/>
      <c r="H903" s="9"/>
      <c r="I903" s="11"/>
      <c r="J903" s="12">
        <v>154</v>
      </c>
      <c r="K903" s="12" t="s">
        <v>663</v>
      </c>
      <c r="L903">
        <v>101</v>
      </c>
    </row>
    <row r="904" spans="1:12" x14ac:dyDescent="0.35">
      <c r="A904" s="10">
        <v>903</v>
      </c>
      <c r="B904" s="6"/>
      <c r="C904" s="9"/>
      <c r="D904" s="9"/>
      <c r="E904" s="9"/>
      <c r="F904" s="9"/>
      <c r="G904" s="9"/>
      <c r="H904" s="9"/>
      <c r="I904" s="11"/>
      <c r="J904" s="12">
        <v>161</v>
      </c>
      <c r="K904" s="12" t="s">
        <v>666</v>
      </c>
      <c r="L904">
        <v>101</v>
      </c>
    </row>
    <row r="905" spans="1:12" x14ac:dyDescent="0.35">
      <c r="A905" s="10">
        <v>904</v>
      </c>
      <c r="B905" s="6"/>
      <c r="C905" s="9"/>
      <c r="D905" s="9"/>
      <c r="E905" s="9"/>
      <c r="F905" s="9"/>
      <c r="G905" s="9"/>
      <c r="H905" s="9"/>
      <c r="I905" s="11">
        <v>170</v>
      </c>
      <c r="J905" s="12">
        <v>177</v>
      </c>
      <c r="K905" s="12" t="s">
        <v>103</v>
      </c>
      <c r="L905">
        <v>101</v>
      </c>
    </row>
    <row r="906" spans="1:12" x14ac:dyDescent="0.35">
      <c r="A906" s="10">
        <v>905</v>
      </c>
      <c r="B906" s="6"/>
      <c r="C906" s="9"/>
      <c r="D906" s="9"/>
      <c r="E906" s="9"/>
      <c r="F906" s="9"/>
      <c r="G906" s="9"/>
      <c r="H906" s="9"/>
      <c r="I906" s="11">
        <v>164</v>
      </c>
      <c r="J906" s="12">
        <v>169</v>
      </c>
      <c r="K906" s="12" t="s">
        <v>99</v>
      </c>
      <c r="L906">
        <v>101</v>
      </c>
    </row>
    <row r="907" spans="1:12" x14ac:dyDescent="0.35">
      <c r="A907" s="10">
        <v>906</v>
      </c>
      <c r="B907" s="6"/>
      <c r="C907" s="9"/>
      <c r="D907" s="9"/>
      <c r="E907" s="9"/>
      <c r="F907" s="9"/>
      <c r="G907" s="9"/>
      <c r="H907" s="9"/>
      <c r="I907" s="11"/>
      <c r="J907" s="12">
        <v>995</v>
      </c>
      <c r="K907" s="12" t="s">
        <v>1100</v>
      </c>
      <c r="L907">
        <v>101</v>
      </c>
    </row>
    <row r="908" spans="1:12" x14ac:dyDescent="0.35">
      <c r="A908" s="10">
        <v>907</v>
      </c>
      <c r="B908" s="6"/>
      <c r="C908" s="9"/>
      <c r="D908" s="9"/>
      <c r="E908" s="9"/>
      <c r="F908" s="9"/>
      <c r="G908" s="9"/>
      <c r="H908" s="9"/>
      <c r="I908" s="11">
        <v>1057</v>
      </c>
      <c r="J908" s="12">
        <v>1069</v>
      </c>
      <c r="K908" s="12" t="s">
        <v>530</v>
      </c>
      <c r="L908">
        <v>101</v>
      </c>
    </row>
    <row r="909" spans="1:12" x14ac:dyDescent="0.35">
      <c r="A909" s="10">
        <v>908</v>
      </c>
      <c r="B909" s="6"/>
      <c r="C909" s="9"/>
      <c r="D909" s="9"/>
      <c r="E909" s="9"/>
      <c r="F909" s="9"/>
      <c r="G909" s="9"/>
      <c r="H909" s="9"/>
      <c r="I909" s="11"/>
      <c r="J909" s="12">
        <v>185</v>
      </c>
      <c r="K909" s="12" t="s">
        <v>677</v>
      </c>
      <c r="L909">
        <v>101</v>
      </c>
    </row>
    <row r="910" spans="1:12" x14ac:dyDescent="0.35">
      <c r="A910" s="10">
        <v>909</v>
      </c>
      <c r="B910" s="6"/>
      <c r="C910" s="9"/>
      <c r="D910" s="9"/>
      <c r="E910" s="9"/>
      <c r="F910" s="9"/>
      <c r="G910" s="9"/>
      <c r="H910" s="9"/>
      <c r="I910" s="11"/>
      <c r="J910" s="12">
        <v>193</v>
      </c>
      <c r="K910" s="12" t="s">
        <v>680</v>
      </c>
      <c r="L910">
        <v>101</v>
      </c>
    </row>
    <row r="911" spans="1:12" x14ac:dyDescent="0.35">
      <c r="A911" s="10">
        <v>910</v>
      </c>
      <c r="B911" s="6"/>
      <c r="C911" s="9"/>
      <c r="D911" s="9"/>
      <c r="E911" s="9"/>
      <c r="F911" s="9"/>
      <c r="G911" s="9"/>
      <c r="H911" s="9" t="s">
        <v>1435</v>
      </c>
      <c r="I911" s="11"/>
      <c r="J911" s="12">
        <v>701</v>
      </c>
      <c r="K911" s="12" t="s">
        <v>950</v>
      </c>
      <c r="L911">
        <v>101</v>
      </c>
    </row>
    <row r="912" spans="1:12" x14ac:dyDescent="0.35">
      <c r="A912" s="10">
        <v>911</v>
      </c>
      <c r="B912" s="6"/>
      <c r="C912" s="9"/>
      <c r="D912" s="9"/>
      <c r="E912" s="9"/>
      <c r="F912" s="9"/>
      <c r="G912" s="9"/>
      <c r="H912" s="9"/>
      <c r="I912" s="11">
        <v>202</v>
      </c>
      <c r="J912" s="12">
        <v>209</v>
      </c>
      <c r="K912" s="12" t="s">
        <v>119</v>
      </c>
      <c r="L912">
        <v>101</v>
      </c>
    </row>
    <row r="913" spans="1:12" x14ac:dyDescent="0.35">
      <c r="A913" s="10">
        <v>912</v>
      </c>
      <c r="B913" s="6"/>
      <c r="C913" s="9"/>
      <c r="D913" s="9"/>
      <c r="E913" s="9"/>
      <c r="F913" s="9"/>
      <c r="G913" s="9"/>
      <c r="H913" s="9"/>
      <c r="I913" s="11">
        <v>195</v>
      </c>
      <c r="J913" s="12">
        <v>202</v>
      </c>
      <c r="K913" s="12" t="s">
        <v>115</v>
      </c>
      <c r="L913">
        <v>101</v>
      </c>
    </row>
    <row r="914" spans="1:12" x14ac:dyDescent="0.35">
      <c r="A914" s="10">
        <v>913</v>
      </c>
      <c r="B914" s="6"/>
      <c r="C914" s="9"/>
      <c r="D914" s="9"/>
      <c r="E914" s="9"/>
      <c r="F914" s="9"/>
      <c r="G914" s="9"/>
      <c r="H914" s="9"/>
      <c r="I914" s="11">
        <v>218</v>
      </c>
      <c r="J914" s="12">
        <v>225</v>
      </c>
      <c r="K914" s="12" t="s">
        <v>127</v>
      </c>
      <c r="L914">
        <v>101</v>
      </c>
    </row>
    <row r="915" spans="1:12" x14ac:dyDescent="0.35">
      <c r="A915" s="10">
        <v>914</v>
      </c>
      <c r="B915" s="6"/>
      <c r="C915" s="9"/>
      <c r="D915" s="9"/>
      <c r="E915" s="9"/>
      <c r="F915" s="9"/>
      <c r="G915" s="9"/>
      <c r="H915" s="9"/>
      <c r="I915" s="11">
        <v>210</v>
      </c>
      <c r="J915" s="12">
        <v>217</v>
      </c>
      <c r="K915" s="12" t="s">
        <v>124</v>
      </c>
      <c r="L915">
        <v>101</v>
      </c>
    </row>
    <row r="916" spans="1:12" x14ac:dyDescent="0.35">
      <c r="A916" s="10">
        <v>915</v>
      </c>
      <c r="B916" s="6"/>
      <c r="C916" s="9"/>
      <c r="D916" s="9"/>
      <c r="E916" s="9"/>
      <c r="F916" s="9"/>
      <c r="G916" s="9"/>
      <c r="H916" s="9"/>
      <c r="I916" s="11">
        <v>754</v>
      </c>
      <c r="J916" s="12">
        <v>765</v>
      </c>
      <c r="K916" s="12" t="s">
        <v>368</v>
      </c>
      <c r="L916">
        <v>101</v>
      </c>
    </row>
    <row r="917" spans="1:12" x14ac:dyDescent="0.35">
      <c r="A917" s="10">
        <v>916</v>
      </c>
      <c r="B917" s="6"/>
      <c r="C917" s="9"/>
      <c r="D917" s="9"/>
      <c r="E917" s="9"/>
      <c r="F917" s="9"/>
      <c r="G917" s="9"/>
      <c r="H917" s="9"/>
      <c r="I917" s="11">
        <v>762</v>
      </c>
      <c r="J917" s="12">
        <v>773</v>
      </c>
      <c r="K917" s="12" t="s">
        <v>372</v>
      </c>
      <c r="L917">
        <v>101</v>
      </c>
    </row>
    <row r="918" spans="1:12" x14ac:dyDescent="0.35">
      <c r="A918" s="10">
        <v>917</v>
      </c>
      <c r="B918" s="6"/>
      <c r="C918" s="9"/>
      <c r="D918" s="9"/>
      <c r="E918" s="9"/>
      <c r="F918" s="9"/>
      <c r="G918" s="9"/>
      <c r="H918" s="9"/>
      <c r="I918" s="11">
        <v>770</v>
      </c>
      <c r="J918" s="12">
        <v>781</v>
      </c>
      <c r="K918" s="12" t="s">
        <v>377</v>
      </c>
      <c r="L918">
        <v>101</v>
      </c>
    </row>
    <row r="919" spans="1:12" x14ac:dyDescent="0.35">
      <c r="A919" s="10">
        <v>918</v>
      </c>
      <c r="B919" s="6"/>
      <c r="C919" s="9"/>
      <c r="D919" s="9"/>
      <c r="E919" s="9"/>
      <c r="F919" s="9"/>
      <c r="G919" s="9"/>
      <c r="H919" s="9"/>
      <c r="I919" s="11"/>
      <c r="J919" s="12">
        <v>76</v>
      </c>
      <c r="K919" s="12" t="s">
        <v>623</v>
      </c>
      <c r="L919">
        <v>101</v>
      </c>
    </row>
    <row r="920" spans="1:12" x14ac:dyDescent="0.35">
      <c r="A920" s="10">
        <v>919</v>
      </c>
      <c r="B920" s="6"/>
      <c r="C920" s="9"/>
      <c r="D920" s="9"/>
      <c r="E920" s="9"/>
      <c r="F920" s="9" t="s">
        <v>1413</v>
      </c>
      <c r="G920" s="9"/>
      <c r="H920" s="9"/>
      <c r="I920" s="11"/>
      <c r="J920" s="12">
        <v>379</v>
      </c>
      <c r="K920" s="12" t="s">
        <v>775</v>
      </c>
      <c r="L920">
        <v>102</v>
      </c>
    </row>
    <row r="921" spans="1:12" x14ac:dyDescent="0.35">
      <c r="A921" s="10">
        <v>920</v>
      </c>
      <c r="B921" s="6"/>
      <c r="C921" s="9"/>
      <c r="D921" s="9"/>
      <c r="E921" s="9"/>
      <c r="F921" s="9"/>
      <c r="G921" s="9"/>
      <c r="H921" s="9"/>
      <c r="I921" s="11">
        <v>199</v>
      </c>
      <c r="J921" s="12">
        <v>206</v>
      </c>
      <c r="K921" s="12" t="s">
        <v>1304</v>
      </c>
      <c r="L921">
        <v>102</v>
      </c>
    </row>
    <row r="922" spans="1:12" x14ac:dyDescent="0.35">
      <c r="A922" s="10">
        <v>921</v>
      </c>
      <c r="B922" s="6"/>
      <c r="C922" s="9"/>
      <c r="D922" s="9"/>
      <c r="E922" s="9"/>
      <c r="F922" s="9"/>
      <c r="G922" s="9"/>
      <c r="H922" s="9"/>
      <c r="I922" s="11">
        <v>223</v>
      </c>
      <c r="J922" s="12">
        <v>230</v>
      </c>
      <c r="K922" s="12" t="s">
        <v>1305</v>
      </c>
      <c r="L922">
        <v>102</v>
      </c>
    </row>
    <row r="923" spans="1:12" x14ac:dyDescent="0.35">
      <c r="A923" s="10">
        <v>922</v>
      </c>
      <c r="B923" s="6"/>
      <c r="C923" s="9"/>
      <c r="D923" s="9"/>
      <c r="E923" s="9"/>
      <c r="F923" s="9"/>
      <c r="G923" s="9"/>
      <c r="H923" s="9"/>
      <c r="I923" s="11">
        <v>215</v>
      </c>
      <c r="J923" s="12">
        <v>222</v>
      </c>
      <c r="K923" s="12" t="s">
        <v>1306</v>
      </c>
      <c r="L923">
        <v>102</v>
      </c>
    </row>
    <row r="924" spans="1:12" x14ac:dyDescent="0.35">
      <c r="A924" s="10">
        <v>923</v>
      </c>
      <c r="B924" s="6"/>
      <c r="C924" s="9" t="s">
        <v>854</v>
      </c>
      <c r="D924" s="9"/>
      <c r="E924" s="9"/>
      <c r="F924" s="9"/>
      <c r="G924" s="9"/>
      <c r="H924" s="9"/>
      <c r="I924" s="11"/>
      <c r="J924" s="12">
        <v>512</v>
      </c>
      <c r="K924" s="12" t="s">
        <v>854</v>
      </c>
    </row>
    <row r="925" spans="1:12" x14ac:dyDescent="0.35">
      <c r="A925" s="10">
        <v>924</v>
      </c>
      <c r="B925" s="6"/>
      <c r="C925" s="9"/>
      <c r="D925" s="9" t="s">
        <v>865</v>
      </c>
      <c r="E925" s="9"/>
      <c r="F925" s="9"/>
      <c r="G925" s="9"/>
      <c r="H925" s="9"/>
      <c r="I925" s="11"/>
      <c r="J925" s="12">
        <v>528</v>
      </c>
      <c r="K925" s="12" t="s">
        <v>865</v>
      </c>
    </row>
    <row r="926" spans="1:12" x14ac:dyDescent="0.35">
      <c r="A926" s="10">
        <v>925</v>
      </c>
      <c r="B926" s="6"/>
      <c r="C926" s="9"/>
      <c r="D926" s="9"/>
      <c r="E926" s="9"/>
      <c r="F926" s="9"/>
      <c r="G926" s="9"/>
      <c r="H926" s="9"/>
      <c r="I926" s="11"/>
      <c r="J926" s="12">
        <v>1144</v>
      </c>
      <c r="K926" s="12" t="s">
        <v>1170</v>
      </c>
    </row>
    <row r="927" spans="1:12" x14ac:dyDescent="0.35">
      <c r="A927" s="10">
        <v>926</v>
      </c>
      <c r="B927" s="6"/>
      <c r="C927" s="9"/>
      <c r="D927" s="9"/>
      <c r="E927" s="9"/>
      <c r="F927" s="9"/>
      <c r="G927" s="9"/>
      <c r="H927" s="9"/>
      <c r="I927" s="11"/>
      <c r="J927" s="12">
        <v>1145</v>
      </c>
      <c r="K927" s="12" t="s">
        <v>1171</v>
      </c>
    </row>
    <row r="928" spans="1:12" x14ac:dyDescent="0.35">
      <c r="A928" s="10">
        <v>927</v>
      </c>
      <c r="B928" s="6"/>
      <c r="C928" s="9"/>
      <c r="D928" s="9"/>
      <c r="E928" s="9"/>
      <c r="F928" s="9"/>
      <c r="G928" s="9"/>
      <c r="H928" s="9"/>
      <c r="I928" s="11"/>
      <c r="J928" s="12">
        <v>1143</v>
      </c>
      <c r="K928" s="12" t="s">
        <v>1169</v>
      </c>
    </row>
    <row r="929" spans="1:11" x14ac:dyDescent="0.35">
      <c r="A929" s="10">
        <v>928</v>
      </c>
      <c r="B929" s="6"/>
      <c r="C929" s="9"/>
      <c r="D929" s="9"/>
      <c r="E929" s="9" t="s">
        <v>925</v>
      </c>
      <c r="F929" s="9"/>
      <c r="G929" s="9"/>
      <c r="H929" s="9"/>
      <c r="I929" s="11"/>
      <c r="J929" s="12">
        <v>645</v>
      </c>
      <c r="K929" s="12" t="s">
        <v>925</v>
      </c>
    </row>
    <row r="930" spans="1:11" x14ac:dyDescent="0.35">
      <c r="A930" s="10">
        <v>929</v>
      </c>
      <c r="B930" s="6"/>
      <c r="C930" s="9"/>
      <c r="D930" s="9"/>
      <c r="E930" s="9"/>
      <c r="F930" s="9"/>
      <c r="G930" s="9"/>
      <c r="H930" s="9"/>
      <c r="I930" s="11">
        <v>901</v>
      </c>
      <c r="J930" s="12">
        <v>912</v>
      </c>
      <c r="K930" s="12" t="s">
        <v>443</v>
      </c>
    </row>
    <row r="931" spans="1:11" x14ac:dyDescent="0.35">
      <c r="A931" s="10">
        <v>930</v>
      </c>
      <c r="B931" s="6"/>
      <c r="C931" s="9"/>
      <c r="D931" s="9"/>
      <c r="E931" s="9"/>
      <c r="F931" s="9" t="s">
        <v>1436</v>
      </c>
      <c r="G931" s="9"/>
      <c r="H931" s="9"/>
      <c r="I931" s="11"/>
      <c r="J931" s="12">
        <v>10707</v>
      </c>
      <c r="K931" s="12" t="s">
        <v>1206</v>
      </c>
    </row>
    <row r="932" spans="1:11" x14ac:dyDescent="0.35">
      <c r="A932" s="10">
        <v>931</v>
      </c>
      <c r="B932" s="6"/>
      <c r="C932" s="9"/>
      <c r="D932" s="9"/>
      <c r="E932" s="9"/>
      <c r="F932" s="9"/>
      <c r="G932" s="9"/>
      <c r="H932" s="9"/>
      <c r="I932" s="11"/>
      <c r="J932" s="12">
        <v>10705</v>
      </c>
      <c r="K932" s="12" t="s">
        <v>1204</v>
      </c>
    </row>
    <row r="933" spans="1:11" x14ac:dyDescent="0.35">
      <c r="A933" s="10">
        <v>932</v>
      </c>
      <c r="B933" s="6"/>
      <c r="C933" s="9"/>
      <c r="D933" s="9"/>
      <c r="E933" s="9"/>
      <c r="F933" s="9"/>
      <c r="G933" s="9"/>
      <c r="H933" s="9"/>
      <c r="I933" s="11"/>
      <c r="J933" s="12">
        <v>10706</v>
      </c>
      <c r="K933" s="12" t="s">
        <v>1205</v>
      </c>
    </row>
    <row r="934" spans="1:11" x14ac:dyDescent="0.35">
      <c r="A934" s="10">
        <v>933</v>
      </c>
      <c r="B934" s="6"/>
      <c r="C934" s="9"/>
      <c r="D934" s="9"/>
      <c r="E934" s="9"/>
      <c r="F934" s="9" t="s">
        <v>1437</v>
      </c>
      <c r="G934" s="9"/>
      <c r="H934" s="9"/>
      <c r="I934" s="11">
        <v>909</v>
      </c>
      <c r="J934" s="12">
        <v>920</v>
      </c>
      <c r="K934" s="12" t="s">
        <v>447</v>
      </c>
    </row>
    <row r="935" spans="1:11" x14ac:dyDescent="0.35">
      <c r="A935" s="10">
        <v>934</v>
      </c>
      <c r="B935" s="6"/>
      <c r="C935" s="9"/>
      <c r="D935" s="9"/>
      <c r="E935" s="9"/>
      <c r="F935" s="9"/>
      <c r="G935" s="9"/>
      <c r="H935" s="9"/>
      <c r="I935" s="11"/>
      <c r="J935" s="12">
        <v>976</v>
      </c>
      <c r="K935" s="12" t="s">
        <v>1090</v>
      </c>
    </row>
    <row r="936" spans="1:11" x14ac:dyDescent="0.35">
      <c r="A936" s="10">
        <v>935</v>
      </c>
      <c r="B936" s="6"/>
      <c r="C936" s="9"/>
      <c r="D936" s="9"/>
      <c r="E936" s="9"/>
      <c r="F936" s="9"/>
      <c r="G936" s="9"/>
      <c r="H936" s="9"/>
      <c r="I936" s="11"/>
      <c r="J936" s="12">
        <v>10710</v>
      </c>
      <c r="K936" s="12" t="s">
        <v>1209</v>
      </c>
    </row>
    <row r="937" spans="1:11" x14ac:dyDescent="0.35">
      <c r="A937" s="10">
        <v>936</v>
      </c>
      <c r="B937" s="6"/>
      <c r="C937" s="9"/>
      <c r="D937" s="9"/>
      <c r="E937" s="9"/>
      <c r="F937" s="9"/>
      <c r="G937" s="9"/>
      <c r="H937" s="9"/>
      <c r="I937" s="11"/>
      <c r="J937" s="12">
        <v>10709</v>
      </c>
      <c r="K937" s="12" t="s">
        <v>1208</v>
      </c>
    </row>
    <row r="938" spans="1:11" x14ac:dyDescent="0.35">
      <c r="A938" s="10">
        <v>937</v>
      </c>
      <c r="B938" s="6"/>
      <c r="C938" s="9"/>
      <c r="D938" s="9"/>
      <c r="E938" s="9"/>
      <c r="F938" s="9"/>
      <c r="G938" s="9"/>
      <c r="H938" s="9"/>
      <c r="I938" s="11"/>
      <c r="J938" s="12">
        <v>10708</v>
      </c>
      <c r="K938" s="12" t="s">
        <v>1207</v>
      </c>
    </row>
    <row r="939" spans="1:11" x14ac:dyDescent="0.35">
      <c r="A939" s="10">
        <v>938</v>
      </c>
      <c r="B939" s="6"/>
      <c r="C939" s="9"/>
      <c r="D939" s="9"/>
      <c r="E939" s="9"/>
      <c r="F939" s="9"/>
      <c r="G939" s="9"/>
      <c r="H939" s="9"/>
      <c r="I939" s="11"/>
      <c r="J939" s="12">
        <v>984</v>
      </c>
      <c r="K939" s="12" t="s">
        <v>1093</v>
      </c>
    </row>
    <row r="940" spans="1:11" x14ac:dyDescent="0.35">
      <c r="A940" s="10">
        <v>939</v>
      </c>
      <c r="B940" s="6"/>
      <c r="C940" s="9"/>
      <c r="D940" s="9"/>
      <c r="E940" s="9"/>
      <c r="F940" s="9"/>
      <c r="G940" s="9"/>
      <c r="H940" s="9"/>
      <c r="I940" s="11"/>
      <c r="J940" s="12">
        <v>10713</v>
      </c>
      <c r="K940" s="12" t="s">
        <v>1212</v>
      </c>
    </row>
    <row r="941" spans="1:11" x14ac:dyDescent="0.35">
      <c r="A941" s="10">
        <v>940</v>
      </c>
      <c r="B941" s="6"/>
      <c r="C941" s="9"/>
      <c r="D941" s="9"/>
      <c r="E941" s="9"/>
      <c r="F941" s="9"/>
      <c r="G941" s="9"/>
      <c r="H941" s="9"/>
      <c r="I941" s="11"/>
      <c r="J941" s="12">
        <v>10712</v>
      </c>
      <c r="K941" s="12" t="s">
        <v>1211</v>
      </c>
    </row>
    <row r="942" spans="1:11" x14ac:dyDescent="0.35">
      <c r="A942" s="10">
        <v>941</v>
      </c>
      <c r="B942" s="6"/>
      <c r="C942" s="9"/>
      <c r="D942" s="9"/>
      <c r="E942" s="9"/>
      <c r="F942" s="9"/>
      <c r="G942" s="9"/>
      <c r="H942" s="9"/>
      <c r="I942" s="11"/>
      <c r="J942" s="12">
        <v>10711</v>
      </c>
      <c r="K942" s="12" t="s">
        <v>1210</v>
      </c>
    </row>
    <row r="943" spans="1:11" x14ac:dyDescent="0.35">
      <c r="A943" s="10">
        <v>942</v>
      </c>
      <c r="B943" s="6"/>
      <c r="C943" s="9"/>
      <c r="D943" s="9"/>
      <c r="E943" s="9"/>
      <c r="F943" s="9" t="s">
        <v>451</v>
      </c>
      <c r="G943" s="9"/>
      <c r="H943" s="9"/>
      <c r="I943" s="11">
        <v>917</v>
      </c>
      <c r="J943" s="12">
        <v>928</v>
      </c>
      <c r="K943" s="12" t="s">
        <v>451</v>
      </c>
    </row>
    <row r="944" spans="1:11" x14ac:dyDescent="0.35">
      <c r="A944" s="10">
        <v>943</v>
      </c>
      <c r="B944" s="6"/>
      <c r="C944" s="9"/>
      <c r="D944" s="9"/>
      <c r="E944" s="9"/>
      <c r="F944" s="9"/>
      <c r="G944" s="9"/>
      <c r="H944" s="9"/>
      <c r="I944" s="11"/>
      <c r="J944" s="12">
        <v>992</v>
      </c>
      <c r="K944" s="12" t="s">
        <v>1097</v>
      </c>
    </row>
    <row r="945" spans="1:11" x14ac:dyDescent="0.35">
      <c r="A945" s="10">
        <v>944</v>
      </c>
      <c r="B945" s="6"/>
      <c r="C945" s="9"/>
      <c r="D945" s="9"/>
      <c r="E945" s="9"/>
      <c r="F945" s="9"/>
      <c r="G945" s="9"/>
      <c r="H945" s="9"/>
      <c r="I945" s="11"/>
      <c r="J945" s="12">
        <v>10716</v>
      </c>
      <c r="K945" s="12" t="s">
        <v>1215</v>
      </c>
    </row>
    <row r="946" spans="1:11" x14ac:dyDescent="0.35">
      <c r="A946" s="10">
        <v>945</v>
      </c>
      <c r="B946" s="6"/>
      <c r="C946" s="9"/>
      <c r="D946" s="9"/>
      <c r="E946" s="9"/>
      <c r="F946" s="9"/>
      <c r="G946" s="9"/>
      <c r="H946" s="9"/>
      <c r="I946" s="11"/>
      <c r="J946" s="12">
        <v>10715</v>
      </c>
      <c r="K946" s="12" t="s">
        <v>1214</v>
      </c>
    </row>
    <row r="947" spans="1:11" x14ac:dyDescent="0.35">
      <c r="A947" s="10">
        <v>946</v>
      </c>
      <c r="B947" s="6"/>
      <c r="C947" s="9"/>
      <c r="D947" s="9"/>
      <c r="E947" s="9"/>
      <c r="F947" s="9"/>
      <c r="G947" s="9"/>
      <c r="H947" s="9"/>
      <c r="I947" s="11"/>
      <c r="J947" s="12">
        <v>10714</v>
      </c>
      <c r="K947" s="12" t="s">
        <v>1213</v>
      </c>
    </row>
    <row r="948" spans="1:11" x14ac:dyDescent="0.35">
      <c r="A948" s="10">
        <v>947</v>
      </c>
      <c r="B948" s="6"/>
      <c r="C948" s="9"/>
      <c r="D948" s="9"/>
      <c r="E948" s="9"/>
      <c r="F948" s="9"/>
      <c r="G948" s="9"/>
      <c r="H948" s="9"/>
      <c r="I948" s="11"/>
      <c r="J948" s="12">
        <v>1001</v>
      </c>
      <c r="K948" s="12" t="s">
        <v>1103</v>
      </c>
    </row>
    <row r="949" spans="1:11" x14ac:dyDescent="0.35">
      <c r="A949" s="10">
        <v>948</v>
      </c>
      <c r="B949" s="6"/>
      <c r="C949" s="9"/>
      <c r="D949" s="9"/>
      <c r="E949" s="9"/>
      <c r="F949" s="9"/>
      <c r="G949" s="9"/>
      <c r="H949" s="9"/>
      <c r="I949" s="11"/>
      <c r="J949" s="12">
        <v>10719</v>
      </c>
      <c r="K949" s="12" t="s">
        <v>1218</v>
      </c>
    </row>
    <row r="950" spans="1:11" x14ac:dyDescent="0.35">
      <c r="A950" s="10">
        <v>949</v>
      </c>
      <c r="B950" s="6"/>
      <c r="C950" s="9"/>
      <c r="D950" s="9"/>
      <c r="E950" s="9"/>
      <c r="F950" s="9"/>
      <c r="G950" s="9"/>
      <c r="H950" s="9"/>
      <c r="I950" s="11"/>
      <c r="J950" s="12">
        <v>10718</v>
      </c>
      <c r="K950" s="12" t="s">
        <v>1217</v>
      </c>
    </row>
    <row r="951" spans="1:11" x14ac:dyDescent="0.35">
      <c r="A951" s="10">
        <v>950</v>
      </c>
      <c r="B951" s="6"/>
      <c r="C951" s="9"/>
      <c r="D951" s="9"/>
      <c r="E951" s="9"/>
      <c r="F951" s="9"/>
      <c r="G951" s="9"/>
      <c r="H951" s="9"/>
      <c r="I951" s="11"/>
      <c r="J951" s="12">
        <v>10717</v>
      </c>
      <c r="K951" s="12" t="s">
        <v>1216</v>
      </c>
    </row>
    <row r="952" spans="1:11" x14ac:dyDescent="0.35">
      <c r="A952" s="10">
        <v>951</v>
      </c>
      <c r="B952" s="6"/>
      <c r="C952" s="9"/>
      <c r="D952" s="9"/>
      <c r="E952" s="9"/>
      <c r="F952" s="9"/>
      <c r="G952" s="9"/>
      <c r="H952" s="9"/>
      <c r="I952" s="11"/>
      <c r="J952" s="12">
        <v>1091</v>
      </c>
      <c r="K952" s="12" t="s">
        <v>1146</v>
      </c>
    </row>
    <row r="953" spans="1:11" x14ac:dyDescent="0.35">
      <c r="A953" s="10">
        <v>952</v>
      </c>
      <c r="B953" s="6"/>
      <c r="C953" s="9"/>
      <c r="D953" s="9"/>
      <c r="E953" s="9"/>
      <c r="F953" s="9"/>
      <c r="G953" s="9"/>
      <c r="H953" s="9"/>
      <c r="I953" s="11"/>
      <c r="J953" s="12">
        <v>10722</v>
      </c>
      <c r="K953" s="12" t="s">
        <v>1221</v>
      </c>
    </row>
    <row r="954" spans="1:11" x14ac:dyDescent="0.35">
      <c r="A954" s="10">
        <v>953</v>
      </c>
      <c r="B954" s="6"/>
      <c r="C954" s="9"/>
      <c r="D954" s="9"/>
      <c r="E954" s="9"/>
      <c r="F954" s="9"/>
      <c r="G954" s="9"/>
      <c r="H954" s="9"/>
      <c r="I954" s="11"/>
      <c r="J954" s="12">
        <v>10721</v>
      </c>
      <c r="K954" s="12" t="s">
        <v>1220</v>
      </c>
    </row>
    <row r="955" spans="1:11" x14ac:dyDescent="0.35">
      <c r="A955" s="10">
        <v>954</v>
      </c>
      <c r="B955" s="6"/>
      <c r="C955" s="9"/>
      <c r="D955" s="9"/>
      <c r="E955" s="9"/>
      <c r="F955" s="9"/>
      <c r="G955" s="9"/>
      <c r="H955" s="9"/>
      <c r="I955" s="11"/>
      <c r="J955" s="12">
        <v>10720</v>
      </c>
      <c r="K955" s="12" t="s">
        <v>1219</v>
      </c>
    </row>
    <row r="956" spans="1:11" x14ac:dyDescent="0.35">
      <c r="A956" s="10">
        <v>955</v>
      </c>
      <c r="B956" s="6"/>
      <c r="C956" s="9"/>
      <c r="D956" s="9"/>
      <c r="E956" s="9"/>
      <c r="F956" s="9"/>
      <c r="G956" s="9"/>
      <c r="H956" s="9"/>
      <c r="I956" s="11">
        <v>925</v>
      </c>
      <c r="J956" s="12">
        <v>936</v>
      </c>
      <c r="K956" s="12" t="s">
        <v>457</v>
      </c>
    </row>
    <row r="957" spans="1:11" x14ac:dyDescent="0.35">
      <c r="A957" s="10">
        <v>956</v>
      </c>
      <c r="B957" s="6"/>
      <c r="C957" s="9"/>
      <c r="D957" s="9"/>
      <c r="E957" s="9"/>
      <c r="F957" s="9"/>
      <c r="G957" s="9"/>
      <c r="H957" s="9"/>
      <c r="I957" s="11"/>
      <c r="J957" s="12">
        <v>10725</v>
      </c>
      <c r="K957" s="12" t="s">
        <v>1224</v>
      </c>
    </row>
    <row r="958" spans="1:11" x14ac:dyDescent="0.35">
      <c r="A958" s="10">
        <v>957</v>
      </c>
      <c r="B958" s="6"/>
      <c r="C958" s="9"/>
      <c r="D958" s="9"/>
      <c r="E958" s="9"/>
      <c r="F958" s="9"/>
      <c r="G958" s="9"/>
      <c r="H958" s="9"/>
      <c r="I958" s="11"/>
      <c r="J958" s="12">
        <v>10724</v>
      </c>
      <c r="K958" s="12" t="s">
        <v>1223</v>
      </c>
    </row>
    <row r="959" spans="1:11" x14ac:dyDescent="0.35">
      <c r="A959" s="10">
        <v>958</v>
      </c>
      <c r="B959" s="6"/>
      <c r="C959" s="9"/>
      <c r="D959" s="9"/>
      <c r="E959" s="9"/>
      <c r="F959" s="9"/>
      <c r="G959" s="9"/>
      <c r="H959" s="9"/>
      <c r="I959" s="11"/>
      <c r="J959" s="12">
        <v>10723</v>
      </c>
      <c r="K959" s="12" t="s">
        <v>1222</v>
      </c>
    </row>
    <row r="960" spans="1:11" x14ac:dyDescent="0.35">
      <c r="A960" s="10">
        <v>959</v>
      </c>
      <c r="B960" s="6"/>
      <c r="C960" s="9"/>
      <c r="D960" s="9"/>
      <c r="E960" s="9"/>
      <c r="F960" s="9"/>
      <c r="G960" s="9"/>
      <c r="H960" s="9"/>
      <c r="I960" s="11">
        <v>933</v>
      </c>
      <c r="J960" s="12">
        <v>944</v>
      </c>
      <c r="K960" s="12" t="s">
        <v>461</v>
      </c>
    </row>
    <row r="961" spans="1:11" x14ac:dyDescent="0.35">
      <c r="A961" s="10">
        <v>960</v>
      </c>
      <c r="B961" s="6"/>
      <c r="C961" s="9"/>
      <c r="D961" s="9"/>
      <c r="E961" s="9"/>
      <c r="F961" s="9"/>
      <c r="G961" s="9"/>
      <c r="H961" s="9"/>
      <c r="I961" s="11"/>
      <c r="J961" s="12">
        <v>10728</v>
      </c>
      <c r="K961" s="12" t="s">
        <v>1227</v>
      </c>
    </row>
    <row r="962" spans="1:11" x14ac:dyDescent="0.35">
      <c r="A962" s="10">
        <v>961</v>
      </c>
      <c r="B962" s="6"/>
      <c r="C962" s="9"/>
      <c r="D962" s="9"/>
      <c r="E962" s="9"/>
      <c r="F962" s="9"/>
      <c r="G962" s="9"/>
      <c r="H962" s="9"/>
      <c r="I962" s="11"/>
      <c r="J962" s="12">
        <v>10727</v>
      </c>
      <c r="K962" s="12" t="s">
        <v>1226</v>
      </c>
    </row>
    <row r="963" spans="1:11" x14ac:dyDescent="0.35">
      <c r="A963" s="10">
        <v>962</v>
      </c>
      <c r="B963" s="6"/>
      <c r="C963" s="9"/>
      <c r="D963" s="9"/>
      <c r="E963" s="9"/>
      <c r="F963" s="9"/>
      <c r="G963" s="9"/>
      <c r="H963" s="9"/>
      <c r="I963" s="11"/>
      <c r="J963" s="12">
        <v>10726</v>
      </c>
      <c r="K963" s="12" t="s">
        <v>1225</v>
      </c>
    </row>
    <row r="964" spans="1:11" x14ac:dyDescent="0.35">
      <c r="A964" s="10">
        <v>963</v>
      </c>
      <c r="B964" s="6"/>
      <c r="C964" s="9"/>
      <c r="D964" s="9"/>
      <c r="E964" s="9"/>
      <c r="F964" s="9"/>
      <c r="G964" s="9"/>
      <c r="H964" s="9"/>
      <c r="I964" s="11">
        <v>940</v>
      </c>
      <c r="J964" s="12">
        <v>951</v>
      </c>
      <c r="K964" s="12" t="s">
        <v>466</v>
      </c>
    </row>
    <row r="965" spans="1:11" x14ac:dyDescent="0.35">
      <c r="A965" s="10">
        <v>964</v>
      </c>
      <c r="B965" s="6"/>
      <c r="C965" s="9"/>
      <c r="D965" s="9"/>
      <c r="E965" s="9"/>
      <c r="F965" s="9"/>
      <c r="G965" s="9"/>
      <c r="H965" s="9"/>
      <c r="I965" s="11"/>
      <c r="J965" s="12">
        <v>10731</v>
      </c>
      <c r="K965" s="12" t="s">
        <v>1230</v>
      </c>
    </row>
    <row r="966" spans="1:11" x14ac:dyDescent="0.35">
      <c r="A966" s="10">
        <v>965</v>
      </c>
      <c r="B966" s="6"/>
      <c r="C966" s="9"/>
      <c r="D966" s="9"/>
      <c r="E966" s="9"/>
      <c r="F966" s="9"/>
      <c r="G966" s="9"/>
      <c r="H966" s="9"/>
      <c r="I966" s="11"/>
      <c r="J966" s="12">
        <v>10730</v>
      </c>
      <c r="K966" s="12" t="s">
        <v>1229</v>
      </c>
    </row>
    <row r="967" spans="1:11" x14ac:dyDescent="0.35">
      <c r="A967" s="10">
        <v>966</v>
      </c>
      <c r="B967" s="6"/>
      <c r="C967" s="9"/>
      <c r="D967" s="9"/>
      <c r="E967" s="9"/>
      <c r="F967" s="9"/>
      <c r="G967" s="9"/>
      <c r="H967" s="9"/>
      <c r="I967" s="11"/>
      <c r="J967" s="12">
        <v>10729</v>
      </c>
      <c r="K967" s="12" t="s">
        <v>1228</v>
      </c>
    </row>
    <row r="968" spans="1:11" x14ac:dyDescent="0.35">
      <c r="A968" s="10">
        <v>967</v>
      </c>
      <c r="B968" s="6"/>
      <c r="C968" s="9"/>
      <c r="D968" s="9"/>
      <c r="E968" s="9"/>
      <c r="F968" s="9"/>
      <c r="G968" s="9"/>
      <c r="H968" s="9"/>
      <c r="I968" s="11">
        <v>946</v>
      </c>
      <c r="J968" s="12">
        <v>957</v>
      </c>
      <c r="K968" s="12" t="s">
        <v>469</v>
      </c>
    </row>
    <row r="969" spans="1:11" x14ac:dyDescent="0.35">
      <c r="A969" s="10">
        <v>968</v>
      </c>
      <c r="B969" s="6"/>
      <c r="C969" s="9"/>
      <c r="D969" s="9"/>
      <c r="E969" s="9"/>
      <c r="F969" s="9"/>
      <c r="G969" s="9"/>
      <c r="H969" s="9"/>
      <c r="I969" s="11"/>
      <c r="J969" s="12">
        <v>10734</v>
      </c>
      <c r="K969" s="12" t="s">
        <v>1233</v>
      </c>
    </row>
    <row r="970" spans="1:11" x14ac:dyDescent="0.35">
      <c r="A970" s="10">
        <v>969</v>
      </c>
      <c r="B970" s="6"/>
      <c r="C970" s="9"/>
      <c r="D970" s="9"/>
      <c r="E970" s="9"/>
      <c r="F970" s="9"/>
      <c r="G970" s="9"/>
      <c r="H970" s="9"/>
      <c r="I970" s="11"/>
      <c r="J970" s="12">
        <v>10733</v>
      </c>
      <c r="K970" s="12" t="s">
        <v>1232</v>
      </c>
    </row>
    <row r="971" spans="1:11" x14ac:dyDescent="0.35">
      <c r="A971" s="10">
        <v>970</v>
      </c>
      <c r="B971" s="6"/>
      <c r="C971" s="9"/>
      <c r="D971" s="9"/>
      <c r="E971" s="9"/>
      <c r="F971" s="9"/>
      <c r="G971" s="9"/>
      <c r="H971" s="9"/>
      <c r="I971" s="11"/>
      <c r="J971" s="12">
        <v>10732</v>
      </c>
      <c r="K971" s="12" t="s">
        <v>1231</v>
      </c>
    </row>
    <row r="972" spans="1:11" x14ac:dyDescent="0.35">
      <c r="A972" s="10">
        <v>971</v>
      </c>
      <c r="B972" s="6"/>
      <c r="C972" s="9"/>
      <c r="D972" s="9"/>
      <c r="E972" s="9"/>
      <c r="F972" s="9"/>
      <c r="G972" s="9"/>
      <c r="H972" s="9"/>
      <c r="I972" s="11">
        <v>957</v>
      </c>
      <c r="J972" s="12">
        <v>968</v>
      </c>
      <c r="K972" s="12" t="s">
        <v>475</v>
      </c>
    </row>
    <row r="973" spans="1:11" x14ac:dyDescent="0.35">
      <c r="A973" s="10">
        <v>972</v>
      </c>
      <c r="B973" s="6"/>
      <c r="C973" s="9"/>
      <c r="D973" s="9"/>
      <c r="E973" s="9"/>
      <c r="F973" s="9"/>
      <c r="G973" s="9"/>
      <c r="H973" s="9"/>
      <c r="I973" s="11"/>
      <c r="J973" s="12">
        <v>10737</v>
      </c>
      <c r="K973" s="12" t="s">
        <v>1236</v>
      </c>
    </row>
    <row r="974" spans="1:11" x14ac:dyDescent="0.35">
      <c r="A974" s="10">
        <v>973</v>
      </c>
      <c r="B974" s="6"/>
      <c r="C974" s="9"/>
      <c r="D974" s="9"/>
      <c r="E974" s="9"/>
      <c r="F974" s="9"/>
      <c r="G974" s="9"/>
      <c r="H974" s="9"/>
      <c r="I974" s="11"/>
      <c r="J974" s="12">
        <v>10736</v>
      </c>
      <c r="K974" s="12" t="s">
        <v>1235</v>
      </c>
    </row>
    <row r="975" spans="1:11" x14ac:dyDescent="0.35">
      <c r="A975" s="10">
        <v>974</v>
      </c>
      <c r="B975" s="6"/>
      <c r="C975" s="9"/>
      <c r="D975" s="9"/>
      <c r="E975" s="9"/>
      <c r="F975" s="9"/>
      <c r="G975" s="9"/>
      <c r="H975" s="9"/>
      <c r="I975" s="11"/>
      <c r="J975" s="12">
        <v>10735</v>
      </c>
      <c r="K975" s="12" t="s">
        <v>1234</v>
      </c>
    </row>
    <row r="976" spans="1:11" x14ac:dyDescent="0.35">
      <c r="A976" s="10">
        <v>975</v>
      </c>
      <c r="B976" s="6"/>
      <c r="C976" s="9"/>
      <c r="D976" s="9"/>
      <c r="E976" s="9"/>
      <c r="F976" s="9"/>
      <c r="G976" s="9"/>
      <c r="H976" s="9"/>
      <c r="I976" s="11">
        <v>996</v>
      </c>
      <c r="J976" s="12">
        <v>1007</v>
      </c>
      <c r="K976" s="12" t="s">
        <v>496</v>
      </c>
    </row>
    <row r="977" spans="1:11" x14ac:dyDescent="0.35">
      <c r="A977" s="10">
        <v>976</v>
      </c>
      <c r="B977" s="6"/>
      <c r="C977" s="9"/>
      <c r="D977" s="9"/>
      <c r="E977" s="9"/>
      <c r="F977" s="9"/>
      <c r="G977" s="9"/>
      <c r="H977" s="9"/>
      <c r="I977" s="11"/>
      <c r="J977" s="12">
        <v>10674</v>
      </c>
      <c r="K977" s="12" t="s">
        <v>1175</v>
      </c>
    </row>
    <row r="978" spans="1:11" x14ac:dyDescent="0.35">
      <c r="A978" s="10">
        <v>977</v>
      </c>
      <c r="B978" s="6"/>
      <c r="C978" s="9"/>
      <c r="D978" s="9"/>
      <c r="E978" s="9"/>
      <c r="F978" s="9"/>
      <c r="G978" s="9"/>
      <c r="H978" s="9"/>
      <c r="I978" s="11"/>
      <c r="J978" s="12">
        <v>10673</v>
      </c>
      <c r="K978" s="12" t="s">
        <v>1174</v>
      </c>
    </row>
    <row r="979" spans="1:11" x14ac:dyDescent="0.35">
      <c r="A979" s="10">
        <v>978</v>
      </c>
      <c r="B979" s="6"/>
      <c r="C979" s="9"/>
      <c r="D979" s="9"/>
      <c r="E979" s="9"/>
      <c r="F979" s="9"/>
      <c r="G979" s="9"/>
      <c r="H979" s="9"/>
      <c r="I979" s="11"/>
      <c r="J979" s="12">
        <v>10672</v>
      </c>
      <c r="K979" s="12" t="s">
        <v>1173</v>
      </c>
    </row>
    <row r="980" spans="1:11" x14ac:dyDescent="0.35">
      <c r="A980" s="10">
        <v>979</v>
      </c>
      <c r="B980" s="6"/>
      <c r="C980" s="9"/>
      <c r="D980" s="9"/>
      <c r="E980" s="9"/>
      <c r="F980" s="9"/>
      <c r="G980" s="9"/>
      <c r="H980" s="9"/>
      <c r="I980" s="11">
        <v>1005</v>
      </c>
      <c r="J980" s="12">
        <v>1017</v>
      </c>
      <c r="K980" s="12" t="s">
        <v>501</v>
      </c>
    </row>
    <row r="981" spans="1:11" x14ac:dyDescent="0.35">
      <c r="A981" s="10">
        <v>980</v>
      </c>
      <c r="B981" s="6"/>
      <c r="C981" s="9"/>
      <c r="D981" s="9"/>
      <c r="E981" s="9"/>
      <c r="F981" s="9"/>
      <c r="G981" s="9"/>
      <c r="H981" s="9"/>
      <c r="I981" s="11"/>
      <c r="J981" s="12">
        <v>1056</v>
      </c>
      <c r="K981" s="12" t="s">
        <v>1125</v>
      </c>
    </row>
    <row r="982" spans="1:11" x14ac:dyDescent="0.35">
      <c r="A982" s="10">
        <v>981</v>
      </c>
      <c r="B982" s="6"/>
      <c r="C982" s="9"/>
      <c r="D982" s="9"/>
      <c r="E982" s="9"/>
      <c r="F982" s="9"/>
      <c r="G982" s="9"/>
      <c r="H982" s="9"/>
      <c r="I982" s="11"/>
      <c r="J982" s="12">
        <v>10677</v>
      </c>
      <c r="K982" s="12" t="s">
        <v>1178</v>
      </c>
    </row>
    <row r="983" spans="1:11" x14ac:dyDescent="0.35">
      <c r="A983" s="10">
        <v>982</v>
      </c>
      <c r="B983" s="6"/>
      <c r="C983" s="9"/>
      <c r="D983" s="9"/>
      <c r="E983" s="9"/>
      <c r="F983" s="9"/>
      <c r="G983" s="9"/>
      <c r="H983" s="9"/>
      <c r="I983" s="11"/>
      <c r="J983" s="12">
        <v>10676</v>
      </c>
      <c r="K983" s="12" t="s">
        <v>1177</v>
      </c>
    </row>
    <row r="984" spans="1:11" x14ac:dyDescent="0.35">
      <c r="A984" s="10">
        <v>983</v>
      </c>
      <c r="B984" s="6"/>
      <c r="C984" s="9"/>
      <c r="D984" s="9"/>
      <c r="E984" s="9"/>
      <c r="F984" s="9"/>
      <c r="G984" s="9"/>
      <c r="H984" s="9"/>
      <c r="I984" s="11"/>
      <c r="J984" s="12">
        <v>10675</v>
      </c>
      <c r="K984" s="12" t="s">
        <v>1176</v>
      </c>
    </row>
    <row r="985" spans="1:11" x14ac:dyDescent="0.35">
      <c r="A985" s="10">
        <v>984</v>
      </c>
      <c r="B985" s="6"/>
      <c r="C985" s="9"/>
      <c r="D985" s="9"/>
      <c r="E985" s="9"/>
      <c r="F985" s="9"/>
      <c r="G985" s="9"/>
      <c r="H985" s="9"/>
      <c r="I985" s="11"/>
      <c r="J985" s="12">
        <v>1064</v>
      </c>
      <c r="K985" s="12" t="s">
        <v>1129</v>
      </c>
    </row>
    <row r="986" spans="1:11" x14ac:dyDescent="0.35">
      <c r="A986" s="10">
        <v>985</v>
      </c>
      <c r="B986" s="6"/>
      <c r="C986" s="9"/>
      <c r="D986" s="9"/>
      <c r="E986" s="9"/>
      <c r="F986" s="9"/>
      <c r="G986" s="9"/>
      <c r="H986" s="9"/>
      <c r="I986" s="11"/>
      <c r="J986" s="12">
        <v>10680</v>
      </c>
      <c r="K986" s="12" t="s">
        <v>1181</v>
      </c>
    </row>
    <row r="987" spans="1:11" x14ac:dyDescent="0.35">
      <c r="A987" s="10">
        <v>986</v>
      </c>
      <c r="B987" s="6"/>
      <c r="C987" s="9"/>
      <c r="D987" s="9"/>
      <c r="E987" s="9"/>
      <c r="F987" s="9"/>
      <c r="G987" s="9"/>
      <c r="H987" s="9"/>
      <c r="I987" s="11"/>
      <c r="J987" s="12">
        <v>10679</v>
      </c>
      <c r="K987" s="12" t="s">
        <v>1180</v>
      </c>
    </row>
    <row r="988" spans="1:11" x14ac:dyDescent="0.35">
      <c r="A988" s="10">
        <v>987</v>
      </c>
      <c r="B988" s="6"/>
      <c r="C988" s="9"/>
      <c r="D988" s="9"/>
      <c r="E988" s="9"/>
      <c r="F988" s="9"/>
      <c r="G988" s="9"/>
      <c r="H988" s="9"/>
      <c r="I988" s="11"/>
      <c r="J988" s="12">
        <v>10678</v>
      </c>
      <c r="K988" s="12" t="s">
        <v>1179</v>
      </c>
    </row>
    <row r="989" spans="1:11" x14ac:dyDescent="0.35">
      <c r="A989" s="10">
        <v>988</v>
      </c>
      <c r="B989" s="6"/>
      <c r="C989" s="9"/>
      <c r="D989" s="9"/>
      <c r="E989" s="9"/>
      <c r="F989" s="9"/>
      <c r="G989" s="9"/>
      <c r="H989" s="9"/>
      <c r="I989" s="11">
        <v>1013</v>
      </c>
      <c r="J989" s="12">
        <v>1025</v>
      </c>
      <c r="K989" s="12" t="s">
        <v>506</v>
      </c>
    </row>
    <row r="990" spans="1:11" x14ac:dyDescent="0.35">
      <c r="A990" s="10">
        <v>989</v>
      </c>
      <c r="B990" s="6"/>
      <c r="C990" s="9"/>
      <c r="D990" s="9"/>
      <c r="E990" s="9"/>
      <c r="F990" s="9"/>
      <c r="G990" s="9"/>
      <c r="H990" s="9"/>
      <c r="I990" s="11"/>
      <c r="J990" s="12">
        <v>10683</v>
      </c>
      <c r="K990" s="12" t="s">
        <v>1184</v>
      </c>
    </row>
    <row r="991" spans="1:11" x14ac:dyDescent="0.35">
      <c r="A991" s="10">
        <v>990</v>
      </c>
      <c r="B991" s="6"/>
      <c r="C991" s="9"/>
      <c r="D991" s="9"/>
      <c r="E991" s="9"/>
      <c r="F991" s="9"/>
      <c r="G991" s="9"/>
      <c r="H991" s="9"/>
      <c r="I991" s="11"/>
      <c r="J991" s="12">
        <v>10682</v>
      </c>
      <c r="K991" s="12" t="s">
        <v>1183</v>
      </c>
    </row>
    <row r="992" spans="1:11" x14ac:dyDescent="0.35">
      <c r="A992" s="10">
        <v>991</v>
      </c>
      <c r="B992" s="6"/>
      <c r="C992" s="9"/>
      <c r="D992" s="9"/>
      <c r="E992" s="9"/>
      <c r="F992" s="9"/>
      <c r="G992" s="9"/>
      <c r="H992" s="9"/>
      <c r="I992" s="11"/>
      <c r="J992" s="12">
        <v>10681</v>
      </c>
      <c r="K992" s="12" t="s">
        <v>1182</v>
      </c>
    </row>
    <row r="993" spans="1:11" x14ac:dyDescent="0.35">
      <c r="A993" s="10">
        <v>992</v>
      </c>
      <c r="B993" s="6"/>
      <c r="C993" s="9"/>
      <c r="D993" s="9"/>
      <c r="E993" s="9"/>
      <c r="F993" s="9"/>
      <c r="G993" s="9"/>
      <c r="H993" s="9"/>
      <c r="I993" s="11">
        <v>1021</v>
      </c>
      <c r="J993" s="12">
        <v>1033</v>
      </c>
      <c r="K993" s="12" t="s">
        <v>511</v>
      </c>
    </row>
    <row r="994" spans="1:11" x14ac:dyDescent="0.35">
      <c r="A994" s="10">
        <v>993</v>
      </c>
      <c r="B994" s="6"/>
      <c r="C994" s="9"/>
      <c r="D994" s="9"/>
      <c r="E994" s="9"/>
      <c r="F994" s="9"/>
      <c r="G994" s="9"/>
      <c r="H994" s="9"/>
      <c r="I994" s="11"/>
      <c r="J994" s="12">
        <v>10686</v>
      </c>
      <c r="K994" s="12" t="s">
        <v>1187</v>
      </c>
    </row>
    <row r="995" spans="1:11" x14ac:dyDescent="0.35">
      <c r="A995" s="10">
        <v>994</v>
      </c>
      <c r="B995" s="6"/>
      <c r="C995" s="9"/>
      <c r="D995" s="9"/>
      <c r="E995" s="9"/>
      <c r="F995" s="9"/>
      <c r="G995" s="9"/>
      <c r="H995" s="9"/>
      <c r="I995" s="11"/>
      <c r="J995" s="12">
        <v>10685</v>
      </c>
      <c r="K995" s="12" t="s">
        <v>1186</v>
      </c>
    </row>
    <row r="996" spans="1:11" x14ac:dyDescent="0.35">
      <c r="A996" s="10">
        <v>995</v>
      </c>
      <c r="B996" s="6"/>
      <c r="C996" s="9"/>
      <c r="D996" s="9"/>
      <c r="E996" s="9"/>
      <c r="F996" s="9"/>
      <c r="G996" s="9"/>
      <c r="H996" s="9"/>
      <c r="I996" s="11"/>
      <c r="J996" s="12">
        <v>10684</v>
      </c>
      <c r="K996" s="12" t="s">
        <v>1185</v>
      </c>
    </row>
    <row r="997" spans="1:11" x14ac:dyDescent="0.35">
      <c r="A997" s="10">
        <v>996</v>
      </c>
      <c r="B997" s="6"/>
      <c r="C997" s="9"/>
      <c r="D997" s="9"/>
      <c r="E997" s="9"/>
      <c r="F997" s="9"/>
      <c r="G997" s="9"/>
      <c r="H997" s="9"/>
      <c r="I997" s="11">
        <v>1029</v>
      </c>
      <c r="J997" s="12">
        <v>1041</v>
      </c>
      <c r="K997" s="12" t="s">
        <v>516</v>
      </c>
    </row>
    <row r="998" spans="1:11" x14ac:dyDescent="0.35">
      <c r="A998" s="10">
        <v>997</v>
      </c>
      <c r="B998" s="6"/>
      <c r="C998" s="9"/>
      <c r="D998" s="9"/>
      <c r="E998" s="9"/>
      <c r="F998" s="9"/>
      <c r="G998" s="9"/>
      <c r="H998" s="9"/>
      <c r="I998" s="11"/>
      <c r="J998" s="12">
        <v>10689</v>
      </c>
      <c r="K998" s="12" t="s">
        <v>1190</v>
      </c>
    </row>
    <row r="999" spans="1:11" x14ac:dyDescent="0.35">
      <c r="A999" s="10">
        <v>998</v>
      </c>
      <c r="B999" s="6"/>
      <c r="C999" s="9"/>
      <c r="D999" s="9"/>
      <c r="E999" s="9"/>
      <c r="F999" s="9"/>
      <c r="G999" s="9"/>
      <c r="H999" s="9"/>
      <c r="I999" s="11"/>
      <c r="J999" s="12">
        <v>10688</v>
      </c>
      <c r="K999" s="12" t="s">
        <v>1189</v>
      </c>
    </row>
    <row r="1000" spans="1:11" x14ac:dyDescent="0.35">
      <c r="A1000" s="10">
        <v>999</v>
      </c>
      <c r="B1000" s="6"/>
      <c r="C1000" s="9"/>
      <c r="D1000" s="9"/>
      <c r="E1000" s="9"/>
      <c r="F1000" s="9"/>
      <c r="G1000" s="9"/>
      <c r="H1000" s="9"/>
      <c r="I1000" s="11"/>
      <c r="J1000" s="12">
        <v>10687</v>
      </c>
      <c r="K1000" s="12" t="s">
        <v>1188</v>
      </c>
    </row>
    <row r="1001" spans="1:11" x14ac:dyDescent="0.35">
      <c r="A1001" s="10">
        <v>1000</v>
      </c>
      <c r="B1001" s="6"/>
      <c r="C1001" s="9"/>
      <c r="D1001" s="9"/>
      <c r="E1001" s="9"/>
      <c r="F1001" s="9"/>
      <c r="G1001" s="9"/>
      <c r="H1001" s="9"/>
      <c r="I1001" s="11">
        <v>1037</v>
      </c>
      <c r="J1001" s="12">
        <v>1049</v>
      </c>
      <c r="K1001" s="12" t="s">
        <v>522</v>
      </c>
    </row>
    <row r="1002" spans="1:11" x14ac:dyDescent="0.35">
      <c r="A1002" s="10">
        <v>1001</v>
      </c>
      <c r="B1002" s="6"/>
      <c r="C1002" s="9"/>
      <c r="D1002" s="9"/>
      <c r="E1002" s="9"/>
      <c r="F1002" s="9"/>
      <c r="G1002" s="9"/>
      <c r="H1002" s="9"/>
      <c r="I1002" s="11"/>
      <c r="J1002" s="12">
        <v>10692</v>
      </c>
      <c r="K1002" s="12" t="s">
        <v>1193</v>
      </c>
    </row>
    <row r="1003" spans="1:11" x14ac:dyDescent="0.35">
      <c r="A1003" s="10">
        <v>1002</v>
      </c>
      <c r="B1003" s="6"/>
      <c r="C1003" s="9"/>
      <c r="D1003" s="9"/>
      <c r="E1003" s="9"/>
      <c r="F1003" s="9"/>
      <c r="G1003" s="9"/>
      <c r="H1003" s="9"/>
      <c r="I1003" s="11"/>
      <c r="J1003" s="12">
        <v>10691</v>
      </c>
      <c r="K1003" s="12" t="s">
        <v>1192</v>
      </c>
    </row>
    <row r="1004" spans="1:11" x14ac:dyDescent="0.35">
      <c r="A1004" s="10">
        <v>1003</v>
      </c>
      <c r="B1004" s="6"/>
      <c r="C1004" s="9"/>
      <c r="D1004" s="9"/>
      <c r="E1004" s="9"/>
      <c r="F1004" s="9"/>
      <c r="G1004" s="9"/>
      <c r="H1004" s="9"/>
      <c r="I1004" s="11"/>
      <c r="J1004" s="12">
        <v>10690</v>
      </c>
      <c r="K1004" s="12" t="s">
        <v>1191</v>
      </c>
    </row>
    <row r="1005" spans="1:11" x14ac:dyDescent="0.35">
      <c r="A1005" s="10">
        <v>1004</v>
      </c>
      <c r="B1005" s="6"/>
      <c r="C1005" s="9"/>
      <c r="D1005" s="9" t="s">
        <v>860</v>
      </c>
      <c r="E1005" s="9"/>
      <c r="F1005" s="9"/>
      <c r="G1005" s="9"/>
      <c r="H1005" s="9"/>
      <c r="I1005" s="11"/>
      <c r="J1005" s="12">
        <v>519</v>
      </c>
      <c r="K1005" s="12" t="s">
        <v>860</v>
      </c>
    </row>
    <row r="1006" spans="1:11" x14ac:dyDescent="0.35">
      <c r="A1006" s="10">
        <v>1005</v>
      </c>
      <c r="B1006" s="6"/>
      <c r="C1006" s="9"/>
      <c r="D1006" s="9"/>
      <c r="E1006" s="9"/>
      <c r="F1006" s="9"/>
      <c r="G1006" s="9"/>
      <c r="H1006" s="9"/>
      <c r="I1006" s="11">
        <v>978</v>
      </c>
      <c r="J1006" s="12">
        <v>989</v>
      </c>
      <c r="K1006" s="12" t="s">
        <v>488</v>
      </c>
    </row>
    <row r="1007" spans="1:11" x14ac:dyDescent="0.35">
      <c r="A1007" s="10">
        <v>1006</v>
      </c>
      <c r="B1007" s="6"/>
      <c r="C1007" s="9"/>
      <c r="D1007" s="9"/>
      <c r="E1007" s="9"/>
      <c r="F1007" s="9"/>
      <c r="G1007" s="9"/>
      <c r="H1007" s="9"/>
      <c r="I1007" s="11">
        <v>86</v>
      </c>
      <c r="J1007" s="12">
        <v>91</v>
      </c>
      <c r="K1007" s="12" t="s">
        <v>59</v>
      </c>
    </row>
    <row r="1008" spans="1:11" x14ac:dyDescent="0.35">
      <c r="A1008" s="10">
        <v>1007</v>
      </c>
      <c r="B1008" s="6"/>
      <c r="C1008" s="9"/>
      <c r="D1008" s="9"/>
      <c r="E1008" s="9"/>
      <c r="F1008" s="9"/>
      <c r="G1008" s="9"/>
      <c r="H1008" s="9"/>
      <c r="I1008" s="11">
        <v>835</v>
      </c>
      <c r="J1008" s="12">
        <v>846</v>
      </c>
      <c r="K1008" s="12" t="s">
        <v>408</v>
      </c>
    </row>
    <row r="1009" spans="1:11" x14ac:dyDescent="0.35">
      <c r="A1009" s="10">
        <v>1008</v>
      </c>
      <c r="B1009" s="6" t="s">
        <v>1414</v>
      </c>
      <c r="C1009" s="9"/>
      <c r="D1009" s="9"/>
      <c r="E1009" s="9"/>
      <c r="F1009" s="9"/>
      <c r="G1009" s="9"/>
      <c r="H1009" s="9"/>
      <c r="I1009" s="11">
        <v>998</v>
      </c>
      <c r="J1009" s="12">
        <v>1009</v>
      </c>
      <c r="K1009" s="12" t="s">
        <v>497</v>
      </c>
    </row>
    <row r="1010" spans="1:11" x14ac:dyDescent="0.35">
      <c r="A1010" s="10">
        <v>1009</v>
      </c>
      <c r="B1010" s="6"/>
      <c r="C1010" s="9" t="s">
        <v>1087</v>
      </c>
      <c r="D1010" s="9" t="s">
        <v>1031</v>
      </c>
      <c r="E1010" s="9"/>
      <c r="F1010" s="9"/>
      <c r="G1010" s="9"/>
      <c r="H1010" s="9"/>
      <c r="I1010" s="11">
        <v>938</v>
      </c>
      <c r="J1010" s="12">
        <v>949</v>
      </c>
      <c r="K1010" s="12" t="s">
        <v>464</v>
      </c>
    </row>
    <row r="1011" spans="1:11" x14ac:dyDescent="0.35">
      <c r="A1011" s="10">
        <v>1010</v>
      </c>
      <c r="B1011" s="6"/>
      <c r="C1011" s="9"/>
      <c r="D1011" s="9"/>
      <c r="E1011" s="9"/>
      <c r="F1011" s="9"/>
      <c r="G1011" s="9"/>
      <c r="H1011" s="9"/>
      <c r="I1011" s="11">
        <v>1004</v>
      </c>
      <c r="J1011" s="12">
        <v>1016</v>
      </c>
      <c r="K1011" s="12" t="s">
        <v>500</v>
      </c>
    </row>
    <row r="1012" spans="1:11" x14ac:dyDescent="0.35">
      <c r="A1012" s="10">
        <v>1011</v>
      </c>
      <c r="B1012" s="6"/>
      <c r="C1012" s="9"/>
      <c r="D1012" s="9"/>
      <c r="E1012" s="9"/>
      <c r="F1012" s="9"/>
      <c r="G1012" s="9"/>
      <c r="H1012" s="9"/>
      <c r="I1012" s="11">
        <v>654</v>
      </c>
      <c r="J1012" s="12">
        <v>665</v>
      </c>
      <c r="K1012" s="12" t="s">
        <v>326</v>
      </c>
    </row>
    <row r="1013" spans="1:11" x14ac:dyDescent="0.35">
      <c r="A1013" s="10">
        <v>1012</v>
      </c>
      <c r="B1013" s="6"/>
      <c r="C1013" s="9"/>
      <c r="D1013" s="9"/>
      <c r="E1013" s="9"/>
      <c r="F1013" s="9"/>
      <c r="G1013" s="9"/>
      <c r="H1013" s="9"/>
      <c r="I1013" s="11"/>
      <c r="J1013" s="12">
        <v>538</v>
      </c>
      <c r="K1013" s="12" t="s">
        <v>871</v>
      </c>
    </row>
    <row r="1014" spans="1:11" x14ac:dyDescent="0.35">
      <c r="A1014" s="10">
        <v>1013</v>
      </c>
      <c r="B1014" s="6"/>
      <c r="C1014" s="9"/>
      <c r="D1014" s="9"/>
      <c r="E1014" s="9"/>
      <c r="F1014" s="9"/>
      <c r="G1014" s="9"/>
      <c r="H1014" s="9"/>
      <c r="I1014" s="11"/>
      <c r="J1014" s="12">
        <v>459</v>
      </c>
      <c r="K1014" s="12" t="s">
        <v>822</v>
      </c>
    </row>
    <row r="1015" spans="1:11" x14ac:dyDescent="0.35">
      <c r="A1015" s="10">
        <v>1014</v>
      </c>
      <c r="B1015" s="6"/>
      <c r="C1015" s="9"/>
      <c r="D1015" s="9"/>
      <c r="E1015" s="9"/>
      <c r="F1015" s="9"/>
      <c r="G1015" s="9"/>
      <c r="H1015" s="9"/>
      <c r="I1015" s="11">
        <v>889</v>
      </c>
      <c r="J1015" s="12">
        <v>900</v>
      </c>
      <c r="K1015" s="12" t="s">
        <v>434</v>
      </c>
    </row>
    <row r="1016" spans="1:11" x14ac:dyDescent="0.35">
      <c r="A1016" s="10">
        <v>1015</v>
      </c>
      <c r="B1016" s="6"/>
      <c r="C1016" s="9"/>
      <c r="D1016" s="9" t="s">
        <v>1033</v>
      </c>
      <c r="E1016" s="9"/>
      <c r="F1016" s="9"/>
      <c r="G1016" s="9"/>
      <c r="H1016" s="9"/>
      <c r="I1016" s="11"/>
      <c r="J1016" s="12">
        <v>876</v>
      </c>
      <c r="K1016" s="12" t="s">
        <v>1049</v>
      </c>
    </row>
    <row r="1017" spans="1:11" x14ac:dyDescent="0.35">
      <c r="A1017" s="10">
        <v>1016</v>
      </c>
      <c r="B1017" s="6"/>
      <c r="C1017" s="9"/>
      <c r="D1017" s="9"/>
      <c r="E1017" s="9"/>
      <c r="F1017" s="9"/>
      <c r="G1017" s="9"/>
      <c r="H1017" s="9"/>
      <c r="I1017" s="11"/>
      <c r="J1017" s="12">
        <v>916</v>
      </c>
      <c r="K1017" s="12" t="s">
        <v>1066</v>
      </c>
    </row>
    <row r="1018" spans="1:11" x14ac:dyDescent="0.35">
      <c r="A1018" s="10">
        <v>1017</v>
      </c>
      <c r="B1018" s="6"/>
      <c r="C1018" s="9"/>
      <c r="D1018" s="9"/>
      <c r="E1018" s="9"/>
      <c r="F1018" s="9"/>
      <c r="G1018" s="9"/>
      <c r="H1018" s="9"/>
      <c r="I1018" s="11">
        <v>112</v>
      </c>
      <c r="J1018" s="12">
        <v>117</v>
      </c>
      <c r="K1018" s="12" t="s">
        <v>71</v>
      </c>
    </row>
    <row r="1019" spans="1:11" x14ac:dyDescent="0.35">
      <c r="A1019" s="10">
        <v>1018</v>
      </c>
      <c r="B1019" s="6"/>
      <c r="C1019" s="9"/>
      <c r="D1019" s="9"/>
      <c r="E1019" s="9"/>
      <c r="F1019" s="9"/>
      <c r="G1019" s="9"/>
      <c r="H1019" s="9"/>
      <c r="I1019" s="11">
        <v>120</v>
      </c>
      <c r="J1019" s="12">
        <v>125</v>
      </c>
      <c r="K1019" s="12" t="s">
        <v>76</v>
      </c>
    </row>
    <row r="1020" spans="1:11" x14ac:dyDescent="0.35">
      <c r="A1020" s="10">
        <v>1019</v>
      </c>
      <c r="B1020" s="6"/>
      <c r="C1020" s="9"/>
      <c r="D1020" s="9" t="s">
        <v>1026</v>
      </c>
      <c r="E1020" s="9"/>
      <c r="F1020" s="9"/>
      <c r="G1020" s="9"/>
      <c r="H1020" s="9"/>
      <c r="I1020" s="11">
        <v>57</v>
      </c>
      <c r="J1020" s="12">
        <v>62</v>
      </c>
      <c r="K1020" s="12" t="s">
        <v>45</v>
      </c>
    </row>
    <row r="1021" spans="1:11" x14ac:dyDescent="0.35">
      <c r="A1021" s="10">
        <v>1020</v>
      </c>
      <c r="B1021" s="6"/>
      <c r="C1021" s="9"/>
      <c r="D1021" s="9"/>
      <c r="E1021" s="9"/>
      <c r="F1021" s="9"/>
      <c r="G1021" s="9"/>
      <c r="H1021" s="9"/>
      <c r="I1021" s="11">
        <v>153</v>
      </c>
      <c r="J1021" s="12">
        <v>158</v>
      </c>
      <c r="K1021" s="12" t="s">
        <v>94</v>
      </c>
    </row>
    <row r="1022" spans="1:11" x14ac:dyDescent="0.35">
      <c r="A1022" s="10">
        <v>1021</v>
      </c>
      <c r="B1022" s="6"/>
      <c r="C1022" s="9"/>
      <c r="D1022" s="9" t="s">
        <v>442</v>
      </c>
      <c r="E1022" s="9"/>
      <c r="F1022" s="9"/>
      <c r="G1022" s="9"/>
      <c r="H1022" s="9"/>
      <c r="I1022" s="11">
        <v>900</v>
      </c>
      <c r="J1022" s="12">
        <v>911</v>
      </c>
      <c r="K1022" s="12" t="s">
        <v>442</v>
      </c>
    </row>
    <row r="1023" spans="1:11" x14ac:dyDescent="0.35">
      <c r="A1023" s="10">
        <v>1022</v>
      </c>
      <c r="B1023" s="6"/>
      <c r="C1023" s="9"/>
      <c r="D1023" s="9"/>
      <c r="E1023" s="9"/>
      <c r="F1023" s="9"/>
      <c r="G1023" s="9"/>
      <c r="H1023" s="9"/>
      <c r="I1023" s="11"/>
      <c r="J1023" s="12">
        <v>710</v>
      </c>
      <c r="K1023" s="12" t="s">
        <v>953</v>
      </c>
    </row>
    <row r="1024" spans="1:11" x14ac:dyDescent="0.35">
      <c r="A1024" s="10">
        <v>1023</v>
      </c>
      <c r="B1024" s="6"/>
      <c r="C1024" s="9"/>
      <c r="D1024" s="9" t="s">
        <v>1061</v>
      </c>
      <c r="E1024" s="9"/>
      <c r="F1024" s="9"/>
      <c r="G1024" s="9"/>
      <c r="H1024" s="9"/>
      <c r="I1024" s="11">
        <v>88</v>
      </c>
      <c r="J1024" s="12">
        <v>93</v>
      </c>
      <c r="K1024" s="12" t="s">
        <v>60</v>
      </c>
    </row>
    <row r="1025" spans="1:11" x14ac:dyDescent="0.35">
      <c r="A1025" s="10">
        <v>1024</v>
      </c>
      <c r="B1025" s="6"/>
      <c r="C1025" s="9"/>
      <c r="D1025" s="9"/>
      <c r="E1025" s="9"/>
      <c r="F1025" s="9"/>
      <c r="G1025" s="9"/>
      <c r="H1025" s="9"/>
      <c r="I1025" s="11">
        <v>694</v>
      </c>
      <c r="J1025" s="12">
        <v>705</v>
      </c>
      <c r="K1025" s="12" t="s">
        <v>349</v>
      </c>
    </row>
    <row r="1026" spans="1:11" x14ac:dyDescent="0.35">
      <c r="A1026" s="10">
        <v>1025</v>
      </c>
      <c r="B1026" s="6"/>
      <c r="C1026" s="9"/>
      <c r="D1026" s="9"/>
      <c r="E1026" s="9"/>
      <c r="F1026" s="9"/>
      <c r="G1026" s="9"/>
      <c r="H1026" s="9"/>
      <c r="I1026" s="11">
        <v>783</v>
      </c>
      <c r="J1026" s="12">
        <v>794</v>
      </c>
      <c r="K1026" s="12" t="s">
        <v>383</v>
      </c>
    </row>
    <row r="1027" spans="1:11" x14ac:dyDescent="0.35">
      <c r="A1027" s="10">
        <v>1026</v>
      </c>
      <c r="B1027" s="6"/>
      <c r="C1027" s="9"/>
      <c r="D1027" s="9" t="s">
        <v>386</v>
      </c>
      <c r="E1027" s="9"/>
      <c r="F1027" s="9"/>
      <c r="G1027" s="9"/>
      <c r="H1027" s="9"/>
      <c r="I1027" s="11">
        <v>787</v>
      </c>
      <c r="J1027" s="12">
        <v>798</v>
      </c>
      <c r="K1027" s="12" t="s">
        <v>386</v>
      </c>
    </row>
    <row r="1028" spans="1:11" x14ac:dyDescent="0.35">
      <c r="A1028" s="10">
        <v>1027</v>
      </c>
      <c r="B1028" s="6"/>
      <c r="C1028" s="9"/>
      <c r="D1028" s="9" t="s">
        <v>1073</v>
      </c>
      <c r="E1028" s="9"/>
      <c r="F1028" s="9"/>
      <c r="G1028" s="9"/>
      <c r="H1028" s="9"/>
      <c r="I1028" s="11">
        <v>403</v>
      </c>
      <c r="J1028" s="12">
        <v>413</v>
      </c>
      <c r="K1028" s="12" t="s">
        <v>209</v>
      </c>
    </row>
    <row r="1029" spans="1:11" x14ac:dyDescent="0.35">
      <c r="A1029" s="10">
        <v>1028</v>
      </c>
      <c r="B1029" s="6"/>
      <c r="C1029" s="9"/>
      <c r="D1029" s="9"/>
      <c r="E1029" s="9"/>
      <c r="F1029" s="9"/>
      <c r="G1029" s="9"/>
      <c r="H1029" s="9"/>
      <c r="I1029" s="11"/>
      <c r="J1029" s="12">
        <v>948</v>
      </c>
      <c r="K1029" s="12" t="s">
        <v>1079</v>
      </c>
    </row>
    <row r="1030" spans="1:11" x14ac:dyDescent="0.35">
      <c r="A1030" s="10">
        <v>1029</v>
      </c>
      <c r="B1030" s="6"/>
      <c r="C1030" s="9"/>
      <c r="D1030" s="9"/>
      <c r="E1030" s="9"/>
      <c r="F1030" s="9"/>
      <c r="G1030" s="9"/>
      <c r="H1030" s="9"/>
      <c r="I1030" s="11">
        <v>830</v>
      </c>
      <c r="J1030" s="12">
        <v>841</v>
      </c>
      <c r="K1030" s="12" t="s">
        <v>404</v>
      </c>
    </row>
    <row r="1031" spans="1:11" x14ac:dyDescent="0.35">
      <c r="A1031" s="10">
        <v>1030</v>
      </c>
      <c r="B1031" s="6"/>
      <c r="C1031" s="9"/>
      <c r="D1031" s="9"/>
      <c r="E1031" s="9"/>
      <c r="F1031" s="9"/>
      <c r="G1031" s="9"/>
      <c r="H1031" s="9"/>
      <c r="I1031" s="11">
        <v>647</v>
      </c>
      <c r="J1031" s="12">
        <v>658</v>
      </c>
      <c r="K1031" s="12" t="s">
        <v>323</v>
      </c>
    </row>
    <row r="1032" spans="1:11" x14ac:dyDescent="0.35">
      <c r="A1032" s="10">
        <v>1031</v>
      </c>
      <c r="B1032" s="6"/>
      <c r="C1032" s="9"/>
      <c r="D1032" s="9"/>
      <c r="E1032" s="9"/>
      <c r="F1032" s="9"/>
      <c r="G1032" s="9"/>
      <c r="H1032" s="9"/>
      <c r="I1032" s="11">
        <v>622</v>
      </c>
      <c r="J1032" s="12">
        <v>633</v>
      </c>
      <c r="K1032" s="12" t="s">
        <v>309</v>
      </c>
    </row>
    <row r="1033" spans="1:11" x14ac:dyDescent="0.35">
      <c r="A1033" s="10">
        <v>1032</v>
      </c>
      <c r="B1033" s="6"/>
      <c r="C1033" s="9"/>
      <c r="D1033" s="9"/>
      <c r="E1033" s="9"/>
      <c r="F1033" s="9"/>
      <c r="G1033" s="9"/>
      <c r="H1033" s="9"/>
      <c r="I1033" s="11">
        <v>471</v>
      </c>
      <c r="J1033" s="12">
        <v>482</v>
      </c>
      <c r="K1033" s="12" t="s">
        <v>241</v>
      </c>
    </row>
    <row r="1034" spans="1:11" x14ac:dyDescent="0.35">
      <c r="A1034" s="10">
        <v>1033</v>
      </c>
      <c r="B1034" s="6"/>
      <c r="C1034" s="9"/>
      <c r="D1034" s="9"/>
      <c r="E1034" s="9"/>
      <c r="F1034" s="9"/>
      <c r="G1034" s="9"/>
      <c r="H1034" s="9"/>
      <c r="I1034" s="11">
        <v>230</v>
      </c>
      <c r="J1034" s="12">
        <v>237</v>
      </c>
      <c r="K1034" s="12" t="s">
        <v>133</v>
      </c>
    </row>
    <row r="1035" spans="1:11" x14ac:dyDescent="0.35">
      <c r="A1035" s="10">
        <v>1034</v>
      </c>
      <c r="B1035" s="6"/>
      <c r="C1035" s="9"/>
      <c r="D1035" s="9" t="s">
        <v>1067</v>
      </c>
      <c r="E1035" s="9"/>
      <c r="F1035" s="9"/>
      <c r="G1035" s="9"/>
      <c r="H1035" s="9"/>
      <c r="I1035" s="11"/>
      <c r="J1035" s="12">
        <v>917</v>
      </c>
      <c r="K1035" s="12" t="s">
        <v>1067</v>
      </c>
    </row>
    <row r="1036" spans="1:11" x14ac:dyDescent="0.35">
      <c r="A1036" s="10">
        <v>1035</v>
      </c>
      <c r="B1036" s="6"/>
      <c r="C1036" s="9"/>
      <c r="D1036" s="9"/>
      <c r="E1036" s="9"/>
      <c r="F1036" s="9"/>
      <c r="G1036" s="9"/>
      <c r="H1036" s="9"/>
      <c r="I1036" s="11"/>
      <c r="J1036" s="12">
        <v>717</v>
      </c>
      <c r="K1036" s="12" t="s">
        <v>959</v>
      </c>
    </row>
    <row r="1037" spans="1:11" x14ac:dyDescent="0.35">
      <c r="A1037" s="10">
        <v>1036</v>
      </c>
      <c r="B1037" s="6"/>
      <c r="C1037" s="9"/>
      <c r="D1037" s="9" t="s">
        <v>1004</v>
      </c>
      <c r="E1037" s="9"/>
      <c r="F1037" s="9"/>
      <c r="G1037" s="9"/>
      <c r="H1037" s="9"/>
      <c r="I1037" s="11"/>
      <c r="J1037" s="12">
        <v>932</v>
      </c>
      <c r="K1037" s="12" t="s">
        <v>1072</v>
      </c>
    </row>
    <row r="1038" spans="1:11" x14ac:dyDescent="0.35">
      <c r="A1038" s="10">
        <v>1037</v>
      </c>
      <c r="B1038" s="6"/>
      <c r="C1038" s="9"/>
      <c r="D1038" s="9"/>
      <c r="E1038" s="9"/>
      <c r="F1038" s="9"/>
      <c r="G1038" s="9"/>
      <c r="H1038" s="9"/>
      <c r="I1038" s="11">
        <v>370</v>
      </c>
      <c r="J1038" s="12">
        <v>380</v>
      </c>
      <c r="K1038" s="12" t="s">
        <v>200</v>
      </c>
    </row>
    <row r="1039" spans="1:11" x14ac:dyDescent="0.35">
      <c r="A1039" s="10">
        <v>1038</v>
      </c>
      <c r="B1039" s="6"/>
      <c r="C1039" s="9"/>
      <c r="D1039" s="9"/>
      <c r="E1039" s="9"/>
      <c r="F1039" s="9"/>
      <c r="G1039" s="9"/>
      <c r="H1039" s="9"/>
      <c r="I1039" s="11">
        <v>686</v>
      </c>
      <c r="J1039" s="12">
        <v>697</v>
      </c>
      <c r="K1039" s="12" t="s">
        <v>344</v>
      </c>
    </row>
    <row r="1040" spans="1:11" x14ac:dyDescent="0.35">
      <c r="A1040" s="10">
        <v>1039</v>
      </c>
      <c r="B1040" s="6"/>
      <c r="C1040" s="9" t="s">
        <v>1084</v>
      </c>
      <c r="D1040" s="9"/>
      <c r="E1040" s="9"/>
      <c r="F1040" s="9"/>
      <c r="G1040" s="9"/>
      <c r="H1040" s="9"/>
      <c r="I1040" s="11"/>
      <c r="J1040" s="12">
        <v>960</v>
      </c>
      <c r="K1040" s="12" t="s">
        <v>1084</v>
      </c>
    </row>
    <row r="1041" spans="1:11" x14ac:dyDescent="0.35">
      <c r="A1041" s="10">
        <v>1040</v>
      </c>
      <c r="B1041" s="6"/>
      <c r="C1041" s="9"/>
      <c r="D1041" s="9"/>
      <c r="E1041" s="9"/>
      <c r="F1041" s="9"/>
      <c r="G1041" s="9"/>
      <c r="H1041" s="9"/>
      <c r="I1041" s="11"/>
      <c r="J1041" s="12">
        <v>744</v>
      </c>
      <c r="K1041" s="12" t="s">
        <v>977</v>
      </c>
    </row>
    <row r="1042" spans="1:11" x14ac:dyDescent="0.35">
      <c r="A1042" s="10">
        <v>1041</v>
      </c>
      <c r="B1042" s="6"/>
      <c r="C1042" s="9"/>
      <c r="D1042" s="9"/>
      <c r="E1042" s="9"/>
      <c r="F1042" s="9"/>
      <c r="G1042" s="9"/>
      <c r="H1042" s="9"/>
      <c r="I1042" s="11"/>
      <c r="J1042" s="12">
        <v>752</v>
      </c>
      <c r="K1042" s="12" t="s">
        <v>983</v>
      </c>
    </row>
    <row r="1043" spans="1:11" x14ac:dyDescent="0.35">
      <c r="A1043" s="10">
        <v>1042</v>
      </c>
      <c r="B1043" s="6"/>
      <c r="C1043" s="9"/>
      <c r="D1043" s="9"/>
      <c r="E1043" s="9"/>
      <c r="F1043" s="9"/>
      <c r="G1043" s="9"/>
      <c r="H1043" s="9"/>
      <c r="I1043" s="11">
        <v>316</v>
      </c>
      <c r="J1043" s="12">
        <v>326</v>
      </c>
      <c r="K1043" s="12" t="s">
        <v>177</v>
      </c>
    </row>
    <row r="1044" spans="1:11" x14ac:dyDescent="0.35">
      <c r="A1044" s="10">
        <v>1043</v>
      </c>
      <c r="B1044" s="6"/>
      <c r="C1044" s="9"/>
      <c r="D1044" s="9"/>
      <c r="E1044" s="9"/>
      <c r="F1044" s="9"/>
      <c r="G1044" s="9"/>
      <c r="H1044" s="9"/>
      <c r="I1044" s="11">
        <v>73</v>
      </c>
      <c r="J1044" s="12">
        <v>78</v>
      </c>
      <c r="K1044" s="12" t="s">
        <v>54</v>
      </c>
    </row>
    <row r="1045" spans="1:11" x14ac:dyDescent="0.35">
      <c r="A1045" s="10">
        <v>1044</v>
      </c>
      <c r="B1045" s="6"/>
      <c r="C1045" s="9"/>
      <c r="D1045" s="9"/>
      <c r="E1045" s="9"/>
      <c r="F1045" s="9"/>
      <c r="G1045" s="9"/>
      <c r="H1045" s="9"/>
      <c r="I1045" s="11">
        <v>1109</v>
      </c>
      <c r="J1045" s="12">
        <v>1123</v>
      </c>
      <c r="K1045" s="12" t="s">
        <v>554</v>
      </c>
    </row>
    <row r="1046" spans="1:11" x14ac:dyDescent="0.35">
      <c r="A1046" s="10">
        <v>1045</v>
      </c>
      <c r="B1046" s="6"/>
      <c r="C1046" s="9"/>
      <c r="D1046" s="9"/>
      <c r="E1046" s="9"/>
      <c r="F1046" s="9"/>
      <c r="G1046" s="9"/>
      <c r="H1046" s="9"/>
      <c r="I1046" s="11"/>
      <c r="J1046" s="12">
        <v>490</v>
      </c>
      <c r="K1046" s="12" t="s">
        <v>840</v>
      </c>
    </row>
    <row r="1047" spans="1:11" x14ac:dyDescent="0.35">
      <c r="A1047" s="10">
        <v>1046</v>
      </c>
      <c r="B1047" s="6"/>
      <c r="C1047" s="9"/>
      <c r="D1047" s="9"/>
      <c r="E1047" s="9"/>
      <c r="F1047" s="9"/>
      <c r="G1047" s="9"/>
      <c r="H1047" s="9"/>
      <c r="I1047" s="11">
        <v>717</v>
      </c>
      <c r="J1047" s="12">
        <v>728</v>
      </c>
      <c r="K1047" s="12" t="s">
        <v>357</v>
      </c>
    </row>
    <row r="1048" spans="1:11" x14ac:dyDescent="0.35">
      <c r="A1048" s="10">
        <v>1047</v>
      </c>
      <c r="B1048" s="6"/>
      <c r="C1048" s="9" t="s">
        <v>1092</v>
      </c>
      <c r="D1048" s="9"/>
      <c r="E1048" s="9"/>
      <c r="F1048" s="9"/>
      <c r="G1048" s="9"/>
      <c r="H1048" s="9"/>
      <c r="I1048" s="11">
        <v>765</v>
      </c>
      <c r="J1048" s="12">
        <v>776</v>
      </c>
      <c r="K1048" s="12" t="s">
        <v>374</v>
      </c>
    </row>
    <row r="1049" spans="1:11" x14ac:dyDescent="0.35">
      <c r="A1049" s="10">
        <v>1048</v>
      </c>
      <c r="B1049" s="6"/>
      <c r="C1049" s="9"/>
      <c r="D1049" s="9"/>
      <c r="E1049" s="9"/>
      <c r="F1049" s="9"/>
      <c r="G1049" s="9"/>
      <c r="H1049" s="9"/>
      <c r="I1049" s="11">
        <v>773</v>
      </c>
      <c r="J1049" s="12">
        <v>784</v>
      </c>
      <c r="K1049" s="12" t="s">
        <v>379</v>
      </c>
    </row>
    <row r="1050" spans="1:11" x14ac:dyDescent="0.35">
      <c r="A1050" s="10">
        <v>1049</v>
      </c>
      <c r="B1050" s="6"/>
      <c r="C1050" s="9"/>
      <c r="D1050" s="9"/>
      <c r="E1050" s="9"/>
      <c r="F1050" s="9"/>
      <c r="G1050" s="9"/>
      <c r="H1050" s="9"/>
      <c r="I1050" s="11">
        <v>1080</v>
      </c>
      <c r="J1050" s="12">
        <v>1092</v>
      </c>
      <c r="K1050" s="12" t="s">
        <v>539</v>
      </c>
    </row>
    <row r="1051" spans="1:11" x14ac:dyDescent="0.35">
      <c r="A1051" s="10">
        <v>1050</v>
      </c>
      <c r="B1051" s="6"/>
      <c r="C1051" s="9"/>
      <c r="D1051" s="9"/>
      <c r="E1051" s="9"/>
      <c r="F1051" s="9"/>
      <c r="G1051" s="9"/>
      <c r="H1051" s="9"/>
      <c r="I1051" s="11">
        <v>5</v>
      </c>
      <c r="J1051" s="12">
        <v>6</v>
      </c>
      <c r="K1051" s="12" t="s">
        <v>25</v>
      </c>
    </row>
    <row r="1052" spans="1:11" x14ac:dyDescent="0.35">
      <c r="A1052" s="10">
        <v>1051</v>
      </c>
      <c r="B1052" s="6"/>
      <c r="C1052" s="9"/>
      <c r="D1052" s="9"/>
      <c r="E1052" s="9"/>
      <c r="F1052" s="9"/>
      <c r="G1052" s="9"/>
      <c r="H1052" s="9"/>
      <c r="I1052" s="11">
        <v>913</v>
      </c>
      <c r="J1052" s="12">
        <v>924</v>
      </c>
      <c r="K1052" s="12" t="s">
        <v>448</v>
      </c>
    </row>
    <row r="1053" spans="1:11" x14ac:dyDescent="0.35">
      <c r="A1053" s="10">
        <v>1052</v>
      </c>
      <c r="B1053" s="6"/>
      <c r="C1053" s="9"/>
      <c r="D1053" s="9"/>
      <c r="E1053" s="9"/>
      <c r="F1053" s="9"/>
      <c r="G1053" s="9"/>
      <c r="H1053" s="9"/>
      <c r="I1053" s="11">
        <v>183</v>
      </c>
      <c r="J1053" s="12">
        <v>190</v>
      </c>
      <c r="K1053" s="12" t="s">
        <v>111</v>
      </c>
    </row>
    <row r="1054" spans="1:11" x14ac:dyDescent="0.35">
      <c r="A1054" s="10">
        <v>1053</v>
      </c>
      <c r="B1054" s="6"/>
      <c r="C1054" s="9" t="s">
        <v>1102</v>
      </c>
      <c r="D1054" s="9"/>
      <c r="E1054" s="9"/>
      <c r="F1054" s="9"/>
      <c r="G1054" s="9"/>
      <c r="H1054" s="9"/>
      <c r="I1054" s="11"/>
      <c r="J1054" s="12">
        <v>760</v>
      </c>
      <c r="K1054" s="12" t="s">
        <v>987</v>
      </c>
    </row>
    <row r="1055" spans="1:11" x14ac:dyDescent="0.35">
      <c r="A1055" s="10">
        <v>1054</v>
      </c>
      <c r="B1055" s="6"/>
      <c r="C1055" s="9"/>
      <c r="D1055" s="9"/>
      <c r="E1055" s="9"/>
      <c r="F1055" s="9"/>
      <c r="G1055" s="9"/>
      <c r="H1055" s="9"/>
      <c r="I1055" s="11">
        <v>866</v>
      </c>
      <c r="J1055" s="12">
        <v>877</v>
      </c>
      <c r="K1055" s="12" t="s">
        <v>422</v>
      </c>
    </row>
    <row r="1056" spans="1:11" x14ac:dyDescent="0.35">
      <c r="A1056" s="10">
        <v>1055</v>
      </c>
      <c r="B1056" s="6"/>
      <c r="C1056" s="9"/>
      <c r="D1056" s="9"/>
      <c r="E1056" s="9"/>
      <c r="F1056" s="9"/>
      <c r="G1056" s="9"/>
      <c r="H1056" s="9"/>
      <c r="I1056" s="11">
        <v>1048</v>
      </c>
      <c r="J1056" s="12">
        <v>1060</v>
      </c>
      <c r="K1056" s="12" t="s">
        <v>526</v>
      </c>
    </row>
    <row r="1057" spans="1:11" x14ac:dyDescent="0.35">
      <c r="A1057" s="10">
        <v>1056</v>
      </c>
      <c r="B1057" s="6"/>
      <c r="C1057" s="9"/>
      <c r="D1057" s="9"/>
      <c r="E1057" s="9"/>
      <c r="F1057" s="9"/>
      <c r="G1057" s="9"/>
      <c r="H1057" s="9"/>
      <c r="I1057" s="11">
        <v>852</v>
      </c>
      <c r="J1057" s="12">
        <v>863</v>
      </c>
      <c r="K1057" s="12" t="s">
        <v>417</v>
      </c>
    </row>
    <row r="1058" spans="1:11" x14ac:dyDescent="0.35">
      <c r="A1058" s="10">
        <v>1057</v>
      </c>
      <c r="B1058" s="6"/>
      <c r="C1058" s="9"/>
      <c r="D1058" s="9"/>
      <c r="E1058" s="9"/>
      <c r="F1058" s="9"/>
      <c r="G1058" s="9"/>
      <c r="H1058" s="9"/>
      <c r="I1058" s="11"/>
      <c r="J1058" s="12">
        <v>736</v>
      </c>
      <c r="K1058" s="12" t="s">
        <v>970</v>
      </c>
    </row>
    <row r="1059" spans="1:11" x14ac:dyDescent="0.35">
      <c r="A1059" s="10">
        <v>1058</v>
      </c>
      <c r="B1059" s="6"/>
      <c r="C1059" s="9"/>
      <c r="D1059" s="9"/>
      <c r="E1059" s="9"/>
      <c r="F1059" s="9"/>
      <c r="G1059" s="9"/>
      <c r="H1059" s="9"/>
      <c r="I1059" s="11">
        <v>387</v>
      </c>
      <c r="J1059" s="12">
        <v>397</v>
      </c>
      <c r="K1059" s="12" t="s">
        <v>205</v>
      </c>
    </row>
    <row r="1060" spans="1:11" x14ac:dyDescent="0.35">
      <c r="A1060" s="10">
        <v>1059</v>
      </c>
      <c r="B1060" s="6"/>
      <c r="C1060" s="9" t="s">
        <v>1096</v>
      </c>
      <c r="D1060" s="9"/>
      <c r="E1060" s="9"/>
      <c r="F1060" s="9"/>
      <c r="G1060" s="9"/>
      <c r="H1060" s="9"/>
      <c r="I1060" s="11"/>
      <c r="J1060" s="12">
        <v>768</v>
      </c>
      <c r="K1060" s="12" t="s">
        <v>993</v>
      </c>
    </row>
    <row r="1061" spans="1:11" x14ac:dyDescent="0.35">
      <c r="A1061" s="10">
        <v>1060</v>
      </c>
      <c r="B1061" s="6"/>
      <c r="C1061" s="9"/>
      <c r="D1061" s="9"/>
      <c r="E1061" s="9"/>
      <c r="F1061" s="9"/>
      <c r="G1061" s="9"/>
      <c r="H1061" s="9"/>
      <c r="I1061" s="11">
        <v>873</v>
      </c>
      <c r="J1061" s="12">
        <v>884</v>
      </c>
      <c r="K1061" s="12" t="s">
        <v>426</v>
      </c>
    </row>
    <row r="1062" spans="1:11" x14ac:dyDescent="0.35">
      <c r="A1062" s="10">
        <v>1061</v>
      </c>
      <c r="B1062" s="6"/>
      <c r="C1062" s="9"/>
      <c r="D1062" s="9"/>
      <c r="E1062" s="9"/>
      <c r="F1062" s="9"/>
      <c r="G1062" s="9"/>
      <c r="H1062" s="9"/>
      <c r="I1062" s="11"/>
      <c r="J1062" s="12">
        <v>892</v>
      </c>
      <c r="K1062" s="12" t="s">
        <v>1058</v>
      </c>
    </row>
    <row r="1063" spans="1:11" x14ac:dyDescent="0.35">
      <c r="A1063" s="10">
        <v>1062</v>
      </c>
      <c r="B1063" s="6"/>
      <c r="C1063" s="9"/>
      <c r="D1063" s="9"/>
      <c r="E1063" s="9"/>
      <c r="F1063" s="9"/>
      <c r="G1063" s="9"/>
      <c r="H1063" s="9"/>
      <c r="I1063" s="11">
        <v>897</v>
      </c>
      <c r="J1063" s="12">
        <v>908</v>
      </c>
      <c r="K1063" s="12" t="s">
        <v>440</v>
      </c>
    </row>
    <row r="1064" spans="1:11" x14ac:dyDescent="0.35">
      <c r="A1064" s="10">
        <v>1063</v>
      </c>
      <c r="B1064" s="6"/>
      <c r="C1064" s="9"/>
      <c r="D1064" s="9"/>
      <c r="E1064" s="9"/>
      <c r="F1064" s="9"/>
      <c r="G1064" s="9"/>
      <c r="H1064" s="9"/>
      <c r="I1064" s="11">
        <v>929</v>
      </c>
      <c r="J1064" s="12">
        <v>940</v>
      </c>
      <c r="K1064" s="12" t="s">
        <v>459</v>
      </c>
    </row>
    <row r="1065" spans="1:11" x14ac:dyDescent="0.35">
      <c r="A1065" s="10">
        <v>1064</v>
      </c>
      <c r="B1065" s="6"/>
      <c r="C1065" s="9"/>
      <c r="D1065" s="9"/>
      <c r="E1065" s="9"/>
      <c r="F1065" s="9"/>
      <c r="G1065" s="9"/>
      <c r="H1065" s="9"/>
      <c r="I1065" s="11">
        <v>455</v>
      </c>
      <c r="J1065" s="12">
        <v>466</v>
      </c>
      <c r="K1065" s="12" t="s">
        <v>235</v>
      </c>
    </row>
    <row r="1066" spans="1:11" x14ac:dyDescent="0.35">
      <c r="A1066" s="10">
        <v>1065</v>
      </c>
      <c r="B1066" s="6"/>
      <c r="C1066" s="9"/>
      <c r="D1066" s="9"/>
      <c r="E1066" s="9"/>
      <c r="F1066" s="9"/>
      <c r="G1066" s="9"/>
      <c r="H1066" s="9"/>
      <c r="I1066" s="11">
        <v>519</v>
      </c>
      <c r="J1066" s="12">
        <v>530</v>
      </c>
      <c r="K1066" s="12" t="s">
        <v>258</v>
      </c>
    </row>
    <row r="1067" spans="1:11" x14ac:dyDescent="0.35">
      <c r="A1067" s="10">
        <v>1066</v>
      </c>
      <c r="B1067" s="6"/>
      <c r="C1067" s="9"/>
      <c r="D1067" s="9"/>
      <c r="E1067" s="9"/>
      <c r="F1067" s="9"/>
      <c r="G1067" s="9"/>
      <c r="H1067" s="9"/>
      <c r="I1067" s="11">
        <v>592</v>
      </c>
      <c r="J1067" s="12">
        <v>603</v>
      </c>
      <c r="K1067" s="12" t="s">
        <v>291</v>
      </c>
    </row>
    <row r="1068" spans="1:11" x14ac:dyDescent="0.35">
      <c r="A1068" s="10">
        <v>1067</v>
      </c>
      <c r="B1068" s="6"/>
      <c r="C1068" s="9"/>
      <c r="D1068" s="9"/>
      <c r="E1068" s="9"/>
      <c r="F1068" s="9"/>
      <c r="G1068" s="9"/>
      <c r="H1068" s="9"/>
      <c r="I1068" s="11">
        <v>425</v>
      </c>
      <c r="J1068" s="12">
        <v>436</v>
      </c>
      <c r="K1068" s="12" t="s">
        <v>219</v>
      </c>
    </row>
    <row r="1069" spans="1:11" x14ac:dyDescent="0.35">
      <c r="A1069" s="10">
        <v>1068</v>
      </c>
      <c r="B1069" s="6"/>
      <c r="C1069" s="9"/>
      <c r="D1069" s="9"/>
      <c r="E1069" s="9"/>
      <c r="F1069" s="9"/>
      <c r="G1069" s="9"/>
      <c r="H1069" s="9"/>
      <c r="I1069" s="11">
        <v>432</v>
      </c>
      <c r="J1069" s="12">
        <v>443</v>
      </c>
      <c r="K1069" s="12" t="s">
        <v>224</v>
      </c>
    </row>
    <row r="1070" spans="1:11" x14ac:dyDescent="0.35">
      <c r="A1070" s="10">
        <v>1069</v>
      </c>
      <c r="B1070" s="6"/>
      <c r="C1070" s="9"/>
      <c r="D1070" s="9"/>
      <c r="E1070" s="9"/>
      <c r="F1070" s="9"/>
      <c r="G1070" s="9"/>
      <c r="H1070" s="9"/>
      <c r="I1070" s="11">
        <v>438</v>
      </c>
      <c r="J1070" s="12">
        <v>449</v>
      </c>
      <c r="K1070" s="12" t="s">
        <v>227</v>
      </c>
    </row>
    <row r="1071" spans="1:11" x14ac:dyDescent="0.35">
      <c r="A1071" s="10">
        <v>1070</v>
      </c>
      <c r="B1071" s="6"/>
      <c r="C1071" s="9"/>
      <c r="D1071" s="9"/>
      <c r="E1071" s="9"/>
      <c r="F1071" s="9"/>
      <c r="G1071" s="9"/>
      <c r="H1071" s="9"/>
      <c r="I1071" s="11"/>
      <c r="J1071" s="12">
        <v>474</v>
      </c>
      <c r="K1071" s="12" t="s">
        <v>831</v>
      </c>
    </row>
    <row r="1072" spans="1:11" x14ac:dyDescent="0.35">
      <c r="A1072" s="10">
        <v>1071</v>
      </c>
      <c r="B1072" s="6"/>
      <c r="C1072" s="9"/>
      <c r="D1072" s="9"/>
      <c r="E1072" s="9"/>
      <c r="F1072" s="9"/>
      <c r="G1072" s="9"/>
      <c r="H1072" s="9"/>
      <c r="I1072" s="11">
        <v>291</v>
      </c>
      <c r="J1072" s="12">
        <v>301</v>
      </c>
      <c r="K1072" s="12" t="s">
        <v>163</v>
      </c>
    </row>
    <row r="1073" spans="1:11" x14ac:dyDescent="0.35">
      <c r="A1073" s="10">
        <v>1072</v>
      </c>
      <c r="B1073" s="6"/>
      <c r="C1073" s="9"/>
      <c r="D1073" s="9"/>
      <c r="E1073" s="9"/>
      <c r="F1073" s="9"/>
      <c r="G1073" s="9"/>
      <c r="H1073" s="9"/>
      <c r="I1073" s="11">
        <v>331</v>
      </c>
      <c r="J1073" s="12">
        <v>341</v>
      </c>
      <c r="K1073" s="12" t="s">
        <v>183</v>
      </c>
    </row>
    <row r="1074" spans="1:11" x14ac:dyDescent="0.35">
      <c r="A1074" s="10">
        <v>1073</v>
      </c>
      <c r="B1074" s="6"/>
      <c r="C1074" s="9"/>
      <c r="D1074" s="9"/>
      <c r="E1074" s="9"/>
      <c r="F1074" s="9"/>
      <c r="G1074" s="9"/>
      <c r="H1074" s="9"/>
      <c r="I1074" s="11">
        <v>679</v>
      </c>
      <c r="J1074" s="12">
        <v>690</v>
      </c>
      <c r="K1074" s="12" t="s">
        <v>339</v>
      </c>
    </row>
    <row r="1075" spans="1:11" x14ac:dyDescent="0.35">
      <c r="A1075" s="10">
        <v>1074</v>
      </c>
      <c r="B1075" s="6"/>
      <c r="C1075" s="9"/>
      <c r="D1075" s="9"/>
      <c r="E1075" s="9"/>
      <c r="F1075" s="9"/>
      <c r="G1075" s="9"/>
      <c r="H1075" s="9"/>
      <c r="I1075" s="11">
        <v>670</v>
      </c>
      <c r="J1075" s="12">
        <v>681</v>
      </c>
      <c r="K1075" s="12" t="s">
        <v>335</v>
      </c>
    </row>
    <row r="1076" spans="1:11" x14ac:dyDescent="0.35">
      <c r="A1076" s="10">
        <v>1075</v>
      </c>
      <c r="B1076" s="6"/>
      <c r="C1076" s="9"/>
      <c r="D1076" s="9"/>
      <c r="E1076" s="9"/>
      <c r="F1076" s="9"/>
      <c r="G1076" s="9"/>
      <c r="H1076" s="9"/>
      <c r="I1076" s="11">
        <v>662</v>
      </c>
      <c r="J1076" s="12">
        <v>673</v>
      </c>
      <c r="K1076" s="12" t="s">
        <v>331</v>
      </c>
    </row>
    <row r="1077" spans="1:11" x14ac:dyDescent="0.35">
      <c r="A1077" s="10">
        <v>1076</v>
      </c>
      <c r="B1077" s="6"/>
      <c r="C1077" s="9"/>
      <c r="D1077" s="9"/>
      <c r="E1077" s="9"/>
      <c r="F1077" s="9"/>
      <c r="G1077" s="9"/>
      <c r="H1077" s="9"/>
      <c r="I1077" s="11">
        <v>791</v>
      </c>
      <c r="J1077" s="12">
        <v>802</v>
      </c>
      <c r="K1077" s="12" t="s">
        <v>388</v>
      </c>
    </row>
    <row r="1078" spans="1:11" x14ac:dyDescent="0.35">
      <c r="A1078" s="10">
        <v>1077</v>
      </c>
      <c r="B1078" s="6" t="s">
        <v>1415</v>
      </c>
      <c r="C1078" s="9"/>
      <c r="D1078" s="9"/>
      <c r="E1078" s="9"/>
      <c r="F1078" s="9"/>
      <c r="G1078" s="9"/>
      <c r="H1078" s="9"/>
      <c r="I1078" s="11">
        <v>584</v>
      </c>
      <c r="J1078" s="12">
        <v>595</v>
      </c>
      <c r="K1078" s="12" t="s">
        <v>285</v>
      </c>
    </row>
    <row r="1079" spans="1:11" x14ac:dyDescent="0.35">
      <c r="A1079" s="10">
        <v>1078</v>
      </c>
      <c r="B1079" s="6"/>
      <c r="C1079" s="9"/>
      <c r="D1079" s="9"/>
      <c r="E1079" s="9"/>
      <c r="F1079" s="9"/>
      <c r="G1079" s="9"/>
      <c r="H1079" s="9"/>
      <c r="I1079" s="11">
        <v>600</v>
      </c>
      <c r="J1079" s="12">
        <v>611</v>
      </c>
      <c r="K1079" s="12" t="s">
        <v>296</v>
      </c>
    </row>
    <row r="1080" spans="1:11" x14ac:dyDescent="0.35">
      <c r="A1080" s="10">
        <v>1079</v>
      </c>
      <c r="B1080" s="6"/>
      <c r="C1080" s="9"/>
      <c r="D1080" s="9"/>
      <c r="E1080" s="9"/>
      <c r="F1080" s="9"/>
      <c r="G1080" s="9"/>
      <c r="H1080" s="9"/>
      <c r="I1080" s="11">
        <v>68</v>
      </c>
      <c r="J1080" s="12">
        <v>73</v>
      </c>
      <c r="K1080" s="12" t="s">
        <v>52</v>
      </c>
    </row>
    <row r="1081" spans="1:11" x14ac:dyDescent="0.35">
      <c r="A1081" s="10">
        <v>1080</v>
      </c>
      <c r="B1081" s="6"/>
      <c r="C1081" s="9"/>
      <c r="D1081" s="9"/>
      <c r="E1081" s="9"/>
      <c r="F1081" s="9"/>
      <c r="G1081" s="9"/>
      <c r="H1081" s="9"/>
      <c r="I1081" s="11">
        <v>76</v>
      </c>
      <c r="J1081" s="12">
        <v>81</v>
      </c>
      <c r="K1081" s="12" t="s">
        <v>55</v>
      </c>
    </row>
    <row r="1082" spans="1:11" x14ac:dyDescent="0.35">
      <c r="A1082" s="10">
        <v>1081</v>
      </c>
      <c r="B1082" s="6"/>
      <c r="C1082" s="9"/>
      <c r="D1082" s="9"/>
      <c r="E1082" s="9"/>
      <c r="F1082" s="9"/>
      <c r="G1082" s="9"/>
      <c r="H1082" s="9"/>
      <c r="I1082" s="11"/>
      <c r="J1082" s="12">
        <v>108</v>
      </c>
      <c r="K1082" s="12" t="s">
        <v>641</v>
      </c>
    </row>
    <row r="1083" spans="1:11" x14ac:dyDescent="0.35">
      <c r="A1083" s="10">
        <v>1082</v>
      </c>
      <c r="B1083" s="6"/>
      <c r="C1083" s="9"/>
      <c r="D1083" s="9"/>
      <c r="E1083" s="9"/>
      <c r="F1083" s="9"/>
      <c r="G1083" s="9"/>
      <c r="H1083" s="9"/>
      <c r="I1083" s="11"/>
      <c r="J1083" s="12">
        <v>116</v>
      </c>
      <c r="K1083" s="12" t="s">
        <v>646</v>
      </c>
    </row>
    <row r="1084" spans="1:11" x14ac:dyDescent="0.35">
      <c r="A1084" s="10">
        <v>1083</v>
      </c>
      <c r="B1084" s="6"/>
      <c r="C1084" s="9"/>
      <c r="D1084" s="9"/>
      <c r="E1084" s="9"/>
      <c r="F1084" s="9"/>
      <c r="G1084" s="9"/>
      <c r="H1084" s="9"/>
      <c r="I1084" s="11">
        <v>124</v>
      </c>
      <c r="J1084" s="12">
        <v>129</v>
      </c>
      <c r="K1084" s="12" t="s">
        <v>80</v>
      </c>
    </row>
    <row r="1085" spans="1:11" x14ac:dyDescent="0.35">
      <c r="A1085" s="10">
        <v>1084</v>
      </c>
      <c r="B1085" s="6"/>
      <c r="C1085" s="9"/>
      <c r="D1085" s="9"/>
      <c r="E1085" s="9"/>
      <c r="F1085" s="9"/>
      <c r="G1085" s="9"/>
      <c r="H1085" s="9"/>
      <c r="I1085" s="11">
        <v>135</v>
      </c>
      <c r="J1085" s="12">
        <v>140</v>
      </c>
      <c r="K1085" s="12" t="s">
        <v>85</v>
      </c>
    </row>
    <row r="1086" spans="1:11" x14ac:dyDescent="0.35">
      <c r="A1086" s="10">
        <v>1085</v>
      </c>
      <c r="B1086" s="6"/>
      <c r="C1086" s="9"/>
      <c r="D1086" s="9"/>
      <c r="E1086" s="9"/>
      <c r="F1086" s="9"/>
      <c r="G1086" s="9"/>
      <c r="H1086" s="9"/>
      <c r="I1086" s="11">
        <v>140</v>
      </c>
      <c r="J1086" s="12">
        <v>145</v>
      </c>
      <c r="K1086" s="12" t="s">
        <v>87</v>
      </c>
    </row>
    <row r="1087" spans="1:11" x14ac:dyDescent="0.35">
      <c r="A1087" s="10">
        <v>1086</v>
      </c>
      <c r="B1087" s="6"/>
      <c r="C1087" s="9"/>
      <c r="D1087" s="9"/>
      <c r="E1087" s="9"/>
      <c r="F1087" s="9"/>
      <c r="G1087" s="9"/>
      <c r="H1087" s="9"/>
      <c r="I1087" s="11">
        <v>148</v>
      </c>
      <c r="J1087" s="12">
        <v>153</v>
      </c>
      <c r="K1087" s="12" t="s">
        <v>91</v>
      </c>
    </row>
    <row r="1088" spans="1:11" x14ac:dyDescent="0.35">
      <c r="A1088" s="10">
        <v>1087</v>
      </c>
      <c r="B1088" s="6"/>
      <c r="C1088" s="9"/>
      <c r="D1088" s="9"/>
      <c r="E1088" s="9"/>
      <c r="F1088" s="9"/>
      <c r="G1088" s="9"/>
      <c r="H1088" s="9"/>
      <c r="I1088" s="11">
        <v>159</v>
      </c>
      <c r="J1088" s="12">
        <v>164</v>
      </c>
      <c r="K1088" s="12" t="s">
        <v>98</v>
      </c>
    </row>
    <row r="1089" spans="1:11" x14ac:dyDescent="0.35">
      <c r="A1089" s="10">
        <v>1088</v>
      </c>
      <c r="B1089" s="6"/>
      <c r="C1089" s="9"/>
      <c r="D1089" s="9"/>
      <c r="E1089" s="9"/>
      <c r="F1089" s="9"/>
      <c r="G1089" s="9"/>
      <c r="H1089" s="9"/>
      <c r="I1089" s="11">
        <v>986</v>
      </c>
      <c r="J1089" s="12">
        <v>997</v>
      </c>
      <c r="K1089" s="12" t="s">
        <v>491</v>
      </c>
    </row>
    <row r="1090" spans="1:11" x14ac:dyDescent="0.35">
      <c r="A1090" s="10"/>
      <c r="B1090" s="6"/>
      <c r="C1090" s="9"/>
      <c r="D1090" s="9"/>
      <c r="E1090" s="9"/>
      <c r="F1090" s="9"/>
      <c r="G1090" s="9"/>
      <c r="H1090" s="9"/>
      <c r="I1090" s="11"/>
      <c r="J1090" s="12"/>
      <c r="K1090" s="12"/>
    </row>
    <row r="1091" spans="1:11" x14ac:dyDescent="0.35">
      <c r="A1091" s="10"/>
      <c r="B1091" s="6"/>
      <c r="C1091" s="9"/>
      <c r="D1091" s="9"/>
      <c r="E1091" s="9"/>
      <c r="F1091" s="9"/>
      <c r="G1091" s="9"/>
      <c r="H1091" s="9"/>
      <c r="I1091" s="11"/>
      <c r="J1091" s="12">
        <v>43</v>
      </c>
      <c r="K1091" s="12" t="s">
        <v>602</v>
      </c>
    </row>
  </sheetData>
  <sortState xmlns:xlrd2="http://schemas.microsoft.com/office/spreadsheetml/2017/richdata2" ref="O7:P57">
    <sortCondition ref="O7:O57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D7D9-0E4C-42EB-86B6-A78E059AB2AC}">
  <dimension ref="B2:AQ20"/>
  <sheetViews>
    <sheetView workbookViewId="0">
      <selection activeCell="C21" sqref="C21"/>
    </sheetView>
  </sheetViews>
  <sheetFormatPr defaultRowHeight="14.5" x14ac:dyDescent="0.35"/>
  <sheetData>
    <row r="2" spans="2:43" x14ac:dyDescent="0.35">
      <c r="C2" t="s">
        <v>1484</v>
      </c>
      <c r="D2" t="s">
        <v>1485</v>
      </c>
      <c r="E2" t="s">
        <v>1486</v>
      </c>
      <c r="F2" t="s">
        <v>1487</v>
      </c>
      <c r="G2" t="s">
        <v>1488</v>
      </c>
      <c r="H2" t="s">
        <v>1448</v>
      </c>
      <c r="I2" t="s">
        <v>1449</v>
      </c>
      <c r="J2" t="s">
        <v>1450</v>
      </c>
      <c r="K2" t="s">
        <v>1489</v>
      </c>
      <c r="L2" t="s">
        <v>1490</v>
      </c>
      <c r="M2" t="s">
        <v>1491</v>
      </c>
      <c r="N2" t="s">
        <v>1492</v>
      </c>
      <c r="O2" t="s">
        <v>1493</v>
      </c>
      <c r="P2" t="s">
        <v>1494</v>
      </c>
      <c r="Q2" t="s">
        <v>1495</v>
      </c>
      <c r="R2" t="s">
        <v>1496</v>
      </c>
      <c r="S2" t="s">
        <v>1497</v>
      </c>
      <c r="T2" t="s">
        <v>1461</v>
      </c>
      <c r="U2" t="s">
        <v>1462</v>
      </c>
      <c r="V2" t="s">
        <v>1463</v>
      </c>
      <c r="W2" t="s">
        <v>578</v>
      </c>
      <c r="X2" t="s">
        <v>1498</v>
      </c>
      <c r="Y2" t="s">
        <v>1499</v>
      </c>
      <c r="Z2" t="s">
        <v>1500</v>
      </c>
      <c r="AA2" t="s">
        <v>1508</v>
      </c>
      <c r="AB2" t="s">
        <v>1501</v>
      </c>
      <c r="AC2" t="s">
        <v>1507</v>
      </c>
      <c r="AD2" t="s">
        <v>1502</v>
      </c>
      <c r="AE2" t="s">
        <v>1503</v>
      </c>
      <c r="AF2" t="s">
        <v>1504</v>
      </c>
      <c r="AG2" t="s">
        <v>1505</v>
      </c>
      <c r="AH2" t="s">
        <v>1476</v>
      </c>
      <c r="AI2" t="s">
        <v>1477</v>
      </c>
      <c r="AJ2" t="s">
        <v>1478</v>
      </c>
      <c r="AK2" t="s">
        <v>1506</v>
      </c>
      <c r="AL2" t="s">
        <v>1510</v>
      </c>
      <c r="AM2" t="s">
        <v>1509</v>
      </c>
      <c r="AN2" t="s">
        <v>1361</v>
      </c>
      <c r="AO2" t="s">
        <v>1362</v>
      </c>
      <c r="AP2" t="s">
        <v>1363</v>
      </c>
      <c r="AQ2" t="s">
        <v>1511</v>
      </c>
    </row>
    <row r="3" spans="2:43" x14ac:dyDescent="0.35">
      <c r="B3" t="s">
        <v>1440</v>
      </c>
      <c r="C3">
        <v>1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21</v>
      </c>
      <c r="U3">
        <v>22</v>
      </c>
      <c r="V3">
        <v>23</v>
      </c>
      <c r="W3">
        <v>24</v>
      </c>
      <c r="X3">
        <v>26</v>
      </c>
      <c r="Y3">
        <v>27</v>
      </c>
      <c r="Z3">
        <v>28</v>
      </c>
      <c r="AA3">
        <v>29</v>
      </c>
      <c r="AB3">
        <v>30</v>
      </c>
      <c r="AC3">
        <v>31</v>
      </c>
      <c r="AD3">
        <v>32</v>
      </c>
      <c r="AE3">
        <v>33</v>
      </c>
      <c r="AF3">
        <v>34</v>
      </c>
      <c r="AG3">
        <v>36</v>
      </c>
      <c r="AH3">
        <v>37</v>
      </c>
      <c r="AI3">
        <v>38</v>
      </c>
      <c r="AJ3">
        <v>39</v>
      </c>
      <c r="AK3">
        <v>48</v>
      </c>
      <c r="AL3">
        <v>49</v>
      </c>
      <c r="AM3">
        <v>50</v>
      </c>
      <c r="AN3">
        <v>51</v>
      </c>
      <c r="AO3">
        <v>52</v>
      </c>
      <c r="AP3">
        <v>53</v>
      </c>
      <c r="AQ3">
        <v>54</v>
      </c>
    </row>
    <row r="4" spans="2:43" x14ac:dyDescent="0.35">
      <c r="B4" t="s">
        <v>4</v>
      </c>
      <c r="C4">
        <v>37.314103993841236</v>
      </c>
      <c r="D4">
        <v>565.6742619919562</v>
      </c>
      <c r="E4">
        <v>250.60436437415908</v>
      </c>
      <c r="F4">
        <v>860.17598514990402</v>
      </c>
      <c r="G4">
        <v>249.02150529898049</v>
      </c>
      <c r="H4">
        <v>120.85488779687601</v>
      </c>
      <c r="I4">
        <v>97.336839606011978</v>
      </c>
      <c r="J4">
        <v>154.49064314442148</v>
      </c>
      <c r="K4">
        <v>89.125758153522952</v>
      </c>
      <c r="L4">
        <v>10.684298757455625</v>
      </c>
      <c r="M4">
        <v>99.090575513170108</v>
      </c>
      <c r="N4">
        <v>26.342012677262229</v>
      </c>
      <c r="O4">
        <v>32.268740691709418</v>
      </c>
      <c r="P4">
        <v>54.779514925641593</v>
      </c>
      <c r="Q4">
        <v>332.4183928224536</v>
      </c>
      <c r="R4">
        <v>29.696594694544171</v>
      </c>
      <c r="S4">
        <v>37.826734489779774</v>
      </c>
      <c r="T4">
        <v>62.48695939966472</v>
      </c>
      <c r="U4">
        <v>45.875932627761912</v>
      </c>
      <c r="V4">
        <v>19.97460230665736</v>
      </c>
      <c r="W4">
        <v>13.868003942758058</v>
      </c>
      <c r="X4">
        <v>42.125635841685316</v>
      </c>
      <c r="Y4">
        <v>8.7506925008453909</v>
      </c>
      <c r="Z4">
        <v>19.228140356431084</v>
      </c>
      <c r="AA4">
        <v>57.900265488635796</v>
      </c>
      <c r="AB4">
        <v>47.971422198879047</v>
      </c>
      <c r="AC4">
        <v>27.232370907050196</v>
      </c>
      <c r="AD4">
        <v>42.017713632014051</v>
      </c>
      <c r="AE4">
        <v>95.025505615552305</v>
      </c>
      <c r="AF4">
        <v>76.849606803416094</v>
      </c>
      <c r="AG4">
        <v>118.44462511421769</v>
      </c>
      <c r="AH4">
        <v>58.66471447380728</v>
      </c>
      <c r="AI4">
        <v>65.607709962658916</v>
      </c>
      <c r="AJ4">
        <v>476.84528991502918</v>
      </c>
      <c r="AK4">
        <v>165.09400024462366</v>
      </c>
      <c r="AL4">
        <v>57.450589615005498</v>
      </c>
      <c r="AM4">
        <v>6.6282223773104345</v>
      </c>
      <c r="AN4">
        <v>18.22086639949924</v>
      </c>
      <c r="AO4">
        <v>21.989150220521051</v>
      </c>
      <c r="AP4">
        <v>29.327860478167338</v>
      </c>
      <c r="AQ4">
        <v>83.801595809740348</v>
      </c>
    </row>
    <row r="5" spans="2:43" x14ac:dyDescent="0.35">
      <c r="B5" t="s">
        <v>5</v>
      </c>
      <c r="C5">
        <v>14.774439598566239</v>
      </c>
      <c r="D5">
        <v>596.96588894187062</v>
      </c>
      <c r="E5">
        <v>134.59532736889145</v>
      </c>
      <c r="F5">
        <v>413.45054754000114</v>
      </c>
      <c r="G5">
        <v>80.727976268853155</v>
      </c>
      <c r="H5">
        <v>93.990272976490758</v>
      </c>
      <c r="I5">
        <v>21.9388557351763</v>
      </c>
      <c r="J5">
        <v>62.204225854977089</v>
      </c>
      <c r="K5">
        <v>35.964528926398636</v>
      </c>
      <c r="L5">
        <v>2.56041586121012</v>
      </c>
      <c r="M5">
        <v>29.059441643063785</v>
      </c>
      <c r="N5">
        <v>8.0939822374345578</v>
      </c>
      <c r="O5">
        <v>2.5750259374509765</v>
      </c>
      <c r="P5">
        <v>18.640631023802918</v>
      </c>
      <c r="Q5">
        <v>68.917555887650707</v>
      </c>
      <c r="R5">
        <v>8.2875657476259086</v>
      </c>
      <c r="S5">
        <v>3.3603175353970189</v>
      </c>
      <c r="T5">
        <v>34.885209544105351</v>
      </c>
      <c r="U5">
        <v>24.137672209425219</v>
      </c>
      <c r="V5">
        <v>35.372820838643946</v>
      </c>
      <c r="W5">
        <v>41.547404309935963</v>
      </c>
      <c r="X5">
        <v>64.759162937596898</v>
      </c>
      <c r="Y5">
        <v>16.166049360507831</v>
      </c>
      <c r="Z5">
        <v>41.485311485912327</v>
      </c>
      <c r="AA5">
        <v>92.974872677751208</v>
      </c>
      <c r="AB5">
        <v>17.648972098954776</v>
      </c>
      <c r="AC5">
        <v>58.316119315379133</v>
      </c>
      <c r="AD5">
        <v>5.8549880535232832</v>
      </c>
      <c r="AE5">
        <v>14.180905251281441</v>
      </c>
      <c r="AF5">
        <v>9.4983758160868987</v>
      </c>
      <c r="AG5">
        <v>46.063744127890772</v>
      </c>
      <c r="AH5">
        <v>57.912515959225466</v>
      </c>
      <c r="AI5">
        <v>43.828402463039701</v>
      </c>
      <c r="AJ5">
        <v>703.46786595912499</v>
      </c>
      <c r="AK5">
        <v>291.25917489959681</v>
      </c>
      <c r="AL5">
        <v>107.07724876923804</v>
      </c>
      <c r="AM5">
        <v>6.4850475914102246</v>
      </c>
      <c r="AN5">
        <v>23.498481373887738</v>
      </c>
      <c r="AO5">
        <v>7.9661440703270632</v>
      </c>
      <c r="AP5">
        <v>16.640876838335672</v>
      </c>
      <c r="AQ5">
        <v>104.37255840514948</v>
      </c>
    </row>
    <row r="6" spans="2:43" x14ac:dyDescent="0.35">
      <c r="B6" t="s">
        <v>6</v>
      </c>
      <c r="C6">
        <v>28.194401959666752</v>
      </c>
      <c r="D6">
        <v>478.23872736472549</v>
      </c>
      <c r="E6">
        <v>362.64823998208942</v>
      </c>
      <c r="F6">
        <v>428.38597299799653</v>
      </c>
      <c r="G6">
        <v>118.3459612216262</v>
      </c>
      <c r="H6">
        <v>127.2848495683501</v>
      </c>
      <c r="I6">
        <v>38.724248415807565</v>
      </c>
      <c r="J6">
        <v>69.337890799587655</v>
      </c>
      <c r="K6">
        <v>36.985675636444753</v>
      </c>
      <c r="L6">
        <v>2.427441239110343</v>
      </c>
      <c r="M6">
        <v>20.682455422419878</v>
      </c>
      <c r="N6">
        <v>15.638954199268323</v>
      </c>
      <c r="O6">
        <v>0.58225786478660246</v>
      </c>
      <c r="P6">
        <v>9.7015641414443756</v>
      </c>
      <c r="Q6">
        <v>96.90083000448584</v>
      </c>
      <c r="R6">
        <v>14.548245804668067</v>
      </c>
      <c r="S6">
        <v>5.0517020381485516</v>
      </c>
      <c r="T6">
        <v>40.938468464996049</v>
      </c>
      <c r="U6">
        <v>31.302510843527632</v>
      </c>
      <c r="V6">
        <v>23.618347191343879</v>
      </c>
      <c r="W6">
        <v>40.561230975134301</v>
      </c>
      <c r="X6">
        <v>123.01222495491602</v>
      </c>
      <c r="Y6">
        <v>11.325325510849268</v>
      </c>
      <c r="Z6">
        <v>70.969852983989554</v>
      </c>
      <c r="AA6">
        <v>168.46114166825899</v>
      </c>
      <c r="AB6">
        <v>31.368117363503586</v>
      </c>
      <c r="AC6">
        <v>76.661218591903662</v>
      </c>
      <c r="AD6">
        <v>0.45924563983168643</v>
      </c>
      <c r="AE6">
        <v>1.4679458844619979</v>
      </c>
      <c r="AF6">
        <v>0.84468394469042329</v>
      </c>
      <c r="AG6">
        <v>42.111185009566249</v>
      </c>
      <c r="AH6">
        <v>44.226995278790803</v>
      </c>
      <c r="AI6">
        <v>34.180996907472661</v>
      </c>
      <c r="AJ6">
        <v>829.28281412606771</v>
      </c>
      <c r="AK6">
        <v>193.12919317921816</v>
      </c>
      <c r="AL6">
        <v>72.109766268571775</v>
      </c>
      <c r="AM6">
        <v>9.2259168716187006</v>
      </c>
      <c r="AN6">
        <v>33.664345562662014</v>
      </c>
      <c r="AO6">
        <v>7.9137864720995967</v>
      </c>
      <c r="AP6">
        <v>27.792562024814025</v>
      </c>
      <c r="AQ6">
        <v>82.196768714874878</v>
      </c>
    </row>
    <row r="7" spans="2:43" x14ac:dyDescent="0.35">
      <c r="B7" t="s">
        <v>7</v>
      </c>
      <c r="C7">
        <v>25.318149257225894</v>
      </c>
      <c r="D7">
        <v>274.79250731439009</v>
      </c>
      <c r="E7">
        <v>266.06819826758823</v>
      </c>
      <c r="F7">
        <v>474.05795579869226</v>
      </c>
      <c r="G7">
        <v>161.28357906648966</v>
      </c>
      <c r="H7">
        <v>72.786194965544084</v>
      </c>
      <c r="I7">
        <v>36.578918761724161</v>
      </c>
      <c r="J7">
        <v>134.08863489184736</v>
      </c>
      <c r="K7">
        <v>99.432966367277615</v>
      </c>
      <c r="L7">
        <v>3.8836647300992375</v>
      </c>
      <c r="M7">
        <v>51.853427891588147</v>
      </c>
      <c r="N7">
        <v>14.772791676693272</v>
      </c>
      <c r="O7">
        <v>10.703305667641919</v>
      </c>
      <c r="P7">
        <v>49.307676369944154</v>
      </c>
      <c r="Q7">
        <v>215.93361720630713</v>
      </c>
      <c r="R7">
        <v>29.201813987325128</v>
      </c>
      <c r="S7">
        <v>15.423166153025683</v>
      </c>
      <c r="T7">
        <v>75.907992451939649</v>
      </c>
      <c r="U7">
        <v>62.147926745535415</v>
      </c>
      <c r="V7">
        <v>69.525031519934444</v>
      </c>
      <c r="W7">
        <v>52.104286618173511</v>
      </c>
      <c r="X7">
        <v>16.937609576485432</v>
      </c>
      <c r="Y7">
        <v>45.043078017993075</v>
      </c>
      <c r="Z7">
        <v>49.001071259673161</v>
      </c>
      <c r="AA7">
        <v>93.41235692922902</v>
      </c>
      <c r="AB7">
        <v>38.34422091176927</v>
      </c>
      <c r="AC7">
        <v>39.524186033115214</v>
      </c>
      <c r="AD7">
        <v>27.501549284913263</v>
      </c>
      <c r="AE7">
        <v>89.482236879391763</v>
      </c>
      <c r="AF7">
        <v>144.13227501920929</v>
      </c>
      <c r="AG7">
        <v>67.871222137260602</v>
      </c>
      <c r="AH7">
        <v>63.346473994776574</v>
      </c>
      <c r="AI7">
        <v>61.748410995788362</v>
      </c>
      <c r="AJ7">
        <v>774.08499279477985</v>
      </c>
      <c r="AK7">
        <v>237.74903535528563</v>
      </c>
      <c r="AL7">
        <v>136.45785619848684</v>
      </c>
      <c r="AM7">
        <v>12.487189945582237</v>
      </c>
      <c r="AN7">
        <v>13.499915915871274</v>
      </c>
      <c r="AO7">
        <v>74.49575073190357</v>
      </c>
      <c r="AP7">
        <v>36.495299186195709</v>
      </c>
      <c r="AQ7">
        <v>100.07404977966242</v>
      </c>
    </row>
    <row r="8" spans="2:43" x14ac:dyDescent="0.35">
      <c r="B8" t="s">
        <v>8</v>
      </c>
      <c r="C8">
        <v>16.73006664840301</v>
      </c>
      <c r="D8">
        <v>401.90499692236483</v>
      </c>
      <c r="E8">
        <v>176.2861064464432</v>
      </c>
      <c r="F8">
        <v>602.26845762030132</v>
      </c>
      <c r="G8">
        <v>167.51676317823865</v>
      </c>
      <c r="H8">
        <v>137.17260479469769</v>
      </c>
      <c r="I8">
        <v>65.14269701221923</v>
      </c>
      <c r="J8">
        <v>70.935482589228769</v>
      </c>
      <c r="K8">
        <v>46.481701838146364</v>
      </c>
      <c r="L8">
        <v>4.5031762728618103</v>
      </c>
      <c r="M8">
        <v>49.005153557613824</v>
      </c>
      <c r="N8">
        <v>19.441731617664999</v>
      </c>
      <c r="O8">
        <v>15.802942121637344</v>
      </c>
      <c r="P8">
        <v>38.026047319599343</v>
      </c>
      <c r="Q8">
        <v>298.52712675744124</v>
      </c>
      <c r="R8">
        <v>27.541872219933452</v>
      </c>
      <c r="S8">
        <v>6.0019114101145794</v>
      </c>
      <c r="T8">
        <v>13.188869207824371</v>
      </c>
      <c r="U8">
        <v>12.178094347816691</v>
      </c>
      <c r="V8">
        <v>18.340335563311804</v>
      </c>
      <c r="W8">
        <v>8.2186452410279802</v>
      </c>
      <c r="X8">
        <v>94.608526896719013</v>
      </c>
      <c r="Y8">
        <v>10.672388349460419</v>
      </c>
      <c r="Z8">
        <v>41.246585149416916</v>
      </c>
      <c r="AA8">
        <v>135.11620076916481</v>
      </c>
      <c r="AB8">
        <v>82.806859048491404</v>
      </c>
      <c r="AC8">
        <v>89.422206235714086</v>
      </c>
      <c r="AD8">
        <v>31.215516021478621</v>
      </c>
      <c r="AE8">
        <v>78.484925164320614</v>
      </c>
      <c r="AF8">
        <v>10.853630738151452</v>
      </c>
      <c r="AG8">
        <v>68.391118286450819</v>
      </c>
      <c r="AH8">
        <v>31.856835243000731</v>
      </c>
      <c r="AI8">
        <v>53.571067580407139</v>
      </c>
      <c r="AJ8">
        <v>701.40804423429609</v>
      </c>
      <c r="AK8">
        <v>211.96297357416262</v>
      </c>
      <c r="AL8">
        <v>120.96535272905726</v>
      </c>
      <c r="AM8">
        <v>4.7889815781053615</v>
      </c>
      <c r="AN8">
        <v>29.4518881622928</v>
      </c>
      <c r="AO8">
        <v>49.179425085201345</v>
      </c>
      <c r="AP8">
        <v>40.563440761273803</v>
      </c>
      <c r="AQ8">
        <v>68.711777897211874</v>
      </c>
    </row>
    <row r="9" spans="2:43" x14ac:dyDescent="0.35">
      <c r="B9" t="s">
        <v>9</v>
      </c>
      <c r="C9">
        <v>3.4706409484215008</v>
      </c>
      <c r="D9">
        <v>321.48418562971011</v>
      </c>
      <c r="E9">
        <v>239.08247760916299</v>
      </c>
      <c r="F9">
        <v>448.95525750074677</v>
      </c>
      <c r="G9">
        <v>67.123542575644052</v>
      </c>
      <c r="H9">
        <v>73.893434796021808</v>
      </c>
      <c r="I9">
        <v>56.956462125329899</v>
      </c>
      <c r="J9">
        <v>29.491266471772118</v>
      </c>
      <c r="K9">
        <v>46.103822969154756</v>
      </c>
      <c r="L9">
        <v>4.3398314504953159</v>
      </c>
      <c r="M9">
        <v>47.070950429208722</v>
      </c>
      <c r="N9">
        <v>1.0467012384128336</v>
      </c>
      <c r="O9">
        <v>2.9319876795306863</v>
      </c>
      <c r="P9">
        <v>10.473133444002094</v>
      </c>
      <c r="Q9">
        <v>90.218301479337754</v>
      </c>
      <c r="R9">
        <v>12.51144638196393</v>
      </c>
      <c r="S9">
        <v>8.5388785238941693</v>
      </c>
      <c r="T9">
        <v>6.2802074304770015</v>
      </c>
      <c r="U9">
        <v>0.7834956638411853</v>
      </c>
      <c r="V9">
        <v>5.3620484494131126</v>
      </c>
      <c r="W9">
        <v>8.3613677875551513</v>
      </c>
      <c r="X9">
        <v>13.111310249592337</v>
      </c>
      <c r="Y9">
        <v>5.6007697844897235</v>
      </c>
      <c r="Z9">
        <v>17.279752023622393</v>
      </c>
      <c r="AA9">
        <v>50.976186628667129</v>
      </c>
      <c r="AB9">
        <v>82.401708020547176</v>
      </c>
      <c r="AC9">
        <v>29.295392555811826</v>
      </c>
      <c r="AD9">
        <v>17.14508870639969</v>
      </c>
      <c r="AE9">
        <v>40.570384843276386</v>
      </c>
      <c r="AF9">
        <v>25.659482990798821</v>
      </c>
      <c r="AG9">
        <v>63.512117250126082</v>
      </c>
      <c r="AH9">
        <v>56.693256550758278</v>
      </c>
      <c r="AI9">
        <v>40.515295304412554</v>
      </c>
      <c r="AJ9">
        <v>798.19844965795517</v>
      </c>
      <c r="AK9">
        <v>229.97434051700918</v>
      </c>
      <c r="AL9">
        <v>64.130344297375771</v>
      </c>
      <c r="AM9">
        <v>7.7002933211891502</v>
      </c>
      <c r="AN9">
        <v>30.109493519021807</v>
      </c>
      <c r="AO9">
        <v>11.170934269610653</v>
      </c>
      <c r="AP9">
        <v>15.578097378717318</v>
      </c>
      <c r="AQ9">
        <v>69.112887034615824</v>
      </c>
    </row>
    <row r="10" spans="2:43" x14ac:dyDescent="0.35">
      <c r="B10" t="s">
        <v>10</v>
      </c>
      <c r="C10">
        <v>12.80025876640218</v>
      </c>
      <c r="D10">
        <v>278.31194368675068</v>
      </c>
      <c r="E10">
        <v>104.95620496981388</v>
      </c>
      <c r="F10">
        <v>575.93275229231131</v>
      </c>
      <c r="G10">
        <v>170.43179671058988</v>
      </c>
      <c r="H10">
        <v>84.552710834462474</v>
      </c>
      <c r="I10">
        <v>70.914222487825953</v>
      </c>
      <c r="J10">
        <v>75.499831367931506</v>
      </c>
      <c r="K10">
        <v>33.854613516994362</v>
      </c>
      <c r="L10">
        <v>2.8943574329268413</v>
      </c>
      <c r="M10">
        <v>28.854820609008307</v>
      </c>
      <c r="N10">
        <v>13.520150052956385</v>
      </c>
      <c r="O10">
        <v>19.875902576027421</v>
      </c>
      <c r="P10">
        <v>25.610379057277704</v>
      </c>
      <c r="Q10">
        <v>144.8164868910755</v>
      </c>
      <c r="R10">
        <v>17.025922003230637</v>
      </c>
      <c r="S10">
        <v>9.4719942566481485</v>
      </c>
      <c r="T10">
        <v>15.699546961565694</v>
      </c>
      <c r="U10">
        <v>10.339808410302535</v>
      </c>
      <c r="V10">
        <v>7.2482204879087853</v>
      </c>
      <c r="W10">
        <v>8.5647340051003802</v>
      </c>
      <c r="X10">
        <v>36.152348719283815</v>
      </c>
      <c r="Y10">
        <v>6.6811828306914309</v>
      </c>
      <c r="Z10">
        <v>21.394577344922595</v>
      </c>
      <c r="AA10">
        <v>71.70807520793025</v>
      </c>
      <c r="AB10">
        <v>74.701047885590555</v>
      </c>
      <c r="AC10">
        <v>61.402782133284425</v>
      </c>
      <c r="AD10">
        <v>20.102717638914363</v>
      </c>
      <c r="AE10">
        <v>41.630425564227124</v>
      </c>
      <c r="AF10">
        <v>32.83394573400313</v>
      </c>
      <c r="AG10">
        <v>38.198615047502962</v>
      </c>
      <c r="AH10">
        <v>21.246654477822418</v>
      </c>
      <c r="AI10">
        <v>24.5847805120498</v>
      </c>
      <c r="AJ10">
        <v>701.21848996392657</v>
      </c>
      <c r="AK10">
        <v>72.082813137917356</v>
      </c>
      <c r="AL10">
        <v>43.2033387177257</v>
      </c>
      <c r="AM10">
        <v>2.5492040763597563</v>
      </c>
      <c r="AN10">
        <v>19.66881056208717</v>
      </c>
      <c r="AO10">
        <v>8.5893878162837431</v>
      </c>
      <c r="AP10">
        <v>12.982696969159068</v>
      </c>
      <c r="AQ10">
        <v>53.666416183945039</v>
      </c>
    </row>
    <row r="11" spans="2:43" x14ac:dyDescent="0.35">
      <c r="B11" t="s">
        <v>11</v>
      </c>
      <c r="C11">
        <v>2.2716052374130351</v>
      </c>
      <c r="D11">
        <v>343.1470044930669</v>
      </c>
      <c r="E11">
        <v>150.53843774808874</v>
      </c>
      <c r="F11">
        <v>549.88327314420769</v>
      </c>
      <c r="G11">
        <v>285.46169282714567</v>
      </c>
      <c r="H11">
        <v>76.265359837413641</v>
      </c>
      <c r="I11">
        <v>85.139764298240564</v>
      </c>
      <c r="J11">
        <v>87.246467822122867</v>
      </c>
      <c r="K11">
        <v>51.829618165034297</v>
      </c>
      <c r="L11">
        <v>4.6509013897849103</v>
      </c>
      <c r="M11">
        <v>60.434795338464127</v>
      </c>
      <c r="N11">
        <v>27.760698671733522</v>
      </c>
      <c r="O11">
        <v>15.177688327011539</v>
      </c>
      <c r="P11">
        <v>55.477647909265016</v>
      </c>
      <c r="Q11">
        <v>352.8560135448248</v>
      </c>
      <c r="R11">
        <v>52.206536367390243</v>
      </c>
      <c r="S11">
        <v>24.193437113721942</v>
      </c>
      <c r="T11">
        <v>17.573811184845734</v>
      </c>
      <c r="U11">
        <v>15.090189458607483</v>
      </c>
      <c r="V11">
        <v>7.4205771088825818</v>
      </c>
      <c r="W11">
        <v>9.4364164232683727</v>
      </c>
      <c r="X11">
        <v>18.546394760567761</v>
      </c>
      <c r="Y11">
        <v>7.1816378913176564</v>
      </c>
      <c r="Z11">
        <v>12.983485934725172</v>
      </c>
      <c r="AA11">
        <v>56.211292267422124</v>
      </c>
      <c r="AB11">
        <v>65.371750721108469</v>
      </c>
      <c r="AC11">
        <v>31.708243773193512</v>
      </c>
      <c r="AD11">
        <v>39.364394758548556</v>
      </c>
      <c r="AE11">
        <v>107.45197574127528</v>
      </c>
      <c r="AF11">
        <v>64.792912053204702</v>
      </c>
      <c r="AG11">
        <v>55.312746195734292</v>
      </c>
      <c r="AH11">
        <v>26.481869056597297</v>
      </c>
      <c r="AI11">
        <v>36.500489488861895</v>
      </c>
      <c r="AJ11">
        <v>601.47731743276984</v>
      </c>
      <c r="AK11">
        <v>172.05979403439446</v>
      </c>
      <c r="AL11">
        <v>88.47818266196461</v>
      </c>
      <c r="AM11">
        <v>2.4129495632965132</v>
      </c>
      <c r="AN11">
        <v>7.7301884893892483</v>
      </c>
      <c r="AO11">
        <v>36.88413837340277</v>
      </c>
      <c r="AP11">
        <v>31.12603976419728</v>
      </c>
      <c r="AQ11">
        <v>50.557519232083003</v>
      </c>
    </row>
    <row r="12" spans="2:43" x14ac:dyDescent="0.35">
      <c r="B12" t="s">
        <v>12</v>
      </c>
      <c r="C12">
        <v>22.073605969507902</v>
      </c>
      <c r="D12">
        <v>519.48854713213643</v>
      </c>
      <c r="E12">
        <v>234.36900521274728</v>
      </c>
      <c r="F12">
        <v>620.50790608528996</v>
      </c>
      <c r="G12">
        <v>194.23750142809155</v>
      </c>
      <c r="H12">
        <v>61.335465950034703</v>
      </c>
      <c r="I12">
        <v>55.610310906185894</v>
      </c>
      <c r="J12">
        <v>112.16273593351147</v>
      </c>
      <c r="K12">
        <v>53.325364440435365</v>
      </c>
      <c r="L12">
        <v>12.038598543431888</v>
      </c>
      <c r="M12">
        <v>42.812905514053277</v>
      </c>
      <c r="N12">
        <v>29.636096697570284</v>
      </c>
      <c r="O12">
        <v>25.113096324135</v>
      </c>
      <c r="P12">
        <v>83.784212384068809</v>
      </c>
      <c r="Q12">
        <v>481.72298604989032</v>
      </c>
      <c r="R12">
        <v>21.544998951311882</v>
      </c>
      <c r="S12">
        <v>77.065787701190402</v>
      </c>
      <c r="T12">
        <v>25.833536534418286</v>
      </c>
      <c r="U12">
        <v>17.849012783763918</v>
      </c>
      <c r="V12">
        <v>14.647529955818683</v>
      </c>
      <c r="W12">
        <v>17.623075913083362</v>
      </c>
      <c r="X12">
        <v>65.146552032835032</v>
      </c>
      <c r="Y12">
        <v>14.059241500084406</v>
      </c>
      <c r="Z12">
        <v>57.52864282705854</v>
      </c>
      <c r="AA12">
        <v>87.718924301769817</v>
      </c>
      <c r="AB12">
        <v>46.321321449338129</v>
      </c>
      <c r="AC12">
        <v>42.10951714306664</v>
      </c>
      <c r="AD12">
        <v>43.413982849260037</v>
      </c>
      <c r="AE12">
        <v>90.523951866068032</v>
      </c>
      <c r="AF12">
        <v>62.090009838911271</v>
      </c>
      <c r="AG12">
        <v>58.62422350186803</v>
      </c>
      <c r="AH12">
        <v>23.407912394470433</v>
      </c>
      <c r="AI12">
        <v>30.322433229260277</v>
      </c>
      <c r="AJ12">
        <v>618.38068913303334</v>
      </c>
      <c r="AK12">
        <v>107.96372050671245</v>
      </c>
      <c r="AL12">
        <v>58.517649506263993</v>
      </c>
      <c r="AM12">
        <v>3.018175555506295</v>
      </c>
      <c r="AN12">
        <v>22.811098019087829</v>
      </c>
      <c r="AO12">
        <v>46.376739927052228</v>
      </c>
      <c r="AP12">
        <v>44.765341113519206</v>
      </c>
      <c r="AQ12">
        <v>55.145648285352294</v>
      </c>
    </row>
    <row r="13" spans="2:43" x14ac:dyDescent="0.35">
      <c r="B13" t="s">
        <v>13</v>
      </c>
      <c r="C13">
        <v>9.3681258918844765</v>
      </c>
      <c r="D13">
        <v>320.67453925445614</v>
      </c>
      <c r="E13">
        <v>214.51384255992585</v>
      </c>
      <c r="F13">
        <v>745.91565524100076</v>
      </c>
      <c r="G13">
        <v>208.51772913551258</v>
      </c>
      <c r="H13">
        <v>44.421669945368272</v>
      </c>
      <c r="I13">
        <v>62.350177297765796</v>
      </c>
      <c r="J13">
        <v>127.14923057000686</v>
      </c>
      <c r="K13">
        <v>64.217819184058442</v>
      </c>
      <c r="L13">
        <v>5.124262292139365</v>
      </c>
      <c r="M13">
        <v>71.363579444656466</v>
      </c>
      <c r="N13">
        <v>30.826775573979347</v>
      </c>
      <c r="O13">
        <v>33.356853369597786</v>
      </c>
      <c r="P13">
        <v>72.487583600480193</v>
      </c>
      <c r="Q13">
        <v>484.50989786093032</v>
      </c>
      <c r="R13">
        <v>38.59650772336164</v>
      </c>
      <c r="S13">
        <v>11.962310388405408</v>
      </c>
      <c r="T13">
        <v>12.103345130390892</v>
      </c>
      <c r="U13">
        <v>1.0214334343797398</v>
      </c>
      <c r="V13">
        <v>25.604216340456158</v>
      </c>
      <c r="W13">
        <v>7.8509339705254497</v>
      </c>
      <c r="X13">
        <v>58.46958500313481</v>
      </c>
      <c r="Y13">
        <v>33.057688765386139</v>
      </c>
      <c r="Z13">
        <v>50.050238284607254</v>
      </c>
      <c r="AA13">
        <v>55.730091984568233</v>
      </c>
      <c r="AB13">
        <v>53.738510476530749</v>
      </c>
      <c r="AC13">
        <v>25.36061087702668</v>
      </c>
      <c r="AD13">
        <v>47.558624509530318</v>
      </c>
      <c r="AE13">
        <v>81.334308325024381</v>
      </c>
      <c r="AF13">
        <v>23.42031472971119</v>
      </c>
      <c r="AG13">
        <v>88.11679728050828</v>
      </c>
      <c r="AH13">
        <v>41.246251360664729</v>
      </c>
      <c r="AI13">
        <v>48.426201861744069</v>
      </c>
      <c r="AJ13">
        <v>719.29427924622485</v>
      </c>
      <c r="AK13">
        <v>151.79184639692562</v>
      </c>
      <c r="AL13">
        <v>62.944232726128909</v>
      </c>
      <c r="AM13">
        <v>2.8078734995292436</v>
      </c>
      <c r="AN13">
        <v>34.643261167707827</v>
      </c>
      <c r="AO13">
        <v>58.691821566263464</v>
      </c>
      <c r="AP13">
        <v>69.183951613971672</v>
      </c>
      <c r="AQ13">
        <v>59.96113424413285</v>
      </c>
    </row>
    <row r="14" spans="2:43" x14ac:dyDescent="0.35">
      <c r="B14" t="s">
        <v>14</v>
      </c>
      <c r="C14">
        <v>3.5089258300802668</v>
      </c>
      <c r="D14">
        <v>355.27874029562702</v>
      </c>
      <c r="E14">
        <v>131.41901935270062</v>
      </c>
      <c r="F14">
        <v>624.77399106198607</v>
      </c>
      <c r="G14">
        <v>174.38386673879458</v>
      </c>
      <c r="H14">
        <v>64.057390431354207</v>
      </c>
      <c r="I14">
        <v>70.14927555302134</v>
      </c>
      <c r="J14">
        <v>151.65382497283017</v>
      </c>
      <c r="K14">
        <v>96.534448391986004</v>
      </c>
      <c r="L14">
        <v>13.801774931649048</v>
      </c>
      <c r="M14">
        <v>90.501045367486881</v>
      </c>
      <c r="N14">
        <v>30.605630851255661</v>
      </c>
      <c r="O14">
        <v>12.807579279792973</v>
      </c>
      <c r="P14">
        <v>68.131643200725179</v>
      </c>
      <c r="Q14">
        <v>351.4871509959014</v>
      </c>
      <c r="R14">
        <v>42.95510036989927</v>
      </c>
      <c r="S14">
        <v>61.552407269324675</v>
      </c>
      <c r="T14">
        <v>0.37038661539736151</v>
      </c>
      <c r="U14">
        <v>2.9241048584002224E-2</v>
      </c>
      <c r="V14">
        <v>0.66279710123738367</v>
      </c>
      <c r="W14">
        <v>1.05267774902408</v>
      </c>
      <c r="X14">
        <v>8.0120473120166089</v>
      </c>
      <c r="Y14">
        <v>0.39962766398136373</v>
      </c>
      <c r="Z14">
        <v>4.1717229313176505</v>
      </c>
      <c r="AA14">
        <v>41.532036005477828</v>
      </c>
      <c r="AB14">
        <v>68.199872314087855</v>
      </c>
      <c r="AC14">
        <v>31.12222270957303</v>
      </c>
      <c r="AD14">
        <v>44.231959491400687</v>
      </c>
      <c r="AE14">
        <v>71.260435399213407</v>
      </c>
      <c r="AF14">
        <v>13.821268964038385</v>
      </c>
      <c r="AG14">
        <v>135.52251317065566</v>
      </c>
      <c r="AH14">
        <v>90.832443918105568</v>
      </c>
      <c r="AI14">
        <v>80.607823929899453</v>
      </c>
      <c r="AJ14">
        <v>737.93684908207467</v>
      </c>
      <c r="AK14">
        <v>210.21389827039198</v>
      </c>
      <c r="AL14">
        <v>56.591176026238969</v>
      </c>
      <c r="AM14">
        <v>2.9728399393735594</v>
      </c>
      <c r="AN14">
        <v>46.278832892280853</v>
      </c>
      <c r="AO14">
        <v>63.121676876666136</v>
      </c>
      <c r="AP14">
        <v>38.705401309024275</v>
      </c>
      <c r="AQ14">
        <v>66.70857883630373</v>
      </c>
    </row>
    <row r="15" spans="2:43" x14ac:dyDescent="0.35">
      <c r="B15" t="s">
        <v>15</v>
      </c>
      <c r="C15">
        <v>0.42175831435420919</v>
      </c>
      <c r="D15">
        <v>445.53838828410585</v>
      </c>
      <c r="E15">
        <v>193.21260797209928</v>
      </c>
      <c r="F15">
        <v>534.73041760379783</v>
      </c>
      <c r="G15">
        <v>232.67657286288755</v>
      </c>
      <c r="H15">
        <v>80.102546395385417</v>
      </c>
      <c r="I15">
        <v>70.532180159385234</v>
      </c>
      <c r="J15">
        <v>88.652021010659055</v>
      </c>
      <c r="K15">
        <v>47.378831201285934</v>
      </c>
      <c r="L15">
        <v>3.3070581845157148</v>
      </c>
      <c r="M15">
        <v>46.66144790023484</v>
      </c>
      <c r="N15">
        <v>19.298399131572037</v>
      </c>
      <c r="O15">
        <v>12.132449454039774</v>
      </c>
      <c r="P15">
        <v>40.6188731721507</v>
      </c>
      <c r="Q15">
        <v>277.12674586262978</v>
      </c>
      <c r="R15">
        <v>21.813182351740124</v>
      </c>
      <c r="S15">
        <v>51.600356011317317</v>
      </c>
      <c r="T15">
        <v>5.3803747578831356</v>
      </c>
      <c r="U15">
        <v>2.8143498733542556</v>
      </c>
      <c r="V15">
        <v>1.9708332446458372</v>
      </c>
      <c r="W15">
        <v>7.5128163285899321</v>
      </c>
      <c r="X15">
        <v>92.349304177614641</v>
      </c>
      <c r="Y15">
        <v>1.8959415813492955</v>
      </c>
      <c r="Z15">
        <v>37.867589962625118</v>
      </c>
      <c r="AA15">
        <v>112.77896159161341</v>
      </c>
      <c r="AB15">
        <v>58.16323071598795</v>
      </c>
      <c r="AC15">
        <v>59.550697320218617</v>
      </c>
      <c r="AD15">
        <v>46.346114581091513</v>
      </c>
      <c r="AE15">
        <v>106.18849522151771</v>
      </c>
      <c r="AF15">
        <v>70.981530139164477</v>
      </c>
      <c r="AG15">
        <v>41.05245648597279</v>
      </c>
      <c r="AH15">
        <v>22.230998999605045</v>
      </c>
      <c r="AI15">
        <v>25.561707183056512</v>
      </c>
      <c r="AJ15">
        <v>636.51212969028745</v>
      </c>
      <c r="AK15">
        <v>149.30638494787934</v>
      </c>
      <c r="AL15">
        <v>88.135662700561838</v>
      </c>
      <c r="AM15">
        <v>3.0705581951582146</v>
      </c>
      <c r="AN15">
        <v>30.118273644677689</v>
      </c>
      <c r="AO15">
        <v>63.713097132910626</v>
      </c>
      <c r="AP15">
        <v>50.402089398572642</v>
      </c>
      <c r="AQ15">
        <v>64.954722077037502</v>
      </c>
    </row>
    <row r="16" spans="2:43" x14ac:dyDescent="0.35">
      <c r="B16" t="s">
        <v>16</v>
      </c>
      <c r="C16">
        <v>8.0879828655368886</v>
      </c>
      <c r="D16">
        <v>280.48214745731065</v>
      </c>
      <c r="E16">
        <v>255.53582489755132</v>
      </c>
      <c r="F16">
        <v>561.7207249667938</v>
      </c>
      <c r="G16">
        <v>230.97036222420056</v>
      </c>
      <c r="H16">
        <v>113.04133017431215</v>
      </c>
      <c r="I16">
        <v>105.81557177383905</v>
      </c>
      <c r="J16">
        <v>115.28946144825144</v>
      </c>
      <c r="K16">
        <v>67.026050287258272</v>
      </c>
      <c r="L16">
        <v>17.662377232195993</v>
      </c>
      <c r="M16">
        <v>72.410985903423452</v>
      </c>
      <c r="N16">
        <v>26.887650036313932</v>
      </c>
      <c r="O16">
        <v>3.760991378284321</v>
      </c>
      <c r="P16">
        <v>57.091954916768884</v>
      </c>
      <c r="Q16">
        <v>320.20265977733453</v>
      </c>
      <c r="R16">
        <v>26.824173388579176</v>
      </c>
      <c r="S16">
        <v>20.46063945316984</v>
      </c>
      <c r="T16">
        <v>63.101077568992501</v>
      </c>
      <c r="U16">
        <v>17.868676337333948</v>
      </c>
      <c r="V16">
        <v>27.940304444581976</v>
      </c>
      <c r="W16">
        <v>10.14568419627191</v>
      </c>
      <c r="X16">
        <v>38.059540037631074</v>
      </c>
      <c r="Y16">
        <v>9.1723755976723105</v>
      </c>
      <c r="Z16">
        <v>7.5272724772132049</v>
      </c>
      <c r="AA16">
        <v>85.333773438090944</v>
      </c>
      <c r="AB16">
        <v>57.694983070249073</v>
      </c>
      <c r="AC16">
        <v>57.985917705700047</v>
      </c>
      <c r="AD16">
        <v>24.935743118470171</v>
      </c>
      <c r="AE16">
        <v>114.68643329477126</v>
      </c>
      <c r="AF16">
        <v>34.155726201943551</v>
      </c>
      <c r="AG16">
        <v>91.036092292929922</v>
      </c>
      <c r="AH16">
        <v>68.200368270351277</v>
      </c>
      <c r="AI16">
        <v>75.933939852702437</v>
      </c>
      <c r="AJ16">
        <v>734.93791719365515</v>
      </c>
      <c r="AK16">
        <v>217.59265871410065</v>
      </c>
      <c r="AL16">
        <v>123.41447235830029</v>
      </c>
      <c r="AM16">
        <v>4.4486550620775169</v>
      </c>
      <c r="AN16">
        <v>32.394249227304059</v>
      </c>
      <c r="AO16">
        <v>68.528330950314185</v>
      </c>
      <c r="AP16">
        <v>50.210028358192375</v>
      </c>
      <c r="AQ16">
        <v>72.918799085301501</v>
      </c>
    </row>
    <row r="17" spans="2:43" x14ac:dyDescent="0.35">
      <c r="B17" t="s">
        <v>17</v>
      </c>
      <c r="C17">
        <v>0</v>
      </c>
      <c r="D17">
        <v>392.18180257775174</v>
      </c>
      <c r="E17">
        <v>27.780039478288042</v>
      </c>
      <c r="F17">
        <v>755.62851679147593</v>
      </c>
      <c r="G17">
        <v>327.34850702092967</v>
      </c>
      <c r="H17">
        <v>123.80866453797859</v>
      </c>
      <c r="I17">
        <v>112.46250772951433</v>
      </c>
      <c r="J17">
        <v>101.62688396596153</v>
      </c>
      <c r="K17">
        <v>120.99193049708752</v>
      </c>
      <c r="L17">
        <v>3.3712785551914828</v>
      </c>
      <c r="M17">
        <v>121.32641766444335</v>
      </c>
      <c r="N17">
        <v>17.494559082096796</v>
      </c>
      <c r="O17">
        <v>1.8968943306625705</v>
      </c>
      <c r="P17">
        <v>13.581939453421562</v>
      </c>
      <c r="Q17">
        <v>142.02941286499262</v>
      </c>
      <c r="R17">
        <v>11.214122400297519</v>
      </c>
      <c r="S17">
        <v>8.7626835553345188</v>
      </c>
      <c r="T17">
        <v>2.0421321796460159</v>
      </c>
      <c r="U17">
        <v>1.2763326122787597</v>
      </c>
      <c r="V17">
        <v>0.78780530206171728</v>
      </c>
      <c r="W17">
        <v>5.5630497307598361</v>
      </c>
      <c r="X17">
        <v>17.010432918818644</v>
      </c>
      <c r="Y17">
        <v>1.7604587755569102E-2</v>
      </c>
      <c r="Z17">
        <v>6.3728607675160145</v>
      </c>
      <c r="AA17">
        <v>81.328794283790359</v>
      </c>
      <c r="AB17">
        <v>94.849117680067422</v>
      </c>
      <c r="AC17">
        <v>47.08346995226956</v>
      </c>
      <c r="AD17">
        <v>1.5227968408567274</v>
      </c>
      <c r="AE17">
        <v>10.025812726796605</v>
      </c>
      <c r="AF17">
        <v>5.2197602695262377</v>
      </c>
      <c r="AG17">
        <v>105.80797355790918</v>
      </c>
      <c r="AH17">
        <v>61.211151626113761</v>
      </c>
      <c r="AI17">
        <v>61.884527107764285</v>
      </c>
      <c r="AJ17">
        <v>704.02066778602511</v>
      </c>
      <c r="AK17">
        <v>174.91038164545679</v>
      </c>
      <c r="AL17">
        <v>68.332207373241459</v>
      </c>
      <c r="AM17">
        <v>4.3571354695033522</v>
      </c>
      <c r="AN17">
        <v>27.247500698682078</v>
      </c>
      <c r="AO17">
        <v>9.2248039839182088</v>
      </c>
      <c r="AP17">
        <v>16.337057437168127</v>
      </c>
      <c r="AQ17">
        <v>79.625550418439047</v>
      </c>
    </row>
    <row r="18" spans="2:43" x14ac:dyDescent="0.35">
      <c r="B18" t="s">
        <v>18</v>
      </c>
      <c r="C18">
        <v>0.20209641346231574</v>
      </c>
      <c r="D18">
        <v>557.75241842041441</v>
      </c>
      <c r="E18">
        <v>279.49933981838268</v>
      </c>
      <c r="F18">
        <v>849.04913637465938</v>
      </c>
      <c r="G18">
        <v>219.36723612944948</v>
      </c>
      <c r="H18">
        <v>67.53388483199052</v>
      </c>
      <c r="I18">
        <v>56.174382258629514</v>
      </c>
      <c r="J18">
        <v>164.66647355231603</v>
      </c>
      <c r="K18">
        <v>86.977243943844144</v>
      </c>
      <c r="L18">
        <v>5.2039826466546311</v>
      </c>
      <c r="M18">
        <v>74.413583573603503</v>
      </c>
      <c r="N18">
        <v>29.775538250114522</v>
      </c>
      <c r="O18">
        <v>28.882945757322627</v>
      </c>
      <c r="P18">
        <v>35.990002964080738</v>
      </c>
      <c r="Q18">
        <v>303.83511627280325</v>
      </c>
      <c r="R18">
        <v>18.803387135889629</v>
      </c>
      <c r="S18">
        <v>78.893387405351518</v>
      </c>
      <c r="T18">
        <v>34.39849370806499</v>
      </c>
      <c r="U18">
        <v>18.59287003853305</v>
      </c>
      <c r="V18">
        <v>9.0353938185443674</v>
      </c>
      <c r="W18">
        <v>13.734135431543207</v>
      </c>
      <c r="X18">
        <v>58.422704858397779</v>
      </c>
      <c r="Y18">
        <v>3.1072323569831051</v>
      </c>
      <c r="Z18">
        <v>25.977809813801834</v>
      </c>
      <c r="AA18">
        <v>78.261836113281788</v>
      </c>
      <c r="AB18">
        <v>32.748039664789417</v>
      </c>
      <c r="AC18">
        <v>33.665894209264103</v>
      </c>
      <c r="AD18">
        <v>64.931893508663194</v>
      </c>
      <c r="AE18">
        <v>140.8106760798685</v>
      </c>
      <c r="AF18">
        <v>85.048907332057894</v>
      </c>
      <c r="AG18">
        <v>83.070046616906041</v>
      </c>
      <c r="AH18">
        <v>32.141750424402474</v>
      </c>
      <c r="AI18">
        <v>44.225431812670102</v>
      </c>
      <c r="AJ18">
        <v>668.45914957829211</v>
      </c>
      <c r="AK18">
        <v>120.17157985502951</v>
      </c>
      <c r="AL18">
        <v>43.475990946080678</v>
      </c>
      <c r="AM18">
        <v>8.2438495324836296</v>
      </c>
      <c r="AN18">
        <v>28.436649510926678</v>
      </c>
      <c r="AO18">
        <v>44.410686858343887</v>
      </c>
      <c r="AP18">
        <v>46.54954056748673</v>
      </c>
      <c r="AQ18">
        <v>106.31113416507235</v>
      </c>
    </row>
    <row r="19" spans="2:43" x14ac:dyDescent="0.35">
      <c r="B19" t="s">
        <v>19</v>
      </c>
      <c r="C19">
        <v>5.4994840243637171</v>
      </c>
      <c r="D19">
        <v>423.63811388674441</v>
      </c>
      <c r="E19">
        <v>146.7121886532785</v>
      </c>
      <c r="F19">
        <v>615.11683211479783</v>
      </c>
      <c r="G19">
        <v>327.54762685408082</v>
      </c>
      <c r="H19">
        <v>66.107810863350579</v>
      </c>
      <c r="I19">
        <v>83.158035380013885</v>
      </c>
      <c r="J19">
        <v>95.515914074894212</v>
      </c>
      <c r="K19">
        <v>46.636171738945052</v>
      </c>
      <c r="L19">
        <v>4.3366578003067122</v>
      </c>
      <c r="M19">
        <v>67.44848109814572</v>
      </c>
      <c r="N19">
        <v>13.128536074745558</v>
      </c>
      <c r="O19">
        <v>5.4858037158453996</v>
      </c>
      <c r="P19">
        <v>33.576037206791092</v>
      </c>
      <c r="Q19">
        <v>189.60451596104397</v>
      </c>
      <c r="R19">
        <v>5.7274891663356788</v>
      </c>
      <c r="S19">
        <v>14.072477362509479</v>
      </c>
      <c r="T19">
        <v>5.0845146659747469</v>
      </c>
      <c r="U19">
        <v>1.0260231388738279</v>
      </c>
      <c r="V19">
        <v>4.9522716836310092</v>
      </c>
      <c r="W19">
        <v>8.6778757034528642</v>
      </c>
      <c r="X19">
        <v>31.852318333483055</v>
      </c>
      <c r="Y19">
        <v>5.2851591909100737</v>
      </c>
      <c r="Z19">
        <v>12.09795283303229</v>
      </c>
      <c r="AA19">
        <v>76.372602354928304</v>
      </c>
      <c r="AB19">
        <v>78.119121742433535</v>
      </c>
      <c r="AC19">
        <v>56.121185644978667</v>
      </c>
      <c r="AD19">
        <v>12.777408156108738</v>
      </c>
      <c r="AE19">
        <v>33.690039777777073</v>
      </c>
      <c r="AF19">
        <v>16.575973821361618</v>
      </c>
      <c r="AG19">
        <v>64.502654663867986</v>
      </c>
      <c r="AH19">
        <v>37.958296035492189</v>
      </c>
      <c r="AI19">
        <v>48.519494211633457</v>
      </c>
      <c r="AJ19">
        <v>774.60642892418502</v>
      </c>
      <c r="AK19">
        <v>193.62196656258993</v>
      </c>
      <c r="AL19">
        <v>115.64420800817901</v>
      </c>
      <c r="AM19">
        <v>1.0989847843048557</v>
      </c>
      <c r="AN19">
        <v>23.443488697557108</v>
      </c>
      <c r="AO19">
        <v>21.893053732147767</v>
      </c>
      <c r="AP19">
        <v>24.104703609275795</v>
      </c>
      <c r="AQ19">
        <v>87.95526356710397</v>
      </c>
    </row>
    <row r="20" spans="2:43" x14ac:dyDescent="0.35">
      <c r="B20" t="s">
        <v>20</v>
      </c>
      <c r="C20">
        <v>2.8833513542792977</v>
      </c>
      <c r="D20">
        <v>352.36053558668073</v>
      </c>
      <c r="E20">
        <v>192.58870367939801</v>
      </c>
      <c r="F20">
        <v>531.31582072387948</v>
      </c>
      <c r="G20">
        <v>227.72225659743708</v>
      </c>
      <c r="H20">
        <v>52.387827423921394</v>
      </c>
      <c r="I20">
        <v>75.000468752929706</v>
      </c>
      <c r="J20">
        <v>85.617201774177758</v>
      </c>
      <c r="K20">
        <v>41.38775867349171</v>
      </c>
      <c r="L20">
        <v>7.5708806513374043</v>
      </c>
      <c r="M20">
        <v>64.612903830648946</v>
      </c>
      <c r="N20">
        <v>14.287589297433108</v>
      </c>
      <c r="O20">
        <v>7.8917159898916038</v>
      </c>
      <c r="P20">
        <v>45.491950991360369</v>
      </c>
      <c r="Q20">
        <v>265.27665797911237</v>
      </c>
      <c r="R20">
        <v>14.100088125550784</v>
      </c>
      <c r="S20">
        <v>22.062637891486823</v>
      </c>
      <c r="T20">
        <v>63.662897893111825</v>
      </c>
      <c r="U20">
        <v>45.133615418429692</v>
      </c>
      <c r="V20">
        <v>26.975168594803719</v>
      </c>
      <c r="W20">
        <v>22.762642266514167</v>
      </c>
      <c r="X20">
        <v>33.083540105458994</v>
      </c>
      <c r="Y20">
        <v>22.112638203988773</v>
      </c>
      <c r="Z20">
        <v>22.658474948801761</v>
      </c>
      <c r="AA20">
        <v>44.362777267357927</v>
      </c>
      <c r="AB20">
        <v>42.516932397494152</v>
      </c>
      <c r="AC20">
        <v>28.562678516740728</v>
      </c>
      <c r="AD20">
        <v>21.216799271662119</v>
      </c>
      <c r="AE20">
        <v>75.31297070606692</v>
      </c>
      <c r="AF20">
        <v>89.77139440454836</v>
      </c>
      <c r="AG20">
        <v>68.875430471440438</v>
      </c>
      <c r="AH20">
        <v>27.191836615645514</v>
      </c>
      <c r="AI20">
        <v>32.112700704379399</v>
      </c>
      <c r="AJ20">
        <v>376.14818425948494</v>
      </c>
      <c r="AK20">
        <v>89.713060706629406</v>
      </c>
      <c r="AL20">
        <v>50.641983179061533</v>
      </c>
      <c r="AM20">
        <v>2.120846588624512</v>
      </c>
      <c r="AN20">
        <v>11.325070781692386</v>
      </c>
      <c r="AO20">
        <v>33.766877709652356</v>
      </c>
      <c r="AP20">
        <v>40.696087683881359</v>
      </c>
      <c r="AQ20">
        <v>71.042110679858425</v>
      </c>
    </row>
  </sheetData>
  <sortState xmlns:xlrd2="http://schemas.microsoft.com/office/spreadsheetml/2017/richdata2" ref="B4:BF20">
    <sortCondition ref="B4:B20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F2B0-692C-4CFD-9AC3-CAFF35C9384D}">
  <dimension ref="A1:X58"/>
  <sheetViews>
    <sheetView workbookViewId="0"/>
  </sheetViews>
  <sheetFormatPr defaultRowHeight="14.5" x14ac:dyDescent="0.35"/>
  <cols>
    <col min="11" max="11" width="10.54296875" bestFit="1" customWidth="1"/>
  </cols>
  <sheetData>
    <row r="1" spans="1:24" x14ac:dyDescent="0.35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</row>
    <row r="2" spans="1:24" x14ac:dyDescent="0.35">
      <c r="A2" s="1" t="s">
        <v>1440</v>
      </c>
      <c r="B2" s="3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12</v>
      </c>
      <c r="I2" s="2" t="s">
        <v>17</v>
      </c>
      <c r="J2" s="2" t="s">
        <v>19</v>
      </c>
      <c r="K2" s="2" t="s">
        <v>4</v>
      </c>
      <c r="L2" s="2" t="s">
        <v>11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18</v>
      </c>
      <c r="R2" s="2" t="s">
        <v>20</v>
      </c>
      <c r="T2" s="3" t="s">
        <v>582</v>
      </c>
      <c r="U2" s="3" t="s">
        <v>583</v>
      </c>
      <c r="V2" s="3" t="s">
        <v>584</v>
      </c>
      <c r="W2" s="3" t="s">
        <v>1293</v>
      </c>
      <c r="X2" s="3" t="s">
        <v>1294</v>
      </c>
    </row>
    <row r="3" spans="1:24" x14ac:dyDescent="0.35">
      <c r="A3">
        <v>1</v>
      </c>
      <c r="B3" t="e">
        <f>SUMIFS(#REF!,#REF!,'Cluster counts corrected Z&lt;3'!$A3)</f>
        <v>#REF!</v>
      </c>
      <c r="C3" t="e">
        <f>SUMIFS(#REF!,#REF!,'Cluster counts corrected Z&lt;3'!$A3)</f>
        <v>#REF!</v>
      </c>
      <c r="D3" t="e">
        <f>SUMIFS(#REF!,#REF!,'Cluster counts corrected Z&lt;3'!$A3)</f>
        <v>#REF!</v>
      </c>
      <c r="E3" t="e">
        <f>SUMIFS(#REF!,#REF!,'Cluster counts corrected Z&lt;3'!$A3)</f>
        <v>#REF!</v>
      </c>
      <c r="F3" t="e">
        <f>SUMIFS(#REF!,#REF!,'Cluster counts corrected Z&lt;3'!$A3)</f>
        <v>#REF!</v>
      </c>
      <c r="G3" t="e">
        <f>SUMIFS(#REF!,#REF!,'Cluster counts corrected Z&lt;3'!$A3)</f>
        <v>#REF!</v>
      </c>
      <c r="H3" t="e">
        <f>SUMIFS(#REF!,#REF!,'Cluster counts corrected Z&lt;3'!$A3)</f>
        <v>#REF!</v>
      </c>
      <c r="I3" t="e">
        <f>SUMIFS(#REF!,#REF!,'Cluster counts corrected Z&lt;3'!$A3)</f>
        <v>#REF!</v>
      </c>
      <c r="J3" t="e">
        <f>SUMIFS(#REF!,#REF!,'Cluster counts corrected Z&lt;3'!$A3)</f>
        <v>#REF!</v>
      </c>
      <c r="K3" t="e">
        <f>SUMIFS(#REF!,#REF!,'Cluster counts corrected Z&lt;3'!$A3)</f>
        <v>#REF!</v>
      </c>
      <c r="L3" t="e">
        <f>SUMIFS(#REF!,#REF!,'Cluster counts corrected Z&lt;3'!$A3)</f>
        <v>#REF!</v>
      </c>
      <c r="M3" t="e">
        <f>SUMIFS(#REF!,#REF!,'Cluster counts corrected Z&lt;3'!$A3)</f>
        <v>#REF!</v>
      </c>
      <c r="N3" t="e">
        <f>SUMIFS(#REF!,#REF!,'Cluster counts corrected Z&lt;3'!$A3)</f>
        <v>#REF!</v>
      </c>
      <c r="O3" t="e">
        <f>SUMIFS(#REF!,#REF!,'Cluster counts corrected Z&lt;3'!$A3)</f>
        <v>#REF!</v>
      </c>
      <c r="P3" t="e">
        <f>SUMIFS(#REF!,#REF!,'Cluster counts corrected Z&lt;3'!$A3)</f>
        <v>#REF!</v>
      </c>
      <c r="Q3" t="e">
        <f>SUMIFS(#REF!,#REF!,'Cluster counts corrected Z&lt;3'!$A3)</f>
        <v>#REF!</v>
      </c>
      <c r="R3" t="e">
        <f>SUMIFS(#REF!,#REF!,'Cluster counts corrected Z&lt;3'!$A3)</f>
        <v>#REF!</v>
      </c>
      <c r="T3" t="e">
        <f t="shared" ref="T3:T58" si="0">_xlfn.T.TEST(B3:J3,K3:R3,2,2)</f>
        <v>#REF!</v>
      </c>
      <c r="U3" t="e">
        <f>AVERAGE(B3:J3)</f>
        <v>#REF!</v>
      </c>
      <c r="V3" t="e">
        <f>AVERAGE(K3:R3)</f>
        <v>#REF!</v>
      </c>
      <c r="W3" t="e">
        <f>STDEV(B3:J3)/SQRT(COUNT(B3:J3))</f>
        <v>#REF!</v>
      </c>
      <c r="X3" t="e">
        <f>STDEV(K3:R3)/SQRT(COUNT(K3:R3))</f>
        <v>#REF!</v>
      </c>
    </row>
    <row r="4" spans="1:24" x14ac:dyDescent="0.35">
      <c r="A4">
        <v>2</v>
      </c>
      <c r="B4" t="e">
        <f>SUMIFS(#REF!,#REF!,'Cluster counts corrected Z&lt;3'!$A4)</f>
        <v>#REF!</v>
      </c>
      <c r="C4" t="e">
        <f>SUMIFS(#REF!,#REF!,'Cluster counts corrected Z&lt;3'!$A4)</f>
        <v>#REF!</v>
      </c>
      <c r="D4" t="e">
        <f>SUMIFS(#REF!,#REF!,'Cluster counts corrected Z&lt;3'!$A4)</f>
        <v>#REF!</v>
      </c>
      <c r="E4" t="e">
        <f>SUMIFS(#REF!,#REF!,'Cluster counts corrected Z&lt;3'!$A4)</f>
        <v>#REF!</v>
      </c>
      <c r="F4" t="e">
        <f>SUMIFS(#REF!,#REF!,'Cluster counts corrected Z&lt;3'!$A4)</f>
        <v>#REF!</v>
      </c>
      <c r="G4" t="e">
        <f>SUMIFS(#REF!,#REF!,'Cluster counts corrected Z&lt;3'!$A4)</f>
        <v>#REF!</v>
      </c>
      <c r="H4" t="e">
        <f>SUMIFS(#REF!,#REF!,'Cluster counts corrected Z&lt;3'!$A4)</f>
        <v>#REF!</v>
      </c>
      <c r="I4" t="e">
        <f>SUMIFS(#REF!,#REF!,'Cluster counts corrected Z&lt;3'!$A4)</f>
        <v>#REF!</v>
      </c>
      <c r="J4" t="e">
        <f>SUMIFS(#REF!,#REF!,'Cluster counts corrected Z&lt;3'!$A4)</f>
        <v>#REF!</v>
      </c>
      <c r="K4" t="e">
        <f>SUMIFS(#REF!,#REF!,'Cluster counts corrected Z&lt;3'!$A4)</f>
        <v>#REF!</v>
      </c>
      <c r="L4" t="e">
        <f>SUMIFS(#REF!,#REF!,'Cluster counts corrected Z&lt;3'!$A4)</f>
        <v>#REF!</v>
      </c>
      <c r="M4" t="e">
        <f>SUMIFS(#REF!,#REF!,'Cluster counts corrected Z&lt;3'!$A4)</f>
        <v>#REF!</v>
      </c>
      <c r="N4" t="e">
        <f>SUMIFS(#REF!,#REF!,'Cluster counts corrected Z&lt;3'!$A4)</f>
        <v>#REF!</v>
      </c>
      <c r="O4" t="e">
        <f>SUMIFS(#REF!,#REF!,'Cluster counts corrected Z&lt;3'!$A4)</f>
        <v>#REF!</v>
      </c>
      <c r="P4" t="e">
        <f>SUMIFS(#REF!,#REF!,'Cluster counts corrected Z&lt;3'!$A4)</f>
        <v>#REF!</v>
      </c>
      <c r="Q4" t="e">
        <f>SUMIFS(#REF!,#REF!,'Cluster counts corrected Z&lt;3'!$A4)</f>
        <v>#REF!</v>
      </c>
      <c r="R4" t="e">
        <f>SUMIFS(#REF!,#REF!,'Cluster counts corrected Z&lt;3'!$A4)</f>
        <v>#REF!</v>
      </c>
      <c r="T4" t="e">
        <f t="shared" si="0"/>
        <v>#REF!</v>
      </c>
      <c r="U4" t="e">
        <f t="shared" ref="U4:U58" si="1">AVERAGE(B4:J4)</f>
        <v>#REF!</v>
      </c>
      <c r="V4" t="e">
        <f t="shared" ref="V4:V58" si="2">AVERAGE(K4:R4)</f>
        <v>#REF!</v>
      </c>
      <c r="W4" t="e">
        <f t="shared" ref="W4:W58" si="3">STDEV(B4:J4)/SQRT(COUNT(B4:J4))</f>
        <v>#REF!</v>
      </c>
      <c r="X4" t="e">
        <f t="shared" ref="X4:X58" si="4">STDEV(K4:R4)/SQRT(COUNT(K4:R4))</f>
        <v>#REF!</v>
      </c>
    </row>
    <row r="5" spans="1:24" x14ac:dyDescent="0.35">
      <c r="A5">
        <v>3</v>
      </c>
      <c r="B5" t="e">
        <f>SUMIFS(#REF!,#REF!,'Cluster counts corrected Z&lt;3'!$A5)</f>
        <v>#REF!</v>
      </c>
      <c r="C5" t="e">
        <f>SUMIFS(#REF!,#REF!,'Cluster counts corrected Z&lt;3'!$A5)</f>
        <v>#REF!</v>
      </c>
      <c r="D5" t="e">
        <f>SUMIFS(#REF!,#REF!,'Cluster counts corrected Z&lt;3'!$A5)</f>
        <v>#REF!</v>
      </c>
      <c r="E5" t="e">
        <f>SUMIFS(#REF!,#REF!,'Cluster counts corrected Z&lt;3'!$A5)</f>
        <v>#REF!</v>
      </c>
      <c r="F5" t="e">
        <f>SUMIFS(#REF!,#REF!,'Cluster counts corrected Z&lt;3'!$A5)</f>
        <v>#REF!</v>
      </c>
      <c r="G5" t="e">
        <f>SUMIFS(#REF!,#REF!,'Cluster counts corrected Z&lt;3'!$A5)</f>
        <v>#REF!</v>
      </c>
      <c r="H5" t="e">
        <f>SUMIFS(#REF!,#REF!,'Cluster counts corrected Z&lt;3'!$A5)</f>
        <v>#REF!</v>
      </c>
      <c r="I5" t="e">
        <f>SUMIFS(#REF!,#REF!,'Cluster counts corrected Z&lt;3'!$A5)</f>
        <v>#REF!</v>
      </c>
      <c r="J5" t="e">
        <f>SUMIFS(#REF!,#REF!,'Cluster counts corrected Z&lt;3'!$A5)</f>
        <v>#REF!</v>
      </c>
      <c r="K5" t="e">
        <f>SUMIFS(#REF!,#REF!,'Cluster counts corrected Z&lt;3'!$A5)</f>
        <v>#REF!</v>
      </c>
      <c r="L5" t="e">
        <f>SUMIFS(#REF!,#REF!,'Cluster counts corrected Z&lt;3'!$A5)</f>
        <v>#REF!</v>
      </c>
      <c r="M5" t="e">
        <f>SUMIFS(#REF!,#REF!,'Cluster counts corrected Z&lt;3'!$A5)</f>
        <v>#REF!</v>
      </c>
      <c r="N5" t="e">
        <f>SUMIFS(#REF!,#REF!,'Cluster counts corrected Z&lt;3'!$A5)</f>
        <v>#REF!</v>
      </c>
      <c r="O5" t="e">
        <f>SUMIFS(#REF!,#REF!,'Cluster counts corrected Z&lt;3'!$A5)</f>
        <v>#REF!</v>
      </c>
      <c r="P5" t="e">
        <f>SUMIFS(#REF!,#REF!,'Cluster counts corrected Z&lt;3'!$A5)</f>
        <v>#REF!</v>
      </c>
      <c r="Q5" t="e">
        <f>SUMIFS(#REF!,#REF!,'Cluster counts corrected Z&lt;3'!$A5)</f>
        <v>#REF!</v>
      </c>
      <c r="R5" t="e">
        <f>SUMIFS(#REF!,#REF!,'Cluster counts corrected Z&lt;3'!$A5)</f>
        <v>#REF!</v>
      </c>
      <c r="T5" t="e">
        <f t="shared" si="0"/>
        <v>#REF!</v>
      </c>
      <c r="U5" t="e">
        <f t="shared" si="1"/>
        <v>#REF!</v>
      </c>
      <c r="V5" t="e">
        <f t="shared" si="2"/>
        <v>#REF!</v>
      </c>
      <c r="W5" t="e">
        <f t="shared" si="3"/>
        <v>#REF!</v>
      </c>
      <c r="X5" t="e">
        <f t="shared" si="4"/>
        <v>#REF!</v>
      </c>
    </row>
    <row r="6" spans="1:24" x14ac:dyDescent="0.35">
      <c r="A6">
        <v>4</v>
      </c>
      <c r="B6" t="e">
        <f>SUMIFS(#REF!,#REF!,'Cluster counts corrected Z&lt;3'!$A6)</f>
        <v>#REF!</v>
      </c>
      <c r="C6" t="e">
        <f>SUMIFS(#REF!,#REF!,'Cluster counts corrected Z&lt;3'!$A6)</f>
        <v>#REF!</v>
      </c>
      <c r="D6" t="e">
        <f>SUMIFS(#REF!,#REF!,'Cluster counts corrected Z&lt;3'!$A6)</f>
        <v>#REF!</v>
      </c>
      <c r="E6" t="e">
        <f>SUMIFS(#REF!,#REF!,'Cluster counts corrected Z&lt;3'!$A6)</f>
        <v>#REF!</v>
      </c>
      <c r="F6" t="e">
        <f>SUMIFS(#REF!,#REF!,'Cluster counts corrected Z&lt;3'!$A6)</f>
        <v>#REF!</v>
      </c>
      <c r="G6" t="e">
        <f>SUMIFS(#REF!,#REF!,'Cluster counts corrected Z&lt;3'!$A6)</f>
        <v>#REF!</v>
      </c>
      <c r="H6" t="e">
        <f>SUMIFS(#REF!,#REF!,'Cluster counts corrected Z&lt;3'!$A6)</f>
        <v>#REF!</v>
      </c>
      <c r="I6" t="e">
        <f>SUMIFS(#REF!,#REF!,'Cluster counts corrected Z&lt;3'!$A6)</f>
        <v>#REF!</v>
      </c>
      <c r="J6" t="e">
        <f>SUMIFS(#REF!,#REF!,'Cluster counts corrected Z&lt;3'!$A6)</f>
        <v>#REF!</v>
      </c>
      <c r="K6" t="e">
        <f>SUMIFS(#REF!,#REF!,'Cluster counts corrected Z&lt;3'!$A6)</f>
        <v>#REF!</v>
      </c>
      <c r="L6" t="e">
        <f>SUMIFS(#REF!,#REF!,'Cluster counts corrected Z&lt;3'!$A6)</f>
        <v>#REF!</v>
      </c>
      <c r="M6" t="e">
        <f>SUMIFS(#REF!,#REF!,'Cluster counts corrected Z&lt;3'!$A6)</f>
        <v>#REF!</v>
      </c>
      <c r="N6" t="e">
        <f>SUMIFS(#REF!,#REF!,'Cluster counts corrected Z&lt;3'!$A6)</f>
        <v>#REF!</v>
      </c>
      <c r="O6" t="e">
        <f>SUMIFS(#REF!,#REF!,'Cluster counts corrected Z&lt;3'!$A6)</f>
        <v>#REF!</v>
      </c>
      <c r="P6" t="e">
        <f>SUMIFS(#REF!,#REF!,'Cluster counts corrected Z&lt;3'!$A6)</f>
        <v>#REF!</v>
      </c>
      <c r="Q6" t="e">
        <f>SUMIFS(#REF!,#REF!,'Cluster counts corrected Z&lt;3'!$A6)</f>
        <v>#REF!</v>
      </c>
      <c r="R6" t="e">
        <f>SUMIFS(#REF!,#REF!,'Cluster counts corrected Z&lt;3'!$A6)</f>
        <v>#REF!</v>
      </c>
      <c r="T6" t="e">
        <f t="shared" si="0"/>
        <v>#REF!</v>
      </c>
      <c r="U6" t="e">
        <f t="shared" si="1"/>
        <v>#REF!</v>
      </c>
      <c r="V6" t="e">
        <f t="shared" si="2"/>
        <v>#REF!</v>
      </c>
      <c r="W6" t="e">
        <f t="shared" si="3"/>
        <v>#REF!</v>
      </c>
      <c r="X6" t="e">
        <f t="shared" si="4"/>
        <v>#REF!</v>
      </c>
    </row>
    <row r="7" spans="1:24" x14ac:dyDescent="0.35">
      <c r="A7">
        <v>5</v>
      </c>
      <c r="B7" t="e">
        <f>SUMIFS(#REF!,#REF!,'Cluster counts corrected Z&lt;3'!$A7)</f>
        <v>#REF!</v>
      </c>
      <c r="C7" t="e">
        <f>SUMIFS(#REF!,#REF!,'Cluster counts corrected Z&lt;3'!$A7)</f>
        <v>#REF!</v>
      </c>
      <c r="D7" t="e">
        <f>SUMIFS(#REF!,#REF!,'Cluster counts corrected Z&lt;3'!$A7)</f>
        <v>#REF!</v>
      </c>
      <c r="E7" t="e">
        <f>SUMIFS(#REF!,#REF!,'Cluster counts corrected Z&lt;3'!$A7)</f>
        <v>#REF!</v>
      </c>
      <c r="F7" t="e">
        <f>SUMIFS(#REF!,#REF!,'Cluster counts corrected Z&lt;3'!$A7)</f>
        <v>#REF!</v>
      </c>
      <c r="G7" t="e">
        <f>SUMIFS(#REF!,#REF!,'Cluster counts corrected Z&lt;3'!$A7)</f>
        <v>#REF!</v>
      </c>
      <c r="H7" t="e">
        <f>SUMIFS(#REF!,#REF!,'Cluster counts corrected Z&lt;3'!$A7)</f>
        <v>#REF!</v>
      </c>
      <c r="I7" t="e">
        <f>SUMIFS(#REF!,#REF!,'Cluster counts corrected Z&lt;3'!$A7)</f>
        <v>#REF!</v>
      </c>
      <c r="J7" t="e">
        <f>SUMIFS(#REF!,#REF!,'Cluster counts corrected Z&lt;3'!$A7)</f>
        <v>#REF!</v>
      </c>
      <c r="K7" t="e">
        <f>SUMIFS(#REF!,#REF!,'Cluster counts corrected Z&lt;3'!$A7)</f>
        <v>#REF!</v>
      </c>
      <c r="L7" t="e">
        <f>SUMIFS(#REF!,#REF!,'Cluster counts corrected Z&lt;3'!$A7)</f>
        <v>#REF!</v>
      </c>
      <c r="M7" t="e">
        <f>SUMIFS(#REF!,#REF!,'Cluster counts corrected Z&lt;3'!$A7)</f>
        <v>#REF!</v>
      </c>
      <c r="N7" t="e">
        <f>SUMIFS(#REF!,#REF!,'Cluster counts corrected Z&lt;3'!$A7)</f>
        <v>#REF!</v>
      </c>
      <c r="O7" t="e">
        <f>SUMIFS(#REF!,#REF!,'Cluster counts corrected Z&lt;3'!$A7)</f>
        <v>#REF!</v>
      </c>
      <c r="P7" t="e">
        <f>SUMIFS(#REF!,#REF!,'Cluster counts corrected Z&lt;3'!$A7)</f>
        <v>#REF!</v>
      </c>
      <c r="Q7" t="e">
        <f>SUMIFS(#REF!,#REF!,'Cluster counts corrected Z&lt;3'!$A7)</f>
        <v>#REF!</v>
      </c>
      <c r="R7" t="e">
        <f>SUMIFS(#REF!,#REF!,'Cluster counts corrected Z&lt;3'!$A7)</f>
        <v>#REF!</v>
      </c>
      <c r="T7" t="e">
        <f t="shared" si="0"/>
        <v>#REF!</v>
      </c>
      <c r="U7" t="e">
        <f t="shared" si="1"/>
        <v>#REF!</v>
      </c>
      <c r="V7" t="e">
        <f t="shared" si="2"/>
        <v>#REF!</v>
      </c>
      <c r="W7" t="e">
        <f t="shared" si="3"/>
        <v>#REF!</v>
      </c>
      <c r="X7" t="e">
        <f t="shared" si="4"/>
        <v>#REF!</v>
      </c>
    </row>
    <row r="8" spans="1:24" x14ac:dyDescent="0.35">
      <c r="A8">
        <v>6</v>
      </c>
      <c r="B8" t="e">
        <f>SUMIFS(#REF!,#REF!,'Cluster counts corrected Z&lt;3'!$A8)</f>
        <v>#REF!</v>
      </c>
      <c r="C8" t="e">
        <f>SUMIFS(#REF!,#REF!,'Cluster counts corrected Z&lt;3'!$A8)</f>
        <v>#REF!</v>
      </c>
      <c r="D8" t="e">
        <f>SUMIFS(#REF!,#REF!,'Cluster counts corrected Z&lt;3'!$A8)</f>
        <v>#REF!</v>
      </c>
      <c r="E8" t="e">
        <f>SUMIFS(#REF!,#REF!,'Cluster counts corrected Z&lt;3'!$A8)</f>
        <v>#REF!</v>
      </c>
      <c r="F8" t="e">
        <f>SUMIFS(#REF!,#REF!,'Cluster counts corrected Z&lt;3'!$A8)</f>
        <v>#REF!</v>
      </c>
      <c r="G8" t="e">
        <f>SUMIFS(#REF!,#REF!,'Cluster counts corrected Z&lt;3'!$A8)</f>
        <v>#REF!</v>
      </c>
      <c r="H8" t="e">
        <f>SUMIFS(#REF!,#REF!,'Cluster counts corrected Z&lt;3'!$A8)</f>
        <v>#REF!</v>
      </c>
      <c r="I8" t="e">
        <f>SUMIFS(#REF!,#REF!,'Cluster counts corrected Z&lt;3'!$A8)</f>
        <v>#REF!</v>
      </c>
      <c r="J8" t="e">
        <f>SUMIFS(#REF!,#REF!,'Cluster counts corrected Z&lt;3'!$A8)</f>
        <v>#REF!</v>
      </c>
      <c r="K8" t="e">
        <f>SUMIFS(#REF!,#REF!,'Cluster counts corrected Z&lt;3'!$A8)</f>
        <v>#REF!</v>
      </c>
      <c r="L8" t="e">
        <f>SUMIFS(#REF!,#REF!,'Cluster counts corrected Z&lt;3'!$A8)</f>
        <v>#REF!</v>
      </c>
      <c r="M8" t="e">
        <f>SUMIFS(#REF!,#REF!,'Cluster counts corrected Z&lt;3'!$A8)</f>
        <v>#REF!</v>
      </c>
      <c r="N8" t="e">
        <f>SUMIFS(#REF!,#REF!,'Cluster counts corrected Z&lt;3'!$A8)</f>
        <v>#REF!</v>
      </c>
      <c r="O8" t="e">
        <f>SUMIFS(#REF!,#REF!,'Cluster counts corrected Z&lt;3'!$A8)</f>
        <v>#REF!</v>
      </c>
      <c r="P8" t="e">
        <f>SUMIFS(#REF!,#REF!,'Cluster counts corrected Z&lt;3'!$A8)</f>
        <v>#REF!</v>
      </c>
      <c r="Q8" t="e">
        <f>SUMIFS(#REF!,#REF!,'Cluster counts corrected Z&lt;3'!$A8)</f>
        <v>#REF!</v>
      </c>
      <c r="R8" t="e">
        <f>SUMIFS(#REF!,#REF!,'Cluster counts corrected Z&lt;3'!$A8)</f>
        <v>#REF!</v>
      </c>
      <c r="T8" t="e">
        <f t="shared" si="0"/>
        <v>#REF!</v>
      </c>
      <c r="U8" t="e">
        <f t="shared" si="1"/>
        <v>#REF!</v>
      </c>
      <c r="V8" t="e">
        <f t="shared" si="2"/>
        <v>#REF!</v>
      </c>
      <c r="W8" t="e">
        <f t="shared" si="3"/>
        <v>#REF!</v>
      </c>
      <c r="X8" t="e">
        <f t="shared" si="4"/>
        <v>#REF!</v>
      </c>
    </row>
    <row r="9" spans="1:24" x14ac:dyDescent="0.35">
      <c r="A9">
        <v>7</v>
      </c>
      <c r="B9" t="e">
        <f>SUMIFS(#REF!,#REF!,'Cluster counts corrected Z&lt;3'!$A9)</f>
        <v>#REF!</v>
      </c>
      <c r="C9" t="e">
        <f>SUMIFS(#REF!,#REF!,'Cluster counts corrected Z&lt;3'!$A9)</f>
        <v>#REF!</v>
      </c>
      <c r="D9" t="e">
        <f>SUMIFS(#REF!,#REF!,'Cluster counts corrected Z&lt;3'!$A9)</f>
        <v>#REF!</v>
      </c>
      <c r="E9" t="e">
        <f>SUMIFS(#REF!,#REF!,'Cluster counts corrected Z&lt;3'!$A9)</f>
        <v>#REF!</v>
      </c>
      <c r="F9" t="e">
        <f>SUMIFS(#REF!,#REF!,'Cluster counts corrected Z&lt;3'!$A9)</f>
        <v>#REF!</v>
      </c>
      <c r="G9" t="e">
        <f>SUMIFS(#REF!,#REF!,'Cluster counts corrected Z&lt;3'!$A9)</f>
        <v>#REF!</v>
      </c>
      <c r="H9" t="e">
        <f>SUMIFS(#REF!,#REF!,'Cluster counts corrected Z&lt;3'!$A9)</f>
        <v>#REF!</v>
      </c>
      <c r="I9" t="e">
        <f>SUMIFS(#REF!,#REF!,'Cluster counts corrected Z&lt;3'!$A9)</f>
        <v>#REF!</v>
      </c>
      <c r="J9" t="e">
        <f>SUMIFS(#REF!,#REF!,'Cluster counts corrected Z&lt;3'!$A9)</f>
        <v>#REF!</v>
      </c>
      <c r="K9" t="e">
        <f>SUMIFS(#REF!,#REF!,'Cluster counts corrected Z&lt;3'!$A9)</f>
        <v>#REF!</v>
      </c>
      <c r="L9" t="e">
        <f>SUMIFS(#REF!,#REF!,'Cluster counts corrected Z&lt;3'!$A9)</f>
        <v>#REF!</v>
      </c>
      <c r="M9" t="e">
        <f>SUMIFS(#REF!,#REF!,'Cluster counts corrected Z&lt;3'!$A9)</f>
        <v>#REF!</v>
      </c>
      <c r="N9" t="e">
        <f>SUMIFS(#REF!,#REF!,'Cluster counts corrected Z&lt;3'!$A9)</f>
        <v>#REF!</v>
      </c>
      <c r="O9" t="e">
        <f>SUMIFS(#REF!,#REF!,'Cluster counts corrected Z&lt;3'!$A9)</f>
        <v>#REF!</v>
      </c>
      <c r="P9" t="e">
        <f>SUMIFS(#REF!,#REF!,'Cluster counts corrected Z&lt;3'!$A9)</f>
        <v>#REF!</v>
      </c>
      <c r="Q9" t="e">
        <f>SUMIFS(#REF!,#REF!,'Cluster counts corrected Z&lt;3'!$A9)</f>
        <v>#REF!</v>
      </c>
      <c r="R9" t="e">
        <f>SUMIFS(#REF!,#REF!,'Cluster counts corrected Z&lt;3'!$A9)</f>
        <v>#REF!</v>
      </c>
      <c r="T9" t="e">
        <f t="shared" si="0"/>
        <v>#REF!</v>
      </c>
      <c r="U9" t="e">
        <f t="shared" si="1"/>
        <v>#REF!</v>
      </c>
      <c r="V9" t="e">
        <f t="shared" si="2"/>
        <v>#REF!</v>
      </c>
      <c r="W9" t="e">
        <f t="shared" si="3"/>
        <v>#REF!</v>
      </c>
      <c r="X9" t="e">
        <f t="shared" si="4"/>
        <v>#REF!</v>
      </c>
    </row>
    <row r="10" spans="1:24" x14ac:dyDescent="0.35">
      <c r="A10">
        <v>8</v>
      </c>
      <c r="B10" t="e">
        <f>SUMIFS(#REF!,#REF!,'Cluster counts corrected Z&lt;3'!$A10)</f>
        <v>#REF!</v>
      </c>
      <c r="C10" t="e">
        <f>SUMIFS(#REF!,#REF!,'Cluster counts corrected Z&lt;3'!$A10)</f>
        <v>#REF!</v>
      </c>
      <c r="D10" t="e">
        <f>SUMIFS(#REF!,#REF!,'Cluster counts corrected Z&lt;3'!$A10)</f>
        <v>#REF!</v>
      </c>
      <c r="E10" t="e">
        <f>SUMIFS(#REF!,#REF!,'Cluster counts corrected Z&lt;3'!$A10)</f>
        <v>#REF!</v>
      </c>
      <c r="F10" t="e">
        <f>SUMIFS(#REF!,#REF!,'Cluster counts corrected Z&lt;3'!$A10)</f>
        <v>#REF!</v>
      </c>
      <c r="G10" t="e">
        <f>SUMIFS(#REF!,#REF!,'Cluster counts corrected Z&lt;3'!$A10)</f>
        <v>#REF!</v>
      </c>
      <c r="H10" t="e">
        <f>SUMIFS(#REF!,#REF!,'Cluster counts corrected Z&lt;3'!$A10)</f>
        <v>#REF!</v>
      </c>
      <c r="I10" t="e">
        <f>SUMIFS(#REF!,#REF!,'Cluster counts corrected Z&lt;3'!$A10)</f>
        <v>#REF!</v>
      </c>
      <c r="J10" t="e">
        <f>SUMIFS(#REF!,#REF!,'Cluster counts corrected Z&lt;3'!$A10)</f>
        <v>#REF!</v>
      </c>
      <c r="K10" t="e">
        <f>SUMIFS(#REF!,#REF!,'Cluster counts corrected Z&lt;3'!$A10)</f>
        <v>#REF!</v>
      </c>
      <c r="L10" t="e">
        <f>SUMIFS(#REF!,#REF!,'Cluster counts corrected Z&lt;3'!$A10)</f>
        <v>#REF!</v>
      </c>
      <c r="M10" t="e">
        <f>SUMIFS(#REF!,#REF!,'Cluster counts corrected Z&lt;3'!$A10)</f>
        <v>#REF!</v>
      </c>
      <c r="N10" t="e">
        <f>SUMIFS(#REF!,#REF!,'Cluster counts corrected Z&lt;3'!$A10)</f>
        <v>#REF!</v>
      </c>
      <c r="O10" t="e">
        <f>SUMIFS(#REF!,#REF!,'Cluster counts corrected Z&lt;3'!$A10)</f>
        <v>#REF!</v>
      </c>
      <c r="P10" t="e">
        <f>SUMIFS(#REF!,#REF!,'Cluster counts corrected Z&lt;3'!$A10)</f>
        <v>#REF!</v>
      </c>
      <c r="Q10" t="e">
        <f>SUMIFS(#REF!,#REF!,'Cluster counts corrected Z&lt;3'!$A10)</f>
        <v>#REF!</v>
      </c>
      <c r="R10" t="e">
        <f>SUMIFS(#REF!,#REF!,'Cluster counts corrected Z&lt;3'!$A10)</f>
        <v>#REF!</v>
      </c>
      <c r="T10" t="e">
        <f t="shared" si="0"/>
        <v>#REF!</v>
      </c>
      <c r="U10" t="e">
        <f t="shared" si="1"/>
        <v>#REF!</v>
      </c>
      <c r="V10" t="e">
        <f t="shared" si="2"/>
        <v>#REF!</v>
      </c>
      <c r="W10" t="e">
        <f t="shared" si="3"/>
        <v>#REF!</v>
      </c>
      <c r="X10" t="e">
        <f t="shared" si="4"/>
        <v>#REF!</v>
      </c>
    </row>
    <row r="11" spans="1:24" x14ac:dyDescent="0.35">
      <c r="A11">
        <v>9</v>
      </c>
      <c r="B11" t="e">
        <f>SUMIFS(#REF!,#REF!,'Cluster counts corrected Z&lt;3'!$A11)</f>
        <v>#REF!</v>
      </c>
      <c r="C11" t="e">
        <f>SUMIFS(#REF!,#REF!,'Cluster counts corrected Z&lt;3'!$A11)</f>
        <v>#REF!</v>
      </c>
      <c r="D11" t="e">
        <f>SUMIFS(#REF!,#REF!,'Cluster counts corrected Z&lt;3'!$A11)</f>
        <v>#REF!</v>
      </c>
      <c r="E11" t="e">
        <f>SUMIFS(#REF!,#REF!,'Cluster counts corrected Z&lt;3'!$A11)</f>
        <v>#REF!</v>
      </c>
      <c r="F11" t="e">
        <f>SUMIFS(#REF!,#REF!,'Cluster counts corrected Z&lt;3'!$A11)</f>
        <v>#REF!</v>
      </c>
      <c r="G11" t="e">
        <f>SUMIFS(#REF!,#REF!,'Cluster counts corrected Z&lt;3'!$A11)</f>
        <v>#REF!</v>
      </c>
      <c r="H11" t="e">
        <f>SUMIFS(#REF!,#REF!,'Cluster counts corrected Z&lt;3'!$A11)</f>
        <v>#REF!</v>
      </c>
      <c r="I11" t="e">
        <f>SUMIFS(#REF!,#REF!,'Cluster counts corrected Z&lt;3'!$A11)</f>
        <v>#REF!</v>
      </c>
      <c r="J11" t="e">
        <f>SUMIFS(#REF!,#REF!,'Cluster counts corrected Z&lt;3'!$A11)</f>
        <v>#REF!</v>
      </c>
      <c r="K11" t="e">
        <f>SUMIFS(#REF!,#REF!,'Cluster counts corrected Z&lt;3'!$A11)</f>
        <v>#REF!</v>
      </c>
      <c r="L11" t="e">
        <f>SUMIFS(#REF!,#REF!,'Cluster counts corrected Z&lt;3'!$A11)</f>
        <v>#REF!</v>
      </c>
      <c r="M11" t="e">
        <f>SUMIFS(#REF!,#REF!,'Cluster counts corrected Z&lt;3'!$A11)</f>
        <v>#REF!</v>
      </c>
      <c r="N11" t="e">
        <f>SUMIFS(#REF!,#REF!,'Cluster counts corrected Z&lt;3'!$A11)</f>
        <v>#REF!</v>
      </c>
      <c r="O11" t="e">
        <f>SUMIFS(#REF!,#REF!,'Cluster counts corrected Z&lt;3'!$A11)</f>
        <v>#REF!</v>
      </c>
      <c r="P11" t="e">
        <f>SUMIFS(#REF!,#REF!,'Cluster counts corrected Z&lt;3'!$A11)</f>
        <v>#REF!</v>
      </c>
      <c r="Q11" t="e">
        <f>SUMIFS(#REF!,#REF!,'Cluster counts corrected Z&lt;3'!$A11)</f>
        <v>#REF!</v>
      </c>
      <c r="R11" t="e">
        <f>SUMIFS(#REF!,#REF!,'Cluster counts corrected Z&lt;3'!$A11)</f>
        <v>#REF!</v>
      </c>
      <c r="T11" t="e">
        <f t="shared" si="0"/>
        <v>#REF!</v>
      </c>
      <c r="U11" t="e">
        <f t="shared" si="1"/>
        <v>#REF!</v>
      </c>
      <c r="V11" t="e">
        <f t="shared" si="2"/>
        <v>#REF!</v>
      </c>
      <c r="W11" t="e">
        <f t="shared" si="3"/>
        <v>#REF!</v>
      </c>
      <c r="X11" t="e">
        <f t="shared" si="4"/>
        <v>#REF!</v>
      </c>
    </row>
    <row r="12" spans="1:24" x14ac:dyDescent="0.35">
      <c r="A12">
        <v>10</v>
      </c>
      <c r="B12" t="e">
        <f>SUMIFS(#REF!,#REF!,'Cluster counts corrected Z&lt;3'!$A12)</f>
        <v>#REF!</v>
      </c>
      <c r="C12" t="e">
        <f>SUMIFS(#REF!,#REF!,'Cluster counts corrected Z&lt;3'!$A12)</f>
        <v>#REF!</v>
      </c>
      <c r="D12" t="e">
        <f>SUMIFS(#REF!,#REF!,'Cluster counts corrected Z&lt;3'!$A12)</f>
        <v>#REF!</v>
      </c>
      <c r="E12" t="e">
        <f>SUMIFS(#REF!,#REF!,'Cluster counts corrected Z&lt;3'!$A12)</f>
        <v>#REF!</v>
      </c>
      <c r="F12" t="e">
        <f>SUMIFS(#REF!,#REF!,'Cluster counts corrected Z&lt;3'!$A12)</f>
        <v>#REF!</v>
      </c>
      <c r="G12" t="e">
        <f>SUMIFS(#REF!,#REF!,'Cluster counts corrected Z&lt;3'!$A12)</f>
        <v>#REF!</v>
      </c>
      <c r="H12" t="e">
        <f>SUMIFS(#REF!,#REF!,'Cluster counts corrected Z&lt;3'!$A12)</f>
        <v>#REF!</v>
      </c>
      <c r="I12" t="e">
        <f>SUMIFS(#REF!,#REF!,'Cluster counts corrected Z&lt;3'!$A12)</f>
        <v>#REF!</v>
      </c>
      <c r="J12" t="e">
        <f>SUMIFS(#REF!,#REF!,'Cluster counts corrected Z&lt;3'!$A12)</f>
        <v>#REF!</v>
      </c>
      <c r="K12" t="e">
        <f>SUMIFS(#REF!,#REF!,'Cluster counts corrected Z&lt;3'!$A12)</f>
        <v>#REF!</v>
      </c>
      <c r="L12" t="e">
        <f>SUMIFS(#REF!,#REF!,'Cluster counts corrected Z&lt;3'!$A12)</f>
        <v>#REF!</v>
      </c>
      <c r="M12" t="e">
        <f>SUMIFS(#REF!,#REF!,'Cluster counts corrected Z&lt;3'!$A12)</f>
        <v>#REF!</v>
      </c>
      <c r="N12" t="e">
        <f>SUMIFS(#REF!,#REF!,'Cluster counts corrected Z&lt;3'!$A12)</f>
        <v>#REF!</v>
      </c>
      <c r="O12" t="e">
        <f>SUMIFS(#REF!,#REF!,'Cluster counts corrected Z&lt;3'!$A12)</f>
        <v>#REF!</v>
      </c>
      <c r="P12" t="e">
        <f>SUMIFS(#REF!,#REF!,'Cluster counts corrected Z&lt;3'!$A12)</f>
        <v>#REF!</v>
      </c>
      <c r="Q12" t="e">
        <f>SUMIFS(#REF!,#REF!,'Cluster counts corrected Z&lt;3'!$A12)</f>
        <v>#REF!</v>
      </c>
      <c r="R12" t="e">
        <f>SUMIFS(#REF!,#REF!,'Cluster counts corrected Z&lt;3'!$A12)</f>
        <v>#REF!</v>
      </c>
      <c r="T12" t="e">
        <f t="shared" si="0"/>
        <v>#REF!</v>
      </c>
      <c r="U12" t="e">
        <f t="shared" si="1"/>
        <v>#REF!</v>
      </c>
      <c r="V12" t="e">
        <f t="shared" si="2"/>
        <v>#REF!</v>
      </c>
      <c r="W12" t="e">
        <f t="shared" si="3"/>
        <v>#REF!</v>
      </c>
      <c r="X12" t="e">
        <f t="shared" si="4"/>
        <v>#REF!</v>
      </c>
    </row>
    <row r="13" spans="1:24" x14ac:dyDescent="0.35">
      <c r="A13">
        <v>11</v>
      </c>
      <c r="B13" t="e">
        <f>SUMIFS(#REF!,#REF!,'Cluster counts corrected Z&lt;3'!$A13)</f>
        <v>#REF!</v>
      </c>
      <c r="C13" t="e">
        <f>SUMIFS(#REF!,#REF!,'Cluster counts corrected Z&lt;3'!$A13)</f>
        <v>#REF!</v>
      </c>
      <c r="D13" t="e">
        <f>SUMIFS(#REF!,#REF!,'Cluster counts corrected Z&lt;3'!$A13)</f>
        <v>#REF!</v>
      </c>
      <c r="E13" t="e">
        <f>SUMIFS(#REF!,#REF!,'Cluster counts corrected Z&lt;3'!$A13)</f>
        <v>#REF!</v>
      </c>
      <c r="F13" t="e">
        <f>SUMIFS(#REF!,#REF!,'Cluster counts corrected Z&lt;3'!$A13)</f>
        <v>#REF!</v>
      </c>
      <c r="G13" t="e">
        <f>SUMIFS(#REF!,#REF!,'Cluster counts corrected Z&lt;3'!$A13)</f>
        <v>#REF!</v>
      </c>
      <c r="H13" t="e">
        <f>SUMIFS(#REF!,#REF!,'Cluster counts corrected Z&lt;3'!$A13)</f>
        <v>#REF!</v>
      </c>
      <c r="I13" t="e">
        <f>SUMIFS(#REF!,#REF!,'Cluster counts corrected Z&lt;3'!$A13)</f>
        <v>#REF!</v>
      </c>
      <c r="J13" t="e">
        <f>SUMIFS(#REF!,#REF!,'Cluster counts corrected Z&lt;3'!$A13)</f>
        <v>#REF!</v>
      </c>
      <c r="K13" t="e">
        <f>SUMIFS(#REF!,#REF!,'Cluster counts corrected Z&lt;3'!$A13)</f>
        <v>#REF!</v>
      </c>
      <c r="L13" t="e">
        <f>SUMIFS(#REF!,#REF!,'Cluster counts corrected Z&lt;3'!$A13)</f>
        <v>#REF!</v>
      </c>
      <c r="M13" t="e">
        <f>SUMIFS(#REF!,#REF!,'Cluster counts corrected Z&lt;3'!$A13)</f>
        <v>#REF!</v>
      </c>
      <c r="N13" t="e">
        <f>SUMIFS(#REF!,#REF!,'Cluster counts corrected Z&lt;3'!$A13)</f>
        <v>#REF!</v>
      </c>
      <c r="O13" t="e">
        <f>SUMIFS(#REF!,#REF!,'Cluster counts corrected Z&lt;3'!$A13)</f>
        <v>#REF!</v>
      </c>
      <c r="P13" t="e">
        <f>SUMIFS(#REF!,#REF!,'Cluster counts corrected Z&lt;3'!$A13)</f>
        <v>#REF!</v>
      </c>
      <c r="Q13" t="e">
        <f>SUMIFS(#REF!,#REF!,'Cluster counts corrected Z&lt;3'!$A13)</f>
        <v>#REF!</v>
      </c>
      <c r="R13" t="e">
        <f>SUMIFS(#REF!,#REF!,'Cluster counts corrected Z&lt;3'!$A13)</f>
        <v>#REF!</v>
      </c>
      <c r="T13" t="e">
        <f t="shared" si="0"/>
        <v>#REF!</v>
      </c>
      <c r="U13" t="e">
        <f t="shared" si="1"/>
        <v>#REF!</v>
      </c>
      <c r="V13" t="e">
        <f t="shared" si="2"/>
        <v>#REF!</v>
      </c>
      <c r="W13" t="e">
        <f t="shared" si="3"/>
        <v>#REF!</v>
      </c>
      <c r="X13" t="e">
        <f t="shared" si="4"/>
        <v>#REF!</v>
      </c>
    </row>
    <row r="14" spans="1:24" x14ac:dyDescent="0.35">
      <c r="A14">
        <v>12</v>
      </c>
      <c r="B14" t="e">
        <f>SUMIFS(#REF!,#REF!,'Cluster counts corrected Z&lt;3'!$A14)</f>
        <v>#REF!</v>
      </c>
      <c r="C14" t="e">
        <f>SUMIFS(#REF!,#REF!,'Cluster counts corrected Z&lt;3'!$A14)</f>
        <v>#REF!</v>
      </c>
      <c r="D14" t="e">
        <f>SUMIFS(#REF!,#REF!,'Cluster counts corrected Z&lt;3'!$A14)</f>
        <v>#REF!</v>
      </c>
      <c r="E14" t="e">
        <f>SUMIFS(#REF!,#REF!,'Cluster counts corrected Z&lt;3'!$A14)</f>
        <v>#REF!</v>
      </c>
      <c r="F14" t="e">
        <f>SUMIFS(#REF!,#REF!,'Cluster counts corrected Z&lt;3'!$A14)</f>
        <v>#REF!</v>
      </c>
      <c r="G14" t="e">
        <f>SUMIFS(#REF!,#REF!,'Cluster counts corrected Z&lt;3'!$A14)</f>
        <v>#REF!</v>
      </c>
      <c r="H14" t="e">
        <f>SUMIFS(#REF!,#REF!,'Cluster counts corrected Z&lt;3'!$A14)</f>
        <v>#REF!</v>
      </c>
      <c r="I14" t="e">
        <f>SUMIFS(#REF!,#REF!,'Cluster counts corrected Z&lt;3'!$A14)</f>
        <v>#REF!</v>
      </c>
      <c r="J14" t="e">
        <f>SUMIFS(#REF!,#REF!,'Cluster counts corrected Z&lt;3'!$A14)</f>
        <v>#REF!</v>
      </c>
      <c r="K14" t="e">
        <f>SUMIFS(#REF!,#REF!,'Cluster counts corrected Z&lt;3'!$A14)</f>
        <v>#REF!</v>
      </c>
      <c r="L14" t="e">
        <f>SUMIFS(#REF!,#REF!,'Cluster counts corrected Z&lt;3'!$A14)</f>
        <v>#REF!</v>
      </c>
      <c r="M14" t="e">
        <f>SUMIFS(#REF!,#REF!,'Cluster counts corrected Z&lt;3'!$A14)</f>
        <v>#REF!</v>
      </c>
      <c r="N14" t="e">
        <f>SUMIFS(#REF!,#REF!,'Cluster counts corrected Z&lt;3'!$A14)</f>
        <v>#REF!</v>
      </c>
      <c r="O14" t="e">
        <f>SUMIFS(#REF!,#REF!,'Cluster counts corrected Z&lt;3'!$A14)</f>
        <v>#REF!</v>
      </c>
      <c r="P14" t="e">
        <f>SUMIFS(#REF!,#REF!,'Cluster counts corrected Z&lt;3'!$A14)</f>
        <v>#REF!</v>
      </c>
      <c r="Q14" t="e">
        <f>SUMIFS(#REF!,#REF!,'Cluster counts corrected Z&lt;3'!$A14)</f>
        <v>#REF!</v>
      </c>
      <c r="R14" t="e">
        <f>SUMIFS(#REF!,#REF!,'Cluster counts corrected Z&lt;3'!$A14)</f>
        <v>#REF!</v>
      </c>
      <c r="T14" t="e">
        <f t="shared" si="0"/>
        <v>#REF!</v>
      </c>
      <c r="U14" t="e">
        <f t="shared" si="1"/>
        <v>#REF!</v>
      </c>
      <c r="V14" t="e">
        <f t="shared" si="2"/>
        <v>#REF!</v>
      </c>
      <c r="W14" t="e">
        <f t="shared" si="3"/>
        <v>#REF!</v>
      </c>
      <c r="X14" t="e">
        <f t="shared" si="4"/>
        <v>#REF!</v>
      </c>
    </row>
    <row r="15" spans="1:24" x14ac:dyDescent="0.35">
      <c r="A15">
        <v>13</v>
      </c>
      <c r="B15" t="e">
        <f>SUMIFS(#REF!,#REF!,'Cluster counts corrected Z&lt;3'!$A15)</f>
        <v>#REF!</v>
      </c>
      <c r="C15" t="e">
        <f>SUMIFS(#REF!,#REF!,'Cluster counts corrected Z&lt;3'!$A15)</f>
        <v>#REF!</v>
      </c>
      <c r="D15" t="e">
        <f>SUMIFS(#REF!,#REF!,'Cluster counts corrected Z&lt;3'!$A15)</f>
        <v>#REF!</v>
      </c>
      <c r="E15" t="e">
        <f>SUMIFS(#REF!,#REF!,'Cluster counts corrected Z&lt;3'!$A15)</f>
        <v>#REF!</v>
      </c>
      <c r="F15" t="e">
        <f>SUMIFS(#REF!,#REF!,'Cluster counts corrected Z&lt;3'!$A15)</f>
        <v>#REF!</v>
      </c>
      <c r="G15" t="e">
        <f>SUMIFS(#REF!,#REF!,'Cluster counts corrected Z&lt;3'!$A15)</f>
        <v>#REF!</v>
      </c>
      <c r="H15" t="e">
        <f>SUMIFS(#REF!,#REF!,'Cluster counts corrected Z&lt;3'!$A15)</f>
        <v>#REF!</v>
      </c>
      <c r="I15" t="e">
        <f>SUMIFS(#REF!,#REF!,'Cluster counts corrected Z&lt;3'!$A15)</f>
        <v>#REF!</v>
      </c>
      <c r="J15" t="e">
        <f>SUMIFS(#REF!,#REF!,'Cluster counts corrected Z&lt;3'!$A15)</f>
        <v>#REF!</v>
      </c>
      <c r="K15" t="e">
        <f>SUMIFS(#REF!,#REF!,'Cluster counts corrected Z&lt;3'!$A15)</f>
        <v>#REF!</v>
      </c>
      <c r="L15" t="e">
        <f>SUMIFS(#REF!,#REF!,'Cluster counts corrected Z&lt;3'!$A15)</f>
        <v>#REF!</v>
      </c>
      <c r="M15" t="e">
        <f>SUMIFS(#REF!,#REF!,'Cluster counts corrected Z&lt;3'!$A15)</f>
        <v>#REF!</v>
      </c>
      <c r="N15" t="e">
        <f>SUMIFS(#REF!,#REF!,'Cluster counts corrected Z&lt;3'!$A15)</f>
        <v>#REF!</v>
      </c>
      <c r="O15" t="e">
        <f>SUMIFS(#REF!,#REF!,'Cluster counts corrected Z&lt;3'!$A15)</f>
        <v>#REF!</v>
      </c>
      <c r="P15" t="e">
        <f>SUMIFS(#REF!,#REF!,'Cluster counts corrected Z&lt;3'!$A15)</f>
        <v>#REF!</v>
      </c>
      <c r="Q15" t="e">
        <f>SUMIFS(#REF!,#REF!,'Cluster counts corrected Z&lt;3'!$A15)</f>
        <v>#REF!</v>
      </c>
      <c r="R15" t="e">
        <f>SUMIFS(#REF!,#REF!,'Cluster counts corrected Z&lt;3'!$A15)</f>
        <v>#REF!</v>
      </c>
      <c r="T15" t="e">
        <f t="shared" si="0"/>
        <v>#REF!</v>
      </c>
      <c r="U15" t="e">
        <f t="shared" si="1"/>
        <v>#REF!</v>
      </c>
      <c r="V15" t="e">
        <f t="shared" si="2"/>
        <v>#REF!</v>
      </c>
      <c r="W15" t="e">
        <f t="shared" si="3"/>
        <v>#REF!</v>
      </c>
      <c r="X15" t="e">
        <f t="shared" si="4"/>
        <v>#REF!</v>
      </c>
    </row>
    <row r="16" spans="1:24" x14ac:dyDescent="0.35">
      <c r="A16">
        <v>14</v>
      </c>
      <c r="B16" t="e">
        <f>SUMIFS(#REF!,#REF!,'Cluster counts corrected Z&lt;3'!$A16)</f>
        <v>#REF!</v>
      </c>
      <c r="C16" t="e">
        <f>SUMIFS(#REF!,#REF!,'Cluster counts corrected Z&lt;3'!$A16)</f>
        <v>#REF!</v>
      </c>
      <c r="D16" t="e">
        <f>SUMIFS(#REF!,#REF!,'Cluster counts corrected Z&lt;3'!$A16)</f>
        <v>#REF!</v>
      </c>
      <c r="E16" t="e">
        <f>SUMIFS(#REF!,#REF!,'Cluster counts corrected Z&lt;3'!$A16)</f>
        <v>#REF!</v>
      </c>
      <c r="F16" t="e">
        <f>SUMIFS(#REF!,#REF!,'Cluster counts corrected Z&lt;3'!$A16)</f>
        <v>#REF!</v>
      </c>
      <c r="G16" t="e">
        <f>SUMIFS(#REF!,#REF!,'Cluster counts corrected Z&lt;3'!$A16)</f>
        <v>#REF!</v>
      </c>
      <c r="H16" t="e">
        <f>SUMIFS(#REF!,#REF!,'Cluster counts corrected Z&lt;3'!$A16)</f>
        <v>#REF!</v>
      </c>
      <c r="I16" t="e">
        <f>SUMIFS(#REF!,#REF!,'Cluster counts corrected Z&lt;3'!$A16)</f>
        <v>#REF!</v>
      </c>
      <c r="J16" t="e">
        <f>SUMIFS(#REF!,#REF!,'Cluster counts corrected Z&lt;3'!$A16)</f>
        <v>#REF!</v>
      </c>
      <c r="K16" t="e">
        <f>SUMIFS(#REF!,#REF!,'Cluster counts corrected Z&lt;3'!$A16)</f>
        <v>#REF!</v>
      </c>
      <c r="L16" t="e">
        <f>SUMIFS(#REF!,#REF!,'Cluster counts corrected Z&lt;3'!$A16)</f>
        <v>#REF!</v>
      </c>
      <c r="M16" t="e">
        <f>SUMIFS(#REF!,#REF!,'Cluster counts corrected Z&lt;3'!$A16)</f>
        <v>#REF!</v>
      </c>
      <c r="N16" t="e">
        <f>SUMIFS(#REF!,#REF!,'Cluster counts corrected Z&lt;3'!$A16)</f>
        <v>#REF!</v>
      </c>
      <c r="O16" t="e">
        <f>SUMIFS(#REF!,#REF!,'Cluster counts corrected Z&lt;3'!$A16)</f>
        <v>#REF!</v>
      </c>
      <c r="P16" t="e">
        <f>SUMIFS(#REF!,#REF!,'Cluster counts corrected Z&lt;3'!$A16)</f>
        <v>#REF!</v>
      </c>
      <c r="Q16" t="e">
        <f>SUMIFS(#REF!,#REF!,'Cluster counts corrected Z&lt;3'!$A16)</f>
        <v>#REF!</v>
      </c>
      <c r="R16" t="e">
        <f>SUMIFS(#REF!,#REF!,'Cluster counts corrected Z&lt;3'!$A16)</f>
        <v>#REF!</v>
      </c>
      <c r="T16" t="e">
        <f t="shared" si="0"/>
        <v>#REF!</v>
      </c>
      <c r="U16" t="e">
        <f t="shared" si="1"/>
        <v>#REF!</v>
      </c>
      <c r="V16" t="e">
        <f t="shared" si="2"/>
        <v>#REF!</v>
      </c>
      <c r="W16" t="e">
        <f t="shared" si="3"/>
        <v>#REF!</v>
      </c>
      <c r="X16" t="e">
        <f t="shared" si="4"/>
        <v>#REF!</v>
      </c>
    </row>
    <row r="17" spans="1:24" x14ac:dyDescent="0.35">
      <c r="A17">
        <v>15</v>
      </c>
      <c r="B17" t="e">
        <f>SUMIFS(#REF!,#REF!,'Cluster counts corrected Z&lt;3'!$A17)</f>
        <v>#REF!</v>
      </c>
      <c r="C17" t="e">
        <f>SUMIFS(#REF!,#REF!,'Cluster counts corrected Z&lt;3'!$A17)</f>
        <v>#REF!</v>
      </c>
      <c r="D17" t="e">
        <f>SUMIFS(#REF!,#REF!,'Cluster counts corrected Z&lt;3'!$A17)</f>
        <v>#REF!</v>
      </c>
      <c r="E17" t="e">
        <f>SUMIFS(#REF!,#REF!,'Cluster counts corrected Z&lt;3'!$A17)</f>
        <v>#REF!</v>
      </c>
      <c r="F17" t="e">
        <f>SUMIFS(#REF!,#REF!,'Cluster counts corrected Z&lt;3'!$A17)</f>
        <v>#REF!</v>
      </c>
      <c r="G17" t="e">
        <f>SUMIFS(#REF!,#REF!,'Cluster counts corrected Z&lt;3'!$A17)</f>
        <v>#REF!</v>
      </c>
      <c r="H17" t="e">
        <f>SUMIFS(#REF!,#REF!,'Cluster counts corrected Z&lt;3'!$A17)</f>
        <v>#REF!</v>
      </c>
      <c r="I17" t="e">
        <f>SUMIFS(#REF!,#REF!,'Cluster counts corrected Z&lt;3'!$A17)</f>
        <v>#REF!</v>
      </c>
      <c r="J17" t="e">
        <f>SUMIFS(#REF!,#REF!,'Cluster counts corrected Z&lt;3'!$A17)</f>
        <v>#REF!</v>
      </c>
      <c r="K17" t="e">
        <f>SUMIFS(#REF!,#REF!,'Cluster counts corrected Z&lt;3'!$A17)</f>
        <v>#REF!</v>
      </c>
      <c r="L17" t="e">
        <f>SUMIFS(#REF!,#REF!,'Cluster counts corrected Z&lt;3'!$A17)</f>
        <v>#REF!</v>
      </c>
      <c r="M17" t="e">
        <f>SUMIFS(#REF!,#REF!,'Cluster counts corrected Z&lt;3'!$A17)</f>
        <v>#REF!</v>
      </c>
      <c r="N17" t="e">
        <f>SUMIFS(#REF!,#REF!,'Cluster counts corrected Z&lt;3'!$A17)</f>
        <v>#REF!</v>
      </c>
      <c r="O17" t="e">
        <f>SUMIFS(#REF!,#REF!,'Cluster counts corrected Z&lt;3'!$A17)</f>
        <v>#REF!</v>
      </c>
      <c r="P17" t="e">
        <f>SUMIFS(#REF!,#REF!,'Cluster counts corrected Z&lt;3'!$A17)</f>
        <v>#REF!</v>
      </c>
      <c r="Q17" t="e">
        <f>SUMIFS(#REF!,#REF!,'Cluster counts corrected Z&lt;3'!$A17)</f>
        <v>#REF!</v>
      </c>
      <c r="R17" t="e">
        <f>SUMIFS(#REF!,#REF!,'Cluster counts corrected Z&lt;3'!$A17)</f>
        <v>#REF!</v>
      </c>
      <c r="T17" t="e">
        <f t="shared" si="0"/>
        <v>#REF!</v>
      </c>
      <c r="U17" t="e">
        <f t="shared" si="1"/>
        <v>#REF!</v>
      </c>
      <c r="V17" t="e">
        <f t="shared" si="2"/>
        <v>#REF!</v>
      </c>
      <c r="W17" t="e">
        <f t="shared" si="3"/>
        <v>#REF!</v>
      </c>
      <c r="X17" t="e">
        <f t="shared" si="4"/>
        <v>#REF!</v>
      </c>
    </row>
    <row r="18" spans="1:24" x14ac:dyDescent="0.35">
      <c r="A18">
        <v>16</v>
      </c>
      <c r="B18" t="e">
        <f>SUMIFS(#REF!,#REF!,'Cluster counts corrected Z&lt;3'!$A18)</f>
        <v>#REF!</v>
      </c>
      <c r="C18" t="e">
        <f>SUMIFS(#REF!,#REF!,'Cluster counts corrected Z&lt;3'!$A18)</f>
        <v>#REF!</v>
      </c>
      <c r="D18" t="e">
        <f>SUMIFS(#REF!,#REF!,'Cluster counts corrected Z&lt;3'!$A18)</f>
        <v>#REF!</v>
      </c>
      <c r="E18" t="e">
        <f>SUMIFS(#REF!,#REF!,'Cluster counts corrected Z&lt;3'!$A18)</f>
        <v>#REF!</v>
      </c>
      <c r="F18" t="e">
        <f>SUMIFS(#REF!,#REF!,'Cluster counts corrected Z&lt;3'!$A18)</f>
        <v>#REF!</v>
      </c>
      <c r="G18" t="e">
        <f>SUMIFS(#REF!,#REF!,'Cluster counts corrected Z&lt;3'!$A18)</f>
        <v>#REF!</v>
      </c>
      <c r="H18" t="e">
        <f>SUMIFS(#REF!,#REF!,'Cluster counts corrected Z&lt;3'!$A18)</f>
        <v>#REF!</v>
      </c>
      <c r="I18" t="e">
        <f>SUMIFS(#REF!,#REF!,'Cluster counts corrected Z&lt;3'!$A18)</f>
        <v>#REF!</v>
      </c>
      <c r="J18" t="e">
        <f>SUMIFS(#REF!,#REF!,'Cluster counts corrected Z&lt;3'!$A18)</f>
        <v>#REF!</v>
      </c>
      <c r="K18" t="e">
        <f>SUMIFS(#REF!,#REF!,'Cluster counts corrected Z&lt;3'!$A18)</f>
        <v>#REF!</v>
      </c>
      <c r="L18" t="e">
        <f>SUMIFS(#REF!,#REF!,'Cluster counts corrected Z&lt;3'!$A18)</f>
        <v>#REF!</v>
      </c>
      <c r="M18" t="e">
        <f>SUMIFS(#REF!,#REF!,'Cluster counts corrected Z&lt;3'!$A18)</f>
        <v>#REF!</v>
      </c>
      <c r="N18" t="e">
        <f>SUMIFS(#REF!,#REF!,'Cluster counts corrected Z&lt;3'!$A18)</f>
        <v>#REF!</v>
      </c>
      <c r="O18" t="e">
        <f>SUMIFS(#REF!,#REF!,'Cluster counts corrected Z&lt;3'!$A18)</f>
        <v>#REF!</v>
      </c>
      <c r="P18" t="e">
        <f>SUMIFS(#REF!,#REF!,'Cluster counts corrected Z&lt;3'!$A18)</f>
        <v>#REF!</v>
      </c>
      <c r="Q18" t="e">
        <f>SUMIFS(#REF!,#REF!,'Cluster counts corrected Z&lt;3'!$A18)</f>
        <v>#REF!</v>
      </c>
      <c r="R18" t="e">
        <f>SUMIFS(#REF!,#REF!,'Cluster counts corrected Z&lt;3'!$A18)</f>
        <v>#REF!</v>
      </c>
      <c r="T18" t="e">
        <f t="shared" si="0"/>
        <v>#REF!</v>
      </c>
      <c r="U18" t="e">
        <f t="shared" si="1"/>
        <v>#REF!</v>
      </c>
      <c r="V18" t="e">
        <f t="shared" si="2"/>
        <v>#REF!</v>
      </c>
      <c r="W18" t="e">
        <f t="shared" si="3"/>
        <v>#REF!</v>
      </c>
      <c r="X18" t="e">
        <f t="shared" si="4"/>
        <v>#REF!</v>
      </c>
    </row>
    <row r="19" spans="1:24" x14ac:dyDescent="0.35">
      <c r="A19">
        <v>17</v>
      </c>
      <c r="B19" t="e">
        <f>SUMIFS(#REF!,#REF!,'Cluster counts corrected Z&lt;3'!$A19)</f>
        <v>#REF!</v>
      </c>
      <c r="C19" t="e">
        <f>SUMIFS(#REF!,#REF!,'Cluster counts corrected Z&lt;3'!$A19)</f>
        <v>#REF!</v>
      </c>
      <c r="D19" t="e">
        <f>SUMIFS(#REF!,#REF!,'Cluster counts corrected Z&lt;3'!$A19)</f>
        <v>#REF!</v>
      </c>
      <c r="E19" t="e">
        <f>SUMIFS(#REF!,#REF!,'Cluster counts corrected Z&lt;3'!$A19)</f>
        <v>#REF!</v>
      </c>
      <c r="F19" t="e">
        <f>SUMIFS(#REF!,#REF!,'Cluster counts corrected Z&lt;3'!$A19)</f>
        <v>#REF!</v>
      </c>
      <c r="G19" t="e">
        <f>SUMIFS(#REF!,#REF!,'Cluster counts corrected Z&lt;3'!$A19)</f>
        <v>#REF!</v>
      </c>
      <c r="H19" t="e">
        <f>SUMIFS(#REF!,#REF!,'Cluster counts corrected Z&lt;3'!$A19)</f>
        <v>#REF!</v>
      </c>
      <c r="I19" t="e">
        <f>SUMIFS(#REF!,#REF!,'Cluster counts corrected Z&lt;3'!$A19)</f>
        <v>#REF!</v>
      </c>
      <c r="J19" t="e">
        <f>SUMIFS(#REF!,#REF!,'Cluster counts corrected Z&lt;3'!$A19)</f>
        <v>#REF!</v>
      </c>
      <c r="K19" t="e">
        <f>SUMIFS(#REF!,#REF!,'Cluster counts corrected Z&lt;3'!$A19)</f>
        <v>#REF!</v>
      </c>
      <c r="L19" t="e">
        <f>SUMIFS(#REF!,#REF!,'Cluster counts corrected Z&lt;3'!$A19)</f>
        <v>#REF!</v>
      </c>
      <c r="M19" t="e">
        <f>SUMIFS(#REF!,#REF!,'Cluster counts corrected Z&lt;3'!$A19)</f>
        <v>#REF!</v>
      </c>
      <c r="N19" t="e">
        <f>SUMIFS(#REF!,#REF!,'Cluster counts corrected Z&lt;3'!$A19)</f>
        <v>#REF!</v>
      </c>
      <c r="O19" t="e">
        <f>SUMIFS(#REF!,#REF!,'Cluster counts corrected Z&lt;3'!$A19)</f>
        <v>#REF!</v>
      </c>
      <c r="P19" t="e">
        <f>SUMIFS(#REF!,#REF!,'Cluster counts corrected Z&lt;3'!$A19)</f>
        <v>#REF!</v>
      </c>
      <c r="Q19" t="e">
        <f>SUMIFS(#REF!,#REF!,'Cluster counts corrected Z&lt;3'!$A19)</f>
        <v>#REF!</v>
      </c>
      <c r="R19" t="e">
        <f>SUMIFS(#REF!,#REF!,'Cluster counts corrected Z&lt;3'!$A19)</f>
        <v>#REF!</v>
      </c>
      <c r="T19" t="e">
        <f t="shared" si="0"/>
        <v>#REF!</v>
      </c>
      <c r="U19" t="e">
        <f t="shared" si="1"/>
        <v>#REF!</v>
      </c>
      <c r="V19" t="e">
        <f t="shared" si="2"/>
        <v>#REF!</v>
      </c>
      <c r="W19" t="e">
        <f t="shared" si="3"/>
        <v>#REF!</v>
      </c>
      <c r="X19" t="e">
        <f t="shared" si="4"/>
        <v>#REF!</v>
      </c>
    </row>
    <row r="20" spans="1:24" x14ac:dyDescent="0.35">
      <c r="A20">
        <v>18</v>
      </c>
      <c r="B20" t="e">
        <f>SUMIFS(#REF!,#REF!,'Cluster counts corrected Z&lt;3'!$A20)</f>
        <v>#REF!</v>
      </c>
      <c r="C20" t="e">
        <f>SUMIFS(#REF!,#REF!,'Cluster counts corrected Z&lt;3'!$A20)</f>
        <v>#REF!</v>
      </c>
      <c r="D20" t="e">
        <f>SUMIFS(#REF!,#REF!,'Cluster counts corrected Z&lt;3'!$A20)</f>
        <v>#REF!</v>
      </c>
      <c r="E20" t="e">
        <f>SUMIFS(#REF!,#REF!,'Cluster counts corrected Z&lt;3'!$A20)</f>
        <v>#REF!</v>
      </c>
      <c r="F20" t="e">
        <f>SUMIFS(#REF!,#REF!,'Cluster counts corrected Z&lt;3'!$A20)</f>
        <v>#REF!</v>
      </c>
      <c r="G20" t="e">
        <f>SUMIFS(#REF!,#REF!,'Cluster counts corrected Z&lt;3'!$A20)</f>
        <v>#REF!</v>
      </c>
      <c r="H20" t="e">
        <f>SUMIFS(#REF!,#REF!,'Cluster counts corrected Z&lt;3'!$A20)</f>
        <v>#REF!</v>
      </c>
      <c r="I20" t="e">
        <f>SUMIFS(#REF!,#REF!,'Cluster counts corrected Z&lt;3'!$A20)</f>
        <v>#REF!</v>
      </c>
      <c r="J20" t="e">
        <f>SUMIFS(#REF!,#REF!,'Cluster counts corrected Z&lt;3'!$A20)</f>
        <v>#REF!</v>
      </c>
      <c r="K20" t="e">
        <f>SUMIFS(#REF!,#REF!,'Cluster counts corrected Z&lt;3'!$A20)</f>
        <v>#REF!</v>
      </c>
      <c r="L20" t="e">
        <f>SUMIFS(#REF!,#REF!,'Cluster counts corrected Z&lt;3'!$A20)</f>
        <v>#REF!</v>
      </c>
      <c r="M20" t="e">
        <f>SUMIFS(#REF!,#REF!,'Cluster counts corrected Z&lt;3'!$A20)</f>
        <v>#REF!</v>
      </c>
      <c r="N20" t="e">
        <f>SUMIFS(#REF!,#REF!,'Cluster counts corrected Z&lt;3'!$A20)</f>
        <v>#REF!</v>
      </c>
      <c r="O20" t="e">
        <f>SUMIFS(#REF!,#REF!,'Cluster counts corrected Z&lt;3'!$A20)</f>
        <v>#REF!</v>
      </c>
      <c r="P20" t="e">
        <f>SUMIFS(#REF!,#REF!,'Cluster counts corrected Z&lt;3'!$A20)</f>
        <v>#REF!</v>
      </c>
      <c r="Q20" t="e">
        <f>SUMIFS(#REF!,#REF!,'Cluster counts corrected Z&lt;3'!$A20)</f>
        <v>#REF!</v>
      </c>
      <c r="R20" t="e">
        <f>SUMIFS(#REF!,#REF!,'Cluster counts corrected Z&lt;3'!$A20)</f>
        <v>#REF!</v>
      </c>
      <c r="T20" t="e">
        <f t="shared" si="0"/>
        <v>#REF!</v>
      </c>
      <c r="U20" t="e">
        <f t="shared" si="1"/>
        <v>#REF!</v>
      </c>
      <c r="V20" t="e">
        <f t="shared" si="2"/>
        <v>#REF!</v>
      </c>
      <c r="W20" t="e">
        <f t="shared" si="3"/>
        <v>#REF!</v>
      </c>
      <c r="X20" t="e">
        <f t="shared" si="4"/>
        <v>#REF!</v>
      </c>
    </row>
    <row r="21" spans="1:24" x14ac:dyDescent="0.35">
      <c r="A21">
        <v>19</v>
      </c>
      <c r="B21" t="e">
        <f>SUMIFS(#REF!,#REF!,'Cluster counts corrected Z&lt;3'!$A21)</f>
        <v>#REF!</v>
      </c>
      <c r="C21" t="e">
        <f>SUMIFS(#REF!,#REF!,'Cluster counts corrected Z&lt;3'!$A21)</f>
        <v>#REF!</v>
      </c>
      <c r="D21" t="e">
        <f>SUMIFS(#REF!,#REF!,'Cluster counts corrected Z&lt;3'!$A21)</f>
        <v>#REF!</v>
      </c>
      <c r="E21" t="e">
        <f>SUMIFS(#REF!,#REF!,'Cluster counts corrected Z&lt;3'!$A21)</f>
        <v>#REF!</v>
      </c>
      <c r="F21" t="e">
        <f>SUMIFS(#REF!,#REF!,'Cluster counts corrected Z&lt;3'!$A21)</f>
        <v>#REF!</v>
      </c>
      <c r="G21" t="e">
        <f>SUMIFS(#REF!,#REF!,'Cluster counts corrected Z&lt;3'!$A21)</f>
        <v>#REF!</v>
      </c>
      <c r="H21" t="e">
        <f>SUMIFS(#REF!,#REF!,'Cluster counts corrected Z&lt;3'!$A21)</f>
        <v>#REF!</v>
      </c>
      <c r="I21" t="e">
        <f>SUMIFS(#REF!,#REF!,'Cluster counts corrected Z&lt;3'!$A21)</f>
        <v>#REF!</v>
      </c>
      <c r="J21" t="e">
        <f>SUMIFS(#REF!,#REF!,'Cluster counts corrected Z&lt;3'!$A21)</f>
        <v>#REF!</v>
      </c>
      <c r="K21" t="e">
        <f>SUMIFS(#REF!,#REF!,'Cluster counts corrected Z&lt;3'!$A21)</f>
        <v>#REF!</v>
      </c>
      <c r="L21" t="e">
        <f>SUMIFS(#REF!,#REF!,'Cluster counts corrected Z&lt;3'!$A21)</f>
        <v>#REF!</v>
      </c>
      <c r="M21" t="e">
        <f>SUMIFS(#REF!,#REF!,'Cluster counts corrected Z&lt;3'!$A21)</f>
        <v>#REF!</v>
      </c>
      <c r="N21" t="e">
        <f>SUMIFS(#REF!,#REF!,'Cluster counts corrected Z&lt;3'!$A21)</f>
        <v>#REF!</v>
      </c>
      <c r="O21" t="e">
        <f>SUMIFS(#REF!,#REF!,'Cluster counts corrected Z&lt;3'!$A21)</f>
        <v>#REF!</v>
      </c>
      <c r="P21" t="e">
        <f>SUMIFS(#REF!,#REF!,'Cluster counts corrected Z&lt;3'!$A21)</f>
        <v>#REF!</v>
      </c>
      <c r="Q21" t="e">
        <f>SUMIFS(#REF!,#REF!,'Cluster counts corrected Z&lt;3'!$A21)</f>
        <v>#REF!</v>
      </c>
      <c r="R21" t="e">
        <f>SUMIFS(#REF!,#REF!,'Cluster counts corrected Z&lt;3'!$A21)</f>
        <v>#REF!</v>
      </c>
      <c r="T21" t="e">
        <f t="shared" si="0"/>
        <v>#REF!</v>
      </c>
      <c r="U21" t="e">
        <f t="shared" si="1"/>
        <v>#REF!</v>
      </c>
      <c r="V21" t="e">
        <f t="shared" si="2"/>
        <v>#REF!</v>
      </c>
      <c r="W21" t="e">
        <f t="shared" si="3"/>
        <v>#REF!</v>
      </c>
      <c r="X21" t="e">
        <f t="shared" si="4"/>
        <v>#REF!</v>
      </c>
    </row>
    <row r="22" spans="1:24" x14ac:dyDescent="0.35">
      <c r="A22">
        <v>20</v>
      </c>
      <c r="B22" t="e">
        <f>SUMIFS(#REF!,#REF!,'Cluster counts corrected Z&lt;3'!$A22)</f>
        <v>#REF!</v>
      </c>
      <c r="C22" t="e">
        <f>SUMIFS(#REF!,#REF!,'Cluster counts corrected Z&lt;3'!$A22)</f>
        <v>#REF!</v>
      </c>
      <c r="D22" t="e">
        <f>SUMIFS(#REF!,#REF!,'Cluster counts corrected Z&lt;3'!$A22)</f>
        <v>#REF!</v>
      </c>
      <c r="E22" t="e">
        <f>SUMIFS(#REF!,#REF!,'Cluster counts corrected Z&lt;3'!$A22)</f>
        <v>#REF!</v>
      </c>
      <c r="F22" t="e">
        <f>SUMIFS(#REF!,#REF!,'Cluster counts corrected Z&lt;3'!$A22)</f>
        <v>#REF!</v>
      </c>
      <c r="G22" t="e">
        <f>SUMIFS(#REF!,#REF!,'Cluster counts corrected Z&lt;3'!$A22)</f>
        <v>#REF!</v>
      </c>
      <c r="H22" t="e">
        <f>SUMIFS(#REF!,#REF!,'Cluster counts corrected Z&lt;3'!$A22)</f>
        <v>#REF!</v>
      </c>
      <c r="I22" t="e">
        <f>SUMIFS(#REF!,#REF!,'Cluster counts corrected Z&lt;3'!$A22)</f>
        <v>#REF!</v>
      </c>
      <c r="J22" t="e">
        <f>SUMIFS(#REF!,#REF!,'Cluster counts corrected Z&lt;3'!$A22)</f>
        <v>#REF!</v>
      </c>
      <c r="K22" t="e">
        <f>SUMIFS(#REF!,#REF!,'Cluster counts corrected Z&lt;3'!$A22)</f>
        <v>#REF!</v>
      </c>
      <c r="L22" t="e">
        <f>SUMIFS(#REF!,#REF!,'Cluster counts corrected Z&lt;3'!$A22)</f>
        <v>#REF!</v>
      </c>
      <c r="M22" t="e">
        <f>SUMIFS(#REF!,#REF!,'Cluster counts corrected Z&lt;3'!$A22)</f>
        <v>#REF!</v>
      </c>
      <c r="N22" t="e">
        <f>SUMIFS(#REF!,#REF!,'Cluster counts corrected Z&lt;3'!$A22)</f>
        <v>#REF!</v>
      </c>
      <c r="O22" t="e">
        <f>SUMIFS(#REF!,#REF!,'Cluster counts corrected Z&lt;3'!$A22)</f>
        <v>#REF!</v>
      </c>
      <c r="P22" t="e">
        <f>SUMIFS(#REF!,#REF!,'Cluster counts corrected Z&lt;3'!$A22)</f>
        <v>#REF!</v>
      </c>
      <c r="Q22" t="e">
        <f>SUMIFS(#REF!,#REF!,'Cluster counts corrected Z&lt;3'!$A22)</f>
        <v>#REF!</v>
      </c>
      <c r="R22" t="e">
        <f>SUMIFS(#REF!,#REF!,'Cluster counts corrected Z&lt;3'!$A22)</f>
        <v>#REF!</v>
      </c>
      <c r="T22" t="e">
        <f t="shared" si="0"/>
        <v>#REF!</v>
      </c>
      <c r="U22" t="e">
        <f t="shared" si="1"/>
        <v>#REF!</v>
      </c>
      <c r="V22" t="e">
        <f t="shared" si="2"/>
        <v>#REF!</v>
      </c>
      <c r="W22" t="e">
        <f t="shared" si="3"/>
        <v>#REF!</v>
      </c>
      <c r="X22" t="e">
        <f t="shared" si="4"/>
        <v>#REF!</v>
      </c>
    </row>
    <row r="23" spans="1:24" x14ac:dyDescent="0.35">
      <c r="A23">
        <v>21</v>
      </c>
      <c r="B23" t="e">
        <f>SUMIFS(#REF!,#REF!,'Cluster counts corrected Z&lt;3'!$A23)</f>
        <v>#REF!</v>
      </c>
      <c r="C23" t="e">
        <f>SUMIFS(#REF!,#REF!,'Cluster counts corrected Z&lt;3'!$A23)</f>
        <v>#REF!</v>
      </c>
      <c r="D23" t="e">
        <f>SUMIFS(#REF!,#REF!,'Cluster counts corrected Z&lt;3'!$A23)</f>
        <v>#REF!</v>
      </c>
      <c r="E23" t="e">
        <f>SUMIFS(#REF!,#REF!,'Cluster counts corrected Z&lt;3'!$A23)</f>
        <v>#REF!</v>
      </c>
      <c r="F23" t="e">
        <f>SUMIFS(#REF!,#REF!,'Cluster counts corrected Z&lt;3'!$A23)</f>
        <v>#REF!</v>
      </c>
      <c r="G23" t="e">
        <f>SUMIFS(#REF!,#REF!,'Cluster counts corrected Z&lt;3'!$A23)</f>
        <v>#REF!</v>
      </c>
      <c r="H23" t="e">
        <f>SUMIFS(#REF!,#REF!,'Cluster counts corrected Z&lt;3'!$A23)</f>
        <v>#REF!</v>
      </c>
      <c r="I23" t="e">
        <f>SUMIFS(#REF!,#REF!,'Cluster counts corrected Z&lt;3'!$A23)</f>
        <v>#REF!</v>
      </c>
      <c r="J23" t="e">
        <f>SUMIFS(#REF!,#REF!,'Cluster counts corrected Z&lt;3'!$A23)</f>
        <v>#REF!</v>
      </c>
      <c r="K23" t="e">
        <f>SUMIFS(#REF!,#REF!,'Cluster counts corrected Z&lt;3'!$A23)</f>
        <v>#REF!</v>
      </c>
      <c r="L23" t="e">
        <f>SUMIFS(#REF!,#REF!,'Cluster counts corrected Z&lt;3'!$A23)</f>
        <v>#REF!</v>
      </c>
      <c r="M23" t="e">
        <f>SUMIFS(#REF!,#REF!,'Cluster counts corrected Z&lt;3'!$A23)</f>
        <v>#REF!</v>
      </c>
      <c r="N23" t="e">
        <f>SUMIFS(#REF!,#REF!,'Cluster counts corrected Z&lt;3'!$A23)</f>
        <v>#REF!</v>
      </c>
      <c r="O23" t="e">
        <f>SUMIFS(#REF!,#REF!,'Cluster counts corrected Z&lt;3'!$A23)</f>
        <v>#REF!</v>
      </c>
      <c r="P23" t="e">
        <f>SUMIFS(#REF!,#REF!,'Cluster counts corrected Z&lt;3'!$A23)</f>
        <v>#REF!</v>
      </c>
      <c r="Q23" t="e">
        <f>SUMIFS(#REF!,#REF!,'Cluster counts corrected Z&lt;3'!$A23)</f>
        <v>#REF!</v>
      </c>
      <c r="R23" t="e">
        <f>SUMIFS(#REF!,#REF!,'Cluster counts corrected Z&lt;3'!$A23)</f>
        <v>#REF!</v>
      </c>
      <c r="T23" t="e">
        <f t="shared" si="0"/>
        <v>#REF!</v>
      </c>
      <c r="U23" t="e">
        <f t="shared" si="1"/>
        <v>#REF!</v>
      </c>
      <c r="V23" t="e">
        <f t="shared" si="2"/>
        <v>#REF!</v>
      </c>
      <c r="W23" t="e">
        <f t="shared" si="3"/>
        <v>#REF!</v>
      </c>
      <c r="X23" t="e">
        <f t="shared" si="4"/>
        <v>#REF!</v>
      </c>
    </row>
    <row r="24" spans="1:24" x14ac:dyDescent="0.35">
      <c r="A24">
        <v>22</v>
      </c>
      <c r="B24" t="e">
        <f>SUMIFS(#REF!,#REF!,'Cluster counts corrected Z&lt;3'!$A24)</f>
        <v>#REF!</v>
      </c>
      <c r="C24" t="e">
        <f>SUMIFS(#REF!,#REF!,'Cluster counts corrected Z&lt;3'!$A24)</f>
        <v>#REF!</v>
      </c>
      <c r="D24" t="e">
        <f>SUMIFS(#REF!,#REF!,'Cluster counts corrected Z&lt;3'!$A24)</f>
        <v>#REF!</v>
      </c>
      <c r="E24" t="e">
        <f>SUMIFS(#REF!,#REF!,'Cluster counts corrected Z&lt;3'!$A24)</f>
        <v>#REF!</v>
      </c>
      <c r="F24" t="e">
        <f>SUMIFS(#REF!,#REF!,'Cluster counts corrected Z&lt;3'!$A24)</f>
        <v>#REF!</v>
      </c>
      <c r="G24" t="e">
        <f>SUMIFS(#REF!,#REF!,'Cluster counts corrected Z&lt;3'!$A24)</f>
        <v>#REF!</v>
      </c>
      <c r="H24" t="e">
        <f>SUMIFS(#REF!,#REF!,'Cluster counts corrected Z&lt;3'!$A24)</f>
        <v>#REF!</v>
      </c>
      <c r="I24" t="e">
        <f>SUMIFS(#REF!,#REF!,'Cluster counts corrected Z&lt;3'!$A24)</f>
        <v>#REF!</v>
      </c>
      <c r="J24" t="e">
        <f>SUMIFS(#REF!,#REF!,'Cluster counts corrected Z&lt;3'!$A24)</f>
        <v>#REF!</v>
      </c>
      <c r="K24" t="e">
        <f>SUMIFS(#REF!,#REF!,'Cluster counts corrected Z&lt;3'!$A24)</f>
        <v>#REF!</v>
      </c>
      <c r="L24" t="e">
        <f>SUMIFS(#REF!,#REF!,'Cluster counts corrected Z&lt;3'!$A24)</f>
        <v>#REF!</v>
      </c>
      <c r="M24" t="e">
        <f>SUMIFS(#REF!,#REF!,'Cluster counts corrected Z&lt;3'!$A24)</f>
        <v>#REF!</v>
      </c>
      <c r="N24" t="e">
        <f>SUMIFS(#REF!,#REF!,'Cluster counts corrected Z&lt;3'!$A24)</f>
        <v>#REF!</v>
      </c>
      <c r="O24" t="e">
        <f>SUMIFS(#REF!,#REF!,'Cluster counts corrected Z&lt;3'!$A24)</f>
        <v>#REF!</v>
      </c>
      <c r="P24" t="e">
        <f>SUMIFS(#REF!,#REF!,'Cluster counts corrected Z&lt;3'!$A24)</f>
        <v>#REF!</v>
      </c>
      <c r="Q24" t="e">
        <f>SUMIFS(#REF!,#REF!,'Cluster counts corrected Z&lt;3'!$A24)</f>
        <v>#REF!</v>
      </c>
      <c r="R24" t="e">
        <f>SUMIFS(#REF!,#REF!,'Cluster counts corrected Z&lt;3'!$A24)</f>
        <v>#REF!</v>
      </c>
      <c r="T24" t="e">
        <f t="shared" si="0"/>
        <v>#REF!</v>
      </c>
      <c r="U24" t="e">
        <f t="shared" si="1"/>
        <v>#REF!</v>
      </c>
      <c r="V24" t="e">
        <f t="shared" si="2"/>
        <v>#REF!</v>
      </c>
      <c r="W24" t="e">
        <f t="shared" si="3"/>
        <v>#REF!</v>
      </c>
      <c r="X24" t="e">
        <f t="shared" si="4"/>
        <v>#REF!</v>
      </c>
    </row>
    <row r="25" spans="1:24" x14ac:dyDescent="0.35">
      <c r="A25">
        <v>23</v>
      </c>
      <c r="B25" t="e">
        <f>SUMIFS(#REF!,#REF!,'Cluster counts corrected Z&lt;3'!$A25)</f>
        <v>#REF!</v>
      </c>
      <c r="C25" t="e">
        <f>SUMIFS(#REF!,#REF!,'Cluster counts corrected Z&lt;3'!$A25)</f>
        <v>#REF!</v>
      </c>
      <c r="D25" t="e">
        <f>SUMIFS(#REF!,#REF!,'Cluster counts corrected Z&lt;3'!$A25)</f>
        <v>#REF!</v>
      </c>
      <c r="E25" t="e">
        <f>SUMIFS(#REF!,#REF!,'Cluster counts corrected Z&lt;3'!$A25)</f>
        <v>#REF!</v>
      </c>
      <c r="F25" t="e">
        <f>SUMIFS(#REF!,#REF!,'Cluster counts corrected Z&lt;3'!$A25)</f>
        <v>#REF!</v>
      </c>
      <c r="G25" t="e">
        <f>SUMIFS(#REF!,#REF!,'Cluster counts corrected Z&lt;3'!$A25)</f>
        <v>#REF!</v>
      </c>
      <c r="H25" t="e">
        <f>SUMIFS(#REF!,#REF!,'Cluster counts corrected Z&lt;3'!$A25)</f>
        <v>#REF!</v>
      </c>
      <c r="I25" t="e">
        <f>SUMIFS(#REF!,#REF!,'Cluster counts corrected Z&lt;3'!$A25)</f>
        <v>#REF!</v>
      </c>
      <c r="J25" t="e">
        <f>SUMIFS(#REF!,#REF!,'Cluster counts corrected Z&lt;3'!$A25)</f>
        <v>#REF!</v>
      </c>
      <c r="K25" t="e">
        <f>SUMIFS(#REF!,#REF!,'Cluster counts corrected Z&lt;3'!$A25)</f>
        <v>#REF!</v>
      </c>
      <c r="L25" t="e">
        <f>SUMIFS(#REF!,#REF!,'Cluster counts corrected Z&lt;3'!$A25)</f>
        <v>#REF!</v>
      </c>
      <c r="M25" t="e">
        <f>SUMIFS(#REF!,#REF!,'Cluster counts corrected Z&lt;3'!$A25)</f>
        <v>#REF!</v>
      </c>
      <c r="N25" t="e">
        <f>SUMIFS(#REF!,#REF!,'Cluster counts corrected Z&lt;3'!$A25)</f>
        <v>#REF!</v>
      </c>
      <c r="O25" t="e">
        <f>SUMIFS(#REF!,#REF!,'Cluster counts corrected Z&lt;3'!$A25)</f>
        <v>#REF!</v>
      </c>
      <c r="P25" t="e">
        <f>SUMIFS(#REF!,#REF!,'Cluster counts corrected Z&lt;3'!$A25)</f>
        <v>#REF!</v>
      </c>
      <c r="Q25" t="e">
        <f>SUMIFS(#REF!,#REF!,'Cluster counts corrected Z&lt;3'!$A25)</f>
        <v>#REF!</v>
      </c>
      <c r="R25" t="e">
        <f>SUMIFS(#REF!,#REF!,'Cluster counts corrected Z&lt;3'!$A25)</f>
        <v>#REF!</v>
      </c>
      <c r="T25" t="e">
        <f t="shared" si="0"/>
        <v>#REF!</v>
      </c>
      <c r="U25" t="e">
        <f t="shared" si="1"/>
        <v>#REF!</v>
      </c>
      <c r="V25" t="e">
        <f t="shared" si="2"/>
        <v>#REF!</v>
      </c>
      <c r="W25" t="e">
        <f t="shared" si="3"/>
        <v>#REF!</v>
      </c>
      <c r="X25" t="e">
        <f t="shared" si="4"/>
        <v>#REF!</v>
      </c>
    </row>
    <row r="26" spans="1:24" x14ac:dyDescent="0.35">
      <c r="A26">
        <v>24</v>
      </c>
      <c r="B26" t="e">
        <f>SUMIFS(#REF!,#REF!,'Cluster counts corrected Z&lt;3'!$A26)</f>
        <v>#REF!</v>
      </c>
      <c r="C26" t="e">
        <f>SUMIFS(#REF!,#REF!,'Cluster counts corrected Z&lt;3'!$A26)</f>
        <v>#REF!</v>
      </c>
      <c r="D26" t="e">
        <f>SUMIFS(#REF!,#REF!,'Cluster counts corrected Z&lt;3'!$A26)</f>
        <v>#REF!</v>
      </c>
      <c r="E26" t="e">
        <f>SUMIFS(#REF!,#REF!,'Cluster counts corrected Z&lt;3'!$A26)</f>
        <v>#REF!</v>
      </c>
      <c r="F26" t="e">
        <f>SUMIFS(#REF!,#REF!,'Cluster counts corrected Z&lt;3'!$A26)</f>
        <v>#REF!</v>
      </c>
      <c r="G26" t="e">
        <f>SUMIFS(#REF!,#REF!,'Cluster counts corrected Z&lt;3'!$A26)</f>
        <v>#REF!</v>
      </c>
      <c r="H26" t="e">
        <f>SUMIFS(#REF!,#REF!,'Cluster counts corrected Z&lt;3'!$A26)</f>
        <v>#REF!</v>
      </c>
      <c r="I26" t="e">
        <f>SUMIFS(#REF!,#REF!,'Cluster counts corrected Z&lt;3'!$A26)</f>
        <v>#REF!</v>
      </c>
      <c r="J26" t="e">
        <f>SUMIFS(#REF!,#REF!,'Cluster counts corrected Z&lt;3'!$A26)</f>
        <v>#REF!</v>
      </c>
      <c r="K26" t="e">
        <f>SUMIFS(#REF!,#REF!,'Cluster counts corrected Z&lt;3'!$A26)</f>
        <v>#REF!</v>
      </c>
      <c r="L26" t="e">
        <f>SUMIFS(#REF!,#REF!,'Cluster counts corrected Z&lt;3'!$A26)</f>
        <v>#REF!</v>
      </c>
      <c r="M26" t="e">
        <f>SUMIFS(#REF!,#REF!,'Cluster counts corrected Z&lt;3'!$A26)</f>
        <v>#REF!</v>
      </c>
      <c r="N26" t="e">
        <f>SUMIFS(#REF!,#REF!,'Cluster counts corrected Z&lt;3'!$A26)</f>
        <v>#REF!</v>
      </c>
      <c r="O26" t="e">
        <f>SUMIFS(#REF!,#REF!,'Cluster counts corrected Z&lt;3'!$A26)</f>
        <v>#REF!</v>
      </c>
      <c r="P26" t="e">
        <f>SUMIFS(#REF!,#REF!,'Cluster counts corrected Z&lt;3'!$A26)</f>
        <v>#REF!</v>
      </c>
      <c r="Q26" t="e">
        <f>SUMIFS(#REF!,#REF!,'Cluster counts corrected Z&lt;3'!$A26)</f>
        <v>#REF!</v>
      </c>
      <c r="R26" t="e">
        <f>SUMIFS(#REF!,#REF!,'Cluster counts corrected Z&lt;3'!$A26)</f>
        <v>#REF!</v>
      </c>
      <c r="T26" t="e">
        <f t="shared" si="0"/>
        <v>#REF!</v>
      </c>
      <c r="U26" t="e">
        <f t="shared" si="1"/>
        <v>#REF!</v>
      </c>
      <c r="V26" t="e">
        <f t="shared" si="2"/>
        <v>#REF!</v>
      </c>
      <c r="W26" t="e">
        <f t="shared" si="3"/>
        <v>#REF!</v>
      </c>
      <c r="X26" t="e">
        <f t="shared" si="4"/>
        <v>#REF!</v>
      </c>
    </row>
    <row r="27" spans="1:24" x14ac:dyDescent="0.35">
      <c r="A27">
        <v>25</v>
      </c>
      <c r="B27" t="e">
        <f>SUMIFS(#REF!,#REF!,'Cluster counts corrected Z&lt;3'!$A27)</f>
        <v>#REF!</v>
      </c>
      <c r="C27" t="e">
        <f>SUMIFS(#REF!,#REF!,'Cluster counts corrected Z&lt;3'!$A27)</f>
        <v>#REF!</v>
      </c>
      <c r="D27" t="e">
        <f>SUMIFS(#REF!,#REF!,'Cluster counts corrected Z&lt;3'!$A27)</f>
        <v>#REF!</v>
      </c>
      <c r="E27" t="e">
        <f>SUMIFS(#REF!,#REF!,'Cluster counts corrected Z&lt;3'!$A27)</f>
        <v>#REF!</v>
      </c>
      <c r="F27" t="e">
        <f>SUMIFS(#REF!,#REF!,'Cluster counts corrected Z&lt;3'!$A27)</f>
        <v>#REF!</v>
      </c>
      <c r="G27" t="e">
        <f>SUMIFS(#REF!,#REF!,'Cluster counts corrected Z&lt;3'!$A27)</f>
        <v>#REF!</v>
      </c>
      <c r="H27" t="e">
        <f>SUMIFS(#REF!,#REF!,'Cluster counts corrected Z&lt;3'!$A27)</f>
        <v>#REF!</v>
      </c>
      <c r="I27" t="e">
        <f>SUMIFS(#REF!,#REF!,'Cluster counts corrected Z&lt;3'!$A27)</f>
        <v>#REF!</v>
      </c>
      <c r="J27" t="e">
        <f>SUMIFS(#REF!,#REF!,'Cluster counts corrected Z&lt;3'!$A27)</f>
        <v>#REF!</v>
      </c>
      <c r="K27" t="e">
        <f>SUMIFS(#REF!,#REF!,'Cluster counts corrected Z&lt;3'!$A27)</f>
        <v>#REF!</v>
      </c>
      <c r="L27" t="e">
        <f>SUMIFS(#REF!,#REF!,'Cluster counts corrected Z&lt;3'!$A27)</f>
        <v>#REF!</v>
      </c>
      <c r="M27" t="e">
        <f>SUMIFS(#REF!,#REF!,'Cluster counts corrected Z&lt;3'!$A27)</f>
        <v>#REF!</v>
      </c>
      <c r="N27" t="e">
        <f>SUMIFS(#REF!,#REF!,'Cluster counts corrected Z&lt;3'!$A27)</f>
        <v>#REF!</v>
      </c>
      <c r="O27" t="e">
        <f>SUMIFS(#REF!,#REF!,'Cluster counts corrected Z&lt;3'!$A27)</f>
        <v>#REF!</v>
      </c>
      <c r="P27" t="e">
        <f>SUMIFS(#REF!,#REF!,'Cluster counts corrected Z&lt;3'!$A27)</f>
        <v>#REF!</v>
      </c>
      <c r="Q27" t="e">
        <f>SUMIFS(#REF!,#REF!,'Cluster counts corrected Z&lt;3'!$A27)</f>
        <v>#REF!</v>
      </c>
      <c r="R27" t="e">
        <f>SUMIFS(#REF!,#REF!,'Cluster counts corrected Z&lt;3'!$A27)</f>
        <v>#REF!</v>
      </c>
      <c r="T27" t="e">
        <f t="shared" si="0"/>
        <v>#REF!</v>
      </c>
      <c r="U27" t="e">
        <f t="shared" si="1"/>
        <v>#REF!</v>
      </c>
      <c r="V27" t="e">
        <f t="shared" si="2"/>
        <v>#REF!</v>
      </c>
      <c r="W27" t="e">
        <f t="shared" si="3"/>
        <v>#REF!</v>
      </c>
      <c r="X27" t="e">
        <f t="shared" si="4"/>
        <v>#REF!</v>
      </c>
    </row>
    <row r="28" spans="1:24" x14ac:dyDescent="0.35">
      <c r="A28">
        <v>26</v>
      </c>
      <c r="B28" t="e">
        <f>SUMIFS(#REF!,#REF!,'Cluster counts corrected Z&lt;3'!$A28)</f>
        <v>#REF!</v>
      </c>
      <c r="C28" t="e">
        <f>SUMIFS(#REF!,#REF!,'Cluster counts corrected Z&lt;3'!$A28)</f>
        <v>#REF!</v>
      </c>
      <c r="D28" t="e">
        <f>SUMIFS(#REF!,#REF!,'Cluster counts corrected Z&lt;3'!$A28)</f>
        <v>#REF!</v>
      </c>
      <c r="E28" t="e">
        <f>SUMIFS(#REF!,#REF!,'Cluster counts corrected Z&lt;3'!$A28)</f>
        <v>#REF!</v>
      </c>
      <c r="F28" t="e">
        <f>SUMIFS(#REF!,#REF!,'Cluster counts corrected Z&lt;3'!$A28)</f>
        <v>#REF!</v>
      </c>
      <c r="G28" t="e">
        <f>SUMIFS(#REF!,#REF!,'Cluster counts corrected Z&lt;3'!$A28)</f>
        <v>#REF!</v>
      </c>
      <c r="H28" t="e">
        <f>SUMIFS(#REF!,#REF!,'Cluster counts corrected Z&lt;3'!$A28)</f>
        <v>#REF!</v>
      </c>
      <c r="I28" t="e">
        <f>SUMIFS(#REF!,#REF!,'Cluster counts corrected Z&lt;3'!$A28)</f>
        <v>#REF!</v>
      </c>
      <c r="J28" t="e">
        <f>SUMIFS(#REF!,#REF!,'Cluster counts corrected Z&lt;3'!$A28)</f>
        <v>#REF!</v>
      </c>
      <c r="K28" t="e">
        <f>SUMIFS(#REF!,#REF!,'Cluster counts corrected Z&lt;3'!$A28)</f>
        <v>#REF!</v>
      </c>
      <c r="L28" t="e">
        <f>SUMIFS(#REF!,#REF!,'Cluster counts corrected Z&lt;3'!$A28)</f>
        <v>#REF!</v>
      </c>
      <c r="M28" t="e">
        <f>SUMIFS(#REF!,#REF!,'Cluster counts corrected Z&lt;3'!$A28)</f>
        <v>#REF!</v>
      </c>
      <c r="N28" t="e">
        <f>SUMIFS(#REF!,#REF!,'Cluster counts corrected Z&lt;3'!$A28)</f>
        <v>#REF!</v>
      </c>
      <c r="O28" t="e">
        <f>SUMIFS(#REF!,#REF!,'Cluster counts corrected Z&lt;3'!$A28)</f>
        <v>#REF!</v>
      </c>
      <c r="P28" t="e">
        <f>SUMIFS(#REF!,#REF!,'Cluster counts corrected Z&lt;3'!$A28)</f>
        <v>#REF!</v>
      </c>
      <c r="Q28" t="e">
        <f>SUMIFS(#REF!,#REF!,'Cluster counts corrected Z&lt;3'!$A28)</f>
        <v>#REF!</v>
      </c>
      <c r="R28" t="e">
        <f>SUMIFS(#REF!,#REF!,'Cluster counts corrected Z&lt;3'!$A28)</f>
        <v>#REF!</v>
      </c>
      <c r="T28" t="e">
        <f t="shared" si="0"/>
        <v>#REF!</v>
      </c>
      <c r="U28" t="e">
        <f t="shared" si="1"/>
        <v>#REF!</v>
      </c>
      <c r="V28" t="e">
        <f t="shared" si="2"/>
        <v>#REF!</v>
      </c>
      <c r="W28" t="e">
        <f t="shared" si="3"/>
        <v>#REF!</v>
      </c>
      <c r="X28" t="e">
        <f t="shared" si="4"/>
        <v>#REF!</v>
      </c>
    </row>
    <row r="29" spans="1:24" x14ac:dyDescent="0.35">
      <c r="A29">
        <v>27</v>
      </c>
      <c r="B29" t="e">
        <f>SUMIFS(#REF!,#REF!,'Cluster counts corrected Z&lt;3'!$A29)</f>
        <v>#REF!</v>
      </c>
      <c r="C29" t="e">
        <f>SUMIFS(#REF!,#REF!,'Cluster counts corrected Z&lt;3'!$A29)</f>
        <v>#REF!</v>
      </c>
      <c r="D29" t="e">
        <f>SUMIFS(#REF!,#REF!,'Cluster counts corrected Z&lt;3'!$A29)</f>
        <v>#REF!</v>
      </c>
      <c r="E29" t="e">
        <f>SUMIFS(#REF!,#REF!,'Cluster counts corrected Z&lt;3'!$A29)</f>
        <v>#REF!</v>
      </c>
      <c r="F29" t="e">
        <f>SUMIFS(#REF!,#REF!,'Cluster counts corrected Z&lt;3'!$A29)</f>
        <v>#REF!</v>
      </c>
      <c r="G29" t="e">
        <f>SUMIFS(#REF!,#REF!,'Cluster counts corrected Z&lt;3'!$A29)</f>
        <v>#REF!</v>
      </c>
      <c r="H29" t="e">
        <f>SUMIFS(#REF!,#REF!,'Cluster counts corrected Z&lt;3'!$A29)</f>
        <v>#REF!</v>
      </c>
      <c r="I29" t="e">
        <f>SUMIFS(#REF!,#REF!,'Cluster counts corrected Z&lt;3'!$A29)</f>
        <v>#REF!</v>
      </c>
      <c r="J29" t="e">
        <f>SUMIFS(#REF!,#REF!,'Cluster counts corrected Z&lt;3'!$A29)</f>
        <v>#REF!</v>
      </c>
      <c r="K29" t="e">
        <f>SUMIFS(#REF!,#REF!,'Cluster counts corrected Z&lt;3'!$A29)</f>
        <v>#REF!</v>
      </c>
      <c r="L29" t="e">
        <f>SUMIFS(#REF!,#REF!,'Cluster counts corrected Z&lt;3'!$A29)</f>
        <v>#REF!</v>
      </c>
      <c r="M29" t="e">
        <f>SUMIFS(#REF!,#REF!,'Cluster counts corrected Z&lt;3'!$A29)</f>
        <v>#REF!</v>
      </c>
      <c r="N29" t="e">
        <f>SUMIFS(#REF!,#REF!,'Cluster counts corrected Z&lt;3'!$A29)</f>
        <v>#REF!</v>
      </c>
      <c r="O29" t="e">
        <f>SUMIFS(#REF!,#REF!,'Cluster counts corrected Z&lt;3'!$A29)</f>
        <v>#REF!</v>
      </c>
      <c r="P29" t="e">
        <f>SUMIFS(#REF!,#REF!,'Cluster counts corrected Z&lt;3'!$A29)</f>
        <v>#REF!</v>
      </c>
      <c r="Q29" t="e">
        <f>SUMIFS(#REF!,#REF!,'Cluster counts corrected Z&lt;3'!$A29)</f>
        <v>#REF!</v>
      </c>
      <c r="R29" t="e">
        <f>SUMIFS(#REF!,#REF!,'Cluster counts corrected Z&lt;3'!$A29)</f>
        <v>#REF!</v>
      </c>
      <c r="T29" t="e">
        <f t="shared" si="0"/>
        <v>#REF!</v>
      </c>
      <c r="U29" t="e">
        <f t="shared" si="1"/>
        <v>#REF!</v>
      </c>
      <c r="V29" t="e">
        <f t="shared" si="2"/>
        <v>#REF!</v>
      </c>
      <c r="W29" t="e">
        <f t="shared" si="3"/>
        <v>#REF!</v>
      </c>
      <c r="X29" t="e">
        <f t="shared" si="4"/>
        <v>#REF!</v>
      </c>
    </row>
    <row r="30" spans="1:24" x14ac:dyDescent="0.35">
      <c r="A30">
        <v>28</v>
      </c>
      <c r="B30" t="e">
        <f>SUMIFS(#REF!,#REF!,'Cluster counts corrected Z&lt;3'!$A30)</f>
        <v>#REF!</v>
      </c>
      <c r="C30" t="e">
        <f>SUMIFS(#REF!,#REF!,'Cluster counts corrected Z&lt;3'!$A30)</f>
        <v>#REF!</v>
      </c>
      <c r="D30" t="e">
        <f>SUMIFS(#REF!,#REF!,'Cluster counts corrected Z&lt;3'!$A30)</f>
        <v>#REF!</v>
      </c>
      <c r="E30" t="e">
        <f>SUMIFS(#REF!,#REF!,'Cluster counts corrected Z&lt;3'!$A30)</f>
        <v>#REF!</v>
      </c>
      <c r="F30" t="e">
        <f>SUMIFS(#REF!,#REF!,'Cluster counts corrected Z&lt;3'!$A30)</f>
        <v>#REF!</v>
      </c>
      <c r="G30" t="e">
        <f>SUMIFS(#REF!,#REF!,'Cluster counts corrected Z&lt;3'!$A30)</f>
        <v>#REF!</v>
      </c>
      <c r="H30" t="e">
        <f>SUMIFS(#REF!,#REF!,'Cluster counts corrected Z&lt;3'!$A30)</f>
        <v>#REF!</v>
      </c>
      <c r="I30" t="e">
        <f>SUMIFS(#REF!,#REF!,'Cluster counts corrected Z&lt;3'!$A30)</f>
        <v>#REF!</v>
      </c>
      <c r="J30" t="e">
        <f>SUMIFS(#REF!,#REF!,'Cluster counts corrected Z&lt;3'!$A30)</f>
        <v>#REF!</v>
      </c>
      <c r="K30" t="e">
        <f>SUMIFS(#REF!,#REF!,'Cluster counts corrected Z&lt;3'!$A30)</f>
        <v>#REF!</v>
      </c>
      <c r="L30" t="e">
        <f>SUMIFS(#REF!,#REF!,'Cluster counts corrected Z&lt;3'!$A30)</f>
        <v>#REF!</v>
      </c>
      <c r="M30" t="e">
        <f>SUMIFS(#REF!,#REF!,'Cluster counts corrected Z&lt;3'!$A30)</f>
        <v>#REF!</v>
      </c>
      <c r="N30" t="e">
        <f>SUMIFS(#REF!,#REF!,'Cluster counts corrected Z&lt;3'!$A30)</f>
        <v>#REF!</v>
      </c>
      <c r="O30" t="e">
        <f>SUMIFS(#REF!,#REF!,'Cluster counts corrected Z&lt;3'!$A30)</f>
        <v>#REF!</v>
      </c>
      <c r="P30" t="e">
        <f>SUMIFS(#REF!,#REF!,'Cluster counts corrected Z&lt;3'!$A30)</f>
        <v>#REF!</v>
      </c>
      <c r="Q30" t="e">
        <f>SUMIFS(#REF!,#REF!,'Cluster counts corrected Z&lt;3'!$A30)</f>
        <v>#REF!</v>
      </c>
      <c r="R30" t="e">
        <f>SUMIFS(#REF!,#REF!,'Cluster counts corrected Z&lt;3'!$A30)</f>
        <v>#REF!</v>
      </c>
      <c r="T30" t="e">
        <f t="shared" si="0"/>
        <v>#REF!</v>
      </c>
      <c r="U30" t="e">
        <f t="shared" si="1"/>
        <v>#REF!</v>
      </c>
      <c r="V30" t="e">
        <f t="shared" si="2"/>
        <v>#REF!</v>
      </c>
      <c r="W30" t="e">
        <f t="shared" si="3"/>
        <v>#REF!</v>
      </c>
      <c r="X30" t="e">
        <f t="shared" si="4"/>
        <v>#REF!</v>
      </c>
    </row>
    <row r="31" spans="1:24" x14ac:dyDescent="0.35">
      <c r="A31">
        <v>29</v>
      </c>
      <c r="B31" t="e">
        <f>SUMIFS(#REF!,#REF!,'Cluster counts corrected Z&lt;3'!$A31)</f>
        <v>#REF!</v>
      </c>
      <c r="C31" t="e">
        <f>SUMIFS(#REF!,#REF!,'Cluster counts corrected Z&lt;3'!$A31)</f>
        <v>#REF!</v>
      </c>
      <c r="D31" t="e">
        <f>SUMIFS(#REF!,#REF!,'Cluster counts corrected Z&lt;3'!$A31)</f>
        <v>#REF!</v>
      </c>
      <c r="E31" t="e">
        <f>SUMIFS(#REF!,#REF!,'Cluster counts corrected Z&lt;3'!$A31)</f>
        <v>#REF!</v>
      </c>
      <c r="F31" t="e">
        <f>SUMIFS(#REF!,#REF!,'Cluster counts corrected Z&lt;3'!$A31)</f>
        <v>#REF!</v>
      </c>
      <c r="G31" t="e">
        <f>SUMIFS(#REF!,#REF!,'Cluster counts corrected Z&lt;3'!$A31)</f>
        <v>#REF!</v>
      </c>
      <c r="H31" t="e">
        <f>SUMIFS(#REF!,#REF!,'Cluster counts corrected Z&lt;3'!$A31)</f>
        <v>#REF!</v>
      </c>
      <c r="I31" t="e">
        <f>SUMIFS(#REF!,#REF!,'Cluster counts corrected Z&lt;3'!$A31)</f>
        <v>#REF!</v>
      </c>
      <c r="J31" t="e">
        <f>SUMIFS(#REF!,#REF!,'Cluster counts corrected Z&lt;3'!$A31)</f>
        <v>#REF!</v>
      </c>
      <c r="K31" t="e">
        <f>SUMIFS(#REF!,#REF!,'Cluster counts corrected Z&lt;3'!$A31)</f>
        <v>#REF!</v>
      </c>
      <c r="L31" t="e">
        <f>SUMIFS(#REF!,#REF!,'Cluster counts corrected Z&lt;3'!$A31)</f>
        <v>#REF!</v>
      </c>
      <c r="M31" t="e">
        <f>SUMIFS(#REF!,#REF!,'Cluster counts corrected Z&lt;3'!$A31)</f>
        <v>#REF!</v>
      </c>
      <c r="N31" t="e">
        <f>SUMIFS(#REF!,#REF!,'Cluster counts corrected Z&lt;3'!$A31)</f>
        <v>#REF!</v>
      </c>
      <c r="O31" t="e">
        <f>SUMIFS(#REF!,#REF!,'Cluster counts corrected Z&lt;3'!$A31)</f>
        <v>#REF!</v>
      </c>
      <c r="P31" t="e">
        <f>SUMIFS(#REF!,#REF!,'Cluster counts corrected Z&lt;3'!$A31)</f>
        <v>#REF!</v>
      </c>
      <c r="Q31" t="e">
        <f>SUMIFS(#REF!,#REF!,'Cluster counts corrected Z&lt;3'!$A31)</f>
        <v>#REF!</v>
      </c>
      <c r="R31" t="e">
        <f>SUMIFS(#REF!,#REF!,'Cluster counts corrected Z&lt;3'!$A31)</f>
        <v>#REF!</v>
      </c>
      <c r="T31" t="e">
        <f t="shared" si="0"/>
        <v>#REF!</v>
      </c>
      <c r="U31" t="e">
        <f t="shared" si="1"/>
        <v>#REF!</v>
      </c>
      <c r="V31" t="e">
        <f t="shared" si="2"/>
        <v>#REF!</v>
      </c>
      <c r="W31" t="e">
        <f t="shared" si="3"/>
        <v>#REF!</v>
      </c>
      <c r="X31" t="e">
        <f t="shared" si="4"/>
        <v>#REF!</v>
      </c>
    </row>
    <row r="32" spans="1:24" x14ac:dyDescent="0.35">
      <c r="A32">
        <v>30</v>
      </c>
      <c r="B32" t="e">
        <f>SUMIFS(#REF!,#REF!,'Cluster counts corrected Z&lt;3'!$A32)</f>
        <v>#REF!</v>
      </c>
      <c r="C32" t="e">
        <f>SUMIFS(#REF!,#REF!,'Cluster counts corrected Z&lt;3'!$A32)</f>
        <v>#REF!</v>
      </c>
      <c r="D32" t="e">
        <f>SUMIFS(#REF!,#REF!,'Cluster counts corrected Z&lt;3'!$A32)</f>
        <v>#REF!</v>
      </c>
      <c r="E32" t="e">
        <f>SUMIFS(#REF!,#REF!,'Cluster counts corrected Z&lt;3'!$A32)</f>
        <v>#REF!</v>
      </c>
      <c r="F32" t="e">
        <f>SUMIFS(#REF!,#REF!,'Cluster counts corrected Z&lt;3'!$A32)</f>
        <v>#REF!</v>
      </c>
      <c r="G32" t="e">
        <f>SUMIFS(#REF!,#REF!,'Cluster counts corrected Z&lt;3'!$A32)</f>
        <v>#REF!</v>
      </c>
      <c r="H32" t="e">
        <f>SUMIFS(#REF!,#REF!,'Cluster counts corrected Z&lt;3'!$A32)</f>
        <v>#REF!</v>
      </c>
      <c r="I32" t="e">
        <f>SUMIFS(#REF!,#REF!,'Cluster counts corrected Z&lt;3'!$A32)</f>
        <v>#REF!</v>
      </c>
      <c r="J32" t="e">
        <f>SUMIFS(#REF!,#REF!,'Cluster counts corrected Z&lt;3'!$A32)</f>
        <v>#REF!</v>
      </c>
      <c r="K32" t="e">
        <f>SUMIFS(#REF!,#REF!,'Cluster counts corrected Z&lt;3'!$A32)</f>
        <v>#REF!</v>
      </c>
      <c r="L32" t="e">
        <f>SUMIFS(#REF!,#REF!,'Cluster counts corrected Z&lt;3'!$A32)</f>
        <v>#REF!</v>
      </c>
      <c r="M32" t="e">
        <f>SUMIFS(#REF!,#REF!,'Cluster counts corrected Z&lt;3'!$A32)</f>
        <v>#REF!</v>
      </c>
      <c r="N32" t="e">
        <f>SUMIFS(#REF!,#REF!,'Cluster counts corrected Z&lt;3'!$A32)</f>
        <v>#REF!</v>
      </c>
      <c r="O32" t="e">
        <f>SUMIFS(#REF!,#REF!,'Cluster counts corrected Z&lt;3'!$A32)</f>
        <v>#REF!</v>
      </c>
      <c r="P32" t="e">
        <f>SUMIFS(#REF!,#REF!,'Cluster counts corrected Z&lt;3'!$A32)</f>
        <v>#REF!</v>
      </c>
      <c r="Q32" t="e">
        <f>SUMIFS(#REF!,#REF!,'Cluster counts corrected Z&lt;3'!$A32)</f>
        <v>#REF!</v>
      </c>
      <c r="R32" t="e">
        <f>SUMIFS(#REF!,#REF!,'Cluster counts corrected Z&lt;3'!$A32)</f>
        <v>#REF!</v>
      </c>
      <c r="T32" t="e">
        <f t="shared" si="0"/>
        <v>#REF!</v>
      </c>
      <c r="U32" t="e">
        <f t="shared" si="1"/>
        <v>#REF!</v>
      </c>
      <c r="V32" t="e">
        <f t="shared" si="2"/>
        <v>#REF!</v>
      </c>
      <c r="W32" t="e">
        <f t="shared" si="3"/>
        <v>#REF!</v>
      </c>
      <c r="X32" t="e">
        <f t="shared" si="4"/>
        <v>#REF!</v>
      </c>
    </row>
    <row r="33" spans="1:24" x14ac:dyDescent="0.35">
      <c r="A33">
        <v>31</v>
      </c>
      <c r="B33" t="e">
        <f>SUMIFS(#REF!,#REF!,'Cluster counts corrected Z&lt;3'!$A33)</f>
        <v>#REF!</v>
      </c>
      <c r="C33" t="e">
        <f>SUMIFS(#REF!,#REF!,'Cluster counts corrected Z&lt;3'!$A33)</f>
        <v>#REF!</v>
      </c>
      <c r="D33" t="e">
        <f>SUMIFS(#REF!,#REF!,'Cluster counts corrected Z&lt;3'!$A33)</f>
        <v>#REF!</v>
      </c>
      <c r="E33" t="e">
        <f>SUMIFS(#REF!,#REF!,'Cluster counts corrected Z&lt;3'!$A33)</f>
        <v>#REF!</v>
      </c>
      <c r="F33" t="e">
        <f>SUMIFS(#REF!,#REF!,'Cluster counts corrected Z&lt;3'!$A33)</f>
        <v>#REF!</v>
      </c>
      <c r="G33" t="e">
        <f>SUMIFS(#REF!,#REF!,'Cluster counts corrected Z&lt;3'!$A33)</f>
        <v>#REF!</v>
      </c>
      <c r="H33" t="e">
        <f>SUMIFS(#REF!,#REF!,'Cluster counts corrected Z&lt;3'!$A33)</f>
        <v>#REF!</v>
      </c>
      <c r="I33" t="e">
        <f>SUMIFS(#REF!,#REF!,'Cluster counts corrected Z&lt;3'!$A33)</f>
        <v>#REF!</v>
      </c>
      <c r="J33" t="e">
        <f>SUMIFS(#REF!,#REF!,'Cluster counts corrected Z&lt;3'!$A33)</f>
        <v>#REF!</v>
      </c>
      <c r="K33" t="e">
        <f>SUMIFS(#REF!,#REF!,'Cluster counts corrected Z&lt;3'!$A33)</f>
        <v>#REF!</v>
      </c>
      <c r="L33" t="e">
        <f>SUMIFS(#REF!,#REF!,'Cluster counts corrected Z&lt;3'!$A33)</f>
        <v>#REF!</v>
      </c>
      <c r="M33" t="e">
        <f>SUMIFS(#REF!,#REF!,'Cluster counts corrected Z&lt;3'!$A33)</f>
        <v>#REF!</v>
      </c>
      <c r="N33" t="e">
        <f>SUMIFS(#REF!,#REF!,'Cluster counts corrected Z&lt;3'!$A33)</f>
        <v>#REF!</v>
      </c>
      <c r="O33" t="e">
        <f>SUMIFS(#REF!,#REF!,'Cluster counts corrected Z&lt;3'!$A33)</f>
        <v>#REF!</v>
      </c>
      <c r="P33" t="e">
        <f>SUMIFS(#REF!,#REF!,'Cluster counts corrected Z&lt;3'!$A33)</f>
        <v>#REF!</v>
      </c>
      <c r="Q33" t="e">
        <f>SUMIFS(#REF!,#REF!,'Cluster counts corrected Z&lt;3'!$A33)</f>
        <v>#REF!</v>
      </c>
      <c r="R33" t="e">
        <f>SUMIFS(#REF!,#REF!,'Cluster counts corrected Z&lt;3'!$A33)</f>
        <v>#REF!</v>
      </c>
      <c r="T33" t="e">
        <f t="shared" si="0"/>
        <v>#REF!</v>
      </c>
      <c r="U33" t="e">
        <f t="shared" si="1"/>
        <v>#REF!</v>
      </c>
      <c r="V33" t="e">
        <f t="shared" si="2"/>
        <v>#REF!</v>
      </c>
      <c r="W33" t="e">
        <f t="shared" si="3"/>
        <v>#REF!</v>
      </c>
      <c r="X33" t="e">
        <f t="shared" si="4"/>
        <v>#REF!</v>
      </c>
    </row>
    <row r="34" spans="1:24" x14ac:dyDescent="0.35">
      <c r="A34">
        <v>32</v>
      </c>
      <c r="B34" t="e">
        <f>SUMIFS(#REF!,#REF!,'Cluster counts corrected Z&lt;3'!$A34)</f>
        <v>#REF!</v>
      </c>
      <c r="C34" t="e">
        <f>SUMIFS(#REF!,#REF!,'Cluster counts corrected Z&lt;3'!$A34)</f>
        <v>#REF!</v>
      </c>
      <c r="D34" t="e">
        <f>SUMIFS(#REF!,#REF!,'Cluster counts corrected Z&lt;3'!$A34)</f>
        <v>#REF!</v>
      </c>
      <c r="E34" t="e">
        <f>SUMIFS(#REF!,#REF!,'Cluster counts corrected Z&lt;3'!$A34)</f>
        <v>#REF!</v>
      </c>
      <c r="F34" t="e">
        <f>SUMIFS(#REF!,#REF!,'Cluster counts corrected Z&lt;3'!$A34)</f>
        <v>#REF!</v>
      </c>
      <c r="G34" t="e">
        <f>SUMIFS(#REF!,#REF!,'Cluster counts corrected Z&lt;3'!$A34)</f>
        <v>#REF!</v>
      </c>
      <c r="H34" t="e">
        <f>SUMIFS(#REF!,#REF!,'Cluster counts corrected Z&lt;3'!$A34)</f>
        <v>#REF!</v>
      </c>
      <c r="I34" t="e">
        <f>SUMIFS(#REF!,#REF!,'Cluster counts corrected Z&lt;3'!$A34)</f>
        <v>#REF!</v>
      </c>
      <c r="J34" t="e">
        <f>SUMIFS(#REF!,#REF!,'Cluster counts corrected Z&lt;3'!$A34)</f>
        <v>#REF!</v>
      </c>
      <c r="K34" t="e">
        <f>SUMIFS(#REF!,#REF!,'Cluster counts corrected Z&lt;3'!$A34)</f>
        <v>#REF!</v>
      </c>
      <c r="L34" t="e">
        <f>SUMIFS(#REF!,#REF!,'Cluster counts corrected Z&lt;3'!$A34)</f>
        <v>#REF!</v>
      </c>
      <c r="M34" t="e">
        <f>SUMIFS(#REF!,#REF!,'Cluster counts corrected Z&lt;3'!$A34)</f>
        <v>#REF!</v>
      </c>
      <c r="N34" t="e">
        <f>SUMIFS(#REF!,#REF!,'Cluster counts corrected Z&lt;3'!$A34)</f>
        <v>#REF!</v>
      </c>
      <c r="O34" t="e">
        <f>SUMIFS(#REF!,#REF!,'Cluster counts corrected Z&lt;3'!$A34)</f>
        <v>#REF!</v>
      </c>
      <c r="P34" t="e">
        <f>SUMIFS(#REF!,#REF!,'Cluster counts corrected Z&lt;3'!$A34)</f>
        <v>#REF!</v>
      </c>
      <c r="Q34" t="e">
        <f>SUMIFS(#REF!,#REF!,'Cluster counts corrected Z&lt;3'!$A34)</f>
        <v>#REF!</v>
      </c>
      <c r="R34" t="e">
        <f>SUMIFS(#REF!,#REF!,'Cluster counts corrected Z&lt;3'!$A34)</f>
        <v>#REF!</v>
      </c>
      <c r="T34" t="e">
        <f t="shared" si="0"/>
        <v>#REF!</v>
      </c>
      <c r="U34" t="e">
        <f t="shared" si="1"/>
        <v>#REF!</v>
      </c>
      <c r="V34" t="e">
        <f t="shared" si="2"/>
        <v>#REF!</v>
      </c>
      <c r="W34" t="e">
        <f t="shared" si="3"/>
        <v>#REF!</v>
      </c>
      <c r="X34" t="e">
        <f t="shared" si="4"/>
        <v>#REF!</v>
      </c>
    </row>
    <row r="35" spans="1:24" x14ac:dyDescent="0.35">
      <c r="A35">
        <v>33</v>
      </c>
      <c r="B35" t="e">
        <f>SUMIFS(#REF!,#REF!,'Cluster counts corrected Z&lt;3'!$A35)</f>
        <v>#REF!</v>
      </c>
      <c r="C35" t="e">
        <f>SUMIFS(#REF!,#REF!,'Cluster counts corrected Z&lt;3'!$A35)</f>
        <v>#REF!</v>
      </c>
      <c r="D35" t="e">
        <f>SUMIFS(#REF!,#REF!,'Cluster counts corrected Z&lt;3'!$A35)</f>
        <v>#REF!</v>
      </c>
      <c r="E35" t="e">
        <f>SUMIFS(#REF!,#REF!,'Cluster counts corrected Z&lt;3'!$A35)</f>
        <v>#REF!</v>
      </c>
      <c r="F35" t="e">
        <f>SUMIFS(#REF!,#REF!,'Cluster counts corrected Z&lt;3'!$A35)</f>
        <v>#REF!</v>
      </c>
      <c r="G35" t="e">
        <f>SUMIFS(#REF!,#REF!,'Cluster counts corrected Z&lt;3'!$A35)</f>
        <v>#REF!</v>
      </c>
      <c r="H35" t="e">
        <f>SUMIFS(#REF!,#REF!,'Cluster counts corrected Z&lt;3'!$A35)</f>
        <v>#REF!</v>
      </c>
      <c r="I35" t="e">
        <f>SUMIFS(#REF!,#REF!,'Cluster counts corrected Z&lt;3'!$A35)</f>
        <v>#REF!</v>
      </c>
      <c r="J35" t="e">
        <f>SUMIFS(#REF!,#REF!,'Cluster counts corrected Z&lt;3'!$A35)</f>
        <v>#REF!</v>
      </c>
      <c r="K35" t="e">
        <f>SUMIFS(#REF!,#REF!,'Cluster counts corrected Z&lt;3'!$A35)</f>
        <v>#REF!</v>
      </c>
      <c r="L35" t="e">
        <f>SUMIFS(#REF!,#REF!,'Cluster counts corrected Z&lt;3'!$A35)</f>
        <v>#REF!</v>
      </c>
      <c r="M35" t="e">
        <f>SUMIFS(#REF!,#REF!,'Cluster counts corrected Z&lt;3'!$A35)</f>
        <v>#REF!</v>
      </c>
      <c r="N35" t="e">
        <f>SUMIFS(#REF!,#REF!,'Cluster counts corrected Z&lt;3'!$A35)</f>
        <v>#REF!</v>
      </c>
      <c r="O35" t="e">
        <f>SUMIFS(#REF!,#REF!,'Cluster counts corrected Z&lt;3'!$A35)</f>
        <v>#REF!</v>
      </c>
      <c r="P35" t="e">
        <f>SUMIFS(#REF!,#REF!,'Cluster counts corrected Z&lt;3'!$A35)</f>
        <v>#REF!</v>
      </c>
      <c r="Q35" t="e">
        <f>SUMIFS(#REF!,#REF!,'Cluster counts corrected Z&lt;3'!$A35)</f>
        <v>#REF!</v>
      </c>
      <c r="R35" t="e">
        <f>SUMIFS(#REF!,#REF!,'Cluster counts corrected Z&lt;3'!$A35)</f>
        <v>#REF!</v>
      </c>
      <c r="T35" t="e">
        <f t="shared" si="0"/>
        <v>#REF!</v>
      </c>
      <c r="U35" t="e">
        <f t="shared" si="1"/>
        <v>#REF!</v>
      </c>
      <c r="V35" t="e">
        <f t="shared" si="2"/>
        <v>#REF!</v>
      </c>
      <c r="W35" t="e">
        <f t="shared" si="3"/>
        <v>#REF!</v>
      </c>
      <c r="X35" t="e">
        <f t="shared" si="4"/>
        <v>#REF!</v>
      </c>
    </row>
    <row r="36" spans="1:24" x14ac:dyDescent="0.35">
      <c r="A36">
        <v>34</v>
      </c>
      <c r="B36" t="e">
        <f>SUMIFS(#REF!,#REF!,'Cluster counts corrected Z&lt;3'!$A36)</f>
        <v>#REF!</v>
      </c>
      <c r="C36" t="e">
        <f>SUMIFS(#REF!,#REF!,'Cluster counts corrected Z&lt;3'!$A36)</f>
        <v>#REF!</v>
      </c>
      <c r="D36" t="e">
        <f>SUMIFS(#REF!,#REF!,'Cluster counts corrected Z&lt;3'!$A36)</f>
        <v>#REF!</v>
      </c>
      <c r="E36" t="e">
        <f>SUMIFS(#REF!,#REF!,'Cluster counts corrected Z&lt;3'!$A36)</f>
        <v>#REF!</v>
      </c>
      <c r="F36" t="e">
        <f>SUMIFS(#REF!,#REF!,'Cluster counts corrected Z&lt;3'!$A36)</f>
        <v>#REF!</v>
      </c>
      <c r="G36" t="e">
        <f>SUMIFS(#REF!,#REF!,'Cluster counts corrected Z&lt;3'!$A36)</f>
        <v>#REF!</v>
      </c>
      <c r="H36" t="e">
        <f>SUMIFS(#REF!,#REF!,'Cluster counts corrected Z&lt;3'!$A36)</f>
        <v>#REF!</v>
      </c>
      <c r="I36" t="e">
        <f>SUMIFS(#REF!,#REF!,'Cluster counts corrected Z&lt;3'!$A36)</f>
        <v>#REF!</v>
      </c>
      <c r="J36" t="e">
        <f>SUMIFS(#REF!,#REF!,'Cluster counts corrected Z&lt;3'!$A36)</f>
        <v>#REF!</v>
      </c>
      <c r="K36" t="e">
        <f>SUMIFS(#REF!,#REF!,'Cluster counts corrected Z&lt;3'!$A36)</f>
        <v>#REF!</v>
      </c>
      <c r="L36" t="e">
        <f>SUMIFS(#REF!,#REF!,'Cluster counts corrected Z&lt;3'!$A36)</f>
        <v>#REF!</v>
      </c>
      <c r="M36" t="e">
        <f>SUMIFS(#REF!,#REF!,'Cluster counts corrected Z&lt;3'!$A36)</f>
        <v>#REF!</v>
      </c>
      <c r="N36" t="e">
        <f>SUMIFS(#REF!,#REF!,'Cluster counts corrected Z&lt;3'!$A36)</f>
        <v>#REF!</v>
      </c>
      <c r="O36" t="e">
        <f>SUMIFS(#REF!,#REF!,'Cluster counts corrected Z&lt;3'!$A36)</f>
        <v>#REF!</v>
      </c>
      <c r="P36" t="e">
        <f>SUMIFS(#REF!,#REF!,'Cluster counts corrected Z&lt;3'!$A36)</f>
        <v>#REF!</v>
      </c>
      <c r="Q36" t="e">
        <f>SUMIFS(#REF!,#REF!,'Cluster counts corrected Z&lt;3'!$A36)</f>
        <v>#REF!</v>
      </c>
      <c r="R36" t="e">
        <f>SUMIFS(#REF!,#REF!,'Cluster counts corrected Z&lt;3'!$A36)</f>
        <v>#REF!</v>
      </c>
      <c r="T36" t="e">
        <f t="shared" si="0"/>
        <v>#REF!</v>
      </c>
      <c r="U36" t="e">
        <f t="shared" si="1"/>
        <v>#REF!</v>
      </c>
      <c r="V36" t="e">
        <f t="shared" si="2"/>
        <v>#REF!</v>
      </c>
      <c r="W36" t="e">
        <f t="shared" si="3"/>
        <v>#REF!</v>
      </c>
      <c r="X36" t="e">
        <f t="shared" si="4"/>
        <v>#REF!</v>
      </c>
    </row>
    <row r="37" spans="1:24" x14ac:dyDescent="0.35">
      <c r="A37">
        <v>35</v>
      </c>
      <c r="B37" t="e">
        <f>SUMIFS(#REF!,#REF!,'Cluster counts corrected Z&lt;3'!$A37)</f>
        <v>#REF!</v>
      </c>
      <c r="C37" t="e">
        <f>SUMIFS(#REF!,#REF!,'Cluster counts corrected Z&lt;3'!$A37)</f>
        <v>#REF!</v>
      </c>
      <c r="D37" t="e">
        <f>SUMIFS(#REF!,#REF!,'Cluster counts corrected Z&lt;3'!$A37)</f>
        <v>#REF!</v>
      </c>
      <c r="E37" t="e">
        <f>SUMIFS(#REF!,#REF!,'Cluster counts corrected Z&lt;3'!$A37)</f>
        <v>#REF!</v>
      </c>
      <c r="F37" t="e">
        <f>SUMIFS(#REF!,#REF!,'Cluster counts corrected Z&lt;3'!$A37)</f>
        <v>#REF!</v>
      </c>
      <c r="G37" t="e">
        <f>SUMIFS(#REF!,#REF!,'Cluster counts corrected Z&lt;3'!$A37)</f>
        <v>#REF!</v>
      </c>
      <c r="H37" t="e">
        <f>SUMIFS(#REF!,#REF!,'Cluster counts corrected Z&lt;3'!$A37)</f>
        <v>#REF!</v>
      </c>
      <c r="I37" t="e">
        <f>SUMIFS(#REF!,#REF!,'Cluster counts corrected Z&lt;3'!$A37)</f>
        <v>#REF!</v>
      </c>
      <c r="J37" t="e">
        <f>SUMIFS(#REF!,#REF!,'Cluster counts corrected Z&lt;3'!$A37)</f>
        <v>#REF!</v>
      </c>
      <c r="K37" t="e">
        <f>SUMIFS(#REF!,#REF!,'Cluster counts corrected Z&lt;3'!$A37)</f>
        <v>#REF!</v>
      </c>
      <c r="L37" t="e">
        <f>SUMIFS(#REF!,#REF!,'Cluster counts corrected Z&lt;3'!$A37)</f>
        <v>#REF!</v>
      </c>
      <c r="M37" t="e">
        <f>SUMIFS(#REF!,#REF!,'Cluster counts corrected Z&lt;3'!$A37)</f>
        <v>#REF!</v>
      </c>
      <c r="N37" t="e">
        <f>SUMIFS(#REF!,#REF!,'Cluster counts corrected Z&lt;3'!$A37)</f>
        <v>#REF!</v>
      </c>
      <c r="O37" t="e">
        <f>SUMIFS(#REF!,#REF!,'Cluster counts corrected Z&lt;3'!$A37)</f>
        <v>#REF!</v>
      </c>
      <c r="P37" t="e">
        <f>SUMIFS(#REF!,#REF!,'Cluster counts corrected Z&lt;3'!$A37)</f>
        <v>#REF!</v>
      </c>
      <c r="Q37" t="e">
        <f>SUMIFS(#REF!,#REF!,'Cluster counts corrected Z&lt;3'!$A37)</f>
        <v>#REF!</v>
      </c>
      <c r="R37" t="e">
        <f>SUMIFS(#REF!,#REF!,'Cluster counts corrected Z&lt;3'!$A37)</f>
        <v>#REF!</v>
      </c>
      <c r="T37" t="e">
        <f t="shared" si="0"/>
        <v>#REF!</v>
      </c>
      <c r="U37" t="e">
        <f t="shared" si="1"/>
        <v>#REF!</v>
      </c>
      <c r="V37" t="e">
        <f t="shared" si="2"/>
        <v>#REF!</v>
      </c>
      <c r="W37" t="e">
        <f t="shared" si="3"/>
        <v>#REF!</v>
      </c>
      <c r="X37" t="e">
        <f t="shared" si="4"/>
        <v>#REF!</v>
      </c>
    </row>
    <row r="38" spans="1:24" x14ac:dyDescent="0.35">
      <c r="A38">
        <v>36</v>
      </c>
      <c r="B38" t="e">
        <f>SUMIFS(#REF!,#REF!,'Cluster counts corrected Z&lt;3'!$A38)</f>
        <v>#REF!</v>
      </c>
      <c r="C38" t="e">
        <f>SUMIFS(#REF!,#REF!,'Cluster counts corrected Z&lt;3'!$A38)</f>
        <v>#REF!</v>
      </c>
      <c r="D38" t="e">
        <f>SUMIFS(#REF!,#REF!,'Cluster counts corrected Z&lt;3'!$A38)</f>
        <v>#REF!</v>
      </c>
      <c r="E38" t="e">
        <f>SUMIFS(#REF!,#REF!,'Cluster counts corrected Z&lt;3'!$A38)</f>
        <v>#REF!</v>
      </c>
      <c r="F38" t="e">
        <f>SUMIFS(#REF!,#REF!,'Cluster counts corrected Z&lt;3'!$A38)</f>
        <v>#REF!</v>
      </c>
      <c r="G38" t="e">
        <f>SUMIFS(#REF!,#REF!,'Cluster counts corrected Z&lt;3'!$A38)</f>
        <v>#REF!</v>
      </c>
      <c r="H38" t="e">
        <f>SUMIFS(#REF!,#REF!,'Cluster counts corrected Z&lt;3'!$A38)</f>
        <v>#REF!</v>
      </c>
      <c r="I38" t="e">
        <f>SUMIFS(#REF!,#REF!,'Cluster counts corrected Z&lt;3'!$A38)</f>
        <v>#REF!</v>
      </c>
      <c r="J38" t="e">
        <f>SUMIFS(#REF!,#REF!,'Cluster counts corrected Z&lt;3'!$A38)</f>
        <v>#REF!</v>
      </c>
      <c r="K38" t="e">
        <f>SUMIFS(#REF!,#REF!,'Cluster counts corrected Z&lt;3'!$A38)</f>
        <v>#REF!</v>
      </c>
      <c r="L38" t="e">
        <f>SUMIFS(#REF!,#REF!,'Cluster counts corrected Z&lt;3'!$A38)</f>
        <v>#REF!</v>
      </c>
      <c r="M38" t="e">
        <f>SUMIFS(#REF!,#REF!,'Cluster counts corrected Z&lt;3'!$A38)</f>
        <v>#REF!</v>
      </c>
      <c r="N38" t="e">
        <f>SUMIFS(#REF!,#REF!,'Cluster counts corrected Z&lt;3'!$A38)</f>
        <v>#REF!</v>
      </c>
      <c r="O38" t="e">
        <f>SUMIFS(#REF!,#REF!,'Cluster counts corrected Z&lt;3'!$A38)</f>
        <v>#REF!</v>
      </c>
      <c r="P38" t="e">
        <f>SUMIFS(#REF!,#REF!,'Cluster counts corrected Z&lt;3'!$A38)</f>
        <v>#REF!</v>
      </c>
      <c r="Q38" t="e">
        <f>SUMIFS(#REF!,#REF!,'Cluster counts corrected Z&lt;3'!$A38)</f>
        <v>#REF!</v>
      </c>
      <c r="R38" t="e">
        <f>SUMIFS(#REF!,#REF!,'Cluster counts corrected Z&lt;3'!$A38)</f>
        <v>#REF!</v>
      </c>
      <c r="T38" t="e">
        <f t="shared" si="0"/>
        <v>#REF!</v>
      </c>
      <c r="U38" t="e">
        <f t="shared" si="1"/>
        <v>#REF!</v>
      </c>
      <c r="V38" t="e">
        <f t="shared" si="2"/>
        <v>#REF!</v>
      </c>
      <c r="W38" t="e">
        <f t="shared" si="3"/>
        <v>#REF!</v>
      </c>
      <c r="X38" t="e">
        <f t="shared" si="4"/>
        <v>#REF!</v>
      </c>
    </row>
    <row r="39" spans="1:24" x14ac:dyDescent="0.35">
      <c r="A39">
        <v>37</v>
      </c>
      <c r="B39" t="e">
        <f>SUMIFS(#REF!,#REF!,'Cluster counts corrected Z&lt;3'!$A39)</f>
        <v>#REF!</v>
      </c>
      <c r="C39" t="e">
        <f>SUMIFS(#REF!,#REF!,'Cluster counts corrected Z&lt;3'!$A39)</f>
        <v>#REF!</v>
      </c>
      <c r="D39" t="e">
        <f>SUMIFS(#REF!,#REF!,'Cluster counts corrected Z&lt;3'!$A39)</f>
        <v>#REF!</v>
      </c>
      <c r="E39" t="e">
        <f>SUMIFS(#REF!,#REF!,'Cluster counts corrected Z&lt;3'!$A39)</f>
        <v>#REF!</v>
      </c>
      <c r="F39" t="e">
        <f>SUMIFS(#REF!,#REF!,'Cluster counts corrected Z&lt;3'!$A39)</f>
        <v>#REF!</v>
      </c>
      <c r="G39" t="e">
        <f>SUMIFS(#REF!,#REF!,'Cluster counts corrected Z&lt;3'!$A39)</f>
        <v>#REF!</v>
      </c>
      <c r="H39" t="e">
        <f>SUMIFS(#REF!,#REF!,'Cluster counts corrected Z&lt;3'!$A39)</f>
        <v>#REF!</v>
      </c>
      <c r="I39" t="e">
        <f>SUMIFS(#REF!,#REF!,'Cluster counts corrected Z&lt;3'!$A39)</f>
        <v>#REF!</v>
      </c>
      <c r="J39" t="e">
        <f>SUMIFS(#REF!,#REF!,'Cluster counts corrected Z&lt;3'!$A39)</f>
        <v>#REF!</v>
      </c>
      <c r="K39" t="e">
        <f>SUMIFS(#REF!,#REF!,'Cluster counts corrected Z&lt;3'!$A39)</f>
        <v>#REF!</v>
      </c>
      <c r="L39" t="e">
        <f>SUMIFS(#REF!,#REF!,'Cluster counts corrected Z&lt;3'!$A39)</f>
        <v>#REF!</v>
      </c>
      <c r="M39" t="e">
        <f>SUMIFS(#REF!,#REF!,'Cluster counts corrected Z&lt;3'!$A39)</f>
        <v>#REF!</v>
      </c>
      <c r="N39" t="e">
        <f>SUMIFS(#REF!,#REF!,'Cluster counts corrected Z&lt;3'!$A39)</f>
        <v>#REF!</v>
      </c>
      <c r="O39" t="e">
        <f>SUMIFS(#REF!,#REF!,'Cluster counts corrected Z&lt;3'!$A39)</f>
        <v>#REF!</v>
      </c>
      <c r="P39" t="e">
        <f>SUMIFS(#REF!,#REF!,'Cluster counts corrected Z&lt;3'!$A39)</f>
        <v>#REF!</v>
      </c>
      <c r="Q39" t="e">
        <f>SUMIFS(#REF!,#REF!,'Cluster counts corrected Z&lt;3'!$A39)</f>
        <v>#REF!</v>
      </c>
      <c r="R39" t="e">
        <f>SUMIFS(#REF!,#REF!,'Cluster counts corrected Z&lt;3'!$A39)</f>
        <v>#REF!</v>
      </c>
      <c r="T39" t="e">
        <f t="shared" si="0"/>
        <v>#REF!</v>
      </c>
      <c r="U39" t="e">
        <f t="shared" si="1"/>
        <v>#REF!</v>
      </c>
      <c r="V39" t="e">
        <f t="shared" si="2"/>
        <v>#REF!</v>
      </c>
      <c r="W39" t="e">
        <f t="shared" si="3"/>
        <v>#REF!</v>
      </c>
      <c r="X39" t="e">
        <f t="shared" si="4"/>
        <v>#REF!</v>
      </c>
    </row>
    <row r="40" spans="1:24" x14ac:dyDescent="0.35">
      <c r="A40">
        <v>38</v>
      </c>
      <c r="B40" t="e">
        <f>SUMIFS(#REF!,#REF!,'Cluster counts corrected Z&lt;3'!$A40)</f>
        <v>#REF!</v>
      </c>
      <c r="C40" t="e">
        <f>SUMIFS(#REF!,#REF!,'Cluster counts corrected Z&lt;3'!$A40)</f>
        <v>#REF!</v>
      </c>
      <c r="D40" t="e">
        <f>SUMIFS(#REF!,#REF!,'Cluster counts corrected Z&lt;3'!$A40)</f>
        <v>#REF!</v>
      </c>
      <c r="E40" t="e">
        <f>SUMIFS(#REF!,#REF!,'Cluster counts corrected Z&lt;3'!$A40)</f>
        <v>#REF!</v>
      </c>
      <c r="F40" t="e">
        <f>SUMIFS(#REF!,#REF!,'Cluster counts corrected Z&lt;3'!$A40)</f>
        <v>#REF!</v>
      </c>
      <c r="G40" t="e">
        <f>SUMIFS(#REF!,#REF!,'Cluster counts corrected Z&lt;3'!$A40)</f>
        <v>#REF!</v>
      </c>
      <c r="H40" t="e">
        <f>SUMIFS(#REF!,#REF!,'Cluster counts corrected Z&lt;3'!$A40)</f>
        <v>#REF!</v>
      </c>
      <c r="I40" t="e">
        <f>SUMIFS(#REF!,#REF!,'Cluster counts corrected Z&lt;3'!$A40)</f>
        <v>#REF!</v>
      </c>
      <c r="J40" t="e">
        <f>SUMIFS(#REF!,#REF!,'Cluster counts corrected Z&lt;3'!$A40)</f>
        <v>#REF!</v>
      </c>
      <c r="K40" t="e">
        <f>SUMIFS(#REF!,#REF!,'Cluster counts corrected Z&lt;3'!$A40)</f>
        <v>#REF!</v>
      </c>
      <c r="L40" t="e">
        <f>SUMIFS(#REF!,#REF!,'Cluster counts corrected Z&lt;3'!$A40)</f>
        <v>#REF!</v>
      </c>
      <c r="M40" t="e">
        <f>SUMIFS(#REF!,#REF!,'Cluster counts corrected Z&lt;3'!$A40)</f>
        <v>#REF!</v>
      </c>
      <c r="N40" t="e">
        <f>SUMIFS(#REF!,#REF!,'Cluster counts corrected Z&lt;3'!$A40)</f>
        <v>#REF!</v>
      </c>
      <c r="O40" t="e">
        <f>SUMIFS(#REF!,#REF!,'Cluster counts corrected Z&lt;3'!$A40)</f>
        <v>#REF!</v>
      </c>
      <c r="P40" t="e">
        <f>SUMIFS(#REF!,#REF!,'Cluster counts corrected Z&lt;3'!$A40)</f>
        <v>#REF!</v>
      </c>
      <c r="Q40" t="e">
        <f>SUMIFS(#REF!,#REF!,'Cluster counts corrected Z&lt;3'!$A40)</f>
        <v>#REF!</v>
      </c>
      <c r="R40" t="e">
        <f>SUMIFS(#REF!,#REF!,'Cluster counts corrected Z&lt;3'!$A40)</f>
        <v>#REF!</v>
      </c>
      <c r="T40" t="e">
        <f t="shared" si="0"/>
        <v>#REF!</v>
      </c>
      <c r="U40" t="e">
        <f t="shared" si="1"/>
        <v>#REF!</v>
      </c>
      <c r="V40" t="e">
        <f t="shared" si="2"/>
        <v>#REF!</v>
      </c>
      <c r="W40" t="e">
        <f t="shared" si="3"/>
        <v>#REF!</v>
      </c>
      <c r="X40" t="e">
        <f t="shared" si="4"/>
        <v>#REF!</v>
      </c>
    </row>
    <row r="41" spans="1:24" x14ac:dyDescent="0.35">
      <c r="A41">
        <v>39</v>
      </c>
      <c r="B41" t="e">
        <f>SUMIFS(#REF!,#REF!,'Cluster counts corrected Z&lt;3'!$A41)</f>
        <v>#REF!</v>
      </c>
      <c r="C41" t="e">
        <f>SUMIFS(#REF!,#REF!,'Cluster counts corrected Z&lt;3'!$A41)</f>
        <v>#REF!</v>
      </c>
      <c r="D41" t="e">
        <f>SUMIFS(#REF!,#REF!,'Cluster counts corrected Z&lt;3'!$A41)</f>
        <v>#REF!</v>
      </c>
      <c r="E41" t="e">
        <f>SUMIFS(#REF!,#REF!,'Cluster counts corrected Z&lt;3'!$A41)</f>
        <v>#REF!</v>
      </c>
      <c r="F41" t="e">
        <f>SUMIFS(#REF!,#REF!,'Cluster counts corrected Z&lt;3'!$A41)</f>
        <v>#REF!</v>
      </c>
      <c r="G41" t="e">
        <f>SUMIFS(#REF!,#REF!,'Cluster counts corrected Z&lt;3'!$A41)</f>
        <v>#REF!</v>
      </c>
      <c r="H41" t="e">
        <f>SUMIFS(#REF!,#REF!,'Cluster counts corrected Z&lt;3'!$A41)</f>
        <v>#REF!</v>
      </c>
      <c r="I41" t="e">
        <f>SUMIFS(#REF!,#REF!,'Cluster counts corrected Z&lt;3'!$A41)</f>
        <v>#REF!</v>
      </c>
      <c r="J41" t="e">
        <f>SUMIFS(#REF!,#REF!,'Cluster counts corrected Z&lt;3'!$A41)</f>
        <v>#REF!</v>
      </c>
      <c r="K41" t="e">
        <f>SUMIFS(#REF!,#REF!,'Cluster counts corrected Z&lt;3'!$A41)</f>
        <v>#REF!</v>
      </c>
      <c r="L41" t="e">
        <f>SUMIFS(#REF!,#REF!,'Cluster counts corrected Z&lt;3'!$A41)</f>
        <v>#REF!</v>
      </c>
      <c r="M41" t="e">
        <f>SUMIFS(#REF!,#REF!,'Cluster counts corrected Z&lt;3'!$A41)</f>
        <v>#REF!</v>
      </c>
      <c r="N41" t="e">
        <f>SUMIFS(#REF!,#REF!,'Cluster counts corrected Z&lt;3'!$A41)</f>
        <v>#REF!</v>
      </c>
      <c r="O41" t="e">
        <f>SUMIFS(#REF!,#REF!,'Cluster counts corrected Z&lt;3'!$A41)</f>
        <v>#REF!</v>
      </c>
      <c r="P41" t="e">
        <f>SUMIFS(#REF!,#REF!,'Cluster counts corrected Z&lt;3'!$A41)</f>
        <v>#REF!</v>
      </c>
      <c r="Q41" t="e">
        <f>SUMIFS(#REF!,#REF!,'Cluster counts corrected Z&lt;3'!$A41)</f>
        <v>#REF!</v>
      </c>
      <c r="R41" t="e">
        <f>SUMIFS(#REF!,#REF!,'Cluster counts corrected Z&lt;3'!$A41)</f>
        <v>#REF!</v>
      </c>
      <c r="T41" t="e">
        <f t="shared" si="0"/>
        <v>#REF!</v>
      </c>
      <c r="U41" t="e">
        <f t="shared" si="1"/>
        <v>#REF!</v>
      </c>
      <c r="V41" t="e">
        <f t="shared" si="2"/>
        <v>#REF!</v>
      </c>
      <c r="W41" t="e">
        <f t="shared" si="3"/>
        <v>#REF!</v>
      </c>
      <c r="X41" t="e">
        <f t="shared" si="4"/>
        <v>#REF!</v>
      </c>
    </row>
    <row r="42" spans="1:24" x14ac:dyDescent="0.35">
      <c r="A42">
        <v>40</v>
      </c>
      <c r="B42" t="e">
        <f>SUMIFS(#REF!,#REF!,'Cluster counts corrected Z&lt;3'!$A42)</f>
        <v>#REF!</v>
      </c>
      <c r="C42" t="e">
        <f>SUMIFS(#REF!,#REF!,'Cluster counts corrected Z&lt;3'!$A42)</f>
        <v>#REF!</v>
      </c>
      <c r="D42" t="e">
        <f>SUMIFS(#REF!,#REF!,'Cluster counts corrected Z&lt;3'!$A42)</f>
        <v>#REF!</v>
      </c>
      <c r="E42" t="e">
        <f>SUMIFS(#REF!,#REF!,'Cluster counts corrected Z&lt;3'!$A42)</f>
        <v>#REF!</v>
      </c>
      <c r="F42" t="e">
        <f>SUMIFS(#REF!,#REF!,'Cluster counts corrected Z&lt;3'!$A42)</f>
        <v>#REF!</v>
      </c>
      <c r="G42" t="e">
        <f>SUMIFS(#REF!,#REF!,'Cluster counts corrected Z&lt;3'!$A42)</f>
        <v>#REF!</v>
      </c>
      <c r="H42" t="e">
        <f>SUMIFS(#REF!,#REF!,'Cluster counts corrected Z&lt;3'!$A42)</f>
        <v>#REF!</v>
      </c>
      <c r="I42" t="e">
        <f>SUMIFS(#REF!,#REF!,'Cluster counts corrected Z&lt;3'!$A42)</f>
        <v>#REF!</v>
      </c>
      <c r="J42" t="e">
        <f>SUMIFS(#REF!,#REF!,'Cluster counts corrected Z&lt;3'!$A42)</f>
        <v>#REF!</v>
      </c>
      <c r="K42" t="e">
        <f>SUMIFS(#REF!,#REF!,'Cluster counts corrected Z&lt;3'!$A42)</f>
        <v>#REF!</v>
      </c>
      <c r="L42" t="e">
        <f>SUMIFS(#REF!,#REF!,'Cluster counts corrected Z&lt;3'!$A42)</f>
        <v>#REF!</v>
      </c>
      <c r="M42" t="e">
        <f>SUMIFS(#REF!,#REF!,'Cluster counts corrected Z&lt;3'!$A42)</f>
        <v>#REF!</v>
      </c>
      <c r="N42" t="e">
        <f>SUMIFS(#REF!,#REF!,'Cluster counts corrected Z&lt;3'!$A42)</f>
        <v>#REF!</v>
      </c>
      <c r="O42" t="e">
        <f>SUMIFS(#REF!,#REF!,'Cluster counts corrected Z&lt;3'!$A42)</f>
        <v>#REF!</v>
      </c>
      <c r="P42" t="e">
        <f>SUMIFS(#REF!,#REF!,'Cluster counts corrected Z&lt;3'!$A42)</f>
        <v>#REF!</v>
      </c>
      <c r="Q42" t="e">
        <f>SUMIFS(#REF!,#REF!,'Cluster counts corrected Z&lt;3'!$A42)</f>
        <v>#REF!</v>
      </c>
      <c r="R42" t="e">
        <f>SUMIFS(#REF!,#REF!,'Cluster counts corrected Z&lt;3'!$A42)</f>
        <v>#REF!</v>
      </c>
      <c r="T42" t="e">
        <f t="shared" si="0"/>
        <v>#REF!</v>
      </c>
      <c r="U42" t="e">
        <f t="shared" si="1"/>
        <v>#REF!</v>
      </c>
      <c r="V42" t="e">
        <f t="shared" si="2"/>
        <v>#REF!</v>
      </c>
      <c r="W42" t="e">
        <f t="shared" si="3"/>
        <v>#REF!</v>
      </c>
      <c r="X42" t="e">
        <f t="shared" si="4"/>
        <v>#REF!</v>
      </c>
    </row>
    <row r="43" spans="1:24" x14ac:dyDescent="0.35">
      <c r="A43">
        <v>41</v>
      </c>
      <c r="B43" t="e">
        <f>SUMIFS(#REF!,#REF!,'Cluster counts corrected Z&lt;3'!$A43)</f>
        <v>#REF!</v>
      </c>
      <c r="C43" t="e">
        <f>SUMIFS(#REF!,#REF!,'Cluster counts corrected Z&lt;3'!$A43)</f>
        <v>#REF!</v>
      </c>
      <c r="D43" t="e">
        <f>SUMIFS(#REF!,#REF!,'Cluster counts corrected Z&lt;3'!$A43)</f>
        <v>#REF!</v>
      </c>
      <c r="E43" t="e">
        <f>SUMIFS(#REF!,#REF!,'Cluster counts corrected Z&lt;3'!$A43)</f>
        <v>#REF!</v>
      </c>
      <c r="F43" t="e">
        <f>SUMIFS(#REF!,#REF!,'Cluster counts corrected Z&lt;3'!$A43)</f>
        <v>#REF!</v>
      </c>
      <c r="G43" t="e">
        <f>SUMIFS(#REF!,#REF!,'Cluster counts corrected Z&lt;3'!$A43)</f>
        <v>#REF!</v>
      </c>
      <c r="H43" t="e">
        <f>SUMIFS(#REF!,#REF!,'Cluster counts corrected Z&lt;3'!$A43)</f>
        <v>#REF!</v>
      </c>
      <c r="I43" t="e">
        <f>SUMIFS(#REF!,#REF!,'Cluster counts corrected Z&lt;3'!$A43)</f>
        <v>#REF!</v>
      </c>
      <c r="J43" t="e">
        <f>SUMIFS(#REF!,#REF!,'Cluster counts corrected Z&lt;3'!$A43)</f>
        <v>#REF!</v>
      </c>
      <c r="K43" t="e">
        <f>SUMIFS(#REF!,#REF!,'Cluster counts corrected Z&lt;3'!$A43)</f>
        <v>#REF!</v>
      </c>
      <c r="L43" t="e">
        <f>SUMIFS(#REF!,#REF!,'Cluster counts corrected Z&lt;3'!$A43)</f>
        <v>#REF!</v>
      </c>
      <c r="M43" t="e">
        <f>SUMIFS(#REF!,#REF!,'Cluster counts corrected Z&lt;3'!$A43)</f>
        <v>#REF!</v>
      </c>
      <c r="N43" t="e">
        <f>SUMIFS(#REF!,#REF!,'Cluster counts corrected Z&lt;3'!$A43)</f>
        <v>#REF!</v>
      </c>
      <c r="O43" t="e">
        <f>SUMIFS(#REF!,#REF!,'Cluster counts corrected Z&lt;3'!$A43)</f>
        <v>#REF!</v>
      </c>
      <c r="P43" t="e">
        <f>SUMIFS(#REF!,#REF!,'Cluster counts corrected Z&lt;3'!$A43)</f>
        <v>#REF!</v>
      </c>
      <c r="Q43" t="e">
        <f>SUMIFS(#REF!,#REF!,'Cluster counts corrected Z&lt;3'!$A43)</f>
        <v>#REF!</v>
      </c>
      <c r="R43" t="e">
        <f>SUMIFS(#REF!,#REF!,'Cluster counts corrected Z&lt;3'!$A43)</f>
        <v>#REF!</v>
      </c>
      <c r="T43" t="e">
        <f t="shared" si="0"/>
        <v>#REF!</v>
      </c>
      <c r="U43" t="e">
        <f t="shared" si="1"/>
        <v>#REF!</v>
      </c>
      <c r="V43" t="e">
        <f t="shared" si="2"/>
        <v>#REF!</v>
      </c>
      <c r="W43" t="e">
        <f t="shared" si="3"/>
        <v>#REF!</v>
      </c>
      <c r="X43" t="e">
        <f t="shared" si="4"/>
        <v>#REF!</v>
      </c>
    </row>
    <row r="44" spans="1:24" x14ac:dyDescent="0.35">
      <c r="A44">
        <v>42</v>
      </c>
      <c r="B44" t="e">
        <f>SUMIFS(#REF!,#REF!,'Cluster counts corrected Z&lt;3'!$A44)</f>
        <v>#REF!</v>
      </c>
      <c r="C44" t="e">
        <f>SUMIFS(#REF!,#REF!,'Cluster counts corrected Z&lt;3'!$A44)</f>
        <v>#REF!</v>
      </c>
      <c r="D44" t="e">
        <f>SUMIFS(#REF!,#REF!,'Cluster counts corrected Z&lt;3'!$A44)</f>
        <v>#REF!</v>
      </c>
      <c r="E44" t="e">
        <f>SUMIFS(#REF!,#REF!,'Cluster counts corrected Z&lt;3'!$A44)</f>
        <v>#REF!</v>
      </c>
      <c r="F44" t="e">
        <f>SUMIFS(#REF!,#REF!,'Cluster counts corrected Z&lt;3'!$A44)</f>
        <v>#REF!</v>
      </c>
      <c r="G44" t="e">
        <f>SUMIFS(#REF!,#REF!,'Cluster counts corrected Z&lt;3'!$A44)</f>
        <v>#REF!</v>
      </c>
      <c r="H44" t="e">
        <f>SUMIFS(#REF!,#REF!,'Cluster counts corrected Z&lt;3'!$A44)</f>
        <v>#REF!</v>
      </c>
      <c r="I44" t="e">
        <f>SUMIFS(#REF!,#REF!,'Cluster counts corrected Z&lt;3'!$A44)</f>
        <v>#REF!</v>
      </c>
      <c r="J44" t="e">
        <f>SUMIFS(#REF!,#REF!,'Cluster counts corrected Z&lt;3'!$A44)</f>
        <v>#REF!</v>
      </c>
      <c r="K44" t="e">
        <f>SUMIFS(#REF!,#REF!,'Cluster counts corrected Z&lt;3'!$A44)</f>
        <v>#REF!</v>
      </c>
      <c r="L44" t="e">
        <f>SUMIFS(#REF!,#REF!,'Cluster counts corrected Z&lt;3'!$A44)</f>
        <v>#REF!</v>
      </c>
      <c r="M44" t="e">
        <f>SUMIFS(#REF!,#REF!,'Cluster counts corrected Z&lt;3'!$A44)</f>
        <v>#REF!</v>
      </c>
      <c r="N44" t="e">
        <f>SUMIFS(#REF!,#REF!,'Cluster counts corrected Z&lt;3'!$A44)</f>
        <v>#REF!</v>
      </c>
      <c r="O44" t="e">
        <f>SUMIFS(#REF!,#REF!,'Cluster counts corrected Z&lt;3'!$A44)</f>
        <v>#REF!</v>
      </c>
      <c r="P44" t="e">
        <f>SUMIFS(#REF!,#REF!,'Cluster counts corrected Z&lt;3'!$A44)</f>
        <v>#REF!</v>
      </c>
      <c r="Q44" t="e">
        <f>SUMIFS(#REF!,#REF!,'Cluster counts corrected Z&lt;3'!$A44)</f>
        <v>#REF!</v>
      </c>
      <c r="R44" t="e">
        <f>SUMIFS(#REF!,#REF!,'Cluster counts corrected Z&lt;3'!$A44)</f>
        <v>#REF!</v>
      </c>
      <c r="T44" t="e">
        <f t="shared" si="0"/>
        <v>#REF!</v>
      </c>
      <c r="U44" t="e">
        <f t="shared" si="1"/>
        <v>#REF!</v>
      </c>
      <c r="V44" t="e">
        <f t="shared" si="2"/>
        <v>#REF!</v>
      </c>
      <c r="W44" t="e">
        <f t="shared" si="3"/>
        <v>#REF!</v>
      </c>
      <c r="X44" t="e">
        <f t="shared" si="4"/>
        <v>#REF!</v>
      </c>
    </row>
    <row r="45" spans="1:24" x14ac:dyDescent="0.35">
      <c r="A45">
        <v>43</v>
      </c>
      <c r="B45" t="e">
        <f>SUMIFS(#REF!,#REF!,'Cluster counts corrected Z&lt;3'!$A45)</f>
        <v>#REF!</v>
      </c>
      <c r="C45" t="e">
        <f>SUMIFS(#REF!,#REF!,'Cluster counts corrected Z&lt;3'!$A45)</f>
        <v>#REF!</v>
      </c>
      <c r="D45" t="e">
        <f>SUMIFS(#REF!,#REF!,'Cluster counts corrected Z&lt;3'!$A45)</f>
        <v>#REF!</v>
      </c>
      <c r="E45" t="e">
        <f>SUMIFS(#REF!,#REF!,'Cluster counts corrected Z&lt;3'!$A45)</f>
        <v>#REF!</v>
      </c>
      <c r="F45" t="e">
        <f>SUMIFS(#REF!,#REF!,'Cluster counts corrected Z&lt;3'!$A45)</f>
        <v>#REF!</v>
      </c>
      <c r="G45" t="e">
        <f>SUMIFS(#REF!,#REF!,'Cluster counts corrected Z&lt;3'!$A45)</f>
        <v>#REF!</v>
      </c>
      <c r="H45" t="e">
        <f>SUMIFS(#REF!,#REF!,'Cluster counts corrected Z&lt;3'!$A45)</f>
        <v>#REF!</v>
      </c>
      <c r="I45" t="e">
        <f>SUMIFS(#REF!,#REF!,'Cluster counts corrected Z&lt;3'!$A45)</f>
        <v>#REF!</v>
      </c>
      <c r="J45" t="e">
        <f>SUMIFS(#REF!,#REF!,'Cluster counts corrected Z&lt;3'!$A45)</f>
        <v>#REF!</v>
      </c>
      <c r="K45" t="e">
        <f>SUMIFS(#REF!,#REF!,'Cluster counts corrected Z&lt;3'!$A45)</f>
        <v>#REF!</v>
      </c>
      <c r="L45" t="e">
        <f>SUMIFS(#REF!,#REF!,'Cluster counts corrected Z&lt;3'!$A45)</f>
        <v>#REF!</v>
      </c>
      <c r="M45" t="e">
        <f>SUMIFS(#REF!,#REF!,'Cluster counts corrected Z&lt;3'!$A45)</f>
        <v>#REF!</v>
      </c>
      <c r="N45" t="e">
        <f>SUMIFS(#REF!,#REF!,'Cluster counts corrected Z&lt;3'!$A45)</f>
        <v>#REF!</v>
      </c>
      <c r="O45" t="e">
        <f>SUMIFS(#REF!,#REF!,'Cluster counts corrected Z&lt;3'!$A45)</f>
        <v>#REF!</v>
      </c>
      <c r="P45" t="e">
        <f>SUMIFS(#REF!,#REF!,'Cluster counts corrected Z&lt;3'!$A45)</f>
        <v>#REF!</v>
      </c>
      <c r="Q45" t="e">
        <f>SUMIFS(#REF!,#REF!,'Cluster counts corrected Z&lt;3'!$A45)</f>
        <v>#REF!</v>
      </c>
      <c r="R45" t="e">
        <f>SUMIFS(#REF!,#REF!,'Cluster counts corrected Z&lt;3'!$A45)</f>
        <v>#REF!</v>
      </c>
      <c r="T45" t="e">
        <f t="shared" si="0"/>
        <v>#REF!</v>
      </c>
      <c r="U45" t="e">
        <f t="shared" si="1"/>
        <v>#REF!</v>
      </c>
      <c r="V45" t="e">
        <f t="shared" si="2"/>
        <v>#REF!</v>
      </c>
      <c r="W45" t="e">
        <f t="shared" si="3"/>
        <v>#REF!</v>
      </c>
      <c r="X45" t="e">
        <f t="shared" si="4"/>
        <v>#REF!</v>
      </c>
    </row>
    <row r="46" spans="1:24" x14ac:dyDescent="0.35">
      <c r="A46">
        <v>44</v>
      </c>
      <c r="B46" t="e">
        <f>SUMIFS(#REF!,#REF!,'Cluster counts corrected Z&lt;3'!$A46)</f>
        <v>#REF!</v>
      </c>
      <c r="C46" t="e">
        <f>SUMIFS(#REF!,#REF!,'Cluster counts corrected Z&lt;3'!$A46)</f>
        <v>#REF!</v>
      </c>
      <c r="D46" t="e">
        <f>SUMIFS(#REF!,#REF!,'Cluster counts corrected Z&lt;3'!$A46)</f>
        <v>#REF!</v>
      </c>
      <c r="E46" t="e">
        <f>SUMIFS(#REF!,#REF!,'Cluster counts corrected Z&lt;3'!$A46)</f>
        <v>#REF!</v>
      </c>
      <c r="F46" t="e">
        <f>SUMIFS(#REF!,#REF!,'Cluster counts corrected Z&lt;3'!$A46)</f>
        <v>#REF!</v>
      </c>
      <c r="G46" t="e">
        <f>SUMIFS(#REF!,#REF!,'Cluster counts corrected Z&lt;3'!$A46)</f>
        <v>#REF!</v>
      </c>
      <c r="H46" t="e">
        <f>SUMIFS(#REF!,#REF!,'Cluster counts corrected Z&lt;3'!$A46)</f>
        <v>#REF!</v>
      </c>
      <c r="I46" t="e">
        <f>SUMIFS(#REF!,#REF!,'Cluster counts corrected Z&lt;3'!$A46)</f>
        <v>#REF!</v>
      </c>
      <c r="J46" t="e">
        <f>SUMIFS(#REF!,#REF!,'Cluster counts corrected Z&lt;3'!$A46)</f>
        <v>#REF!</v>
      </c>
      <c r="K46" t="e">
        <f>SUMIFS(#REF!,#REF!,'Cluster counts corrected Z&lt;3'!$A46)</f>
        <v>#REF!</v>
      </c>
      <c r="L46" t="e">
        <f>SUMIFS(#REF!,#REF!,'Cluster counts corrected Z&lt;3'!$A46)</f>
        <v>#REF!</v>
      </c>
      <c r="M46" t="e">
        <f>SUMIFS(#REF!,#REF!,'Cluster counts corrected Z&lt;3'!$A46)</f>
        <v>#REF!</v>
      </c>
      <c r="N46" t="e">
        <f>SUMIFS(#REF!,#REF!,'Cluster counts corrected Z&lt;3'!$A46)</f>
        <v>#REF!</v>
      </c>
      <c r="O46" t="e">
        <f>SUMIFS(#REF!,#REF!,'Cluster counts corrected Z&lt;3'!$A46)</f>
        <v>#REF!</v>
      </c>
      <c r="P46" t="e">
        <f>SUMIFS(#REF!,#REF!,'Cluster counts corrected Z&lt;3'!$A46)</f>
        <v>#REF!</v>
      </c>
      <c r="Q46" t="e">
        <f>SUMIFS(#REF!,#REF!,'Cluster counts corrected Z&lt;3'!$A46)</f>
        <v>#REF!</v>
      </c>
      <c r="R46" t="e">
        <f>SUMIFS(#REF!,#REF!,'Cluster counts corrected Z&lt;3'!$A46)</f>
        <v>#REF!</v>
      </c>
      <c r="T46" t="e">
        <f t="shared" si="0"/>
        <v>#REF!</v>
      </c>
      <c r="U46" t="e">
        <f t="shared" si="1"/>
        <v>#REF!</v>
      </c>
      <c r="V46" t="e">
        <f t="shared" si="2"/>
        <v>#REF!</v>
      </c>
      <c r="W46" t="e">
        <f t="shared" si="3"/>
        <v>#REF!</v>
      </c>
      <c r="X46" t="e">
        <f t="shared" si="4"/>
        <v>#REF!</v>
      </c>
    </row>
    <row r="47" spans="1:24" x14ac:dyDescent="0.35">
      <c r="A47">
        <v>45</v>
      </c>
      <c r="B47" t="e">
        <f>SUMIFS(#REF!,#REF!,'Cluster counts corrected Z&lt;3'!$A47)</f>
        <v>#REF!</v>
      </c>
      <c r="C47" t="e">
        <f>SUMIFS(#REF!,#REF!,'Cluster counts corrected Z&lt;3'!$A47)</f>
        <v>#REF!</v>
      </c>
      <c r="D47" t="e">
        <f>SUMIFS(#REF!,#REF!,'Cluster counts corrected Z&lt;3'!$A47)</f>
        <v>#REF!</v>
      </c>
      <c r="E47" t="e">
        <f>SUMIFS(#REF!,#REF!,'Cluster counts corrected Z&lt;3'!$A47)</f>
        <v>#REF!</v>
      </c>
      <c r="F47" t="e">
        <f>SUMIFS(#REF!,#REF!,'Cluster counts corrected Z&lt;3'!$A47)</f>
        <v>#REF!</v>
      </c>
      <c r="G47" t="e">
        <f>SUMIFS(#REF!,#REF!,'Cluster counts corrected Z&lt;3'!$A47)</f>
        <v>#REF!</v>
      </c>
      <c r="H47" t="e">
        <f>SUMIFS(#REF!,#REF!,'Cluster counts corrected Z&lt;3'!$A47)</f>
        <v>#REF!</v>
      </c>
      <c r="I47" t="e">
        <f>SUMIFS(#REF!,#REF!,'Cluster counts corrected Z&lt;3'!$A47)</f>
        <v>#REF!</v>
      </c>
      <c r="J47" t="e">
        <f>SUMIFS(#REF!,#REF!,'Cluster counts corrected Z&lt;3'!$A47)</f>
        <v>#REF!</v>
      </c>
      <c r="K47" t="e">
        <f>SUMIFS(#REF!,#REF!,'Cluster counts corrected Z&lt;3'!$A47)</f>
        <v>#REF!</v>
      </c>
      <c r="L47" t="e">
        <f>SUMIFS(#REF!,#REF!,'Cluster counts corrected Z&lt;3'!$A47)</f>
        <v>#REF!</v>
      </c>
      <c r="M47" t="e">
        <f>SUMIFS(#REF!,#REF!,'Cluster counts corrected Z&lt;3'!$A47)</f>
        <v>#REF!</v>
      </c>
      <c r="N47" t="e">
        <f>SUMIFS(#REF!,#REF!,'Cluster counts corrected Z&lt;3'!$A47)</f>
        <v>#REF!</v>
      </c>
      <c r="O47" t="e">
        <f>SUMIFS(#REF!,#REF!,'Cluster counts corrected Z&lt;3'!$A47)</f>
        <v>#REF!</v>
      </c>
      <c r="P47" t="e">
        <f>SUMIFS(#REF!,#REF!,'Cluster counts corrected Z&lt;3'!$A47)</f>
        <v>#REF!</v>
      </c>
      <c r="Q47" t="e">
        <f>SUMIFS(#REF!,#REF!,'Cluster counts corrected Z&lt;3'!$A47)</f>
        <v>#REF!</v>
      </c>
      <c r="R47" t="e">
        <f>SUMIFS(#REF!,#REF!,'Cluster counts corrected Z&lt;3'!$A47)</f>
        <v>#REF!</v>
      </c>
      <c r="T47" t="e">
        <f t="shared" si="0"/>
        <v>#REF!</v>
      </c>
      <c r="U47" t="e">
        <f t="shared" si="1"/>
        <v>#REF!</v>
      </c>
      <c r="V47" t="e">
        <f t="shared" si="2"/>
        <v>#REF!</v>
      </c>
      <c r="W47" t="e">
        <f t="shared" si="3"/>
        <v>#REF!</v>
      </c>
      <c r="X47" t="e">
        <f t="shared" si="4"/>
        <v>#REF!</v>
      </c>
    </row>
    <row r="48" spans="1:24" x14ac:dyDescent="0.35">
      <c r="A48">
        <v>46</v>
      </c>
      <c r="B48" t="e">
        <f>SUMIFS(#REF!,#REF!,'Cluster counts corrected Z&lt;3'!$A48)</f>
        <v>#REF!</v>
      </c>
      <c r="C48" t="e">
        <f>SUMIFS(#REF!,#REF!,'Cluster counts corrected Z&lt;3'!$A48)</f>
        <v>#REF!</v>
      </c>
      <c r="D48" t="e">
        <f>SUMIFS(#REF!,#REF!,'Cluster counts corrected Z&lt;3'!$A48)</f>
        <v>#REF!</v>
      </c>
      <c r="E48" t="e">
        <f>SUMIFS(#REF!,#REF!,'Cluster counts corrected Z&lt;3'!$A48)</f>
        <v>#REF!</v>
      </c>
      <c r="F48" t="e">
        <f>SUMIFS(#REF!,#REF!,'Cluster counts corrected Z&lt;3'!$A48)</f>
        <v>#REF!</v>
      </c>
      <c r="G48" t="e">
        <f>SUMIFS(#REF!,#REF!,'Cluster counts corrected Z&lt;3'!$A48)</f>
        <v>#REF!</v>
      </c>
      <c r="H48" t="e">
        <f>SUMIFS(#REF!,#REF!,'Cluster counts corrected Z&lt;3'!$A48)</f>
        <v>#REF!</v>
      </c>
      <c r="I48" t="e">
        <f>SUMIFS(#REF!,#REF!,'Cluster counts corrected Z&lt;3'!$A48)</f>
        <v>#REF!</v>
      </c>
      <c r="J48" t="e">
        <f>SUMIFS(#REF!,#REF!,'Cluster counts corrected Z&lt;3'!$A48)</f>
        <v>#REF!</v>
      </c>
      <c r="K48" t="e">
        <f>SUMIFS(#REF!,#REF!,'Cluster counts corrected Z&lt;3'!$A48)</f>
        <v>#REF!</v>
      </c>
      <c r="L48" t="e">
        <f>SUMIFS(#REF!,#REF!,'Cluster counts corrected Z&lt;3'!$A48)</f>
        <v>#REF!</v>
      </c>
      <c r="M48" t="e">
        <f>SUMIFS(#REF!,#REF!,'Cluster counts corrected Z&lt;3'!$A48)</f>
        <v>#REF!</v>
      </c>
      <c r="N48" t="e">
        <f>SUMIFS(#REF!,#REF!,'Cluster counts corrected Z&lt;3'!$A48)</f>
        <v>#REF!</v>
      </c>
      <c r="O48" t="e">
        <f>SUMIFS(#REF!,#REF!,'Cluster counts corrected Z&lt;3'!$A48)</f>
        <v>#REF!</v>
      </c>
      <c r="P48" t="e">
        <f>SUMIFS(#REF!,#REF!,'Cluster counts corrected Z&lt;3'!$A48)</f>
        <v>#REF!</v>
      </c>
      <c r="Q48" t="e">
        <f>SUMIFS(#REF!,#REF!,'Cluster counts corrected Z&lt;3'!$A48)</f>
        <v>#REF!</v>
      </c>
      <c r="R48" t="e">
        <f>SUMIFS(#REF!,#REF!,'Cluster counts corrected Z&lt;3'!$A48)</f>
        <v>#REF!</v>
      </c>
      <c r="T48" t="e">
        <f t="shared" si="0"/>
        <v>#REF!</v>
      </c>
      <c r="U48" t="e">
        <f t="shared" si="1"/>
        <v>#REF!</v>
      </c>
      <c r="V48" t="e">
        <f t="shared" si="2"/>
        <v>#REF!</v>
      </c>
      <c r="W48" t="e">
        <f t="shared" si="3"/>
        <v>#REF!</v>
      </c>
      <c r="X48" t="e">
        <f t="shared" si="4"/>
        <v>#REF!</v>
      </c>
    </row>
    <row r="49" spans="1:24" x14ac:dyDescent="0.35">
      <c r="A49">
        <v>47</v>
      </c>
      <c r="B49" t="e">
        <f>SUMIFS(#REF!,#REF!,'Cluster counts corrected Z&lt;3'!$A49)</f>
        <v>#REF!</v>
      </c>
      <c r="C49" t="e">
        <f>SUMIFS(#REF!,#REF!,'Cluster counts corrected Z&lt;3'!$A49)</f>
        <v>#REF!</v>
      </c>
      <c r="D49" t="e">
        <f>SUMIFS(#REF!,#REF!,'Cluster counts corrected Z&lt;3'!$A49)</f>
        <v>#REF!</v>
      </c>
      <c r="E49" t="e">
        <f>SUMIFS(#REF!,#REF!,'Cluster counts corrected Z&lt;3'!$A49)</f>
        <v>#REF!</v>
      </c>
      <c r="F49" t="e">
        <f>SUMIFS(#REF!,#REF!,'Cluster counts corrected Z&lt;3'!$A49)</f>
        <v>#REF!</v>
      </c>
      <c r="G49" t="e">
        <f>SUMIFS(#REF!,#REF!,'Cluster counts corrected Z&lt;3'!$A49)</f>
        <v>#REF!</v>
      </c>
      <c r="H49" t="e">
        <f>SUMIFS(#REF!,#REF!,'Cluster counts corrected Z&lt;3'!$A49)</f>
        <v>#REF!</v>
      </c>
      <c r="I49" t="e">
        <f>SUMIFS(#REF!,#REF!,'Cluster counts corrected Z&lt;3'!$A49)</f>
        <v>#REF!</v>
      </c>
      <c r="J49" t="e">
        <f>SUMIFS(#REF!,#REF!,'Cluster counts corrected Z&lt;3'!$A49)</f>
        <v>#REF!</v>
      </c>
      <c r="K49" t="e">
        <f>SUMIFS(#REF!,#REF!,'Cluster counts corrected Z&lt;3'!$A49)</f>
        <v>#REF!</v>
      </c>
      <c r="L49" t="e">
        <f>SUMIFS(#REF!,#REF!,'Cluster counts corrected Z&lt;3'!$A49)</f>
        <v>#REF!</v>
      </c>
      <c r="M49" t="e">
        <f>SUMIFS(#REF!,#REF!,'Cluster counts corrected Z&lt;3'!$A49)</f>
        <v>#REF!</v>
      </c>
      <c r="N49" t="e">
        <f>SUMIFS(#REF!,#REF!,'Cluster counts corrected Z&lt;3'!$A49)</f>
        <v>#REF!</v>
      </c>
      <c r="O49" t="e">
        <f>SUMIFS(#REF!,#REF!,'Cluster counts corrected Z&lt;3'!$A49)</f>
        <v>#REF!</v>
      </c>
      <c r="P49" t="e">
        <f>SUMIFS(#REF!,#REF!,'Cluster counts corrected Z&lt;3'!$A49)</f>
        <v>#REF!</v>
      </c>
      <c r="Q49" t="e">
        <f>SUMIFS(#REF!,#REF!,'Cluster counts corrected Z&lt;3'!$A49)</f>
        <v>#REF!</v>
      </c>
      <c r="R49" t="e">
        <f>SUMIFS(#REF!,#REF!,'Cluster counts corrected Z&lt;3'!$A49)</f>
        <v>#REF!</v>
      </c>
      <c r="T49" t="e">
        <f t="shared" si="0"/>
        <v>#REF!</v>
      </c>
      <c r="U49" t="e">
        <f t="shared" si="1"/>
        <v>#REF!</v>
      </c>
      <c r="V49" t="e">
        <f t="shared" si="2"/>
        <v>#REF!</v>
      </c>
      <c r="W49" t="e">
        <f t="shared" si="3"/>
        <v>#REF!</v>
      </c>
      <c r="X49" t="e">
        <f t="shared" si="4"/>
        <v>#REF!</v>
      </c>
    </row>
    <row r="50" spans="1:24" x14ac:dyDescent="0.35">
      <c r="A50">
        <v>48</v>
      </c>
      <c r="B50" t="e">
        <f>SUMIFS(#REF!,#REF!,'Cluster counts corrected Z&lt;3'!$A50)</f>
        <v>#REF!</v>
      </c>
      <c r="C50" t="e">
        <f>SUMIFS(#REF!,#REF!,'Cluster counts corrected Z&lt;3'!$A50)</f>
        <v>#REF!</v>
      </c>
      <c r="D50" t="e">
        <f>SUMIFS(#REF!,#REF!,'Cluster counts corrected Z&lt;3'!$A50)</f>
        <v>#REF!</v>
      </c>
      <c r="E50" t="e">
        <f>SUMIFS(#REF!,#REF!,'Cluster counts corrected Z&lt;3'!$A50)</f>
        <v>#REF!</v>
      </c>
      <c r="F50" t="e">
        <f>SUMIFS(#REF!,#REF!,'Cluster counts corrected Z&lt;3'!$A50)</f>
        <v>#REF!</v>
      </c>
      <c r="G50" t="e">
        <f>SUMIFS(#REF!,#REF!,'Cluster counts corrected Z&lt;3'!$A50)</f>
        <v>#REF!</v>
      </c>
      <c r="H50" t="e">
        <f>SUMIFS(#REF!,#REF!,'Cluster counts corrected Z&lt;3'!$A50)</f>
        <v>#REF!</v>
      </c>
      <c r="I50" t="e">
        <f>SUMIFS(#REF!,#REF!,'Cluster counts corrected Z&lt;3'!$A50)</f>
        <v>#REF!</v>
      </c>
      <c r="J50" t="e">
        <f>SUMIFS(#REF!,#REF!,'Cluster counts corrected Z&lt;3'!$A50)</f>
        <v>#REF!</v>
      </c>
      <c r="K50" t="e">
        <f>SUMIFS(#REF!,#REF!,'Cluster counts corrected Z&lt;3'!$A50)</f>
        <v>#REF!</v>
      </c>
      <c r="L50" t="e">
        <f>SUMIFS(#REF!,#REF!,'Cluster counts corrected Z&lt;3'!$A50)</f>
        <v>#REF!</v>
      </c>
      <c r="M50" t="e">
        <f>SUMIFS(#REF!,#REF!,'Cluster counts corrected Z&lt;3'!$A50)</f>
        <v>#REF!</v>
      </c>
      <c r="N50" t="e">
        <f>SUMIFS(#REF!,#REF!,'Cluster counts corrected Z&lt;3'!$A50)</f>
        <v>#REF!</v>
      </c>
      <c r="O50" t="e">
        <f>SUMIFS(#REF!,#REF!,'Cluster counts corrected Z&lt;3'!$A50)</f>
        <v>#REF!</v>
      </c>
      <c r="P50" t="e">
        <f>SUMIFS(#REF!,#REF!,'Cluster counts corrected Z&lt;3'!$A50)</f>
        <v>#REF!</v>
      </c>
      <c r="Q50" t="e">
        <f>SUMIFS(#REF!,#REF!,'Cluster counts corrected Z&lt;3'!$A50)</f>
        <v>#REF!</v>
      </c>
      <c r="R50" t="e">
        <f>SUMIFS(#REF!,#REF!,'Cluster counts corrected Z&lt;3'!$A50)</f>
        <v>#REF!</v>
      </c>
      <c r="T50" t="e">
        <f t="shared" si="0"/>
        <v>#REF!</v>
      </c>
      <c r="U50" t="e">
        <f t="shared" si="1"/>
        <v>#REF!</v>
      </c>
      <c r="V50" t="e">
        <f t="shared" si="2"/>
        <v>#REF!</v>
      </c>
      <c r="W50" t="e">
        <f t="shared" si="3"/>
        <v>#REF!</v>
      </c>
      <c r="X50" t="e">
        <f t="shared" si="4"/>
        <v>#REF!</v>
      </c>
    </row>
    <row r="51" spans="1:24" x14ac:dyDescent="0.35">
      <c r="A51">
        <v>49</v>
      </c>
      <c r="B51" t="e">
        <f>SUMIFS(#REF!,#REF!,'Cluster counts corrected Z&lt;3'!$A51)</f>
        <v>#REF!</v>
      </c>
      <c r="C51" t="e">
        <f>SUMIFS(#REF!,#REF!,'Cluster counts corrected Z&lt;3'!$A51)</f>
        <v>#REF!</v>
      </c>
      <c r="D51" t="e">
        <f>SUMIFS(#REF!,#REF!,'Cluster counts corrected Z&lt;3'!$A51)</f>
        <v>#REF!</v>
      </c>
      <c r="E51" t="e">
        <f>SUMIFS(#REF!,#REF!,'Cluster counts corrected Z&lt;3'!$A51)</f>
        <v>#REF!</v>
      </c>
      <c r="F51" t="e">
        <f>SUMIFS(#REF!,#REF!,'Cluster counts corrected Z&lt;3'!$A51)</f>
        <v>#REF!</v>
      </c>
      <c r="G51" t="e">
        <f>SUMIFS(#REF!,#REF!,'Cluster counts corrected Z&lt;3'!$A51)</f>
        <v>#REF!</v>
      </c>
      <c r="H51" t="e">
        <f>SUMIFS(#REF!,#REF!,'Cluster counts corrected Z&lt;3'!$A51)</f>
        <v>#REF!</v>
      </c>
      <c r="I51" t="e">
        <f>SUMIFS(#REF!,#REF!,'Cluster counts corrected Z&lt;3'!$A51)</f>
        <v>#REF!</v>
      </c>
      <c r="J51" t="e">
        <f>SUMIFS(#REF!,#REF!,'Cluster counts corrected Z&lt;3'!$A51)</f>
        <v>#REF!</v>
      </c>
      <c r="K51" t="e">
        <f>SUMIFS(#REF!,#REF!,'Cluster counts corrected Z&lt;3'!$A51)</f>
        <v>#REF!</v>
      </c>
      <c r="L51" t="e">
        <f>SUMIFS(#REF!,#REF!,'Cluster counts corrected Z&lt;3'!$A51)</f>
        <v>#REF!</v>
      </c>
      <c r="M51" t="e">
        <f>SUMIFS(#REF!,#REF!,'Cluster counts corrected Z&lt;3'!$A51)</f>
        <v>#REF!</v>
      </c>
      <c r="N51" t="e">
        <f>SUMIFS(#REF!,#REF!,'Cluster counts corrected Z&lt;3'!$A51)</f>
        <v>#REF!</v>
      </c>
      <c r="O51" t="e">
        <f>SUMIFS(#REF!,#REF!,'Cluster counts corrected Z&lt;3'!$A51)</f>
        <v>#REF!</v>
      </c>
      <c r="P51" t="e">
        <f>SUMIFS(#REF!,#REF!,'Cluster counts corrected Z&lt;3'!$A51)</f>
        <v>#REF!</v>
      </c>
      <c r="Q51" t="e">
        <f>SUMIFS(#REF!,#REF!,'Cluster counts corrected Z&lt;3'!$A51)</f>
        <v>#REF!</v>
      </c>
      <c r="R51" t="e">
        <f>SUMIFS(#REF!,#REF!,'Cluster counts corrected Z&lt;3'!$A51)</f>
        <v>#REF!</v>
      </c>
      <c r="T51" t="e">
        <f t="shared" si="0"/>
        <v>#REF!</v>
      </c>
      <c r="U51" t="e">
        <f t="shared" si="1"/>
        <v>#REF!</v>
      </c>
      <c r="V51" t="e">
        <f t="shared" si="2"/>
        <v>#REF!</v>
      </c>
      <c r="W51" t="e">
        <f t="shared" si="3"/>
        <v>#REF!</v>
      </c>
      <c r="X51" t="e">
        <f t="shared" si="4"/>
        <v>#REF!</v>
      </c>
    </row>
    <row r="52" spans="1:24" x14ac:dyDescent="0.35">
      <c r="A52">
        <v>50</v>
      </c>
      <c r="B52" t="e">
        <f>SUMIFS(#REF!,#REF!,'Cluster counts corrected Z&lt;3'!$A52)</f>
        <v>#REF!</v>
      </c>
      <c r="C52" t="e">
        <f>SUMIFS(#REF!,#REF!,'Cluster counts corrected Z&lt;3'!$A52)</f>
        <v>#REF!</v>
      </c>
      <c r="D52" t="e">
        <f>SUMIFS(#REF!,#REF!,'Cluster counts corrected Z&lt;3'!$A52)</f>
        <v>#REF!</v>
      </c>
      <c r="E52" t="e">
        <f>SUMIFS(#REF!,#REF!,'Cluster counts corrected Z&lt;3'!$A52)</f>
        <v>#REF!</v>
      </c>
      <c r="F52" t="e">
        <f>SUMIFS(#REF!,#REF!,'Cluster counts corrected Z&lt;3'!$A52)</f>
        <v>#REF!</v>
      </c>
      <c r="G52" t="e">
        <f>SUMIFS(#REF!,#REF!,'Cluster counts corrected Z&lt;3'!$A52)</f>
        <v>#REF!</v>
      </c>
      <c r="H52" t="e">
        <f>SUMIFS(#REF!,#REF!,'Cluster counts corrected Z&lt;3'!$A52)</f>
        <v>#REF!</v>
      </c>
      <c r="I52" t="e">
        <f>SUMIFS(#REF!,#REF!,'Cluster counts corrected Z&lt;3'!$A52)</f>
        <v>#REF!</v>
      </c>
      <c r="J52" t="e">
        <f>SUMIFS(#REF!,#REF!,'Cluster counts corrected Z&lt;3'!$A52)</f>
        <v>#REF!</v>
      </c>
      <c r="K52" t="e">
        <f>SUMIFS(#REF!,#REF!,'Cluster counts corrected Z&lt;3'!$A52)</f>
        <v>#REF!</v>
      </c>
      <c r="L52" t="e">
        <f>SUMIFS(#REF!,#REF!,'Cluster counts corrected Z&lt;3'!$A52)</f>
        <v>#REF!</v>
      </c>
      <c r="M52" t="e">
        <f>SUMIFS(#REF!,#REF!,'Cluster counts corrected Z&lt;3'!$A52)</f>
        <v>#REF!</v>
      </c>
      <c r="N52" t="e">
        <f>SUMIFS(#REF!,#REF!,'Cluster counts corrected Z&lt;3'!$A52)</f>
        <v>#REF!</v>
      </c>
      <c r="O52" t="e">
        <f>SUMIFS(#REF!,#REF!,'Cluster counts corrected Z&lt;3'!$A52)</f>
        <v>#REF!</v>
      </c>
      <c r="P52" t="e">
        <f>SUMIFS(#REF!,#REF!,'Cluster counts corrected Z&lt;3'!$A52)</f>
        <v>#REF!</v>
      </c>
      <c r="Q52" t="e">
        <f>SUMIFS(#REF!,#REF!,'Cluster counts corrected Z&lt;3'!$A52)</f>
        <v>#REF!</v>
      </c>
      <c r="R52" t="e">
        <f>SUMIFS(#REF!,#REF!,'Cluster counts corrected Z&lt;3'!$A52)</f>
        <v>#REF!</v>
      </c>
      <c r="T52" t="e">
        <f t="shared" si="0"/>
        <v>#REF!</v>
      </c>
      <c r="U52" t="e">
        <f t="shared" si="1"/>
        <v>#REF!</v>
      </c>
      <c r="V52" t="e">
        <f t="shared" si="2"/>
        <v>#REF!</v>
      </c>
      <c r="W52" t="e">
        <f t="shared" si="3"/>
        <v>#REF!</v>
      </c>
      <c r="X52" t="e">
        <f t="shared" si="4"/>
        <v>#REF!</v>
      </c>
    </row>
    <row r="53" spans="1:24" x14ac:dyDescent="0.35">
      <c r="A53">
        <v>51</v>
      </c>
      <c r="B53" t="e">
        <f>SUMIFS(#REF!,#REF!,'Cluster counts corrected Z&lt;3'!$A53)</f>
        <v>#REF!</v>
      </c>
      <c r="C53" t="e">
        <f>SUMIFS(#REF!,#REF!,'Cluster counts corrected Z&lt;3'!$A53)</f>
        <v>#REF!</v>
      </c>
      <c r="D53" t="e">
        <f>SUMIFS(#REF!,#REF!,'Cluster counts corrected Z&lt;3'!$A53)</f>
        <v>#REF!</v>
      </c>
      <c r="E53" t="e">
        <f>SUMIFS(#REF!,#REF!,'Cluster counts corrected Z&lt;3'!$A53)</f>
        <v>#REF!</v>
      </c>
      <c r="F53" t="e">
        <f>SUMIFS(#REF!,#REF!,'Cluster counts corrected Z&lt;3'!$A53)</f>
        <v>#REF!</v>
      </c>
      <c r="G53" t="e">
        <f>SUMIFS(#REF!,#REF!,'Cluster counts corrected Z&lt;3'!$A53)</f>
        <v>#REF!</v>
      </c>
      <c r="H53" t="e">
        <f>SUMIFS(#REF!,#REF!,'Cluster counts corrected Z&lt;3'!$A53)</f>
        <v>#REF!</v>
      </c>
      <c r="I53" t="e">
        <f>SUMIFS(#REF!,#REF!,'Cluster counts corrected Z&lt;3'!$A53)</f>
        <v>#REF!</v>
      </c>
      <c r="J53" t="e">
        <f>SUMIFS(#REF!,#REF!,'Cluster counts corrected Z&lt;3'!$A53)</f>
        <v>#REF!</v>
      </c>
      <c r="K53" t="e">
        <f>SUMIFS(#REF!,#REF!,'Cluster counts corrected Z&lt;3'!$A53)</f>
        <v>#REF!</v>
      </c>
      <c r="L53" t="e">
        <f>SUMIFS(#REF!,#REF!,'Cluster counts corrected Z&lt;3'!$A53)</f>
        <v>#REF!</v>
      </c>
      <c r="M53" t="e">
        <f>SUMIFS(#REF!,#REF!,'Cluster counts corrected Z&lt;3'!$A53)</f>
        <v>#REF!</v>
      </c>
      <c r="N53" t="e">
        <f>SUMIFS(#REF!,#REF!,'Cluster counts corrected Z&lt;3'!$A53)</f>
        <v>#REF!</v>
      </c>
      <c r="O53" t="e">
        <f>SUMIFS(#REF!,#REF!,'Cluster counts corrected Z&lt;3'!$A53)</f>
        <v>#REF!</v>
      </c>
      <c r="P53" t="e">
        <f>SUMIFS(#REF!,#REF!,'Cluster counts corrected Z&lt;3'!$A53)</f>
        <v>#REF!</v>
      </c>
      <c r="Q53" t="e">
        <f>SUMIFS(#REF!,#REF!,'Cluster counts corrected Z&lt;3'!$A53)</f>
        <v>#REF!</v>
      </c>
      <c r="R53" t="e">
        <f>SUMIFS(#REF!,#REF!,'Cluster counts corrected Z&lt;3'!$A53)</f>
        <v>#REF!</v>
      </c>
      <c r="T53" t="e">
        <f t="shared" si="0"/>
        <v>#REF!</v>
      </c>
      <c r="U53" t="e">
        <f t="shared" si="1"/>
        <v>#REF!</v>
      </c>
      <c r="V53" t="e">
        <f t="shared" si="2"/>
        <v>#REF!</v>
      </c>
      <c r="W53" t="e">
        <f t="shared" si="3"/>
        <v>#REF!</v>
      </c>
      <c r="X53" t="e">
        <f t="shared" si="4"/>
        <v>#REF!</v>
      </c>
    </row>
    <row r="54" spans="1:24" x14ac:dyDescent="0.35">
      <c r="A54">
        <v>52</v>
      </c>
      <c r="B54" t="e">
        <f>SUMIFS(#REF!,#REF!,'Cluster counts corrected Z&lt;3'!$A54)</f>
        <v>#REF!</v>
      </c>
      <c r="C54" t="e">
        <f>SUMIFS(#REF!,#REF!,'Cluster counts corrected Z&lt;3'!$A54)</f>
        <v>#REF!</v>
      </c>
      <c r="D54" t="e">
        <f>SUMIFS(#REF!,#REF!,'Cluster counts corrected Z&lt;3'!$A54)</f>
        <v>#REF!</v>
      </c>
      <c r="E54" t="e">
        <f>SUMIFS(#REF!,#REF!,'Cluster counts corrected Z&lt;3'!$A54)</f>
        <v>#REF!</v>
      </c>
      <c r="F54" t="e">
        <f>SUMIFS(#REF!,#REF!,'Cluster counts corrected Z&lt;3'!$A54)</f>
        <v>#REF!</v>
      </c>
      <c r="G54" t="e">
        <f>SUMIFS(#REF!,#REF!,'Cluster counts corrected Z&lt;3'!$A54)</f>
        <v>#REF!</v>
      </c>
      <c r="H54" t="e">
        <f>SUMIFS(#REF!,#REF!,'Cluster counts corrected Z&lt;3'!$A54)</f>
        <v>#REF!</v>
      </c>
      <c r="I54" t="e">
        <f>SUMIFS(#REF!,#REF!,'Cluster counts corrected Z&lt;3'!$A54)</f>
        <v>#REF!</v>
      </c>
      <c r="J54" t="e">
        <f>SUMIFS(#REF!,#REF!,'Cluster counts corrected Z&lt;3'!$A54)</f>
        <v>#REF!</v>
      </c>
      <c r="K54" t="e">
        <f>SUMIFS(#REF!,#REF!,'Cluster counts corrected Z&lt;3'!$A54)</f>
        <v>#REF!</v>
      </c>
      <c r="L54" t="e">
        <f>SUMIFS(#REF!,#REF!,'Cluster counts corrected Z&lt;3'!$A54)</f>
        <v>#REF!</v>
      </c>
      <c r="M54" t="e">
        <f>SUMIFS(#REF!,#REF!,'Cluster counts corrected Z&lt;3'!$A54)</f>
        <v>#REF!</v>
      </c>
      <c r="N54" t="e">
        <f>SUMIFS(#REF!,#REF!,'Cluster counts corrected Z&lt;3'!$A54)</f>
        <v>#REF!</v>
      </c>
      <c r="O54" t="e">
        <f>SUMIFS(#REF!,#REF!,'Cluster counts corrected Z&lt;3'!$A54)</f>
        <v>#REF!</v>
      </c>
      <c r="P54" t="e">
        <f>SUMIFS(#REF!,#REF!,'Cluster counts corrected Z&lt;3'!$A54)</f>
        <v>#REF!</v>
      </c>
      <c r="Q54" t="e">
        <f>SUMIFS(#REF!,#REF!,'Cluster counts corrected Z&lt;3'!$A54)</f>
        <v>#REF!</v>
      </c>
      <c r="R54" t="e">
        <f>SUMIFS(#REF!,#REF!,'Cluster counts corrected Z&lt;3'!$A54)</f>
        <v>#REF!</v>
      </c>
      <c r="T54" t="e">
        <f t="shared" si="0"/>
        <v>#REF!</v>
      </c>
      <c r="U54" t="e">
        <f t="shared" si="1"/>
        <v>#REF!</v>
      </c>
      <c r="V54" t="e">
        <f t="shared" si="2"/>
        <v>#REF!</v>
      </c>
      <c r="W54" t="e">
        <f t="shared" si="3"/>
        <v>#REF!</v>
      </c>
      <c r="X54" t="e">
        <f t="shared" si="4"/>
        <v>#REF!</v>
      </c>
    </row>
    <row r="55" spans="1:24" x14ac:dyDescent="0.35">
      <c r="A55">
        <v>53</v>
      </c>
      <c r="B55" t="e">
        <f>SUMIFS(#REF!,#REF!,'Cluster counts corrected Z&lt;3'!$A55)</f>
        <v>#REF!</v>
      </c>
      <c r="C55" t="e">
        <f>SUMIFS(#REF!,#REF!,'Cluster counts corrected Z&lt;3'!$A55)</f>
        <v>#REF!</v>
      </c>
      <c r="D55" t="e">
        <f>SUMIFS(#REF!,#REF!,'Cluster counts corrected Z&lt;3'!$A55)</f>
        <v>#REF!</v>
      </c>
      <c r="E55" t="e">
        <f>SUMIFS(#REF!,#REF!,'Cluster counts corrected Z&lt;3'!$A55)</f>
        <v>#REF!</v>
      </c>
      <c r="F55" t="e">
        <f>SUMIFS(#REF!,#REF!,'Cluster counts corrected Z&lt;3'!$A55)</f>
        <v>#REF!</v>
      </c>
      <c r="G55" t="e">
        <f>SUMIFS(#REF!,#REF!,'Cluster counts corrected Z&lt;3'!$A55)</f>
        <v>#REF!</v>
      </c>
      <c r="H55" t="e">
        <f>SUMIFS(#REF!,#REF!,'Cluster counts corrected Z&lt;3'!$A55)</f>
        <v>#REF!</v>
      </c>
      <c r="I55" t="e">
        <f>SUMIFS(#REF!,#REF!,'Cluster counts corrected Z&lt;3'!$A55)</f>
        <v>#REF!</v>
      </c>
      <c r="J55" t="e">
        <f>SUMIFS(#REF!,#REF!,'Cluster counts corrected Z&lt;3'!$A55)</f>
        <v>#REF!</v>
      </c>
      <c r="K55" t="e">
        <f>SUMIFS(#REF!,#REF!,'Cluster counts corrected Z&lt;3'!$A55)</f>
        <v>#REF!</v>
      </c>
      <c r="L55" t="e">
        <f>SUMIFS(#REF!,#REF!,'Cluster counts corrected Z&lt;3'!$A55)</f>
        <v>#REF!</v>
      </c>
      <c r="M55" t="e">
        <f>SUMIFS(#REF!,#REF!,'Cluster counts corrected Z&lt;3'!$A55)</f>
        <v>#REF!</v>
      </c>
      <c r="N55" t="e">
        <f>SUMIFS(#REF!,#REF!,'Cluster counts corrected Z&lt;3'!$A55)</f>
        <v>#REF!</v>
      </c>
      <c r="O55" t="e">
        <f>SUMIFS(#REF!,#REF!,'Cluster counts corrected Z&lt;3'!$A55)</f>
        <v>#REF!</v>
      </c>
      <c r="P55" t="e">
        <f>SUMIFS(#REF!,#REF!,'Cluster counts corrected Z&lt;3'!$A55)</f>
        <v>#REF!</v>
      </c>
      <c r="Q55" t="e">
        <f>SUMIFS(#REF!,#REF!,'Cluster counts corrected Z&lt;3'!$A55)</f>
        <v>#REF!</v>
      </c>
      <c r="R55" t="e">
        <f>SUMIFS(#REF!,#REF!,'Cluster counts corrected Z&lt;3'!$A55)</f>
        <v>#REF!</v>
      </c>
      <c r="T55" t="e">
        <f t="shared" si="0"/>
        <v>#REF!</v>
      </c>
      <c r="U55" t="e">
        <f t="shared" si="1"/>
        <v>#REF!</v>
      </c>
      <c r="V55" t="e">
        <f t="shared" si="2"/>
        <v>#REF!</v>
      </c>
      <c r="W55" t="e">
        <f t="shared" si="3"/>
        <v>#REF!</v>
      </c>
      <c r="X55" t="e">
        <f t="shared" si="4"/>
        <v>#REF!</v>
      </c>
    </row>
    <row r="56" spans="1:24" x14ac:dyDescent="0.35">
      <c r="A56">
        <v>54</v>
      </c>
      <c r="B56" t="e">
        <f>SUMIFS(#REF!,#REF!,'Cluster counts corrected Z&lt;3'!$A56)</f>
        <v>#REF!</v>
      </c>
      <c r="C56" t="e">
        <f>SUMIFS(#REF!,#REF!,'Cluster counts corrected Z&lt;3'!$A56)</f>
        <v>#REF!</v>
      </c>
      <c r="D56" t="e">
        <f>SUMIFS(#REF!,#REF!,'Cluster counts corrected Z&lt;3'!$A56)</f>
        <v>#REF!</v>
      </c>
      <c r="E56" t="e">
        <f>SUMIFS(#REF!,#REF!,'Cluster counts corrected Z&lt;3'!$A56)</f>
        <v>#REF!</v>
      </c>
      <c r="F56" t="e">
        <f>SUMIFS(#REF!,#REF!,'Cluster counts corrected Z&lt;3'!$A56)</f>
        <v>#REF!</v>
      </c>
      <c r="G56" t="e">
        <f>SUMIFS(#REF!,#REF!,'Cluster counts corrected Z&lt;3'!$A56)</f>
        <v>#REF!</v>
      </c>
      <c r="H56" t="e">
        <f>SUMIFS(#REF!,#REF!,'Cluster counts corrected Z&lt;3'!$A56)</f>
        <v>#REF!</v>
      </c>
      <c r="I56" t="e">
        <f>SUMIFS(#REF!,#REF!,'Cluster counts corrected Z&lt;3'!$A56)</f>
        <v>#REF!</v>
      </c>
      <c r="J56" t="e">
        <f>SUMIFS(#REF!,#REF!,'Cluster counts corrected Z&lt;3'!$A56)</f>
        <v>#REF!</v>
      </c>
      <c r="K56" t="e">
        <f>SUMIFS(#REF!,#REF!,'Cluster counts corrected Z&lt;3'!$A56)</f>
        <v>#REF!</v>
      </c>
      <c r="L56" t="e">
        <f>SUMIFS(#REF!,#REF!,'Cluster counts corrected Z&lt;3'!$A56)</f>
        <v>#REF!</v>
      </c>
      <c r="M56" t="e">
        <f>SUMIFS(#REF!,#REF!,'Cluster counts corrected Z&lt;3'!$A56)</f>
        <v>#REF!</v>
      </c>
      <c r="N56" t="e">
        <f>SUMIFS(#REF!,#REF!,'Cluster counts corrected Z&lt;3'!$A56)</f>
        <v>#REF!</v>
      </c>
      <c r="O56" t="e">
        <f>SUMIFS(#REF!,#REF!,'Cluster counts corrected Z&lt;3'!$A56)</f>
        <v>#REF!</v>
      </c>
      <c r="P56" t="e">
        <f>SUMIFS(#REF!,#REF!,'Cluster counts corrected Z&lt;3'!$A56)</f>
        <v>#REF!</v>
      </c>
      <c r="Q56" t="e">
        <f>SUMIFS(#REF!,#REF!,'Cluster counts corrected Z&lt;3'!$A56)</f>
        <v>#REF!</v>
      </c>
      <c r="R56" t="e">
        <f>SUMIFS(#REF!,#REF!,'Cluster counts corrected Z&lt;3'!$A56)</f>
        <v>#REF!</v>
      </c>
      <c r="T56" t="e">
        <f t="shared" si="0"/>
        <v>#REF!</v>
      </c>
      <c r="U56" t="e">
        <f t="shared" si="1"/>
        <v>#REF!</v>
      </c>
      <c r="V56" t="e">
        <f t="shared" si="2"/>
        <v>#REF!</v>
      </c>
      <c r="W56" t="e">
        <f t="shared" si="3"/>
        <v>#REF!</v>
      </c>
      <c r="X56" t="e">
        <f t="shared" si="4"/>
        <v>#REF!</v>
      </c>
    </row>
    <row r="57" spans="1:24" x14ac:dyDescent="0.35">
      <c r="A57">
        <v>55</v>
      </c>
      <c r="B57" t="e">
        <f>SUMIFS(#REF!,#REF!,'Cluster counts corrected Z&lt;3'!$A57)</f>
        <v>#REF!</v>
      </c>
      <c r="C57" t="e">
        <f>SUMIFS(#REF!,#REF!,'Cluster counts corrected Z&lt;3'!$A57)</f>
        <v>#REF!</v>
      </c>
      <c r="D57" t="e">
        <f>SUMIFS(#REF!,#REF!,'Cluster counts corrected Z&lt;3'!$A57)</f>
        <v>#REF!</v>
      </c>
      <c r="E57" t="e">
        <f>SUMIFS(#REF!,#REF!,'Cluster counts corrected Z&lt;3'!$A57)</f>
        <v>#REF!</v>
      </c>
      <c r="F57" t="e">
        <f>SUMIFS(#REF!,#REF!,'Cluster counts corrected Z&lt;3'!$A57)</f>
        <v>#REF!</v>
      </c>
      <c r="G57" t="e">
        <f>SUMIFS(#REF!,#REF!,'Cluster counts corrected Z&lt;3'!$A57)</f>
        <v>#REF!</v>
      </c>
      <c r="H57" t="e">
        <f>SUMIFS(#REF!,#REF!,'Cluster counts corrected Z&lt;3'!$A57)</f>
        <v>#REF!</v>
      </c>
      <c r="I57" t="e">
        <f>SUMIFS(#REF!,#REF!,'Cluster counts corrected Z&lt;3'!$A57)</f>
        <v>#REF!</v>
      </c>
      <c r="J57" t="e">
        <f>SUMIFS(#REF!,#REF!,'Cluster counts corrected Z&lt;3'!$A57)</f>
        <v>#REF!</v>
      </c>
      <c r="K57" t="e">
        <f>SUMIFS(#REF!,#REF!,'Cluster counts corrected Z&lt;3'!$A57)</f>
        <v>#REF!</v>
      </c>
      <c r="L57" t="e">
        <f>SUMIFS(#REF!,#REF!,'Cluster counts corrected Z&lt;3'!$A57)</f>
        <v>#REF!</v>
      </c>
      <c r="M57" t="e">
        <f>SUMIFS(#REF!,#REF!,'Cluster counts corrected Z&lt;3'!$A57)</f>
        <v>#REF!</v>
      </c>
      <c r="N57" t="e">
        <f>SUMIFS(#REF!,#REF!,'Cluster counts corrected Z&lt;3'!$A57)</f>
        <v>#REF!</v>
      </c>
      <c r="O57" t="e">
        <f>SUMIFS(#REF!,#REF!,'Cluster counts corrected Z&lt;3'!$A57)</f>
        <v>#REF!</v>
      </c>
      <c r="P57" t="e">
        <f>SUMIFS(#REF!,#REF!,'Cluster counts corrected Z&lt;3'!$A57)</f>
        <v>#REF!</v>
      </c>
      <c r="Q57" t="e">
        <f>SUMIFS(#REF!,#REF!,'Cluster counts corrected Z&lt;3'!$A57)</f>
        <v>#REF!</v>
      </c>
      <c r="R57" t="e">
        <f>SUMIFS(#REF!,#REF!,'Cluster counts corrected Z&lt;3'!$A57)</f>
        <v>#REF!</v>
      </c>
      <c r="T57" t="e">
        <f t="shared" si="0"/>
        <v>#REF!</v>
      </c>
      <c r="U57" t="e">
        <f t="shared" si="1"/>
        <v>#REF!</v>
      </c>
      <c r="V57" t="e">
        <f t="shared" si="2"/>
        <v>#REF!</v>
      </c>
      <c r="W57" t="e">
        <f t="shared" si="3"/>
        <v>#REF!</v>
      </c>
      <c r="X57" t="e">
        <f t="shared" si="4"/>
        <v>#REF!</v>
      </c>
    </row>
    <row r="58" spans="1:24" x14ac:dyDescent="0.35">
      <c r="A58">
        <v>56</v>
      </c>
      <c r="B58" t="e">
        <f>SUMIFS(#REF!,#REF!,'Cluster counts corrected Z&lt;3'!$A58)</f>
        <v>#REF!</v>
      </c>
      <c r="C58" t="e">
        <f>SUMIFS(#REF!,#REF!,'Cluster counts corrected Z&lt;3'!$A58)</f>
        <v>#REF!</v>
      </c>
      <c r="D58" t="e">
        <f>SUMIFS(#REF!,#REF!,'Cluster counts corrected Z&lt;3'!$A58)</f>
        <v>#REF!</v>
      </c>
      <c r="E58" t="e">
        <f>SUMIFS(#REF!,#REF!,'Cluster counts corrected Z&lt;3'!$A58)</f>
        <v>#REF!</v>
      </c>
      <c r="F58" t="e">
        <f>SUMIFS(#REF!,#REF!,'Cluster counts corrected Z&lt;3'!$A58)</f>
        <v>#REF!</v>
      </c>
      <c r="G58" t="e">
        <f>SUMIFS(#REF!,#REF!,'Cluster counts corrected Z&lt;3'!$A58)</f>
        <v>#REF!</v>
      </c>
      <c r="H58" t="e">
        <f>SUMIFS(#REF!,#REF!,'Cluster counts corrected Z&lt;3'!$A58)</f>
        <v>#REF!</v>
      </c>
      <c r="I58" t="e">
        <f>SUMIFS(#REF!,#REF!,'Cluster counts corrected Z&lt;3'!$A58)</f>
        <v>#REF!</v>
      </c>
      <c r="J58" t="e">
        <f>SUMIFS(#REF!,#REF!,'Cluster counts corrected Z&lt;3'!$A58)</f>
        <v>#REF!</v>
      </c>
      <c r="K58" t="e">
        <f>SUMIFS(#REF!,#REF!,'Cluster counts corrected Z&lt;3'!$A58)</f>
        <v>#REF!</v>
      </c>
      <c r="L58" t="e">
        <f>SUMIFS(#REF!,#REF!,'Cluster counts corrected Z&lt;3'!$A58)</f>
        <v>#REF!</v>
      </c>
      <c r="M58" t="e">
        <f>SUMIFS(#REF!,#REF!,'Cluster counts corrected Z&lt;3'!$A58)</f>
        <v>#REF!</v>
      </c>
      <c r="N58" t="e">
        <f>SUMIFS(#REF!,#REF!,'Cluster counts corrected Z&lt;3'!$A58)</f>
        <v>#REF!</v>
      </c>
      <c r="O58" t="e">
        <f>SUMIFS(#REF!,#REF!,'Cluster counts corrected Z&lt;3'!$A58)</f>
        <v>#REF!</v>
      </c>
      <c r="P58" t="e">
        <f>SUMIFS(#REF!,#REF!,'Cluster counts corrected Z&lt;3'!$A58)</f>
        <v>#REF!</v>
      </c>
      <c r="Q58" t="e">
        <f>SUMIFS(#REF!,#REF!,'Cluster counts corrected Z&lt;3'!$A58)</f>
        <v>#REF!</v>
      </c>
      <c r="R58" t="e">
        <f>SUMIFS(#REF!,#REF!,'Cluster counts corrected Z&lt;3'!$A58)</f>
        <v>#REF!</v>
      </c>
      <c r="T58" t="e">
        <f t="shared" si="0"/>
        <v>#REF!</v>
      </c>
      <c r="U58" t="e">
        <f t="shared" si="1"/>
        <v>#REF!</v>
      </c>
      <c r="V58" t="e">
        <f t="shared" si="2"/>
        <v>#REF!</v>
      </c>
      <c r="W58" t="e">
        <f t="shared" si="3"/>
        <v>#REF!</v>
      </c>
      <c r="X58" t="e">
        <f t="shared" si="4"/>
        <v>#REF!</v>
      </c>
    </row>
  </sheetData>
  <conditionalFormatting sqref="T3:T58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Activation map</vt:lpstr>
      <vt:lpstr>Total-corrected counts Z&lt;2</vt:lpstr>
      <vt:lpstr>Brain networks</vt:lpstr>
      <vt:lpstr>Activation map corrected Z&lt;2</vt:lpstr>
      <vt:lpstr>Brain networks corrected Z&lt;2</vt:lpstr>
      <vt:lpstr>Z-scores&lt;2</vt:lpstr>
      <vt:lpstr>Region order</vt:lpstr>
      <vt:lpstr>Blad1</vt:lpstr>
      <vt:lpstr>Cluster counts corrected Z&lt;3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Marloes Henckens</cp:lastModifiedBy>
  <dcterms:created xsi:type="dcterms:W3CDTF">2020-09-23T13:26:29Z</dcterms:created>
  <dcterms:modified xsi:type="dcterms:W3CDTF">2022-01-21T09:54:23Z</dcterms:modified>
</cp:coreProperties>
</file>